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gredion-my.sharepoint.com/personal/waraporn_promsurin_ingredion_com/Documents/DATA/KPI &amp; Safety/KPI 2026/For Agribusiness APP/"/>
    </mc:Choice>
  </mc:AlternateContent>
  <xr:revisionPtr revIDLastSave="11" documentId="8_{1B61849B-E0C8-499A-811F-C739589AABC5}" xr6:coauthVersionLast="47" xr6:coauthVersionMax="47" xr10:uidLastSave="{E4C17726-447F-4EC7-8CE3-0441B12DD877}"/>
  <bookViews>
    <workbookView xWindow="-110" yWindow="-110" windowWidth="19420" windowHeight="10300" tabRatio="833" xr2:uid="{75E74F8C-49BF-4436-9FB7-D050498D6B35}"/>
  </bookViews>
  <sheets>
    <sheet name="RawKPI.KSN" sheetId="1" r:id="rId1"/>
    <sheet name="Volume.KSN" sheetId="12" r:id="rId2"/>
    <sheet name="RegRoot.KSN" sheetId="11" r:id="rId3"/>
    <sheet name="Name.KSN" sheetId="13" r:id="rId4"/>
    <sheet name="Year.KSN" sheetId="10" r:id="rId5"/>
    <sheet name="Month.KSN" sheetId="3" r:id="rId6"/>
  </sheets>
  <externalReferences>
    <externalReference r:id="rId7"/>
    <externalReference r:id="rId8"/>
  </externalReferences>
  <definedNames>
    <definedName name="_xlnm._FilterDatabase" localSheetId="2" hidden="1">'RegRoot.KSN'!$A$2:$N$7286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2" l="1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N7286" i="11"/>
  <c r="K7286" i="11"/>
  <c r="I7286" i="11"/>
  <c r="D7286" i="11"/>
  <c r="N7285" i="11"/>
  <c r="K7285" i="11"/>
  <c r="I7285" i="11"/>
  <c r="D7285" i="11"/>
  <c r="N7284" i="11"/>
  <c r="K7284" i="11"/>
  <c r="I7284" i="11"/>
  <c r="D7284" i="11"/>
  <c r="N7283" i="11"/>
  <c r="K7283" i="11"/>
  <c r="I7283" i="11"/>
  <c r="D7283" i="11"/>
  <c r="N7282" i="11"/>
  <c r="K7282" i="11"/>
  <c r="I7282" i="11"/>
  <c r="D7282" i="11"/>
  <c r="N7281" i="11"/>
  <c r="K7281" i="11"/>
  <c r="I7281" i="11"/>
  <c r="D7281" i="11"/>
  <c r="N7280" i="11"/>
  <c r="K7280" i="11"/>
  <c r="I7280" i="11"/>
  <c r="D7280" i="11"/>
  <c r="N7279" i="11"/>
  <c r="K7279" i="11"/>
  <c r="I7279" i="11"/>
  <c r="D7279" i="11"/>
  <c r="N7278" i="11"/>
  <c r="K7278" i="11"/>
  <c r="I7278" i="11"/>
  <c r="D7278" i="11"/>
  <c r="N7277" i="11"/>
  <c r="K7277" i="11"/>
  <c r="I7277" i="11"/>
  <c r="D7277" i="11"/>
  <c r="N7276" i="11"/>
  <c r="K7276" i="11"/>
  <c r="I7276" i="11"/>
  <c r="D7276" i="11"/>
  <c r="N7275" i="11"/>
  <c r="K7275" i="11"/>
  <c r="I7275" i="11"/>
  <c r="D7275" i="11"/>
  <c r="N7274" i="11"/>
  <c r="K7274" i="11"/>
  <c r="I7274" i="11"/>
  <c r="D7274" i="11"/>
  <c r="N7273" i="11"/>
  <c r="K7273" i="11"/>
  <c r="I7273" i="11"/>
  <c r="D7273" i="11"/>
  <c r="N7272" i="11"/>
  <c r="K7272" i="11"/>
  <c r="I7272" i="11"/>
  <c r="D7272" i="11"/>
  <c r="N7271" i="11"/>
  <c r="K7271" i="11"/>
  <c r="I7271" i="11"/>
  <c r="D7271" i="11"/>
  <c r="N7270" i="11"/>
  <c r="K7270" i="11"/>
  <c r="I7270" i="11"/>
  <c r="D7270" i="11"/>
  <c r="N7269" i="11"/>
  <c r="K7269" i="11"/>
  <c r="I7269" i="11"/>
  <c r="D7269" i="11"/>
  <c r="N7268" i="11"/>
  <c r="K7268" i="11"/>
  <c r="I7268" i="11"/>
  <c r="D7268" i="11"/>
  <c r="N7267" i="11"/>
  <c r="K7267" i="11"/>
  <c r="I7267" i="11"/>
  <c r="D7267" i="11"/>
  <c r="N7266" i="11"/>
  <c r="K7266" i="11"/>
  <c r="I7266" i="11"/>
  <c r="D7266" i="11"/>
  <c r="N7265" i="11"/>
  <c r="K7265" i="11"/>
  <c r="I7265" i="11"/>
  <c r="D7265" i="11"/>
  <c r="N7264" i="11"/>
  <c r="K7264" i="11"/>
  <c r="I7264" i="11"/>
  <c r="D7264" i="11"/>
  <c r="N7263" i="11"/>
  <c r="K7263" i="11"/>
  <c r="I7263" i="11"/>
  <c r="D7263" i="11"/>
  <c r="N7262" i="11"/>
  <c r="K7262" i="11"/>
  <c r="I7262" i="11"/>
  <c r="D7262" i="11"/>
  <c r="N7261" i="11"/>
  <c r="K7261" i="11"/>
  <c r="I7261" i="11"/>
  <c r="D7261" i="11"/>
  <c r="N7260" i="11"/>
  <c r="K7260" i="11"/>
  <c r="I7260" i="11"/>
  <c r="D7260" i="11"/>
  <c r="N7259" i="11"/>
  <c r="K7259" i="11"/>
  <c r="I7259" i="11"/>
  <c r="D7259" i="11"/>
  <c r="N7258" i="11"/>
  <c r="K7258" i="11"/>
  <c r="I7258" i="11"/>
  <c r="D7258" i="11"/>
  <c r="N7257" i="11"/>
  <c r="K7257" i="11"/>
  <c r="I7257" i="11"/>
  <c r="D7257" i="11"/>
  <c r="N7256" i="11"/>
  <c r="K7256" i="11"/>
  <c r="I7256" i="11"/>
  <c r="D7256" i="11"/>
  <c r="N7255" i="11"/>
  <c r="K7255" i="11"/>
  <c r="I7255" i="11"/>
  <c r="D7255" i="11"/>
  <c r="N7254" i="11"/>
  <c r="K7254" i="11"/>
  <c r="I7254" i="11"/>
  <c r="D7254" i="11"/>
  <c r="N7253" i="11"/>
  <c r="K7253" i="11"/>
  <c r="I7253" i="11"/>
  <c r="D7253" i="11"/>
  <c r="N7252" i="11"/>
  <c r="K7252" i="11"/>
  <c r="I7252" i="11"/>
  <c r="D7252" i="11"/>
  <c r="N7251" i="11"/>
  <c r="K7251" i="11"/>
  <c r="I7251" i="11"/>
  <c r="D7251" i="11"/>
  <c r="N7250" i="11"/>
  <c r="K7250" i="11"/>
  <c r="I7250" i="11"/>
  <c r="D7250" i="11"/>
  <c r="N7249" i="11"/>
  <c r="K7249" i="11"/>
  <c r="I7249" i="11"/>
  <c r="D7249" i="11"/>
  <c r="N7248" i="11"/>
  <c r="K7248" i="11"/>
  <c r="I7248" i="11"/>
  <c r="D7248" i="11"/>
  <c r="N7247" i="11"/>
  <c r="K7247" i="11"/>
  <c r="I7247" i="11"/>
  <c r="D7247" i="11"/>
  <c r="N7246" i="11"/>
  <c r="K7246" i="11"/>
  <c r="I7246" i="11"/>
  <c r="D7246" i="11"/>
  <c r="N7245" i="11"/>
  <c r="K7245" i="11"/>
  <c r="I7245" i="11"/>
  <c r="D7245" i="11"/>
  <c r="N7244" i="11"/>
  <c r="K7244" i="11"/>
  <c r="I7244" i="11"/>
  <c r="D7244" i="11"/>
  <c r="N7243" i="11"/>
  <c r="K7243" i="11"/>
  <c r="I7243" i="11"/>
  <c r="D7243" i="11"/>
  <c r="N7242" i="11"/>
  <c r="K7242" i="11"/>
  <c r="I7242" i="11"/>
  <c r="D7242" i="11"/>
  <c r="N7241" i="11"/>
  <c r="K7241" i="11"/>
  <c r="I7241" i="11"/>
  <c r="D7241" i="11"/>
  <c r="N7240" i="11"/>
  <c r="K7240" i="11"/>
  <c r="I7240" i="11"/>
  <c r="D7240" i="11"/>
  <c r="N7239" i="11"/>
  <c r="K7239" i="11"/>
  <c r="I7239" i="11"/>
  <c r="D7239" i="11"/>
  <c r="N7238" i="11"/>
  <c r="K7238" i="11"/>
  <c r="I7238" i="11"/>
  <c r="D7238" i="11"/>
  <c r="N7237" i="11"/>
  <c r="K7237" i="11"/>
  <c r="I7237" i="11"/>
  <c r="D7237" i="11"/>
  <c r="N7236" i="11"/>
  <c r="K7236" i="11"/>
  <c r="I7236" i="11"/>
  <c r="D7236" i="11"/>
  <c r="N7235" i="11"/>
  <c r="K7235" i="11"/>
  <c r="I7235" i="11"/>
  <c r="D7235" i="11"/>
  <c r="N7234" i="11"/>
  <c r="K7234" i="11"/>
  <c r="I7234" i="11"/>
  <c r="D7234" i="11"/>
  <c r="N7233" i="11"/>
  <c r="K7233" i="11"/>
  <c r="I7233" i="11"/>
  <c r="D7233" i="11"/>
  <c r="N7232" i="11"/>
  <c r="K7232" i="11"/>
  <c r="I7232" i="11"/>
  <c r="D7232" i="11"/>
  <c r="N7231" i="11"/>
  <c r="K7231" i="11"/>
  <c r="I7231" i="11"/>
  <c r="D7231" i="11"/>
  <c r="N7230" i="11"/>
  <c r="K7230" i="11"/>
  <c r="I7230" i="11"/>
  <c r="D7230" i="11"/>
  <c r="N7229" i="11"/>
  <c r="K7229" i="11"/>
  <c r="I7229" i="11"/>
  <c r="D7229" i="11"/>
  <c r="N7228" i="11"/>
  <c r="K7228" i="11"/>
  <c r="I7228" i="11"/>
  <c r="D7228" i="11"/>
  <c r="N7227" i="11"/>
  <c r="K7227" i="11"/>
  <c r="I7227" i="11"/>
  <c r="D7227" i="11"/>
  <c r="N7226" i="11"/>
  <c r="K7226" i="11"/>
  <c r="I7226" i="11"/>
  <c r="D7226" i="11"/>
  <c r="N7225" i="11"/>
  <c r="K7225" i="11"/>
  <c r="I7225" i="11"/>
  <c r="D7225" i="11"/>
  <c r="N7224" i="11"/>
  <c r="K7224" i="11"/>
  <c r="I7224" i="11"/>
  <c r="D7224" i="11"/>
  <c r="N7223" i="11"/>
  <c r="K7223" i="11"/>
  <c r="I7223" i="11"/>
  <c r="D7223" i="11"/>
  <c r="N7222" i="11"/>
  <c r="K7222" i="11"/>
  <c r="I7222" i="11"/>
  <c r="D7222" i="11"/>
  <c r="N7221" i="11"/>
  <c r="K7221" i="11"/>
  <c r="I7221" i="11"/>
  <c r="D7221" i="11"/>
  <c r="N7220" i="11"/>
  <c r="K7220" i="11"/>
  <c r="I7220" i="11"/>
  <c r="D7220" i="11"/>
  <c r="N7219" i="11"/>
  <c r="K7219" i="11"/>
  <c r="I7219" i="11"/>
  <c r="D7219" i="11"/>
  <c r="N7218" i="11"/>
  <c r="K7218" i="11"/>
  <c r="I7218" i="11"/>
  <c r="D7218" i="11"/>
  <c r="N7217" i="11"/>
  <c r="K7217" i="11"/>
  <c r="I7217" i="11"/>
  <c r="D7217" i="11"/>
  <c r="N7216" i="11"/>
  <c r="K7216" i="11"/>
  <c r="I7216" i="11"/>
  <c r="D7216" i="11"/>
  <c r="N7215" i="11"/>
  <c r="K7215" i="11"/>
  <c r="I7215" i="11"/>
  <c r="D7215" i="11"/>
  <c r="N7214" i="11"/>
  <c r="K7214" i="11"/>
  <c r="I7214" i="11"/>
  <c r="D7214" i="11"/>
  <c r="N7213" i="11"/>
  <c r="K7213" i="11"/>
  <c r="I7213" i="11"/>
  <c r="D7213" i="11"/>
  <c r="N7212" i="11"/>
  <c r="K7212" i="11"/>
  <c r="I7212" i="11"/>
  <c r="D7212" i="11"/>
  <c r="N7211" i="11"/>
  <c r="K7211" i="11"/>
  <c r="I7211" i="11"/>
  <c r="D7211" i="11"/>
  <c r="N7210" i="11"/>
  <c r="K7210" i="11"/>
  <c r="I7210" i="11"/>
  <c r="D7210" i="11"/>
  <c r="N7209" i="11"/>
  <c r="K7209" i="11"/>
  <c r="I7209" i="11"/>
  <c r="D7209" i="11"/>
  <c r="N7208" i="11"/>
  <c r="K7208" i="11"/>
  <c r="I7208" i="11"/>
  <c r="D7208" i="11"/>
  <c r="N7207" i="11"/>
  <c r="K7207" i="11"/>
  <c r="I7207" i="11"/>
  <c r="D7207" i="11"/>
  <c r="N7206" i="11"/>
  <c r="K7206" i="11"/>
  <c r="I7206" i="11"/>
  <c r="D7206" i="11"/>
  <c r="N7205" i="11"/>
  <c r="K7205" i="11"/>
  <c r="I7205" i="11"/>
  <c r="D7205" i="11"/>
  <c r="N7204" i="11"/>
  <c r="K7204" i="11"/>
  <c r="I7204" i="11"/>
  <c r="D7204" i="11"/>
  <c r="N7203" i="11"/>
  <c r="K7203" i="11"/>
  <c r="I7203" i="11"/>
  <c r="D7203" i="11"/>
  <c r="N7202" i="11"/>
  <c r="K7202" i="11"/>
  <c r="I7202" i="11"/>
  <c r="D7202" i="11"/>
  <c r="N7201" i="11"/>
  <c r="K7201" i="11"/>
  <c r="I7201" i="11"/>
  <c r="D7201" i="11"/>
  <c r="N7200" i="11"/>
  <c r="K7200" i="11"/>
  <c r="I7200" i="11"/>
  <c r="D7200" i="11"/>
  <c r="N7199" i="11"/>
  <c r="K7199" i="11"/>
  <c r="I7199" i="11"/>
  <c r="D7199" i="11"/>
  <c r="N7198" i="11"/>
  <c r="K7198" i="11"/>
  <c r="I7198" i="11"/>
  <c r="D7198" i="11"/>
  <c r="N7197" i="11"/>
  <c r="K7197" i="11"/>
  <c r="I7197" i="11"/>
  <c r="D7197" i="11"/>
  <c r="N7196" i="11"/>
  <c r="K7196" i="11"/>
  <c r="I7196" i="11"/>
  <c r="D7196" i="11"/>
  <c r="N7195" i="11"/>
  <c r="K7195" i="11"/>
  <c r="I7195" i="11"/>
  <c r="D7195" i="11"/>
  <c r="N7194" i="11"/>
  <c r="K7194" i="11"/>
  <c r="I7194" i="11"/>
  <c r="D7194" i="11"/>
  <c r="N7193" i="11"/>
  <c r="K7193" i="11"/>
  <c r="I7193" i="11"/>
  <c r="D7193" i="11"/>
  <c r="N7192" i="11"/>
  <c r="K7192" i="11"/>
  <c r="I7192" i="11"/>
  <c r="D7192" i="11"/>
  <c r="N7191" i="11"/>
  <c r="K7191" i="11"/>
  <c r="I7191" i="11"/>
  <c r="D7191" i="11"/>
  <c r="N7190" i="11"/>
  <c r="K7190" i="11"/>
  <c r="I7190" i="11"/>
  <c r="D7190" i="11"/>
  <c r="N7189" i="11"/>
  <c r="K7189" i="11"/>
  <c r="I7189" i="11"/>
  <c r="D7189" i="11"/>
  <c r="N7188" i="11"/>
  <c r="K7188" i="11"/>
  <c r="I7188" i="11"/>
  <c r="D7188" i="11"/>
  <c r="N7187" i="11"/>
  <c r="K7187" i="11"/>
  <c r="I7187" i="11"/>
  <c r="D7187" i="11"/>
  <c r="N7186" i="11"/>
  <c r="K7186" i="11"/>
  <c r="I7186" i="11"/>
  <c r="D7186" i="11"/>
  <c r="N7185" i="11"/>
  <c r="K7185" i="11"/>
  <c r="I7185" i="11"/>
  <c r="D7185" i="11"/>
  <c r="N7184" i="11"/>
  <c r="K7184" i="11"/>
  <c r="I7184" i="11"/>
  <c r="D7184" i="11"/>
  <c r="N7183" i="11"/>
  <c r="K7183" i="11"/>
  <c r="I7183" i="11"/>
  <c r="D7183" i="11"/>
  <c r="N7182" i="11"/>
  <c r="K7182" i="11"/>
  <c r="I7182" i="11"/>
  <c r="D7182" i="11"/>
  <c r="N7181" i="11"/>
  <c r="K7181" i="11"/>
  <c r="I7181" i="11"/>
  <c r="D7181" i="11"/>
  <c r="N7180" i="11"/>
  <c r="K7180" i="11"/>
  <c r="I7180" i="11"/>
  <c r="D7180" i="11"/>
  <c r="N7179" i="11"/>
  <c r="K7179" i="11"/>
  <c r="I7179" i="11"/>
  <c r="D7179" i="11"/>
  <c r="N7178" i="11"/>
  <c r="K7178" i="11"/>
  <c r="I7178" i="11"/>
  <c r="D7178" i="11"/>
  <c r="N7177" i="11"/>
  <c r="K7177" i="11"/>
  <c r="I7177" i="11"/>
  <c r="D7177" i="11"/>
  <c r="N7176" i="11"/>
  <c r="K7176" i="11"/>
  <c r="I7176" i="11"/>
  <c r="D7176" i="11"/>
  <c r="N7175" i="11"/>
  <c r="K7175" i="11"/>
  <c r="I7175" i="11"/>
  <c r="D7175" i="11"/>
  <c r="N7174" i="11"/>
  <c r="K7174" i="11"/>
  <c r="I7174" i="11"/>
  <c r="D7174" i="11"/>
  <c r="N7173" i="11"/>
  <c r="K7173" i="11"/>
  <c r="I7173" i="11"/>
  <c r="D7173" i="11"/>
  <c r="N7172" i="11"/>
  <c r="K7172" i="11"/>
  <c r="I7172" i="11"/>
  <c r="D7172" i="11"/>
  <c r="N7171" i="11"/>
  <c r="K7171" i="11"/>
  <c r="I7171" i="11"/>
  <c r="D7171" i="11"/>
  <c r="N7170" i="11"/>
  <c r="K7170" i="11"/>
  <c r="I7170" i="11"/>
  <c r="D7170" i="11"/>
  <c r="N7169" i="11"/>
  <c r="K7169" i="11"/>
  <c r="I7169" i="11"/>
  <c r="D7169" i="11"/>
  <c r="N7168" i="11"/>
  <c r="K7168" i="11"/>
  <c r="I7168" i="11"/>
  <c r="D7168" i="11"/>
  <c r="N7167" i="11"/>
  <c r="K7167" i="11"/>
  <c r="I7167" i="11"/>
  <c r="D7167" i="11"/>
  <c r="N7166" i="11"/>
  <c r="K7166" i="11"/>
  <c r="I7166" i="11"/>
  <c r="N7165" i="11"/>
  <c r="K7165" i="11"/>
  <c r="I7165" i="11"/>
  <c r="N7164" i="11"/>
  <c r="K7164" i="11"/>
  <c r="I7164" i="11"/>
  <c r="N7163" i="11"/>
  <c r="K7163" i="11"/>
  <c r="I7163" i="11"/>
  <c r="N7162" i="11"/>
  <c r="K7162" i="11"/>
  <c r="I7162" i="11"/>
  <c r="N7161" i="11"/>
  <c r="K7161" i="11"/>
  <c r="I7161" i="11"/>
  <c r="N7160" i="11"/>
  <c r="K7160" i="11"/>
  <c r="I7160" i="11"/>
  <c r="N7159" i="11"/>
  <c r="K7159" i="11"/>
  <c r="I7159" i="11"/>
  <c r="N7158" i="11"/>
  <c r="K7158" i="11"/>
  <c r="I7158" i="11"/>
  <c r="N7157" i="11"/>
  <c r="K7157" i="11"/>
  <c r="I7157" i="11"/>
  <c r="N7156" i="11"/>
  <c r="K7156" i="11"/>
  <c r="I7156" i="11"/>
  <c r="N7155" i="11"/>
  <c r="K7155" i="11"/>
  <c r="I7155" i="11"/>
  <c r="N7154" i="11"/>
  <c r="K7154" i="11"/>
  <c r="I7154" i="11"/>
  <c r="N7153" i="11"/>
  <c r="K7153" i="11"/>
  <c r="I7153" i="11"/>
  <c r="N7152" i="11"/>
  <c r="K7152" i="11"/>
  <c r="I7152" i="11"/>
  <c r="N7151" i="11"/>
  <c r="K7151" i="11"/>
  <c r="I7151" i="11"/>
  <c r="N7150" i="11"/>
  <c r="K7150" i="11"/>
  <c r="I7150" i="11"/>
  <c r="N7149" i="11"/>
  <c r="K7149" i="11"/>
  <c r="I7149" i="11"/>
  <c r="N7148" i="11"/>
  <c r="K7148" i="11"/>
  <c r="I7148" i="11"/>
  <c r="N7147" i="11"/>
  <c r="K7147" i="11"/>
  <c r="I7147" i="11"/>
  <c r="N7146" i="11"/>
  <c r="K7146" i="11"/>
  <c r="I7146" i="11"/>
  <c r="N7145" i="11"/>
  <c r="K7145" i="11"/>
  <c r="I7145" i="11"/>
  <c r="N7144" i="11"/>
  <c r="K7144" i="11"/>
  <c r="I7144" i="11"/>
  <c r="N7143" i="11"/>
  <c r="K7143" i="11"/>
  <c r="I7143" i="11"/>
  <c r="N7142" i="11"/>
  <c r="K7142" i="11"/>
  <c r="I7142" i="11"/>
  <c r="N7141" i="11"/>
  <c r="K7141" i="11"/>
  <c r="I7141" i="11"/>
  <c r="N7140" i="11"/>
  <c r="K7140" i="11"/>
  <c r="I7140" i="11"/>
  <c r="N7139" i="11"/>
  <c r="K7139" i="11"/>
  <c r="I7139" i="11"/>
  <c r="N7138" i="11"/>
  <c r="K7138" i="11"/>
  <c r="I7138" i="11"/>
  <c r="N7137" i="11"/>
  <c r="K7137" i="11"/>
  <c r="I7137" i="11"/>
  <c r="N7136" i="11"/>
  <c r="K7136" i="11"/>
  <c r="I7136" i="11"/>
  <c r="N7135" i="11"/>
  <c r="K7135" i="11"/>
  <c r="I7135" i="11"/>
  <c r="N7134" i="11"/>
  <c r="K7134" i="11"/>
  <c r="I7134" i="11"/>
  <c r="N7133" i="11"/>
  <c r="K7133" i="11"/>
  <c r="I7133" i="11"/>
  <c r="N7132" i="11"/>
  <c r="K7132" i="11"/>
  <c r="I7132" i="11"/>
  <c r="N7131" i="11"/>
  <c r="K7131" i="11"/>
  <c r="I7131" i="11"/>
  <c r="N7130" i="11"/>
  <c r="K7130" i="11"/>
  <c r="I7130" i="11"/>
  <c r="N7129" i="11"/>
  <c r="K7129" i="11"/>
  <c r="I7129" i="11"/>
  <c r="N7128" i="11"/>
  <c r="K7128" i="11"/>
  <c r="I7128" i="11"/>
  <c r="N7127" i="11"/>
  <c r="K7127" i="11"/>
  <c r="I7127" i="11"/>
  <c r="N7126" i="11"/>
  <c r="K7126" i="11"/>
  <c r="I7126" i="11"/>
  <c r="N7125" i="11"/>
  <c r="K7125" i="11"/>
  <c r="I7125" i="11"/>
  <c r="N7124" i="11"/>
  <c r="K7124" i="11"/>
  <c r="I7124" i="11"/>
  <c r="N7123" i="11"/>
  <c r="K7123" i="11"/>
  <c r="I7123" i="11"/>
  <c r="N7122" i="11"/>
  <c r="K7122" i="11"/>
  <c r="I7122" i="11"/>
  <c r="N7121" i="11"/>
  <c r="K7121" i="11"/>
  <c r="I7121" i="11"/>
  <c r="N7120" i="11"/>
  <c r="K7120" i="11"/>
  <c r="I7120" i="11"/>
  <c r="N7119" i="11"/>
  <c r="K7119" i="11"/>
  <c r="I7119" i="11"/>
  <c r="N7118" i="11"/>
  <c r="K7118" i="11"/>
  <c r="I7118" i="11"/>
  <c r="N7117" i="11"/>
  <c r="K7117" i="11"/>
  <c r="I7117" i="11"/>
  <c r="N7116" i="11"/>
  <c r="K7116" i="11"/>
  <c r="I7116" i="11"/>
  <c r="N7115" i="11"/>
  <c r="K7115" i="11"/>
  <c r="I7115" i="11"/>
  <c r="N7114" i="11"/>
  <c r="K7114" i="11"/>
  <c r="I7114" i="11"/>
  <c r="N7113" i="11"/>
  <c r="K7113" i="11"/>
  <c r="I7113" i="11"/>
  <c r="N7112" i="11"/>
  <c r="K7112" i="11"/>
  <c r="I7112" i="11"/>
  <c r="N7111" i="11"/>
  <c r="K7111" i="11"/>
  <c r="I7111" i="11"/>
  <c r="N7110" i="11"/>
  <c r="K7110" i="11"/>
  <c r="I7110" i="11"/>
  <c r="N7109" i="11"/>
  <c r="K7109" i="11"/>
  <c r="I7109" i="11"/>
  <c r="N7108" i="11"/>
  <c r="K7108" i="11"/>
  <c r="I7108" i="11"/>
  <c r="N7107" i="11"/>
  <c r="K7107" i="11"/>
  <c r="I7107" i="11"/>
  <c r="N7106" i="11"/>
  <c r="K7106" i="11"/>
  <c r="I7106" i="11"/>
  <c r="N7105" i="11"/>
  <c r="K7105" i="11"/>
  <c r="I7105" i="11"/>
  <c r="N7104" i="11"/>
  <c r="K7104" i="11"/>
  <c r="I7104" i="11"/>
  <c r="N7103" i="11"/>
  <c r="K7103" i="11"/>
  <c r="I7103" i="11"/>
  <c r="N7102" i="11"/>
  <c r="K7102" i="11"/>
  <c r="I7102" i="11"/>
  <c r="N7101" i="11"/>
  <c r="K7101" i="11"/>
  <c r="I7101" i="11"/>
  <c r="N7100" i="11"/>
  <c r="K7100" i="11"/>
  <c r="I7100" i="11"/>
  <c r="N7099" i="11"/>
  <c r="K7099" i="11"/>
  <c r="I7099" i="11"/>
  <c r="N7098" i="11"/>
  <c r="K7098" i="11"/>
  <c r="I7098" i="11"/>
  <c r="N7097" i="11"/>
  <c r="K7097" i="11"/>
  <c r="I7097" i="11"/>
  <c r="N7096" i="11"/>
  <c r="K7096" i="11"/>
  <c r="I7096" i="11"/>
  <c r="N7095" i="11"/>
  <c r="K7095" i="11"/>
  <c r="I7095" i="11"/>
  <c r="N7094" i="11"/>
  <c r="K7094" i="11"/>
  <c r="I7094" i="11"/>
  <c r="N7093" i="11"/>
  <c r="K7093" i="11"/>
  <c r="I7093" i="11"/>
  <c r="N7092" i="11"/>
  <c r="K7092" i="11"/>
  <c r="I7092" i="11"/>
  <c r="N7091" i="11"/>
  <c r="K7091" i="11"/>
  <c r="I7091" i="11"/>
  <c r="N7090" i="11"/>
  <c r="K7090" i="11"/>
  <c r="I7090" i="11"/>
  <c r="N7089" i="11"/>
  <c r="K7089" i="11"/>
  <c r="I7089" i="11"/>
  <c r="N7088" i="11"/>
  <c r="K7088" i="11"/>
  <c r="I7088" i="11"/>
  <c r="N7087" i="11"/>
  <c r="K7087" i="11"/>
  <c r="I7087" i="11"/>
  <c r="N7086" i="11"/>
  <c r="K7086" i="11"/>
  <c r="I7086" i="11"/>
  <c r="N7085" i="11"/>
  <c r="K7085" i="11"/>
  <c r="I7085" i="11"/>
  <c r="N7084" i="11"/>
  <c r="K7084" i="11"/>
  <c r="I7084" i="11"/>
  <c r="N7083" i="11"/>
  <c r="K7083" i="11"/>
  <c r="I7083" i="11"/>
  <c r="N7082" i="11"/>
  <c r="K7082" i="11"/>
  <c r="I7082" i="11"/>
  <c r="N7081" i="11"/>
  <c r="K7081" i="11"/>
  <c r="I7081" i="11"/>
  <c r="N7080" i="11"/>
  <c r="K7080" i="11"/>
  <c r="I7080" i="11"/>
  <c r="N7079" i="11"/>
  <c r="K7079" i="11"/>
  <c r="I7079" i="11"/>
  <c r="N7078" i="11"/>
  <c r="K7078" i="11"/>
  <c r="I7078" i="11"/>
  <c r="N7077" i="11"/>
  <c r="K7077" i="11"/>
  <c r="I7077" i="11"/>
  <c r="N7076" i="11"/>
  <c r="K7076" i="11"/>
  <c r="I7076" i="11"/>
  <c r="N7075" i="11"/>
  <c r="K7075" i="11"/>
  <c r="I7075" i="11"/>
  <c r="N7074" i="11"/>
  <c r="K7074" i="11"/>
  <c r="I7074" i="11"/>
  <c r="N7073" i="11"/>
  <c r="K7073" i="11"/>
  <c r="I7073" i="11"/>
  <c r="N7072" i="11"/>
  <c r="K7072" i="11"/>
  <c r="I7072" i="11"/>
  <c r="N7071" i="11"/>
  <c r="K7071" i="11"/>
  <c r="I7071" i="11"/>
  <c r="N7070" i="11"/>
  <c r="K7070" i="11"/>
  <c r="I7070" i="11"/>
  <c r="N7069" i="11"/>
  <c r="K7069" i="11"/>
  <c r="I7069" i="11"/>
  <c r="N7068" i="11"/>
  <c r="K7068" i="11"/>
  <c r="I7068" i="11"/>
  <c r="N7067" i="11"/>
  <c r="K7067" i="11"/>
  <c r="I7067" i="11"/>
  <c r="N7066" i="11"/>
  <c r="K7066" i="11"/>
  <c r="I7066" i="11"/>
  <c r="N7065" i="11"/>
  <c r="K7065" i="11"/>
  <c r="I7065" i="11"/>
  <c r="N7064" i="11"/>
  <c r="K7064" i="11"/>
  <c r="I7064" i="11"/>
  <c r="N7063" i="11"/>
  <c r="K7063" i="11"/>
  <c r="I7063" i="11"/>
  <c r="N7062" i="11"/>
  <c r="K7062" i="11"/>
  <c r="I7062" i="11"/>
  <c r="N7061" i="11"/>
  <c r="K7061" i="11"/>
  <c r="I7061" i="11"/>
  <c r="N7060" i="11"/>
  <c r="K7060" i="11"/>
  <c r="I7060" i="11"/>
  <c r="N7059" i="11"/>
  <c r="K7059" i="11"/>
  <c r="I7059" i="11"/>
  <c r="N7058" i="11"/>
  <c r="K7058" i="11"/>
  <c r="I7058" i="11"/>
  <c r="N7057" i="11"/>
  <c r="K7057" i="11"/>
  <c r="I7057" i="11"/>
  <c r="N7056" i="11"/>
  <c r="K7056" i="11"/>
  <c r="I7056" i="11"/>
  <c r="N7055" i="11"/>
  <c r="K7055" i="11"/>
  <c r="I7055" i="11"/>
  <c r="N7054" i="11"/>
  <c r="K7054" i="11"/>
  <c r="I7054" i="11"/>
  <c r="N7053" i="11"/>
  <c r="K7053" i="11"/>
  <c r="I7053" i="11"/>
  <c r="N7052" i="11"/>
  <c r="K7052" i="11"/>
  <c r="I7052" i="11"/>
  <c r="N7051" i="11"/>
  <c r="K7051" i="11"/>
  <c r="I7051" i="11"/>
  <c r="N7050" i="11"/>
  <c r="K7050" i="11"/>
  <c r="I7050" i="11"/>
  <c r="N7049" i="11"/>
  <c r="K7049" i="11"/>
  <c r="I7049" i="11"/>
  <c r="N7048" i="11"/>
  <c r="K7048" i="11"/>
  <c r="I7048" i="11"/>
  <c r="N7047" i="11"/>
  <c r="K7047" i="11"/>
  <c r="I7047" i="11"/>
  <c r="N7046" i="11"/>
  <c r="K7046" i="11"/>
  <c r="I7046" i="11"/>
  <c r="N7045" i="11"/>
  <c r="K7045" i="11"/>
  <c r="I7045" i="11"/>
  <c r="N7044" i="11"/>
  <c r="K7044" i="11"/>
  <c r="I7044" i="11"/>
  <c r="N7043" i="11"/>
  <c r="K7043" i="11"/>
  <c r="I7043" i="11"/>
  <c r="N7042" i="11"/>
  <c r="K7042" i="11"/>
  <c r="I7042" i="11"/>
  <c r="N7041" i="11"/>
  <c r="K7041" i="11"/>
  <c r="I7041" i="11"/>
  <c r="N7040" i="11"/>
  <c r="K7040" i="11"/>
  <c r="I7040" i="11"/>
  <c r="N7039" i="11"/>
  <c r="K7039" i="11"/>
  <c r="I7039" i="11"/>
  <c r="N7038" i="11"/>
  <c r="K7038" i="11"/>
  <c r="I7038" i="11"/>
  <c r="N7037" i="11"/>
  <c r="K7037" i="11"/>
  <c r="I7037" i="11"/>
  <c r="N7036" i="11"/>
  <c r="K7036" i="11"/>
  <c r="I7036" i="11"/>
  <c r="N7035" i="11"/>
  <c r="K7035" i="11"/>
  <c r="I7035" i="11"/>
  <c r="N7034" i="11"/>
  <c r="K7034" i="11"/>
  <c r="I7034" i="11"/>
  <c r="N7033" i="11"/>
  <c r="K7033" i="11"/>
  <c r="I7033" i="11"/>
  <c r="N7032" i="11"/>
  <c r="K7032" i="11"/>
  <c r="I7032" i="11"/>
  <c r="N7031" i="11"/>
  <c r="K7031" i="11"/>
  <c r="I7031" i="11"/>
  <c r="N7030" i="11"/>
  <c r="K7030" i="11"/>
  <c r="I7030" i="11"/>
  <c r="N7029" i="11"/>
  <c r="K7029" i="11"/>
  <c r="I7029" i="11"/>
  <c r="N7028" i="11"/>
  <c r="K7028" i="11"/>
  <c r="I7028" i="11"/>
  <c r="N7027" i="11"/>
  <c r="K7027" i="11"/>
  <c r="I7027" i="11"/>
  <c r="N7026" i="11"/>
  <c r="K7026" i="11"/>
  <c r="I7026" i="11"/>
  <c r="N7025" i="11"/>
  <c r="K7025" i="11"/>
  <c r="I7025" i="11"/>
  <c r="N7024" i="11"/>
  <c r="K7024" i="11"/>
  <c r="I7024" i="11"/>
  <c r="N7023" i="11"/>
  <c r="K7023" i="11"/>
  <c r="I7023" i="11"/>
  <c r="N7022" i="11"/>
  <c r="K7022" i="11"/>
  <c r="I7022" i="11"/>
  <c r="N7021" i="11"/>
  <c r="K7021" i="11"/>
  <c r="I7021" i="11"/>
  <c r="N7020" i="11"/>
  <c r="K7020" i="11"/>
  <c r="I7020" i="11"/>
  <c r="N7019" i="11"/>
  <c r="K7019" i="11"/>
  <c r="I7019" i="11"/>
  <c r="N7018" i="11"/>
  <c r="K7018" i="11"/>
  <c r="I7018" i="11"/>
  <c r="N7017" i="11"/>
  <c r="K7017" i="11"/>
  <c r="I7017" i="11"/>
  <c r="N7016" i="11"/>
  <c r="K7016" i="11"/>
  <c r="I7016" i="11"/>
  <c r="N7015" i="11"/>
  <c r="K7015" i="11"/>
  <c r="I7015" i="11"/>
  <c r="N7014" i="11"/>
  <c r="K7014" i="11"/>
  <c r="I7014" i="11"/>
  <c r="N7013" i="11"/>
  <c r="K7013" i="11"/>
  <c r="I7013" i="11"/>
  <c r="N7012" i="11"/>
  <c r="K7012" i="11"/>
  <c r="I7012" i="11"/>
  <c r="N7011" i="11"/>
  <c r="K7011" i="11"/>
  <c r="I7011" i="11"/>
  <c r="N7010" i="11"/>
  <c r="K7010" i="11"/>
  <c r="I7010" i="11"/>
  <c r="N7009" i="11"/>
  <c r="K7009" i="11"/>
  <c r="I7009" i="11"/>
  <c r="N7008" i="11"/>
  <c r="K7008" i="11"/>
  <c r="I7008" i="11"/>
  <c r="N7007" i="11"/>
  <c r="K7007" i="11"/>
  <c r="I7007" i="11"/>
  <c r="N7006" i="11"/>
  <c r="K7006" i="11"/>
  <c r="I7006" i="11"/>
  <c r="N7005" i="11"/>
  <c r="K7005" i="11"/>
  <c r="I7005" i="11"/>
  <c r="N7004" i="11"/>
  <c r="K7004" i="11"/>
  <c r="I7004" i="11"/>
  <c r="N7003" i="11"/>
  <c r="K7003" i="11"/>
  <c r="I7003" i="11"/>
  <c r="N7002" i="11"/>
  <c r="K7002" i="11"/>
  <c r="I7002" i="11"/>
  <c r="N7001" i="11"/>
  <c r="K7001" i="11"/>
  <c r="I7001" i="11"/>
  <c r="N7000" i="11"/>
  <c r="K7000" i="11"/>
  <c r="I7000" i="11"/>
  <c r="N6999" i="11"/>
  <c r="K6999" i="11"/>
  <c r="I6999" i="11"/>
  <c r="N6998" i="11"/>
  <c r="K6998" i="11"/>
  <c r="I6998" i="11"/>
  <c r="N6997" i="11"/>
  <c r="K6997" i="11"/>
  <c r="I6997" i="11"/>
  <c r="N6996" i="11"/>
  <c r="K6996" i="11"/>
  <c r="I6996" i="11"/>
  <c r="N6995" i="11"/>
  <c r="K6995" i="11"/>
  <c r="I6995" i="11"/>
  <c r="N6994" i="11"/>
  <c r="K6994" i="11"/>
  <c r="I6994" i="11"/>
  <c r="N6993" i="11"/>
  <c r="K6993" i="11"/>
  <c r="I6993" i="11"/>
  <c r="N6992" i="11"/>
  <c r="K6992" i="11"/>
  <c r="I6992" i="11"/>
  <c r="N6991" i="11"/>
  <c r="K6991" i="11"/>
  <c r="I6991" i="11"/>
  <c r="N6990" i="11"/>
  <c r="K6990" i="11"/>
  <c r="I6990" i="11"/>
  <c r="N6989" i="11"/>
  <c r="K6989" i="11"/>
  <c r="I6989" i="11"/>
  <c r="N6988" i="11"/>
  <c r="K6988" i="11"/>
  <c r="I6988" i="11"/>
  <c r="N6987" i="11"/>
  <c r="K6987" i="11"/>
  <c r="I6987" i="11"/>
  <c r="N6986" i="11"/>
  <c r="K6986" i="11"/>
  <c r="I6986" i="11"/>
  <c r="N6985" i="11"/>
  <c r="K6985" i="11"/>
  <c r="I6985" i="11"/>
  <c r="N6984" i="11"/>
  <c r="K6984" i="11"/>
  <c r="I6984" i="11"/>
  <c r="N6983" i="11"/>
  <c r="K6983" i="11"/>
  <c r="I6983" i="11"/>
  <c r="N6982" i="11"/>
  <c r="K6982" i="11"/>
  <c r="I6982" i="11"/>
  <c r="N6981" i="11"/>
  <c r="K6981" i="11"/>
  <c r="I6981" i="11"/>
  <c r="N6980" i="11"/>
  <c r="K6980" i="11"/>
  <c r="I6980" i="11"/>
  <c r="N6979" i="11"/>
  <c r="K6979" i="11"/>
  <c r="I6979" i="11"/>
  <c r="N6978" i="11"/>
  <c r="K6978" i="11"/>
  <c r="I6978" i="11"/>
  <c r="N6977" i="11"/>
  <c r="K6977" i="11"/>
  <c r="I6977" i="11"/>
  <c r="N6976" i="11"/>
  <c r="K6976" i="11"/>
  <c r="I6976" i="11"/>
  <c r="N6975" i="11"/>
  <c r="K6975" i="11"/>
  <c r="I6975" i="11"/>
  <c r="N6974" i="11"/>
  <c r="K6974" i="11"/>
  <c r="I6974" i="11"/>
  <c r="N6973" i="11"/>
  <c r="K6973" i="11"/>
  <c r="I6973" i="11"/>
  <c r="N6972" i="11"/>
  <c r="K6972" i="11"/>
  <c r="I6972" i="11"/>
  <c r="N6971" i="11"/>
  <c r="K6971" i="11"/>
  <c r="I6971" i="11"/>
  <c r="N6970" i="11"/>
  <c r="K6970" i="11"/>
  <c r="I6970" i="11"/>
  <c r="N6969" i="11"/>
  <c r="K6969" i="11"/>
  <c r="I6969" i="11"/>
  <c r="N6968" i="11"/>
  <c r="K6968" i="11"/>
  <c r="I6968" i="11"/>
  <c r="N6967" i="11"/>
  <c r="K6967" i="11"/>
  <c r="I6967" i="11"/>
  <c r="N6966" i="11"/>
  <c r="K6966" i="11"/>
  <c r="I6966" i="11"/>
  <c r="N6965" i="11"/>
  <c r="K6965" i="11"/>
  <c r="I6965" i="11"/>
  <c r="N6964" i="11"/>
  <c r="K6964" i="11"/>
  <c r="I6964" i="11"/>
  <c r="N6963" i="11"/>
  <c r="K6963" i="11"/>
  <c r="I6963" i="11"/>
  <c r="N6962" i="11"/>
  <c r="K6962" i="11"/>
  <c r="I6962" i="11"/>
  <c r="N6961" i="11"/>
  <c r="K6961" i="11"/>
  <c r="I6961" i="11"/>
  <c r="N6960" i="11"/>
  <c r="K6960" i="11"/>
  <c r="I6960" i="11"/>
  <c r="N6959" i="11"/>
  <c r="K6959" i="11"/>
  <c r="I6959" i="11"/>
  <c r="N6958" i="11"/>
  <c r="K6958" i="11"/>
  <c r="I6958" i="11"/>
  <c r="N6957" i="11"/>
  <c r="K6957" i="11"/>
  <c r="I6957" i="11"/>
  <c r="N6956" i="11"/>
  <c r="K6956" i="11"/>
  <c r="I6956" i="11"/>
  <c r="N6955" i="11"/>
  <c r="K6955" i="11"/>
  <c r="I6955" i="11"/>
  <c r="N6954" i="11"/>
  <c r="K6954" i="11"/>
  <c r="I6954" i="11"/>
  <c r="N6953" i="11"/>
  <c r="K6953" i="11"/>
  <c r="I6953" i="11"/>
  <c r="N6952" i="11"/>
  <c r="K6952" i="11"/>
  <c r="I6952" i="11"/>
  <c r="N6951" i="11"/>
  <c r="K6951" i="11"/>
  <c r="I6951" i="11"/>
  <c r="N6950" i="11"/>
  <c r="K6950" i="11"/>
  <c r="I6950" i="11"/>
  <c r="N6949" i="11"/>
  <c r="K6949" i="11"/>
  <c r="I6949" i="11"/>
  <c r="N6948" i="11"/>
  <c r="K6948" i="11"/>
  <c r="I6948" i="11"/>
  <c r="N6947" i="11"/>
  <c r="K6947" i="11"/>
  <c r="I6947" i="11"/>
  <c r="N6946" i="11"/>
  <c r="K6946" i="11"/>
  <c r="I6946" i="11"/>
  <c r="N6945" i="11"/>
  <c r="K6945" i="11"/>
  <c r="I6945" i="11"/>
  <c r="N6944" i="11"/>
  <c r="K6944" i="11"/>
  <c r="I6944" i="11"/>
  <c r="N6943" i="11"/>
  <c r="K6943" i="11"/>
  <c r="I6943" i="11"/>
  <c r="N6942" i="11"/>
  <c r="K6942" i="11"/>
  <c r="I6942" i="11"/>
  <c r="N6941" i="11"/>
  <c r="K6941" i="11"/>
  <c r="I6941" i="11"/>
  <c r="N6940" i="11"/>
  <c r="K6940" i="11"/>
  <c r="I6940" i="11"/>
  <c r="N6939" i="11"/>
  <c r="K6939" i="11"/>
  <c r="I6939" i="11"/>
  <c r="N6938" i="11"/>
  <c r="K6938" i="11"/>
  <c r="I6938" i="11"/>
  <c r="N6937" i="11"/>
  <c r="K6937" i="11"/>
  <c r="I6937" i="11"/>
  <c r="N6936" i="11"/>
  <c r="K6936" i="11"/>
  <c r="I6936" i="11"/>
  <c r="N6935" i="11"/>
  <c r="K6935" i="11"/>
  <c r="I6935" i="11"/>
  <c r="N6934" i="11"/>
  <c r="K6934" i="11"/>
  <c r="I6934" i="11"/>
  <c r="N6933" i="11"/>
  <c r="K6933" i="11"/>
  <c r="I6933" i="11"/>
  <c r="N6932" i="11"/>
  <c r="K6932" i="11"/>
  <c r="I6932" i="11"/>
  <c r="N6931" i="11"/>
  <c r="K6931" i="11"/>
  <c r="I6931" i="11"/>
  <c r="N6930" i="11"/>
  <c r="K6930" i="11"/>
  <c r="I6930" i="11"/>
  <c r="N6929" i="11"/>
  <c r="K6929" i="11"/>
  <c r="I6929" i="11"/>
  <c r="N6928" i="11"/>
  <c r="K6928" i="11"/>
  <c r="I6928" i="11"/>
  <c r="N6927" i="11"/>
  <c r="K6927" i="11"/>
  <c r="I6927" i="11"/>
  <c r="N6926" i="11"/>
  <c r="K6926" i="11"/>
  <c r="I6926" i="11"/>
  <c r="N6925" i="11"/>
  <c r="K6925" i="11"/>
  <c r="I6925" i="11"/>
  <c r="N6924" i="11"/>
  <c r="K6924" i="11"/>
  <c r="I6924" i="11"/>
  <c r="N6923" i="11"/>
  <c r="K6923" i="11"/>
  <c r="I6923" i="11"/>
  <c r="N6922" i="11"/>
  <c r="K6922" i="11"/>
  <c r="I6922" i="11"/>
  <c r="N6921" i="11"/>
  <c r="K6921" i="11"/>
  <c r="I6921" i="11"/>
  <c r="N6920" i="11"/>
  <c r="K6920" i="11"/>
  <c r="I6920" i="11"/>
  <c r="N6919" i="11"/>
  <c r="K6919" i="11"/>
  <c r="I6919" i="11"/>
  <c r="N6918" i="11"/>
  <c r="K6918" i="11"/>
  <c r="I6918" i="11"/>
  <c r="N6917" i="11"/>
  <c r="K6917" i="11"/>
  <c r="I6917" i="11"/>
  <c r="N6916" i="11"/>
  <c r="K6916" i="11"/>
  <c r="I6916" i="11"/>
  <c r="N6915" i="11"/>
  <c r="K6915" i="11"/>
  <c r="I6915" i="11"/>
  <c r="N6914" i="11"/>
  <c r="K6914" i="11"/>
  <c r="I6914" i="11"/>
  <c r="N6913" i="11"/>
  <c r="K6913" i="11"/>
  <c r="I6913" i="11"/>
  <c r="N6912" i="11"/>
  <c r="K6912" i="11"/>
  <c r="I6912" i="11"/>
  <c r="N6911" i="11"/>
  <c r="K6911" i="11"/>
  <c r="I6911" i="11"/>
  <c r="N6910" i="11"/>
  <c r="K6910" i="11"/>
  <c r="I6910" i="11"/>
  <c r="N6909" i="11"/>
  <c r="K6909" i="11"/>
  <c r="I6909" i="11"/>
  <c r="N6908" i="11"/>
  <c r="K6908" i="11"/>
  <c r="I6908" i="11"/>
  <c r="N6907" i="11"/>
  <c r="K6907" i="11"/>
  <c r="I6907" i="11"/>
  <c r="N6906" i="11"/>
  <c r="K6906" i="11"/>
  <c r="I6906" i="11"/>
  <c r="N6905" i="11"/>
  <c r="K6905" i="11"/>
  <c r="I6905" i="11"/>
  <c r="N6904" i="11"/>
  <c r="K6904" i="11"/>
  <c r="I6904" i="11"/>
  <c r="N6903" i="11"/>
  <c r="K6903" i="11"/>
  <c r="I6903" i="11"/>
  <c r="N6902" i="11"/>
  <c r="K6902" i="11"/>
  <c r="I6902" i="11"/>
  <c r="N6901" i="11"/>
  <c r="K6901" i="11"/>
  <c r="I6901" i="11"/>
  <c r="N6900" i="11"/>
  <c r="K6900" i="11"/>
  <c r="I6900" i="11"/>
  <c r="N6899" i="11"/>
  <c r="K6899" i="11"/>
  <c r="I6899" i="11"/>
  <c r="N6898" i="11"/>
  <c r="K6898" i="11"/>
  <c r="I6898" i="11"/>
  <c r="N6897" i="11"/>
  <c r="K6897" i="11"/>
  <c r="I6897" i="11"/>
  <c r="N6896" i="11"/>
  <c r="K6896" i="11"/>
  <c r="I6896" i="11"/>
  <c r="N6895" i="11"/>
  <c r="K6895" i="11"/>
  <c r="I6895" i="11"/>
  <c r="N6894" i="11"/>
  <c r="K6894" i="11"/>
  <c r="I6894" i="11"/>
  <c r="N6893" i="11"/>
  <c r="K6893" i="11"/>
  <c r="I6893" i="11"/>
  <c r="N6892" i="11"/>
  <c r="K6892" i="11"/>
  <c r="I6892" i="11"/>
  <c r="N6891" i="11"/>
  <c r="K6891" i="11"/>
  <c r="I6891" i="11"/>
  <c r="N6890" i="11"/>
  <c r="K6890" i="11"/>
  <c r="I6890" i="11"/>
  <c r="N6889" i="11"/>
  <c r="K6889" i="11"/>
  <c r="I6889" i="11"/>
  <c r="N6888" i="11"/>
  <c r="K6888" i="11"/>
  <c r="I6888" i="11"/>
  <c r="N6887" i="11"/>
  <c r="K6887" i="11"/>
  <c r="I6887" i="11"/>
  <c r="N6886" i="11"/>
  <c r="K6886" i="11"/>
  <c r="I6886" i="11"/>
  <c r="N6885" i="11"/>
  <c r="K6885" i="11"/>
  <c r="I6885" i="11"/>
  <c r="N6884" i="11"/>
  <c r="K6884" i="11"/>
  <c r="I6884" i="11"/>
  <c r="N6883" i="11"/>
  <c r="K6883" i="11"/>
  <c r="I6883" i="11"/>
  <c r="N6882" i="11"/>
  <c r="K6882" i="11"/>
  <c r="I6882" i="11"/>
  <c r="N6881" i="11"/>
  <c r="K6881" i="11"/>
  <c r="I6881" i="11"/>
  <c r="N6880" i="11"/>
  <c r="K6880" i="11"/>
  <c r="I6880" i="11"/>
  <c r="N6879" i="11"/>
  <c r="K6879" i="11"/>
  <c r="I6879" i="11"/>
  <c r="N6878" i="11"/>
  <c r="K6878" i="11"/>
  <c r="I6878" i="11"/>
  <c r="N6877" i="11"/>
  <c r="K6877" i="11"/>
  <c r="I6877" i="11"/>
  <c r="N6876" i="11"/>
  <c r="K6876" i="11"/>
  <c r="I6876" i="11"/>
  <c r="N6875" i="11"/>
  <c r="K6875" i="11"/>
  <c r="I6875" i="11"/>
  <c r="N6874" i="11"/>
  <c r="K6874" i="11"/>
  <c r="I6874" i="11"/>
  <c r="N6873" i="11"/>
  <c r="K6873" i="11"/>
  <c r="I6873" i="11"/>
  <c r="N6872" i="11"/>
  <c r="K6872" i="11"/>
  <c r="I6872" i="11"/>
  <c r="N6871" i="11"/>
  <c r="K6871" i="11"/>
  <c r="I6871" i="11"/>
  <c r="N6870" i="11"/>
  <c r="K6870" i="11"/>
  <c r="I6870" i="11"/>
  <c r="N6869" i="11"/>
  <c r="K6869" i="11"/>
  <c r="I6869" i="11"/>
  <c r="N6868" i="11"/>
  <c r="K6868" i="11"/>
  <c r="I6868" i="11"/>
  <c r="N6867" i="11"/>
  <c r="K6867" i="11"/>
  <c r="I6867" i="11"/>
  <c r="N6866" i="11"/>
  <c r="K6866" i="11"/>
  <c r="I6866" i="11"/>
  <c r="N6865" i="11"/>
  <c r="K6865" i="11"/>
  <c r="I6865" i="11"/>
  <c r="N6864" i="11"/>
  <c r="K6864" i="11"/>
  <c r="I6864" i="11"/>
  <c r="N6863" i="11"/>
  <c r="K6863" i="11"/>
  <c r="I6863" i="11"/>
  <c r="N6862" i="11"/>
  <c r="K6862" i="11"/>
  <c r="I6862" i="11"/>
  <c r="N6861" i="11"/>
  <c r="K6861" i="11"/>
  <c r="I6861" i="11"/>
  <c r="N6860" i="11"/>
  <c r="K6860" i="11"/>
  <c r="I6860" i="11"/>
  <c r="N6859" i="11"/>
  <c r="K6859" i="11"/>
  <c r="I6859" i="11"/>
  <c r="N6858" i="11"/>
  <c r="K6858" i="11"/>
  <c r="I6858" i="11"/>
  <c r="N6857" i="11"/>
  <c r="K6857" i="11"/>
  <c r="I6857" i="11"/>
  <c r="N6856" i="11"/>
  <c r="K6856" i="11"/>
  <c r="I6856" i="11"/>
  <c r="N6855" i="11"/>
  <c r="K6855" i="11"/>
  <c r="I6855" i="11"/>
  <c r="N6854" i="11"/>
  <c r="K6854" i="11"/>
  <c r="I6854" i="11"/>
  <c r="N6853" i="11"/>
  <c r="K6853" i="11"/>
  <c r="I6853" i="11"/>
  <c r="N6852" i="11"/>
  <c r="K6852" i="11"/>
  <c r="I6852" i="11"/>
  <c r="N6851" i="11"/>
  <c r="K6851" i="11"/>
  <c r="I6851" i="11"/>
  <c r="N6850" i="11"/>
  <c r="K6850" i="11"/>
  <c r="I6850" i="11"/>
  <c r="N6849" i="11"/>
  <c r="K6849" i="11"/>
  <c r="I6849" i="11"/>
  <c r="N6848" i="11"/>
  <c r="K6848" i="11"/>
  <c r="I6848" i="11"/>
  <c r="N6847" i="11"/>
  <c r="K6847" i="11"/>
  <c r="I6847" i="11"/>
  <c r="N6846" i="11"/>
  <c r="K6846" i="11"/>
  <c r="I6846" i="11"/>
  <c r="N6845" i="11"/>
  <c r="K6845" i="11"/>
  <c r="I6845" i="11"/>
  <c r="N6844" i="11"/>
  <c r="K6844" i="11"/>
  <c r="I6844" i="11"/>
  <c r="N6843" i="11"/>
  <c r="K6843" i="11"/>
  <c r="I6843" i="11"/>
  <c r="N6842" i="11"/>
  <c r="K6842" i="11"/>
  <c r="I6842" i="11"/>
  <c r="N6841" i="11"/>
  <c r="K6841" i="11"/>
  <c r="I6841" i="11"/>
  <c r="N6840" i="11"/>
  <c r="K6840" i="11"/>
  <c r="I6840" i="11"/>
  <c r="N6839" i="11"/>
  <c r="K6839" i="11"/>
  <c r="I6839" i="11"/>
  <c r="N6838" i="11"/>
  <c r="K6838" i="11"/>
  <c r="I6838" i="11"/>
  <c r="N6837" i="11"/>
  <c r="K6837" i="11"/>
  <c r="I6837" i="11"/>
  <c r="N6836" i="11"/>
  <c r="K6836" i="11"/>
  <c r="I6836" i="11"/>
  <c r="N6835" i="11"/>
  <c r="K6835" i="11"/>
  <c r="I6835" i="11"/>
  <c r="N6834" i="11"/>
  <c r="K6834" i="11"/>
  <c r="I6834" i="11"/>
  <c r="N6833" i="11"/>
  <c r="K6833" i="11"/>
  <c r="I6833" i="11"/>
  <c r="N6832" i="11"/>
  <c r="K6832" i="11"/>
  <c r="I6832" i="11"/>
  <c r="N6831" i="11"/>
  <c r="K6831" i="11"/>
  <c r="I6831" i="11"/>
  <c r="N6830" i="11"/>
  <c r="K6830" i="11"/>
  <c r="I6830" i="11"/>
  <c r="N6829" i="11"/>
  <c r="K6829" i="11"/>
  <c r="I6829" i="11"/>
  <c r="N6828" i="11"/>
  <c r="K6828" i="11"/>
  <c r="I6828" i="11"/>
  <c r="N6827" i="11"/>
  <c r="K6827" i="11"/>
  <c r="I6827" i="11"/>
  <c r="N6826" i="11"/>
  <c r="K6826" i="11"/>
  <c r="I6826" i="11"/>
  <c r="N6825" i="11"/>
  <c r="K6825" i="11"/>
  <c r="I6825" i="11"/>
  <c r="N6824" i="11"/>
  <c r="K6824" i="11"/>
  <c r="I6824" i="11"/>
  <c r="N6823" i="11"/>
  <c r="K6823" i="11"/>
  <c r="I6823" i="11"/>
  <c r="N6822" i="11"/>
  <c r="K6822" i="11"/>
  <c r="I6822" i="11"/>
  <c r="N6821" i="11"/>
  <c r="K6821" i="11"/>
  <c r="I6821" i="11"/>
  <c r="N6820" i="11"/>
  <c r="K6820" i="11"/>
  <c r="I6820" i="11"/>
  <c r="N6819" i="11"/>
  <c r="K6819" i="11"/>
  <c r="I6819" i="11"/>
  <c r="N6818" i="11"/>
  <c r="K6818" i="11"/>
  <c r="I6818" i="11"/>
  <c r="N6817" i="11"/>
  <c r="K6817" i="11"/>
  <c r="I6817" i="11"/>
  <c r="N6816" i="11"/>
  <c r="K6816" i="11"/>
  <c r="I6816" i="11"/>
  <c r="N6815" i="11"/>
  <c r="K6815" i="11"/>
  <c r="I6815" i="11"/>
  <c r="N6814" i="11"/>
  <c r="K6814" i="11"/>
  <c r="I6814" i="11"/>
  <c r="N6813" i="11"/>
  <c r="K6813" i="11"/>
  <c r="I6813" i="11"/>
  <c r="N6812" i="11"/>
  <c r="K6812" i="11"/>
  <c r="I6812" i="11"/>
  <c r="N6811" i="11"/>
  <c r="K6811" i="11"/>
  <c r="I6811" i="11"/>
  <c r="N6810" i="11"/>
  <c r="K6810" i="11"/>
  <c r="I6810" i="11"/>
  <c r="N6809" i="11"/>
  <c r="K6809" i="11"/>
  <c r="I6809" i="11"/>
  <c r="N6808" i="11"/>
  <c r="K6808" i="11"/>
  <c r="I6808" i="11"/>
  <c r="N6807" i="11"/>
  <c r="K6807" i="11"/>
  <c r="I6807" i="11"/>
  <c r="N6806" i="11"/>
  <c r="K6806" i="11"/>
  <c r="I6806" i="11"/>
  <c r="N6805" i="11"/>
  <c r="K6805" i="11"/>
  <c r="I6805" i="11"/>
  <c r="N6804" i="11"/>
  <c r="K6804" i="11"/>
  <c r="I6804" i="11"/>
  <c r="N6803" i="11"/>
  <c r="K6803" i="11"/>
  <c r="I6803" i="11"/>
  <c r="N6802" i="11"/>
  <c r="K6802" i="11"/>
  <c r="I6802" i="11"/>
  <c r="N6801" i="11"/>
  <c r="K6801" i="11"/>
  <c r="I6801" i="11"/>
  <c r="N6800" i="11"/>
  <c r="K6800" i="11"/>
  <c r="I6800" i="11"/>
  <c r="N6799" i="11"/>
  <c r="K6799" i="11"/>
  <c r="I6799" i="11"/>
  <c r="N6798" i="11"/>
  <c r="K6798" i="11"/>
  <c r="I6798" i="11"/>
  <c r="N6797" i="11"/>
  <c r="K6797" i="11"/>
  <c r="I6797" i="11"/>
  <c r="N6796" i="11"/>
  <c r="K6796" i="11"/>
  <c r="I6796" i="11"/>
  <c r="N6795" i="11"/>
  <c r="K6795" i="11"/>
  <c r="I6795" i="11"/>
  <c r="N6794" i="11"/>
  <c r="K6794" i="11"/>
  <c r="I6794" i="11"/>
  <c r="N6793" i="11"/>
  <c r="K6793" i="11"/>
  <c r="I6793" i="11"/>
  <c r="N6792" i="11"/>
  <c r="K6792" i="11"/>
  <c r="I6792" i="11"/>
  <c r="N6791" i="11"/>
  <c r="K6791" i="11"/>
  <c r="I6791" i="11"/>
  <c r="N6790" i="11"/>
  <c r="K6790" i="11"/>
  <c r="I6790" i="11"/>
  <c r="N6789" i="11"/>
  <c r="K6789" i="11"/>
  <c r="I6789" i="11"/>
  <c r="N6788" i="11"/>
  <c r="K6788" i="11"/>
  <c r="I6788" i="11"/>
  <c r="N6787" i="11"/>
  <c r="K6787" i="11"/>
  <c r="I6787" i="11"/>
  <c r="N6786" i="11"/>
  <c r="K6786" i="11"/>
  <c r="I6786" i="11"/>
  <c r="N6785" i="11"/>
  <c r="K6785" i="11"/>
  <c r="I6785" i="11"/>
  <c r="N6784" i="11"/>
  <c r="K6784" i="11"/>
  <c r="I6784" i="11"/>
  <c r="N6783" i="11"/>
  <c r="K6783" i="11"/>
  <c r="I6783" i="11"/>
  <c r="N6782" i="11"/>
  <c r="K6782" i="11"/>
  <c r="I6782" i="11"/>
  <c r="N6781" i="11"/>
  <c r="K6781" i="11"/>
  <c r="I6781" i="11"/>
  <c r="N6780" i="11"/>
  <c r="K6780" i="11"/>
  <c r="I6780" i="11"/>
  <c r="N6779" i="11"/>
  <c r="K6779" i="11"/>
  <c r="I6779" i="11"/>
  <c r="N6778" i="11"/>
  <c r="K6778" i="11"/>
  <c r="I6778" i="11"/>
  <c r="N6777" i="11"/>
  <c r="K6777" i="11"/>
  <c r="I6777" i="11"/>
  <c r="N6776" i="11"/>
  <c r="K6776" i="11"/>
  <c r="I6776" i="11"/>
  <c r="N6775" i="11"/>
  <c r="K6775" i="11"/>
  <c r="I6775" i="11"/>
  <c r="N6774" i="11"/>
  <c r="K6774" i="11"/>
  <c r="I6774" i="11"/>
  <c r="N6773" i="11"/>
  <c r="K6773" i="11"/>
  <c r="I6773" i="11"/>
  <c r="N6772" i="11"/>
  <c r="K6772" i="11"/>
  <c r="I6772" i="11"/>
  <c r="N6771" i="11"/>
  <c r="K6771" i="11"/>
  <c r="I6771" i="11"/>
  <c r="N6770" i="11"/>
  <c r="K6770" i="11"/>
  <c r="I6770" i="11"/>
  <c r="N6769" i="11"/>
  <c r="K6769" i="11"/>
  <c r="I6769" i="11"/>
  <c r="N6768" i="11"/>
  <c r="K6768" i="11"/>
  <c r="I6768" i="11"/>
  <c r="N6767" i="11"/>
  <c r="K6767" i="11"/>
  <c r="I6767" i="11"/>
  <c r="N6766" i="11"/>
  <c r="K6766" i="11"/>
  <c r="I6766" i="11"/>
  <c r="N6765" i="11"/>
  <c r="K6765" i="11"/>
  <c r="I6765" i="11"/>
  <c r="N6764" i="11"/>
  <c r="K6764" i="11"/>
  <c r="I6764" i="11"/>
  <c r="N6763" i="11"/>
  <c r="K6763" i="11"/>
  <c r="I6763" i="11"/>
  <c r="N6762" i="11"/>
  <c r="K6762" i="11"/>
  <c r="I6762" i="11"/>
  <c r="N6761" i="11"/>
  <c r="K6761" i="11"/>
  <c r="I6761" i="11"/>
  <c r="N6760" i="11"/>
  <c r="K6760" i="11"/>
  <c r="I6760" i="11"/>
  <c r="N6759" i="11"/>
  <c r="K6759" i="11"/>
  <c r="I6759" i="11"/>
  <c r="N6758" i="11"/>
  <c r="K6758" i="11"/>
  <c r="I6758" i="11"/>
  <c r="N6757" i="11"/>
  <c r="K6757" i="11"/>
  <c r="I6757" i="11"/>
  <c r="N6756" i="11"/>
  <c r="K6756" i="11"/>
  <c r="I6756" i="11"/>
  <c r="N6755" i="11"/>
  <c r="K6755" i="11"/>
  <c r="I6755" i="11"/>
  <c r="N6754" i="11"/>
  <c r="K6754" i="11"/>
  <c r="I6754" i="11"/>
  <c r="N6753" i="11"/>
  <c r="K6753" i="11"/>
  <c r="I6753" i="11"/>
  <c r="N6752" i="11"/>
  <c r="K6752" i="11"/>
  <c r="I6752" i="11"/>
  <c r="N6751" i="11"/>
  <c r="K6751" i="11"/>
  <c r="I6751" i="11"/>
  <c r="N6750" i="11"/>
  <c r="K6750" i="11"/>
  <c r="I6750" i="11"/>
  <c r="N6749" i="11"/>
  <c r="K6749" i="11"/>
  <c r="I6749" i="11"/>
  <c r="N6748" i="11"/>
  <c r="K6748" i="11"/>
  <c r="I6748" i="11"/>
  <c r="N6747" i="11"/>
  <c r="K6747" i="11"/>
  <c r="I6747" i="11"/>
  <c r="N6746" i="11"/>
  <c r="K6746" i="11"/>
  <c r="I6746" i="11"/>
  <c r="N6745" i="11"/>
  <c r="K6745" i="11"/>
  <c r="I6745" i="11"/>
  <c r="N6744" i="11"/>
  <c r="K6744" i="11"/>
  <c r="I6744" i="11"/>
  <c r="N6743" i="11"/>
  <c r="K6743" i="11"/>
  <c r="I6743" i="11"/>
  <c r="N6742" i="11"/>
  <c r="K6742" i="11"/>
  <c r="I6742" i="11"/>
  <c r="N6741" i="11"/>
  <c r="K6741" i="11"/>
  <c r="I6741" i="11"/>
  <c r="N6740" i="11"/>
  <c r="K6740" i="11"/>
  <c r="I6740" i="11"/>
  <c r="N6739" i="11"/>
  <c r="K6739" i="11"/>
  <c r="I6739" i="11"/>
  <c r="N6738" i="11"/>
  <c r="K6738" i="11"/>
  <c r="I6738" i="11"/>
  <c r="N6737" i="11"/>
  <c r="K6737" i="11"/>
  <c r="I6737" i="11"/>
  <c r="N6736" i="11"/>
  <c r="K6736" i="11"/>
  <c r="I6736" i="11"/>
  <c r="N6735" i="11"/>
  <c r="K6735" i="11"/>
  <c r="I6735" i="11"/>
  <c r="N6734" i="11"/>
  <c r="K6734" i="11"/>
  <c r="I6734" i="11"/>
  <c r="N6733" i="11"/>
  <c r="K6733" i="11"/>
  <c r="I6733" i="11"/>
  <c r="N6732" i="11"/>
  <c r="K6732" i="11"/>
  <c r="I6732" i="11"/>
  <c r="N6731" i="11"/>
  <c r="K6731" i="11"/>
  <c r="I6731" i="11"/>
  <c r="N6730" i="11"/>
  <c r="K6730" i="11"/>
  <c r="I6730" i="11"/>
  <c r="N6729" i="11"/>
  <c r="K6729" i="11"/>
  <c r="I6729" i="11"/>
  <c r="N6728" i="11"/>
  <c r="K6728" i="11"/>
  <c r="I6728" i="11"/>
  <c r="N6727" i="11"/>
  <c r="K6727" i="11"/>
  <c r="I6727" i="11"/>
  <c r="N6726" i="11"/>
  <c r="K6726" i="11"/>
  <c r="I6726" i="11"/>
  <c r="N6725" i="11"/>
  <c r="K6725" i="11"/>
  <c r="I6725" i="11"/>
  <c r="N6724" i="11"/>
  <c r="K6724" i="11"/>
  <c r="I6724" i="11"/>
  <c r="N6723" i="11"/>
  <c r="K6723" i="11"/>
  <c r="I6723" i="11"/>
  <c r="N6722" i="11"/>
  <c r="K6722" i="11"/>
  <c r="I6722" i="11"/>
  <c r="N6721" i="11"/>
  <c r="K6721" i="11"/>
  <c r="I6721" i="11"/>
  <c r="N6720" i="11"/>
  <c r="K6720" i="11"/>
  <c r="I6720" i="11"/>
  <c r="N6719" i="11"/>
  <c r="K6719" i="11"/>
  <c r="I6719" i="11"/>
  <c r="N6718" i="11"/>
  <c r="K6718" i="11"/>
  <c r="I6718" i="11"/>
  <c r="N6717" i="11"/>
  <c r="K6717" i="11"/>
  <c r="I6717" i="11"/>
  <c r="N6716" i="11"/>
  <c r="K6716" i="11"/>
  <c r="I6716" i="11"/>
  <c r="N6715" i="11"/>
  <c r="K6715" i="11"/>
  <c r="I6715" i="11"/>
  <c r="N6714" i="11"/>
  <c r="K6714" i="11"/>
  <c r="I6714" i="11"/>
  <c r="N6713" i="11"/>
  <c r="K6713" i="11"/>
  <c r="I6713" i="11"/>
  <c r="N6712" i="11"/>
  <c r="K6712" i="11"/>
  <c r="I6712" i="11"/>
  <c r="N6711" i="11"/>
  <c r="K6711" i="11"/>
  <c r="I6711" i="11"/>
  <c r="N6710" i="11"/>
  <c r="K6710" i="11"/>
  <c r="I6710" i="11"/>
  <c r="N6709" i="11"/>
  <c r="K6709" i="11"/>
  <c r="I6709" i="11"/>
  <c r="N6708" i="11"/>
  <c r="K6708" i="11"/>
  <c r="I6708" i="11"/>
  <c r="N6707" i="11"/>
  <c r="K6707" i="11"/>
  <c r="I6707" i="11"/>
  <c r="N6706" i="11"/>
  <c r="K6706" i="11"/>
  <c r="I6706" i="11"/>
  <c r="N6705" i="11"/>
  <c r="K6705" i="11"/>
  <c r="I6705" i="11"/>
  <c r="N6704" i="11"/>
  <c r="K6704" i="11"/>
  <c r="I6704" i="11"/>
  <c r="N6703" i="11"/>
  <c r="K6703" i="11"/>
  <c r="I6703" i="11"/>
  <c r="N6702" i="11"/>
  <c r="K6702" i="11"/>
  <c r="I6702" i="11"/>
  <c r="N6701" i="11"/>
  <c r="K6701" i="11"/>
  <c r="I6701" i="11"/>
  <c r="N6700" i="11"/>
  <c r="K6700" i="11"/>
  <c r="I6700" i="11"/>
  <c r="N6699" i="11"/>
  <c r="K6699" i="11"/>
  <c r="I6699" i="11"/>
  <c r="N6698" i="11"/>
  <c r="K6698" i="11"/>
  <c r="I6698" i="11"/>
  <c r="N6697" i="11"/>
  <c r="K6697" i="11"/>
  <c r="I6697" i="11"/>
  <c r="N6696" i="11"/>
  <c r="K6696" i="11"/>
  <c r="I6696" i="11"/>
  <c r="N6695" i="11"/>
  <c r="K6695" i="11"/>
  <c r="I6695" i="11"/>
  <c r="N6694" i="11"/>
  <c r="K6694" i="11"/>
  <c r="I6694" i="11"/>
  <c r="N6693" i="11"/>
  <c r="K6693" i="11"/>
  <c r="I6693" i="11"/>
  <c r="N6692" i="11"/>
  <c r="K6692" i="11"/>
  <c r="I6692" i="11"/>
  <c r="N6691" i="11"/>
  <c r="K6691" i="11"/>
  <c r="I6691" i="11"/>
  <c r="N6690" i="11"/>
  <c r="K6690" i="11"/>
  <c r="I6690" i="11"/>
  <c r="N6689" i="11"/>
  <c r="K6689" i="11"/>
  <c r="I6689" i="11"/>
  <c r="N6688" i="11"/>
  <c r="K6688" i="11"/>
  <c r="I6688" i="11"/>
  <c r="N6687" i="11"/>
  <c r="K6687" i="11"/>
  <c r="I6687" i="11"/>
  <c r="N6686" i="11"/>
  <c r="K6686" i="11"/>
  <c r="I6686" i="11"/>
  <c r="N6685" i="11"/>
  <c r="K6685" i="11"/>
  <c r="I6685" i="11"/>
  <c r="N6684" i="11"/>
  <c r="K6684" i="11"/>
  <c r="I6684" i="11"/>
  <c r="N6683" i="11"/>
  <c r="K6683" i="11"/>
  <c r="I6683" i="11"/>
  <c r="N6682" i="11"/>
  <c r="K6682" i="11"/>
  <c r="I6682" i="11"/>
  <c r="N6681" i="11"/>
  <c r="K6681" i="11"/>
  <c r="I6681" i="11"/>
  <c r="N6680" i="11"/>
  <c r="K6680" i="11"/>
  <c r="I6680" i="11"/>
  <c r="N6679" i="11"/>
  <c r="K6679" i="11"/>
  <c r="I6679" i="11"/>
  <c r="N6678" i="11"/>
  <c r="K6678" i="11"/>
  <c r="I6678" i="11"/>
  <c r="N6677" i="11"/>
  <c r="K6677" i="11"/>
  <c r="I6677" i="11"/>
  <c r="N6676" i="11"/>
  <c r="K6676" i="11"/>
  <c r="I6676" i="11"/>
  <c r="N6675" i="11"/>
  <c r="K6675" i="11"/>
  <c r="I6675" i="11"/>
  <c r="N6674" i="11"/>
  <c r="K6674" i="11"/>
  <c r="I6674" i="11"/>
  <c r="N6673" i="11"/>
  <c r="K6673" i="11"/>
  <c r="I6673" i="11"/>
  <c r="N6672" i="11"/>
  <c r="K6672" i="11"/>
  <c r="I6672" i="11"/>
  <c r="N6671" i="11"/>
  <c r="K6671" i="11"/>
  <c r="I6671" i="11"/>
  <c r="N6670" i="11"/>
  <c r="K6670" i="11"/>
  <c r="I6670" i="11"/>
  <c r="N6669" i="11"/>
  <c r="K6669" i="11"/>
  <c r="I6669" i="11"/>
  <c r="N6668" i="11"/>
  <c r="K6668" i="11"/>
  <c r="I6668" i="11"/>
  <c r="N6667" i="11"/>
  <c r="K6667" i="11"/>
  <c r="I6667" i="11"/>
  <c r="N6666" i="11"/>
  <c r="K6666" i="11"/>
  <c r="I6666" i="11"/>
  <c r="N6665" i="11"/>
  <c r="K6665" i="11"/>
  <c r="I6665" i="11"/>
  <c r="N6664" i="11"/>
  <c r="K6664" i="11"/>
  <c r="I6664" i="11"/>
  <c r="N6663" i="11"/>
  <c r="K6663" i="11"/>
  <c r="I6663" i="11"/>
  <c r="N6662" i="11"/>
  <c r="K6662" i="11"/>
  <c r="I6662" i="11"/>
  <c r="N6661" i="11"/>
  <c r="K6661" i="11"/>
  <c r="I6661" i="11"/>
  <c r="N6660" i="11"/>
  <c r="K6660" i="11"/>
  <c r="I6660" i="11"/>
  <c r="N6659" i="11"/>
  <c r="K6659" i="11"/>
  <c r="I6659" i="11"/>
  <c r="N6658" i="11"/>
  <c r="K6658" i="11"/>
  <c r="I6658" i="11"/>
  <c r="N6657" i="11"/>
  <c r="K6657" i="11"/>
  <c r="I6657" i="11"/>
  <c r="N6656" i="11"/>
  <c r="K6656" i="11"/>
  <c r="I6656" i="11"/>
  <c r="N6655" i="11"/>
  <c r="K6655" i="11"/>
  <c r="I6655" i="11"/>
  <c r="N6654" i="11"/>
  <c r="K6654" i="11"/>
  <c r="I6654" i="11"/>
  <c r="N6653" i="11"/>
  <c r="K6653" i="11"/>
  <c r="I6653" i="11"/>
  <c r="N6652" i="11"/>
  <c r="K6652" i="11"/>
  <c r="I6652" i="11"/>
  <c r="N6651" i="11"/>
  <c r="K6651" i="11"/>
  <c r="I6651" i="11"/>
  <c r="N6650" i="11"/>
  <c r="K6650" i="11"/>
  <c r="I6650" i="11"/>
  <c r="N6649" i="11"/>
  <c r="K6649" i="11"/>
  <c r="I6649" i="11"/>
  <c r="N6648" i="11"/>
  <c r="K6648" i="11"/>
  <c r="I6648" i="11"/>
  <c r="N6647" i="11"/>
  <c r="K6647" i="11"/>
  <c r="I6647" i="11"/>
  <c r="N6646" i="11"/>
  <c r="K6646" i="11"/>
  <c r="I6646" i="11"/>
  <c r="N6645" i="11"/>
  <c r="K6645" i="11"/>
  <c r="I6645" i="11"/>
  <c r="N6644" i="11"/>
  <c r="K6644" i="11"/>
  <c r="I6644" i="11"/>
  <c r="N6643" i="11"/>
  <c r="K6643" i="11"/>
  <c r="I6643" i="11"/>
  <c r="N6642" i="11"/>
  <c r="K6642" i="11"/>
  <c r="I6642" i="11"/>
  <c r="N6641" i="11"/>
  <c r="K6641" i="11"/>
  <c r="I6641" i="11"/>
  <c r="N6640" i="11"/>
  <c r="K6640" i="11"/>
  <c r="I6640" i="11"/>
  <c r="N6639" i="11"/>
  <c r="K6639" i="11"/>
  <c r="I6639" i="11"/>
  <c r="N6638" i="11"/>
  <c r="K6638" i="11"/>
  <c r="I6638" i="11"/>
  <c r="N6637" i="11"/>
  <c r="K6637" i="11"/>
  <c r="I6637" i="11"/>
  <c r="N6636" i="11"/>
  <c r="K6636" i="11"/>
  <c r="I6636" i="11"/>
  <c r="N6635" i="11"/>
  <c r="K6635" i="11"/>
  <c r="I6635" i="11"/>
  <c r="N6634" i="11"/>
  <c r="K6634" i="11"/>
  <c r="I6634" i="11"/>
  <c r="N6633" i="11"/>
  <c r="K6633" i="11"/>
  <c r="I6633" i="11"/>
  <c r="N6632" i="11"/>
  <c r="K6632" i="11"/>
  <c r="I6632" i="11"/>
  <c r="N6631" i="11"/>
  <c r="K6631" i="11"/>
  <c r="I6631" i="11"/>
  <c r="N6630" i="11"/>
  <c r="K6630" i="11"/>
  <c r="I6630" i="11"/>
  <c r="N6629" i="11"/>
  <c r="K6629" i="11"/>
  <c r="I6629" i="11"/>
  <c r="N6628" i="11"/>
  <c r="K6628" i="11"/>
  <c r="I6628" i="11"/>
  <c r="N6627" i="11"/>
  <c r="K6627" i="11"/>
  <c r="I6627" i="11"/>
  <c r="N6626" i="11"/>
  <c r="K6626" i="11"/>
  <c r="I6626" i="11"/>
  <c r="N6625" i="11"/>
  <c r="K6625" i="11"/>
  <c r="I6625" i="11"/>
  <c r="N6624" i="11"/>
  <c r="K6624" i="11"/>
  <c r="I6624" i="11"/>
  <c r="N6623" i="11"/>
  <c r="K6623" i="11"/>
  <c r="I6623" i="11"/>
  <c r="N6622" i="11"/>
  <c r="K6622" i="11"/>
  <c r="I6622" i="11"/>
  <c r="N6621" i="11"/>
  <c r="K6621" i="11"/>
  <c r="I6621" i="11"/>
  <c r="N6620" i="11"/>
  <c r="K6620" i="11"/>
  <c r="I6620" i="11"/>
  <c r="N6619" i="11"/>
  <c r="K6619" i="11"/>
  <c r="I6619" i="11"/>
  <c r="N6618" i="11"/>
  <c r="K6618" i="11"/>
  <c r="I6618" i="11"/>
  <c r="N6617" i="11"/>
  <c r="K6617" i="11"/>
  <c r="I6617" i="11"/>
  <c r="N6616" i="11"/>
  <c r="K6616" i="11"/>
  <c r="I6616" i="11"/>
  <c r="N6615" i="11"/>
  <c r="K6615" i="11"/>
  <c r="I6615" i="11"/>
  <c r="N6614" i="11"/>
  <c r="K6614" i="11"/>
  <c r="I6614" i="11"/>
  <c r="N6613" i="11"/>
  <c r="K6613" i="11"/>
  <c r="I6613" i="11"/>
  <c r="N6612" i="11"/>
  <c r="K6612" i="11"/>
  <c r="I6612" i="11"/>
  <c r="N6611" i="11"/>
  <c r="K6611" i="11"/>
  <c r="I6611" i="11"/>
  <c r="N6610" i="11"/>
  <c r="K6610" i="11"/>
  <c r="I6610" i="11"/>
  <c r="N6609" i="11"/>
  <c r="K6609" i="11"/>
  <c r="I6609" i="11"/>
  <c r="N6608" i="11"/>
  <c r="K6608" i="11"/>
  <c r="I6608" i="11"/>
  <c r="N6607" i="11"/>
  <c r="K6607" i="11"/>
  <c r="I6607" i="11"/>
  <c r="N6606" i="11"/>
  <c r="K6606" i="11"/>
  <c r="I6606" i="11"/>
  <c r="N6605" i="11"/>
  <c r="K6605" i="11"/>
  <c r="I6605" i="11"/>
  <c r="N6604" i="11"/>
  <c r="K6604" i="11"/>
  <c r="I6604" i="11"/>
  <c r="N6603" i="11"/>
  <c r="K6603" i="11"/>
  <c r="I6603" i="11"/>
  <c r="N6602" i="11"/>
  <c r="K6602" i="11"/>
  <c r="I6602" i="11"/>
  <c r="D6602" i="11"/>
  <c r="N6601" i="11"/>
  <c r="K6601" i="11"/>
  <c r="I6601" i="11"/>
  <c r="D6601" i="11"/>
  <c r="N6600" i="11"/>
  <c r="K6600" i="11"/>
  <c r="I6600" i="11"/>
  <c r="D6600" i="11"/>
  <c r="N6599" i="11"/>
  <c r="K6599" i="11"/>
  <c r="I6599" i="11"/>
  <c r="D6599" i="11"/>
  <c r="N6598" i="11"/>
  <c r="K6598" i="11"/>
  <c r="I6598" i="11"/>
  <c r="D6598" i="11"/>
  <c r="N6597" i="11"/>
  <c r="K6597" i="11"/>
  <c r="I6597" i="11"/>
  <c r="D6597" i="11"/>
  <c r="N6596" i="11"/>
  <c r="K6596" i="11"/>
  <c r="I6596" i="11"/>
  <c r="D6596" i="11"/>
  <c r="N6595" i="11"/>
  <c r="K6595" i="11"/>
  <c r="I6595" i="11"/>
  <c r="D6595" i="11"/>
  <c r="N6594" i="11"/>
  <c r="K6594" i="11"/>
  <c r="I6594" i="11"/>
  <c r="D6594" i="11"/>
  <c r="N6593" i="11"/>
  <c r="K6593" i="11"/>
  <c r="I6593" i="11"/>
  <c r="D6593" i="11"/>
  <c r="N6592" i="11"/>
  <c r="K6592" i="11"/>
  <c r="I6592" i="11"/>
  <c r="D6592" i="11"/>
  <c r="N6591" i="11"/>
  <c r="K6591" i="11"/>
  <c r="I6591" i="11"/>
  <c r="D6591" i="11"/>
  <c r="N6590" i="11"/>
  <c r="K6590" i="11"/>
  <c r="I6590" i="11"/>
  <c r="D6590" i="11"/>
  <c r="N6589" i="11"/>
  <c r="K6589" i="11"/>
  <c r="I6589" i="11"/>
  <c r="D6589" i="11"/>
  <c r="N6588" i="11"/>
  <c r="K6588" i="11"/>
  <c r="I6588" i="11"/>
  <c r="D6588" i="11"/>
  <c r="N6587" i="11"/>
  <c r="K6587" i="11"/>
  <c r="I6587" i="11"/>
  <c r="D6587" i="11"/>
  <c r="N6586" i="11"/>
  <c r="K6586" i="11"/>
  <c r="I6586" i="11"/>
  <c r="D6586" i="11"/>
  <c r="N6585" i="11"/>
  <c r="K6585" i="11"/>
  <c r="I6585" i="11"/>
  <c r="D6585" i="11"/>
  <c r="N6584" i="11"/>
  <c r="K6584" i="11"/>
  <c r="I6584" i="11"/>
  <c r="D6584" i="11"/>
  <c r="N6583" i="11"/>
  <c r="K6583" i="11"/>
  <c r="I6583" i="11"/>
  <c r="D6583" i="11"/>
  <c r="N6582" i="11"/>
  <c r="K6582" i="11"/>
  <c r="I6582" i="11"/>
  <c r="D6582" i="11"/>
  <c r="N6581" i="11"/>
  <c r="K6581" i="11"/>
  <c r="I6581" i="11"/>
  <c r="D6581" i="11"/>
  <c r="N6580" i="11"/>
  <c r="K6580" i="11"/>
  <c r="I6580" i="11"/>
  <c r="D6580" i="11"/>
  <c r="N6579" i="11"/>
  <c r="K6579" i="11"/>
  <c r="I6579" i="11"/>
  <c r="D6579" i="11"/>
  <c r="N6578" i="11"/>
  <c r="K6578" i="11"/>
  <c r="I6578" i="11"/>
  <c r="D6578" i="11"/>
  <c r="N6577" i="11"/>
  <c r="K6577" i="11"/>
  <c r="I6577" i="11"/>
  <c r="D6577" i="11"/>
  <c r="N6576" i="11"/>
  <c r="K6576" i="11"/>
  <c r="I6576" i="11"/>
  <c r="D6576" i="11"/>
  <c r="N6575" i="11"/>
  <c r="K6575" i="11"/>
  <c r="I6575" i="11"/>
  <c r="D6575" i="11"/>
  <c r="N6574" i="11"/>
  <c r="K6574" i="11"/>
  <c r="I6574" i="11"/>
  <c r="D6574" i="11"/>
  <c r="N6573" i="11"/>
  <c r="K6573" i="11"/>
  <c r="I6573" i="11"/>
  <c r="D6573" i="11"/>
  <c r="N6572" i="11"/>
  <c r="K6572" i="11"/>
  <c r="I6572" i="11"/>
  <c r="D6572" i="11"/>
  <c r="N6571" i="11"/>
  <c r="K6571" i="11"/>
  <c r="I6571" i="11"/>
  <c r="D6571" i="11"/>
  <c r="N6570" i="11"/>
  <c r="K6570" i="11"/>
  <c r="I6570" i="11"/>
  <c r="D6570" i="11"/>
  <c r="N6569" i="11"/>
  <c r="K6569" i="11"/>
  <c r="I6569" i="11"/>
  <c r="D6569" i="11"/>
  <c r="N6568" i="11"/>
  <c r="K6568" i="11"/>
  <c r="I6568" i="11"/>
  <c r="D6568" i="11"/>
  <c r="N6567" i="11"/>
  <c r="K6567" i="11"/>
  <c r="I6567" i="11"/>
  <c r="D6567" i="11"/>
  <c r="N6566" i="11"/>
  <c r="K6566" i="11"/>
  <c r="I6566" i="11"/>
  <c r="D6566" i="11"/>
  <c r="N6565" i="11"/>
  <c r="K6565" i="11"/>
  <c r="I6565" i="11"/>
  <c r="D6565" i="11"/>
  <c r="N6564" i="11"/>
  <c r="K6564" i="11"/>
  <c r="I6564" i="11"/>
  <c r="D6564" i="11"/>
  <c r="N6563" i="11"/>
  <c r="K6563" i="11"/>
  <c r="I6563" i="11"/>
  <c r="D6563" i="11"/>
  <c r="N6562" i="11"/>
  <c r="K6562" i="11"/>
  <c r="I6562" i="11"/>
  <c r="D6562" i="11"/>
  <c r="N6561" i="11"/>
  <c r="K6561" i="11"/>
  <c r="I6561" i="11"/>
  <c r="D6561" i="11"/>
  <c r="N6560" i="11"/>
  <c r="K6560" i="11"/>
  <c r="I6560" i="11"/>
  <c r="D6560" i="11"/>
  <c r="N6559" i="11"/>
  <c r="K6559" i="11"/>
  <c r="I6559" i="11"/>
  <c r="D6559" i="11"/>
  <c r="N6558" i="11"/>
  <c r="K6558" i="11"/>
  <c r="I6558" i="11"/>
  <c r="D6558" i="11"/>
  <c r="N6557" i="11"/>
  <c r="K6557" i="11"/>
  <c r="I6557" i="11"/>
  <c r="D6557" i="11"/>
  <c r="N6556" i="11"/>
  <c r="K6556" i="11"/>
  <c r="I6556" i="11"/>
  <c r="D6556" i="11"/>
  <c r="N6555" i="11"/>
  <c r="K6555" i="11"/>
  <c r="I6555" i="11"/>
  <c r="D6555" i="11"/>
  <c r="N6554" i="11"/>
  <c r="K6554" i="11"/>
  <c r="I6554" i="11"/>
  <c r="D6554" i="11"/>
  <c r="N6553" i="11"/>
  <c r="K6553" i="11"/>
  <c r="I6553" i="11"/>
  <c r="D6553" i="11"/>
  <c r="N6552" i="11"/>
  <c r="K6552" i="11"/>
  <c r="I6552" i="11"/>
  <c r="D6552" i="11"/>
  <c r="N6551" i="11"/>
  <c r="K6551" i="11"/>
  <c r="I6551" i="11"/>
  <c r="D6551" i="11"/>
  <c r="N6550" i="11"/>
  <c r="K6550" i="11"/>
  <c r="I6550" i="11"/>
  <c r="D6550" i="11"/>
  <c r="N6549" i="11"/>
  <c r="K6549" i="11"/>
  <c r="I6549" i="11"/>
  <c r="D6549" i="11"/>
  <c r="N6548" i="11"/>
  <c r="K6548" i="11"/>
  <c r="I6548" i="11"/>
  <c r="D6548" i="11"/>
  <c r="N6547" i="11"/>
  <c r="K6547" i="11"/>
  <c r="I6547" i="11"/>
  <c r="D6547" i="11"/>
  <c r="N6546" i="11"/>
  <c r="K6546" i="11"/>
  <c r="I6546" i="11"/>
  <c r="D6546" i="11"/>
  <c r="N6545" i="11"/>
  <c r="K6545" i="11"/>
  <c r="I6545" i="11"/>
  <c r="D6545" i="11"/>
  <c r="N6544" i="11"/>
  <c r="K6544" i="11"/>
  <c r="I6544" i="11"/>
  <c r="D6544" i="11"/>
  <c r="N6543" i="11"/>
  <c r="K6543" i="11"/>
  <c r="I6543" i="11"/>
  <c r="D6543" i="11"/>
  <c r="N6542" i="11"/>
  <c r="K6542" i="11"/>
  <c r="I6542" i="11"/>
  <c r="D6542" i="11"/>
  <c r="N6541" i="11"/>
  <c r="K6541" i="11"/>
  <c r="I6541" i="11"/>
  <c r="D6541" i="11"/>
  <c r="N6540" i="11"/>
  <c r="K6540" i="11"/>
  <c r="I6540" i="11"/>
  <c r="D6540" i="11"/>
  <c r="N6539" i="11"/>
  <c r="K6539" i="11"/>
  <c r="I6539" i="11"/>
  <c r="D6539" i="11"/>
  <c r="N6538" i="11"/>
  <c r="K6538" i="11"/>
  <c r="I6538" i="11"/>
  <c r="D6538" i="11"/>
  <c r="N6537" i="11"/>
  <c r="K6537" i="11"/>
  <c r="I6537" i="11"/>
  <c r="D6537" i="11"/>
  <c r="N6536" i="11"/>
  <c r="K6536" i="11"/>
  <c r="I6536" i="11"/>
  <c r="D6536" i="11"/>
  <c r="N6535" i="11"/>
  <c r="K6535" i="11"/>
  <c r="I6535" i="11"/>
  <c r="D6535" i="11"/>
  <c r="N6534" i="11"/>
  <c r="K6534" i="11"/>
  <c r="I6534" i="11"/>
  <c r="D6534" i="11"/>
  <c r="N6533" i="11"/>
  <c r="K6533" i="11"/>
  <c r="I6533" i="11"/>
  <c r="D6533" i="11"/>
  <c r="N6532" i="11"/>
  <c r="K6532" i="11"/>
  <c r="I6532" i="11"/>
  <c r="D6532" i="11"/>
  <c r="N6531" i="11"/>
  <c r="K6531" i="11"/>
  <c r="I6531" i="11"/>
  <c r="D6531" i="11"/>
  <c r="N6530" i="11"/>
  <c r="K6530" i="11"/>
  <c r="I6530" i="11"/>
  <c r="D6530" i="11"/>
  <c r="N6529" i="11"/>
  <c r="K6529" i="11"/>
  <c r="I6529" i="11"/>
  <c r="D6529" i="11"/>
  <c r="N6528" i="11"/>
  <c r="K6528" i="11"/>
  <c r="I6528" i="11"/>
  <c r="D6528" i="11"/>
  <c r="N6527" i="11"/>
  <c r="K6527" i="11"/>
  <c r="I6527" i="11"/>
  <c r="D6527" i="11"/>
  <c r="N6526" i="11"/>
  <c r="K6526" i="11"/>
  <c r="I6526" i="11"/>
  <c r="D6526" i="11"/>
  <c r="N6525" i="11"/>
  <c r="K6525" i="11"/>
  <c r="I6525" i="11"/>
  <c r="D6525" i="11"/>
  <c r="N6524" i="11"/>
  <c r="K6524" i="11"/>
  <c r="I6524" i="11"/>
  <c r="D6524" i="11"/>
  <c r="N6523" i="11"/>
  <c r="K6523" i="11"/>
  <c r="I6523" i="11"/>
  <c r="D6523" i="11"/>
  <c r="N6522" i="11"/>
  <c r="K6522" i="11"/>
  <c r="I6522" i="11"/>
  <c r="D6522" i="11"/>
  <c r="N6521" i="11"/>
  <c r="K6521" i="11"/>
  <c r="I6521" i="11"/>
  <c r="D6521" i="11"/>
  <c r="N6520" i="11"/>
  <c r="K6520" i="11"/>
  <c r="I6520" i="11"/>
  <c r="D6520" i="11"/>
  <c r="N6519" i="11"/>
  <c r="K6519" i="11"/>
  <c r="I6519" i="11"/>
  <c r="D6519" i="11"/>
  <c r="N6518" i="11"/>
  <c r="K6518" i="11"/>
  <c r="I6518" i="11"/>
  <c r="D6518" i="11"/>
  <c r="N6517" i="11"/>
  <c r="K6517" i="11"/>
  <c r="I6517" i="11"/>
  <c r="D6517" i="11"/>
  <c r="N6516" i="11"/>
  <c r="K6516" i="11"/>
  <c r="I6516" i="11"/>
  <c r="D6516" i="11"/>
  <c r="N6515" i="11"/>
  <c r="K6515" i="11"/>
  <c r="I6515" i="11"/>
  <c r="D6515" i="11"/>
  <c r="N6514" i="11"/>
  <c r="K6514" i="11"/>
  <c r="I6514" i="11"/>
  <c r="D6514" i="11"/>
  <c r="N6513" i="11"/>
  <c r="K6513" i="11"/>
  <c r="I6513" i="11"/>
  <c r="D6513" i="11"/>
  <c r="N6512" i="11"/>
  <c r="K6512" i="11"/>
  <c r="I6512" i="11"/>
  <c r="D6512" i="11"/>
  <c r="N6511" i="11"/>
  <c r="K6511" i="11"/>
  <c r="I6511" i="11"/>
  <c r="D6511" i="11"/>
  <c r="N6510" i="11"/>
  <c r="K6510" i="11"/>
  <c r="I6510" i="11"/>
  <c r="D6510" i="11"/>
  <c r="N6509" i="11"/>
  <c r="K6509" i="11"/>
  <c r="I6509" i="11"/>
  <c r="D6509" i="11"/>
  <c r="N6508" i="11"/>
  <c r="K6508" i="11"/>
  <c r="I6508" i="11"/>
  <c r="D6508" i="11"/>
  <c r="N6507" i="11"/>
  <c r="K6507" i="11"/>
  <c r="I6507" i="11"/>
  <c r="D6507" i="11"/>
  <c r="N6506" i="11"/>
  <c r="K6506" i="11"/>
  <c r="I6506" i="11"/>
  <c r="D6506" i="11"/>
  <c r="N6505" i="11"/>
  <c r="K6505" i="11"/>
  <c r="I6505" i="11"/>
  <c r="D6505" i="11"/>
  <c r="N6504" i="11"/>
  <c r="K6504" i="11"/>
  <c r="I6504" i="11"/>
  <c r="D6504" i="11"/>
  <c r="N6503" i="11"/>
  <c r="K6503" i="11"/>
  <c r="I6503" i="11"/>
  <c r="D6503" i="11"/>
  <c r="N6502" i="11"/>
  <c r="K6502" i="11"/>
  <c r="I6502" i="11"/>
  <c r="D6502" i="11"/>
  <c r="N6501" i="11"/>
  <c r="K6501" i="11"/>
  <c r="I6501" i="11"/>
  <c r="D6501" i="11"/>
  <c r="N6500" i="11"/>
  <c r="K6500" i="11"/>
  <c r="I6500" i="11"/>
  <c r="D6500" i="11"/>
  <c r="N6499" i="11"/>
  <c r="K6499" i="11"/>
  <c r="I6499" i="11"/>
  <c r="D6499" i="11"/>
  <c r="N6498" i="11"/>
  <c r="K6498" i="11"/>
  <c r="I6498" i="11"/>
  <c r="D6498" i="11"/>
  <c r="N6497" i="11"/>
  <c r="K6497" i="11"/>
  <c r="I6497" i="11"/>
  <c r="D6497" i="11"/>
  <c r="N6496" i="11"/>
  <c r="K6496" i="11"/>
  <c r="I6496" i="11"/>
  <c r="D6496" i="11"/>
  <c r="N6495" i="11"/>
  <c r="K6495" i="11"/>
  <c r="I6495" i="11"/>
  <c r="D6495" i="11"/>
  <c r="N6494" i="11"/>
  <c r="K6494" i="11"/>
  <c r="I6494" i="11"/>
  <c r="D6494" i="11"/>
  <c r="N6493" i="11"/>
  <c r="K6493" i="11"/>
  <c r="I6493" i="11"/>
  <c r="D6493" i="11"/>
  <c r="N6492" i="11"/>
  <c r="K6492" i="11"/>
  <c r="I6492" i="11"/>
  <c r="D6492" i="11"/>
  <c r="N6491" i="11"/>
  <c r="K6491" i="11"/>
  <c r="I6491" i="11"/>
  <c r="D6491" i="11"/>
  <c r="N6490" i="11"/>
  <c r="K6490" i="11"/>
  <c r="I6490" i="11"/>
  <c r="D6490" i="11"/>
  <c r="N6489" i="11"/>
  <c r="K6489" i="11"/>
  <c r="I6489" i="11"/>
  <c r="D6489" i="11"/>
  <c r="N6488" i="11"/>
  <c r="K6488" i="11"/>
  <c r="I6488" i="11"/>
  <c r="D6488" i="11"/>
  <c r="N6487" i="11"/>
  <c r="K6487" i="11"/>
  <c r="I6487" i="11"/>
  <c r="D6487" i="11"/>
  <c r="N6486" i="11"/>
  <c r="K6486" i="11"/>
  <c r="I6486" i="11"/>
  <c r="D6486" i="11"/>
  <c r="N6485" i="11"/>
  <c r="K6485" i="11"/>
  <c r="I6485" i="11"/>
  <c r="D6485" i="11"/>
  <c r="N6484" i="11"/>
  <c r="K6484" i="11"/>
  <c r="I6484" i="11"/>
  <c r="D6484" i="11"/>
  <c r="N6483" i="11"/>
  <c r="K6483" i="11"/>
  <c r="I6483" i="11"/>
  <c r="D6483" i="11"/>
  <c r="N6482" i="11"/>
  <c r="K6482" i="11"/>
  <c r="I6482" i="11"/>
  <c r="D6482" i="11"/>
  <c r="N6481" i="11"/>
  <c r="K6481" i="11"/>
  <c r="I6481" i="11"/>
  <c r="D6481" i="11"/>
  <c r="N6480" i="11"/>
  <c r="K6480" i="11"/>
  <c r="I6480" i="11"/>
  <c r="D6480" i="11"/>
  <c r="N6479" i="11"/>
  <c r="K6479" i="11"/>
  <c r="I6479" i="11"/>
  <c r="D6479" i="11"/>
  <c r="N6478" i="11"/>
  <c r="K6478" i="11"/>
  <c r="I6478" i="11"/>
  <c r="D6478" i="11"/>
  <c r="N6477" i="11"/>
  <c r="K6477" i="11"/>
  <c r="I6477" i="11"/>
  <c r="D6477" i="11"/>
  <c r="N6476" i="11"/>
  <c r="K6476" i="11"/>
  <c r="I6476" i="11"/>
  <c r="D6476" i="11"/>
  <c r="N6475" i="11"/>
  <c r="K6475" i="11"/>
  <c r="I6475" i="11"/>
  <c r="D6475" i="11"/>
  <c r="N6474" i="11"/>
  <c r="K6474" i="11"/>
  <c r="I6474" i="11"/>
  <c r="D6474" i="11"/>
  <c r="N6473" i="11"/>
  <c r="K6473" i="11"/>
  <c r="I6473" i="11"/>
  <c r="D6473" i="11"/>
  <c r="N6472" i="11"/>
  <c r="K6472" i="11"/>
  <c r="I6472" i="11"/>
  <c r="D6472" i="11"/>
  <c r="N6471" i="11"/>
  <c r="K6471" i="11"/>
  <c r="I6471" i="11"/>
  <c r="D6471" i="11"/>
  <c r="N6470" i="11"/>
  <c r="K6470" i="11"/>
  <c r="I6470" i="11"/>
  <c r="D6470" i="11"/>
  <c r="N6469" i="11"/>
  <c r="K6469" i="11"/>
  <c r="I6469" i="11"/>
  <c r="D6469" i="11"/>
  <c r="N6468" i="11"/>
  <c r="K6468" i="11"/>
  <c r="I6468" i="11"/>
  <c r="D6468" i="11"/>
  <c r="N6467" i="11"/>
  <c r="K6467" i="11"/>
  <c r="I6467" i="11"/>
  <c r="D6467" i="11"/>
  <c r="N6466" i="11"/>
  <c r="K6466" i="11"/>
  <c r="I6466" i="11"/>
  <c r="D6466" i="11"/>
  <c r="N6465" i="11"/>
  <c r="K6465" i="11"/>
  <c r="I6465" i="11"/>
  <c r="D6465" i="11"/>
  <c r="N6464" i="11"/>
  <c r="K6464" i="11"/>
  <c r="I6464" i="11"/>
  <c r="D6464" i="11"/>
  <c r="N6463" i="11"/>
  <c r="K6463" i="11"/>
  <c r="I6463" i="11"/>
  <c r="D6463" i="11"/>
  <c r="N6462" i="11"/>
  <c r="K6462" i="11"/>
  <c r="I6462" i="11"/>
  <c r="D6462" i="11"/>
  <c r="N6461" i="11"/>
  <c r="K6461" i="11"/>
  <c r="I6461" i="11"/>
  <c r="D6461" i="11"/>
  <c r="N6460" i="11"/>
  <c r="K6460" i="11"/>
  <c r="I6460" i="11"/>
  <c r="D6460" i="11"/>
  <c r="N6459" i="11"/>
  <c r="K6459" i="11"/>
  <c r="I6459" i="11"/>
  <c r="D6459" i="11"/>
  <c r="N6458" i="11"/>
  <c r="K6458" i="11"/>
  <c r="I6458" i="11"/>
  <c r="D6458" i="11"/>
  <c r="N6457" i="11"/>
  <c r="K6457" i="11"/>
  <c r="I6457" i="11"/>
  <c r="D6457" i="11"/>
  <c r="N6456" i="11"/>
  <c r="K6456" i="11"/>
  <c r="I6456" i="11"/>
  <c r="D6456" i="11"/>
  <c r="N6455" i="11"/>
  <c r="K6455" i="11"/>
  <c r="I6455" i="11"/>
  <c r="D6455" i="11"/>
  <c r="N6454" i="11"/>
  <c r="K6454" i="11"/>
  <c r="I6454" i="11"/>
  <c r="D6454" i="11"/>
  <c r="N6453" i="11"/>
  <c r="K6453" i="11"/>
  <c r="I6453" i="11"/>
  <c r="D6453" i="11"/>
  <c r="N6452" i="11"/>
  <c r="K6452" i="11"/>
  <c r="I6452" i="11"/>
  <c r="D6452" i="11"/>
  <c r="N6451" i="11"/>
  <c r="K6451" i="11"/>
  <c r="I6451" i="11"/>
  <c r="D6451" i="11"/>
  <c r="N6450" i="11"/>
  <c r="K6450" i="11"/>
  <c r="I6450" i="11"/>
  <c r="D6450" i="11"/>
  <c r="N6449" i="11"/>
  <c r="K6449" i="11"/>
  <c r="I6449" i="11"/>
  <c r="D6449" i="11"/>
  <c r="N6448" i="11"/>
  <c r="K6448" i="11"/>
  <c r="I6448" i="11"/>
  <c r="D6448" i="11"/>
  <c r="N6447" i="11"/>
  <c r="K6447" i="11"/>
  <c r="I6447" i="11"/>
  <c r="D6447" i="11"/>
  <c r="N6446" i="11"/>
  <c r="K6446" i="11"/>
  <c r="I6446" i="11"/>
  <c r="D6446" i="11"/>
  <c r="N6445" i="11"/>
  <c r="K6445" i="11"/>
  <c r="I6445" i="11"/>
  <c r="D6445" i="11"/>
  <c r="N6444" i="11"/>
  <c r="K6444" i="11"/>
  <c r="I6444" i="11"/>
  <c r="D6444" i="11"/>
  <c r="N6443" i="11"/>
  <c r="K6443" i="11"/>
  <c r="I6443" i="11"/>
  <c r="D6443" i="11"/>
  <c r="N6442" i="11"/>
  <c r="K6442" i="11"/>
  <c r="I6442" i="11"/>
  <c r="D6442" i="11"/>
  <c r="N6441" i="11"/>
  <c r="K6441" i="11"/>
  <c r="I6441" i="11"/>
  <c r="D6441" i="11"/>
  <c r="N6440" i="11"/>
  <c r="K6440" i="11"/>
  <c r="I6440" i="11"/>
  <c r="D6440" i="11"/>
  <c r="N6439" i="11"/>
  <c r="K6439" i="11"/>
  <c r="I6439" i="11"/>
  <c r="D6439" i="11"/>
  <c r="N6438" i="11"/>
  <c r="K6438" i="11"/>
  <c r="I6438" i="11"/>
  <c r="D6438" i="11"/>
  <c r="N6437" i="11"/>
  <c r="K6437" i="11"/>
  <c r="I6437" i="11"/>
  <c r="D6437" i="11"/>
  <c r="N6436" i="11"/>
  <c r="K6436" i="11"/>
  <c r="I6436" i="11"/>
  <c r="D6436" i="11"/>
  <c r="N6435" i="11"/>
  <c r="K6435" i="11"/>
  <c r="I6435" i="11"/>
  <c r="D6435" i="11"/>
  <c r="N6434" i="11"/>
  <c r="K6434" i="11"/>
  <c r="I6434" i="11"/>
  <c r="D6434" i="11"/>
  <c r="N6433" i="11"/>
  <c r="K6433" i="11"/>
  <c r="I6433" i="11"/>
  <c r="D6433" i="11"/>
  <c r="N6432" i="11"/>
  <c r="K6432" i="11"/>
  <c r="I6432" i="11"/>
  <c r="D6432" i="11"/>
  <c r="N6431" i="11"/>
  <c r="K6431" i="11"/>
  <c r="I6431" i="11"/>
  <c r="D6431" i="11"/>
  <c r="N6430" i="11"/>
  <c r="K6430" i="11"/>
  <c r="I6430" i="11"/>
  <c r="D6430" i="11"/>
  <c r="N6429" i="11"/>
  <c r="K6429" i="11"/>
  <c r="I6429" i="11"/>
  <c r="D6429" i="11"/>
  <c r="N6428" i="11"/>
  <c r="K6428" i="11"/>
  <c r="I6428" i="11"/>
  <c r="D6428" i="11"/>
  <c r="N6427" i="11"/>
  <c r="K6427" i="11"/>
  <c r="I6427" i="11"/>
  <c r="D6427" i="11"/>
  <c r="N6426" i="11"/>
  <c r="K6426" i="11"/>
  <c r="I6426" i="11"/>
  <c r="D6426" i="11"/>
  <c r="N6425" i="11"/>
  <c r="K6425" i="11"/>
  <c r="I6425" i="11"/>
  <c r="D6425" i="11"/>
  <c r="N6424" i="11"/>
  <c r="K6424" i="11"/>
  <c r="I6424" i="11"/>
  <c r="N6423" i="11"/>
  <c r="K6423" i="11"/>
  <c r="I6423" i="11"/>
  <c r="N6422" i="11"/>
  <c r="K6422" i="11"/>
  <c r="I6422" i="11"/>
  <c r="N6421" i="11"/>
  <c r="K6421" i="11"/>
  <c r="I6421" i="11"/>
  <c r="N6420" i="11"/>
  <c r="K6420" i="11"/>
  <c r="I6420" i="11"/>
  <c r="N6419" i="11"/>
  <c r="K6419" i="11"/>
  <c r="I6419" i="11"/>
  <c r="N6418" i="11"/>
  <c r="K6418" i="11"/>
  <c r="I6418" i="11"/>
  <c r="N6417" i="11"/>
  <c r="K6417" i="11"/>
  <c r="I6417" i="11"/>
  <c r="N6416" i="11"/>
  <c r="K6416" i="11"/>
  <c r="I6416" i="11"/>
  <c r="N6415" i="11"/>
  <c r="K6415" i="11"/>
  <c r="I6415" i="11"/>
  <c r="N6414" i="11"/>
  <c r="K6414" i="11"/>
  <c r="I6414" i="11"/>
  <c r="N6413" i="11"/>
  <c r="K6413" i="11"/>
  <c r="I6413" i="11"/>
  <c r="N6412" i="11"/>
  <c r="K6412" i="11"/>
  <c r="I6412" i="11"/>
  <c r="N6411" i="11"/>
  <c r="K6411" i="11"/>
  <c r="I6411" i="11"/>
  <c r="N6410" i="11"/>
  <c r="K6410" i="11"/>
  <c r="I6410" i="11"/>
  <c r="N6409" i="11"/>
  <c r="K6409" i="11"/>
  <c r="I6409" i="11"/>
  <c r="N6408" i="11"/>
  <c r="K6408" i="11"/>
  <c r="I6408" i="11"/>
  <c r="N6407" i="11"/>
  <c r="K6407" i="11"/>
  <c r="I6407" i="11"/>
  <c r="N6406" i="11"/>
  <c r="K6406" i="11"/>
  <c r="I6406" i="11"/>
  <c r="N6405" i="11"/>
  <c r="K6405" i="11"/>
  <c r="I6405" i="11"/>
  <c r="N6404" i="11"/>
  <c r="K6404" i="11"/>
  <c r="I6404" i="11"/>
  <c r="N6403" i="11"/>
  <c r="K6403" i="11"/>
  <c r="I6403" i="11"/>
  <c r="N6402" i="11"/>
  <c r="K6402" i="11"/>
  <c r="I6402" i="11"/>
  <c r="N6401" i="11"/>
  <c r="K6401" i="11"/>
  <c r="I6401" i="11"/>
  <c r="N6400" i="11"/>
  <c r="K6400" i="11"/>
  <c r="I6400" i="11"/>
  <c r="N6399" i="11"/>
  <c r="K6399" i="11"/>
  <c r="I6399" i="11"/>
  <c r="N6398" i="11"/>
  <c r="K6398" i="11"/>
  <c r="I6398" i="11"/>
  <c r="N6397" i="11"/>
  <c r="K6397" i="11"/>
  <c r="I6397" i="11"/>
  <c r="N6396" i="11"/>
  <c r="K6396" i="11"/>
  <c r="I6396" i="11"/>
  <c r="N6395" i="11"/>
  <c r="K6395" i="11"/>
  <c r="I6395" i="11"/>
  <c r="N6394" i="11"/>
  <c r="K6394" i="11"/>
  <c r="I6394" i="11"/>
  <c r="N6393" i="11"/>
  <c r="K6393" i="11"/>
  <c r="I6393" i="11"/>
  <c r="N6392" i="11"/>
  <c r="K6392" i="11"/>
  <c r="I6392" i="11"/>
  <c r="N6391" i="11"/>
  <c r="K6391" i="11"/>
  <c r="I6391" i="11"/>
  <c r="N6390" i="11"/>
  <c r="K6390" i="11"/>
  <c r="I6390" i="11"/>
  <c r="N6389" i="11"/>
  <c r="K6389" i="11"/>
  <c r="I6389" i="11"/>
  <c r="N6388" i="11"/>
  <c r="K6388" i="11"/>
  <c r="I6388" i="11"/>
  <c r="N6387" i="11"/>
  <c r="K6387" i="11"/>
  <c r="I6387" i="11"/>
  <c r="N6386" i="11"/>
  <c r="K6386" i="11"/>
  <c r="I6386" i="11"/>
  <c r="N6385" i="11"/>
  <c r="K6385" i="11"/>
  <c r="I6385" i="11"/>
  <c r="N6384" i="11"/>
  <c r="K6384" i="11"/>
  <c r="I6384" i="11"/>
  <c r="N6383" i="11"/>
  <c r="K6383" i="11"/>
  <c r="I6383" i="11"/>
  <c r="N6382" i="11"/>
  <c r="K6382" i="11"/>
  <c r="I6382" i="11"/>
  <c r="N6381" i="11"/>
  <c r="K6381" i="11"/>
  <c r="I6381" i="11"/>
  <c r="N6380" i="11"/>
  <c r="K6380" i="11"/>
  <c r="I6380" i="11"/>
  <c r="N6379" i="11"/>
  <c r="K6379" i="11"/>
  <c r="I6379" i="11"/>
  <c r="N6378" i="11"/>
  <c r="K6378" i="11"/>
  <c r="I6378" i="11"/>
  <c r="N6377" i="11"/>
  <c r="K6377" i="11"/>
  <c r="I6377" i="11"/>
  <c r="N6376" i="11"/>
  <c r="K6376" i="11"/>
  <c r="I6376" i="11"/>
  <c r="N6375" i="11"/>
  <c r="K6375" i="11"/>
  <c r="I6375" i="11"/>
  <c r="N6374" i="11"/>
  <c r="K6374" i="11"/>
  <c r="I6374" i="11"/>
  <c r="N6373" i="11"/>
  <c r="K6373" i="11"/>
  <c r="I6373" i="11"/>
  <c r="N6372" i="11"/>
  <c r="K6372" i="11"/>
  <c r="I6372" i="11"/>
  <c r="N6371" i="11"/>
  <c r="K6371" i="11"/>
  <c r="I6371" i="11"/>
  <c r="N6370" i="11"/>
  <c r="K6370" i="11"/>
  <c r="I6370" i="11"/>
  <c r="N6369" i="11"/>
  <c r="K6369" i="11"/>
  <c r="I6369" i="11"/>
  <c r="N6368" i="11"/>
  <c r="K6368" i="11"/>
  <c r="I6368" i="11"/>
  <c r="N6367" i="11"/>
  <c r="K6367" i="11"/>
  <c r="I6367" i="11"/>
  <c r="N6366" i="11"/>
  <c r="K6366" i="11"/>
  <c r="I6366" i="11"/>
  <c r="N6365" i="11"/>
  <c r="K6365" i="11"/>
  <c r="I6365" i="11"/>
  <c r="N6364" i="11"/>
  <c r="K6364" i="11"/>
  <c r="I6364" i="11"/>
  <c r="N6363" i="11"/>
  <c r="K6363" i="11"/>
  <c r="I6363" i="11"/>
  <c r="N6362" i="11"/>
  <c r="K6362" i="11"/>
  <c r="I6362" i="11"/>
  <c r="N6361" i="11"/>
  <c r="K6361" i="11"/>
  <c r="I6361" i="11"/>
  <c r="N6360" i="11"/>
  <c r="K6360" i="11"/>
  <c r="I6360" i="11"/>
  <c r="N6359" i="11"/>
  <c r="K6359" i="11"/>
  <c r="I6359" i="11"/>
  <c r="N6358" i="11"/>
  <c r="K6358" i="11"/>
  <c r="I6358" i="11"/>
  <c r="N6357" i="11"/>
  <c r="K6357" i="11"/>
  <c r="I6357" i="11"/>
  <c r="N6356" i="11"/>
  <c r="K6356" i="11"/>
  <c r="I6356" i="11"/>
  <c r="N6355" i="11"/>
  <c r="K6355" i="11"/>
  <c r="I6355" i="11"/>
  <c r="N6354" i="11"/>
  <c r="K6354" i="11"/>
  <c r="I6354" i="11"/>
  <c r="N6353" i="11"/>
  <c r="K6353" i="11"/>
  <c r="I6353" i="11"/>
  <c r="N6352" i="11"/>
  <c r="K6352" i="11"/>
  <c r="I6352" i="11"/>
  <c r="N6351" i="11"/>
  <c r="K6351" i="11"/>
  <c r="I6351" i="11"/>
  <c r="N6350" i="11"/>
  <c r="K6350" i="11"/>
  <c r="I6350" i="11"/>
  <c r="N6349" i="11"/>
  <c r="K6349" i="11"/>
  <c r="I6349" i="11"/>
  <c r="N6348" i="11"/>
  <c r="K6348" i="11"/>
  <c r="I6348" i="11"/>
  <c r="N6347" i="11"/>
  <c r="K6347" i="11"/>
  <c r="I6347" i="11"/>
  <c r="N6346" i="11"/>
  <c r="K6346" i="11"/>
  <c r="I6346" i="11"/>
  <c r="N6345" i="11"/>
  <c r="K6345" i="11"/>
  <c r="I6345" i="11"/>
  <c r="N6344" i="11"/>
  <c r="K6344" i="11"/>
  <c r="I6344" i="11"/>
  <c r="N6343" i="11"/>
  <c r="K6343" i="11"/>
  <c r="I6343" i="11"/>
  <c r="N6342" i="11"/>
  <c r="K6342" i="11"/>
  <c r="I6342" i="11"/>
  <c r="N6341" i="11"/>
  <c r="K6341" i="11"/>
  <c r="I6341" i="11"/>
  <c r="N6340" i="11"/>
  <c r="K6340" i="11"/>
  <c r="I6340" i="11"/>
  <c r="N6339" i="11"/>
  <c r="K6339" i="11"/>
  <c r="I6339" i="11"/>
  <c r="N6338" i="11"/>
  <c r="K6338" i="11"/>
  <c r="I6338" i="11"/>
  <c r="N6337" i="11"/>
  <c r="K6337" i="11"/>
  <c r="I6337" i="11"/>
  <c r="N6336" i="11"/>
  <c r="K6336" i="11"/>
  <c r="I6336" i="11"/>
  <c r="N6335" i="11"/>
  <c r="K6335" i="11"/>
  <c r="I6335" i="11"/>
  <c r="N6334" i="11"/>
  <c r="K6334" i="11"/>
  <c r="I6334" i="11"/>
  <c r="N6333" i="11"/>
  <c r="K6333" i="11"/>
  <c r="I6333" i="11"/>
  <c r="N6332" i="11"/>
  <c r="K6332" i="11"/>
  <c r="I6332" i="11"/>
  <c r="N6331" i="11"/>
  <c r="K6331" i="11"/>
  <c r="I6331" i="11"/>
  <c r="N6330" i="11"/>
  <c r="K6330" i="11"/>
  <c r="I6330" i="11"/>
  <c r="N6329" i="11"/>
  <c r="K6329" i="11"/>
  <c r="I6329" i="11"/>
  <c r="N6328" i="11"/>
  <c r="K6328" i="11"/>
  <c r="I6328" i="11"/>
  <c r="N6327" i="11"/>
  <c r="K6327" i="11"/>
  <c r="I6327" i="11"/>
  <c r="N6326" i="11"/>
  <c r="K6326" i="11"/>
  <c r="I6326" i="11"/>
  <c r="N6325" i="11"/>
  <c r="K6325" i="11"/>
  <c r="I6325" i="11"/>
  <c r="N6324" i="11"/>
  <c r="K6324" i="11"/>
  <c r="I6324" i="11"/>
  <c r="N6323" i="11"/>
  <c r="K6323" i="11"/>
  <c r="I6323" i="11"/>
  <c r="N6322" i="11"/>
  <c r="K6322" i="11"/>
  <c r="I6322" i="11"/>
  <c r="N6321" i="11"/>
  <c r="K6321" i="11"/>
  <c r="I6321" i="11"/>
  <c r="N6320" i="11"/>
  <c r="K6320" i="11"/>
  <c r="I6320" i="11"/>
  <c r="N6319" i="11"/>
  <c r="K6319" i="11"/>
  <c r="I6319" i="11"/>
  <c r="N6318" i="11"/>
  <c r="K6318" i="11"/>
  <c r="I6318" i="11"/>
  <c r="N6317" i="11"/>
  <c r="K6317" i="11"/>
  <c r="I6317" i="11"/>
  <c r="N6316" i="11"/>
  <c r="K6316" i="11"/>
  <c r="I6316" i="11"/>
  <c r="N6315" i="11"/>
  <c r="K6315" i="11"/>
  <c r="I6315" i="11"/>
  <c r="N6314" i="11"/>
  <c r="K6314" i="11"/>
  <c r="I6314" i="11"/>
  <c r="N6313" i="11"/>
  <c r="K6313" i="11"/>
  <c r="I6313" i="11"/>
  <c r="N6312" i="11"/>
  <c r="K6312" i="11"/>
  <c r="I6312" i="11"/>
  <c r="N6311" i="11"/>
  <c r="K6311" i="11"/>
  <c r="I6311" i="11"/>
  <c r="N6310" i="11"/>
  <c r="K6310" i="11"/>
  <c r="I6310" i="11"/>
  <c r="N6309" i="11"/>
  <c r="K6309" i="11"/>
  <c r="I6309" i="11"/>
  <c r="N6308" i="11"/>
  <c r="K6308" i="11"/>
  <c r="I6308" i="11"/>
  <c r="N6307" i="11"/>
  <c r="K6307" i="11"/>
  <c r="I6307" i="11"/>
  <c r="N6306" i="11"/>
  <c r="K6306" i="11"/>
  <c r="I6306" i="11"/>
  <c r="N6305" i="11"/>
  <c r="K6305" i="11"/>
  <c r="I6305" i="11"/>
  <c r="N6304" i="11"/>
  <c r="K6304" i="11"/>
  <c r="I6304" i="11"/>
  <c r="N6303" i="11"/>
  <c r="K6303" i="11"/>
  <c r="I6303" i="11"/>
  <c r="N6302" i="11"/>
  <c r="K6302" i="11"/>
  <c r="I6302" i="11"/>
  <c r="N6301" i="11"/>
  <c r="K6301" i="11"/>
  <c r="I6301" i="11"/>
  <c r="N6300" i="11"/>
  <c r="K6300" i="11"/>
  <c r="I6300" i="11"/>
  <c r="N6299" i="11"/>
  <c r="K6299" i="11"/>
  <c r="I6299" i="11"/>
  <c r="N6298" i="11"/>
  <c r="K6298" i="11"/>
  <c r="I6298" i="11"/>
  <c r="N6297" i="11"/>
  <c r="K6297" i="11"/>
  <c r="I6297" i="11"/>
  <c r="N6296" i="11"/>
  <c r="K6296" i="11"/>
  <c r="I6296" i="11"/>
  <c r="N6295" i="11"/>
  <c r="K6295" i="11"/>
  <c r="I6295" i="11"/>
  <c r="N6294" i="11"/>
  <c r="K6294" i="11"/>
  <c r="I6294" i="11"/>
  <c r="N6293" i="11"/>
  <c r="K6293" i="11"/>
  <c r="I6293" i="11"/>
  <c r="N6292" i="11"/>
  <c r="K6292" i="11"/>
  <c r="I6292" i="11"/>
  <c r="N6291" i="11"/>
  <c r="K6291" i="11"/>
  <c r="I6291" i="11"/>
  <c r="N6290" i="11"/>
  <c r="K6290" i="11"/>
  <c r="I6290" i="11"/>
  <c r="N6289" i="11"/>
  <c r="K6289" i="11"/>
  <c r="I6289" i="11"/>
  <c r="N6288" i="11"/>
  <c r="K6288" i="11"/>
  <c r="I6288" i="11"/>
  <c r="N6287" i="11"/>
  <c r="K6287" i="11"/>
  <c r="I6287" i="11"/>
  <c r="N6286" i="11"/>
  <c r="K6286" i="11"/>
  <c r="I6286" i="11"/>
  <c r="N6285" i="11"/>
  <c r="K6285" i="11"/>
  <c r="I6285" i="11"/>
  <c r="N6284" i="11"/>
  <c r="K6284" i="11"/>
  <c r="I6284" i="11"/>
  <c r="N6283" i="11"/>
  <c r="K6283" i="11"/>
  <c r="I6283" i="11"/>
  <c r="N6282" i="11"/>
  <c r="K6282" i="11"/>
  <c r="I6282" i="11"/>
  <c r="N6281" i="11"/>
  <c r="K6281" i="11"/>
  <c r="I6281" i="11"/>
  <c r="N6280" i="11"/>
  <c r="K6280" i="11"/>
  <c r="I6280" i="11"/>
  <c r="N6279" i="11"/>
  <c r="K6279" i="11"/>
  <c r="I6279" i="11"/>
  <c r="N6278" i="11"/>
  <c r="K6278" i="11"/>
  <c r="I6278" i="11"/>
  <c r="N6277" i="11"/>
  <c r="K6277" i="11"/>
  <c r="I6277" i="11"/>
  <c r="N6276" i="11"/>
  <c r="K6276" i="11"/>
  <c r="I6276" i="11"/>
  <c r="N6275" i="11"/>
  <c r="K6275" i="11"/>
  <c r="I6275" i="11"/>
  <c r="N6274" i="11"/>
  <c r="K6274" i="11"/>
  <c r="I6274" i="11"/>
  <c r="N6273" i="11"/>
  <c r="K6273" i="11"/>
  <c r="I6273" i="11"/>
  <c r="N6272" i="11"/>
  <c r="K6272" i="11"/>
  <c r="I6272" i="11"/>
  <c r="N6271" i="11"/>
  <c r="K6271" i="11"/>
  <c r="I6271" i="11"/>
  <c r="N6270" i="11"/>
  <c r="K6270" i="11"/>
  <c r="I6270" i="11"/>
  <c r="N6269" i="11"/>
  <c r="K6269" i="11"/>
  <c r="I6269" i="11"/>
  <c r="N6268" i="11"/>
  <c r="K6268" i="11"/>
  <c r="I6268" i="11"/>
  <c r="N6267" i="11"/>
  <c r="K6267" i="11"/>
  <c r="I6267" i="11"/>
  <c r="N6266" i="11"/>
  <c r="K6266" i="11"/>
  <c r="I6266" i="11"/>
  <c r="N6265" i="11"/>
  <c r="K6265" i="11"/>
  <c r="I6265" i="11"/>
  <c r="N6264" i="11"/>
  <c r="K6264" i="11"/>
  <c r="I6264" i="11"/>
  <c r="N6263" i="11"/>
  <c r="K6263" i="11"/>
  <c r="I6263" i="11"/>
  <c r="N6262" i="11"/>
  <c r="K6262" i="11"/>
  <c r="I6262" i="11"/>
  <c r="N6261" i="11"/>
  <c r="K6261" i="11"/>
  <c r="I6261" i="11"/>
  <c r="N6260" i="11"/>
  <c r="K6260" i="11"/>
  <c r="I6260" i="11"/>
  <c r="N6259" i="11"/>
  <c r="K6259" i="11"/>
  <c r="I6259" i="11"/>
  <c r="N6258" i="11"/>
  <c r="K6258" i="11"/>
  <c r="I6258" i="11"/>
  <c r="N6257" i="11"/>
  <c r="K6257" i="11"/>
  <c r="I6257" i="11"/>
  <c r="N6256" i="11"/>
  <c r="K6256" i="11"/>
  <c r="I6256" i="11"/>
  <c r="N6255" i="11"/>
  <c r="K6255" i="11"/>
  <c r="I6255" i="11"/>
  <c r="N6254" i="11"/>
  <c r="K6254" i="11"/>
  <c r="I6254" i="11"/>
  <c r="N6253" i="11"/>
  <c r="K6253" i="11"/>
  <c r="I6253" i="11"/>
  <c r="N6252" i="11"/>
  <c r="K6252" i="11"/>
  <c r="I6252" i="11"/>
  <c r="N6251" i="11"/>
  <c r="K6251" i="11"/>
  <c r="I6251" i="11"/>
  <c r="N6250" i="11"/>
  <c r="K6250" i="11"/>
  <c r="I6250" i="11"/>
  <c r="N6249" i="11"/>
  <c r="K6249" i="11"/>
  <c r="I6249" i="11"/>
  <c r="N6248" i="11"/>
  <c r="K6248" i="11"/>
  <c r="I6248" i="11"/>
  <c r="N6247" i="11"/>
  <c r="K6247" i="11"/>
  <c r="I6247" i="11"/>
  <c r="N6246" i="11"/>
  <c r="K6246" i="11"/>
  <c r="I6246" i="11"/>
  <c r="N6245" i="11"/>
  <c r="K6245" i="11"/>
  <c r="I6245" i="11"/>
  <c r="N6244" i="11"/>
  <c r="K6244" i="11"/>
  <c r="I6244" i="11"/>
  <c r="N6243" i="11"/>
  <c r="K6243" i="11"/>
  <c r="I6243" i="11"/>
  <c r="N6242" i="11"/>
  <c r="K6242" i="11"/>
  <c r="I6242" i="11"/>
  <c r="N6241" i="11"/>
  <c r="K6241" i="11"/>
  <c r="I6241" i="11"/>
  <c r="N6240" i="11"/>
  <c r="K6240" i="11"/>
  <c r="I6240" i="11"/>
  <c r="N6239" i="11"/>
  <c r="K6239" i="11"/>
  <c r="I6239" i="11"/>
  <c r="N6238" i="11"/>
  <c r="K6238" i="11"/>
  <c r="I6238" i="11"/>
  <c r="N6237" i="11"/>
  <c r="K6237" i="11"/>
  <c r="I6237" i="11"/>
  <c r="N6236" i="11"/>
  <c r="K6236" i="11"/>
  <c r="I6236" i="11"/>
  <c r="N6235" i="11"/>
  <c r="K6235" i="11"/>
  <c r="I6235" i="11"/>
  <c r="N6234" i="11"/>
  <c r="K6234" i="11"/>
  <c r="I6234" i="11"/>
  <c r="N6233" i="11"/>
  <c r="K6233" i="11"/>
  <c r="I6233" i="11"/>
  <c r="N6232" i="11"/>
  <c r="K6232" i="11"/>
  <c r="I6232" i="11"/>
  <c r="N6231" i="11"/>
  <c r="K6231" i="11"/>
  <c r="I6231" i="11"/>
  <c r="N6230" i="11"/>
  <c r="K6230" i="11"/>
  <c r="I6230" i="11"/>
  <c r="N6229" i="11"/>
  <c r="K6229" i="11"/>
  <c r="I6229" i="11"/>
  <c r="N6228" i="11"/>
  <c r="K6228" i="11"/>
  <c r="I6228" i="11"/>
  <c r="N6227" i="11"/>
  <c r="K6227" i="11"/>
  <c r="I6227" i="11"/>
  <c r="N6226" i="11"/>
  <c r="K6226" i="11"/>
  <c r="I6226" i="11"/>
  <c r="N6225" i="11"/>
  <c r="K6225" i="11"/>
  <c r="I6225" i="11"/>
  <c r="N6224" i="11"/>
  <c r="K6224" i="11"/>
  <c r="I6224" i="11"/>
  <c r="N6223" i="11"/>
  <c r="K6223" i="11"/>
  <c r="I6223" i="11"/>
  <c r="N6222" i="11"/>
  <c r="K6222" i="11"/>
  <c r="I6222" i="11"/>
  <c r="N6221" i="11"/>
  <c r="K6221" i="11"/>
  <c r="I6221" i="11"/>
  <c r="N6220" i="11"/>
  <c r="K6220" i="11"/>
  <c r="I6220" i="11"/>
  <c r="N6219" i="11"/>
  <c r="K6219" i="11"/>
  <c r="I6219" i="11"/>
  <c r="N6218" i="11"/>
  <c r="K6218" i="11"/>
  <c r="I6218" i="11"/>
  <c r="N6217" i="11"/>
  <c r="K6217" i="11"/>
  <c r="I6217" i="11"/>
  <c r="N6216" i="11"/>
  <c r="K6216" i="11"/>
  <c r="I6216" i="11"/>
  <c r="N6215" i="11"/>
  <c r="K6215" i="11"/>
  <c r="I6215" i="11"/>
  <c r="N6214" i="11"/>
  <c r="K6214" i="11"/>
  <c r="I6214" i="11"/>
  <c r="N6213" i="11"/>
  <c r="K6213" i="11"/>
  <c r="I6213" i="11"/>
  <c r="N6212" i="11"/>
  <c r="K6212" i="11"/>
  <c r="I6212" i="11"/>
  <c r="N6211" i="11"/>
  <c r="K6211" i="11"/>
  <c r="I6211" i="11"/>
  <c r="N6210" i="11"/>
  <c r="K6210" i="11"/>
  <c r="I6210" i="11"/>
  <c r="N6209" i="11"/>
  <c r="K6209" i="11"/>
  <c r="I6209" i="11"/>
  <c r="N6208" i="11"/>
  <c r="K6208" i="11"/>
  <c r="I6208" i="11"/>
  <c r="N6207" i="11"/>
  <c r="K6207" i="11"/>
  <c r="I6207" i="11"/>
  <c r="N6206" i="11"/>
  <c r="K6206" i="11"/>
  <c r="I6206" i="11"/>
  <c r="N6205" i="11"/>
  <c r="K6205" i="11"/>
  <c r="I6205" i="11"/>
  <c r="N6204" i="11"/>
  <c r="K6204" i="11"/>
  <c r="I6204" i="11"/>
  <c r="N6203" i="11"/>
  <c r="K6203" i="11"/>
  <c r="I6203" i="11"/>
  <c r="N6202" i="11"/>
  <c r="K6202" i="11"/>
  <c r="I6202" i="11"/>
  <c r="N6201" i="11"/>
  <c r="K6201" i="11"/>
  <c r="I6201" i="11"/>
  <c r="N6200" i="11"/>
  <c r="K6200" i="11"/>
  <c r="I6200" i="11"/>
  <c r="N6199" i="11"/>
  <c r="K6199" i="11"/>
  <c r="I6199" i="11"/>
  <c r="N6198" i="11"/>
  <c r="K6198" i="11"/>
  <c r="I6198" i="11"/>
  <c r="N6197" i="11"/>
  <c r="K6197" i="11"/>
  <c r="I6197" i="11"/>
  <c r="N6196" i="11"/>
  <c r="K6196" i="11"/>
  <c r="I6196" i="11"/>
  <c r="N6195" i="11"/>
  <c r="K6195" i="11"/>
  <c r="I6195" i="11"/>
  <c r="N6194" i="11"/>
  <c r="K6194" i="11"/>
  <c r="I6194" i="11"/>
  <c r="N6193" i="11"/>
  <c r="K6193" i="11"/>
  <c r="I6193" i="11"/>
  <c r="N6192" i="11"/>
  <c r="K6192" i="11"/>
  <c r="I6192" i="11"/>
  <c r="N6191" i="11"/>
  <c r="K6191" i="11"/>
  <c r="I6191" i="11"/>
  <c r="N6190" i="11"/>
  <c r="K6190" i="11"/>
  <c r="I6190" i="11"/>
  <c r="N6189" i="11"/>
  <c r="K6189" i="11"/>
  <c r="I6189" i="11"/>
  <c r="N6188" i="11"/>
  <c r="K6188" i="11"/>
  <c r="I6188" i="11"/>
  <c r="N6187" i="11"/>
  <c r="K6187" i="11"/>
  <c r="I6187" i="11"/>
  <c r="N6186" i="11"/>
  <c r="K6186" i="11"/>
  <c r="I6186" i="11"/>
  <c r="N6185" i="11"/>
  <c r="K6185" i="11"/>
  <c r="I6185" i="11"/>
  <c r="N6184" i="11"/>
  <c r="K6184" i="11"/>
  <c r="I6184" i="11"/>
  <c r="N6183" i="11"/>
  <c r="K6183" i="11"/>
  <c r="I6183" i="11"/>
  <c r="N6182" i="11"/>
  <c r="K6182" i="11"/>
  <c r="I6182" i="11"/>
  <c r="N6181" i="11"/>
  <c r="K6181" i="11"/>
  <c r="I6181" i="11"/>
  <c r="N6180" i="11"/>
  <c r="K6180" i="11"/>
  <c r="I6180" i="11"/>
  <c r="N6179" i="11"/>
  <c r="K6179" i="11"/>
  <c r="I6179" i="11"/>
  <c r="N6178" i="11"/>
  <c r="K6178" i="11"/>
  <c r="I6178" i="11"/>
  <c r="N6177" i="11"/>
  <c r="K6177" i="11"/>
  <c r="I6177" i="11"/>
  <c r="N6176" i="11"/>
  <c r="K6176" i="11"/>
  <c r="I6176" i="11"/>
  <c r="N6175" i="11"/>
  <c r="K6175" i="11"/>
  <c r="I6175" i="11"/>
  <c r="N6174" i="11"/>
  <c r="K6174" i="11"/>
  <c r="I6174" i="11"/>
  <c r="N6173" i="11"/>
  <c r="K6173" i="11"/>
  <c r="I6173" i="11"/>
  <c r="N6172" i="11"/>
  <c r="K6172" i="11"/>
  <c r="I6172" i="11"/>
  <c r="N6171" i="11"/>
  <c r="K6171" i="11"/>
  <c r="I6171" i="11"/>
  <c r="N6170" i="11"/>
  <c r="K6170" i="11"/>
  <c r="I6170" i="11"/>
  <c r="N6169" i="11"/>
  <c r="K6169" i="11"/>
  <c r="I6169" i="11"/>
  <c r="N6168" i="11"/>
  <c r="K6168" i="11"/>
  <c r="I6168" i="11"/>
  <c r="N6167" i="11"/>
  <c r="K6167" i="11"/>
  <c r="I6167" i="11"/>
  <c r="N6166" i="11"/>
  <c r="K6166" i="11"/>
  <c r="I6166" i="11"/>
  <c r="N6165" i="11"/>
  <c r="K6165" i="11"/>
  <c r="I6165" i="11"/>
  <c r="N6164" i="11"/>
  <c r="K6164" i="11"/>
  <c r="I6164" i="11"/>
  <c r="N6163" i="11"/>
  <c r="K6163" i="11"/>
  <c r="I6163" i="11"/>
  <c r="N6162" i="11"/>
  <c r="K6162" i="11"/>
  <c r="I6162" i="11"/>
  <c r="N6161" i="11"/>
  <c r="K6161" i="11"/>
  <c r="I6161" i="11"/>
  <c r="N6160" i="11"/>
  <c r="K6160" i="11"/>
  <c r="I6160" i="11"/>
  <c r="N6159" i="11"/>
  <c r="K6159" i="11"/>
  <c r="I6159" i="11"/>
  <c r="N6158" i="11"/>
  <c r="K6158" i="11"/>
  <c r="I6158" i="11"/>
  <c r="N6157" i="11"/>
  <c r="K6157" i="11"/>
  <c r="I6157" i="11"/>
  <c r="N6156" i="11"/>
  <c r="K6156" i="11"/>
  <c r="I6156" i="11"/>
  <c r="N6155" i="11"/>
  <c r="K6155" i="11"/>
  <c r="I6155" i="11"/>
  <c r="N6154" i="11"/>
  <c r="K6154" i="11"/>
  <c r="I6154" i="11"/>
  <c r="N6153" i="11"/>
  <c r="K6153" i="11"/>
  <c r="I6153" i="11"/>
  <c r="N6152" i="11"/>
  <c r="K6152" i="11"/>
  <c r="I6152" i="11"/>
  <c r="N6151" i="11"/>
  <c r="K6151" i="11"/>
  <c r="I6151" i="11"/>
  <c r="N6150" i="11"/>
  <c r="K6150" i="11"/>
  <c r="I6150" i="11"/>
  <c r="N6149" i="11"/>
  <c r="K6149" i="11"/>
  <c r="I6149" i="11"/>
  <c r="N6148" i="11"/>
  <c r="K6148" i="11"/>
  <c r="I6148" i="11"/>
  <c r="N6147" i="11"/>
  <c r="K6147" i="11"/>
  <c r="I6147" i="11"/>
  <c r="N6146" i="11"/>
  <c r="K6146" i="11"/>
  <c r="I6146" i="11"/>
  <c r="N6145" i="11"/>
  <c r="K6145" i="11"/>
  <c r="I6145" i="11"/>
  <c r="N6144" i="11"/>
  <c r="K6144" i="11"/>
  <c r="I6144" i="11"/>
  <c r="N6143" i="11"/>
  <c r="K6143" i="11"/>
  <c r="I6143" i="11"/>
  <c r="N6142" i="11"/>
  <c r="K6142" i="11"/>
  <c r="I6142" i="11"/>
  <c r="N6141" i="11"/>
  <c r="K6141" i="11"/>
  <c r="I6141" i="11"/>
  <c r="N6140" i="11"/>
  <c r="K6140" i="11"/>
  <c r="I6140" i="11"/>
  <c r="N6139" i="11"/>
  <c r="K6139" i="11"/>
  <c r="I6139" i="11"/>
  <c r="N6138" i="11"/>
  <c r="K6138" i="11"/>
  <c r="I6138" i="11"/>
  <c r="N6137" i="11"/>
  <c r="K6137" i="11"/>
  <c r="I6137" i="11"/>
  <c r="N6136" i="11"/>
  <c r="K6136" i="11"/>
  <c r="I6136" i="11"/>
  <c r="N6135" i="11"/>
  <c r="K6135" i="11"/>
  <c r="I6135" i="11"/>
  <c r="N6134" i="11"/>
  <c r="K6134" i="11"/>
  <c r="I6134" i="11"/>
  <c r="N6133" i="11"/>
  <c r="K6133" i="11"/>
  <c r="I6133" i="11"/>
  <c r="N6132" i="11"/>
  <c r="K6132" i="11"/>
  <c r="I6132" i="11"/>
  <c r="N6131" i="11"/>
  <c r="K6131" i="11"/>
  <c r="I6131" i="11"/>
  <c r="N6130" i="11"/>
  <c r="K6130" i="11"/>
  <c r="I6130" i="11"/>
  <c r="N6129" i="11"/>
  <c r="K6129" i="11"/>
  <c r="I6129" i="11"/>
  <c r="N6128" i="11"/>
  <c r="K6128" i="11"/>
  <c r="I6128" i="11"/>
  <c r="N6127" i="11"/>
  <c r="K6127" i="11"/>
  <c r="I6127" i="11"/>
  <c r="N6126" i="11"/>
  <c r="K6126" i="11"/>
  <c r="I6126" i="11"/>
  <c r="N6125" i="11"/>
  <c r="K6125" i="11"/>
  <c r="I6125" i="11"/>
  <c r="N6124" i="11"/>
  <c r="K6124" i="11"/>
  <c r="I6124" i="11"/>
  <c r="N6123" i="11"/>
  <c r="K6123" i="11"/>
  <c r="I6123" i="11"/>
  <c r="N6122" i="11"/>
  <c r="K6122" i="11"/>
  <c r="I6122" i="11"/>
  <c r="N6121" i="11"/>
  <c r="K6121" i="11"/>
  <c r="I6121" i="11"/>
  <c r="N6120" i="11"/>
  <c r="K6120" i="11"/>
  <c r="I6120" i="11"/>
  <c r="N6119" i="11"/>
  <c r="K6119" i="11"/>
  <c r="I6119" i="11"/>
  <c r="N6118" i="11"/>
  <c r="K6118" i="11"/>
  <c r="I6118" i="11"/>
  <c r="N6117" i="11"/>
  <c r="K6117" i="11"/>
  <c r="I6117" i="11"/>
  <c r="N6116" i="11"/>
  <c r="K6116" i="11"/>
  <c r="I6116" i="11"/>
  <c r="N6115" i="11"/>
  <c r="K6115" i="11"/>
  <c r="I6115" i="11"/>
  <c r="N6114" i="11"/>
  <c r="K6114" i="11"/>
  <c r="I6114" i="11"/>
  <c r="N6113" i="11"/>
  <c r="K6113" i="11"/>
  <c r="I6113" i="11"/>
  <c r="N6112" i="11"/>
  <c r="K6112" i="11"/>
  <c r="I6112" i="11"/>
  <c r="N6111" i="11"/>
  <c r="K6111" i="11"/>
  <c r="I6111" i="11"/>
  <c r="N6110" i="11"/>
  <c r="K6110" i="11"/>
  <c r="I6110" i="11"/>
  <c r="N6109" i="11"/>
  <c r="K6109" i="11"/>
  <c r="I6109" i="11"/>
  <c r="N6108" i="11"/>
  <c r="K6108" i="11"/>
  <c r="I6108" i="11"/>
  <c r="N6107" i="11"/>
  <c r="K6107" i="11"/>
  <c r="I6107" i="11"/>
  <c r="N6106" i="11"/>
  <c r="K6106" i="11"/>
  <c r="I6106" i="11"/>
  <c r="N6105" i="11"/>
  <c r="K6105" i="11"/>
  <c r="I6105" i="11"/>
  <c r="N6104" i="11"/>
  <c r="K6104" i="11"/>
  <c r="I6104" i="11"/>
  <c r="N6103" i="11"/>
  <c r="K6103" i="11"/>
  <c r="I6103" i="11"/>
  <c r="N6102" i="11"/>
  <c r="K6102" i="11"/>
  <c r="I6102" i="11"/>
  <c r="N6101" i="11"/>
  <c r="K6101" i="11"/>
  <c r="I6101" i="11"/>
  <c r="N6100" i="11"/>
  <c r="K6100" i="11"/>
  <c r="I6100" i="11"/>
  <c r="N6099" i="11"/>
  <c r="K6099" i="11"/>
  <c r="I6099" i="11"/>
  <c r="N6098" i="11"/>
  <c r="K6098" i="11"/>
  <c r="I6098" i="11"/>
  <c r="N6097" i="11"/>
  <c r="K6097" i="11"/>
  <c r="I6097" i="11"/>
  <c r="N6096" i="11"/>
  <c r="K6096" i="11"/>
  <c r="I6096" i="11"/>
  <c r="N6095" i="11"/>
  <c r="K6095" i="11"/>
  <c r="I6095" i="11"/>
  <c r="N6094" i="11"/>
  <c r="K6094" i="11"/>
  <c r="I6094" i="11"/>
  <c r="N6093" i="11"/>
  <c r="K6093" i="11"/>
  <c r="I6093" i="11"/>
  <c r="N6092" i="11"/>
  <c r="K6092" i="11"/>
  <c r="I6092" i="11"/>
  <c r="N6091" i="11"/>
  <c r="K6091" i="11"/>
  <c r="I6091" i="11"/>
  <c r="N6090" i="11"/>
  <c r="K6090" i="11"/>
  <c r="I6090" i="11"/>
  <c r="N6089" i="11"/>
  <c r="K6089" i="11"/>
  <c r="I6089" i="11"/>
  <c r="N6088" i="11"/>
  <c r="K6088" i="11"/>
  <c r="I6088" i="11"/>
  <c r="N6087" i="11"/>
  <c r="K6087" i="11"/>
  <c r="I6087" i="11"/>
  <c r="N6086" i="11"/>
  <c r="K6086" i="11"/>
  <c r="I6086" i="11"/>
  <c r="N6085" i="11"/>
  <c r="K6085" i="11"/>
  <c r="I6085" i="11"/>
  <c r="N6084" i="11"/>
  <c r="K6084" i="11"/>
  <c r="I6084" i="11"/>
  <c r="N6083" i="11"/>
  <c r="K6083" i="11"/>
  <c r="I6083" i="11"/>
  <c r="N6082" i="11"/>
  <c r="K6082" i="11"/>
  <c r="I6082" i="11"/>
  <c r="N6081" i="11"/>
  <c r="K6081" i="11"/>
  <c r="I6081" i="11"/>
  <c r="N6080" i="11"/>
  <c r="K6080" i="11"/>
  <c r="I6080" i="11"/>
  <c r="N6079" i="11"/>
  <c r="K6079" i="11"/>
  <c r="I6079" i="11"/>
  <c r="N6078" i="11"/>
  <c r="K6078" i="11"/>
  <c r="I6078" i="11"/>
  <c r="N6077" i="11"/>
  <c r="K6077" i="11"/>
  <c r="I6077" i="11"/>
  <c r="N6076" i="11"/>
  <c r="K6076" i="11"/>
  <c r="I6076" i="11"/>
  <c r="N6075" i="11"/>
  <c r="K6075" i="11"/>
  <c r="I6075" i="11"/>
  <c r="N6074" i="11"/>
  <c r="K6074" i="11"/>
  <c r="I6074" i="11"/>
  <c r="N6073" i="11"/>
  <c r="K6073" i="11"/>
  <c r="I6073" i="11"/>
  <c r="N6072" i="11"/>
  <c r="K6072" i="11"/>
  <c r="I6072" i="11"/>
  <c r="N6071" i="11"/>
  <c r="K6071" i="11"/>
  <c r="I6071" i="11"/>
  <c r="N6070" i="11"/>
  <c r="K6070" i="11"/>
  <c r="I6070" i="11"/>
  <c r="N6069" i="11"/>
  <c r="K6069" i="11"/>
  <c r="I6069" i="11"/>
  <c r="N6068" i="11"/>
  <c r="K6068" i="11"/>
  <c r="I6068" i="11"/>
  <c r="N6067" i="11"/>
  <c r="K6067" i="11"/>
  <c r="I6067" i="11"/>
  <c r="N6066" i="11"/>
  <c r="K6066" i="11"/>
  <c r="I6066" i="11"/>
  <c r="N6065" i="11"/>
  <c r="K6065" i="11"/>
  <c r="I6065" i="11"/>
  <c r="N6064" i="11"/>
  <c r="K6064" i="11"/>
  <c r="I6064" i="11"/>
  <c r="N6063" i="11"/>
  <c r="K6063" i="11"/>
  <c r="I6063" i="11"/>
  <c r="N6062" i="11"/>
  <c r="K6062" i="11"/>
  <c r="I6062" i="11"/>
  <c r="N6061" i="11"/>
  <c r="K6061" i="11"/>
  <c r="I6061" i="11"/>
  <c r="N6060" i="11"/>
  <c r="K6060" i="11"/>
  <c r="I6060" i="11"/>
  <c r="N6059" i="11"/>
  <c r="K6059" i="11"/>
  <c r="I6059" i="11"/>
  <c r="N6058" i="11"/>
  <c r="K6058" i="11"/>
  <c r="I6058" i="11"/>
  <c r="N6057" i="11"/>
  <c r="K6057" i="11"/>
  <c r="I6057" i="11"/>
  <c r="N6056" i="11"/>
  <c r="K6056" i="11"/>
  <c r="I6056" i="11"/>
  <c r="N6055" i="11"/>
  <c r="K6055" i="11"/>
  <c r="I6055" i="11"/>
  <c r="N6054" i="11"/>
  <c r="K6054" i="11"/>
  <c r="I6054" i="11"/>
  <c r="N6053" i="11"/>
  <c r="K6053" i="11"/>
  <c r="I6053" i="11"/>
  <c r="N6052" i="11"/>
  <c r="K6052" i="11"/>
  <c r="I6052" i="11"/>
  <c r="N6051" i="11"/>
  <c r="K6051" i="11"/>
  <c r="I6051" i="11"/>
  <c r="N6050" i="11"/>
  <c r="K6050" i="11"/>
  <c r="I6050" i="11"/>
  <c r="N6049" i="11"/>
  <c r="K6049" i="11"/>
  <c r="I6049" i="11"/>
  <c r="N6048" i="11"/>
  <c r="K6048" i="11"/>
  <c r="I6048" i="11"/>
  <c r="N6047" i="11"/>
  <c r="K6047" i="11"/>
  <c r="I6047" i="11"/>
  <c r="N6046" i="11"/>
  <c r="K6046" i="11"/>
  <c r="I6046" i="11"/>
  <c r="N6045" i="11"/>
  <c r="K6045" i="11"/>
  <c r="I6045" i="11"/>
  <c r="N6044" i="11"/>
  <c r="K6044" i="11"/>
  <c r="I6044" i="11"/>
  <c r="N6043" i="11"/>
  <c r="K6043" i="11"/>
  <c r="I6043" i="11"/>
  <c r="N6042" i="11"/>
  <c r="K6042" i="11"/>
  <c r="I6042" i="11"/>
  <c r="N6041" i="11"/>
  <c r="K6041" i="11"/>
  <c r="I6041" i="11"/>
  <c r="N6040" i="11"/>
  <c r="K6040" i="11"/>
  <c r="I6040" i="11"/>
  <c r="N6039" i="11"/>
  <c r="K6039" i="11"/>
  <c r="I6039" i="11"/>
  <c r="N6038" i="11"/>
  <c r="K6038" i="11"/>
  <c r="I6038" i="11"/>
  <c r="N6037" i="11"/>
  <c r="K6037" i="11"/>
  <c r="I6037" i="11"/>
  <c r="N6036" i="11"/>
  <c r="K6036" i="11"/>
  <c r="I6036" i="11"/>
  <c r="N6035" i="11"/>
  <c r="K6035" i="11"/>
  <c r="I6035" i="11"/>
  <c r="N6034" i="11"/>
  <c r="K6034" i="11"/>
  <c r="I6034" i="11"/>
  <c r="N6033" i="11"/>
  <c r="K6033" i="11"/>
  <c r="I6033" i="11"/>
  <c r="N6032" i="11"/>
  <c r="K6032" i="11"/>
  <c r="I6032" i="11"/>
  <c r="N6031" i="11"/>
  <c r="K6031" i="11"/>
  <c r="I6031" i="11"/>
  <c r="N6030" i="11"/>
  <c r="K6030" i="11"/>
  <c r="I6030" i="11"/>
  <c r="N6029" i="11"/>
  <c r="K6029" i="11"/>
  <c r="I6029" i="11"/>
  <c r="N6028" i="11"/>
  <c r="K6028" i="11"/>
  <c r="I6028" i="11"/>
  <c r="N6027" i="11"/>
  <c r="K6027" i="11"/>
  <c r="I6027" i="11"/>
  <c r="N6026" i="11"/>
  <c r="K6026" i="11"/>
  <c r="I6026" i="11"/>
  <c r="N6025" i="11"/>
  <c r="K6025" i="11"/>
  <c r="I6025" i="11"/>
  <c r="N6024" i="11"/>
  <c r="K6024" i="11"/>
  <c r="I6024" i="11"/>
  <c r="N6023" i="11"/>
  <c r="K6023" i="11"/>
  <c r="I6023" i="11"/>
  <c r="N6022" i="11"/>
  <c r="K6022" i="11"/>
  <c r="I6022" i="11"/>
  <c r="N6021" i="11"/>
  <c r="K6021" i="11"/>
  <c r="I6021" i="11"/>
  <c r="N6020" i="11"/>
  <c r="K6020" i="11"/>
  <c r="I6020" i="11"/>
  <c r="N6019" i="11"/>
  <c r="K6019" i="11"/>
  <c r="I6019" i="11"/>
  <c r="N6018" i="11"/>
  <c r="K6018" i="11"/>
  <c r="I6018" i="11"/>
  <c r="N6017" i="11"/>
  <c r="K6017" i="11"/>
  <c r="I6017" i="11"/>
  <c r="N6016" i="11"/>
  <c r="K6016" i="11"/>
  <c r="I6016" i="11"/>
  <c r="N6015" i="11"/>
  <c r="K6015" i="11"/>
  <c r="I6015" i="11"/>
  <c r="N6014" i="11"/>
  <c r="K6014" i="11"/>
  <c r="I6014" i="11"/>
  <c r="N6013" i="11"/>
  <c r="K6013" i="11"/>
  <c r="I6013" i="11"/>
  <c r="N6012" i="11"/>
  <c r="K6012" i="11"/>
  <c r="I6012" i="11"/>
  <c r="N6011" i="11"/>
  <c r="K6011" i="11"/>
  <c r="I6011" i="11"/>
  <c r="N6010" i="11"/>
  <c r="K6010" i="11"/>
  <c r="I6010" i="11"/>
  <c r="N6009" i="11"/>
  <c r="K6009" i="11"/>
  <c r="I6009" i="11"/>
  <c r="N6008" i="11"/>
  <c r="K6008" i="11"/>
  <c r="I6008" i="11"/>
  <c r="N6007" i="11"/>
  <c r="K6007" i="11"/>
  <c r="I6007" i="11"/>
  <c r="N6006" i="11"/>
  <c r="K6006" i="11"/>
  <c r="I6006" i="11"/>
  <c r="N6005" i="11"/>
  <c r="K6005" i="11"/>
  <c r="I6005" i="11"/>
  <c r="N6004" i="11"/>
  <c r="K6004" i="11"/>
  <c r="I6004" i="11"/>
  <c r="N6003" i="11"/>
  <c r="K6003" i="11"/>
  <c r="I6003" i="11"/>
  <c r="N6002" i="11"/>
  <c r="K6002" i="11"/>
  <c r="I6002" i="11"/>
  <c r="N6001" i="11"/>
  <c r="K6001" i="11"/>
  <c r="I6001" i="11"/>
  <c r="N6000" i="11"/>
  <c r="K6000" i="11"/>
  <c r="I6000" i="11"/>
  <c r="N5999" i="11"/>
  <c r="K5999" i="11"/>
  <c r="I5999" i="11"/>
  <c r="N5998" i="11"/>
  <c r="K5998" i="11"/>
  <c r="I5998" i="11"/>
  <c r="N5997" i="11"/>
  <c r="K5997" i="11"/>
  <c r="I5997" i="11"/>
  <c r="N5996" i="11"/>
  <c r="K5996" i="11"/>
  <c r="I5996" i="11"/>
  <c r="N5995" i="11"/>
  <c r="K5995" i="11"/>
  <c r="I5995" i="11"/>
  <c r="N5994" i="11"/>
  <c r="K5994" i="11"/>
  <c r="I5994" i="11"/>
  <c r="N5993" i="11"/>
  <c r="K5993" i="11"/>
  <c r="I5993" i="11"/>
  <c r="N5992" i="11"/>
  <c r="K5992" i="11"/>
  <c r="I5992" i="11"/>
  <c r="N5991" i="11"/>
  <c r="K5991" i="11"/>
  <c r="I5991" i="11"/>
  <c r="N5990" i="11"/>
  <c r="K5990" i="11"/>
  <c r="I5990" i="11"/>
  <c r="N5989" i="11"/>
  <c r="K5989" i="11"/>
  <c r="I5989" i="11"/>
  <c r="N5988" i="11"/>
  <c r="K5988" i="11"/>
  <c r="I5988" i="11"/>
  <c r="N5987" i="11"/>
  <c r="K5987" i="11"/>
  <c r="I5987" i="11"/>
  <c r="N5986" i="11"/>
  <c r="K5986" i="11"/>
  <c r="I5986" i="11"/>
  <c r="N5985" i="11"/>
  <c r="K5985" i="11"/>
  <c r="I5985" i="11"/>
  <c r="N5984" i="11"/>
  <c r="K5984" i="11"/>
  <c r="I5984" i="11"/>
  <c r="N5983" i="11"/>
  <c r="K5983" i="11"/>
  <c r="I5983" i="11"/>
  <c r="N5982" i="11"/>
  <c r="K5982" i="11"/>
  <c r="I5982" i="11"/>
  <c r="N5981" i="11"/>
  <c r="K5981" i="11"/>
  <c r="I5981" i="11"/>
  <c r="N5980" i="11"/>
  <c r="K5980" i="11"/>
  <c r="I5980" i="11"/>
  <c r="N5979" i="11"/>
  <c r="K5979" i="11"/>
  <c r="I5979" i="11"/>
  <c r="N5978" i="11"/>
  <c r="K5978" i="11"/>
  <c r="I5978" i="11"/>
  <c r="N5977" i="11"/>
  <c r="K5977" i="11"/>
  <c r="I5977" i="11"/>
  <c r="N5976" i="11"/>
  <c r="K5976" i="11"/>
  <c r="I5976" i="11"/>
  <c r="N5975" i="11"/>
  <c r="K5975" i="11"/>
  <c r="I5975" i="11"/>
  <c r="N5974" i="11"/>
  <c r="K5974" i="11"/>
  <c r="I5974" i="11"/>
  <c r="N5973" i="11"/>
  <c r="K5973" i="11"/>
  <c r="I5973" i="11"/>
  <c r="N5972" i="11"/>
  <c r="K5972" i="11"/>
  <c r="I5972" i="11"/>
  <c r="N5971" i="11"/>
  <c r="K5971" i="11"/>
  <c r="I5971" i="11"/>
  <c r="N5970" i="11"/>
  <c r="K5970" i="11"/>
  <c r="I5970" i="11"/>
  <c r="N5969" i="11"/>
  <c r="K5969" i="11"/>
  <c r="I5969" i="11"/>
  <c r="N5968" i="11"/>
  <c r="K5968" i="11"/>
  <c r="I5968" i="11"/>
  <c r="N5967" i="11"/>
  <c r="K5967" i="11"/>
  <c r="I5967" i="11"/>
  <c r="N5966" i="11"/>
  <c r="K5966" i="11"/>
  <c r="I5966" i="11"/>
  <c r="N5965" i="11"/>
  <c r="K5965" i="11"/>
  <c r="I5965" i="11"/>
  <c r="N5964" i="11"/>
  <c r="K5964" i="11"/>
  <c r="I5964" i="11"/>
  <c r="N5963" i="11"/>
  <c r="K5963" i="11"/>
  <c r="I5963" i="11"/>
  <c r="N5962" i="11"/>
  <c r="K5962" i="11"/>
  <c r="I5962" i="11"/>
  <c r="N5961" i="11"/>
  <c r="K5961" i="11"/>
  <c r="I5961" i="11"/>
  <c r="N5960" i="11"/>
  <c r="K5960" i="11"/>
  <c r="I5960" i="11"/>
  <c r="N5959" i="11"/>
  <c r="K5959" i="11"/>
  <c r="I5959" i="11"/>
  <c r="N5958" i="11"/>
  <c r="K5958" i="11"/>
  <c r="I5958" i="11"/>
  <c r="N5957" i="11"/>
  <c r="K5957" i="11"/>
  <c r="I5957" i="11"/>
  <c r="N5956" i="11"/>
  <c r="K5956" i="11"/>
  <c r="I5956" i="11"/>
  <c r="N5955" i="11"/>
  <c r="K5955" i="11"/>
  <c r="I5955" i="11"/>
  <c r="N5954" i="11"/>
  <c r="K5954" i="11"/>
  <c r="I5954" i="11"/>
  <c r="N5953" i="11"/>
  <c r="K5953" i="11"/>
  <c r="I5953" i="11"/>
  <c r="N5952" i="11"/>
  <c r="K5952" i="11"/>
  <c r="I5952" i="11"/>
  <c r="N5951" i="11"/>
  <c r="K5951" i="11"/>
  <c r="I5951" i="11"/>
  <c r="N5950" i="11"/>
  <c r="K5950" i="11"/>
  <c r="I5950" i="11"/>
  <c r="N5949" i="11"/>
  <c r="K5949" i="11"/>
  <c r="I5949" i="11"/>
  <c r="N5948" i="11"/>
  <c r="K5948" i="11"/>
  <c r="I5948" i="11"/>
  <c r="N5947" i="11"/>
  <c r="K5947" i="11"/>
  <c r="I5947" i="11"/>
  <c r="N5946" i="11"/>
  <c r="K5946" i="11"/>
  <c r="I5946" i="11"/>
  <c r="N5945" i="11"/>
  <c r="K5945" i="11"/>
  <c r="I5945" i="11"/>
  <c r="N5944" i="11"/>
  <c r="K5944" i="11"/>
  <c r="I5944" i="11"/>
  <c r="N5943" i="11"/>
  <c r="K5943" i="11"/>
  <c r="I5943" i="11"/>
  <c r="N5942" i="11"/>
  <c r="K5942" i="11"/>
  <c r="I5942" i="11"/>
  <c r="N5941" i="11"/>
  <c r="K5941" i="11"/>
  <c r="I5941" i="11"/>
  <c r="N5940" i="11"/>
  <c r="K5940" i="11"/>
  <c r="I5940" i="11"/>
  <c r="N5939" i="11"/>
  <c r="K5939" i="11"/>
  <c r="I5939" i="11"/>
  <c r="N5938" i="11"/>
  <c r="K5938" i="11"/>
  <c r="I5938" i="11"/>
  <c r="N5937" i="11"/>
  <c r="K5937" i="11"/>
  <c r="I5937" i="11"/>
  <c r="N5936" i="11"/>
  <c r="K5936" i="11"/>
  <c r="I5936" i="11"/>
  <c r="N5935" i="11"/>
  <c r="K5935" i="11"/>
  <c r="I5935" i="11"/>
  <c r="N5934" i="11"/>
  <c r="K5934" i="11"/>
  <c r="I5934" i="11"/>
  <c r="N5933" i="11"/>
  <c r="K5933" i="11"/>
  <c r="I5933" i="11"/>
  <c r="N5932" i="11"/>
  <c r="K5932" i="11"/>
  <c r="I5932" i="11"/>
  <c r="N5931" i="11"/>
  <c r="K5931" i="11"/>
  <c r="I5931" i="11"/>
  <c r="N5930" i="11"/>
  <c r="K5930" i="11"/>
  <c r="I5930" i="11"/>
  <c r="N5929" i="11"/>
  <c r="K5929" i="11"/>
  <c r="I5929" i="11"/>
  <c r="N5928" i="11"/>
  <c r="K5928" i="11"/>
  <c r="I5928" i="11"/>
  <c r="N5927" i="11"/>
  <c r="K5927" i="11"/>
  <c r="I5927" i="11"/>
  <c r="N5926" i="11"/>
  <c r="K5926" i="11"/>
  <c r="I5926" i="11"/>
  <c r="N5925" i="11"/>
  <c r="K5925" i="11"/>
  <c r="I5925" i="11"/>
  <c r="N5924" i="11"/>
  <c r="K5924" i="11"/>
  <c r="I5924" i="11"/>
  <c r="N5923" i="11"/>
  <c r="K5923" i="11"/>
  <c r="I5923" i="11"/>
  <c r="N5922" i="11"/>
  <c r="K5922" i="11"/>
  <c r="I5922" i="11"/>
  <c r="N5921" i="11"/>
  <c r="K5921" i="11"/>
  <c r="I5921" i="11"/>
  <c r="N5920" i="11"/>
  <c r="K5920" i="11"/>
  <c r="I5920" i="11"/>
  <c r="N5919" i="11"/>
  <c r="K5919" i="11"/>
  <c r="I5919" i="11"/>
  <c r="N5918" i="11"/>
  <c r="K5918" i="11"/>
  <c r="I5918" i="11"/>
  <c r="N5917" i="11"/>
  <c r="K5917" i="11"/>
  <c r="I5917" i="11"/>
  <c r="N5916" i="11"/>
  <c r="K5916" i="11"/>
  <c r="I5916" i="11"/>
  <c r="N5915" i="11"/>
  <c r="K5915" i="11"/>
  <c r="I5915" i="11"/>
  <c r="N5914" i="11"/>
  <c r="K5914" i="11"/>
  <c r="I5914" i="11"/>
  <c r="N5913" i="11"/>
  <c r="K5913" i="11"/>
  <c r="I5913" i="11"/>
  <c r="N5912" i="11"/>
  <c r="K5912" i="11"/>
  <c r="I5912" i="11"/>
  <c r="N5911" i="11"/>
  <c r="K5911" i="11"/>
  <c r="I5911" i="11"/>
  <c r="N5910" i="11"/>
  <c r="K5910" i="11"/>
  <c r="I5910" i="11"/>
  <c r="N5909" i="11"/>
  <c r="K5909" i="11"/>
  <c r="I5909" i="11"/>
  <c r="N5908" i="11"/>
  <c r="K5908" i="11"/>
  <c r="I5908" i="11"/>
  <c r="N5907" i="11"/>
  <c r="K5907" i="11"/>
  <c r="I5907" i="11"/>
  <c r="N5906" i="11"/>
  <c r="K5906" i="11"/>
  <c r="I5906" i="11"/>
  <c r="N5905" i="11"/>
  <c r="K5905" i="11"/>
  <c r="I5905" i="11"/>
  <c r="N5904" i="11"/>
  <c r="K5904" i="11"/>
  <c r="I5904" i="11"/>
  <c r="N5903" i="11"/>
  <c r="K5903" i="11"/>
  <c r="I5903" i="11"/>
  <c r="N5902" i="11"/>
  <c r="K5902" i="11"/>
  <c r="I5902" i="11"/>
  <c r="N5901" i="11"/>
  <c r="K5901" i="11"/>
  <c r="I5901" i="11"/>
  <c r="N5900" i="11"/>
  <c r="K5900" i="11"/>
  <c r="I5900" i="11"/>
  <c r="N5899" i="11"/>
  <c r="K5899" i="11"/>
  <c r="I5899" i="11"/>
  <c r="N5898" i="11"/>
  <c r="K5898" i="11"/>
  <c r="I5898" i="11"/>
  <c r="N5897" i="11"/>
  <c r="K5897" i="11"/>
  <c r="I5897" i="11"/>
  <c r="N5896" i="11"/>
  <c r="K5896" i="11"/>
  <c r="I5896" i="11"/>
  <c r="N5895" i="11"/>
  <c r="K5895" i="11"/>
  <c r="I5895" i="11"/>
  <c r="N5894" i="11"/>
  <c r="K5894" i="11"/>
  <c r="I5894" i="11"/>
  <c r="N5893" i="11"/>
  <c r="K5893" i="11"/>
  <c r="I5893" i="11"/>
  <c r="N5892" i="11"/>
  <c r="K5892" i="11"/>
  <c r="I5892" i="11"/>
  <c r="N5891" i="11"/>
  <c r="K5891" i="11"/>
  <c r="I5891" i="11"/>
  <c r="N5890" i="11"/>
  <c r="K5890" i="11"/>
  <c r="I5890" i="11"/>
  <c r="N5889" i="11"/>
  <c r="K5889" i="11"/>
  <c r="I5889" i="11"/>
  <c r="N5888" i="11"/>
  <c r="K5888" i="11"/>
  <c r="I5888" i="11"/>
  <c r="N5887" i="11"/>
  <c r="K5887" i="11"/>
  <c r="I5887" i="11"/>
  <c r="N5886" i="11"/>
  <c r="K5886" i="11"/>
  <c r="I5886" i="11"/>
  <c r="N5885" i="11"/>
  <c r="K5885" i="11"/>
  <c r="I5885" i="11"/>
  <c r="N5884" i="11"/>
  <c r="K5884" i="11"/>
  <c r="I5884" i="11"/>
  <c r="N5883" i="11"/>
  <c r="K5883" i="11"/>
  <c r="I5883" i="11"/>
  <c r="N5882" i="11"/>
  <c r="K5882" i="11"/>
  <c r="I5882" i="11"/>
  <c r="N5881" i="11"/>
  <c r="K5881" i="11"/>
  <c r="I5881" i="11"/>
  <c r="N5880" i="11"/>
  <c r="K5880" i="11"/>
  <c r="I5880" i="11"/>
  <c r="N5879" i="11"/>
  <c r="K5879" i="11"/>
  <c r="I5879" i="11"/>
  <c r="N5878" i="11"/>
  <c r="K5878" i="11"/>
  <c r="I5878" i="11"/>
  <c r="N5877" i="11"/>
  <c r="K5877" i="11"/>
  <c r="I5877" i="11"/>
  <c r="N5876" i="11"/>
  <c r="K5876" i="11"/>
  <c r="I5876" i="11"/>
  <c r="N5875" i="11"/>
  <c r="K5875" i="11"/>
  <c r="I5875" i="11"/>
  <c r="N5874" i="11"/>
  <c r="K5874" i="11"/>
  <c r="I5874" i="11"/>
  <c r="N5873" i="11"/>
  <c r="K5873" i="11"/>
  <c r="I5873" i="11"/>
  <c r="N5872" i="11"/>
  <c r="K5872" i="11"/>
  <c r="I5872" i="11"/>
  <c r="N5871" i="11"/>
  <c r="K5871" i="11"/>
  <c r="I5871" i="11"/>
  <c r="N5870" i="11"/>
  <c r="K5870" i="11"/>
  <c r="I5870" i="11"/>
  <c r="N5869" i="11"/>
  <c r="K5869" i="11"/>
  <c r="I5869" i="11"/>
  <c r="N5868" i="11"/>
  <c r="K5868" i="11"/>
  <c r="I5868" i="11"/>
  <c r="N5867" i="11"/>
  <c r="K5867" i="11"/>
  <c r="I5867" i="11"/>
  <c r="N5866" i="11"/>
  <c r="K5866" i="11"/>
  <c r="I5866" i="11"/>
  <c r="N5865" i="11"/>
  <c r="K5865" i="11"/>
  <c r="I5865" i="11"/>
  <c r="N5864" i="11"/>
  <c r="K5864" i="11"/>
  <c r="I5864" i="11"/>
  <c r="N5863" i="11"/>
  <c r="K5863" i="11"/>
  <c r="I5863" i="11"/>
  <c r="N5862" i="11"/>
  <c r="K5862" i="11"/>
  <c r="I5862" i="11"/>
  <c r="N5861" i="11"/>
  <c r="K5861" i="11"/>
  <c r="I5861" i="11"/>
  <c r="N5860" i="11"/>
  <c r="K5860" i="11"/>
  <c r="I5860" i="11"/>
  <c r="N5859" i="11"/>
  <c r="K5859" i="11"/>
  <c r="I5859" i="11"/>
  <c r="N5858" i="11"/>
  <c r="K5858" i="11"/>
  <c r="I5858" i="11"/>
  <c r="N5857" i="11"/>
  <c r="K5857" i="11"/>
  <c r="I5857" i="11"/>
  <c r="N5856" i="11"/>
  <c r="K5856" i="11"/>
  <c r="I5856" i="11"/>
  <c r="N5855" i="11"/>
  <c r="K5855" i="11"/>
  <c r="I5855" i="11"/>
  <c r="N5854" i="11"/>
  <c r="K5854" i="11"/>
  <c r="I5854" i="11"/>
  <c r="N5853" i="11"/>
  <c r="K5853" i="11"/>
  <c r="I5853" i="11"/>
  <c r="N5852" i="11"/>
  <c r="K5852" i="11"/>
  <c r="I5852" i="11"/>
  <c r="N5851" i="11"/>
  <c r="K5851" i="11"/>
  <c r="I5851" i="11"/>
  <c r="N5850" i="11"/>
  <c r="K5850" i="11"/>
  <c r="I5850" i="11"/>
  <c r="N5849" i="11"/>
  <c r="K5849" i="11"/>
  <c r="I5849" i="11"/>
  <c r="N5848" i="11"/>
  <c r="K5848" i="11"/>
  <c r="I5848" i="11"/>
  <c r="N5847" i="11"/>
  <c r="K5847" i="11"/>
  <c r="I5847" i="11"/>
  <c r="N5846" i="11"/>
  <c r="K5846" i="11"/>
  <c r="I5846" i="11"/>
  <c r="N5845" i="11"/>
  <c r="K5845" i="11"/>
  <c r="I5845" i="11"/>
  <c r="N5844" i="11"/>
  <c r="K5844" i="11"/>
  <c r="I5844" i="11"/>
  <c r="N5843" i="11"/>
  <c r="K5843" i="11"/>
  <c r="I5843" i="11"/>
  <c r="N5842" i="11"/>
  <c r="K5842" i="11"/>
  <c r="I5842" i="11"/>
  <c r="N5841" i="11"/>
  <c r="K5841" i="11"/>
  <c r="I5841" i="11"/>
  <c r="N5840" i="11"/>
  <c r="K5840" i="11"/>
  <c r="I5840" i="11"/>
  <c r="N5839" i="11"/>
  <c r="K5839" i="11"/>
  <c r="I5839" i="11"/>
  <c r="N5838" i="11"/>
  <c r="K5838" i="11"/>
  <c r="I5838" i="11"/>
  <c r="N5837" i="11"/>
  <c r="K5837" i="11"/>
  <c r="I5837" i="11"/>
  <c r="N5836" i="11"/>
  <c r="K5836" i="11"/>
  <c r="I5836" i="11"/>
  <c r="N5835" i="11"/>
  <c r="K5835" i="11"/>
  <c r="I5835" i="11"/>
  <c r="N5834" i="11"/>
  <c r="K5834" i="11"/>
  <c r="I5834" i="11"/>
  <c r="N5833" i="11"/>
  <c r="K5833" i="11"/>
  <c r="I5833" i="11"/>
  <c r="N5832" i="11"/>
  <c r="K5832" i="11"/>
  <c r="I5832" i="11"/>
  <c r="N5831" i="11"/>
  <c r="K5831" i="11"/>
  <c r="I5831" i="11"/>
  <c r="N5830" i="11"/>
  <c r="K5830" i="11"/>
  <c r="I5830" i="11"/>
  <c r="N5829" i="11"/>
  <c r="K5829" i="11"/>
  <c r="I5829" i="11"/>
  <c r="N5828" i="11"/>
  <c r="K5828" i="11"/>
  <c r="I5828" i="11"/>
  <c r="N5827" i="11"/>
  <c r="K5827" i="11"/>
  <c r="I5827" i="11"/>
  <c r="N5826" i="11"/>
  <c r="K5826" i="11"/>
  <c r="I5826" i="11"/>
  <c r="N5825" i="11"/>
  <c r="K5825" i="11"/>
  <c r="I5825" i="11"/>
  <c r="N5824" i="11"/>
  <c r="K5824" i="11"/>
  <c r="I5824" i="11"/>
  <c r="N5823" i="11"/>
  <c r="K5823" i="11"/>
  <c r="I5823" i="11"/>
  <c r="N5822" i="11"/>
  <c r="K5822" i="11"/>
  <c r="I5822" i="11"/>
  <c r="N5821" i="11"/>
  <c r="K5821" i="11"/>
  <c r="I5821" i="11"/>
  <c r="N5820" i="11"/>
  <c r="K5820" i="11"/>
  <c r="I5820" i="11"/>
  <c r="N5819" i="11"/>
  <c r="K5819" i="11"/>
  <c r="I5819" i="11"/>
  <c r="N5818" i="11"/>
  <c r="K5818" i="11"/>
  <c r="I5818" i="11"/>
  <c r="N5817" i="11"/>
  <c r="K5817" i="11"/>
  <c r="I5817" i="11"/>
  <c r="N5816" i="11"/>
  <c r="K5816" i="11"/>
  <c r="I5816" i="11"/>
  <c r="N5815" i="11"/>
  <c r="K5815" i="11"/>
  <c r="I5815" i="11"/>
  <c r="N5814" i="11"/>
  <c r="K5814" i="11"/>
  <c r="I5814" i="11"/>
  <c r="N5813" i="11"/>
  <c r="K5813" i="11"/>
  <c r="I5813" i="11"/>
  <c r="N5812" i="11"/>
  <c r="K5812" i="11"/>
  <c r="I5812" i="11"/>
  <c r="N5811" i="11"/>
  <c r="K5811" i="11"/>
  <c r="I5811" i="11"/>
  <c r="N5810" i="11"/>
  <c r="K5810" i="11"/>
  <c r="I5810" i="11"/>
  <c r="N5809" i="11"/>
  <c r="K5809" i="11"/>
  <c r="I5809" i="11"/>
  <c r="N5808" i="11"/>
  <c r="K5808" i="11"/>
  <c r="I5808" i="11"/>
  <c r="N5807" i="11"/>
  <c r="K5807" i="11"/>
  <c r="I5807" i="11"/>
  <c r="N5806" i="11"/>
  <c r="K5806" i="11"/>
  <c r="I5806" i="11"/>
  <c r="N5805" i="11"/>
  <c r="K5805" i="11"/>
  <c r="I5805" i="11"/>
  <c r="N5804" i="11"/>
  <c r="K5804" i="11"/>
  <c r="I5804" i="11"/>
  <c r="N5803" i="11"/>
  <c r="K5803" i="11"/>
  <c r="I5803" i="11"/>
  <c r="N5802" i="11"/>
  <c r="K5802" i="11"/>
  <c r="I5802" i="11"/>
  <c r="N5801" i="11"/>
  <c r="K5801" i="11"/>
  <c r="I5801" i="11"/>
  <c r="N5800" i="11"/>
  <c r="K5800" i="11"/>
  <c r="I5800" i="11"/>
  <c r="N5799" i="11"/>
  <c r="K5799" i="11"/>
  <c r="I5799" i="11"/>
  <c r="N5798" i="11"/>
  <c r="K5798" i="11"/>
  <c r="I5798" i="11"/>
  <c r="N5797" i="11"/>
  <c r="K5797" i="11"/>
  <c r="I5797" i="11"/>
  <c r="N5796" i="11"/>
  <c r="K5796" i="11"/>
  <c r="I5796" i="11"/>
  <c r="N5795" i="11"/>
  <c r="K5795" i="11"/>
  <c r="I5795" i="11"/>
  <c r="N5794" i="11"/>
  <c r="K5794" i="11"/>
  <c r="I5794" i="11"/>
  <c r="N5793" i="11"/>
  <c r="K5793" i="11"/>
  <c r="I5793" i="11"/>
  <c r="N5792" i="11"/>
  <c r="K5792" i="11"/>
  <c r="I5792" i="11"/>
  <c r="N5791" i="11"/>
  <c r="K5791" i="11"/>
  <c r="I5791" i="11"/>
  <c r="N5790" i="11"/>
  <c r="K5790" i="11"/>
  <c r="I5790" i="11"/>
  <c r="N5789" i="11"/>
  <c r="K5789" i="11"/>
  <c r="I5789" i="11"/>
  <c r="N5788" i="11"/>
  <c r="K5788" i="11"/>
  <c r="I5788" i="11"/>
  <c r="N5787" i="11"/>
  <c r="K5787" i="11"/>
  <c r="I5787" i="11"/>
  <c r="N5786" i="11"/>
  <c r="K5786" i="11"/>
  <c r="I5786" i="11"/>
  <c r="N5785" i="11"/>
  <c r="K5785" i="11"/>
  <c r="I5785" i="11"/>
  <c r="N5784" i="11"/>
  <c r="K5784" i="11"/>
  <c r="I5784" i="11"/>
  <c r="N5783" i="11"/>
  <c r="K5783" i="11"/>
  <c r="I5783" i="11"/>
  <c r="N5782" i="11"/>
  <c r="K5782" i="11"/>
  <c r="I5782" i="11"/>
  <c r="N5781" i="11"/>
  <c r="K5781" i="11"/>
  <c r="I5781" i="11"/>
  <c r="N5780" i="11"/>
  <c r="K5780" i="11"/>
  <c r="I5780" i="11"/>
  <c r="N5779" i="11"/>
  <c r="K5779" i="11"/>
  <c r="I5779" i="11"/>
  <c r="N5778" i="11"/>
  <c r="K5778" i="11"/>
  <c r="I5778" i="11"/>
  <c r="N5777" i="11"/>
  <c r="K5777" i="11"/>
  <c r="I5777" i="11"/>
  <c r="N5776" i="11"/>
  <c r="K5776" i="11"/>
  <c r="I5776" i="11"/>
  <c r="N5775" i="11"/>
  <c r="K5775" i="11"/>
  <c r="I5775" i="11"/>
  <c r="N5774" i="11"/>
  <c r="K5774" i="11"/>
  <c r="I5774" i="11"/>
  <c r="N5773" i="11"/>
  <c r="K5773" i="11"/>
  <c r="I5773" i="11"/>
  <c r="N5772" i="11"/>
  <c r="K5772" i="11"/>
  <c r="I5772" i="11"/>
  <c r="N5771" i="11"/>
  <c r="K5771" i="11"/>
  <c r="I5771" i="11"/>
  <c r="N5770" i="11"/>
  <c r="K5770" i="11"/>
  <c r="I5770" i="11"/>
  <c r="N5769" i="11"/>
  <c r="K5769" i="11"/>
  <c r="I5769" i="11"/>
  <c r="N5768" i="11"/>
  <c r="K5768" i="11"/>
  <c r="I5768" i="11"/>
  <c r="N5767" i="11"/>
  <c r="K5767" i="11"/>
  <c r="I5767" i="11"/>
  <c r="N5766" i="11"/>
  <c r="K5766" i="11"/>
  <c r="I5766" i="11"/>
  <c r="N5765" i="11"/>
  <c r="K5765" i="11"/>
  <c r="I5765" i="11"/>
  <c r="N5764" i="11"/>
  <c r="K5764" i="11"/>
  <c r="I5764" i="11"/>
  <c r="N5763" i="11"/>
  <c r="K5763" i="11"/>
  <c r="I5763" i="11"/>
  <c r="N5762" i="11"/>
  <c r="K5762" i="11"/>
  <c r="I5762" i="11"/>
  <c r="N5761" i="11"/>
  <c r="K5761" i="11"/>
  <c r="I5761" i="11"/>
  <c r="N5760" i="11"/>
  <c r="K5760" i="11"/>
  <c r="I5760" i="11"/>
  <c r="N5759" i="11"/>
  <c r="K5759" i="11"/>
  <c r="I5759" i="11"/>
  <c r="N5758" i="11"/>
  <c r="K5758" i="11"/>
  <c r="I5758" i="11"/>
  <c r="N5757" i="11"/>
  <c r="K5757" i="11"/>
  <c r="I5757" i="11"/>
  <c r="N5756" i="11"/>
  <c r="K5756" i="11"/>
  <c r="I5756" i="11"/>
  <c r="N5755" i="11"/>
  <c r="K5755" i="11"/>
  <c r="I5755" i="11"/>
  <c r="N5754" i="11"/>
  <c r="K5754" i="11"/>
  <c r="I5754" i="11"/>
  <c r="N5753" i="11"/>
  <c r="K5753" i="11"/>
  <c r="I5753" i="11"/>
  <c r="N5752" i="11"/>
  <c r="K5752" i="11"/>
  <c r="I5752" i="11"/>
  <c r="N5751" i="11"/>
  <c r="K5751" i="11"/>
  <c r="I5751" i="11"/>
  <c r="N5750" i="11"/>
  <c r="K5750" i="11"/>
  <c r="I5750" i="11"/>
  <c r="N5749" i="11"/>
  <c r="K5749" i="11"/>
  <c r="I5749" i="11"/>
  <c r="N5748" i="11"/>
  <c r="K5748" i="11"/>
  <c r="I5748" i="11"/>
  <c r="N5747" i="11"/>
  <c r="K5747" i="11"/>
  <c r="I5747" i="11"/>
  <c r="N5746" i="11"/>
  <c r="K5746" i="11"/>
  <c r="I5746" i="11"/>
  <c r="N5745" i="11"/>
  <c r="K5745" i="11"/>
  <c r="I5745" i="11"/>
  <c r="N5744" i="11"/>
  <c r="K5744" i="11"/>
  <c r="I5744" i="11"/>
  <c r="N5743" i="11"/>
  <c r="K5743" i="11"/>
  <c r="I5743" i="11"/>
  <c r="N5742" i="11"/>
  <c r="K5742" i="11"/>
  <c r="I5742" i="11"/>
  <c r="N5741" i="11"/>
  <c r="K5741" i="11"/>
  <c r="I5741" i="11"/>
  <c r="N5740" i="11"/>
  <c r="K5740" i="11"/>
  <c r="I5740" i="11"/>
  <c r="N5739" i="11"/>
  <c r="K5739" i="11"/>
  <c r="I5739" i="11"/>
  <c r="N5738" i="11"/>
  <c r="K5738" i="11"/>
  <c r="I5738" i="11"/>
  <c r="N5737" i="11"/>
  <c r="K5737" i="11"/>
  <c r="I5737" i="11"/>
  <c r="N5736" i="11"/>
  <c r="K5736" i="11"/>
  <c r="I5736" i="11"/>
  <c r="N5735" i="11"/>
  <c r="K5735" i="11"/>
  <c r="I5735" i="11"/>
  <c r="N5734" i="11"/>
  <c r="K5734" i="11"/>
  <c r="I5734" i="11"/>
  <c r="N5733" i="11"/>
  <c r="K5733" i="11"/>
  <c r="I5733" i="11"/>
  <c r="N5732" i="11"/>
  <c r="K5732" i="11"/>
  <c r="I5732" i="11"/>
  <c r="N5731" i="11"/>
  <c r="K5731" i="11"/>
  <c r="I5731" i="11"/>
  <c r="N5730" i="11"/>
  <c r="K5730" i="11"/>
  <c r="I5730" i="11"/>
  <c r="N5729" i="11"/>
  <c r="K5729" i="11"/>
  <c r="I5729" i="11"/>
  <c r="N5728" i="11"/>
  <c r="K5728" i="11"/>
  <c r="I5728" i="11"/>
  <c r="N5727" i="11"/>
  <c r="K5727" i="11"/>
  <c r="I5727" i="11"/>
  <c r="N5726" i="11"/>
  <c r="K5726" i="11"/>
  <c r="I5726" i="11"/>
  <c r="N5725" i="11"/>
  <c r="K5725" i="11"/>
  <c r="I5725" i="11"/>
  <c r="N5724" i="11"/>
  <c r="K5724" i="11"/>
  <c r="I5724" i="11"/>
  <c r="N5723" i="11"/>
  <c r="K5723" i="11"/>
  <c r="I5723" i="11"/>
  <c r="N5722" i="11"/>
  <c r="K5722" i="11"/>
  <c r="I5722" i="11"/>
  <c r="N5721" i="11"/>
  <c r="K5721" i="11"/>
  <c r="I5721" i="11"/>
  <c r="N5720" i="11"/>
  <c r="K5720" i="11"/>
  <c r="I5720" i="11"/>
  <c r="N5719" i="11"/>
  <c r="K5719" i="11"/>
  <c r="I5719" i="11"/>
  <c r="N5718" i="11"/>
  <c r="K5718" i="11"/>
  <c r="I5718" i="11"/>
  <c r="N5717" i="11"/>
  <c r="K5717" i="11"/>
  <c r="I5717" i="11"/>
  <c r="K5716" i="11"/>
  <c r="I5716" i="11"/>
  <c r="N5715" i="11"/>
  <c r="K5715" i="11"/>
  <c r="I5715" i="11"/>
  <c r="N5714" i="11"/>
  <c r="K5714" i="11"/>
  <c r="I5714" i="11"/>
  <c r="N5713" i="11"/>
  <c r="K5713" i="11"/>
  <c r="I5713" i="11"/>
  <c r="N5712" i="11"/>
  <c r="K5712" i="11"/>
  <c r="I5712" i="11"/>
  <c r="N5711" i="11"/>
  <c r="K5711" i="11"/>
  <c r="I5711" i="11"/>
  <c r="N5710" i="11"/>
  <c r="K5710" i="11"/>
  <c r="I5710" i="11"/>
  <c r="N5709" i="11"/>
  <c r="K5709" i="11"/>
  <c r="I5709" i="11"/>
  <c r="N5708" i="11"/>
  <c r="K5708" i="11"/>
  <c r="I5708" i="11"/>
  <c r="N5707" i="11"/>
  <c r="K5707" i="11"/>
  <c r="I5707" i="11"/>
  <c r="N5706" i="11"/>
  <c r="K5706" i="11"/>
  <c r="I5706" i="11"/>
  <c r="N5705" i="11"/>
  <c r="K5705" i="11"/>
  <c r="I5705" i="11"/>
  <c r="N5704" i="11"/>
  <c r="K5704" i="11"/>
  <c r="I5704" i="11"/>
  <c r="N5703" i="11"/>
  <c r="K5703" i="11"/>
  <c r="I5703" i="11"/>
  <c r="N5702" i="11"/>
  <c r="K5702" i="11"/>
  <c r="I5702" i="11"/>
  <c r="N5701" i="11"/>
  <c r="K5701" i="11"/>
  <c r="I5701" i="11"/>
  <c r="N5700" i="11"/>
  <c r="K5700" i="11"/>
  <c r="I5700" i="11"/>
  <c r="N5699" i="11"/>
  <c r="K5699" i="11"/>
  <c r="I5699" i="11"/>
  <c r="N5698" i="11"/>
  <c r="K5698" i="11"/>
  <c r="I5698" i="11"/>
  <c r="N5697" i="11"/>
  <c r="K5697" i="11"/>
  <c r="I5697" i="11"/>
  <c r="N5696" i="11"/>
  <c r="K5696" i="11"/>
  <c r="I5696" i="11"/>
  <c r="N5695" i="11"/>
  <c r="K5695" i="11"/>
  <c r="I5695" i="11"/>
  <c r="N5694" i="11"/>
  <c r="K5694" i="11"/>
  <c r="I5694" i="11"/>
  <c r="N5693" i="11"/>
  <c r="K5693" i="11"/>
  <c r="I5693" i="11"/>
  <c r="N5692" i="11"/>
  <c r="K5692" i="11"/>
  <c r="I5692" i="11"/>
  <c r="N5691" i="11"/>
  <c r="K5691" i="11"/>
  <c r="I5691" i="11"/>
  <c r="N5690" i="11"/>
  <c r="K5690" i="11"/>
  <c r="I5690" i="11"/>
  <c r="N5689" i="11"/>
  <c r="K5689" i="11"/>
  <c r="I5689" i="11"/>
  <c r="N5688" i="11"/>
  <c r="K5688" i="11"/>
  <c r="I5688" i="11"/>
  <c r="N5687" i="11"/>
  <c r="K5687" i="11"/>
  <c r="I5687" i="11"/>
  <c r="N5686" i="11"/>
  <c r="K5686" i="11"/>
  <c r="I5686" i="11"/>
  <c r="N5685" i="11"/>
  <c r="K5685" i="11"/>
  <c r="I5685" i="11"/>
  <c r="N5684" i="11"/>
  <c r="K5684" i="11"/>
  <c r="I5684" i="11"/>
  <c r="N5683" i="11"/>
  <c r="K5683" i="11"/>
  <c r="I5683" i="11"/>
  <c r="N5682" i="11"/>
  <c r="K5682" i="11"/>
  <c r="I5682" i="11"/>
  <c r="N5681" i="11"/>
  <c r="K5681" i="11"/>
  <c r="I5681" i="11"/>
  <c r="N5680" i="11"/>
  <c r="K5680" i="11"/>
  <c r="I5680" i="11"/>
  <c r="N5679" i="11"/>
  <c r="K5679" i="11"/>
  <c r="I5679" i="11"/>
  <c r="N5678" i="11"/>
  <c r="K5678" i="11"/>
  <c r="I5678" i="11"/>
  <c r="N5677" i="11"/>
  <c r="K5677" i="11"/>
  <c r="I5677" i="11"/>
  <c r="N5676" i="11"/>
  <c r="K5676" i="11"/>
  <c r="I5676" i="11"/>
  <c r="N5675" i="11"/>
  <c r="K5675" i="11"/>
  <c r="I5675" i="11"/>
  <c r="N5674" i="11"/>
  <c r="K5674" i="11"/>
  <c r="I5674" i="11"/>
  <c r="N5673" i="11"/>
  <c r="K5673" i="11"/>
  <c r="I5673" i="11"/>
  <c r="N5672" i="11"/>
  <c r="K5672" i="11"/>
  <c r="I5672" i="11"/>
  <c r="N5671" i="11"/>
  <c r="K5671" i="11"/>
  <c r="I5671" i="11"/>
  <c r="N5670" i="11"/>
  <c r="K5670" i="11"/>
  <c r="I5670" i="11"/>
  <c r="N5669" i="11"/>
  <c r="K5669" i="11"/>
  <c r="I5669" i="11"/>
  <c r="N5668" i="11"/>
  <c r="K5668" i="11"/>
  <c r="I5668" i="11"/>
  <c r="N5667" i="11"/>
  <c r="K5667" i="11"/>
  <c r="I5667" i="11"/>
  <c r="N5666" i="11"/>
  <c r="K5666" i="11"/>
  <c r="I5666" i="11"/>
  <c r="N5665" i="11"/>
  <c r="K5665" i="11"/>
  <c r="I5665" i="11"/>
  <c r="N5664" i="11"/>
  <c r="K5664" i="11"/>
  <c r="I5664" i="11"/>
  <c r="N5663" i="11"/>
  <c r="K5663" i="11"/>
  <c r="I5663" i="11"/>
  <c r="N5662" i="11"/>
  <c r="K5662" i="11"/>
  <c r="I5662" i="11"/>
  <c r="N5661" i="11"/>
  <c r="K5661" i="11"/>
  <c r="I5661" i="11"/>
  <c r="N5660" i="11"/>
  <c r="K5660" i="11"/>
  <c r="I5660" i="11"/>
  <c r="N5659" i="11"/>
  <c r="K5659" i="11"/>
  <c r="I5659" i="11"/>
  <c r="N5658" i="11"/>
  <c r="K5658" i="11"/>
  <c r="I5658" i="11"/>
  <c r="N5657" i="11"/>
  <c r="K5657" i="11"/>
  <c r="I5657" i="11"/>
  <c r="N5656" i="11"/>
  <c r="K5656" i="11"/>
  <c r="I5656" i="11"/>
  <c r="N5655" i="11"/>
  <c r="K5655" i="11"/>
  <c r="I5655" i="11"/>
  <c r="N5654" i="11"/>
  <c r="K5654" i="11"/>
  <c r="I5654" i="11"/>
  <c r="N5653" i="11"/>
  <c r="K5653" i="11"/>
  <c r="I5653" i="11"/>
  <c r="N5652" i="11"/>
  <c r="K5652" i="11"/>
  <c r="I5652" i="11"/>
  <c r="N5651" i="11"/>
  <c r="K5651" i="11"/>
  <c r="I5651" i="11"/>
  <c r="N5650" i="11"/>
  <c r="K5650" i="11"/>
  <c r="I5650" i="11"/>
  <c r="N5649" i="11"/>
  <c r="K5649" i="11"/>
  <c r="I5649" i="11"/>
  <c r="N5648" i="11"/>
  <c r="K5648" i="11"/>
  <c r="I5648" i="11"/>
  <c r="N5647" i="11"/>
  <c r="K5647" i="11"/>
  <c r="I5647" i="11"/>
  <c r="N5646" i="11"/>
  <c r="K5646" i="11"/>
  <c r="I5646" i="11"/>
  <c r="N5645" i="11"/>
  <c r="K5645" i="11"/>
  <c r="I5645" i="11"/>
  <c r="N5644" i="11"/>
  <c r="K5644" i="11"/>
  <c r="I5644" i="11"/>
  <c r="N5643" i="11"/>
  <c r="K5643" i="11"/>
  <c r="I5643" i="11"/>
  <c r="N5642" i="11"/>
  <c r="K5642" i="11"/>
  <c r="I5642" i="11"/>
  <c r="N5641" i="11"/>
  <c r="K5641" i="11"/>
  <c r="I5641" i="11"/>
  <c r="N5640" i="11"/>
  <c r="K5640" i="11"/>
  <c r="I5640" i="11"/>
  <c r="N5639" i="11"/>
  <c r="K5639" i="11"/>
  <c r="I5639" i="11"/>
  <c r="N5638" i="11"/>
  <c r="K5638" i="11"/>
  <c r="I5638" i="11"/>
  <c r="N5637" i="11"/>
  <c r="K5637" i="11"/>
  <c r="I5637" i="11"/>
  <c r="N5636" i="11"/>
  <c r="K5636" i="11"/>
  <c r="I5636" i="11"/>
  <c r="N5635" i="11"/>
  <c r="K5635" i="11"/>
  <c r="I5635" i="11"/>
  <c r="N5634" i="11"/>
  <c r="K5634" i="11"/>
  <c r="I5634" i="11"/>
  <c r="N5633" i="11"/>
  <c r="K5633" i="11"/>
  <c r="I5633" i="11"/>
  <c r="N5632" i="11"/>
  <c r="K5632" i="11"/>
  <c r="I5632" i="11"/>
  <c r="N5631" i="11"/>
  <c r="K5631" i="11"/>
  <c r="I5631" i="11"/>
  <c r="N5630" i="11"/>
  <c r="K5630" i="11"/>
  <c r="I5630" i="11"/>
  <c r="N5629" i="11"/>
  <c r="K5629" i="11"/>
  <c r="I5629" i="11"/>
  <c r="N5628" i="11"/>
  <c r="K5628" i="11"/>
  <c r="I5628" i="11"/>
  <c r="N5627" i="11"/>
  <c r="K5627" i="11"/>
  <c r="I5627" i="11"/>
  <c r="N5626" i="11"/>
  <c r="K5626" i="11"/>
  <c r="I5626" i="11"/>
  <c r="N5625" i="11"/>
  <c r="K5625" i="11"/>
  <c r="I5625" i="11"/>
  <c r="N5624" i="11"/>
  <c r="K5624" i="11"/>
  <c r="I5624" i="11"/>
  <c r="N5623" i="11"/>
  <c r="K5623" i="11"/>
  <c r="I5623" i="11"/>
  <c r="N5622" i="11"/>
  <c r="K5622" i="11"/>
  <c r="I5622" i="11"/>
  <c r="N5621" i="11"/>
  <c r="K5621" i="11"/>
  <c r="I5621" i="11"/>
  <c r="N5620" i="11"/>
  <c r="K5620" i="11"/>
  <c r="I5620" i="11"/>
  <c r="N5619" i="11"/>
  <c r="K5619" i="11"/>
  <c r="I5619" i="11"/>
  <c r="N5618" i="11"/>
  <c r="K5618" i="11"/>
  <c r="I5618" i="11"/>
  <c r="N5617" i="11"/>
  <c r="K5617" i="11"/>
  <c r="I5617" i="11"/>
  <c r="N5616" i="11"/>
  <c r="K5616" i="11"/>
  <c r="I5616" i="11"/>
  <c r="N5615" i="11"/>
  <c r="K5615" i="11"/>
  <c r="I5615" i="11"/>
  <c r="N5614" i="11"/>
  <c r="K5614" i="11"/>
  <c r="I5614" i="11"/>
  <c r="N5613" i="11"/>
  <c r="K5613" i="11"/>
  <c r="I5613" i="11"/>
  <c r="N5612" i="11"/>
  <c r="K5612" i="11"/>
  <c r="I5612" i="11"/>
  <c r="N5611" i="11"/>
  <c r="K5611" i="11"/>
  <c r="I5611" i="11"/>
  <c r="N5610" i="11"/>
  <c r="K5610" i="11"/>
  <c r="I5610" i="11"/>
  <c r="N5609" i="11"/>
  <c r="K5609" i="11"/>
  <c r="I5609" i="11"/>
  <c r="N5608" i="11"/>
  <c r="K5608" i="11"/>
  <c r="I5608" i="11"/>
  <c r="N5607" i="11"/>
  <c r="K5607" i="11"/>
  <c r="I5607" i="11"/>
  <c r="N5606" i="11"/>
  <c r="K5606" i="11"/>
  <c r="I5606" i="11"/>
  <c r="N5605" i="11"/>
  <c r="K5605" i="11"/>
  <c r="I5605" i="11"/>
  <c r="N5604" i="11"/>
  <c r="K5604" i="11"/>
  <c r="I5604" i="11"/>
  <c r="N5603" i="11"/>
  <c r="K5603" i="11"/>
  <c r="I5603" i="11"/>
  <c r="N5602" i="11"/>
  <c r="K5602" i="11"/>
  <c r="I5602" i="11"/>
  <c r="N5601" i="11"/>
  <c r="K5601" i="11"/>
  <c r="I5601" i="11"/>
  <c r="N5600" i="11"/>
  <c r="K5600" i="11"/>
  <c r="I5600" i="11"/>
  <c r="N5599" i="11"/>
  <c r="K5599" i="11"/>
  <c r="I5599" i="11"/>
  <c r="N5598" i="11"/>
  <c r="K5598" i="11"/>
  <c r="I5598" i="11"/>
  <c r="N5597" i="11"/>
  <c r="K5597" i="11"/>
  <c r="I5597" i="11"/>
  <c r="N5596" i="11"/>
  <c r="K5596" i="11"/>
  <c r="I5596" i="11"/>
  <c r="N5595" i="11"/>
  <c r="K5595" i="11"/>
  <c r="I5595" i="11"/>
  <c r="N5594" i="11"/>
  <c r="K5594" i="11"/>
  <c r="I5594" i="11"/>
  <c r="N5593" i="11"/>
  <c r="K5593" i="11"/>
  <c r="I5593" i="11"/>
  <c r="N5592" i="11"/>
  <c r="K5592" i="11"/>
  <c r="I5592" i="11"/>
  <c r="N5591" i="11"/>
  <c r="K5591" i="11"/>
  <c r="I5591" i="11"/>
  <c r="N5590" i="11"/>
  <c r="K5590" i="11"/>
  <c r="I5590" i="11"/>
  <c r="N5589" i="11"/>
  <c r="K5589" i="11"/>
  <c r="I5589" i="11"/>
  <c r="N5588" i="11"/>
  <c r="K5588" i="11"/>
  <c r="I5588" i="11"/>
  <c r="N5587" i="11"/>
  <c r="K5587" i="11"/>
  <c r="I5587" i="11"/>
  <c r="N5586" i="11"/>
  <c r="K5586" i="11"/>
  <c r="I5586" i="11"/>
  <c r="N5585" i="11"/>
  <c r="K5585" i="11"/>
  <c r="I5585" i="11"/>
  <c r="N5584" i="11"/>
  <c r="K5584" i="11"/>
  <c r="I5584" i="11"/>
  <c r="N5583" i="11"/>
  <c r="K5583" i="11"/>
  <c r="I5583" i="11"/>
  <c r="N5582" i="11"/>
  <c r="K5582" i="11"/>
  <c r="I5582" i="11"/>
  <c r="N5581" i="11"/>
  <c r="K5581" i="11"/>
  <c r="I5581" i="11"/>
  <c r="N5580" i="11"/>
  <c r="K5580" i="11"/>
  <c r="I5580" i="11"/>
  <c r="N5579" i="11"/>
  <c r="K5579" i="11"/>
  <c r="I5579" i="11"/>
  <c r="N5578" i="11"/>
  <c r="K5578" i="11"/>
  <c r="I5578" i="11"/>
  <c r="N5577" i="11"/>
  <c r="K5577" i="11"/>
  <c r="I5577" i="11"/>
  <c r="N5576" i="11"/>
  <c r="K5576" i="11"/>
  <c r="I5576" i="11"/>
  <c r="N5575" i="11"/>
  <c r="K5575" i="11"/>
  <c r="I5575" i="11"/>
  <c r="N5574" i="11"/>
  <c r="K5574" i="11"/>
  <c r="I5574" i="11"/>
  <c r="N5573" i="11"/>
  <c r="K5573" i="11"/>
  <c r="I5573" i="11"/>
  <c r="N5572" i="11"/>
  <c r="K5572" i="11"/>
  <c r="I5572" i="11"/>
  <c r="N5571" i="11"/>
  <c r="K5571" i="11"/>
  <c r="I5571" i="11"/>
  <c r="N5570" i="11"/>
  <c r="K5570" i="11"/>
  <c r="I5570" i="11"/>
  <c r="N5569" i="11"/>
  <c r="K5569" i="11"/>
  <c r="I5569" i="11"/>
  <c r="N5568" i="11"/>
  <c r="K5568" i="11"/>
  <c r="I5568" i="11"/>
  <c r="N5567" i="11"/>
  <c r="K5567" i="11"/>
  <c r="I5567" i="11"/>
  <c r="N5566" i="11"/>
  <c r="K5566" i="11"/>
  <c r="I5566" i="11"/>
  <c r="N5565" i="11"/>
  <c r="K5565" i="11"/>
  <c r="I5565" i="11"/>
  <c r="N5564" i="11"/>
  <c r="K5564" i="11"/>
  <c r="I5564" i="11"/>
  <c r="N5563" i="11"/>
  <c r="K5563" i="11"/>
  <c r="I5563" i="11"/>
  <c r="N5562" i="11"/>
  <c r="K5562" i="11"/>
  <c r="I5562" i="11"/>
  <c r="N5561" i="11"/>
  <c r="K5561" i="11"/>
  <c r="I5561" i="11"/>
  <c r="N5560" i="11"/>
  <c r="K5560" i="11"/>
  <c r="I5560" i="11"/>
  <c r="N5559" i="11"/>
  <c r="K5559" i="11"/>
  <c r="I5559" i="11"/>
  <c r="N5558" i="11"/>
  <c r="K5558" i="11"/>
  <c r="I5558" i="11"/>
  <c r="N5557" i="11"/>
  <c r="K5557" i="11"/>
  <c r="I5557" i="11"/>
  <c r="N5556" i="11"/>
  <c r="K5556" i="11"/>
  <c r="I5556" i="11"/>
  <c r="N5555" i="11"/>
  <c r="K5555" i="11"/>
  <c r="I5555" i="11"/>
  <c r="N5554" i="11"/>
  <c r="K5554" i="11"/>
  <c r="I5554" i="11"/>
  <c r="N5553" i="11"/>
  <c r="K5553" i="11"/>
  <c r="I5553" i="11"/>
  <c r="N5552" i="11"/>
  <c r="K5552" i="11"/>
  <c r="I5552" i="11"/>
  <c r="N5551" i="11"/>
  <c r="K5551" i="11"/>
  <c r="I5551" i="11"/>
  <c r="N5550" i="11"/>
  <c r="K5550" i="11"/>
  <c r="I5550" i="11"/>
  <c r="N5549" i="11"/>
  <c r="K5549" i="11"/>
  <c r="I5549" i="11"/>
  <c r="N5548" i="11"/>
  <c r="K5548" i="11"/>
  <c r="I5548" i="11"/>
  <c r="N5547" i="11"/>
  <c r="K5547" i="11"/>
  <c r="I5547" i="11"/>
  <c r="N5546" i="11"/>
  <c r="K5546" i="11"/>
  <c r="I5546" i="11"/>
  <c r="N5545" i="11"/>
  <c r="K5545" i="11"/>
  <c r="I5545" i="11"/>
  <c r="N5544" i="11"/>
  <c r="K5544" i="11"/>
  <c r="I5544" i="11"/>
  <c r="N5543" i="11"/>
  <c r="K5543" i="11"/>
  <c r="I5543" i="11"/>
  <c r="N5542" i="11"/>
  <c r="K5542" i="11"/>
  <c r="I5542" i="11"/>
  <c r="N5541" i="11"/>
  <c r="K5541" i="11"/>
  <c r="I5541" i="11"/>
  <c r="N5540" i="11"/>
  <c r="K5540" i="11"/>
  <c r="I5540" i="11"/>
  <c r="N5539" i="11"/>
  <c r="K5539" i="11"/>
  <c r="I5539" i="11"/>
  <c r="N5538" i="11"/>
  <c r="K5538" i="11"/>
  <c r="I5538" i="11"/>
  <c r="N5537" i="11"/>
  <c r="K5537" i="11"/>
  <c r="I5537" i="11"/>
  <c r="N5536" i="11"/>
  <c r="K5536" i="11"/>
  <c r="I5536" i="11"/>
  <c r="N5535" i="11"/>
  <c r="K5535" i="11"/>
  <c r="I5535" i="11"/>
  <c r="N5534" i="11"/>
  <c r="K5534" i="11"/>
  <c r="I5534" i="11"/>
  <c r="N5533" i="11"/>
  <c r="K5533" i="11"/>
  <c r="I5533" i="11"/>
  <c r="N5532" i="11"/>
  <c r="K5532" i="11"/>
  <c r="I5532" i="11"/>
  <c r="N5531" i="11"/>
  <c r="K5531" i="11"/>
  <c r="I5531" i="11"/>
  <c r="N5530" i="11"/>
  <c r="K5530" i="11"/>
  <c r="I5530" i="11"/>
  <c r="N5529" i="11"/>
  <c r="K5529" i="11"/>
  <c r="I5529" i="11"/>
  <c r="N5528" i="11"/>
  <c r="K5528" i="11"/>
  <c r="I5528" i="11"/>
  <c r="N5527" i="11"/>
  <c r="K5527" i="11"/>
  <c r="I5527" i="11"/>
  <c r="N5526" i="11"/>
  <c r="K5526" i="11"/>
  <c r="I5526" i="11"/>
  <c r="N5525" i="11"/>
  <c r="K5525" i="11"/>
  <c r="I5525" i="11"/>
  <c r="N5524" i="11"/>
  <c r="K5524" i="11"/>
  <c r="I5524" i="11"/>
  <c r="N5523" i="11"/>
  <c r="K5523" i="11"/>
  <c r="I5523" i="11"/>
  <c r="N5522" i="11"/>
  <c r="K5522" i="11"/>
  <c r="I5522" i="11"/>
  <c r="N5521" i="11"/>
  <c r="K5521" i="11"/>
  <c r="I5521" i="11"/>
  <c r="N5520" i="11"/>
  <c r="K5520" i="11"/>
  <c r="I5520" i="11"/>
  <c r="N5519" i="11"/>
  <c r="K5519" i="11"/>
  <c r="I5519" i="11"/>
  <c r="N5518" i="11"/>
  <c r="K5518" i="11"/>
  <c r="I5518" i="11"/>
  <c r="N5517" i="11"/>
  <c r="K5517" i="11"/>
  <c r="I5517" i="11"/>
  <c r="N5516" i="11"/>
  <c r="K5516" i="11"/>
  <c r="I5516" i="11"/>
  <c r="N5515" i="11"/>
  <c r="K5515" i="11"/>
  <c r="I5515" i="11"/>
  <c r="N5514" i="11"/>
  <c r="K5514" i="11"/>
  <c r="I5514" i="11"/>
  <c r="N5513" i="11"/>
  <c r="K5513" i="11"/>
  <c r="I5513" i="11"/>
  <c r="N5512" i="11"/>
  <c r="K5512" i="11"/>
  <c r="I5512" i="11"/>
  <c r="N5511" i="11"/>
  <c r="K5511" i="11"/>
  <c r="I5511" i="11"/>
  <c r="N5510" i="11"/>
  <c r="K5510" i="11"/>
  <c r="I5510" i="11"/>
  <c r="N5509" i="11"/>
  <c r="K5509" i="11"/>
  <c r="I5509" i="11"/>
  <c r="N5508" i="11"/>
  <c r="K5508" i="11"/>
  <c r="I5508" i="11"/>
  <c r="N5507" i="11"/>
  <c r="K5507" i="11"/>
  <c r="I5507" i="11"/>
  <c r="N5506" i="11"/>
  <c r="K5506" i="11"/>
  <c r="I5506" i="11"/>
  <c r="N5505" i="11"/>
  <c r="K5505" i="11"/>
  <c r="I5505" i="11"/>
  <c r="N5504" i="11"/>
  <c r="K5504" i="11"/>
  <c r="I5504" i="11"/>
  <c r="N5503" i="11"/>
  <c r="K5503" i="11"/>
  <c r="I5503" i="11"/>
  <c r="N5502" i="11"/>
  <c r="K5502" i="11"/>
  <c r="I5502" i="11"/>
  <c r="N5501" i="11"/>
  <c r="K5501" i="11"/>
  <c r="I5501" i="11"/>
  <c r="N5500" i="11"/>
  <c r="K5500" i="11"/>
  <c r="I5500" i="11"/>
  <c r="N5499" i="11"/>
  <c r="K5499" i="11"/>
  <c r="I5499" i="11"/>
  <c r="N5498" i="11"/>
  <c r="K5498" i="11"/>
  <c r="I5498" i="11"/>
  <c r="N5497" i="11"/>
  <c r="K5497" i="11"/>
  <c r="I5497" i="11"/>
  <c r="N5496" i="11"/>
  <c r="K5496" i="11"/>
  <c r="I5496" i="11"/>
  <c r="N5495" i="11"/>
  <c r="K5495" i="11"/>
  <c r="I5495" i="11"/>
  <c r="N5494" i="11"/>
  <c r="K5494" i="11"/>
  <c r="I5494" i="11"/>
  <c r="N5493" i="11"/>
  <c r="K5493" i="11"/>
  <c r="I5493" i="11"/>
  <c r="N5492" i="11"/>
  <c r="K5492" i="11"/>
  <c r="I5492" i="11"/>
  <c r="N5491" i="11"/>
  <c r="K5491" i="11"/>
  <c r="I5491" i="11"/>
  <c r="N5490" i="11"/>
  <c r="K5490" i="11"/>
  <c r="I5490" i="11"/>
  <c r="N5489" i="11"/>
  <c r="K5489" i="11"/>
  <c r="I5489" i="11"/>
  <c r="N5488" i="11"/>
  <c r="K5488" i="11"/>
  <c r="I5488" i="11"/>
  <c r="N5487" i="11"/>
  <c r="K5487" i="11"/>
  <c r="I5487" i="11"/>
  <c r="N5486" i="11"/>
  <c r="K5486" i="11"/>
  <c r="I5486" i="11"/>
  <c r="N5485" i="11"/>
  <c r="K5485" i="11"/>
  <c r="I5485" i="11"/>
  <c r="N5484" i="11"/>
  <c r="K5484" i="11"/>
  <c r="I5484" i="11"/>
  <c r="N5483" i="11"/>
  <c r="K5483" i="11"/>
  <c r="I5483" i="11"/>
  <c r="N5482" i="11"/>
  <c r="K5482" i="11"/>
  <c r="I5482" i="11"/>
  <c r="N5481" i="11"/>
  <c r="K5481" i="11"/>
  <c r="I5481" i="11"/>
  <c r="N5480" i="11"/>
  <c r="K5480" i="11"/>
  <c r="I5480" i="11"/>
  <c r="N5479" i="11"/>
  <c r="K5479" i="11"/>
  <c r="I5479" i="11"/>
  <c r="N5478" i="11"/>
  <c r="K5478" i="11"/>
  <c r="I5478" i="11"/>
  <c r="N5477" i="11"/>
  <c r="K5477" i="11"/>
  <c r="I5477" i="11"/>
  <c r="N5476" i="11"/>
  <c r="K5476" i="11"/>
  <c r="I5476" i="11"/>
  <c r="N5475" i="11"/>
  <c r="K5475" i="11"/>
  <c r="I5475" i="11"/>
  <c r="N5474" i="11"/>
  <c r="K5474" i="11"/>
  <c r="I5474" i="11"/>
  <c r="N5473" i="11"/>
  <c r="K5473" i="11"/>
  <c r="I5473" i="11"/>
  <c r="N5472" i="11"/>
  <c r="K5472" i="11"/>
  <c r="I5472" i="11"/>
  <c r="N5471" i="11"/>
  <c r="K5471" i="11"/>
  <c r="I5471" i="11"/>
  <c r="N5470" i="11"/>
  <c r="K5470" i="11"/>
  <c r="I5470" i="11"/>
  <c r="N5469" i="11"/>
  <c r="K5469" i="11"/>
  <c r="I5469" i="11"/>
  <c r="N5468" i="11"/>
  <c r="K5468" i="11"/>
  <c r="I5468" i="11"/>
  <c r="N5467" i="11"/>
  <c r="K5467" i="11"/>
  <c r="I5467" i="11"/>
  <c r="N5466" i="11"/>
  <c r="K5466" i="11"/>
  <c r="I5466" i="11"/>
  <c r="N5465" i="11"/>
  <c r="K5465" i="11"/>
  <c r="I5465" i="11"/>
  <c r="N5464" i="11"/>
  <c r="K5464" i="11"/>
  <c r="I5464" i="11"/>
  <c r="N5463" i="11"/>
  <c r="K5463" i="11"/>
  <c r="I5463" i="11"/>
  <c r="N5462" i="11"/>
  <c r="K5462" i="11"/>
  <c r="I5462" i="11"/>
  <c r="N5461" i="11"/>
  <c r="K5461" i="11"/>
  <c r="I5461" i="11"/>
  <c r="N5460" i="11"/>
  <c r="K5460" i="11"/>
  <c r="I5460" i="11"/>
  <c r="N5459" i="11"/>
  <c r="K5459" i="11"/>
  <c r="I5459" i="11"/>
  <c r="N5458" i="11"/>
  <c r="K5458" i="11"/>
  <c r="I5458" i="11"/>
  <c r="N5457" i="11"/>
  <c r="K5457" i="11"/>
  <c r="I5457" i="11"/>
  <c r="N5456" i="11"/>
  <c r="K5456" i="11"/>
  <c r="I5456" i="11"/>
  <c r="N5455" i="11"/>
  <c r="K5455" i="11"/>
  <c r="I5455" i="11"/>
  <c r="N5454" i="11"/>
  <c r="K5454" i="11"/>
  <c r="I5454" i="11"/>
  <c r="N5453" i="11"/>
  <c r="K5453" i="11"/>
  <c r="I5453" i="11"/>
  <c r="N5452" i="11"/>
  <c r="K5452" i="11"/>
  <c r="I5452" i="11"/>
  <c r="N5451" i="11"/>
  <c r="K5451" i="11"/>
  <c r="I5451" i="11"/>
  <c r="N5450" i="11"/>
  <c r="K5450" i="11"/>
  <c r="I5450" i="11"/>
  <c r="N5449" i="11"/>
  <c r="K5449" i="11"/>
  <c r="I5449" i="11"/>
  <c r="N5448" i="11"/>
  <c r="K5448" i="11"/>
  <c r="I5448" i="11"/>
  <c r="N5447" i="11"/>
  <c r="K5447" i="11"/>
  <c r="I5447" i="11"/>
  <c r="N5446" i="11"/>
  <c r="K5446" i="11"/>
  <c r="I5446" i="11"/>
  <c r="N5445" i="11"/>
  <c r="K5445" i="11"/>
  <c r="I5445" i="11"/>
  <c r="N5444" i="11"/>
  <c r="K5444" i="11"/>
  <c r="I5444" i="11"/>
  <c r="N5443" i="11"/>
  <c r="K5443" i="11"/>
  <c r="I5443" i="11"/>
  <c r="N5442" i="11"/>
  <c r="K5442" i="11"/>
  <c r="I5442" i="11"/>
  <c r="N5441" i="11"/>
  <c r="K5441" i="11"/>
  <c r="I5441" i="11"/>
  <c r="N5440" i="11"/>
  <c r="K5440" i="11"/>
  <c r="I5440" i="11"/>
  <c r="N5439" i="11"/>
  <c r="K5439" i="11"/>
  <c r="I5439" i="11"/>
  <c r="N5438" i="11"/>
  <c r="K5438" i="11"/>
  <c r="I5438" i="11"/>
  <c r="N5437" i="11"/>
  <c r="K5437" i="11"/>
  <c r="I5437" i="11"/>
  <c r="N5436" i="11"/>
  <c r="K5436" i="11"/>
  <c r="I5436" i="11"/>
  <c r="N5435" i="11"/>
  <c r="K5435" i="11"/>
  <c r="I5435" i="11"/>
  <c r="N5434" i="11"/>
  <c r="K5434" i="11"/>
  <c r="I5434" i="11"/>
  <c r="N5433" i="11"/>
  <c r="K5433" i="11"/>
  <c r="I5433" i="11"/>
  <c r="N5432" i="11"/>
  <c r="K5432" i="11"/>
  <c r="I5432" i="11"/>
  <c r="N5431" i="11"/>
  <c r="K5431" i="11"/>
  <c r="I5431" i="11"/>
  <c r="N5430" i="11"/>
  <c r="K5430" i="11"/>
  <c r="I5430" i="11"/>
  <c r="N5429" i="11"/>
  <c r="K5429" i="11"/>
  <c r="I5429" i="11"/>
  <c r="N5428" i="11"/>
  <c r="K5428" i="11"/>
  <c r="I5428" i="11"/>
  <c r="N5427" i="11"/>
  <c r="K5427" i="11"/>
  <c r="I5427" i="11"/>
  <c r="N5426" i="11"/>
  <c r="K5426" i="11"/>
  <c r="I5426" i="11"/>
  <c r="N5425" i="11"/>
  <c r="K5425" i="11"/>
  <c r="I5425" i="11"/>
  <c r="N5424" i="11"/>
  <c r="K5424" i="11"/>
  <c r="I5424" i="11"/>
  <c r="N5423" i="11"/>
  <c r="K5423" i="11"/>
  <c r="I5423" i="11"/>
  <c r="N5422" i="11"/>
  <c r="K5422" i="11"/>
  <c r="I5422" i="11"/>
  <c r="N5421" i="11"/>
  <c r="K5421" i="11"/>
  <c r="I5421" i="11"/>
  <c r="N5420" i="11"/>
  <c r="K5420" i="11"/>
  <c r="I5420" i="11"/>
  <c r="N5419" i="11"/>
  <c r="K5419" i="11"/>
  <c r="I5419" i="11"/>
  <c r="N5418" i="11"/>
  <c r="K5418" i="11"/>
  <c r="I5418" i="11"/>
  <c r="N5417" i="11"/>
  <c r="K5417" i="11"/>
  <c r="I5417" i="11"/>
  <c r="N5416" i="11"/>
  <c r="K5416" i="11"/>
  <c r="I5416" i="11"/>
  <c r="N5415" i="11"/>
  <c r="K5415" i="11"/>
  <c r="I5415" i="11"/>
  <c r="N5414" i="11"/>
  <c r="K5414" i="11"/>
  <c r="I5414" i="11"/>
  <c r="N5413" i="11"/>
  <c r="K5413" i="11"/>
  <c r="I5413" i="11"/>
  <c r="N5412" i="11"/>
  <c r="K5412" i="11"/>
  <c r="I5412" i="11"/>
  <c r="N5411" i="11"/>
  <c r="K5411" i="11"/>
  <c r="I5411" i="11"/>
  <c r="N5410" i="11"/>
  <c r="K5410" i="11"/>
  <c r="I5410" i="11"/>
  <c r="N5409" i="11"/>
  <c r="K5409" i="11"/>
  <c r="I5409" i="11"/>
  <c r="N5408" i="11"/>
  <c r="K5408" i="11"/>
  <c r="I5408" i="11"/>
  <c r="N5407" i="11"/>
  <c r="K5407" i="11"/>
  <c r="I5407" i="11"/>
  <c r="N5406" i="11"/>
  <c r="K5406" i="11"/>
  <c r="I5406" i="11"/>
  <c r="N5405" i="11"/>
  <c r="K5405" i="11"/>
  <c r="I5405" i="11"/>
  <c r="N5404" i="11"/>
  <c r="K5404" i="11"/>
  <c r="I5404" i="11"/>
  <c r="N5403" i="11"/>
  <c r="K5403" i="11"/>
  <c r="I5403" i="11"/>
  <c r="N5402" i="11"/>
  <c r="K5402" i="11"/>
  <c r="I5402" i="11"/>
  <c r="N5401" i="11"/>
  <c r="K5401" i="11"/>
  <c r="I5401" i="11"/>
  <c r="N5400" i="11"/>
  <c r="K5400" i="11"/>
  <c r="I5400" i="11"/>
  <c r="N5399" i="11"/>
  <c r="K5399" i="11"/>
  <c r="I5399" i="11"/>
  <c r="N5398" i="11"/>
  <c r="K5398" i="11"/>
  <c r="I5398" i="11"/>
  <c r="N5397" i="11"/>
  <c r="K5397" i="11"/>
  <c r="I5397" i="11"/>
  <c r="N5396" i="11"/>
  <c r="K5396" i="11"/>
  <c r="I5396" i="11"/>
  <c r="N5395" i="11"/>
  <c r="K5395" i="11"/>
  <c r="I5395" i="11"/>
  <c r="N5394" i="11"/>
  <c r="K5394" i="11"/>
  <c r="I5394" i="11"/>
  <c r="N5393" i="11"/>
  <c r="K5393" i="11"/>
  <c r="I5393" i="11"/>
  <c r="N5392" i="11"/>
  <c r="K5392" i="11"/>
  <c r="I5392" i="11"/>
  <c r="N5391" i="11"/>
  <c r="K5391" i="11"/>
  <c r="I5391" i="11"/>
  <c r="N5390" i="11"/>
  <c r="K5390" i="11"/>
  <c r="I5390" i="11"/>
  <c r="N5389" i="11"/>
  <c r="K5389" i="11"/>
  <c r="I5389" i="11"/>
  <c r="N5388" i="11"/>
  <c r="K5388" i="11"/>
  <c r="I5388" i="11"/>
  <c r="N5387" i="11"/>
  <c r="K5387" i="11"/>
  <c r="I5387" i="11"/>
  <c r="N5386" i="11"/>
  <c r="K5386" i="11"/>
  <c r="I5386" i="11"/>
  <c r="N5385" i="11"/>
  <c r="K5385" i="11"/>
  <c r="I5385" i="11"/>
  <c r="N5384" i="11"/>
  <c r="K5384" i="11"/>
  <c r="I5384" i="11"/>
  <c r="N5383" i="11"/>
  <c r="K5383" i="11"/>
  <c r="I5383" i="11"/>
  <c r="N5382" i="11"/>
  <c r="K5382" i="11"/>
  <c r="I5382" i="11"/>
  <c r="N5381" i="11"/>
  <c r="K5381" i="11"/>
  <c r="I5381" i="11"/>
  <c r="N5380" i="11"/>
  <c r="K5380" i="11"/>
  <c r="I5380" i="11"/>
  <c r="N5379" i="11"/>
  <c r="K5379" i="11"/>
  <c r="I5379" i="11"/>
  <c r="N5378" i="11"/>
  <c r="K5378" i="11"/>
  <c r="I5378" i="11"/>
  <c r="N5377" i="11"/>
  <c r="K5377" i="11"/>
  <c r="I5377" i="11"/>
  <c r="N5376" i="11"/>
  <c r="K5376" i="11"/>
  <c r="I5376" i="11"/>
  <c r="N5375" i="11"/>
  <c r="K5375" i="11"/>
  <c r="I5375" i="11"/>
  <c r="N5374" i="11"/>
  <c r="K5374" i="11"/>
  <c r="I5374" i="11"/>
  <c r="N5373" i="11"/>
  <c r="K5373" i="11"/>
  <c r="I5373" i="11"/>
  <c r="N5372" i="11"/>
  <c r="K5372" i="11"/>
  <c r="I5372" i="11"/>
  <c r="N5371" i="11"/>
  <c r="K5371" i="11"/>
  <c r="I5371" i="11"/>
  <c r="N5370" i="11"/>
  <c r="K5370" i="11"/>
  <c r="I5370" i="11"/>
  <c r="N5369" i="11"/>
  <c r="K5369" i="11"/>
  <c r="I5369" i="11"/>
  <c r="N5368" i="11"/>
  <c r="K5368" i="11"/>
  <c r="I5368" i="11"/>
  <c r="N5367" i="11"/>
  <c r="K5367" i="11"/>
  <c r="I5367" i="11"/>
  <c r="N5366" i="11"/>
  <c r="K5366" i="11"/>
  <c r="I5366" i="11"/>
  <c r="N5365" i="11"/>
  <c r="K5365" i="11"/>
  <c r="I5365" i="11"/>
  <c r="N5364" i="11"/>
  <c r="K5364" i="11"/>
  <c r="I5364" i="11"/>
  <c r="N5363" i="11"/>
  <c r="K5363" i="11"/>
  <c r="I5363" i="11"/>
  <c r="N5362" i="11"/>
  <c r="K5362" i="11"/>
  <c r="I5362" i="11"/>
  <c r="N5361" i="11"/>
  <c r="K5361" i="11"/>
  <c r="I5361" i="11"/>
  <c r="N5360" i="11"/>
  <c r="K5360" i="11"/>
  <c r="I5360" i="11"/>
  <c r="N5359" i="11"/>
  <c r="K5359" i="11"/>
  <c r="I5359" i="11"/>
  <c r="N5358" i="11"/>
  <c r="K5358" i="11"/>
  <c r="I5358" i="11"/>
  <c r="N5357" i="11"/>
  <c r="K5357" i="11"/>
  <c r="I5357" i="11"/>
  <c r="N5356" i="11"/>
  <c r="K5356" i="11"/>
  <c r="I5356" i="11"/>
  <c r="N5355" i="11"/>
  <c r="K5355" i="11"/>
  <c r="I5355" i="11"/>
  <c r="N5354" i="11"/>
  <c r="K5354" i="11"/>
  <c r="I5354" i="11"/>
  <c r="N5353" i="11"/>
  <c r="K5353" i="11"/>
  <c r="I5353" i="11"/>
  <c r="N5352" i="11"/>
  <c r="K5352" i="11"/>
  <c r="I5352" i="11"/>
  <c r="N5351" i="11"/>
  <c r="K5351" i="11"/>
  <c r="I5351" i="11"/>
  <c r="N5350" i="11"/>
  <c r="K5350" i="11"/>
  <c r="I5350" i="11"/>
  <c r="N5349" i="11"/>
  <c r="K5349" i="11"/>
  <c r="I5349" i="11"/>
  <c r="N5348" i="11"/>
  <c r="K5348" i="11"/>
  <c r="I5348" i="11"/>
  <c r="N5347" i="11"/>
  <c r="K5347" i="11"/>
  <c r="I5347" i="11"/>
  <c r="N5346" i="11"/>
  <c r="K5346" i="11"/>
  <c r="I5346" i="11"/>
  <c r="N5345" i="11"/>
  <c r="K5345" i="11"/>
  <c r="I5345" i="11"/>
  <c r="N5344" i="11"/>
  <c r="K5344" i="11"/>
  <c r="I5344" i="11"/>
  <c r="N5343" i="11"/>
  <c r="K5343" i="11"/>
  <c r="I5343" i="11"/>
  <c r="N5342" i="11"/>
  <c r="K5342" i="11"/>
  <c r="I5342" i="11"/>
  <c r="N5341" i="11"/>
  <c r="K5341" i="11"/>
  <c r="I5341" i="11"/>
  <c r="N5340" i="11"/>
  <c r="K5340" i="11"/>
  <c r="I5340" i="11"/>
  <c r="N5339" i="11"/>
  <c r="K5339" i="11"/>
  <c r="I5339" i="11"/>
  <c r="N5338" i="11"/>
  <c r="K5338" i="11"/>
  <c r="I5338" i="11"/>
  <c r="N5337" i="11"/>
  <c r="K5337" i="11"/>
  <c r="I5337" i="11"/>
  <c r="N5336" i="11"/>
  <c r="K5336" i="11"/>
  <c r="I5336" i="11"/>
  <c r="N5335" i="11"/>
  <c r="K5335" i="11"/>
  <c r="I5335" i="11"/>
  <c r="N5334" i="11"/>
  <c r="K5334" i="11"/>
  <c r="I5334" i="11"/>
  <c r="N5333" i="11"/>
  <c r="K5333" i="11"/>
  <c r="I5333" i="11"/>
  <c r="N5332" i="11"/>
  <c r="K5332" i="11"/>
  <c r="I5332" i="11"/>
  <c r="N5331" i="11"/>
  <c r="K5331" i="11"/>
  <c r="I5331" i="11"/>
  <c r="N5330" i="11"/>
  <c r="K5330" i="11"/>
  <c r="I5330" i="11"/>
  <c r="N5329" i="11"/>
  <c r="K5329" i="11"/>
  <c r="I5329" i="11"/>
  <c r="N5328" i="11"/>
  <c r="K5328" i="11"/>
  <c r="I5328" i="11"/>
  <c r="N5327" i="11"/>
  <c r="K5327" i="11"/>
  <c r="I5327" i="11"/>
  <c r="N5326" i="11"/>
  <c r="K5326" i="11"/>
  <c r="I5326" i="11"/>
  <c r="N5325" i="11"/>
  <c r="K5325" i="11"/>
  <c r="I5325" i="11"/>
  <c r="N5324" i="11"/>
  <c r="K5324" i="11"/>
  <c r="I5324" i="11"/>
  <c r="N5323" i="11"/>
  <c r="K5323" i="11"/>
  <c r="I5323" i="11"/>
  <c r="N5322" i="11"/>
  <c r="K5322" i="11"/>
  <c r="I5322" i="11"/>
  <c r="N5321" i="11"/>
  <c r="K5321" i="11"/>
  <c r="I5321" i="11"/>
  <c r="N5320" i="11"/>
  <c r="K5320" i="11"/>
  <c r="I5320" i="11"/>
  <c r="N5319" i="11"/>
  <c r="K5319" i="11"/>
  <c r="I5319" i="11"/>
  <c r="N5318" i="11"/>
  <c r="K5318" i="11"/>
  <c r="I5318" i="11"/>
  <c r="N5317" i="11"/>
  <c r="K5317" i="11"/>
  <c r="I5317" i="11"/>
  <c r="N5316" i="11"/>
  <c r="K5316" i="11"/>
  <c r="I5316" i="11"/>
  <c r="N5315" i="11"/>
  <c r="K5315" i="11"/>
  <c r="I5315" i="11"/>
  <c r="N5314" i="11"/>
  <c r="K5314" i="11"/>
  <c r="I5314" i="11"/>
  <c r="N5313" i="11"/>
  <c r="K5313" i="11"/>
  <c r="I5313" i="11"/>
  <c r="N5312" i="11"/>
  <c r="K5312" i="11"/>
  <c r="I5312" i="11"/>
  <c r="N5311" i="11"/>
  <c r="K5311" i="11"/>
  <c r="I5311" i="11"/>
  <c r="N5310" i="11"/>
  <c r="K5310" i="11"/>
  <c r="I5310" i="11"/>
  <c r="N5309" i="11"/>
  <c r="K5309" i="11"/>
  <c r="I5309" i="11"/>
  <c r="N5308" i="11"/>
  <c r="K5308" i="11"/>
  <c r="I5308" i="11"/>
  <c r="N5307" i="11"/>
  <c r="K5307" i="11"/>
  <c r="I5307" i="11"/>
  <c r="N5306" i="11"/>
  <c r="K5306" i="11"/>
  <c r="I5306" i="11"/>
  <c r="N5305" i="11"/>
  <c r="K5305" i="11"/>
  <c r="I5305" i="11"/>
  <c r="N5304" i="11"/>
  <c r="K5304" i="11"/>
  <c r="I5304" i="11"/>
  <c r="N5303" i="11"/>
  <c r="K5303" i="11"/>
  <c r="I5303" i="11"/>
  <c r="N5302" i="11"/>
  <c r="K5302" i="11"/>
  <c r="I5302" i="11"/>
  <c r="N5301" i="11"/>
  <c r="K5301" i="11"/>
  <c r="I5301" i="11"/>
  <c r="N5300" i="11"/>
  <c r="K5300" i="11"/>
  <c r="I5300" i="11"/>
  <c r="N5299" i="11"/>
  <c r="K5299" i="11"/>
  <c r="I5299" i="11"/>
  <c r="N5298" i="11"/>
  <c r="K5298" i="11"/>
  <c r="I5298" i="11"/>
  <c r="N5297" i="11"/>
  <c r="K5297" i="11"/>
  <c r="I5297" i="11"/>
  <c r="N5296" i="11"/>
  <c r="K5296" i="11"/>
  <c r="I5296" i="11"/>
  <c r="N5295" i="11"/>
  <c r="K5295" i="11"/>
  <c r="I5295" i="11"/>
  <c r="N5294" i="11"/>
  <c r="K5294" i="11"/>
  <c r="I5294" i="11"/>
  <c r="N5293" i="11"/>
  <c r="K5293" i="11"/>
  <c r="I5293" i="11"/>
  <c r="N5292" i="11"/>
  <c r="K5292" i="11"/>
  <c r="I5292" i="11"/>
  <c r="N5291" i="11"/>
  <c r="K5291" i="11"/>
  <c r="I5291" i="11"/>
  <c r="N5290" i="11"/>
  <c r="K5290" i="11"/>
  <c r="I5290" i="11"/>
  <c r="N5289" i="11"/>
  <c r="K5289" i="11"/>
  <c r="I5289" i="11"/>
  <c r="N5288" i="11"/>
  <c r="K5288" i="11"/>
  <c r="I5288" i="11"/>
  <c r="N5287" i="11"/>
  <c r="K5287" i="11"/>
  <c r="I5287" i="11"/>
  <c r="N5286" i="11"/>
  <c r="K5286" i="11"/>
  <c r="I5286" i="11"/>
  <c r="N5285" i="11"/>
  <c r="K5285" i="11"/>
  <c r="I5285" i="11"/>
  <c r="N5284" i="11"/>
  <c r="K5284" i="11"/>
  <c r="I5284" i="11"/>
  <c r="N5283" i="11"/>
  <c r="K5283" i="11"/>
  <c r="I5283" i="11"/>
  <c r="N5282" i="11"/>
  <c r="K5282" i="11"/>
  <c r="I5282" i="11"/>
  <c r="N5281" i="11"/>
  <c r="K5281" i="11"/>
  <c r="I5281" i="11"/>
  <c r="N5280" i="11"/>
  <c r="K5280" i="11"/>
  <c r="I5280" i="11"/>
  <c r="N5279" i="11"/>
  <c r="K5279" i="11"/>
  <c r="I5279" i="11"/>
  <c r="N5278" i="11"/>
  <c r="K5278" i="11"/>
  <c r="I5278" i="11"/>
  <c r="N5277" i="11"/>
  <c r="K5277" i="11"/>
  <c r="I5277" i="11"/>
  <c r="N5276" i="11"/>
  <c r="K5276" i="11"/>
  <c r="I5276" i="11"/>
  <c r="N5275" i="11"/>
  <c r="K5275" i="11"/>
  <c r="I5275" i="11"/>
  <c r="N5274" i="11"/>
  <c r="K5274" i="11"/>
  <c r="I5274" i="11"/>
  <c r="N5273" i="11"/>
  <c r="K5273" i="11"/>
  <c r="I5273" i="11"/>
  <c r="N5272" i="11"/>
  <c r="K5272" i="11"/>
  <c r="I5272" i="11"/>
  <c r="N5271" i="11"/>
  <c r="K5271" i="11"/>
  <c r="I5271" i="11"/>
  <c r="N5270" i="11"/>
  <c r="K5270" i="11"/>
  <c r="I5270" i="11"/>
  <c r="N5269" i="11"/>
  <c r="K5269" i="11"/>
  <c r="I5269" i="11"/>
  <c r="N5268" i="11"/>
  <c r="K5268" i="11"/>
  <c r="I5268" i="11"/>
  <c r="N5267" i="11"/>
  <c r="K5267" i="11"/>
  <c r="I5267" i="11"/>
  <c r="N5266" i="11"/>
  <c r="K5266" i="11"/>
  <c r="I5266" i="11"/>
  <c r="N5265" i="11"/>
  <c r="K5265" i="11"/>
  <c r="I5265" i="11"/>
  <c r="N5264" i="11"/>
  <c r="K5264" i="11"/>
  <c r="I5264" i="11"/>
  <c r="N5263" i="11"/>
  <c r="K5263" i="11"/>
  <c r="I5263" i="11"/>
  <c r="N5262" i="11"/>
  <c r="K5262" i="11"/>
  <c r="I5262" i="11"/>
  <c r="N5261" i="11"/>
  <c r="K5261" i="11"/>
  <c r="I5261" i="11"/>
  <c r="N5260" i="11"/>
  <c r="K5260" i="11"/>
  <c r="I5260" i="11"/>
  <c r="N5259" i="11"/>
  <c r="K5259" i="11"/>
  <c r="I5259" i="11"/>
  <c r="N5258" i="11"/>
  <c r="K5258" i="11"/>
  <c r="I5258" i="11"/>
  <c r="N5257" i="11"/>
  <c r="K5257" i="11"/>
  <c r="I5257" i="11"/>
  <c r="N5256" i="11"/>
  <c r="K5256" i="11"/>
  <c r="I5256" i="11"/>
  <c r="N5255" i="11"/>
  <c r="K5255" i="11"/>
  <c r="I5255" i="11"/>
  <c r="N5254" i="11"/>
  <c r="K5254" i="11"/>
  <c r="I5254" i="11"/>
  <c r="N5253" i="11"/>
  <c r="K5253" i="11"/>
  <c r="I5253" i="11"/>
  <c r="N5252" i="11"/>
  <c r="K5252" i="11"/>
  <c r="I5252" i="11"/>
  <c r="N5251" i="11"/>
  <c r="K5251" i="11"/>
  <c r="I5251" i="11"/>
  <c r="N5250" i="11"/>
  <c r="K5250" i="11"/>
  <c r="I5250" i="11"/>
  <c r="N5249" i="11"/>
  <c r="K5249" i="11"/>
  <c r="I5249" i="11"/>
  <c r="N5248" i="11"/>
  <c r="K5248" i="11"/>
  <c r="I5248" i="11"/>
  <c r="N5247" i="11"/>
  <c r="K5247" i="11"/>
  <c r="I5247" i="11"/>
  <c r="N5246" i="11"/>
  <c r="K5246" i="11"/>
  <c r="I5246" i="11"/>
  <c r="N5245" i="11"/>
  <c r="K5245" i="11"/>
  <c r="I5245" i="11"/>
  <c r="N5244" i="11"/>
  <c r="K5244" i="11"/>
  <c r="I5244" i="11"/>
  <c r="N5243" i="11"/>
  <c r="K5243" i="11"/>
  <c r="I5243" i="11"/>
  <c r="N5242" i="11"/>
  <c r="K5242" i="11"/>
  <c r="I5242" i="11"/>
  <c r="N5241" i="11"/>
  <c r="K5241" i="11"/>
  <c r="I5241" i="11"/>
  <c r="N5240" i="11"/>
  <c r="K5240" i="11"/>
  <c r="I5240" i="11"/>
  <c r="N5239" i="11"/>
  <c r="K5239" i="11"/>
  <c r="I5239" i="11"/>
  <c r="N5238" i="11"/>
  <c r="K5238" i="11"/>
  <c r="I5238" i="11"/>
  <c r="N5237" i="11"/>
  <c r="K5237" i="11"/>
  <c r="I5237" i="11"/>
  <c r="N5236" i="11"/>
  <c r="K5236" i="11"/>
  <c r="I5236" i="11"/>
  <c r="N5235" i="11"/>
  <c r="K5235" i="11"/>
  <c r="I5235" i="11"/>
  <c r="N5234" i="11"/>
  <c r="K5234" i="11"/>
  <c r="I5234" i="11"/>
  <c r="N5233" i="11"/>
  <c r="K5233" i="11"/>
  <c r="I5233" i="11"/>
  <c r="N5232" i="11"/>
  <c r="K5232" i="11"/>
  <c r="I5232" i="11"/>
  <c r="N5231" i="11"/>
  <c r="K5231" i="11"/>
  <c r="I5231" i="11"/>
  <c r="N5230" i="11"/>
  <c r="K5230" i="11"/>
  <c r="I5230" i="11"/>
  <c r="N5229" i="11"/>
  <c r="K5229" i="11"/>
  <c r="I5229" i="11"/>
  <c r="N5228" i="11"/>
  <c r="K5228" i="11"/>
  <c r="I5228" i="11"/>
  <c r="N5227" i="11"/>
  <c r="K5227" i="11"/>
  <c r="I5227" i="11"/>
  <c r="N5226" i="11"/>
  <c r="K5226" i="11"/>
  <c r="I5226" i="11"/>
  <c r="N5225" i="11"/>
  <c r="K5225" i="11"/>
  <c r="I5225" i="11"/>
  <c r="N5224" i="11"/>
  <c r="K5224" i="11"/>
  <c r="I5224" i="11"/>
  <c r="N5223" i="11"/>
  <c r="K5223" i="11"/>
  <c r="I5223" i="11"/>
  <c r="N5222" i="11"/>
  <c r="K5222" i="11"/>
  <c r="I5222" i="11"/>
  <c r="N5221" i="11"/>
  <c r="K5221" i="11"/>
  <c r="I5221" i="11"/>
  <c r="N5220" i="11"/>
  <c r="K5220" i="11"/>
  <c r="I5220" i="11"/>
  <c r="N5219" i="11"/>
  <c r="K5219" i="11"/>
  <c r="I5219" i="11"/>
  <c r="N5218" i="11"/>
  <c r="K5218" i="11"/>
  <c r="I5218" i="11"/>
  <c r="N5217" i="11"/>
  <c r="K5217" i="11"/>
  <c r="I5217" i="11"/>
  <c r="N5216" i="11"/>
  <c r="K5216" i="11"/>
  <c r="I5216" i="11"/>
  <c r="N5215" i="11"/>
  <c r="K5215" i="11"/>
  <c r="I5215" i="11"/>
  <c r="N5214" i="11"/>
  <c r="K5214" i="11"/>
  <c r="I5214" i="11"/>
  <c r="N5213" i="11"/>
  <c r="K5213" i="11"/>
  <c r="I5213" i="11"/>
  <c r="N5212" i="11"/>
  <c r="K5212" i="11"/>
  <c r="I5212" i="11"/>
  <c r="N5211" i="11"/>
  <c r="K5211" i="11"/>
  <c r="I5211" i="11"/>
  <c r="N5210" i="11"/>
  <c r="K5210" i="11"/>
  <c r="I5210" i="11"/>
  <c r="N5209" i="11"/>
  <c r="K5209" i="11"/>
  <c r="I5209" i="11"/>
  <c r="N5208" i="11"/>
  <c r="K5208" i="11"/>
  <c r="I5208" i="11"/>
  <c r="N5207" i="11"/>
  <c r="K5207" i="11"/>
  <c r="I5207" i="11"/>
  <c r="N5206" i="11"/>
  <c r="K5206" i="11"/>
  <c r="I5206" i="11"/>
  <c r="N5205" i="11"/>
  <c r="K5205" i="11"/>
  <c r="I5205" i="11"/>
  <c r="N5204" i="11"/>
  <c r="K5204" i="11"/>
  <c r="I5204" i="11"/>
  <c r="N5203" i="11"/>
  <c r="K5203" i="11"/>
  <c r="I5203" i="11"/>
  <c r="N5202" i="11"/>
  <c r="K5202" i="11"/>
  <c r="I5202" i="11"/>
  <c r="N5201" i="11"/>
  <c r="K5201" i="11"/>
  <c r="I5201" i="11"/>
  <c r="N5200" i="11"/>
  <c r="K5200" i="11"/>
  <c r="I5200" i="11"/>
  <c r="N5199" i="11"/>
  <c r="K5199" i="11"/>
  <c r="I5199" i="11"/>
  <c r="N5198" i="11"/>
  <c r="K5198" i="11"/>
  <c r="I5198" i="11"/>
  <c r="N5197" i="11"/>
  <c r="K5197" i="11"/>
  <c r="I5197" i="11"/>
  <c r="N5196" i="11"/>
  <c r="K5196" i="11"/>
  <c r="I5196" i="11"/>
  <c r="N5195" i="11"/>
  <c r="K5195" i="11"/>
  <c r="I5195" i="11"/>
  <c r="N5194" i="11"/>
  <c r="K5194" i="11"/>
  <c r="I5194" i="11"/>
  <c r="N5193" i="11"/>
  <c r="K5193" i="11"/>
  <c r="I5193" i="11"/>
  <c r="N5192" i="11"/>
  <c r="K5192" i="11"/>
  <c r="I5192" i="11"/>
  <c r="N5191" i="11"/>
  <c r="K5191" i="11"/>
  <c r="I5191" i="11"/>
  <c r="N5190" i="11"/>
  <c r="K5190" i="11"/>
  <c r="I5190" i="11"/>
  <c r="N5189" i="11"/>
  <c r="K5189" i="11"/>
  <c r="I5189" i="11"/>
  <c r="N5188" i="11"/>
  <c r="K5188" i="11"/>
  <c r="I5188" i="11"/>
  <c r="N5187" i="11"/>
  <c r="K5187" i="11"/>
  <c r="I5187" i="11"/>
  <c r="N5186" i="11"/>
  <c r="K5186" i="11"/>
  <c r="I5186" i="11"/>
  <c r="N5185" i="11"/>
  <c r="K5185" i="11"/>
  <c r="I5185" i="11"/>
  <c r="N5184" i="11"/>
  <c r="K5184" i="11"/>
  <c r="I5184" i="11"/>
  <c r="N5183" i="11"/>
  <c r="K5183" i="11"/>
  <c r="I5183" i="11"/>
  <c r="N5182" i="11"/>
  <c r="K5182" i="11"/>
  <c r="I5182" i="11"/>
  <c r="N5181" i="11"/>
  <c r="K5181" i="11"/>
  <c r="I5181" i="11"/>
  <c r="N5180" i="11"/>
  <c r="K5180" i="11"/>
  <c r="I5180" i="11"/>
  <c r="N5179" i="11"/>
  <c r="K5179" i="11"/>
  <c r="I5179" i="11"/>
  <c r="N5178" i="11"/>
  <c r="K5178" i="11"/>
  <c r="I5178" i="11"/>
  <c r="N5177" i="11"/>
  <c r="K5177" i="11"/>
  <c r="I5177" i="11"/>
  <c r="N5176" i="11"/>
  <c r="K5176" i="11"/>
  <c r="I5176" i="11"/>
  <c r="N5175" i="11"/>
  <c r="K5175" i="11"/>
  <c r="I5175" i="11"/>
  <c r="N5174" i="11"/>
  <c r="K5174" i="11"/>
  <c r="I5174" i="11"/>
  <c r="N5173" i="11"/>
  <c r="K5173" i="11"/>
  <c r="I5173" i="11"/>
  <c r="N5172" i="11"/>
  <c r="K5172" i="11"/>
  <c r="I5172" i="11"/>
  <c r="N5171" i="11"/>
  <c r="K5171" i="11"/>
  <c r="I5171" i="11"/>
  <c r="N5170" i="11"/>
  <c r="K5170" i="11"/>
  <c r="I5170" i="11"/>
  <c r="N5169" i="11"/>
  <c r="K5169" i="11"/>
  <c r="I5169" i="11"/>
  <c r="N5168" i="11"/>
  <c r="K5168" i="11"/>
  <c r="I5168" i="11"/>
  <c r="N5167" i="11"/>
  <c r="K5167" i="11"/>
  <c r="I5167" i="11"/>
  <c r="N5166" i="11"/>
  <c r="K5166" i="11"/>
  <c r="I5166" i="11"/>
  <c r="N5165" i="11"/>
  <c r="K5165" i="11"/>
  <c r="I5165" i="11"/>
  <c r="N5164" i="11"/>
  <c r="K5164" i="11"/>
  <c r="I5164" i="11"/>
  <c r="N5163" i="11"/>
  <c r="K5163" i="11"/>
  <c r="I5163" i="11"/>
  <c r="N5162" i="11"/>
  <c r="K5162" i="11"/>
  <c r="I5162" i="11"/>
  <c r="N5161" i="11"/>
  <c r="K5161" i="11"/>
  <c r="I5161" i="11"/>
  <c r="N5160" i="11"/>
  <c r="K5160" i="11"/>
  <c r="I5160" i="11"/>
  <c r="N5159" i="11"/>
  <c r="K5159" i="11"/>
  <c r="I5159" i="11"/>
  <c r="N5158" i="11"/>
  <c r="K5158" i="11"/>
  <c r="I5158" i="11"/>
  <c r="N5157" i="11"/>
  <c r="K5157" i="11"/>
  <c r="I5157" i="11"/>
  <c r="N5156" i="11"/>
  <c r="K5156" i="11"/>
  <c r="I5156" i="11"/>
  <c r="N5155" i="11"/>
  <c r="K5155" i="11"/>
  <c r="I5155" i="11"/>
  <c r="N5154" i="11"/>
  <c r="K5154" i="11"/>
  <c r="I5154" i="11"/>
  <c r="N5153" i="11"/>
  <c r="K5153" i="11"/>
  <c r="I5153" i="11"/>
  <c r="N5152" i="11"/>
  <c r="K5152" i="11"/>
  <c r="I5152" i="11"/>
  <c r="N5151" i="11"/>
  <c r="K5151" i="11"/>
  <c r="I5151" i="11"/>
  <c r="N5150" i="11"/>
  <c r="K5150" i="11"/>
  <c r="I5150" i="11"/>
  <c r="N5149" i="11"/>
  <c r="K5149" i="11"/>
  <c r="I5149" i="11"/>
  <c r="N5148" i="11"/>
  <c r="K5148" i="11"/>
  <c r="I5148" i="11"/>
  <c r="N5147" i="11"/>
  <c r="K5147" i="11"/>
  <c r="I5147" i="11"/>
  <c r="N5146" i="11"/>
  <c r="K5146" i="11"/>
  <c r="I5146" i="11"/>
  <c r="N5145" i="11"/>
  <c r="K5145" i="11"/>
  <c r="I5145" i="11"/>
  <c r="N5144" i="11"/>
  <c r="K5144" i="11"/>
  <c r="I5144" i="11"/>
  <c r="N5143" i="11"/>
  <c r="K5143" i="11"/>
  <c r="I5143" i="11"/>
  <c r="N5142" i="11"/>
  <c r="K5142" i="11"/>
  <c r="I5142" i="11"/>
  <c r="N5141" i="11"/>
  <c r="K5141" i="11"/>
  <c r="I5141" i="11"/>
  <c r="N5140" i="11"/>
  <c r="K5140" i="11"/>
  <c r="I5140" i="11"/>
  <c r="N5139" i="11"/>
  <c r="K5139" i="11"/>
  <c r="I5139" i="11"/>
  <c r="N5138" i="11"/>
  <c r="K5138" i="11"/>
  <c r="I5138" i="11"/>
  <c r="N5137" i="11"/>
  <c r="K5137" i="11"/>
  <c r="I5137" i="11"/>
  <c r="N5136" i="11"/>
  <c r="K5136" i="11"/>
  <c r="I5136" i="11"/>
  <c r="N5135" i="11"/>
  <c r="K5135" i="11"/>
  <c r="I5135" i="11"/>
  <c r="N5134" i="11"/>
  <c r="K5134" i="11"/>
  <c r="I5134" i="11"/>
  <c r="N5133" i="11"/>
  <c r="K5133" i="11"/>
  <c r="I5133" i="11"/>
  <c r="N5132" i="11"/>
  <c r="K5132" i="11"/>
  <c r="I5132" i="11"/>
  <c r="N5131" i="11"/>
  <c r="K5131" i="11"/>
  <c r="I5131" i="11"/>
  <c r="N5130" i="11"/>
  <c r="K5130" i="11"/>
  <c r="I5130" i="11"/>
  <c r="N5129" i="11"/>
  <c r="K5129" i="11"/>
  <c r="I5129" i="11"/>
  <c r="N5128" i="11"/>
  <c r="K5128" i="11"/>
  <c r="I5128" i="11"/>
  <c r="N5127" i="11"/>
  <c r="K5127" i="11"/>
  <c r="I5127" i="11"/>
  <c r="N5126" i="11"/>
  <c r="K5126" i="11"/>
  <c r="I5126" i="11"/>
  <c r="N5125" i="11"/>
  <c r="K5125" i="11"/>
  <c r="I5125" i="11"/>
  <c r="N5124" i="11"/>
  <c r="K5124" i="11"/>
  <c r="I5124" i="11"/>
  <c r="N5123" i="11"/>
  <c r="K5123" i="11"/>
  <c r="I5123" i="11"/>
  <c r="N5122" i="11"/>
  <c r="K5122" i="11"/>
  <c r="I5122" i="11"/>
  <c r="N5121" i="11"/>
  <c r="K5121" i="11"/>
  <c r="I5121" i="11"/>
  <c r="N5120" i="11"/>
  <c r="K5120" i="11"/>
  <c r="I5120" i="11"/>
  <c r="N5119" i="11"/>
  <c r="K5119" i="11"/>
  <c r="I5119" i="11"/>
  <c r="N5118" i="11"/>
  <c r="K5118" i="11"/>
  <c r="I5118" i="11"/>
  <c r="N5117" i="11"/>
  <c r="K5117" i="11"/>
  <c r="I5117" i="11"/>
  <c r="N5116" i="11"/>
  <c r="K5116" i="11"/>
  <c r="I5116" i="11"/>
  <c r="N5115" i="11"/>
  <c r="K5115" i="11"/>
  <c r="I5115" i="11"/>
  <c r="N5114" i="11"/>
  <c r="K5114" i="11"/>
  <c r="I5114" i="11"/>
  <c r="N5113" i="11"/>
  <c r="K5113" i="11"/>
  <c r="I5113" i="11"/>
  <c r="N5112" i="11"/>
  <c r="K5112" i="11"/>
  <c r="I5112" i="11"/>
  <c r="N5111" i="11"/>
  <c r="K5111" i="11"/>
  <c r="I5111" i="11"/>
  <c r="N5110" i="11"/>
  <c r="K5110" i="11"/>
  <c r="I5110" i="11"/>
  <c r="N5109" i="11"/>
  <c r="K5109" i="11"/>
  <c r="I5109" i="11"/>
  <c r="N5108" i="11"/>
  <c r="K5108" i="11"/>
  <c r="I5108" i="11"/>
  <c r="N5107" i="11"/>
  <c r="K5107" i="11"/>
  <c r="I5107" i="11"/>
  <c r="N5106" i="11"/>
  <c r="K5106" i="11"/>
  <c r="I5106" i="11"/>
  <c r="N5105" i="11"/>
  <c r="K5105" i="11"/>
  <c r="I5105" i="11"/>
  <c r="N5104" i="11"/>
  <c r="K5104" i="11"/>
  <c r="I5104" i="11"/>
  <c r="N5103" i="11"/>
  <c r="K5103" i="11"/>
  <c r="I5103" i="11"/>
  <c r="N5102" i="11"/>
  <c r="K5102" i="11"/>
  <c r="I5102" i="11"/>
  <c r="N5101" i="11"/>
  <c r="K5101" i="11"/>
  <c r="I5101" i="11"/>
  <c r="N5100" i="11"/>
  <c r="K5100" i="11"/>
  <c r="I5100" i="11"/>
  <c r="N5099" i="11"/>
  <c r="K5099" i="11"/>
  <c r="I5099" i="11"/>
  <c r="N5098" i="11"/>
  <c r="K5098" i="11"/>
  <c r="I5098" i="11"/>
  <c r="N5097" i="11"/>
  <c r="K5097" i="11"/>
  <c r="I5097" i="11"/>
  <c r="N5096" i="11"/>
  <c r="K5096" i="11"/>
  <c r="I5096" i="11"/>
  <c r="N5095" i="11"/>
  <c r="K5095" i="11"/>
  <c r="I5095" i="11"/>
  <c r="N5094" i="11"/>
  <c r="K5094" i="11"/>
  <c r="I5094" i="11"/>
  <c r="N5093" i="11"/>
  <c r="K5093" i="11"/>
  <c r="I5093" i="11"/>
  <c r="N5092" i="11"/>
  <c r="K5092" i="11"/>
  <c r="I5092" i="11"/>
  <c r="N5091" i="11"/>
  <c r="K5091" i="11"/>
  <c r="I5091" i="11"/>
  <c r="N5090" i="11"/>
  <c r="K5090" i="11"/>
  <c r="I5090" i="11"/>
  <c r="N5089" i="11"/>
  <c r="K5089" i="11"/>
  <c r="I5089" i="11"/>
  <c r="N5088" i="11"/>
  <c r="K5088" i="11"/>
  <c r="I5088" i="11"/>
  <c r="N5087" i="11"/>
  <c r="K5087" i="11"/>
  <c r="I5087" i="11"/>
  <c r="N5086" i="11"/>
  <c r="K5086" i="11"/>
  <c r="I5086" i="11"/>
  <c r="N5085" i="11"/>
  <c r="K5085" i="11"/>
  <c r="I5085" i="11"/>
  <c r="N5084" i="11"/>
  <c r="K5084" i="11"/>
  <c r="I5084" i="11"/>
  <c r="N5083" i="11"/>
  <c r="K5083" i="11"/>
  <c r="I5083" i="11"/>
  <c r="N5082" i="11"/>
  <c r="K5082" i="11"/>
  <c r="I5082" i="11"/>
  <c r="N5081" i="11"/>
  <c r="K5081" i="11"/>
  <c r="I5081" i="11"/>
  <c r="N5080" i="11"/>
  <c r="K5080" i="11"/>
  <c r="I5080" i="11"/>
  <c r="N5079" i="11"/>
  <c r="K5079" i="11"/>
  <c r="I5079" i="11"/>
  <c r="N5078" i="11"/>
  <c r="K5078" i="11"/>
  <c r="I5078" i="11"/>
  <c r="N5077" i="11"/>
  <c r="K5077" i="11"/>
  <c r="I5077" i="11"/>
  <c r="N5076" i="11"/>
  <c r="K5076" i="11"/>
  <c r="I5076" i="11"/>
  <c r="N5075" i="11"/>
  <c r="K5075" i="11"/>
  <c r="I5075" i="11"/>
  <c r="N5074" i="11"/>
  <c r="K5074" i="11"/>
  <c r="I5074" i="11"/>
  <c r="N5073" i="11"/>
  <c r="K5073" i="11"/>
  <c r="I5073" i="11"/>
  <c r="N5072" i="11"/>
  <c r="K5072" i="11"/>
  <c r="I5072" i="11"/>
  <c r="N5071" i="11"/>
  <c r="K5071" i="11"/>
  <c r="I5071" i="11"/>
  <c r="N5070" i="11"/>
  <c r="K5070" i="11"/>
  <c r="I5070" i="11"/>
  <c r="N5069" i="11"/>
  <c r="K5069" i="11"/>
  <c r="I5069" i="11"/>
  <c r="N5068" i="11"/>
  <c r="K5068" i="11"/>
  <c r="I5068" i="11"/>
  <c r="N5067" i="11"/>
  <c r="K5067" i="11"/>
  <c r="I5067" i="11"/>
  <c r="N5066" i="11"/>
  <c r="K5066" i="11"/>
  <c r="I5066" i="11"/>
  <c r="N5065" i="11"/>
  <c r="K5065" i="11"/>
  <c r="I5065" i="11"/>
  <c r="N5064" i="11"/>
  <c r="K5064" i="11"/>
  <c r="I5064" i="11"/>
  <c r="N5063" i="11"/>
  <c r="K5063" i="11"/>
  <c r="I5063" i="11"/>
  <c r="N5062" i="11"/>
  <c r="K5062" i="11"/>
  <c r="I5062" i="11"/>
  <c r="N5061" i="11"/>
  <c r="K5061" i="11"/>
  <c r="I5061" i="11"/>
  <c r="N5060" i="11"/>
  <c r="K5060" i="11"/>
  <c r="I5060" i="11"/>
  <c r="N5059" i="11"/>
  <c r="K5059" i="11"/>
  <c r="I5059" i="11"/>
  <c r="N5058" i="11"/>
  <c r="K5058" i="11"/>
  <c r="I5058" i="11"/>
  <c r="N5057" i="11"/>
  <c r="K5057" i="11"/>
  <c r="I5057" i="11"/>
  <c r="N5056" i="11"/>
  <c r="K5056" i="11"/>
  <c r="I5056" i="11"/>
  <c r="N5055" i="11"/>
  <c r="K5055" i="11"/>
  <c r="I5055" i="11"/>
  <c r="N5054" i="11"/>
  <c r="K5054" i="11"/>
  <c r="I5054" i="11"/>
  <c r="N5053" i="11"/>
  <c r="K5053" i="11"/>
  <c r="I5053" i="11"/>
  <c r="N5052" i="11"/>
  <c r="K5052" i="11"/>
  <c r="I5052" i="11"/>
  <c r="N5051" i="11"/>
  <c r="K5051" i="11"/>
  <c r="I5051" i="11"/>
  <c r="N5050" i="11"/>
  <c r="K5050" i="11"/>
  <c r="I5050" i="11"/>
  <c r="N5049" i="11"/>
  <c r="K5049" i="11"/>
  <c r="I5049" i="11"/>
  <c r="N5048" i="11"/>
  <c r="K5048" i="11"/>
  <c r="I5048" i="11"/>
  <c r="N5047" i="11"/>
  <c r="K5047" i="11"/>
  <c r="I5047" i="11"/>
  <c r="N5046" i="11"/>
  <c r="K5046" i="11"/>
  <c r="I5046" i="11"/>
  <c r="N5045" i="11"/>
  <c r="K5045" i="11"/>
  <c r="I5045" i="11"/>
  <c r="N5044" i="11"/>
  <c r="K5044" i="11"/>
  <c r="I5044" i="11"/>
  <c r="N5043" i="11"/>
  <c r="K5043" i="11"/>
  <c r="I5043" i="11"/>
  <c r="N5042" i="11"/>
  <c r="K5042" i="11"/>
  <c r="I5042" i="11"/>
  <c r="N5041" i="11"/>
  <c r="K5041" i="11"/>
  <c r="I5041" i="11"/>
  <c r="N5040" i="11"/>
  <c r="K5040" i="11"/>
  <c r="I5040" i="11"/>
  <c r="N5039" i="11"/>
  <c r="K5039" i="11"/>
  <c r="I5039" i="11"/>
  <c r="N5038" i="11"/>
  <c r="K5038" i="11"/>
  <c r="I5038" i="11"/>
  <c r="N5037" i="11"/>
  <c r="K5037" i="11"/>
  <c r="I5037" i="11"/>
  <c r="N5036" i="11"/>
  <c r="K5036" i="11"/>
  <c r="I5036" i="11"/>
  <c r="N5035" i="11"/>
  <c r="K5035" i="11"/>
  <c r="I5035" i="11"/>
  <c r="N5034" i="11"/>
  <c r="K5034" i="11"/>
  <c r="I5034" i="11"/>
  <c r="N5033" i="11"/>
  <c r="K5033" i="11"/>
  <c r="I5033" i="11"/>
  <c r="N5032" i="11"/>
  <c r="K5032" i="11"/>
  <c r="I5032" i="11"/>
  <c r="N5031" i="11"/>
  <c r="K5031" i="11"/>
  <c r="I5031" i="11"/>
  <c r="N5030" i="11"/>
  <c r="K5030" i="11"/>
  <c r="I5030" i="11"/>
  <c r="N5029" i="11"/>
  <c r="K5029" i="11"/>
  <c r="I5029" i="11"/>
  <c r="N5028" i="11"/>
  <c r="K5028" i="11"/>
  <c r="I5028" i="11"/>
  <c r="N5027" i="11"/>
  <c r="K5027" i="11"/>
  <c r="I5027" i="11"/>
  <c r="N5026" i="11"/>
  <c r="K5026" i="11"/>
  <c r="I5026" i="11"/>
  <c r="N5025" i="11"/>
  <c r="K5025" i="11"/>
  <c r="I5025" i="11"/>
  <c r="N5024" i="11"/>
  <c r="K5024" i="11"/>
  <c r="I5024" i="11"/>
  <c r="N5023" i="11"/>
  <c r="K5023" i="11"/>
  <c r="I5023" i="11"/>
  <c r="N5022" i="11"/>
  <c r="K5022" i="11"/>
  <c r="I5022" i="11"/>
  <c r="N5021" i="11"/>
  <c r="K5021" i="11"/>
  <c r="I5021" i="11"/>
  <c r="N5020" i="11"/>
  <c r="K5020" i="11"/>
  <c r="I5020" i="11"/>
  <c r="N5019" i="11"/>
  <c r="K5019" i="11"/>
  <c r="I5019" i="11"/>
  <c r="N5018" i="11"/>
  <c r="K5018" i="11"/>
  <c r="I5018" i="11"/>
  <c r="N5017" i="11"/>
  <c r="K5017" i="11"/>
  <c r="I5017" i="11"/>
  <c r="N5016" i="11"/>
  <c r="K5016" i="11"/>
  <c r="I5016" i="11"/>
  <c r="N5015" i="11"/>
  <c r="K5015" i="11"/>
  <c r="I5015" i="11"/>
  <c r="N5014" i="11"/>
  <c r="K5014" i="11"/>
  <c r="I5014" i="11"/>
  <c r="N5013" i="11"/>
  <c r="K5013" i="11"/>
  <c r="I5013" i="11"/>
  <c r="N5012" i="11"/>
  <c r="K5012" i="11"/>
  <c r="I5012" i="11"/>
  <c r="N5011" i="11"/>
  <c r="K5011" i="11"/>
  <c r="I5011" i="11"/>
  <c r="N5010" i="11"/>
  <c r="K5010" i="11"/>
  <c r="I5010" i="11"/>
  <c r="N5009" i="11"/>
  <c r="K5009" i="11"/>
  <c r="I5009" i="11"/>
  <c r="N5008" i="11"/>
  <c r="K5008" i="11"/>
  <c r="I5008" i="11"/>
  <c r="N5007" i="11"/>
  <c r="K5007" i="11"/>
  <c r="I5007" i="11"/>
  <c r="N5006" i="11"/>
  <c r="K5006" i="11"/>
  <c r="I5006" i="11"/>
  <c r="N5005" i="11"/>
  <c r="K5005" i="11"/>
  <c r="I5005" i="11"/>
  <c r="N5004" i="11"/>
  <c r="K5004" i="11"/>
  <c r="I5004" i="11"/>
  <c r="N5003" i="11"/>
  <c r="K5003" i="11"/>
  <c r="I5003" i="11"/>
  <c r="N5002" i="11"/>
  <c r="K5002" i="11"/>
  <c r="I5002" i="11"/>
  <c r="N5001" i="11"/>
  <c r="K5001" i="11"/>
  <c r="I5001" i="11"/>
  <c r="N5000" i="11"/>
  <c r="K5000" i="11"/>
  <c r="I5000" i="11"/>
  <c r="N4999" i="11"/>
  <c r="K4999" i="11"/>
  <c r="I4999" i="11"/>
  <c r="N4998" i="11"/>
  <c r="K4998" i="11"/>
  <c r="I4998" i="11"/>
  <c r="N4997" i="11"/>
  <c r="K4997" i="11"/>
  <c r="I4997" i="11"/>
  <c r="N4996" i="11"/>
  <c r="K4996" i="11"/>
  <c r="I4996" i="11"/>
  <c r="N4995" i="11"/>
  <c r="K4995" i="11"/>
  <c r="I4995" i="11"/>
  <c r="N4994" i="11"/>
  <c r="K4994" i="11"/>
  <c r="I4994" i="11"/>
  <c r="N4993" i="11"/>
  <c r="K4993" i="11"/>
  <c r="I4993" i="11"/>
  <c r="N4992" i="11"/>
  <c r="K4992" i="11"/>
  <c r="I4992" i="11"/>
  <c r="N4991" i="11"/>
  <c r="K4991" i="11"/>
  <c r="I4991" i="11"/>
  <c r="N4990" i="11"/>
  <c r="K4990" i="11"/>
  <c r="I4990" i="11"/>
  <c r="N4989" i="11"/>
  <c r="K4989" i="11"/>
  <c r="I4989" i="11"/>
  <c r="N4988" i="11"/>
  <c r="K4988" i="11"/>
  <c r="I4988" i="11"/>
  <c r="N4987" i="11"/>
  <c r="K4987" i="11"/>
  <c r="I4987" i="11"/>
  <c r="N4986" i="11"/>
  <c r="K4986" i="11"/>
  <c r="I4986" i="11"/>
  <c r="N4985" i="11"/>
  <c r="K4985" i="11"/>
  <c r="I4985" i="11"/>
  <c r="N4984" i="11"/>
  <c r="K4984" i="11"/>
  <c r="I4984" i="11"/>
  <c r="N4983" i="11"/>
  <c r="K4983" i="11"/>
  <c r="I4983" i="11"/>
  <c r="N4982" i="11"/>
  <c r="K4982" i="11"/>
  <c r="I4982" i="11"/>
  <c r="N4981" i="11"/>
  <c r="K4981" i="11"/>
  <c r="I4981" i="11"/>
  <c r="N4980" i="11"/>
  <c r="K4980" i="11"/>
  <c r="I4980" i="11"/>
  <c r="N4979" i="11"/>
  <c r="K4979" i="11"/>
  <c r="I4979" i="11"/>
  <c r="N4978" i="11"/>
  <c r="K4978" i="11"/>
  <c r="I4978" i="11"/>
  <c r="N4977" i="11"/>
  <c r="K4977" i="11"/>
  <c r="I4977" i="11"/>
  <c r="N4976" i="11"/>
  <c r="K4976" i="11"/>
  <c r="I4976" i="11"/>
  <c r="N4975" i="11"/>
  <c r="K4975" i="11"/>
  <c r="I4975" i="11"/>
  <c r="N4974" i="11"/>
  <c r="K4974" i="11"/>
  <c r="I4974" i="11"/>
  <c r="N4973" i="11"/>
  <c r="K4973" i="11"/>
  <c r="I4973" i="11"/>
  <c r="N4972" i="11"/>
  <c r="K4972" i="11"/>
  <c r="I4972" i="11"/>
  <c r="N4971" i="11"/>
  <c r="K4971" i="11"/>
  <c r="I4971" i="11"/>
  <c r="N4970" i="11"/>
  <c r="K4970" i="11"/>
  <c r="I4970" i="11"/>
  <c r="N4969" i="11"/>
  <c r="K4969" i="11"/>
  <c r="I4969" i="11"/>
  <c r="N4968" i="11"/>
  <c r="K4968" i="11"/>
  <c r="I4968" i="11"/>
  <c r="N4967" i="11"/>
  <c r="K4967" i="11"/>
  <c r="I4967" i="11"/>
  <c r="N4966" i="11"/>
  <c r="K4966" i="11"/>
  <c r="I4966" i="11"/>
  <c r="N4965" i="11"/>
  <c r="K4965" i="11"/>
  <c r="I4965" i="11"/>
  <c r="N4964" i="11"/>
  <c r="K4964" i="11"/>
  <c r="I4964" i="11"/>
  <c r="N4963" i="11"/>
  <c r="K4963" i="11"/>
  <c r="I4963" i="11"/>
  <c r="N4962" i="11"/>
  <c r="K4962" i="11"/>
  <c r="I4962" i="11"/>
  <c r="N4961" i="11"/>
  <c r="K4961" i="11"/>
  <c r="I4961" i="11"/>
  <c r="N4960" i="11"/>
  <c r="K4960" i="11"/>
  <c r="I4960" i="11"/>
  <c r="N4959" i="11"/>
  <c r="K4959" i="11"/>
  <c r="I4959" i="11"/>
  <c r="N4958" i="11"/>
  <c r="K4958" i="11"/>
  <c r="I4958" i="11"/>
  <c r="N4957" i="11"/>
  <c r="K4957" i="11"/>
  <c r="I4957" i="11"/>
  <c r="N4956" i="11"/>
  <c r="K4956" i="11"/>
  <c r="I4956" i="11"/>
  <c r="N4955" i="11"/>
  <c r="K4955" i="11"/>
  <c r="I4955" i="11"/>
  <c r="N4954" i="11"/>
  <c r="K4954" i="11"/>
  <c r="I4954" i="11"/>
  <c r="N4953" i="11"/>
  <c r="K4953" i="11"/>
  <c r="I4953" i="11"/>
  <c r="N4952" i="11"/>
  <c r="K4952" i="11"/>
  <c r="I4952" i="11"/>
  <c r="N4951" i="11"/>
  <c r="K4951" i="11"/>
  <c r="I4951" i="11"/>
  <c r="N4950" i="11"/>
  <c r="K4950" i="11"/>
  <c r="I4950" i="11"/>
  <c r="N4949" i="11"/>
  <c r="K4949" i="11"/>
  <c r="I4949" i="11"/>
  <c r="N4948" i="11"/>
  <c r="K4948" i="11"/>
  <c r="I4948" i="11"/>
  <c r="N4947" i="11"/>
  <c r="K4947" i="11"/>
  <c r="I4947" i="11"/>
  <c r="N4946" i="11"/>
  <c r="K4946" i="11"/>
  <c r="I4946" i="11"/>
  <c r="N4945" i="11"/>
  <c r="K4945" i="11"/>
  <c r="I4945" i="11"/>
  <c r="N4944" i="11"/>
  <c r="K4944" i="11"/>
  <c r="I4944" i="11"/>
  <c r="N4943" i="11"/>
  <c r="K4943" i="11"/>
  <c r="I4943" i="11"/>
  <c r="N4942" i="11"/>
  <c r="K4942" i="11"/>
  <c r="I4942" i="11"/>
  <c r="N4941" i="11"/>
  <c r="K4941" i="11"/>
  <c r="I4941" i="11"/>
  <c r="N4940" i="11"/>
  <c r="K4940" i="11"/>
  <c r="I4940" i="11"/>
  <c r="N4939" i="11"/>
  <c r="K4939" i="11"/>
  <c r="I4939" i="11"/>
  <c r="N4938" i="11"/>
  <c r="K4938" i="11"/>
  <c r="I4938" i="11"/>
  <c r="N4937" i="11"/>
  <c r="K4937" i="11"/>
  <c r="I4937" i="11"/>
  <c r="N4936" i="11"/>
  <c r="K4936" i="11"/>
  <c r="I4936" i="11"/>
  <c r="N4935" i="11"/>
  <c r="K4935" i="11"/>
  <c r="I4935" i="11"/>
  <c r="N4934" i="11"/>
  <c r="K4934" i="11"/>
  <c r="I4934" i="11"/>
  <c r="N4933" i="11"/>
  <c r="K4933" i="11"/>
  <c r="I4933" i="11"/>
  <c r="N4932" i="11"/>
  <c r="K4932" i="11"/>
  <c r="I4932" i="11"/>
  <c r="N4931" i="11"/>
  <c r="K4931" i="11"/>
  <c r="I4931" i="11"/>
  <c r="N4930" i="11"/>
  <c r="K4930" i="11"/>
  <c r="I4930" i="11"/>
  <c r="N4929" i="11"/>
  <c r="K4929" i="11"/>
  <c r="I4929" i="11"/>
  <c r="N4928" i="11"/>
  <c r="K4928" i="11"/>
  <c r="I4928" i="11"/>
  <c r="N4927" i="11"/>
  <c r="K4927" i="11"/>
  <c r="I4927" i="11"/>
  <c r="N4926" i="11"/>
  <c r="K4926" i="11"/>
  <c r="I4926" i="11"/>
  <c r="N4925" i="11"/>
  <c r="K4925" i="11"/>
  <c r="I4925" i="11"/>
  <c r="N4924" i="11"/>
  <c r="K4924" i="11"/>
  <c r="I4924" i="11"/>
  <c r="N4923" i="11"/>
  <c r="K4923" i="11"/>
  <c r="I4923" i="11"/>
  <c r="N4922" i="11"/>
  <c r="K4922" i="11"/>
  <c r="I4922" i="11"/>
  <c r="N4921" i="11"/>
  <c r="K4921" i="11"/>
  <c r="I4921" i="11"/>
  <c r="N4920" i="11"/>
  <c r="K4920" i="11"/>
  <c r="I4920" i="11"/>
  <c r="N4919" i="11"/>
  <c r="K4919" i="11"/>
  <c r="I4919" i="11"/>
  <c r="N4918" i="11"/>
  <c r="K4918" i="11"/>
  <c r="I4918" i="11"/>
  <c r="N4917" i="11"/>
  <c r="K4917" i="11"/>
  <c r="I4917" i="11"/>
  <c r="N4916" i="11"/>
  <c r="K4916" i="11"/>
  <c r="I4916" i="11"/>
  <c r="N4915" i="11"/>
  <c r="K4915" i="11"/>
  <c r="I4915" i="11"/>
  <c r="N4914" i="11"/>
  <c r="K4914" i="11"/>
  <c r="I4914" i="11"/>
  <c r="N4913" i="11"/>
  <c r="K4913" i="11"/>
  <c r="I4913" i="11"/>
  <c r="N4912" i="11"/>
  <c r="K4912" i="11"/>
  <c r="I4912" i="11"/>
  <c r="N4911" i="11"/>
  <c r="K4911" i="11"/>
  <c r="I4911" i="11"/>
  <c r="N4910" i="11"/>
  <c r="K4910" i="11"/>
  <c r="I4910" i="11"/>
  <c r="N4909" i="11"/>
  <c r="K4909" i="11"/>
  <c r="I4909" i="11"/>
  <c r="N4908" i="11"/>
  <c r="K4908" i="11"/>
  <c r="I4908" i="11"/>
  <c r="N4907" i="11"/>
  <c r="K4907" i="11"/>
  <c r="I4907" i="11"/>
  <c r="N4906" i="11"/>
  <c r="K4906" i="11"/>
  <c r="I4906" i="11"/>
  <c r="N4905" i="11"/>
  <c r="K4905" i="11"/>
  <c r="I4905" i="11"/>
  <c r="N4904" i="11"/>
  <c r="K4904" i="11"/>
  <c r="I4904" i="11"/>
  <c r="N4903" i="11"/>
  <c r="K4903" i="11"/>
  <c r="I4903" i="11"/>
  <c r="N4902" i="11"/>
  <c r="K4902" i="11"/>
  <c r="I4902" i="11"/>
  <c r="N4901" i="11"/>
  <c r="K4901" i="11"/>
  <c r="I4901" i="11"/>
  <c r="N4900" i="11"/>
  <c r="K4900" i="11"/>
  <c r="I4900" i="11"/>
  <c r="N4899" i="11"/>
  <c r="K4899" i="11"/>
  <c r="I4899" i="11"/>
  <c r="N4898" i="11"/>
  <c r="K4898" i="11"/>
  <c r="I4898" i="11"/>
  <c r="N4897" i="11"/>
  <c r="K4897" i="11"/>
  <c r="I4897" i="11"/>
  <c r="N4896" i="11"/>
  <c r="K4896" i="11"/>
  <c r="I4896" i="11"/>
  <c r="N4895" i="11"/>
  <c r="K4895" i="11"/>
  <c r="I4895" i="11"/>
  <c r="N4894" i="11"/>
  <c r="K4894" i="11"/>
  <c r="I4894" i="11"/>
  <c r="N4893" i="11"/>
  <c r="K4893" i="11"/>
  <c r="I4893" i="11"/>
  <c r="N4892" i="11"/>
  <c r="K4892" i="11"/>
  <c r="I4892" i="11"/>
  <c r="N4891" i="11"/>
  <c r="K4891" i="11"/>
  <c r="I4891" i="11"/>
  <c r="N4890" i="11"/>
  <c r="K4890" i="11"/>
  <c r="I4890" i="11"/>
  <c r="N4889" i="11"/>
  <c r="K4889" i="11"/>
  <c r="I4889" i="11"/>
  <c r="N4888" i="11"/>
  <c r="K4888" i="11"/>
  <c r="I4888" i="11"/>
  <c r="N4887" i="11"/>
  <c r="K4887" i="11"/>
  <c r="I4887" i="11"/>
  <c r="N4886" i="11"/>
  <c r="K4886" i="11"/>
  <c r="I4886" i="11"/>
  <c r="N4885" i="11"/>
  <c r="K4885" i="11"/>
  <c r="I4885" i="11"/>
  <c r="N4884" i="11"/>
  <c r="K4884" i="11"/>
  <c r="I4884" i="11"/>
  <c r="N4883" i="11"/>
  <c r="K4883" i="11"/>
  <c r="I4883" i="11"/>
  <c r="N4882" i="11"/>
  <c r="K4882" i="11"/>
  <c r="I4882" i="11"/>
  <c r="N4881" i="11"/>
  <c r="K4881" i="11"/>
  <c r="I4881" i="11"/>
  <c r="N4880" i="11"/>
  <c r="K4880" i="11"/>
  <c r="I4880" i="11"/>
  <c r="N4879" i="11"/>
  <c r="K4879" i="11"/>
  <c r="I4879" i="11"/>
  <c r="N4878" i="11"/>
  <c r="K4878" i="11"/>
  <c r="I4878" i="11"/>
  <c r="N4877" i="11"/>
  <c r="K4877" i="11"/>
  <c r="I4877" i="11"/>
  <c r="N4876" i="11"/>
  <c r="K4876" i="11"/>
  <c r="I4876" i="11"/>
  <c r="N4875" i="11"/>
  <c r="K4875" i="11"/>
  <c r="I4875" i="11"/>
  <c r="N4874" i="11"/>
  <c r="K4874" i="11"/>
  <c r="I4874" i="11"/>
  <c r="N4873" i="11"/>
  <c r="K4873" i="11"/>
  <c r="I4873" i="11"/>
  <c r="N4872" i="11"/>
  <c r="K4872" i="11"/>
  <c r="I4872" i="11"/>
  <c r="N4871" i="11"/>
  <c r="K4871" i="11"/>
  <c r="I4871" i="11"/>
  <c r="N4870" i="11"/>
  <c r="K4870" i="11"/>
  <c r="I4870" i="11"/>
  <c r="N4869" i="11"/>
  <c r="K4869" i="11"/>
  <c r="I4869" i="11"/>
  <c r="N4868" i="11"/>
  <c r="K4868" i="11"/>
  <c r="I4868" i="11"/>
  <c r="N4867" i="11"/>
  <c r="K4867" i="11"/>
  <c r="I4867" i="11"/>
  <c r="N4866" i="11"/>
  <c r="K4866" i="11"/>
  <c r="I4866" i="11"/>
  <c r="N4865" i="11"/>
  <c r="K4865" i="11"/>
  <c r="I4865" i="11"/>
  <c r="N4864" i="11"/>
  <c r="K4864" i="11"/>
  <c r="I4864" i="11"/>
  <c r="N4863" i="11"/>
  <c r="K4863" i="11"/>
  <c r="I4863" i="11"/>
  <c r="N4862" i="11"/>
  <c r="K4862" i="11"/>
  <c r="I4862" i="11"/>
  <c r="N4861" i="11"/>
  <c r="K4861" i="11"/>
  <c r="I4861" i="11"/>
  <c r="N4860" i="11"/>
  <c r="K4860" i="11"/>
  <c r="I4860" i="11"/>
  <c r="N4859" i="11"/>
  <c r="K4859" i="11"/>
  <c r="I4859" i="11"/>
  <c r="N4858" i="11"/>
  <c r="K4858" i="11"/>
  <c r="I4858" i="11"/>
  <c r="N4857" i="11"/>
  <c r="K4857" i="11"/>
  <c r="I4857" i="11"/>
  <c r="N4856" i="11"/>
  <c r="K4856" i="11"/>
  <c r="I4856" i="11"/>
  <c r="N4855" i="11"/>
  <c r="K4855" i="11"/>
  <c r="I4855" i="11"/>
  <c r="N4854" i="11"/>
  <c r="K4854" i="11"/>
  <c r="I4854" i="11"/>
  <c r="N4853" i="11"/>
  <c r="K4853" i="11"/>
  <c r="I4853" i="11"/>
  <c r="N4852" i="11"/>
  <c r="K4852" i="11"/>
  <c r="I4852" i="11"/>
  <c r="N4851" i="11"/>
  <c r="K4851" i="11"/>
  <c r="I4851" i="11"/>
  <c r="N4850" i="11"/>
  <c r="K4850" i="11"/>
  <c r="I4850" i="11"/>
  <c r="N4849" i="11"/>
  <c r="K4849" i="11"/>
  <c r="I4849" i="11"/>
  <c r="N4848" i="11"/>
  <c r="K4848" i="11"/>
  <c r="I4848" i="11"/>
  <c r="N4847" i="11"/>
  <c r="K4847" i="11"/>
  <c r="I4847" i="11"/>
  <c r="N4846" i="11"/>
  <c r="K4846" i="11"/>
  <c r="I4846" i="11"/>
  <c r="N4845" i="11"/>
  <c r="K4845" i="11"/>
  <c r="I4845" i="11"/>
  <c r="N4844" i="11"/>
  <c r="K4844" i="11"/>
  <c r="I4844" i="11"/>
  <c r="N4843" i="11"/>
  <c r="K4843" i="11"/>
  <c r="I4843" i="11"/>
  <c r="N4842" i="11"/>
  <c r="K4842" i="11"/>
  <c r="I4842" i="11"/>
  <c r="N4841" i="11"/>
  <c r="K4841" i="11"/>
  <c r="I4841" i="11"/>
  <c r="N4840" i="11"/>
  <c r="K4840" i="11"/>
  <c r="I4840" i="11"/>
  <c r="N4839" i="11"/>
  <c r="K4839" i="11"/>
  <c r="I4839" i="11"/>
  <c r="N4838" i="11"/>
  <c r="K4838" i="11"/>
  <c r="I4838" i="11"/>
  <c r="N4837" i="11"/>
  <c r="K4837" i="11"/>
  <c r="I4837" i="11"/>
  <c r="N4836" i="11"/>
  <c r="K4836" i="11"/>
  <c r="I4836" i="11"/>
  <c r="N4835" i="11"/>
  <c r="K4835" i="11"/>
  <c r="I4835" i="11"/>
  <c r="N4834" i="11"/>
  <c r="K4834" i="11"/>
  <c r="I4834" i="11"/>
  <c r="N4833" i="11"/>
  <c r="K4833" i="11"/>
  <c r="I4833" i="11"/>
  <c r="N4832" i="11"/>
  <c r="K4832" i="11"/>
  <c r="I4832" i="11"/>
  <c r="N4831" i="11"/>
  <c r="K4831" i="11"/>
  <c r="I4831" i="11"/>
  <c r="N4830" i="11"/>
  <c r="K4830" i="11"/>
  <c r="I4830" i="11"/>
  <c r="N4829" i="11"/>
  <c r="K4829" i="11"/>
  <c r="I4829" i="11"/>
  <c r="N4828" i="11"/>
  <c r="K4828" i="11"/>
  <c r="I4828" i="11"/>
  <c r="N4827" i="11"/>
  <c r="K4827" i="11"/>
  <c r="I4827" i="11"/>
  <c r="N4826" i="11"/>
  <c r="K4826" i="11"/>
  <c r="I4826" i="11"/>
  <c r="N4825" i="11"/>
  <c r="K4825" i="11"/>
  <c r="I4825" i="11"/>
  <c r="N4824" i="11"/>
  <c r="K4824" i="11"/>
  <c r="I4824" i="11"/>
  <c r="N4823" i="11"/>
  <c r="K4823" i="11"/>
  <c r="I4823" i="11"/>
  <c r="N4822" i="11"/>
  <c r="K4822" i="11"/>
  <c r="I4822" i="11"/>
  <c r="N4821" i="11"/>
  <c r="K4821" i="11"/>
  <c r="I4821" i="11"/>
  <c r="N4820" i="11"/>
  <c r="K4820" i="11"/>
  <c r="I4820" i="11"/>
  <c r="N4819" i="11"/>
  <c r="K4819" i="11"/>
  <c r="I4819" i="11"/>
  <c r="N4818" i="11"/>
  <c r="K4818" i="11"/>
  <c r="I4818" i="11"/>
  <c r="N4817" i="11"/>
  <c r="K4817" i="11"/>
  <c r="I4817" i="11"/>
  <c r="N4816" i="11"/>
  <c r="K4816" i="11"/>
  <c r="I4816" i="11"/>
  <c r="N4815" i="11"/>
  <c r="K4815" i="11"/>
  <c r="I4815" i="11"/>
  <c r="N4814" i="11"/>
  <c r="K4814" i="11"/>
  <c r="I4814" i="11"/>
  <c r="N4813" i="11"/>
  <c r="K4813" i="11"/>
  <c r="I4813" i="11"/>
  <c r="N4812" i="11"/>
  <c r="K4812" i="11"/>
  <c r="I4812" i="11"/>
  <c r="N4811" i="11"/>
  <c r="K4811" i="11"/>
  <c r="I4811" i="11"/>
  <c r="N4810" i="11"/>
  <c r="K4810" i="11"/>
  <c r="I4810" i="11"/>
  <c r="N4809" i="11"/>
  <c r="K4809" i="11"/>
  <c r="I4809" i="11"/>
  <c r="N4808" i="11"/>
  <c r="K4808" i="11"/>
  <c r="I4808" i="11"/>
  <c r="N4807" i="11"/>
  <c r="K4807" i="11"/>
  <c r="I4807" i="11"/>
  <c r="N4806" i="11"/>
  <c r="K4806" i="11"/>
  <c r="I4806" i="11"/>
  <c r="N4805" i="11"/>
  <c r="K4805" i="11"/>
  <c r="I4805" i="11"/>
  <c r="N4804" i="11"/>
  <c r="K4804" i="11"/>
  <c r="I4804" i="11"/>
  <c r="N4803" i="11"/>
  <c r="K4803" i="11"/>
  <c r="I4803" i="11"/>
  <c r="N4802" i="11"/>
  <c r="K4802" i="11"/>
  <c r="I4802" i="11"/>
  <c r="N4801" i="11"/>
  <c r="K4801" i="11"/>
  <c r="I4801" i="11"/>
  <c r="N4800" i="11"/>
  <c r="K4800" i="11"/>
  <c r="I4800" i="11"/>
  <c r="N4799" i="11"/>
  <c r="K4799" i="11"/>
  <c r="I4799" i="11"/>
  <c r="N4798" i="11"/>
  <c r="K4798" i="11"/>
  <c r="I4798" i="11"/>
  <c r="N4797" i="11"/>
  <c r="K4797" i="11"/>
  <c r="I4797" i="11"/>
  <c r="N4796" i="11"/>
  <c r="K4796" i="11"/>
  <c r="I4796" i="11"/>
  <c r="N4795" i="11"/>
  <c r="K4795" i="11"/>
  <c r="I4795" i="11"/>
  <c r="N4794" i="11"/>
  <c r="K4794" i="11"/>
  <c r="I4794" i="11"/>
  <c r="N4793" i="11"/>
  <c r="K4793" i="11"/>
  <c r="I4793" i="11"/>
  <c r="N4792" i="11"/>
  <c r="K4792" i="11"/>
  <c r="I4792" i="11"/>
  <c r="N4791" i="11"/>
  <c r="K4791" i="11"/>
  <c r="I4791" i="11"/>
  <c r="N4790" i="11"/>
  <c r="K4790" i="11"/>
  <c r="I4790" i="11"/>
  <c r="N4789" i="11"/>
  <c r="K4789" i="11"/>
  <c r="I4789" i="11"/>
  <c r="N4788" i="11"/>
  <c r="K4788" i="11"/>
  <c r="I4788" i="11"/>
  <c r="N4787" i="11"/>
  <c r="K4787" i="11"/>
  <c r="I4787" i="11"/>
  <c r="N4786" i="11"/>
  <c r="K4786" i="11"/>
  <c r="I4786" i="11"/>
  <c r="N4785" i="11"/>
  <c r="K4785" i="11"/>
  <c r="I4785" i="11"/>
  <c r="N4784" i="11"/>
  <c r="K4784" i="11"/>
  <c r="I4784" i="11"/>
  <c r="N4783" i="11"/>
  <c r="K4783" i="11"/>
  <c r="I4783" i="11"/>
  <c r="N4782" i="11"/>
  <c r="K4782" i="11"/>
  <c r="I4782" i="11"/>
  <c r="N4781" i="11"/>
  <c r="K4781" i="11"/>
  <c r="I4781" i="11"/>
  <c r="N4780" i="11"/>
  <c r="K4780" i="11"/>
  <c r="I4780" i="11"/>
  <c r="N4779" i="11"/>
  <c r="K4779" i="11"/>
  <c r="I4779" i="11"/>
  <c r="N4778" i="11"/>
  <c r="K4778" i="11"/>
  <c r="I4778" i="11"/>
  <c r="N4777" i="11"/>
  <c r="K4777" i="11"/>
  <c r="I4777" i="11"/>
  <c r="N4776" i="11"/>
  <c r="K4776" i="11"/>
  <c r="I4776" i="11"/>
  <c r="N4775" i="11"/>
  <c r="K4775" i="11"/>
  <c r="I4775" i="11"/>
  <c r="N4774" i="11"/>
  <c r="K4774" i="11"/>
  <c r="I4774" i="11"/>
  <c r="N4773" i="11"/>
  <c r="K4773" i="11"/>
  <c r="I4773" i="11"/>
  <c r="N4772" i="11"/>
  <c r="K4772" i="11"/>
  <c r="I4772" i="11"/>
  <c r="N4771" i="11"/>
  <c r="K4771" i="11"/>
  <c r="I4771" i="11"/>
  <c r="N4770" i="11"/>
  <c r="K4770" i="11"/>
  <c r="I4770" i="11"/>
  <c r="N4769" i="11"/>
  <c r="K4769" i="11"/>
  <c r="I4769" i="11"/>
  <c r="N4768" i="11"/>
  <c r="K4768" i="11"/>
  <c r="I4768" i="11"/>
  <c r="N4767" i="11"/>
  <c r="K4767" i="11"/>
  <c r="I4767" i="11"/>
  <c r="N4766" i="11"/>
  <c r="K4766" i="11"/>
  <c r="I4766" i="11"/>
  <c r="N4765" i="11"/>
  <c r="K4765" i="11"/>
  <c r="I4765" i="11"/>
  <c r="N4764" i="11"/>
  <c r="K4764" i="11"/>
  <c r="I4764" i="11"/>
  <c r="N4763" i="11"/>
  <c r="K4763" i="11"/>
  <c r="I4763" i="11"/>
  <c r="N4762" i="11"/>
  <c r="K4762" i="11"/>
  <c r="I4762" i="11"/>
  <c r="N4761" i="11"/>
  <c r="K4761" i="11"/>
  <c r="I4761" i="11"/>
  <c r="N4760" i="11"/>
  <c r="K4760" i="11"/>
  <c r="I4760" i="11"/>
  <c r="N4759" i="11"/>
  <c r="K4759" i="11"/>
  <c r="I4759" i="11"/>
  <c r="N4758" i="11"/>
  <c r="K4758" i="11"/>
  <c r="I4758" i="11"/>
  <c r="N4757" i="11"/>
  <c r="K4757" i="11"/>
  <c r="I4757" i="11"/>
  <c r="N4756" i="11"/>
  <c r="K4756" i="11"/>
  <c r="I4756" i="11"/>
  <c r="N4755" i="11"/>
  <c r="K4755" i="11"/>
  <c r="I4755" i="11"/>
  <c r="N4754" i="11"/>
  <c r="K4754" i="11"/>
  <c r="I4754" i="11"/>
  <c r="N4753" i="11"/>
  <c r="K4753" i="11"/>
  <c r="I4753" i="11"/>
  <c r="N4752" i="11"/>
  <c r="K4752" i="11"/>
  <c r="I4752" i="11"/>
  <c r="N4751" i="11"/>
  <c r="K4751" i="11"/>
  <c r="I4751" i="11"/>
  <c r="N4750" i="11"/>
  <c r="K4750" i="11"/>
  <c r="I4750" i="11"/>
  <c r="N4749" i="11"/>
  <c r="K4749" i="11"/>
  <c r="I4749" i="11"/>
  <c r="N4748" i="11"/>
  <c r="K4748" i="11"/>
  <c r="I4748" i="11"/>
  <c r="N4747" i="11"/>
  <c r="K4747" i="11"/>
  <c r="I4747" i="11"/>
  <c r="N4746" i="11"/>
  <c r="K4746" i="11"/>
  <c r="I4746" i="11"/>
  <c r="N4745" i="11"/>
  <c r="K4745" i="11"/>
  <c r="I4745" i="11"/>
  <c r="N4744" i="11"/>
  <c r="K4744" i="11"/>
  <c r="I4744" i="11"/>
  <c r="N4743" i="11"/>
  <c r="K4743" i="11"/>
  <c r="I4743" i="11"/>
  <c r="N4742" i="11"/>
  <c r="K4742" i="11"/>
  <c r="I4742" i="11"/>
  <c r="N4741" i="11"/>
  <c r="K4741" i="11"/>
  <c r="I4741" i="11"/>
  <c r="N4740" i="11"/>
  <c r="K4740" i="11"/>
  <c r="I4740" i="11"/>
  <c r="N4739" i="11"/>
  <c r="K4739" i="11"/>
  <c r="I4739" i="11"/>
  <c r="N4738" i="11"/>
  <c r="K4738" i="11"/>
  <c r="I4738" i="11"/>
  <c r="N4737" i="11"/>
  <c r="K4737" i="11"/>
  <c r="I4737" i="11"/>
  <c r="N4736" i="11"/>
  <c r="K4736" i="11"/>
  <c r="I4736" i="11"/>
  <c r="N4735" i="11"/>
  <c r="K4735" i="11"/>
  <c r="I4735" i="11"/>
  <c r="N4734" i="11"/>
  <c r="K4734" i="11"/>
  <c r="I4734" i="11"/>
  <c r="N4733" i="11"/>
  <c r="K4733" i="11"/>
  <c r="I4733" i="11"/>
  <c r="N4732" i="11"/>
  <c r="K4732" i="11"/>
  <c r="I4732" i="11"/>
  <c r="N4731" i="11"/>
  <c r="K4731" i="11"/>
  <c r="I4731" i="11"/>
  <c r="N4730" i="11"/>
  <c r="K4730" i="11"/>
  <c r="I4730" i="11"/>
  <c r="N4729" i="11"/>
  <c r="K4729" i="11"/>
  <c r="I4729" i="11"/>
  <c r="N4728" i="11"/>
  <c r="K4728" i="11"/>
  <c r="I4728" i="11"/>
  <c r="N4727" i="11"/>
  <c r="K4727" i="11"/>
  <c r="I4727" i="11"/>
  <c r="N4726" i="11"/>
  <c r="K4726" i="11"/>
  <c r="I4726" i="11"/>
  <c r="N4725" i="11"/>
  <c r="K4725" i="11"/>
  <c r="I4725" i="11"/>
  <c r="N4724" i="11"/>
  <c r="K4724" i="11"/>
  <c r="I4724" i="11"/>
  <c r="N4723" i="11"/>
  <c r="K4723" i="11"/>
  <c r="I4723" i="11"/>
  <c r="N4722" i="11"/>
  <c r="K4722" i="11"/>
  <c r="I4722" i="11"/>
  <c r="N4721" i="11"/>
  <c r="K4721" i="11"/>
  <c r="I4721" i="11"/>
  <c r="N4720" i="11"/>
  <c r="K4720" i="11"/>
  <c r="I4720" i="11"/>
  <c r="N4719" i="11"/>
  <c r="K4719" i="11"/>
  <c r="I4719" i="11"/>
  <c r="N4718" i="11"/>
  <c r="K4718" i="11"/>
  <c r="I4718" i="11"/>
  <c r="N4717" i="11"/>
  <c r="K4717" i="11"/>
  <c r="I4717" i="11"/>
  <c r="N4716" i="11"/>
  <c r="K4716" i="11"/>
  <c r="I4716" i="11"/>
  <c r="N4715" i="11"/>
  <c r="K4715" i="11"/>
  <c r="I4715" i="11"/>
  <c r="N4714" i="11"/>
  <c r="K4714" i="11"/>
  <c r="I4714" i="11"/>
  <c r="N4713" i="11"/>
  <c r="K4713" i="11"/>
  <c r="I4713" i="11"/>
  <c r="N4712" i="11"/>
  <c r="K4712" i="11"/>
  <c r="I4712" i="11"/>
  <c r="N4711" i="11"/>
  <c r="K4711" i="11"/>
  <c r="I4711" i="11"/>
  <c r="N4710" i="11"/>
  <c r="K4710" i="11"/>
  <c r="I4710" i="11"/>
  <c r="N4709" i="11"/>
  <c r="K4709" i="11"/>
  <c r="I4709" i="11"/>
  <c r="N4708" i="11"/>
  <c r="K4708" i="11"/>
  <c r="I4708" i="11"/>
  <c r="N4707" i="11"/>
  <c r="K4707" i="11"/>
  <c r="I4707" i="11"/>
  <c r="N4706" i="11"/>
  <c r="K4706" i="11"/>
  <c r="I4706" i="11"/>
  <c r="N4705" i="11"/>
  <c r="K4705" i="11"/>
  <c r="I4705" i="11"/>
  <c r="N4704" i="11"/>
  <c r="K4704" i="11"/>
  <c r="I4704" i="11"/>
  <c r="N4703" i="11"/>
  <c r="K4703" i="11"/>
  <c r="I4703" i="11"/>
  <c r="N4702" i="11"/>
  <c r="K4702" i="11"/>
  <c r="I4702" i="11"/>
  <c r="N4701" i="11"/>
  <c r="K4701" i="11"/>
  <c r="I4701" i="11"/>
  <c r="N4700" i="11"/>
  <c r="K4700" i="11"/>
  <c r="I4700" i="11"/>
  <c r="N4699" i="11"/>
  <c r="K4699" i="11"/>
  <c r="I4699" i="11"/>
  <c r="N4698" i="11"/>
  <c r="K4698" i="11"/>
  <c r="I4698" i="11"/>
  <c r="N4697" i="11"/>
  <c r="K4697" i="11"/>
  <c r="I4697" i="11"/>
  <c r="N4696" i="11"/>
  <c r="K4696" i="11"/>
  <c r="I4696" i="11"/>
  <c r="N4695" i="11"/>
  <c r="K4695" i="11"/>
  <c r="I4695" i="11"/>
  <c r="N4694" i="11"/>
  <c r="K4694" i="11"/>
  <c r="I4694" i="11"/>
  <c r="N4693" i="11"/>
  <c r="K4693" i="11"/>
  <c r="I4693" i="11"/>
  <c r="N4692" i="11"/>
  <c r="K4692" i="11"/>
  <c r="I4692" i="11"/>
  <c r="N4691" i="11"/>
  <c r="K4691" i="11"/>
  <c r="I4691" i="11"/>
  <c r="N4690" i="11"/>
  <c r="K4690" i="11"/>
  <c r="I4690" i="11"/>
  <c r="N4689" i="11"/>
  <c r="K4689" i="11"/>
  <c r="I4689" i="11"/>
  <c r="N4688" i="11"/>
  <c r="K4688" i="11"/>
  <c r="I4688" i="11"/>
  <c r="N4687" i="11"/>
  <c r="K4687" i="11"/>
  <c r="I4687" i="11"/>
  <c r="N4686" i="11"/>
  <c r="K4686" i="11"/>
  <c r="I4686" i="11"/>
  <c r="N4685" i="11"/>
  <c r="K4685" i="11"/>
  <c r="I4685" i="11"/>
  <c r="N4684" i="11"/>
  <c r="K4684" i="11"/>
  <c r="I4684" i="11"/>
  <c r="N4683" i="11"/>
  <c r="K4683" i="11"/>
  <c r="I4683" i="11"/>
  <c r="N4682" i="11"/>
  <c r="K4682" i="11"/>
  <c r="I4682" i="11"/>
  <c r="N4681" i="11"/>
  <c r="K4681" i="11"/>
  <c r="I4681" i="11"/>
  <c r="N4680" i="11"/>
  <c r="K4680" i="11"/>
  <c r="I4680" i="11"/>
  <c r="N4679" i="11"/>
  <c r="K4679" i="11"/>
  <c r="I4679" i="11"/>
  <c r="N4678" i="11"/>
  <c r="K4678" i="11"/>
  <c r="I4678" i="11"/>
  <c r="N4677" i="11"/>
  <c r="K4677" i="11"/>
  <c r="I4677" i="11"/>
  <c r="N4676" i="11"/>
  <c r="K4676" i="11"/>
  <c r="I4676" i="11"/>
  <c r="N4675" i="11"/>
  <c r="K4675" i="11"/>
  <c r="I4675" i="11"/>
  <c r="N4674" i="11"/>
  <c r="K4674" i="11"/>
  <c r="I4674" i="11"/>
  <c r="N4673" i="11"/>
  <c r="K4673" i="11"/>
  <c r="I4673" i="11"/>
  <c r="N4672" i="11"/>
  <c r="K4672" i="11"/>
  <c r="I4672" i="11"/>
  <c r="N4671" i="11"/>
  <c r="K4671" i="11"/>
  <c r="I4671" i="11"/>
  <c r="N4670" i="11"/>
  <c r="K4670" i="11"/>
  <c r="I4670" i="11"/>
  <c r="N4669" i="11"/>
  <c r="K4669" i="11"/>
  <c r="I4669" i="11"/>
  <c r="N4668" i="11"/>
  <c r="K4668" i="11"/>
  <c r="I4668" i="11"/>
  <c r="N4667" i="11"/>
  <c r="K4667" i="11"/>
  <c r="I4667" i="11"/>
  <c r="N4666" i="11"/>
  <c r="K4666" i="11"/>
  <c r="I4666" i="11"/>
  <c r="N4665" i="11"/>
  <c r="K4665" i="11"/>
  <c r="I4665" i="11"/>
  <c r="N4664" i="11"/>
  <c r="K4664" i="11"/>
  <c r="I4664" i="11"/>
  <c r="N4663" i="11"/>
  <c r="K4663" i="11"/>
  <c r="I4663" i="11"/>
  <c r="N4662" i="11"/>
  <c r="K4662" i="11"/>
  <c r="I4662" i="11"/>
  <c r="N4661" i="11"/>
  <c r="K4661" i="11"/>
  <c r="I4661" i="11"/>
  <c r="N4660" i="11"/>
  <c r="K4660" i="11"/>
  <c r="I4660" i="11"/>
  <c r="N4659" i="11"/>
  <c r="K4659" i="11"/>
  <c r="I4659" i="11"/>
  <c r="N4658" i="11"/>
  <c r="K4658" i="11"/>
  <c r="I4658" i="11"/>
  <c r="N4657" i="11"/>
  <c r="K4657" i="11"/>
  <c r="I4657" i="11"/>
  <c r="N4656" i="11"/>
  <c r="K4656" i="11"/>
  <c r="I4656" i="11"/>
  <c r="N4655" i="11"/>
  <c r="K4655" i="11"/>
  <c r="I4655" i="11"/>
  <c r="N4654" i="11"/>
  <c r="K4654" i="11"/>
  <c r="I4654" i="11"/>
  <c r="N4653" i="11"/>
  <c r="K4653" i="11"/>
  <c r="I4653" i="11"/>
  <c r="N4652" i="11"/>
  <c r="K4652" i="11"/>
  <c r="I4652" i="11"/>
  <c r="N4651" i="11"/>
  <c r="K4651" i="11"/>
  <c r="I4651" i="11"/>
  <c r="N4650" i="11"/>
  <c r="K4650" i="11"/>
  <c r="I4650" i="11"/>
  <c r="N4649" i="11"/>
  <c r="K4649" i="11"/>
  <c r="I4649" i="11"/>
  <c r="N4648" i="11"/>
  <c r="K4648" i="11"/>
  <c r="I4648" i="11"/>
  <c r="N4647" i="11"/>
  <c r="K4647" i="11"/>
  <c r="I4647" i="11"/>
  <c r="N4646" i="11"/>
  <c r="K4646" i="11"/>
  <c r="I4646" i="11"/>
  <c r="N4645" i="11"/>
  <c r="K4645" i="11"/>
  <c r="I4645" i="11"/>
  <c r="N4644" i="11"/>
  <c r="K4644" i="11"/>
  <c r="I4644" i="11"/>
  <c r="N4643" i="11"/>
  <c r="K4643" i="11"/>
  <c r="I4643" i="11"/>
  <c r="N4642" i="11"/>
  <c r="K4642" i="11"/>
  <c r="I4642" i="11"/>
  <c r="N4641" i="11"/>
  <c r="K4641" i="11"/>
  <c r="I4641" i="11"/>
  <c r="N4640" i="11"/>
  <c r="K4640" i="11"/>
  <c r="I4640" i="11"/>
  <c r="N4639" i="11"/>
  <c r="K4639" i="11"/>
  <c r="I4639" i="11"/>
  <c r="N4638" i="11"/>
  <c r="K4638" i="11"/>
  <c r="I4638" i="11"/>
  <c r="N4637" i="11"/>
  <c r="K4637" i="11"/>
  <c r="I4637" i="11"/>
  <c r="N4636" i="11"/>
  <c r="K4636" i="11"/>
  <c r="I4636" i="11"/>
  <c r="N4635" i="11"/>
  <c r="K4635" i="11"/>
  <c r="I4635" i="11"/>
  <c r="N4634" i="11"/>
  <c r="K4634" i="11"/>
  <c r="I4634" i="11"/>
  <c r="N4633" i="11"/>
  <c r="K4633" i="11"/>
  <c r="I4633" i="11"/>
  <c r="N4632" i="11"/>
  <c r="K4632" i="11"/>
  <c r="I4632" i="11"/>
  <c r="N4631" i="11"/>
  <c r="K4631" i="11"/>
  <c r="I4631" i="11"/>
  <c r="N4630" i="11"/>
  <c r="K4630" i="11"/>
  <c r="I4630" i="11"/>
  <c r="N4629" i="11"/>
  <c r="K4629" i="11"/>
  <c r="I4629" i="11"/>
  <c r="N4628" i="11"/>
  <c r="K4628" i="11"/>
  <c r="I4628" i="11"/>
  <c r="N4627" i="11"/>
  <c r="K4627" i="11"/>
  <c r="I4627" i="11"/>
  <c r="N4626" i="11"/>
  <c r="K4626" i="11"/>
  <c r="I4626" i="11"/>
  <c r="N4625" i="11"/>
  <c r="K4625" i="11"/>
  <c r="I4625" i="11"/>
  <c r="N4624" i="11"/>
  <c r="K4624" i="11"/>
  <c r="I4624" i="11"/>
  <c r="N4623" i="11"/>
  <c r="K4623" i="11"/>
  <c r="I4623" i="11"/>
  <c r="N4622" i="11"/>
  <c r="K4622" i="11"/>
  <c r="I4622" i="11"/>
  <c r="N4621" i="11"/>
  <c r="K4621" i="11"/>
  <c r="I4621" i="11"/>
  <c r="N4620" i="11"/>
  <c r="K4620" i="11"/>
  <c r="I4620" i="11"/>
  <c r="N4619" i="11"/>
  <c r="K4619" i="11"/>
  <c r="I4619" i="11"/>
  <c r="N4618" i="11"/>
  <c r="K4618" i="11"/>
  <c r="I4618" i="11"/>
  <c r="N4617" i="11"/>
  <c r="K4617" i="11"/>
  <c r="I4617" i="11"/>
  <c r="N4616" i="11"/>
  <c r="K4616" i="11"/>
  <c r="I4616" i="11"/>
  <c r="N4615" i="11"/>
  <c r="K4615" i="11"/>
  <c r="I4615" i="11"/>
  <c r="N4614" i="11"/>
  <c r="K4614" i="11"/>
  <c r="I4614" i="11"/>
  <c r="N4613" i="11"/>
  <c r="K4613" i="11"/>
  <c r="I4613" i="11"/>
  <c r="N4612" i="11"/>
  <c r="K4612" i="11"/>
  <c r="I4612" i="11"/>
  <c r="N4611" i="11"/>
  <c r="K4611" i="11"/>
  <c r="I4611" i="11"/>
  <c r="N4610" i="11"/>
  <c r="K4610" i="11"/>
  <c r="I4610" i="11"/>
  <c r="N4609" i="11"/>
  <c r="K4609" i="11"/>
  <c r="I4609" i="11"/>
  <c r="N4608" i="11"/>
  <c r="K4608" i="11"/>
  <c r="I4608" i="11"/>
  <c r="N4607" i="11"/>
  <c r="K4607" i="11"/>
  <c r="I4607" i="11"/>
  <c r="N4606" i="11"/>
  <c r="K4606" i="11"/>
  <c r="I4606" i="11"/>
  <c r="N4605" i="11"/>
  <c r="K4605" i="11"/>
  <c r="I4605" i="11"/>
  <c r="N4604" i="11"/>
  <c r="K4604" i="11"/>
  <c r="I4604" i="11"/>
  <c r="N4603" i="11"/>
  <c r="K4603" i="11"/>
  <c r="I4603" i="11"/>
  <c r="N4602" i="11"/>
  <c r="K4602" i="11"/>
  <c r="I4602" i="11"/>
  <c r="N4601" i="11"/>
  <c r="K4601" i="11"/>
  <c r="I4601" i="11"/>
  <c r="N4600" i="11"/>
  <c r="K4600" i="11"/>
  <c r="I4600" i="11"/>
  <c r="N4599" i="11"/>
  <c r="K4599" i="11"/>
  <c r="I4599" i="11"/>
  <c r="N4598" i="11"/>
  <c r="K4598" i="11"/>
  <c r="I4598" i="11"/>
  <c r="N4597" i="11"/>
  <c r="K4597" i="11"/>
  <c r="I4597" i="11"/>
  <c r="N4596" i="11"/>
  <c r="K4596" i="11"/>
  <c r="I4596" i="11"/>
  <c r="N4595" i="11"/>
  <c r="K4595" i="11"/>
  <c r="I4595" i="11"/>
  <c r="N4594" i="11"/>
  <c r="K4594" i="11"/>
  <c r="I4594" i="11"/>
  <c r="N4593" i="11"/>
  <c r="K4593" i="11"/>
  <c r="I4593" i="11"/>
  <c r="N4592" i="11"/>
  <c r="K4592" i="11"/>
  <c r="I4592" i="11"/>
  <c r="N4591" i="11"/>
  <c r="K4591" i="11"/>
  <c r="I4591" i="11"/>
  <c r="N4590" i="11"/>
  <c r="K4590" i="11"/>
  <c r="I4590" i="11"/>
  <c r="N4589" i="11"/>
  <c r="K4589" i="11"/>
  <c r="I4589" i="11"/>
  <c r="N4588" i="11"/>
  <c r="K4588" i="11"/>
  <c r="I4588" i="11"/>
  <c r="N4587" i="11"/>
  <c r="K4587" i="11"/>
  <c r="I4587" i="11"/>
  <c r="N4586" i="11"/>
  <c r="K4586" i="11"/>
  <c r="I4586" i="11"/>
  <c r="N4585" i="11"/>
  <c r="K4585" i="11"/>
  <c r="I4585" i="11"/>
  <c r="N4584" i="11"/>
  <c r="K4584" i="11"/>
  <c r="I4584" i="11"/>
  <c r="N4583" i="11"/>
  <c r="K4583" i="11"/>
  <c r="I4583" i="11"/>
  <c r="N4582" i="11"/>
  <c r="K4582" i="11"/>
  <c r="I4582" i="11"/>
  <c r="N4581" i="11"/>
  <c r="K4581" i="11"/>
  <c r="I4581" i="11"/>
  <c r="N4580" i="11"/>
  <c r="K4580" i="11"/>
  <c r="I4580" i="11"/>
  <c r="N4579" i="11"/>
  <c r="K4579" i="11"/>
  <c r="I4579" i="11"/>
  <c r="N4578" i="11"/>
  <c r="K4578" i="11"/>
  <c r="I4578" i="11"/>
  <c r="N4577" i="11"/>
  <c r="K4577" i="11"/>
  <c r="I4577" i="11"/>
  <c r="N4576" i="11"/>
  <c r="K4576" i="11"/>
  <c r="I4576" i="11"/>
  <c r="N4575" i="11"/>
  <c r="K4575" i="11"/>
  <c r="I4575" i="11"/>
  <c r="N4574" i="11"/>
  <c r="K4574" i="11"/>
  <c r="I4574" i="11"/>
  <c r="N4573" i="11"/>
  <c r="K4573" i="11"/>
  <c r="I4573" i="11"/>
  <c r="N4572" i="11"/>
  <c r="K4572" i="11"/>
  <c r="I4572" i="11"/>
  <c r="N4571" i="11"/>
  <c r="K4571" i="11"/>
  <c r="I4571" i="11"/>
  <c r="N4570" i="11"/>
  <c r="K4570" i="11"/>
  <c r="I4570" i="11"/>
  <c r="N4569" i="11"/>
  <c r="K4569" i="11"/>
  <c r="I4569" i="11"/>
  <c r="N4568" i="11"/>
  <c r="K4568" i="11"/>
  <c r="I4568" i="11"/>
  <c r="N4567" i="11"/>
  <c r="K4567" i="11"/>
  <c r="I4567" i="11"/>
  <c r="N4566" i="11"/>
  <c r="K4566" i="11"/>
  <c r="I4566" i="11"/>
  <c r="N4565" i="11"/>
  <c r="K4565" i="11"/>
  <c r="I4565" i="11"/>
  <c r="N4564" i="11"/>
  <c r="K4564" i="11"/>
  <c r="I4564" i="11"/>
  <c r="N4563" i="11"/>
  <c r="K4563" i="11"/>
  <c r="I4563" i="11"/>
  <c r="N4562" i="11"/>
  <c r="K4562" i="11"/>
  <c r="I4562" i="11"/>
  <c r="N4561" i="11"/>
  <c r="K4561" i="11"/>
  <c r="I4561" i="11"/>
  <c r="N4560" i="11"/>
  <c r="K4560" i="11"/>
  <c r="I4560" i="11"/>
  <c r="N4559" i="11"/>
  <c r="K4559" i="11"/>
  <c r="I4559" i="11"/>
  <c r="N4558" i="11"/>
  <c r="K4558" i="11"/>
  <c r="I4558" i="11"/>
  <c r="N4557" i="11"/>
  <c r="K4557" i="11"/>
  <c r="I4557" i="11"/>
  <c r="N4556" i="11"/>
  <c r="K4556" i="11"/>
  <c r="I4556" i="11"/>
  <c r="N4555" i="11"/>
  <c r="K4555" i="11"/>
  <c r="I4555" i="11"/>
  <c r="N4554" i="11"/>
  <c r="K4554" i="11"/>
  <c r="I4554" i="11"/>
  <c r="N4553" i="11"/>
  <c r="K4553" i="11"/>
  <c r="I4553" i="11"/>
  <c r="N4552" i="11"/>
  <c r="K4552" i="11"/>
  <c r="I4552" i="11"/>
  <c r="N4551" i="11"/>
  <c r="K4551" i="11"/>
  <c r="I4551" i="11"/>
  <c r="N4550" i="11"/>
  <c r="K4550" i="11"/>
  <c r="I4550" i="11"/>
  <c r="N4549" i="11"/>
  <c r="K4549" i="11"/>
  <c r="I4549" i="11"/>
  <c r="N4548" i="11"/>
  <c r="K4548" i="11"/>
  <c r="I4548" i="11"/>
  <c r="N4547" i="11"/>
  <c r="K4547" i="11"/>
  <c r="I4547" i="11"/>
  <c r="N4546" i="11"/>
  <c r="K4546" i="11"/>
  <c r="I4546" i="11"/>
  <c r="N4545" i="11"/>
  <c r="K4545" i="11"/>
  <c r="I4545" i="11"/>
  <c r="N4544" i="11"/>
  <c r="K4544" i="11"/>
  <c r="I4544" i="11"/>
  <c r="N4543" i="11"/>
  <c r="K4543" i="11"/>
  <c r="I4543" i="11"/>
  <c r="N4542" i="11"/>
  <c r="K4542" i="11"/>
  <c r="I4542" i="11"/>
  <c r="N4541" i="11"/>
  <c r="K4541" i="11"/>
  <c r="I4541" i="11"/>
  <c r="N4540" i="11"/>
  <c r="K4540" i="11"/>
  <c r="I4540" i="11"/>
  <c r="N4539" i="11"/>
  <c r="K4539" i="11"/>
  <c r="I4539" i="11"/>
  <c r="N4538" i="11"/>
  <c r="K4538" i="11"/>
  <c r="I4538" i="11"/>
  <c r="N4537" i="11"/>
  <c r="K4537" i="11"/>
  <c r="I4537" i="11"/>
  <c r="N4536" i="11"/>
  <c r="K4536" i="11"/>
  <c r="I4536" i="11"/>
  <c r="N4535" i="11"/>
  <c r="K4535" i="11"/>
  <c r="I4535" i="11"/>
  <c r="N4534" i="11"/>
  <c r="K4534" i="11"/>
  <c r="I4534" i="11"/>
  <c r="N4533" i="11"/>
  <c r="K4533" i="11"/>
  <c r="I4533" i="11"/>
  <c r="N4532" i="11"/>
  <c r="K4532" i="11"/>
  <c r="I4532" i="11"/>
  <c r="N4531" i="11"/>
  <c r="K4531" i="11"/>
  <c r="I4531" i="11"/>
  <c r="N4530" i="11"/>
  <c r="K4530" i="11"/>
  <c r="I4530" i="11"/>
  <c r="N4529" i="11"/>
  <c r="K4529" i="11"/>
  <c r="I4529" i="11"/>
  <c r="N4528" i="11"/>
  <c r="K4528" i="11"/>
  <c r="I4528" i="11"/>
  <c r="N4527" i="11"/>
  <c r="K4527" i="11"/>
  <c r="I4527" i="11"/>
  <c r="N4526" i="11"/>
  <c r="K4526" i="11"/>
  <c r="I4526" i="11"/>
  <c r="N4525" i="11"/>
  <c r="K4525" i="11"/>
  <c r="I4525" i="11"/>
  <c r="N4524" i="11"/>
  <c r="K4524" i="11"/>
  <c r="I4524" i="11"/>
  <c r="N4523" i="11"/>
  <c r="K4523" i="11"/>
  <c r="I4523" i="11"/>
  <c r="N4522" i="11"/>
  <c r="K4522" i="11"/>
  <c r="I4522" i="11"/>
  <c r="N4521" i="11"/>
  <c r="K4521" i="11"/>
  <c r="I4521" i="11"/>
  <c r="N4520" i="11"/>
  <c r="K4520" i="11"/>
  <c r="I4520" i="11"/>
  <c r="N4519" i="11"/>
  <c r="K4519" i="11"/>
  <c r="I4519" i="11"/>
  <c r="N4518" i="11"/>
  <c r="K4518" i="11"/>
  <c r="I4518" i="11"/>
  <c r="N4517" i="11"/>
  <c r="K4517" i="11"/>
  <c r="I4517" i="11"/>
  <c r="N4516" i="11"/>
  <c r="K4516" i="11"/>
  <c r="I4516" i="11"/>
  <c r="N4515" i="11"/>
  <c r="K4515" i="11"/>
  <c r="I4515" i="11"/>
  <c r="N4514" i="11"/>
  <c r="K4514" i="11"/>
  <c r="I4514" i="11"/>
  <c r="N4513" i="11"/>
  <c r="K4513" i="11"/>
  <c r="I4513" i="11"/>
  <c r="N4512" i="11"/>
  <c r="K4512" i="11"/>
  <c r="I4512" i="11"/>
  <c r="N4511" i="11"/>
  <c r="K4511" i="11"/>
  <c r="I4511" i="11"/>
  <c r="N4510" i="11"/>
  <c r="K4510" i="11"/>
  <c r="I4510" i="11"/>
  <c r="N4509" i="11"/>
  <c r="K4509" i="11"/>
  <c r="I4509" i="11"/>
  <c r="N4508" i="11"/>
  <c r="K4508" i="11"/>
  <c r="I4508" i="11"/>
  <c r="N4507" i="11"/>
  <c r="K4507" i="11"/>
  <c r="I4507" i="11"/>
  <c r="N4506" i="11"/>
  <c r="K4506" i="11"/>
  <c r="I4506" i="11"/>
  <c r="N4505" i="11"/>
  <c r="K4505" i="11"/>
  <c r="I4505" i="11"/>
  <c r="N4504" i="11"/>
  <c r="K4504" i="11"/>
  <c r="I4504" i="11"/>
  <c r="N4503" i="11"/>
  <c r="K4503" i="11"/>
  <c r="I4503" i="11"/>
  <c r="N4502" i="11"/>
  <c r="K4502" i="11"/>
  <c r="I4502" i="11"/>
  <c r="N4501" i="11"/>
  <c r="K4501" i="11"/>
  <c r="I4501" i="11"/>
  <c r="N4500" i="11"/>
  <c r="K4500" i="11"/>
  <c r="I4500" i="11"/>
  <c r="N4499" i="11"/>
  <c r="K4499" i="11"/>
  <c r="I4499" i="11"/>
  <c r="N4498" i="11"/>
  <c r="K4498" i="11"/>
  <c r="I4498" i="11"/>
  <c r="N4497" i="11"/>
  <c r="K4497" i="11"/>
  <c r="I4497" i="11"/>
  <c r="N4496" i="11"/>
  <c r="K4496" i="11"/>
  <c r="I4496" i="11"/>
  <c r="N4495" i="11"/>
  <c r="K4495" i="11"/>
  <c r="I4495" i="11"/>
  <c r="N4494" i="11"/>
  <c r="K4494" i="11"/>
  <c r="I4494" i="11"/>
  <c r="N4493" i="11"/>
  <c r="K4493" i="11"/>
  <c r="I4493" i="11"/>
  <c r="N4492" i="11"/>
  <c r="K4492" i="11"/>
  <c r="I4492" i="11"/>
  <c r="N4491" i="11"/>
  <c r="K4491" i="11"/>
  <c r="I4491" i="11"/>
  <c r="N4490" i="11"/>
  <c r="K4490" i="11"/>
  <c r="I4490" i="11"/>
  <c r="N4489" i="11"/>
  <c r="K4489" i="11"/>
  <c r="I4489" i="11"/>
  <c r="N4488" i="11"/>
  <c r="K4488" i="11"/>
  <c r="I4488" i="11"/>
  <c r="N4487" i="11"/>
  <c r="K4487" i="11"/>
  <c r="I4487" i="11"/>
  <c r="N4486" i="11"/>
  <c r="K4486" i="11"/>
  <c r="I4486" i="11"/>
  <c r="N4485" i="11"/>
  <c r="K4485" i="11"/>
  <c r="I4485" i="11"/>
  <c r="N4484" i="11"/>
  <c r="K4484" i="11"/>
  <c r="I4484" i="11"/>
  <c r="N4483" i="11"/>
  <c r="K4483" i="11"/>
  <c r="I4483" i="11"/>
  <c r="N4482" i="11"/>
  <c r="K4482" i="11"/>
  <c r="I4482" i="11"/>
  <c r="N4481" i="11"/>
  <c r="K4481" i="11"/>
  <c r="I4481" i="11"/>
  <c r="N4480" i="11"/>
  <c r="K4480" i="11"/>
  <c r="I4480" i="11"/>
  <c r="N4479" i="11"/>
  <c r="K4479" i="11"/>
  <c r="I4479" i="11"/>
  <c r="N4478" i="11"/>
  <c r="K4478" i="11"/>
  <c r="I4478" i="11"/>
  <c r="N4477" i="11"/>
  <c r="K4477" i="11"/>
  <c r="I4477" i="11"/>
  <c r="N4476" i="11"/>
  <c r="K4476" i="11"/>
  <c r="I4476" i="11"/>
  <c r="N4475" i="11"/>
  <c r="K4475" i="11"/>
  <c r="I4475" i="11"/>
  <c r="N4474" i="11"/>
  <c r="K4474" i="11"/>
  <c r="I4474" i="11"/>
  <c r="N4473" i="11"/>
  <c r="K4473" i="11"/>
  <c r="I4473" i="11"/>
  <c r="N4472" i="11"/>
  <c r="K4472" i="11"/>
  <c r="I4472" i="11"/>
  <c r="N4471" i="11"/>
  <c r="K4471" i="11"/>
  <c r="I4471" i="11"/>
  <c r="N4470" i="11"/>
  <c r="K4470" i="11"/>
  <c r="I4470" i="11"/>
  <c r="N4469" i="11"/>
  <c r="K4469" i="11"/>
  <c r="I4469" i="11"/>
  <c r="N4468" i="11"/>
  <c r="K4468" i="11"/>
  <c r="I4468" i="11"/>
  <c r="N4467" i="11"/>
  <c r="K4467" i="11"/>
  <c r="I4467" i="11"/>
  <c r="N4466" i="11"/>
  <c r="K4466" i="11"/>
  <c r="I4466" i="11"/>
  <c r="N4465" i="11"/>
  <c r="K4465" i="11"/>
  <c r="I4465" i="11"/>
  <c r="N4464" i="11"/>
  <c r="K4464" i="11"/>
  <c r="I4464" i="11"/>
  <c r="N4463" i="11"/>
  <c r="K4463" i="11"/>
  <c r="I4463" i="11"/>
  <c r="N4462" i="11"/>
  <c r="K4462" i="11"/>
  <c r="I4462" i="11"/>
  <c r="N4461" i="11"/>
  <c r="K4461" i="11"/>
  <c r="I4461" i="11"/>
  <c r="N4460" i="11"/>
  <c r="K4460" i="11"/>
  <c r="I4460" i="11"/>
  <c r="N4459" i="11"/>
  <c r="K4459" i="11"/>
  <c r="I4459" i="11"/>
  <c r="N4458" i="11"/>
  <c r="K4458" i="11"/>
  <c r="I4458" i="11"/>
  <c r="N4457" i="11"/>
  <c r="K4457" i="11"/>
  <c r="I4457" i="11"/>
  <c r="N4456" i="11"/>
  <c r="K4456" i="11"/>
  <c r="I4456" i="11"/>
  <c r="N4455" i="11"/>
  <c r="K4455" i="11"/>
  <c r="I4455" i="11"/>
  <c r="N4454" i="11"/>
  <c r="K4454" i="11"/>
  <c r="I4454" i="11"/>
  <c r="N4453" i="11"/>
  <c r="K4453" i="11"/>
  <c r="I4453" i="11"/>
  <c r="N4452" i="11"/>
  <c r="K4452" i="11"/>
  <c r="I4452" i="11"/>
  <c r="N4451" i="11"/>
  <c r="K4451" i="11"/>
  <c r="I4451" i="11"/>
  <c r="N4450" i="11"/>
  <c r="K4450" i="11"/>
  <c r="I4450" i="11"/>
  <c r="N4449" i="11"/>
  <c r="K4449" i="11"/>
  <c r="I4449" i="11"/>
  <c r="N4448" i="11"/>
  <c r="K4448" i="11"/>
  <c r="I4448" i="11"/>
  <c r="N4447" i="11"/>
  <c r="K4447" i="11"/>
  <c r="I4447" i="11"/>
  <c r="N4446" i="11"/>
  <c r="K4446" i="11"/>
  <c r="I4446" i="11"/>
  <c r="N4445" i="11"/>
  <c r="K4445" i="11"/>
  <c r="I4445" i="11"/>
  <c r="N4444" i="11"/>
  <c r="K4444" i="11"/>
  <c r="I4444" i="11"/>
  <c r="N4443" i="11"/>
  <c r="K4443" i="11"/>
  <c r="I4443" i="11"/>
  <c r="N4442" i="11"/>
  <c r="K4442" i="11"/>
  <c r="I4442" i="11"/>
  <c r="N4441" i="11"/>
  <c r="K4441" i="11"/>
  <c r="I4441" i="11"/>
  <c r="N4440" i="11"/>
  <c r="K4440" i="11"/>
  <c r="I4440" i="11"/>
  <c r="N4439" i="11"/>
  <c r="K4439" i="11"/>
  <c r="I4439" i="11"/>
  <c r="N4438" i="11"/>
  <c r="K4438" i="11"/>
  <c r="I4438" i="11"/>
  <c r="N4437" i="11"/>
  <c r="K4437" i="11"/>
  <c r="I4437" i="11"/>
  <c r="N4436" i="11"/>
  <c r="K4436" i="11"/>
  <c r="I4436" i="11"/>
  <c r="N4435" i="11"/>
  <c r="K4435" i="11"/>
  <c r="I4435" i="11"/>
  <c r="N4434" i="11"/>
  <c r="K4434" i="11"/>
  <c r="I4434" i="11"/>
  <c r="N4433" i="11"/>
  <c r="K4433" i="11"/>
  <c r="I4433" i="11"/>
  <c r="N4432" i="11"/>
  <c r="K4432" i="11"/>
  <c r="I4432" i="11"/>
  <c r="N4431" i="11"/>
  <c r="K4431" i="11"/>
  <c r="I4431" i="11"/>
  <c r="N4430" i="11"/>
  <c r="K4430" i="11"/>
  <c r="I4430" i="11"/>
  <c r="N4429" i="11"/>
  <c r="K4429" i="11"/>
  <c r="I4429" i="11"/>
  <c r="N4428" i="11"/>
  <c r="K4428" i="11"/>
  <c r="I4428" i="11"/>
  <c r="N4427" i="11"/>
  <c r="K4427" i="11"/>
  <c r="I4427" i="11"/>
  <c r="N4426" i="11"/>
  <c r="K4426" i="11"/>
  <c r="I4426" i="11"/>
  <c r="N4425" i="11"/>
  <c r="K4425" i="11"/>
  <c r="I4425" i="11"/>
  <c r="N4424" i="11"/>
  <c r="K4424" i="11"/>
  <c r="I4424" i="11"/>
  <c r="N4423" i="11"/>
  <c r="K4423" i="11"/>
  <c r="I4423" i="11"/>
  <c r="N4422" i="11"/>
  <c r="K4422" i="11"/>
  <c r="I4422" i="11"/>
  <c r="N4421" i="11"/>
  <c r="K4421" i="11"/>
  <c r="I4421" i="11"/>
  <c r="N4420" i="11"/>
  <c r="K4420" i="11"/>
  <c r="I4420" i="11"/>
  <c r="N4419" i="11"/>
  <c r="K4419" i="11"/>
  <c r="I4419" i="11"/>
  <c r="N4418" i="11"/>
  <c r="K4418" i="11"/>
  <c r="I4418" i="11"/>
  <c r="N4417" i="11"/>
  <c r="K4417" i="11"/>
  <c r="I4417" i="11"/>
  <c r="N4416" i="11"/>
  <c r="K4416" i="11"/>
  <c r="I4416" i="11"/>
  <c r="N4415" i="11"/>
  <c r="K4415" i="11"/>
  <c r="I4415" i="11"/>
  <c r="N4414" i="11"/>
  <c r="K4414" i="11"/>
  <c r="I4414" i="11"/>
  <c r="N4413" i="11"/>
  <c r="K4413" i="11"/>
  <c r="I4413" i="11"/>
  <c r="N4412" i="11"/>
  <c r="K4412" i="11"/>
  <c r="I4412" i="11"/>
  <c r="N4411" i="11"/>
  <c r="K4411" i="11"/>
  <c r="I4411" i="11"/>
  <c r="N4410" i="11"/>
  <c r="K4410" i="11"/>
  <c r="I4410" i="11"/>
  <c r="N4409" i="11"/>
  <c r="K4409" i="11"/>
  <c r="I4409" i="11"/>
  <c r="N4408" i="11"/>
  <c r="K4408" i="11"/>
  <c r="I4408" i="11"/>
  <c r="N4407" i="11"/>
  <c r="K4407" i="11"/>
  <c r="I4407" i="11"/>
  <c r="N4406" i="11"/>
  <c r="K4406" i="11"/>
  <c r="I4406" i="11"/>
  <c r="N4405" i="11"/>
  <c r="K4405" i="11"/>
  <c r="I4405" i="11"/>
  <c r="N4404" i="11"/>
  <c r="K4404" i="11"/>
  <c r="I4404" i="11"/>
  <c r="N4403" i="11"/>
  <c r="K4403" i="11"/>
  <c r="I4403" i="11"/>
  <c r="N4402" i="11"/>
  <c r="K4402" i="11"/>
  <c r="I4402" i="11"/>
  <c r="N4401" i="11"/>
  <c r="K4401" i="11"/>
  <c r="I4401" i="11"/>
  <c r="N4400" i="11"/>
  <c r="K4400" i="11"/>
  <c r="I4400" i="11"/>
  <c r="N4399" i="11"/>
  <c r="K4399" i="11"/>
  <c r="I4399" i="11"/>
  <c r="N4398" i="11"/>
  <c r="K4398" i="11"/>
  <c r="I4398" i="11"/>
  <c r="N4397" i="11"/>
  <c r="K4397" i="11"/>
  <c r="I4397" i="11"/>
  <c r="N4396" i="11"/>
  <c r="K4396" i="11"/>
  <c r="I4396" i="11"/>
  <c r="N4395" i="11"/>
  <c r="K4395" i="11"/>
  <c r="I4395" i="11"/>
  <c r="N4394" i="11"/>
  <c r="K4394" i="11"/>
  <c r="I4394" i="11"/>
  <c r="N4393" i="11"/>
  <c r="K4393" i="11"/>
  <c r="I4393" i="11"/>
  <c r="N4392" i="11"/>
  <c r="K4392" i="11"/>
  <c r="I4392" i="11"/>
  <c r="N4391" i="11"/>
  <c r="K4391" i="11"/>
  <c r="I4391" i="11"/>
  <c r="N4390" i="11"/>
  <c r="K4390" i="11"/>
  <c r="I4390" i="11"/>
  <c r="N4389" i="11"/>
  <c r="K4389" i="11"/>
  <c r="I4389" i="11"/>
  <c r="N4388" i="11"/>
  <c r="K4388" i="11"/>
  <c r="I4388" i="11"/>
  <c r="N4387" i="11"/>
  <c r="K4387" i="11"/>
  <c r="I4387" i="11"/>
  <c r="N4386" i="11"/>
  <c r="K4386" i="11"/>
  <c r="I4386" i="11"/>
  <c r="N4385" i="11"/>
  <c r="K4385" i="11"/>
  <c r="I4385" i="11"/>
  <c r="N4384" i="11"/>
  <c r="K4384" i="11"/>
  <c r="I4384" i="11"/>
  <c r="N4383" i="11"/>
  <c r="K4383" i="11"/>
  <c r="I4383" i="11"/>
  <c r="N4382" i="11"/>
  <c r="K4382" i="11"/>
  <c r="I4382" i="11"/>
  <c r="N4381" i="11"/>
  <c r="K4381" i="11"/>
  <c r="I4381" i="11"/>
  <c r="N4380" i="11"/>
  <c r="K4380" i="11"/>
  <c r="I4380" i="11"/>
  <c r="N4379" i="11"/>
  <c r="K4379" i="11"/>
  <c r="I4379" i="11"/>
  <c r="N4378" i="11"/>
  <c r="K4378" i="11"/>
  <c r="I4378" i="11"/>
  <c r="N4377" i="11"/>
  <c r="K4377" i="11"/>
  <c r="I4377" i="11"/>
  <c r="N4376" i="11"/>
  <c r="K4376" i="11"/>
  <c r="I4376" i="11"/>
  <c r="N4375" i="11"/>
  <c r="K4375" i="11"/>
  <c r="I4375" i="11"/>
  <c r="N4374" i="11"/>
  <c r="K4374" i="11"/>
  <c r="I4374" i="11"/>
  <c r="N4373" i="11"/>
  <c r="K4373" i="11"/>
  <c r="I4373" i="11"/>
  <c r="N4372" i="11"/>
  <c r="K4372" i="11"/>
  <c r="I4372" i="11"/>
  <c r="N4371" i="11"/>
  <c r="K4371" i="11"/>
  <c r="I4371" i="11"/>
  <c r="N4370" i="11"/>
  <c r="K4370" i="11"/>
  <c r="I4370" i="11"/>
  <c r="N4369" i="11"/>
  <c r="K4369" i="11"/>
  <c r="I4369" i="11"/>
  <c r="N4368" i="11"/>
  <c r="K4368" i="11"/>
  <c r="I4368" i="11"/>
  <c r="N4367" i="11"/>
  <c r="K4367" i="11"/>
  <c r="I4367" i="11"/>
  <c r="N4366" i="11"/>
  <c r="K4366" i="11"/>
  <c r="I4366" i="11"/>
  <c r="N4365" i="11"/>
  <c r="K4365" i="11"/>
  <c r="I4365" i="11"/>
  <c r="N4364" i="11"/>
  <c r="K4364" i="11"/>
  <c r="I4364" i="11"/>
  <c r="N4363" i="11"/>
  <c r="K4363" i="11"/>
  <c r="I4363" i="11"/>
  <c r="N4362" i="11"/>
  <c r="K4362" i="11"/>
  <c r="I4362" i="11"/>
  <c r="N4361" i="11"/>
  <c r="K4361" i="11"/>
  <c r="I4361" i="11"/>
  <c r="N4360" i="11"/>
  <c r="K4360" i="11"/>
  <c r="I4360" i="11"/>
  <c r="N4359" i="11"/>
  <c r="K4359" i="11"/>
  <c r="I4359" i="11"/>
  <c r="N4358" i="11"/>
  <c r="K4358" i="11"/>
  <c r="I4358" i="11"/>
  <c r="N4357" i="11"/>
  <c r="K4357" i="11"/>
  <c r="I4357" i="11"/>
  <c r="N4356" i="11"/>
  <c r="K4356" i="11"/>
  <c r="I4356" i="11"/>
  <c r="N4355" i="11"/>
  <c r="K4355" i="11"/>
  <c r="I4355" i="11"/>
  <c r="N4354" i="11"/>
  <c r="K4354" i="11"/>
  <c r="I4354" i="11"/>
  <c r="N4353" i="11"/>
  <c r="K4353" i="11"/>
  <c r="I4353" i="11"/>
  <c r="N4352" i="11"/>
  <c r="K4352" i="11"/>
  <c r="I4352" i="11"/>
  <c r="N4351" i="11"/>
  <c r="K4351" i="11"/>
  <c r="I4351" i="11"/>
  <c r="N4350" i="11"/>
  <c r="K4350" i="11"/>
  <c r="I4350" i="11"/>
  <c r="N4349" i="11"/>
  <c r="K4349" i="11"/>
  <c r="I4349" i="11"/>
  <c r="N4348" i="11"/>
  <c r="K4348" i="11"/>
  <c r="I4348" i="11"/>
  <c r="N4347" i="11"/>
  <c r="K4347" i="11"/>
  <c r="I4347" i="11"/>
  <c r="N4346" i="11"/>
  <c r="K4346" i="11"/>
  <c r="I4346" i="11"/>
  <c r="N4345" i="11"/>
  <c r="K4345" i="11"/>
  <c r="I4345" i="11"/>
  <c r="N4344" i="11"/>
  <c r="K4344" i="11"/>
  <c r="I4344" i="11"/>
  <c r="N4343" i="11"/>
  <c r="K4343" i="11"/>
  <c r="I4343" i="11"/>
  <c r="N4342" i="11"/>
  <c r="K4342" i="11"/>
  <c r="I4342" i="11"/>
  <c r="N4341" i="11"/>
  <c r="K4341" i="11"/>
  <c r="I4341" i="11"/>
  <c r="N4340" i="11"/>
  <c r="K4340" i="11"/>
  <c r="I4340" i="11"/>
  <c r="N4339" i="11"/>
  <c r="K4339" i="11"/>
  <c r="I4339" i="11"/>
  <c r="N4338" i="11"/>
  <c r="K4338" i="11"/>
  <c r="I4338" i="11"/>
  <c r="N4337" i="11"/>
  <c r="K4337" i="11"/>
  <c r="I4337" i="11"/>
  <c r="N4336" i="11"/>
  <c r="K4336" i="11"/>
  <c r="I4336" i="11"/>
  <c r="N4335" i="11"/>
  <c r="K4335" i="11"/>
  <c r="I4335" i="11"/>
  <c r="N4334" i="11"/>
  <c r="K4334" i="11"/>
  <c r="I4334" i="11"/>
  <c r="N4333" i="11"/>
  <c r="K4333" i="11"/>
  <c r="I4333" i="11"/>
  <c r="N4332" i="11"/>
  <c r="K4332" i="11"/>
  <c r="I4332" i="11"/>
  <c r="N4331" i="11"/>
  <c r="K4331" i="11"/>
  <c r="I4331" i="11"/>
  <c r="N4330" i="11"/>
  <c r="K4330" i="11"/>
  <c r="I4330" i="11"/>
  <c r="N4329" i="11"/>
  <c r="K4329" i="11"/>
  <c r="I4329" i="11"/>
  <c r="N4328" i="11"/>
  <c r="K4328" i="11"/>
  <c r="I4328" i="11"/>
  <c r="N4327" i="11"/>
  <c r="K4327" i="11"/>
  <c r="I4327" i="11"/>
  <c r="N4326" i="11"/>
  <c r="K4326" i="11"/>
  <c r="I4326" i="11"/>
  <c r="N4325" i="11"/>
  <c r="K4325" i="11"/>
  <c r="I4325" i="11"/>
  <c r="N4324" i="11"/>
  <c r="K4324" i="11"/>
  <c r="I4324" i="11"/>
  <c r="N4323" i="11"/>
  <c r="K4323" i="11"/>
  <c r="I4323" i="11"/>
  <c r="N4322" i="11"/>
  <c r="K4322" i="11"/>
  <c r="I4322" i="11"/>
  <c r="N4321" i="11"/>
  <c r="K4321" i="11"/>
  <c r="I4321" i="11"/>
  <c r="N4320" i="11"/>
  <c r="K4320" i="11"/>
  <c r="I4320" i="11"/>
  <c r="N4319" i="11"/>
  <c r="K4319" i="11"/>
  <c r="I4319" i="11"/>
  <c r="N4318" i="11"/>
  <c r="K4318" i="11"/>
  <c r="I4318" i="11"/>
  <c r="N4317" i="11"/>
  <c r="K4317" i="11"/>
  <c r="I4317" i="11"/>
  <c r="N4316" i="11"/>
  <c r="K4316" i="11"/>
  <c r="I4316" i="11"/>
  <c r="N4315" i="11"/>
  <c r="K4315" i="11"/>
  <c r="I4315" i="11"/>
  <c r="N4314" i="11"/>
  <c r="K4314" i="11"/>
  <c r="I4314" i="11"/>
  <c r="N4313" i="11"/>
  <c r="K4313" i="11"/>
  <c r="I4313" i="11"/>
  <c r="N4312" i="11"/>
  <c r="K4312" i="11"/>
  <c r="I4312" i="11"/>
  <c r="N4311" i="11"/>
  <c r="K4311" i="11"/>
  <c r="I4311" i="11"/>
  <c r="N4310" i="11"/>
  <c r="K4310" i="11"/>
  <c r="I4310" i="11"/>
  <c r="N4309" i="11"/>
  <c r="K4309" i="11"/>
  <c r="I4309" i="11"/>
  <c r="N4308" i="11"/>
  <c r="K4308" i="11"/>
  <c r="I4308" i="11"/>
  <c r="N4307" i="11"/>
  <c r="K4307" i="11"/>
  <c r="I4307" i="11"/>
  <c r="N4306" i="11"/>
  <c r="K4306" i="11"/>
  <c r="I4306" i="11"/>
  <c r="N4305" i="11"/>
  <c r="K4305" i="11"/>
  <c r="I4305" i="11"/>
  <c r="N4304" i="11"/>
  <c r="K4304" i="11"/>
  <c r="I4304" i="11"/>
  <c r="N4303" i="11"/>
  <c r="K4303" i="11"/>
  <c r="I4303" i="11"/>
  <c r="N4302" i="11"/>
  <c r="K4302" i="11"/>
  <c r="I4302" i="11"/>
  <c r="N4301" i="11"/>
  <c r="K4301" i="11"/>
  <c r="I4301" i="11"/>
  <c r="N4300" i="11"/>
  <c r="K4300" i="11"/>
  <c r="I4300" i="11"/>
  <c r="N4299" i="11"/>
  <c r="K4299" i="11"/>
  <c r="I4299" i="11"/>
  <c r="N4298" i="11"/>
  <c r="K4298" i="11"/>
  <c r="I4298" i="11"/>
  <c r="N4297" i="11"/>
  <c r="K4297" i="11"/>
  <c r="I4297" i="11"/>
  <c r="N4296" i="11"/>
  <c r="K4296" i="11"/>
  <c r="I4296" i="11"/>
  <c r="N4295" i="11"/>
  <c r="K4295" i="11"/>
  <c r="I4295" i="11"/>
  <c r="N4294" i="11"/>
  <c r="K4294" i="11"/>
  <c r="I4294" i="11"/>
  <c r="N4293" i="11"/>
  <c r="K4293" i="11"/>
  <c r="I4293" i="11"/>
  <c r="N4292" i="11"/>
  <c r="K4292" i="11"/>
  <c r="I4292" i="11"/>
  <c r="N4291" i="11"/>
  <c r="K4291" i="11"/>
  <c r="I4291" i="11"/>
  <c r="N4290" i="11"/>
  <c r="K4290" i="11"/>
  <c r="I4290" i="11"/>
  <c r="N4289" i="11"/>
  <c r="K4289" i="11"/>
  <c r="I4289" i="11"/>
  <c r="N4288" i="11"/>
  <c r="K4288" i="11"/>
  <c r="I4288" i="11"/>
  <c r="N4287" i="11"/>
  <c r="K4287" i="11"/>
  <c r="I4287" i="11"/>
  <c r="N4286" i="11"/>
  <c r="K4286" i="11"/>
  <c r="I4286" i="11"/>
  <c r="N4285" i="11"/>
  <c r="K4285" i="11"/>
  <c r="I4285" i="11"/>
  <c r="N4284" i="11"/>
  <c r="K4284" i="11"/>
  <c r="I4284" i="11"/>
  <c r="N4283" i="11"/>
  <c r="K4283" i="11"/>
  <c r="I4283" i="11"/>
  <c r="N4282" i="11"/>
  <c r="K4282" i="11"/>
  <c r="I4282" i="11"/>
  <c r="N4281" i="11"/>
  <c r="K4281" i="11"/>
  <c r="I4281" i="11"/>
  <c r="N4280" i="11"/>
  <c r="K4280" i="11"/>
  <c r="I4280" i="11"/>
  <c r="N4279" i="11"/>
  <c r="K4279" i="11"/>
  <c r="I4279" i="11"/>
  <c r="N4278" i="11"/>
  <c r="K4278" i="11"/>
  <c r="I4278" i="11"/>
  <c r="N4277" i="11"/>
  <c r="K4277" i="11"/>
  <c r="I4277" i="11"/>
  <c r="N4276" i="11"/>
  <c r="K4276" i="11"/>
  <c r="I4276" i="11"/>
  <c r="N4275" i="11"/>
  <c r="K4275" i="11"/>
  <c r="I4275" i="11"/>
  <c r="N4274" i="11"/>
  <c r="K4274" i="11"/>
  <c r="I4274" i="11"/>
  <c r="N4273" i="11"/>
  <c r="K4273" i="11"/>
  <c r="I4273" i="11"/>
  <c r="N4272" i="11"/>
  <c r="K4272" i="11"/>
  <c r="I4272" i="11"/>
  <c r="N4271" i="11"/>
  <c r="K4271" i="11"/>
  <c r="I4271" i="11"/>
  <c r="N4270" i="11"/>
  <c r="K4270" i="11"/>
  <c r="I4270" i="11"/>
  <c r="N4269" i="11"/>
  <c r="K4269" i="11"/>
  <c r="I4269" i="11"/>
  <c r="N4268" i="11"/>
  <c r="K4268" i="11"/>
  <c r="I4268" i="11"/>
  <c r="N4267" i="11"/>
  <c r="K4267" i="11"/>
  <c r="I4267" i="11"/>
  <c r="N4266" i="11"/>
  <c r="K4266" i="11"/>
  <c r="I4266" i="11"/>
  <c r="N4265" i="11"/>
  <c r="K4265" i="11"/>
  <c r="I4265" i="11"/>
  <c r="N4264" i="11"/>
  <c r="K4264" i="11"/>
  <c r="I4264" i="11"/>
  <c r="N4263" i="11"/>
  <c r="K4263" i="11"/>
  <c r="I4263" i="11"/>
  <c r="N4262" i="11"/>
  <c r="K4262" i="11"/>
  <c r="I4262" i="11"/>
  <c r="N4261" i="11"/>
  <c r="K4261" i="11"/>
  <c r="I4261" i="11"/>
  <c r="N4260" i="11"/>
  <c r="K4260" i="11"/>
  <c r="I4260" i="11"/>
  <c r="N4259" i="11"/>
  <c r="K4259" i="11"/>
  <c r="I4259" i="11"/>
  <c r="N4258" i="11"/>
  <c r="K4258" i="11"/>
  <c r="I4258" i="11"/>
  <c r="N4257" i="11"/>
  <c r="K4257" i="11"/>
  <c r="I4257" i="11"/>
  <c r="N4256" i="11"/>
  <c r="K4256" i="11"/>
  <c r="I4256" i="11"/>
  <c r="N4255" i="11"/>
  <c r="K4255" i="11"/>
  <c r="I4255" i="11"/>
  <c r="N4254" i="11"/>
  <c r="K4254" i="11"/>
  <c r="I4254" i="11"/>
  <c r="N4253" i="11"/>
  <c r="K4253" i="11"/>
  <c r="I4253" i="11"/>
  <c r="N4252" i="11"/>
  <c r="K4252" i="11"/>
  <c r="I4252" i="11"/>
  <c r="N4251" i="11"/>
  <c r="K4251" i="11"/>
  <c r="I4251" i="11"/>
  <c r="N4250" i="11"/>
  <c r="K4250" i="11"/>
  <c r="I4250" i="11"/>
  <c r="N4249" i="11"/>
  <c r="K4249" i="11"/>
  <c r="I4249" i="11"/>
  <c r="N4248" i="11"/>
  <c r="K4248" i="11"/>
  <c r="I4248" i="11"/>
  <c r="N4247" i="11"/>
  <c r="K4247" i="11"/>
  <c r="I4247" i="11"/>
  <c r="N4246" i="11"/>
  <c r="K4246" i="11"/>
  <c r="I4246" i="11"/>
  <c r="N4245" i="11"/>
  <c r="K4245" i="11"/>
  <c r="I4245" i="11"/>
  <c r="N4244" i="11"/>
  <c r="K4244" i="11"/>
  <c r="I4244" i="11"/>
  <c r="N4243" i="11"/>
  <c r="K4243" i="11"/>
  <c r="I4243" i="11"/>
  <c r="N4242" i="11"/>
  <c r="K4242" i="11"/>
  <c r="I4242" i="11"/>
  <c r="N4241" i="11"/>
  <c r="K4241" i="11"/>
  <c r="I4241" i="11"/>
  <c r="N4240" i="11"/>
  <c r="K4240" i="11"/>
  <c r="I4240" i="11"/>
  <c r="N4239" i="11"/>
  <c r="K4239" i="11"/>
  <c r="I4239" i="11"/>
  <c r="N4238" i="11"/>
  <c r="K4238" i="11"/>
  <c r="I4238" i="11"/>
  <c r="N4237" i="11"/>
  <c r="K4237" i="11"/>
  <c r="I4237" i="11"/>
  <c r="N4236" i="11"/>
  <c r="K4236" i="11"/>
  <c r="I4236" i="11"/>
  <c r="N4235" i="11"/>
  <c r="K4235" i="11"/>
  <c r="I4235" i="11"/>
  <c r="N4234" i="11"/>
  <c r="K4234" i="11"/>
  <c r="I4234" i="11"/>
  <c r="N4233" i="11"/>
  <c r="K4233" i="11"/>
  <c r="I4233" i="11"/>
  <c r="N4232" i="11"/>
  <c r="K4232" i="11"/>
  <c r="I4232" i="11"/>
  <c r="N4231" i="11"/>
  <c r="K4231" i="11"/>
  <c r="I4231" i="11"/>
  <c r="N4230" i="11"/>
  <c r="K4230" i="11"/>
  <c r="I4230" i="11"/>
  <c r="N4229" i="11"/>
  <c r="K4229" i="11"/>
  <c r="I4229" i="11"/>
  <c r="N4228" i="11"/>
  <c r="K4228" i="11"/>
  <c r="I4228" i="11"/>
  <c r="N4227" i="11"/>
  <c r="K4227" i="11"/>
  <c r="I4227" i="11"/>
  <c r="N4226" i="11"/>
  <c r="K4226" i="11"/>
  <c r="I4226" i="11"/>
  <c r="N4225" i="11"/>
  <c r="K4225" i="11"/>
  <c r="I4225" i="11"/>
  <c r="N4224" i="11"/>
  <c r="K4224" i="11"/>
  <c r="I4224" i="11"/>
  <c r="N4223" i="11"/>
  <c r="K4223" i="11"/>
  <c r="I4223" i="11"/>
  <c r="N4222" i="11"/>
  <c r="K4222" i="11"/>
  <c r="I4222" i="11"/>
  <c r="N4221" i="11"/>
  <c r="K4221" i="11"/>
  <c r="I4221" i="11"/>
  <c r="N4220" i="11"/>
  <c r="K4220" i="11"/>
  <c r="I4220" i="11"/>
  <c r="N4219" i="11"/>
  <c r="K4219" i="11"/>
  <c r="I4219" i="11"/>
  <c r="N4218" i="11"/>
  <c r="K4218" i="11"/>
  <c r="I4218" i="11"/>
  <c r="N4217" i="11"/>
  <c r="K4217" i="11"/>
  <c r="I4217" i="11"/>
  <c r="N4216" i="11"/>
  <c r="K4216" i="11"/>
  <c r="I4216" i="11"/>
  <c r="N4215" i="11"/>
  <c r="K4215" i="11"/>
  <c r="I4215" i="11"/>
  <c r="N4214" i="11"/>
  <c r="K4214" i="11"/>
  <c r="I4214" i="11"/>
  <c r="N4213" i="11"/>
  <c r="K4213" i="11"/>
  <c r="I4213" i="11"/>
  <c r="N4212" i="11"/>
  <c r="K4212" i="11"/>
  <c r="I4212" i="11"/>
  <c r="N4211" i="11"/>
  <c r="K4211" i="11"/>
  <c r="I4211" i="11"/>
  <c r="N4210" i="11"/>
  <c r="K4210" i="11"/>
  <c r="I4210" i="11"/>
  <c r="N4209" i="11"/>
  <c r="K4209" i="11"/>
  <c r="I4209" i="11"/>
  <c r="N4208" i="11"/>
  <c r="K4208" i="11"/>
  <c r="I4208" i="11"/>
  <c r="N4207" i="11"/>
  <c r="K4207" i="11"/>
  <c r="I4207" i="11"/>
  <c r="N4206" i="11"/>
  <c r="K4206" i="11"/>
  <c r="I4206" i="11"/>
  <c r="N4205" i="11"/>
  <c r="K4205" i="11"/>
  <c r="I4205" i="11"/>
  <c r="N4204" i="11"/>
  <c r="K4204" i="11"/>
  <c r="I4204" i="11"/>
  <c r="N4203" i="11"/>
  <c r="K4203" i="11"/>
  <c r="I4203" i="11"/>
  <c r="N4202" i="11"/>
  <c r="K4202" i="11"/>
  <c r="I4202" i="11"/>
  <c r="N4201" i="11"/>
  <c r="K4201" i="11"/>
  <c r="I4201" i="11"/>
  <c r="N4200" i="11"/>
  <c r="K4200" i="11"/>
  <c r="I4200" i="11"/>
  <c r="N4199" i="11"/>
  <c r="K4199" i="11"/>
  <c r="I4199" i="11"/>
  <c r="N4198" i="11"/>
  <c r="K4198" i="11"/>
  <c r="I4198" i="11"/>
  <c r="N4197" i="11"/>
  <c r="K4197" i="11"/>
  <c r="I4197" i="11"/>
  <c r="N4196" i="11"/>
  <c r="K4196" i="11"/>
  <c r="I4196" i="11"/>
  <c r="N4195" i="11"/>
  <c r="K4195" i="11"/>
  <c r="I4195" i="11"/>
  <c r="N4194" i="11"/>
  <c r="K4194" i="11"/>
  <c r="I4194" i="11"/>
  <c r="N4193" i="11"/>
  <c r="K4193" i="11"/>
  <c r="I4193" i="11"/>
  <c r="N4192" i="11"/>
  <c r="K4192" i="11"/>
  <c r="I4192" i="11"/>
  <c r="N4191" i="11"/>
  <c r="K4191" i="11"/>
  <c r="I4191" i="11"/>
  <c r="N4190" i="11"/>
  <c r="K4190" i="11"/>
  <c r="I4190" i="11"/>
  <c r="N4189" i="11"/>
  <c r="K4189" i="11"/>
  <c r="I4189" i="11"/>
  <c r="N4188" i="11"/>
  <c r="K4188" i="11"/>
  <c r="I4188" i="11"/>
  <c r="N4187" i="11"/>
  <c r="K4187" i="11"/>
  <c r="I4187" i="11"/>
  <c r="N4186" i="11"/>
  <c r="K4186" i="11"/>
  <c r="I4186" i="11"/>
  <c r="N4185" i="11"/>
  <c r="K4185" i="11"/>
  <c r="I4185" i="11"/>
  <c r="N4184" i="11"/>
  <c r="K4184" i="11"/>
  <c r="I4184" i="11"/>
  <c r="N4183" i="11"/>
  <c r="K4183" i="11"/>
  <c r="I4183" i="11"/>
  <c r="N4182" i="11"/>
  <c r="K4182" i="11"/>
  <c r="I4182" i="11"/>
  <c r="N4181" i="11"/>
  <c r="K4181" i="11"/>
  <c r="I4181" i="11"/>
  <c r="N4180" i="11"/>
  <c r="K4180" i="11"/>
  <c r="I4180" i="11"/>
  <c r="N4179" i="11"/>
  <c r="K4179" i="11"/>
  <c r="I4179" i="11"/>
  <c r="N4178" i="11"/>
  <c r="K4178" i="11"/>
  <c r="I4178" i="11"/>
  <c r="N4177" i="11"/>
  <c r="K4177" i="11"/>
  <c r="I4177" i="11"/>
  <c r="N4176" i="11"/>
  <c r="K4176" i="11"/>
  <c r="I4176" i="11"/>
  <c r="N4175" i="11"/>
  <c r="K4175" i="11"/>
  <c r="I4175" i="11"/>
  <c r="N4174" i="11"/>
  <c r="K4174" i="11"/>
  <c r="I4174" i="11"/>
  <c r="N4173" i="11"/>
  <c r="K4173" i="11"/>
  <c r="I4173" i="11"/>
  <c r="N4172" i="11"/>
  <c r="K4172" i="11"/>
  <c r="I4172" i="11"/>
  <c r="N4171" i="11"/>
  <c r="K4171" i="11"/>
  <c r="I4171" i="11"/>
  <c r="N4170" i="11"/>
  <c r="K4170" i="11"/>
  <c r="I4170" i="11"/>
  <c r="N4169" i="11"/>
  <c r="K4169" i="11"/>
  <c r="I4169" i="11"/>
  <c r="N4168" i="11"/>
  <c r="K4168" i="11"/>
  <c r="I4168" i="11"/>
  <c r="N4167" i="11"/>
  <c r="K4167" i="11"/>
  <c r="I4167" i="11"/>
  <c r="N4166" i="11"/>
  <c r="K4166" i="11"/>
  <c r="I4166" i="11"/>
  <c r="N4165" i="11"/>
  <c r="K4165" i="11"/>
  <c r="I4165" i="11"/>
  <c r="N4164" i="11"/>
  <c r="K4164" i="11"/>
  <c r="I4164" i="11"/>
  <c r="N4163" i="11"/>
  <c r="K4163" i="11"/>
  <c r="I4163" i="11"/>
  <c r="N4162" i="11"/>
  <c r="K4162" i="11"/>
  <c r="I4162" i="11"/>
  <c r="N4161" i="11"/>
  <c r="K4161" i="11"/>
  <c r="I4161" i="11"/>
  <c r="N4160" i="11"/>
  <c r="K4160" i="11"/>
  <c r="I4160" i="11"/>
  <c r="N4159" i="11"/>
  <c r="K4159" i="11"/>
  <c r="I4159" i="11"/>
  <c r="N4158" i="11"/>
  <c r="K4158" i="11"/>
  <c r="I4158" i="11"/>
  <c r="N4157" i="11"/>
  <c r="K4157" i="11"/>
  <c r="I4157" i="11"/>
  <c r="N4156" i="11"/>
  <c r="K4156" i="11"/>
  <c r="I4156" i="11"/>
  <c r="N4155" i="11"/>
  <c r="K4155" i="11"/>
  <c r="I4155" i="11"/>
  <c r="N4154" i="11"/>
  <c r="K4154" i="11"/>
  <c r="I4154" i="11"/>
  <c r="N4153" i="11"/>
  <c r="K4153" i="11"/>
  <c r="I4153" i="11"/>
  <c r="N4152" i="11"/>
  <c r="K4152" i="11"/>
  <c r="I4152" i="11"/>
  <c r="N4151" i="11"/>
  <c r="K4151" i="11"/>
  <c r="I4151" i="11"/>
  <c r="N4150" i="11"/>
  <c r="K4150" i="11"/>
  <c r="I4150" i="11"/>
  <c r="N4149" i="11"/>
  <c r="K4149" i="11"/>
  <c r="I4149" i="11"/>
  <c r="N4148" i="11"/>
  <c r="K4148" i="11"/>
  <c r="I4148" i="11"/>
  <c r="N4147" i="11"/>
  <c r="K4147" i="11"/>
  <c r="I4147" i="11"/>
  <c r="N4146" i="11"/>
  <c r="K4146" i="11"/>
  <c r="I4146" i="11"/>
  <c r="N4145" i="11"/>
  <c r="K4145" i="11"/>
  <c r="I4145" i="11"/>
  <c r="N4144" i="11"/>
  <c r="K4144" i="11"/>
  <c r="I4144" i="11"/>
  <c r="N4143" i="11"/>
  <c r="K4143" i="11"/>
  <c r="I4143" i="11"/>
  <c r="N4142" i="11"/>
  <c r="K4142" i="11"/>
  <c r="I4142" i="11"/>
  <c r="N4141" i="11"/>
  <c r="K4141" i="11"/>
  <c r="I4141" i="11"/>
  <c r="N4140" i="11"/>
  <c r="K4140" i="11"/>
  <c r="I4140" i="11"/>
  <c r="N4139" i="11"/>
  <c r="K4139" i="11"/>
  <c r="I4139" i="11"/>
  <c r="N4138" i="11"/>
  <c r="K4138" i="11"/>
  <c r="I4138" i="11"/>
  <c r="N4137" i="11"/>
  <c r="K4137" i="11"/>
  <c r="I4137" i="11"/>
  <c r="N4136" i="11"/>
  <c r="K4136" i="11"/>
  <c r="I4136" i="11"/>
  <c r="N4135" i="11"/>
  <c r="K4135" i="11"/>
  <c r="I4135" i="11"/>
  <c r="N4134" i="11"/>
  <c r="K4134" i="11"/>
  <c r="I4134" i="11"/>
  <c r="N4133" i="11"/>
  <c r="K4133" i="11"/>
  <c r="I4133" i="11"/>
  <c r="N4132" i="11"/>
  <c r="K4132" i="11"/>
  <c r="I4132" i="11"/>
  <c r="N4131" i="11"/>
  <c r="K4131" i="11"/>
  <c r="I4131" i="11"/>
  <c r="N4130" i="11"/>
  <c r="K4130" i="11"/>
  <c r="I4130" i="11"/>
  <c r="N4129" i="11"/>
  <c r="K4129" i="11"/>
  <c r="I4129" i="11"/>
  <c r="N4128" i="11"/>
  <c r="K4128" i="11"/>
  <c r="I4128" i="11"/>
  <c r="N4127" i="11"/>
  <c r="K4127" i="11"/>
  <c r="I4127" i="11"/>
  <c r="N4126" i="11"/>
  <c r="K4126" i="11"/>
  <c r="I4126" i="11"/>
  <c r="N4125" i="11"/>
  <c r="K4125" i="11"/>
  <c r="I4125" i="11"/>
  <c r="N4124" i="11"/>
  <c r="K4124" i="11"/>
  <c r="I4124" i="11"/>
  <c r="N4123" i="11"/>
  <c r="K4123" i="11"/>
  <c r="I4123" i="11"/>
  <c r="N4122" i="11"/>
  <c r="K4122" i="11"/>
  <c r="I4122" i="11"/>
  <c r="N4121" i="11"/>
  <c r="K4121" i="11"/>
  <c r="I4121" i="11"/>
  <c r="N4120" i="11"/>
  <c r="K4120" i="11"/>
  <c r="I4120" i="11"/>
  <c r="N4119" i="11"/>
  <c r="K4119" i="11"/>
  <c r="I4119" i="11"/>
  <c r="N4118" i="11"/>
  <c r="K4118" i="11"/>
  <c r="I4118" i="11"/>
  <c r="N4117" i="11"/>
  <c r="K4117" i="11"/>
  <c r="I4117" i="11"/>
  <c r="N4116" i="11"/>
  <c r="K4116" i="11"/>
  <c r="I4116" i="11"/>
  <c r="N4115" i="11"/>
  <c r="K4115" i="11"/>
  <c r="I4115" i="11"/>
  <c r="N4114" i="11"/>
  <c r="K4114" i="11"/>
  <c r="I4114" i="11"/>
  <c r="N4113" i="11"/>
  <c r="K4113" i="11"/>
  <c r="I4113" i="11"/>
  <c r="N4112" i="11"/>
  <c r="K4112" i="11"/>
  <c r="I4112" i="11"/>
  <c r="N4111" i="11"/>
  <c r="K4111" i="11"/>
  <c r="I4111" i="11"/>
  <c r="N4110" i="11"/>
  <c r="K4110" i="11"/>
  <c r="I4110" i="11"/>
  <c r="N4109" i="11"/>
  <c r="K4109" i="11"/>
  <c r="I4109" i="11"/>
  <c r="N4108" i="11"/>
  <c r="K4108" i="11"/>
  <c r="I4108" i="11"/>
  <c r="N4107" i="11"/>
  <c r="K4107" i="11"/>
  <c r="I4107" i="11"/>
  <c r="N4106" i="11"/>
  <c r="K4106" i="11"/>
  <c r="I4106" i="11"/>
  <c r="N4105" i="11"/>
  <c r="K4105" i="11"/>
  <c r="I4105" i="11"/>
  <c r="N4104" i="11"/>
  <c r="K4104" i="11"/>
  <c r="I4104" i="11"/>
  <c r="N4103" i="11"/>
  <c r="K4103" i="11"/>
  <c r="I4103" i="11"/>
  <c r="N4102" i="11"/>
  <c r="K4102" i="11"/>
  <c r="I4102" i="11"/>
  <c r="N4101" i="11"/>
  <c r="K4101" i="11"/>
  <c r="I4101" i="11"/>
  <c r="N4100" i="11"/>
  <c r="K4100" i="11"/>
  <c r="I4100" i="11"/>
  <c r="N4099" i="11"/>
  <c r="K4099" i="11"/>
  <c r="I4099" i="11"/>
  <c r="N4098" i="11"/>
  <c r="K4098" i="11"/>
  <c r="I4098" i="11"/>
  <c r="N4097" i="11"/>
  <c r="K4097" i="11"/>
  <c r="I4097" i="11"/>
  <c r="N4096" i="11"/>
  <c r="K4096" i="11"/>
  <c r="I4096" i="11"/>
  <c r="N4095" i="11"/>
  <c r="K4095" i="11"/>
  <c r="I4095" i="11"/>
  <c r="N4094" i="11"/>
  <c r="K4094" i="11"/>
  <c r="I4094" i="11"/>
  <c r="N4093" i="11"/>
  <c r="K4093" i="11"/>
  <c r="I4093" i="11"/>
  <c r="N4092" i="11"/>
  <c r="K4092" i="11"/>
  <c r="I4092" i="11"/>
  <c r="N4091" i="11"/>
  <c r="K4091" i="11"/>
  <c r="I4091" i="11"/>
  <c r="N4090" i="11"/>
  <c r="K4090" i="11"/>
  <c r="I4090" i="11"/>
  <c r="N4089" i="11"/>
  <c r="K4089" i="11"/>
  <c r="I4089" i="11"/>
  <c r="N4088" i="11"/>
  <c r="K4088" i="11"/>
  <c r="I4088" i="11"/>
  <c r="N4087" i="11"/>
  <c r="K4087" i="11"/>
  <c r="I4087" i="11"/>
  <c r="N4086" i="11"/>
  <c r="K4086" i="11"/>
  <c r="I4086" i="11"/>
  <c r="N4085" i="11"/>
  <c r="K4085" i="11"/>
  <c r="I4085" i="11"/>
  <c r="N4084" i="11"/>
  <c r="K4084" i="11"/>
  <c r="I4084" i="11"/>
  <c r="N4083" i="11"/>
  <c r="K4083" i="11"/>
  <c r="I4083" i="11"/>
  <c r="N4082" i="11"/>
  <c r="K4082" i="11"/>
  <c r="I4082" i="11"/>
  <c r="N4081" i="11"/>
  <c r="K4081" i="11"/>
  <c r="I4081" i="11"/>
  <c r="N4080" i="11"/>
  <c r="K4080" i="11"/>
  <c r="I4080" i="11"/>
  <c r="N4079" i="11"/>
  <c r="K4079" i="11"/>
  <c r="I4079" i="11"/>
  <c r="N4078" i="11"/>
  <c r="K4078" i="11"/>
  <c r="I4078" i="11"/>
  <c r="N4077" i="11"/>
  <c r="K4077" i="11"/>
  <c r="I4077" i="11"/>
  <c r="N4076" i="11"/>
  <c r="K4076" i="11"/>
  <c r="I4076" i="11"/>
  <c r="N4075" i="11"/>
  <c r="K4075" i="11"/>
  <c r="I4075" i="11"/>
  <c r="N4074" i="11"/>
  <c r="K4074" i="11"/>
  <c r="I4074" i="11"/>
  <c r="N4073" i="11"/>
  <c r="K4073" i="11"/>
  <c r="I4073" i="11"/>
  <c r="N4072" i="11"/>
  <c r="K4072" i="11"/>
  <c r="I4072" i="11"/>
  <c r="N4071" i="11"/>
  <c r="K4071" i="11"/>
  <c r="I4071" i="11"/>
  <c r="N4070" i="11"/>
  <c r="K4070" i="11"/>
  <c r="I4070" i="11"/>
  <c r="N4069" i="11"/>
  <c r="K4069" i="11"/>
  <c r="I4069" i="11"/>
  <c r="N4068" i="11"/>
  <c r="K4068" i="11"/>
  <c r="I4068" i="11"/>
  <c r="N4067" i="11"/>
  <c r="K4067" i="11"/>
  <c r="I4067" i="11"/>
  <c r="N4066" i="11"/>
  <c r="K4066" i="11"/>
  <c r="I4066" i="11"/>
  <c r="N4065" i="11"/>
  <c r="K4065" i="11"/>
  <c r="I4065" i="11"/>
  <c r="N4064" i="11"/>
  <c r="K4064" i="11"/>
  <c r="I4064" i="11"/>
  <c r="N4063" i="11"/>
  <c r="K4063" i="11"/>
  <c r="I4063" i="11"/>
  <c r="N4062" i="11"/>
  <c r="K4062" i="11"/>
  <c r="I4062" i="11"/>
  <c r="N4061" i="11"/>
  <c r="K4061" i="11"/>
  <c r="I4061" i="11"/>
  <c r="N4060" i="11"/>
  <c r="K4060" i="11"/>
  <c r="I4060" i="11"/>
  <c r="N4059" i="11"/>
  <c r="K4059" i="11"/>
  <c r="I4059" i="11"/>
  <c r="N4058" i="11"/>
  <c r="K4058" i="11"/>
  <c r="I4058" i="11"/>
  <c r="N4057" i="11"/>
  <c r="K4057" i="11"/>
  <c r="I4057" i="11"/>
  <c r="N4056" i="11"/>
  <c r="K4056" i="11"/>
  <c r="I4056" i="11"/>
  <c r="N4055" i="11"/>
  <c r="K4055" i="11"/>
  <c r="I4055" i="11"/>
  <c r="N4054" i="11"/>
  <c r="K4054" i="11"/>
  <c r="I4054" i="11"/>
  <c r="N4053" i="11"/>
  <c r="K4053" i="11"/>
  <c r="I4053" i="11"/>
  <c r="N4052" i="11"/>
  <c r="K4052" i="11"/>
  <c r="I4052" i="11"/>
  <c r="N4051" i="11"/>
  <c r="K4051" i="11"/>
  <c r="I4051" i="11"/>
  <c r="N4050" i="11"/>
  <c r="K4050" i="11"/>
  <c r="I4050" i="11"/>
  <c r="N4049" i="11"/>
  <c r="K4049" i="11"/>
  <c r="I4049" i="11"/>
  <c r="N4048" i="11"/>
  <c r="K4048" i="11"/>
  <c r="I4048" i="11"/>
  <c r="N4047" i="11"/>
  <c r="K4047" i="11"/>
  <c r="I4047" i="11"/>
  <c r="N4046" i="11"/>
  <c r="K4046" i="11"/>
  <c r="I4046" i="11"/>
  <c r="N4045" i="11"/>
  <c r="K4045" i="11"/>
  <c r="I4045" i="11"/>
  <c r="N4044" i="11"/>
  <c r="K4044" i="11"/>
  <c r="I4044" i="11"/>
  <c r="N4043" i="11"/>
  <c r="K4043" i="11"/>
  <c r="I4043" i="11"/>
  <c r="N4042" i="11"/>
  <c r="K4042" i="11"/>
  <c r="I4042" i="11"/>
  <c r="N4041" i="11"/>
  <c r="K4041" i="11"/>
  <c r="I4041" i="11"/>
  <c r="N4040" i="11"/>
  <c r="K4040" i="11"/>
  <c r="I4040" i="11"/>
  <c r="N4039" i="11"/>
  <c r="K4039" i="11"/>
  <c r="I4039" i="11"/>
  <c r="N4038" i="11"/>
  <c r="K4038" i="11"/>
  <c r="I4038" i="11"/>
  <c r="N4037" i="11"/>
  <c r="K4037" i="11"/>
  <c r="I4037" i="11"/>
  <c r="N4036" i="11"/>
  <c r="K4036" i="11"/>
  <c r="I4036" i="11"/>
  <c r="N4035" i="11"/>
  <c r="K4035" i="11"/>
  <c r="I4035" i="11"/>
  <c r="N4034" i="11"/>
  <c r="K4034" i="11"/>
  <c r="I4034" i="11"/>
  <c r="N4033" i="11"/>
  <c r="K4033" i="11"/>
  <c r="I4033" i="11"/>
  <c r="N4032" i="11"/>
  <c r="K4032" i="11"/>
  <c r="I4032" i="11"/>
  <c r="N4031" i="11"/>
  <c r="K4031" i="11"/>
  <c r="I4031" i="11"/>
  <c r="N4030" i="11"/>
  <c r="K4030" i="11"/>
  <c r="I4030" i="11"/>
  <c r="N4029" i="11"/>
  <c r="K4029" i="11"/>
  <c r="I4029" i="11"/>
  <c r="N4028" i="11"/>
  <c r="K4028" i="11"/>
  <c r="I4028" i="11"/>
  <c r="N4027" i="11"/>
  <c r="K4027" i="11"/>
  <c r="I4027" i="11"/>
  <c r="N4026" i="11"/>
  <c r="K4026" i="11"/>
  <c r="I4026" i="11"/>
  <c r="N4025" i="11"/>
  <c r="K4025" i="11"/>
  <c r="I4025" i="11"/>
  <c r="N4024" i="11"/>
  <c r="K4024" i="11"/>
  <c r="I4024" i="11"/>
  <c r="N4023" i="11"/>
  <c r="K4023" i="11"/>
  <c r="I4023" i="11"/>
  <c r="N4022" i="11"/>
  <c r="K4022" i="11"/>
  <c r="I4022" i="11"/>
  <c r="N4021" i="11"/>
  <c r="K4021" i="11"/>
  <c r="I4021" i="11"/>
  <c r="N4020" i="11"/>
  <c r="K4020" i="11"/>
  <c r="I4020" i="11"/>
  <c r="N4019" i="11"/>
  <c r="K4019" i="11"/>
  <c r="I4019" i="11"/>
  <c r="N4018" i="11"/>
  <c r="K4018" i="11"/>
  <c r="I4018" i="11"/>
  <c r="N4017" i="11"/>
  <c r="K4017" i="11"/>
  <c r="I4017" i="11"/>
  <c r="N4016" i="11"/>
  <c r="K4016" i="11"/>
  <c r="I4016" i="11"/>
  <c r="N4015" i="11"/>
  <c r="K4015" i="11"/>
  <c r="I4015" i="11"/>
  <c r="N4014" i="11"/>
  <c r="K4014" i="11"/>
  <c r="I4014" i="11"/>
  <c r="N4013" i="11"/>
  <c r="K4013" i="11"/>
  <c r="I4013" i="11"/>
  <c r="N4012" i="11"/>
  <c r="K4012" i="11"/>
  <c r="I4012" i="11"/>
  <c r="N4011" i="11"/>
  <c r="K4011" i="11"/>
  <c r="I4011" i="11"/>
  <c r="N4010" i="11"/>
  <c r="K4010" i="11"/>
  <c r="I4010" i="11"/>
  <c r="N4009" i="11"/>
  <c r="K4009" i="11"/>
  <c r="I4009" i="11"/>
  <c r="N4008" i="11"/>
  <c r="K4008" i="11"/>
  <c r="I4008" i="11"/>
  <c r="N4007" i="11"/>
  <c r="K4007" i="11"/>
  <c r="I4007" i="11"/>
  <c r="N4006" i="11"/>
  <c r="K4006" i="11"/>
  <c r="I4006" i="11"/>
  <c r="N4005" i="11"/>
  <c r="K4005" i="11"/>
  <c r="I4005" i="11"/>
  <c r="N4004" i="11"/>
  <c r="K4004" i="11"/>
  <c r="I4004" i="11"/>
  <c r="N4003" i="11"/>
  <c r="K4003" i="11"/>
  <c r="I4003" i="11"/>
  <c r="N4002" i="11"/>
  <c r="K4002" i="11"/>
  <c r="I4002" i="11"/>
  <c r="N4001" i="11"/>
  <c r="K4001" i="11"/>
  <c r="I4001" i="11"/>
  <c r="N4000" i="11"/>
  <c r="K4000" i="11"/>
  <c r="I4000" i="11"/>
  <c r="N3999" i="11"/>
  <c r="K3999" i="11"/>
  <c r="I3999" i="11"/>
  <c r="N3998" i="11"/>
  <c r="K3998" i="11"/>
  <c r="I3998" i="11"/>
  <c r="N3997" i="11"/>
  <c r="K3997" i="11"/>
  <c r="I3997" i="11"/>
  <c r="N3996" i="11"/>
  <c r="K3996" i="11"/>
  <c r="I3996" i="11"/>
  <c r="N3995" i="11"/>
  <c r="K3995" i="11"/>
  <c r="I3995" i="11"/>
  <c r="N3994" i="11"/>
  <c r="K3994" i="11"/>
  <c r="I3994" i="11"/>
  <c r="N3993" i="11"/>
  <c r="K3993" i="11"/>
  <c r="I3993" i="11"/>
  <c r="N3992" i="11"/>
  <c r="K3992" i="11"/>
  <c r="I3992" i="11"/>
  <c r="N3991" i="11"/>
  <c r="K3991" i="11"/>
  <c r="I3991" i="11"/>
  <c r="N3990" i="11"/>
  <c r="K3990" i="11"/>
  <c r="I3990" i="11"/>
  <c r="N3989" i="11"/>
  <c r="K3989" i="11"/>
  <c r="I3989" i="11"/>
  <c r="N3988" i="11"/>
  <c r="K3988" i="11"/>
  <c r="I3988" i="11"/>
  <c r="N3987" i="11"/>
  <c r="K3987" i="11"/>
  <c r="I3987" i="11"/>
  <c r="N3986" i="11"/>
  <c r="K3986" i="11"/>
  <c r="I3986" i="11"/>
  <c r="N3985" i="11"/>
  <c r="K3985" i="11"/>
  <c r="I3985" i="11"/>
  <c r="N3984" i="11"/>
  <c r="K3984" i="11"/>
  <c r="I3984" i="11"/>
  <c r="N3983" i="11"/>
  <c r="K3983" i="11"/>
  <c r="I3983" i="11"/>
  <c r="N3982" i="11"/>
  <c r="K3982" i="11"/>
  <c r="I3982" i="11"/>
  <c r="N3981" i="11"/>
  <c r="K3981" i="11"/>
  <c r="I3981" i="11"/>
  <c r="N3980" i="11"/>
  <c r="K3980" i="11"/>
  <c r="I3980" i="11"/>
  <c r="N3979" i="11"/>
  <c r="K3979" i="11"/>
  <c r="I3979" i="11"/>
  <c r="N3978" i="11"/>
  <c r="K3978" i="11"/>
  <c r="I3978" i="11"/>
  <c r="N3977" i="11"/>
  <c r="K3977" i="11"/>
  <c r="I3977" i="11"/>
  <c r="N3976" i="11"/>
  <c r="K3976" i="11"/>
  <c r="I3976" i="11"/>
  <c r="N3975" i="11"/>
  <c r="K3975" i="11"/>
  <c r="I3975" i="11"/>
  <c r="N3974" i="11"/>
  <c r="K3974" i="11"/>
  <c r="I3974" i="11"/>
  <c r="N3973" i="11"/>
  <c r="K3973" i="11"/>
  <c r="I3973" i="11"/>
  <c r="N3972" i="11"/>
  <c r="K3972" i="11"/>
  <c r="I3972" i="11"/>
  <c r="N3971" i="11"/>
  <c r="K3971" i="11"/>
  <c r="I3971" i="11"/>
  <c r="N3970" i="11"/>
  <c r="K3970" i="11"/>
  <c r="I3970" i="11"/>
  <c r="N3969" i="11"/>
  <c r="K3969" i="11"/>
  <c r="I3969" i="11"/>
  <c r="N3968" i="11"/>
  <c r="K3968" i="11"/>
  <c r="I3968" i="11"/>
  <c r="N3967" i="11"/>
  <c r="K3967" i="11"/>
  <c r="I3967" i="11"/>
  <c r="N3966" i="11"/>
  <c r="K3966" i="11"/>
  <c r="I3966" i="11"/>
  <c r="N3965" i="11"/>
  <c r="K3965" i="11"/>
  <c r="I3965" i="11"/>
  <c r="N3964" i="11"/>
  <c r="K3964" i="11"/>
  <c r="I3964" i="11"/>
  <c r="N3963" i="11"/>
  <c r="K3963" i="11"/>
  <c r="I3963" i="11"/>
  <c r="N3962" i="11"/>
  <c r="K3962" i="11"/>
  <c r="I3962" i="11"/>
  <c r="N3961" i="11"/>
  <c r="K3961" i="11"/>
  <c r="I3961" i="11"/>
  <c r="N3960" i="11"/>
  <c r="K3960" i="11"/>
  <c r="I3960" i="11"/>
  <c r="N3959" i="11"/>
  <c r="K3959" i="11"/>
  <c r="I3959" i="11"/>
  <c r="N3958" i="11"/>
  <c r="K3958" i="11"/>
  <c r="I3958" i="11"/>
  <c r="N3957" i="11"/>
  <c r="K3957" i="11"/>
  <c r="I3957" i="11"/>
  <c r="N3956" i="11"/>
  <c r="K3956" i="11"/>
  <c r="I3956" i="11"/>
  <c r="N3955" i="11"/>
  <c r="K3955" i="11"/>
  <c r="I3955" i="11"/>
  <c r="N3954" i="11"/>
  <c r="K3954" i="11"/>
  <c r="I3954" i="11"/>
  <c r="N3953" i="11"/>
  <c r="K3953" i="11"/>
  <c r="I3953" i="11"/>
  <c r="N3952" i="11"/>
  <c r="K3952" i="11"/>
  <c r="I3952" i="11"/>
  <c r="N3951" i="11"/>
  <c r="K3951" i="11"/>
  <c r="I3951" i="11"/>
  <c r="N3950" i="11"/>
  <c r="K3950" i="11"/>
  <c r="I3950" i="11"/>
  <c r="N3949" i="11"/>
  <c r="K3949" i="11"/>
  <c r="I3949" i="11"/>
  <c r="N3948" i="11"/>
  <c r="K3948" i="11"/>
  <c r="I3948" i="11"/>
  <c r="N3947" i="11"/>
  <c r="K3947" i="11"/>
  <c r="I3947" i="11"/>
  <c r="N3946" i="11"/>
  <c r="K3946" i="11"/>
  <c r="I3946" i="11"/>
  <c r="N3945" i="11"/>
  <c r="K3945" i="11"/>
  <c r="I3945" i="11"/>
  <c r="N3944" i="11"/>
  <c r="K3944" i="11"/>
  <c r="I3944" i="11"/>
  <c r="N3943" i="11"/>
  <c r="K3943" i="11"/>
  <c r="I3943" i="11"/>
  <c r="N3942" i="11"/>
  <c r="K3942" i="11"/>
  <c r="I3942" i="11"/>
  <c r="N3941" i="11"/>
  <c r="K3941" i="11"/>
  <c r="I3941" i="11"/>
  <c r="N3940" i="11"/>
  <c r="K3940" i="11"/>
  <c r="I3940" i="11"/>
  <c r="N3939" i="11"/>
  <c r="K3939" i="11"/>
  <c r="I3939" i="11"/>
  <c r="N3938" i="11"/>
  <c r="K3938" i="11"/>
  <c r="I3938" i="11"/>
  <c r="N3937" i="11"/>
  <c r="K3937" i="11"/>
  <c r="I3937" i="11"/>
  <c r="N3936" i="11"/>
  <c r="K3936" i="11"/>
  <c r="I3936" i="11"/>
  <c r="N3935" i="11"/>
  <c r="K3935" i="11"/>
  <c r="I3935" i="11"/>
  <c r="N3934" i="11"/>
  <c r="K3934" i="11"/>
  <c r="I3934" i="11"/>
  <c r="N3933" i="11"/>
  <c r="K3933" i="11"/>
  <c r="I3933" i="11"/>
  <c r="N3932" i="11"/>
  <c r="K3932" i="11"/>
  <c r="I3932" i="11"/>
  <c r="N3931" i="11"/>
  <c r="K3931" i="11"/>
  <c r="I3931" i="11"/>
  <c r="N3930" i="11"/>
  <c r="K3930" i="11"/>
  <c r="I3930" i="11"/>
  <c r="N3929" i="11"/>
  <c r="K3929" i="11"/>
  <c r="I3929" i="11"/>
  <c r="N3928" i="11"/>
  <c r="K3928" i="11"/>
  <c r="I3928" i="11"/>
  <c r="N3927" i="11"/>
  <c r="K3927" i="11"/>
  <c r="I3927" i="11"/>
  <c r="N3926" i="11"/>
  <c r="K3926" i="11"/>
  <c r="I3926" i="11"/>
  <c r="N3925" i="11"/>
  <c r="K3925" i="11"/>
  <c r="I3925" i="11"/>
  <c r="N3924" i="11"/>
  <c r="K3924" i="11"/>
  <c r="I3924" i="11"/>
  <c r="N3923" i="11"/>
  <c r="K3923" i="11"/>
  <c r="I3923" i="11"/>
  <c r="N3922" i="11"/>
  <c r="K3922" i="11"/>
  <c r="I3922" i="11"/>
  <c r="N3921" i="11"/>
  <c r="K3921" i="11"/>
  <c r="I3921" i="11"/>
  <c r="N3920" i="11"/>
  <c r="K3920" i="11"/>
  <c r="I3920" i="11"/>
  <c r="N3919" i="11"/>
  <c r="K3919" i="11"/>
  <c r="I3919" i="11"/>
  <c r="N3918" i="11"/>
  <c r="K3918" i="11"/>
  <c r="I3918" i="11"/>
  <c r="N3917" i="11"/>
  <c r="K3917" i="11"/>
  <c r="I3917" i="11"/>
  <c r="N3916" i="11"/>
  <c r="K3916" i="11"/>
  <c r="I3916" i="11"/>
  <c r="N3915" i="11"/>
  <c r="K3915" i="11"/>
  <c r="I3915" i="11"/>
  <c r="N3914" i="11"/>
  <c r="K3914" i="11"/>
  <c r="I3914" i="11"/>
  <c r="N3913" i="11"/>
  <c r="K3913" i="11"/>
  <c r="I3913" i="11"/>
  <c r="N3912" i="11"/>
  <c r="K3912" i="11"/>
  <c r="I3912" i="11"/>
  <c r="N3911" i="11"/>
  <c r="K3911" i="11"/>
  <c r="I3911" i="11"/>
  <c r="N3910" i="11"/>
  <c r="K3910" i="11"/>
  <c r="I3910" i="11"/>
  <c r="N3909" i="11"/>
  <c r="K3909" i="11"/>
  <c r="I3909" i="11"/>
  <c r="N3908" i="11"/>
  <c r="K3908" i="11"/>
  <c r="I3908" i="11"/>
  <c r="N3907" i="11"/>
  <c r="K3907" i="11"/>
  <c r="I3907" i="11"/>
  <c r="N3906" i="11"/>
  <c r="K3906" i="11"/>
  <c r="I3906" i="11"/>
  <c r="N3905" i="11"/>
  <c r="K3905" i="11"/>
  <c r="I3905" i="11"/>
  <c r="N3904" i="11"/>
  <c r="K3904" i="11"/>
  <c r="I3904" i="11"/>
  <c r="N3903" i="11"/>
  <c r="K3903" i="11"/>
  <c r="I3903" i="11"/>
  <c r="N3902" i="11"/>
  <c r="K3902" i="11"/>
  <c r="I3902" i="11"/>
  <c r="N3901" i="11"/>
  <c r="K3901" i="11"/>
  <c r="I3901" i="11"/>
  <c r="N3900" i="11"/>
  <c r="K3900" i="11"/>
  <c r="I3900" i="11"/>
  <c r="N3899" i="11"/>
  <c r="K3899" i="11"/>
  <c r="I3899" i="11"/>
  <c r="N3898" i="11"/>
  <c r="K3898" i="11"/>
  <c r="I3898" i="11"/>
  <c r="N3897" i="11"/>
  <c r="K3897" i="11"/>
  <c r="I3897" i="11"/>
  <c r="N3896" i="11"/>
  <c r="K3896" i="11"/>
  <c r="I3896" i="11"/>
  <c r="N3895" i="11"/>
  <c r="K3895" i="11"/>
  <c r="I3895" i="11"/>
  <c r="N3894" i="11"/>
  <c r="K3894" i="11"/>
  <c r="I3894" i="11"/>
  <c r="N3893" i="11"/>
  <c r="K3893" i="11"/>
  <c r="I3893" i="11"/>
  <c r="N3892" i="11"/>
  <c r="K3892" i="11"/>
  <c r="I3892" i="11"/>
  <c r="N3891" i="11"/>
  <c r="K3891" i="11"/>
  <c r="I3891" i="11"/>
  <c r="N3890" i="11"/>
  <c r="K3890" i="11"/>
  <c r="I3890" i="11"/>
  <c r="N3889" i="11"/>
  <c r="K3889" i="11"/>
  <c r="I3889" i="11"/>
  <c r="N3888" i="11"/>
  <c r="K3888" i="11"/>
  <c r="I3888" i="11"/>
  <c r="N3887" i="11"/>
  <c r="K3887" i="11"/>
  <c r="I3887" i="11"/>
  <c r="N3886" i="11"/>
  <c r="K3886" i="11"/>
  <c r="I3886" i="11"/>
  <c r="N3885" i="11"/>
  <c r="K3885" i="11"/>
  <c r="I3885" i="11"/>
  <c r="N3884" i="11"/>
  <c r="K3884" i="11"/>
  <c r="I3884" i="11"/>
  <c r="N3883" i="11"/>
  <c r="K3883" i="11"/>
  <c r="I3883" i="11"/>
  <c r="N3882" i="11"/>
  <c r="K3882" i="11"/>
  <c r="I3882" i="11"/>
  <c r="N3881" i="11"/>
  <c r="K3881" i="11"/>
  <c r="I3881" i="11"/>
  <c r="N3880" i="11"/>
  <c r="K3880" i="11"/>
  <c r="I3880" i="11"/>
  <c r="N3879" i="11"/>
  <c r="K3879" i="11"/>
  <c r="I3879" i="11"/>
  <c r="N3878" i="11"/>
  <c r="K3878" i="11"/>
  <c r="I3878" i="11"/>
  <c r="N3877" i="11"/>
  <c r="K3877" i="11"/>
  <c r="I3877" i="11"/>
  <c r="N3876" i="11"/>
  <c r="K3876" i="11"/>
  <c r="I3876" i="11"/>
  <c r="N3875" i="11"/>
  <c r="K3875" i="11"/>
  <c r="I3875" i="11"/>
  <c r="N3874" i="11"/>
  <c r="K3874" i="11"/>
  <c r="I3874" i="11"/>
  <c r="N3873" i="11"/>
  <c r="K3873" i="11"/>
  <c r="I3873" i="11"/>
  <c r="N3872" i="11"/>
  <c r="K3872" i="11"/>
  <c r="I3872" i="11"/>
  <c r="N3871" i="11"/>
  <c r="K3871" i="11"/>
  <c r="I3871" i="11"/>
  <c r="N3870" i="11"/>
  <c r="K3870" i="11"/>
  <c r="I3870" i="11"/>
  <c r="N3869" i="11"/>
  <c r="K3869" i="11"/>
  <c r="I3869" i="11"/>
  <c r="N3868" i="11"/>
  <c r="K3868" i="11"/>
  <c r="I3868" i="11"/>
  <c r="N3867" i="11"/>
  <c r="K3867" i="11"/>
  <c r="I3867" i="11"/>
  <c r="N3866" i="11"/>
  <c r="K3866" i="11"/>
  <c r="I3866" i="11"/>
  <c r="N3865" i="11"/>
  <c r="K3865" i="11"/>
  <c r="I3865" i="11"/>
  <c r="N3864" i="11"/>
  <c r="K3864" i="11"/>
  <c r="I3864" i="11"/>
  <c r="N3863" i="11"/>
  <c r="K3863" i="11"/>
  <c r="I3863" i="11"/>
  <c r="N3862" i="11"/>
  <c r="K3862" i="11"/>
  <c r="I3862" i="11"/>
  <c r="N3861" i="11"/>
  <c r="K3861" i="11"/>
  <c r="I3861" i="11"/>
  <c r="N3860" i="11"/>
  <c r="K3860" i="11"/>
  <c r="I3860" i="11"/>
  <c r="N3859" i="11"/>
  <c r="K3859" i="11"/>
  <c r="I3859" i="11"/>
  <c r="N3858" i="11"/>
  <c r="K3858" i="11"/>
  <c r="I3858" i="11"/>
  <c r="N3857" i="11"/>
  <c r="K3857" i="11"/>
  <c r="I3857" i="11"/>
  <c r="N3856" i="11"/>
  <c r="K3856" i="11"/>
  <c r="I3856" i="11"/>
  <c r="N3855" i="11"/>
  <c r="K3855" i="11"/>
  <c r="I3855" i="11"/>
  <c r="N3854" i="11"/>
  <c r="K3854" i="11"/>
  <c r="I3854" i="11"/>
  <c r="N3853" i="11"/>
  <c r="K3853" i="11"/>
  <c r="I3853" i="11"/>
  <c r="N3852" i="11"/>
  <c r="K3852" i="11"/>
  <c r="I3852" i="11"/>
  <c r="N3851" i="11"/>
  <c r="K3851" i="11"/>
  <c r="I3851" i="11"/>
  <c r="N3850" i="11"/>
  <c r="K3850" i="11"/>
  <c r="I3850" i="11"/>
  <c r="N3849" i="11"/>
  <c r="K3849" i="11"/>
  <c r="I3849" i="11"/>
  <c r="N3848" i="11"/>
  <c r="K3848" i="11"/>
  <c r="I3848" i="11"/>
  <c r="N3847" i="11"/>
  <c r="K3847" i="11"/>
  <c r="I3847" i="11"/>
  <c r="N3846" i="11"/>
  <c r="K3846" i="11"/>
  <c r="I3846" i="11"/>
  <c r="N3845" i="11"/>
  <c r="K3845" i="11"/>
  <c r="I3845" i="11"/>
  <c r="N3844" i="11"/>
  <c r="K3844" i="11"/>
  <c r="I3844" i="11"/>
  <c r="N3843" i="11"/>
  <c r="K3843" i="11"/>
  <c r="I3843" i="11"/>
  <c r="N3842" i="11"/>
  <c r="K3842" i="11"/>
  <c r="I3842" i="11"/>
  <c r="N3841" i="11"/>
  <c r="K3841" i="11"/>
  <c r="I3841" i="11"/>
  <c r="N3840" i="11"/>
  <c r="K3840" i="11"/>
  <c r="I3840" i="11"/>
  <c r="N3839" i="11"/>
  <c r="K3839" i="11"/>
  <c r="I3839" i="11"/>
  <c r="N3838" i="11"/>
  <c r="K3838" i="11"/>
  <c r="I3838" i="11"/>
  <c r="N3837" i="11"/>
  <c r="K3837" i="11"/>
  <c r="I3837" i="11"/>
  <c r="N3836" i="11"/>
  <c r="K3836" i="11"/>
  <c r="I3836" i="11"/>
  <c r="N3835" i="11"/>
  <c r="K3835" i="11"/>
  <c r="I3835" i="11"/>
  <c r="N3834" i="11"/>
  <c r="K3834" i="11"/>
  <c r="I3834" i="11"/>
  <c r="N3833" i="11"/>
  <c r="K3833" i="11"/>
  <c r="I3833" i="11"/>
  <c r="N3832" i="11"/>
  <c r="K3832" i="11"/>
  <c r="I3832" i="11"/>
  <c r="N3831" i="11"/>
  <c r="K3831" i="11"/>
  <c r="I3831" i="11"/>
  <c r="N3830" i="11"/>
  <c r="K3830" i="11"/>
  <c r="I3830" i="11"/>
  <c r="N3829" i="11"/>
  <c r="K3829" i="11"/>
  <c r="I3829" i="11"/>
  <c r="N3828" i="11"/>
  <c r="K3828" i="11"/>
  <c r="I3828" i="11"/>
  <c r="N3827" i="11"/>
  <c r="K3827" i="11"/>
  <c r="I3827" i="11"/>
  <c r="N3826" i="11"/>
  <c r="K3826" i="11"/>
  <c r="I3826" i="11"/>
  <c r="N3825" i="11"/>
  <c r="K3825" i="11"/>
  <c r="I3825" i="11"/>
  <c r="N3824" i="11"/>
  <c r="K3824" i="11"/>
  <c r="I3824" i="11"/>
  <c r="N3823" i="11"/>
  <c r="K3823" i="11"/>
  <c r="I3823" i="11"/>
  <c r="N3822" i="11"/>
  <c r="K3822" i="11"/>
  <c r="I3822" i="11"/>
  <c r="N3821" i="11"/>
  <c r="K3821" i="11"/>
  <c r="I3821" i="11"/>
  <c r="N3820" i="11"/>
  <c r="K3820" i="11"/>
  <c r="I3820" i="11"/>
  <c r="N3819" i="11"/>
  <c r="K3819" i="11"/>
  <c r="I3819" i="11"/>
  <c r="N3818" i="11"/>
  <c r="K3818" i="11"/>
  <c r="I3818" i="11"/>
  <c r="N3817" i="11"/>
  <c r="K3817" i="11"/>
  <c r="I3817" i="11"/>
  <c r="N3816" i="11"/>
  <c r="K3816" i="11"/>
  <c r="I3816" i="11"/>
  <c r="N3815" i="11"/>
  <c r="K3815" i="11"/>
  <c r="I3815" i="11"/>
  <c r="N3814" i="11"/>
  <c r="K3814" i="11"/>
  <c r="I3814" i="11"/>
  <c r="N3813" i="11"/>
  <c r="K3813" i="11"/>
  <c r="I3813" i="11"/>
  <c r="N3812" i="11"/>
  <c r="K3812" i="11"/>
  <c r="I3812" i="11"/>
  <c r="N3811" i="11"/>
  <c r="K3811" i="11"/>
  <c r="I3811" i="11"/>
  <c r="N3810" i="11"/>
  <c r="K3810" i="11"/>
  <c r="I3810" i="11"/>
  <c r="N3809" i="11"/>
  <c r="K3809" i="11"/>
  <c r="I3809" i="11"/>
  <c r="N3808" i="11"/>
  <c r="K3808" i="11"/>
  <c r="I3808" i="11"/>
  <c r="N3807" i="11"/>
  <c r="K3807" i="11"/>
  <c r="I3807" i="11"/>
  <c r="N3806" i="11"/>
  <c r="K3806" i="11"/>
  <c r="I3806" i="11"/>
  <c r="N3805" i="11"/>
  <c r="K3805" i="11"/>
  <c r="I3805" i="11"/>
  <c r="N3804" i="11"/>
  <c r="K3804" i="11"/>
  <c r="I3804" i="11"/>
  <c r="N3803" i="11"/>
  <c r="K3803" i="11"/>
  <c r="I3803" i="11"/>
  <c r="N3802" i="11"/>
  <c r="K3802" i="11"/>
  <c r="I3802" i="11"/>
  <c r="N3801" i="11"/>
  <c r="K3801" i="11"/>
  <c r="I3801" i="11"/>
  <c r="N3800" i="11"/>
  <c r="K3800" i="11"/>
  <c r="I3800" i="11"/>
  <c r="N3799" i="11"/>
  <c r="K3799" i="11"/>
  <c r="I3799" i="11"/>
  <c r="N3798" i="11"/>
  <c r="K3798" i="11"/>
  <c r="I3798" i="11"/>
  <c r="N3797" i="11"/>
  <c r="K3797" i="11"/>
  <c r="I3797" i="11"/>
  <c r="N3796" i="11"/>
  <c r="K3796" i="11"/>
  <c r="I3796" i="11"/>
  <c r="N3795" i="11"/>
  <c r="K3795" i="11"/>
  <c r="I3795" i="11"/>
  <c r="N3794" i="11"/>
  <c r="K3794" i="11"/>
  <c r="I3794" i="11"/>
  <c r="N3793" i="11"/>
  <c r="K3793" i="11"/>
  <c r="I3793" i="11"/>
  <c r="N3792" i="11"/>
  <c r="K3792" i="11"/>
  <c r="I3792" i="11"/>
  <c r="N3791" i="11"/>
  <c r="K3791" i="11"/>
  <c r="I3791" i="11"/>
  <c r="N3790" i="11"/>
  <c r="K3790" i="11"/>
  <c r="I3790" i="11"/>
  <c r="N3789" i="11"/>
  <c r="K3789" i="11"/>
  <c r="I3789" i="11"/>
  <c r="N3788" i="11"/>
  <c r="K3788" i="11"/>
  <c r="I3788" i="11"/>
  <c r="N3787" i="11"/>
  <c r="K3787" i="11"/>
  <c r="I3787" i="11"/>
  <c r="N3786" i="11"/>
  <c r="K3786" i="11"/>
  <c r="I3786" i="11"/>
  <c r="N3785" i="11"/>
  <c r="K3785" i="11"/>
  <c r="I3785" i="11"/>
  <c r="N3784" i="11"/>
  <c r="K3784" i="11"/>
  <c r="I3784" i="11"/>
  <c r="N3783" i="11"/>
  <c r="K3783" i="11"/>
  <c r="I3783" i="11"/>
  <c r="N3782" i="11"/>
  <c r="K3782" i="11"/>
  <c r="I3782" i="11"/>
  <c r="N3781" i="11"/>
  <c r="K3781" i="11"/>
  <c r="I3781" i="11"/>
  <c r="N3780" i="11"/>
  <c r="K3780" i="11"/>
  <c r="I3780" i="11"/>
  <c r="N3779" i="11"/>
  <c r="K3779" i="11"/>
  <c r="I3779" i="11"/>
  <c r="N3778" i="11"/>
  <c r="K3778" i="11"/>
  <c r="I3778" i="11"/>
  <c r="N3777" i="11"/>
  <c r="K3777" i="11"/>
  <c r="I3777" i="11"/>
  <c r="N3776" i="11"/>
  <c r="K3776" i="11"/>
  <c r="I3776" i="11"/>
  <c r="N3775" i="11"/>
  <c r="K3775" i="11"/>
  <c r="I3775" i="11"/>
  <c r="N3774" i="11"/>
  <c r="K3774" i="11"/>
  <c r="I3774" i="11"/>
  <c r="N3773" i="11"/>
  <c r="K3773" i="11"/>
  <c r="I3773" i="11"/>
  <c r="N3772" i="11"/>
  <c r="K3772" i="11"/>
  <c r="I3772" i="11"/>
  <c r="N3771" i="11"/>
  <c r="K3771" i="11"/>
  <c r="I3771" i="11"/>
  <c r="N3770" i="11"/>
  <c r="K3770" i="11"/>
  <c r="I3770" i="11"/>
  <c r="N3769" i="11"/>
  <c r="K3769" i="11"/>
  <c r="I3769" i="11"/>
  <c r="N3768" i="11"/>
  <c r="K3768" i="11"/>
  <c r="I3768" i="11"/>
  <c r="N3767" i="11"/>
  <c r="K3767" i="11"/>
  <c r="I3767" i="11"/>
  <c r="N3766" i="11"/>
  <c r="K3766" i="11"/>
  <c r="I3766" i="11"/>
  <c r="N3765" i="11"/>
  <c r="K3765" i="11"/>
  <c r="I3765" i="11"/>
  <c r="N3764" i="11"/>
  <c r="K3764" i="11"/>
  <c r="I3764" i="11"/>
  <c r="N3763" i="11"/>
  <c r="K3763" i="11"/>
  <c r="I3763" i="11"/>
  <c r="N3762" i="11"/>
  <c r="K3762" i="11"/>
  <c r="I3762" i="11"/>
  <c r="N3761" i="11"/>
  <c r="K3761" i="11"/>
  <c r="I3761" i="11"/>
  <c r="N3760" i="11"/>
  <c r="K3760" i="11"/>
  <c r="I3760" i="11"/>
  <c r="N3759" i="11"/>
  <c r="K3759" i="11"/>
  <c r="I3759" i="11"/>
  <c r="N3758" i="11"/>
  <c r="K3758" i="11"/>
  <c r="I3758" i="11"/>
  <c r="N3757" i="11"/>
  <c r="K3757" i="11"/>
  <c r="I3757" i="11"/>
  <c r="N3756" i="11"/>
  <c r="K3756" i="11"/>
  <c r="I3756" i="11"/>
  <c r="N3755" i="11"/>
  <c r="K3755" i="11"/>
  <c r="I3755" i="11"/>
  <c r="N3754" i="11"/>
  <c r="K3754" i="11"/>
  <c r="I3754" i="11"/>
  <c r="N3753" i="11"/>
  <c r="K3753" i="11"/>
  <c r="I3753" i="11"/>
  <c r="N3752" i="11"/>
  <c r="K3752" i="11"/>
  <c r="I3752" i="11"/>
  <c r="N3751" i="11"/>
  <c r="K3751" i="11"/>
  <c r="I3751" i="11"/>
  <c r="N3750" i="11"/>
  <c r="K3750" i="11"/>
  <c r="I3750" i="11"/>
  <c r="N3749" i="11"/>
  <c r="K3749" i="11"/>
  <c r="I3749" i="11"/>
  <c r="N3748" i="11"/>
  <c r="K3748" i="11"/>
  <c r="I3748" i="11"/>
  <c r="N3747" i="11"/>
  <c r="K3747" i="11"/>
  <c r="I3747" i="11"/>
  <c r="N3746" i="11"/>
  <c r="K3746" i="11"/>
  <c r="I3746" i="11"/>
  <c r="N3745" i="11"/>
  <c r="K3745" i="11"/>
  <c r="I3745" i="11"/>
  <c r="N3744" i="11"/>
  <c r="K3744" i="11"/>
  <c r="I3744" i="11"/>
  <c r="N3743" i="11"/>
  <c r="K3743" i="11"/>
  <c r="I3743" i="11"/>
  <c r="N3742" i="11"/>
  <c r="K3742" i="11"/>
  <c r="I3742" i="11"/>
  <c r="N3741" i="11"/>
  <c r="K3741" i="11"/>
  <c r="I3741" i="11"/>
  <c r="N3740" i="11"/>
  <c r="K3740" i="11"/>
  <c r="I3740" i="11"/>
  <c r="N3739" i="11"/>
  <c r="K3739" i="11"/>
  <c r="I3739" i="11"/>
  <c r="N3738" i="11"/>
  <c r="K3738" i="11"/>
  <c r="I3738" i="11"/>
  <c r="N3737" i="11"/>
  <c r="K3737" i="11"/>
  <c r="I3737" i="11"/>
  <c r="N3736" i="11"/>
  <c r="K3736" i="11"/>
  <c r="I3736" i="11"/>
  <c r="N3735" i="11"/>
  <c r="K3735" i="11"/>
  <c r="I3735" i="11"/>
  <c r="N3734" i="11"/>
  <c r="K3734" i="11"/>
  <c r="I3734" i="11"/>
  <c r="N3733" i="11"/>
  <c r="K3733" i="11"/>
  <c r="I3733" i="11"/>
  <c r="N3732" i="11"/>
  <c r="K3732" i="11"/>
  <c r="I3732" i="11"/>
  <c r="N3731" i="11"/>
  <c r="K3731" i="11"/>
  <c r="I3731" i="11"/>
  <c r="N3730" i="11"/>
  <c r="K3730" i="11"/>
  <c r="I3730" i="11"/>
  <c r="N3729" i="11"/>
  <c r="K3729" i="11"/>
  <c r="I3729" i="11"/>
  <c r="N3728" i="11"/>
  <c r="K3728" i="11"/>
  <c r="I3728" i="11"/>
  <c r="N3727" i="11"/>
  <c r="K3727" i="11"/>
  <c r="I3727" i="11"/>
  <c r="N3726" i="11"/>
  <c r="K3726" i="11"/>
  <c r="I3726" i="11"/>
  <c r="N3725" i="11"/>
  <c r="K3725" i="11"/>
  <c r="I3725" i="11"/>
  <c r="N3724" i="11"/>
  <c r="K3724" i="11"/>
  <c r="I3724" i="11"/>
  <c r="N3723" i="11"/>
  <c r="K3723" i="11"/>
  <c r="I3723" i="11"/>
  <c r="N3722" i="11"/>
  <c r="K3722" i="11"/>
  <c r="I3722" i="11"/>
  <c r="N3721" i="11"/>
  <c r="K3721" i="11"/>
  <c r="I3721" i="11"/>
  <c r="N3720" i="11"/>
  <c r="K3720" i="11"/>
  <c r="I3720" i="11"/>
  <c r="N3719" i="11"/>
  <c r="K3719" i="11"/>
  <c r="I3719" i="11"/>
  <c r="N3718" i="11"/>
  <c r="K3718" i="11"/>
  <c r="I3718" i="11"/>
  <c r="N3717" i="11"/>
  <c r="K3717" i="11"/>
  <c r="I3717" i="11"/>
  <c r="N3716" i="11"/>
  <c r="K3716" i="11"/>
  <c r="I3716" i="11"/>
  <c r="N3715" i="11"/>
  <c r="K3715" i="11"/>
  <c r="I3715" i="11"/>
  <c r="N3714" i="11"/>
  <c r="K3714" i="11"/>
  <c r="I3714" i="11"/>
  <c r="N3713" i="11"/>
  <c r="K3713" i="11"/>
  <c r="I3713" i="11"/>
  <c r="N3712" i="11"/>
  <c r="K3712" i="11"/>
  <c r="I3712" i="11"/>
  <c r="N3711" i="11"/>
  <c r="K3711" i="11"/>
  <c r="I3711" i="11"/>
  <c r="N3710" i="11"/>
  <c r="K3710" i="11"/>
  <c r="I3710" i="11"/>
  <c r="N3709" i="11"/>
  <c r="K3709" i="11"/>
  <c r="I3709" i="11"/>
  <c r="N3708" i="11"/>
  <c r="K3708" i="11"/>
  <c r="I3708" i="11"/>
  <c r="N3707" i="11"/>
  <c r="K3707" i="11"/>
  <c r="I3707" i="11"/>
  <c r="N3706" i="11"/>
  <c r="K3706" i="11"/>
  <c r="I3706" i="11"/>
  <c r="N3705" i="11"/>
  <c r="K3705" i="11"/>
  <c r="I3705" i="11"/>
  <c r="N3704" i="11"/>
  <c r="K3704" i="11"/>
  <c r="I3704" i="11"/>
  <c r="N3703" i="11"/>
  <c r="K3703" i="11"/>
  <c r="I3703" i="11"/>
  <c r="N3702" i="11"/>
  <c r="K3702" i="11"/>
  <c r="I3702" i="11"/>
  <c r="N3701" i="11"/>
  <c r="K3701" i="11"/>
  <c r="I3701" i="11"/>
  <c r="N3700" i="11"/>
  <c r="K3700" i="11"/>
  <c r="I3700" i="11"/>
  <c r="N3699" i="11"/>
  <c r="K3699" i="11"/>
  <c r="I3699" i="11"/>
  <c r="N3698" i="11"/>
  <c r="K3698" i="11"/>
  <c r="I3698" i="11"/>
  <c r="N3697" i="11"/>
  <c r="K3697" i="11"/>
  <c r="I3697" i="11"/>
  <c r="N3696" i="11"/>
  <c r="K3696" i="11"/>
  <c r="I3696" i="11"/>
  <c r="N3695" i="11"/>
  <c r="K3695" i="11"/>
  <c r="I3695" i="11"/>
  <c r="N3694" i="11"/>
  <c r="K3694" i="11"/>
  <c r="I3694" i="11"/>
  <c r="N3693" i="11"/>
  <c r="K3693" i="11"/>
  <c r="I3693" i="11"/>
  <c r="N3692" i="11"/>
  <c r="K3692" i="11"/>
  <c r="I3692" i="11"/>
  <c r="N3691" i="11"/>
  <c r="K3691" i="11"/>
  <c r="I3691" i="11"/>
  <c r="N3690" i="11"/>
  <c r="K3690" i="11"/>
  <c r="I3690" i="11"/>
  <c r="N3689" i="11"/>
  <c r="K3689" i="11"/>
  <c r="I3689" i="11"/>
  <c r="N3688" i="11"/>
  <c r="K3688" i="11"/>
  <c r="I3688" i="11"/>
  <c r="N3687" i="11"/>
  <c r="K3687" i="11"/>
  <c r="I3687" i="11"/>
  <c r="N3686" i="11"/>
  <c r="K3686" i="11"/>
  <c r="I3686" i="11"/>
  <c r="N3685" i="11"/>
  <c r="K3685" i="11"/>
  <c r="I3685" i="11"/>
  <c r="N3684" i="11"/>
  <c r="K3684" i="11"/>
  <c r="I3684" i="11"/>
  <c r="N3683" i="11"/>
  <c r="K3683" i="11"/>
  <c r="I3683" i="11"/>
  <c r="N3682" i="11"/>
  <c r="K3682" i="11"/>
  <c r="I3682" i="11"/>
  <c r="N3681" i="11"/>
  <c r="K3681" i="11"/>
  <c r="I3681" i="11"/>
  <c r="N3680" i="11"/>
  <c r="K3680" i="11"/>
  <c r="I3680" i="11"/>
  <c r="N3679" i="11"/>
  <c r="K3679" i="11"/>
  <c r="I3679" i="11"/>
  <c r="N3678" i="11"/>
  <c r="K3678" i="11"/>
  <c r="I3678" i="11"/>
  <c r="N3677" i="11"/>
  <c r="K3677" i="11"/>
  <c r="I3677" i="11"/>
  <c r="N3676" i="11"/>
  <c r="K3676" i="11"/>
  <c r="I3676" i="11"/>
  <c r="N3675" i="11"/>
  <c r="K3675" i="11"/>
  <c r="I3675" i="11"/>
  <c r="N3674" i="11"/>
  <c r="K3674" i="11"/>
  <c r="I3674" i="11"/>
  <c r="N3673" i="11"/>
  <c r="K3673" i="11"/>
  <c r="I3673" i="11"/>
  <c r="N3672" i="11"/>
  <c r="K3672" i="11"/>
  <c r="I3672" i="11"/>
  <c r="N3671" i="11"/>
  <c r="K3671" i="11"/>
  <c r="I3671" i="11"/>
  <c r="N3670" i="11"/>
  <c r="K3670" i="11"/>
  <c r="I3670" i="11"/>
  <c r="N3669" i="11"/>
  <c r="K3669" i="11"/>
  <c r="I3669" i="11"/>
  <c r="N3668" i="11"/>
  <c r="K3668" i="11"/>
  <c r="I3668" i="11"/>
  <c r="N3667" i="11"/>
  <c r="K3667" i="11"/>
  <c r="I3667" i="11"/>
  <c r="N3666" i="11"/>
  <c r="K3666" i="11"/>
  <c r="I3666" i="11"/>
  <c r="N3665" i="11"/>
  <c r="K3665" i="11"/>
  <c r="I3665" i="11"/>
  <c r="N3664" i="11"/>
  <c r="K3664" i="11"/>
  <c r="I3664" i="11"/>
  <c r="N3663" i="11"/>
  <c r="K3663" i="11"/>
  <c r="I3663" i="11"/>
  <c r="N3662" i="11"/>
  <c r="K3662" i="11"/>
  <c r="I3662" i="11"/>
  <c r="N3661" i="11"/>
  <c r="K3661" i="11"/>
  <c r="I3661" i="11"/>
  <c r="N3660" i="11"/>
  <c r="K3660" i="11"/>
  <c r="I3660" i="11"/>
  <c r="N3659" i="11"/>
  <c r="K3659" i="11"/>
  <c r="I3659" i="11"/>
  <c r="N3658" i="11"/>
  <c r="K3658" i="11"/>
  <c r="I3658" i="11"/>
  <c r="N3657" i="11"/>
  <c r="K3657" i="11"/>
  <c r="I3657" i="11"/>
  <c r="N3656" i="11"/>
  <c r="K3656" i="11"/>
  <c r="I3656" i="11"/>
  <c r="N3655" i="11"/>
  <c r="K3655" i="11"/>
  <c r="I3655" i="11"/>
  <c r="N3654" i="11"/>
  <c r="K3654" i="11"/>
  <c r="I3654" i="11"/>
  <c r="N3653" i="11"/>
  <c r="K3653" i="11"/>
  <c r="I3653" i="11"/>
  <c r="N3652" i="11"/>
  <c r="K3652" i="11"/>
  <c r="I3652" i="11"/>
  <c r="N3651" i="11"/>
  <c r="K3651" i="11"/>
  <c r="I3651" i="11"/>
  <c r="N3650" i="11"/>
  <c r="K3650" i="11"/>
  <c r="I3650" i="11"/>
  <c r="N3649" i="11"/>
  <c r="K3649" i="11"/>
  <c r="I3649" i="11"/>
  <c r="N3648" i="11"/>
  <c r="K3648" i="11"/>
  <c r="I3648" i="11"/>
  <c r="N3647" i="11"/>
  <c r="K3647" i="11"/>
  <c r="I3647" i="11"/>
  <c r="N3646" i="11"/>
  <c r="K3646" i="11"/>
  <c r="I3646" i="11"/>
  <c r="N3645" i="11"/>
  <c r="K3645" i="11"/>
  <c r="I3645" i="11"/>
  <c r="N3644" i="11"/>
  <c r="K3644" i="11"/>
  <c r="I3644" i="11"/>
  <c r="N3643" i="11"/>
  <c r="K3643" i="11"/>
  <c r="I3643" i="11"/>
  <c r="N3642" i="11"/>
  <c r="K3642" i="11"/>
  <c r="I3642" i="11"/>
  <c r="N3641" i="11"/>
  <c r="K3641" i="11"/>
  <c r="I3641" i="11"/>
  <c r="N3640" i="11"/>
  <c r="K3640" i="11"/>
  <c r="I3640" i="11"/>
  <c r="N3639" i="11"/>
  <c r="K3639" i="11"/>
  <c r="I3639" i="11"/>
  <c r="N3638" i="11"/>
  <c r="K3638" i="11"/>
  <c r="I3638" i="11"/>
  <c r="N3637" i="11"/>
  <c r="K3637" i="11"/>
  <c r="I3637" i="11"/>
  <c r="N3636" i="11"/>
  <c r="K3636" i="11"/>
  <c r="I3636" i="11"/>
  <c r="N3635" i="11"/>
  <c r="K3635" i="11"/>
  <c r="I3635" i="11"/>
  <c r="N3634" i="11"/>
  <c r="K3634" i="11"/>
  <c r="I3634" i="11"/>
  <c r="N3633" i="11"/>
  <c r="K3633" i="11"/>
  <c r="I3633" i="11"/>
  <c r="N3632" i="11"/>
  <c r="K3632" i="11"/>
  <c r="I3632" i="11"/>
  <c r="N3631" i="11"/>
  <c r="K3631" i="11"/>
  <c r="I3631" i="11"/>
  <c r="N3630" i="11"/>
  <c r="K3630" i="11"/>
  <c r="I3630" i="11"/>
  <c r="N3629" i="11"/>
  <c r="K3629" i="11"/>
  <c r="I3629" i="11"/>
  <c r="N3628" i="11"/>
  <c r="K3628" i="11"/>
  <c r="I3628" i="11"/>
  <c r="N3627" i="11"/>
  <c r="K3627" i="11"/>
  <c r="I3627" i="11"/>
  <c r="N3626" i="11"/>
  <c r="K3626" i="11"/>
  <c r="I3626" i="11"/>
  <c r="N3625" i="11"/>
  <c r="K3625" i="11"/>
  <c r="I3625" i="11"/>
  <c r="N3624" i="11"/>
  <c r="K3624" i="11"/>
  <c r="I3624" i="11"/>
  <c r="N3623" i="11"/>
  <c r="K3623" i="11"/>
  <c r="I3623" i="11"/>
  <c r="N3622" i="11"/>
  <c r="K3622" i="11"/>
  <c r="I3622" i="11"/>
  <c r="N3621" i="11"/>
  <c r="K3621" i="11"/>
  <c r="I3621" i="11"/>
  <c r="N3620" i="11"/>
  <c r="K3620" i="11"/>
  <c r="I3620" i="11"/>
  <c r="N3619" i="11"/>
  <c r="K3619" i="11"/>
  <c r="I3619" i="11"/>
  <c r="N3618" i="11"/>
  <c r="K3618" i="11"/>
  <c r="I3618" i="11"/>
  <c r="N3617" i="11"/>
  <c r="K3617" i="11"/>
  <c r="I3617" i="11"/>
  <c r="N3616" i="11"/>
  <c r="K3616" i="11"/>
  <c r="I3616" i="11"/>
  <c r="N3615" i="11"/>
  <c r="K3615" i="11"/>
  <c r="I3615" i="11"/>
  <c r="N3614" i="11"/>
  <c r="K3614" i="11"/>
  <c r="I3614" i="11"/>
  <c r="N3613" i="11"/>
  <c r="K3613" i="11"/>
  <c r="I3613" i="11"/>
  <c r="N3612" i="11"/>
  <c r="K3612" i="11"/>
  <c r="I3612" i="11"/>
  <c r="N3611" i="11"/>
  <c r="K3611" i="11"/>
  <c r="I3611" i="11"/>
  <c r="N3610" i="11"/>
  <c r="K3610" i="11"/>
  <c r="I3610" i="11"/>
  <c r="N3609" i="11"/>
  <c r="K3609" i="11"/>
  <c r="I3609" i="11"/>
  <c r="N3608" i="11"/>
  <c r="K3608" i="11"/>
  <c r="I3608" i="11"/>
  <c r="N3607" i="11"/>
  <c r="K3607" i="11"/>
  <c r="I3607" i="11"/>
  <c r="N3606" i="11"/>
  <c r="K3606" i="11"/>
  <c r="I3606" i="11"/>
  <c r="N3605" i="11"/>
  <c r="K3605" i="11"/>
  <c r="I3605" i="11"/>
  <c r="N3604" i="11"/>
  <c r="K3604" i="11"/>
  <c r="I3604" i="11"/>
  <c r="N3603" i="11"/>
  <c r="K3603" i="11"/>
  <c r="I3603" i="11"/>
  <c r="N3602" i="11"/>
  <c r="K3602" i="11"/>
  <c r="I3602" i="11"/>
  <c r="N3601" i="11"/>
  <c r="K3601" i="11"/>
  <c r="I3601" i="11"/>
  <c r="N3600" i="11"/>
  <c r="K3600" i="11"/>
  <c r="I3600" i="11"/>
  <c r="N3599" i="11"/>
  <c r="K3599" i="11"/>
  <c r="I3599" i="11"/>
  <c r="N3598" i="11"/>
  <c r="K3598" i="11"/>
  <c r="I3598" i="11"/>
  <c r="N3597" i="11"/>
  <c r="K3597" i="11"/>
  <c r="I3597" i="11"/>
  <c r="N3596" i="11"/>
  <c r="K3596" i="11"/>
  <c r="I3596" i="11"/>
  <c r="N3595" i="11"/>
  <c r="K3595" i="11"/>
  <c r="I3595" i="11"/>
  <c r="N3594" i="11"/>
  <c r="K3594" i="11"/>
  <c r="I3594" i="11"/>
  <c r="N3593" i="11"/>
  <c r="K3593" i="11"/>
  <c r="I3593" i="11"/>
  <c r="N3592" i="11"/>
  <c r="K3592" i="11"/>
  <c r="I3592" i="11"/>
  <c r="N3591" i="11"/>
  <c r="K3591" i="11"/>
  <c r="I3591" i="11"/>
  <c r="N3590" i="11"/>
  <c r="K3590" i="11"/>
  <c r="I3590" i="11"/>
  <c r="N3589" i="11"/>
  <c r="K3589" i="11"/>
  <c r="I3589" i="11"/>
  <c r="N3588" i="11"/>
  <c r="K3588" i="11"/>
  <c r="I3588" i="11"/>
  <c r="N3587" i="11"/>
  <c r="K3587" i="11"/>
  <c r="I3587" i="11"/>
  <c r="N3586" i="11"/>
  <c r="K3586" i="11"/>
  <c r="I3586" i="11"/>
  <c r="N3585" i="11"/>
  <c r="K3585" i="11"/>
  <c r="I3585" i="11"/>
  <c r="N3584" i="11"/>
  <c r="K3584" i="11"/>
  <c r="I3584" i="11"/>
  <c r="N3583" i="11"/>
  <c r="K3583" i="11"/>
  <c r="I3583" i="11"/>
  <c r="N3582" i="11"/>
  <c r="K3582" i="11"/>
  <c r="I3582" i="11"/>
  <c r="N3581" i="11"/>
  <c r="K3581" i="11"/>
  <c r="I3581" i="11"/>
  <c r="N3580" i="11"/>
  <c r="K3580" i="11"/>
  <c r="I3580" i="11"/>
  <c r="N3579" i="11"/>
  <c r="K3579" i="11"/>
  <c r="I3579" i="11"/>
  <c r="N3578" i="11"/>
  <c r="K3578" i="11"/>
  <c r="I3578" i="11"/>
  <c r="N3577" i="11"/>
  <c r="K3577" i="11"/>
  <c r="I3577" i="11"/>
  <c r="N3576" i="11"/>
  <c r="K3576" i="11"/>
  <c r="I3576" i="11"/>
  <c r="N3575" i="11"/>
  <c r="K3575" i="11"/>
  <c r="I3575" i="11"/>
  <c r="N3574" i="11"/>
  <c r="K3574" i="11"/>
  <c r="I3574" i="11"/>
  <c r="N3573" i="11"/>
  <c r="K3573" i="11"/>
  <c r="I3573" i="11"/>
  <c r="N3572" i="11"/>
  <c r="K3572" i="11"/>
  <c r="I3572" i="11"/>
  <c r="N3571" i="11"/>
  <c r="K3571" i="11"/>
  <c r="I3571" i="11"/>
  <c r="N3570" i="11"/>
  <c r="K3570" i="11"/>
  <c r="I3570" i="11"/>
  <c r="N3569" i="11"/>
  <c r="K3569" i="11"/>
  <c r="I3569" i="11"/>
  <c r="N3568" i="11"/>
  <c r="K3568" i="11"/>
  <c r="I3568" i="11"/>
  <c r="N3567" i="11"/>
  <c r="K3567" i="11"/>
  <c r="I3567" i="11"/>
  <c r="N3566" i="11"/>
  <c r="K3566" i="11"/>
  <c r="I3566" i="11"/>
  <c r="N3565" i="11"/>
  <c r="K3565" i="11"/>
  <c r="I3565" i="11"/>
  <c r="N3564" i="11"/>
  <c r="K3564" i="11"/>
  <c r="I3564" i="11"/>
  <c r="N3563" i="11"/>
  <c r="K3563" i="11"/>
  <c r="I3563" i="11"/>
  <c r="N3562" i="11"/>
  <c r="K3562" i="11"/>
  <c r="I3562" i="11"/>
  <c r="N3561" i="11"/>
  <c r="K3561" i="11"/>
  <c r="I3561" i="11"/>
  <c r="N3560" i="11"/>
  <c r="K3560" i="11"/>
  <c r="I3560" i="11"/>
  <c r="N3559" i="11"/>
  <c r="K3559" i="11"/>
  <c r="I3559" i="11"/>
  <c r="N3558" i="11"/>
  <c r="K3558" i="11"/>
  <c r="I3558" i="11"/>
  <c r="N3557" i="11"/>
  <c r="K3557" i="11"/>
  <c r="I3557" i="11"/>
  <c r="N3556" i="11"/>
  <c r="K3556" i="11"/>
  <c r="I3556" i="11"/>
  <c r="N3555" i="11"/>
  <c r="K3555" i="11"/>
  <c r="I3555" i="11"/>
  <c r="N3554" i="11"/>
  <c r="K3554" i="11"/>
  <c r="I3554" i="11"/>
  <c r="N3553" i="11"/>
  <c r="K3553" i="11"/>
  <c r="I3553" i="11"/>
  <c r="N3552" i="11"/>
  <c r="K3552" i="11"/>
  <c r="I3552" i="11"/>
  <c r="N3551" i="11"/>
  <c r="K3551" i="11"/>
  <c r="I3551" i="11"/>
  <c r="N3550" i="11"/>
  <c r="K3550" i="11"/>
  <c r="I3550" i="11"/>
  <c r="N3549" i="11"/>
  <c r="K3549" i="11"/>
  <c r="I3549" i="11"/>
  <c r="N3548" i="11"/>
  <c r="K3548" i="11"/>
  <c r="I3548" i="11"/>
  <c r="N3547" i="11"/>
  <c r="K3547" i="11"/>
  <c r="I3547" i="11"/>
  <c r="N3546" i="11"/>
  <c r="K3546" i="11"/>
  <c r="I3546" i="11"/>
  <c r="N3545" i="11"/>
  <c r="K3545" i="11"/>
  <c r="I3545" i="11"/>
  <c r="N3544" i="11"/>
  <c r="K3544" i="11"/>
  <c r="I3544" i="11"/>
  <c r="N3543" i="11"/>
  <c r="K3543" i="11"/>
  <c r="I3543" i="11"/>
  <c r="N3542" i="11"/>
  <c r="K3542" i="11"/>
  <c r="I3542" i="11"/>
  <c r="N3541" i="11"/>
  <c r="K3541" i="11"/>
  <c r="I3541" i="11"/>
  <c r="N3540" i="11"/>
  <c r="K3540" i="11"/>
  <c r="I3540" i="11"/>
  <c r="N3539" i="11"/>
  <c r="K3539" i="11"/>
  <c r="I3539" i="11"/>
  <c r="N3538" i="11"/>
  <c r="K3538" i="11"/>
  <c r="I3538" i="11"/>
  <c r="N3537" i="11"/>
  <c r="K3537" i="11"/>
  <c r="I3537" i="11"/>
  <c r="N3536" i="11"/>
  <c r="K3536" i="11"/>
  <c r="I3536" i="11"/>
  <c r="N3535" i="11"/>
  <c r="K3535" i="11"/>
  <c r="I3535" i="11"/>
  <c r="N3534" i="11"/>
  <c r="K3534" i="11"/>
  <c r="I3534" i="11"/>
  <c r="N3533" i="11"/>
  <c r="K3533" i="11"/>
  <c r="I3533" i="11"/>
  <c r="N3532" i="11"/>
  <c r="K3532" i="11"/>
  <c r="I3532" i="11"/>
  <c r="N3531" i="11"/>
  <c r="K3531" i="11"/>
  <c r="I3531" i="11"/>
  <c r="N3530" i="11"/>
  <c r="K3530" i="11"/>
  <c r="I3530" i="11"/>
  <c r="N3529" i="11"/>
  <c r="K3529" i="11"/>
  <c r="I3529" i="11"/>
  <c r="N3528" i="11"/>
  <c r="K3528" i="11"/>
  <c r="I3528" i="11"/>
  <c r="N3527" i="11"/>
  <c r="K3527" i="11"/>
  <c r="I3527" i="11"/>
  <c r="N3526" i="11"/>
  <c r="K3526" i="11"/>
  <c r="I3526" i="11"/>
  <c r="N3525" i="11"/>
  <c r="K3525" i="11"/>
  <c r="I3525" i="11"/>
  <c r="N3524" i="11"/>
  <c r="K3524" i="11"/>
  <c r="I3524" i="11"/>
  <c r="N3523" i="11"/>
  <c r="K3523" i="11"/>
  <c r="I3523" i="11"/>
  <c r="N3522" i="11"/>
  <c r="K3522" i="11"/>
  <c r="I3522" i="11"/>
  <c r="N3521" i="11"/>
  <c r="K3521" i="11"/>
  <c r="I3521" i="11"/>
  <c r="N3520" i="11"/>
  <c r="K3520" i="11"/>
  <c r="I3520" i="11"/>
  <c r="N3519" i="11"/>
  <c r="K3519" i="11"/>
  <c r="I3519" i="11"/>
  <c r="N3518" i="11"/>
  <c r="K3518" i="11"/>
  <c r="I3518" i="11"/>
  <c r="N3517" i="11"/>
  <c r="K3517" i="11"/>
  <c r="I3517" i="11"/>
  <c r="N3516" i="11"/>
  <c r="K3516" i="11"/>
  <c r="I3516" i="11"/>
  <c r="N3515" i="11"/>
  <c r="K3515" i="11"/>
  <c r="I3515" i="11"/>
  <c r="N3514" i="11"/>
  <c r="K3514" i="11"/>
  <c r="I3514" i="11"/>
  <c r="N3513" i="11"/>
  <c r="K3513" i="11"/>
  <c r="I3513" i="11"/>
  <c r="N3512" i="11"/>
  <c r="K3512" i="11"/>
  <c r="I3512" i="11"/>
  <c r="N3511" i="11"/>
  <c r="K3511" i="11"/>
  <c r="I3511" i="11"/>
  <c r="N3510" i="11"/>
  <c r="K3510" i="11"/>
  <c r="I3510" i="11"/>
  <c r="N3509" i="11"/>
  <c r="K3509" i="11"/>
  <c r="I3509" i="11"/>
  <c r="N3508" i="11"/>
  <c r="K3508" i="11"/>
  <c r="I3508" i="11"/>
  <c r="N3507" i="11"/>
  <c r="K3507" i="11"/>
  <c r="I3507" i="11"/>
  <c r="N3506" i="11"/>
  <c r="K3506" i="11"/>
  <c r="I3506" i="11"/>
  <c r="N3505" i="11"/>
  <c r="K3505" i="11"/>
  <c r="I3505" i="11"/>
  <c r="N3504" i="11"/>
  <c r="K3504" i="11"/>
  <c r="I3504" i="11"/>
  <c r="N3503" i="11"/>
  <c r="K3503" i="11"/>
  <c r="I3503" i="11"/>
  <c r="N3502" i="11"/>
  <c r="K3502" i="11"/>
  <c r="I3502" i="11"/>
  <c r="N3501" i="11"/>
  <c r="K3501" i="11"/>
  <c r="I3501" i="11"/>
  <c r="N3500" i="11"/>
  <c r="K3500" i="11"/>
  <c r="I3500" i="11"/>
  <c r="N3499" i="11"/>
  <c r="K3499" i="11"/>
  <c r="I3499" i="11"/>
  <c r="N3498" i="11"/>
  <c r="K3498" i="11"/>
  <c r="I3498" i="11"/>
  <c r="N3497" i="11"/>
  <c r="K3497" i="11"/>
  <c r="I3497" i="11"/>
  <c r="N3496" i="11"/>
  <c r="K3496" i="11"/>
  <c r="I3496" i="11"/>
  <c r="N3495" i="11"/>
  <c r="K3495" i="11"/>
  <c r="I3495" i="11"/>
  <c r="N3494" i="11"/>
  <c r="K3494" i="11"/>
  <c r="I3494" i="11"/>
  <c r="N3493" i="11"/>
  <c r="K3493" i="11"/>
  <c r="I3493" i="11"/>
  <c r="N3492" i="11"/>
  <c r="K3492" i="11"/>
  <c r="I3492" i="11"/>
  <c r="N3491" i="11"/>
  <c r="K3491" i="11"/>
  <c r="I3491" i="11"/>
  <c r="N3490" i="11"/>
  <c r="K3490" i="11"/>
  <c r="I3490" i="11"/>
  <c r="N3489" i="11"/>
  <c r="K3489" i="11"/>
  <c r="I3489" i="11"/>
  <c r="N3488" i="11"/>
  <c r="K3488" i="11"/>
  <c r="I3488" i="11"/>
  <c r="N3487" i="11"/>
  <c r="K3487" i="11"/>
  <c r="I3487" i="11"/>
  <c r="N3486" i="11"/>
  <c r="K3486" i="11"/>
  <c r="I3486" i="11"/>
  <c r="N3485" i="11"/>
  <c r="K3485" i="11"/>
  <c r="I3485" i="11"/>
  <c r="N3484" i="11"/>
  <c r="K3484" i="11"/>
  <c r="I3484" i="11"/>
  <c r="N3483" i="11"/>
  <c r="K3483" i="11"/>
  <c r="I3483" i="11"/>
  <c r="N3482" i="11"/>
  <c r="K3482" i="11"/>
  <c r="I3482" i="11"/>
  <c r="N3481" i="11"/>
  <c r="K3481" i="11"/>
  <c r="I3481" i="11"/>
  <c r="N3480" i="11"/>
  <c r="K3480" i="11"/>
  <c r="I3480" i="11"/>
  <c r="N3479" i="11"/>
  <c r="K3479" i="11"/>
  <c r="I3479" i="11"/>
  <c r="N3478" i="11"/>
  <c r="K3478" i="11"/>
  <c r="I3478" i="11"/>
  <c r="N3477" i="11"/>
  <c r="K3477" i="11"/>
  <c r="I3477" i="11"/>
  <c r="N3476" i="11"/>
  <c r="K3476" i="11"/>
  <c r="I3476" i="11"/>
  <c r="N3475" i="11"/>
  <c r="K3475" i="11"/>
  <c r="I3475" i="11"/>
  <c r="N3474" i="11"/>
  <c r="K3474" i="11"/>
  <c r="I3474" i="11"/>
  <c r="N3473" i="11"/>
  <c r="K3473" i="11"/>
  <c r="I3473" i="11"/>
  <c r="N3472" i="11"/>
  <c r="K3472" i="11"/>
  <c r="I3472" i="11"/>
  <c r="N3471" i="11"/>
  <c r="K3471" i="11"/>
  <c r="I3471" i="11"/>
  <c r="N3470" i="11"/>
  <c r="K3470" i="11"/>
  <c r="I3470" i="11"/>
  <c r="N3469" i="11"/>
  <c r="K3469" i="11"/>
  <c r="I3469" i="11"/>
  <c r="N3468" i="11"/>
  <c r="K3468" i="11"/>
  <c r="I3468" i="11"/>
  <c r="N3467" i="11"/>
  <c r="K3467" i="11"/>
  <c r="I3467" i="11"/>
  <c r="N3466" i="11"/>
  <c r="K3466" i="11"/>
  <c r="I3466" i="11"/>
  <c r="N3465" i="11"/>
  <c r="K3465" i="11"/>
  <c r="I3465" i="11"/>
  <c r="N3464" i="11"/>
  <c r="K3464" i="11"/>
  <c r="I3464" i="11"/>
  <c r="N3463" i="11"/>
  <c r="K3463" i="11"/>
  <c r="I3463" i="11"/>
  <c r="N3462" i="11"/>
  <c r="K3462" i="11"/>
  <c r="I3462" i="11"/>
  <c r="N3461" i="11"/>
  <c r="K3461" i="11"/>
  <c r="I3461" i="11"/>
  <c r="N3460" i="11"/>
  <c r="K3460" i="11"/>
  <c r="I3460" i="11"/>
  <c r="N3459" i="11"/>
  <c r="K3459" i="11"/>
  <c r="I3459" i="11"/>
  <c r="N3458" i="11"/>
  <c r="K3458" i="11"/>
  <c r="I3458" i="11"/>
  <c r="N3457" i="11"/>
  <c r="K3457" i="11"/>
  <c r="I3457" i="11"/>
  <c r="N3456" i="11"/>
  <c r="K3456" i="11"/>
  <c r="I3456" i="11"/>
  <c r="N3455" i="11"/>
  <c r="K3455" i="11"/>
  <c r="I3455" i="11"/>
  <c r="N3454" i="11"/>
  <c r="K3454" i="11"/>
  <c r="I3454" i="11"/>
  <c r="N3453" i="11"/>
  <c r="K3453" i="11"/>
  <c r="I3453" i="11"/>
  <c r="N3452" i="11"/>
  <c r="K3452" i="11"/>
  <c r="I3452" i="11"/>
  <c r="N3451" i="11"/>
  <c r="K3451" i="11"/>
  <c r="I3451" i="11"/>
  <c r="N3450" i="11"/>
  <c r="K3450" i="11"/>
  <c r="I3450" i="11"/>
  <c r="N3449" i="11"/>
  <c r="K3449" i="11"/>
  <c r="I3449" i="11"/>
  <c r="N3448" i="11"/>
  <c r="K3448" i="11"/>
  <c r="I3448" i="11"/>
  <c r="N3447" i="11"/>
  <c r="K3447" i="11"/>
  <c r="I3447" i="11"/>
  <c r="N3446" i="11"/>
  <c r="K3446" i="11"/>
  <c r="I3446" i="11"/>
  <c r="N3445" i="11"/>
  <c r="K3445" i="11"/>
  <c r="I3445" i="11"/>
  <c r="N3444" i="11"/>
  <c r="K3444" i="11"/>
  <c r="I3444" i="11"/>
  <c r="N3443" i="11"/>
  <c r="K3443" i="11"/>
  <c r="I3443" i="11"/>
  <c r="N3442" i="11"/>
  <c r="K3442" i="11"/>
  <c r="I3442" i="11"/>
  <c r="N3441" i="11"/>
  <c r="K3441" i="11"/>
  <c r="I3441" i="11"/>
  <c r="N3440" i="11"/>
  <c r="K3440" i="11"/>
  <c r="I3440" i="11"/>
  <c r="N3439" i="11"/>
  <c r="K3439" i="11"/>
  <c r="I3439" i="11"/>
  <c r="N3438" i="11"/>
  <c r="K3438" i="11"/>
  <c r="I3438" i="11"/>
  <c r="N3437" i="11"/>
  <c r="K3437" i="11"/>
  <c r="I3437" i="11"/>
  <c r="N3436" i="11"/>
  <c r="K3436" i="11"/>
  <c r="I3436" i="11"/>
  <c r="N3435" i="11"/>
  <c r="K3435" i="11"/>
  <c r="I3435" i="11"/>
  <c r="N3434" i="11"/>
  <c r="K3434" i="11"/>
  <c r="I3434" i="11"/>
  <c r="N3433" i="11"/>
  <c r="K3433" i="11"/>
  <c r="I3433" i="11"/>
  <c r="N3432" i="11"/>
  <c r="K3432" i="11"/>
  <c r="I3432" i="11"/>
  <c r="N3431" i="11"/>
  <c r="K3431" i="11"/>
  <c r="I3431" i="11"/>
  <c r="N3430" i="11"/>
  <c r="K3430" i="11"/>
  <c r="I3430" i="11"/>
  <c r="N3429" i="11"/>
  <c r="K3429" i="11"/>
  <c r="I3429" i="11"/>
  <c r="N3428" i="11"/>
  <c r="K3428" i="11"/>
  <c r="I3428" i="11"/>
  <c r="N3427" i="11"/>
  <c r="K3427" i="11"/>
  <c r="I3427" i="11"/>
  <c r="N3426" i="11"/>
  <c r="K3426" i="11"/>
  <c r="I3426" i="11"/>
  <c r="N3425" i="11"/>
  <c r="K3425" i="11"/>
  <c r="I3425" i="11"/>
  <c r="N3424" i="11"/>
  <c r="K3424" i="11"/>
  <c r="I3424" i="11"/>
  <c r="N3423" i="11"/>
  <c r="K3423" i="11"/>
  <c r="I3423" i="11"/>
  <c r="N3422" i="11"/>
  <c r="K3422" i="11"/>
  <c r="I3422" i="11"/>
  <c r="N3421" i="11"/>
  <c r="K3421" i="11"/>
  <c r="I3421" i="11"/>
  <c r="N3420" i="11"/>
  <c r="K3420" i="11"/>
  <c r="I3420" i="11"/>
  <c r="N3419" i="11"/>
  <c r="K3419" i="11"/>
  <c r="I3419" i="11"/>
  <c r="N3418" i="11"/>
  <c r="K3418" i="11"/>
  <c r="I3418" i="11"/>
  <c r="K3417" i="11"/>
  <c r="I3417" i="11"/>
  <c r="N3416" i="11"/>
  <c r="K3416" i="11"/>
  <c r="I3416" i="11"/>
  <c r="N3415" i="11"/>
  <c r="K3415" i="11"/>
  <c r="I3415" i="11"/>
  <c r="N3414" i="11"/>
  <c r="K3414" i="11"/>
  <c r="I3414" i="11"/>
  <c r="N3413" i="11"/>
  <c r="K3413" i="11"/>
  <c r="I3413" i="11"/>
  <c r="N3412" i="11"/>
  <c r="K3412" i="11"/>
  <c r="I3412" i="11"/>
  <c r="N3411" i="11"/>
  <c r="K3411" i="11"/>
  <c r="I3411" i="11"/>
  <c r="N3410" i="11"/>
  <c r="K3410" i="11"/>
  <c r="I3410" i="11"/>
  <c r="N3409" i="11"/>
  <c r="K3409" i="11"/>
  <c r="I3409" i="11"/>
  <c r="N3408" i="11"/>
  <c r="K3408" i="11"/>
  <c r="I3408" i="11"/>
  <c r="N3407" i="11"/>
  <c r="K3407" i="11"/>
  <c r="I3407" i="11"/>
  <c r="N3406" i="11"/>
  <c r="K3406" i="11"/>
  <c r="I3406" i="11"/>
  <c r="N3405" i="11"/>
  <c r="K3405" i="11"/>
  <c r="I3405" i="11"/>
  <c r="N3404" i="11"/>
  <c r="K3404" i="11"/>
  <c r="I3404" i="11"/>
  <c r="N3403" i="11"/>
  <c r="K3403" i="11"/>
  <c r="I3403" i="11"/>
  <c r="N3402" i="11"/>
  <c r="K3402" i="11"/>
  <c r="I3402" i="11"/>
  <c r="N3401" i="11"/>
  <c r="K3401" i="11"/>
  <c r="I3401" i="11"/>
  <c r="N3400" i="11"/>
  <c r="K3400" i="11"/>
  <c r="I3400" i="11"/>
  <c r="N3399" i="11"/>
  <c r="K3399" i="11"/>
  <c r="I3399" i="11"/>
  <c r="N3398" i="11"/>
  <c r="K3398" i="11"/>
  <c r="I3398" i="11"/>
  <c r="N3397" i="11"/>
  <c r="K3397" i="11"/>
  <c r="I3397" i="11"/>
  <c r="N3396" i="11"/>
  <c r="K3396" i="11"/>
  <c r="I3396" i="11"/>
  <c r="N3395" i="11"/>
  <c r="K3395" i="11"/>
  <c r="I3395" i="11"/>
  <c r="N3394" i="11"/>
  <c r="K3394" i="11"/>
  <c r="I3394" i="11"/>
  <c r="N3393" i="11"/>
  <c r="K3393" i="11"/>
  <c r="I3393" i="11"/>
  <c r="N3392" i="11"/>
  <c r="K3392" i="11"/>
  <c r="I3392" i="11"/>
  <c r="N3391" i="11"/>
  <c r="K3391" i="11"/>
  <c r="I3391" i="11"/>
  <c r="N3390" i="11"/>
  <c r="K3390" i="11"/>
  <c r="I3390" i="11"/>
  <c r="N3389" i="11"/>
  <c r="K3389" i="11"/>
  <c r="I3389" i="11"/>
  <c r="N3388" i="11"/>
  <c r="K3388" i="11"/>
  <c r="I3388" i="11"/>
  <c r="N3387" i="11"/>
  <c r="K3387" i="11"/>
  <c r="I3387" i="11"/>
  <c r="N3386" i="11"/>
  <c r="K3386" i="11"/>
  <c r="I3386" i="11"/>
  <c r="N3385" i="11"/>
  <c r="K3385" i="11"/>
  <c r="I3385" i="11"/>
  <c r="N3384" i="11"/>
  <c r="K3384" i="11"/>
  <c r="I3384" i="11"/>
  <c r="N3383" i="11"/>
  <c r="K3383" i="11"/>
  <c r="I3383" i="11"/>
  <c r="N3382" i="11"/>
  <c r="K3382" i="11"/>
  <c r="I3382" i="11"/>
  <c r="N3381" i="11"/>
  <c r="K3381" i="11"/>
  <c r="I3381" i="11"/>
  <c r="N3380" i="11"/>
  <c r="K3380" i="11"/>
  <c r="I3380" i="11"/>
  <c r="N3379" i="11"/>
  <c r="K3379" i="11"/>
  <c r="I3379" i="11"/>
  <c r="N3378" i="11"/>
  <c r="K3378" i="11"/>
  <c r="I3378" i="11"/>
  <c r="N3377" i="11"/>
  <c r="K3377" i="11"/>
  <c r="I3377" i="11"/>
  <c r="N3376" i="11"/>
  <c r="K3376" i="11"/>
  <c r="I3376" i="11"/>
  <c r="N3375" i="11"/>
  <c r="K3375" i="11"/>
  <c r="I3375" i="11"/>
  <c r="N3374" i="11"/>
  <c r="K3374" i="11"/>
  <c r="I3374" i="11"/>
  <c r="N3373" i="11"/>
  <c r="K3373" i="11"/>
  <c r="I3373" i="11"/>
  <c r="N3372" i="11"/>
  <c r="K3372" i="11"/>
  <c r="I3372" i="11"/>
  <c r="N3371" i="11"/>
  <c r="K3371" i="11"/>
  <c r="I3371" i="11"/>
  <c r="N3370" i="11"/>
  <c r="K3370" i="11"/>
  <c r="I3370" i="11"/>
  <c r="N3369" i="11"/>
  <c r="K3369" i="11"/>
  <c r="I3369" i="11"/>
  <c r="N3368" i="11"/>
  <c r="K3368" i="11"/>
  <c r="I3368" i="11"/>
  <c r="N3367" i="11"/>
  <c r="K3367" i="11"/>
  <c r="I3367" i="11"/>
  <c r="N3366" i="11"/>
  <c r="K3366" i="11"/>
  <c r="I3366" i="11"/>
  <c r="N3365" i="11"/>
  <c r="K3365" i="11"/>
  <c r="I3365" i="11"/>
  <c r="N3364" i="11"/>
  <c r="K3364" i="11"/>
  <c r="I3364" i="11"/>
  <c r="N3363" i="11"/>
  <c r="K3363" i="11"/>
  <c r="I3363" i="11"/>
  <c r="N3362" i="11"/>
  <c r="K3362" i="11"/>
  <c r="I3362" i="11"/>
  <c r="N3361" i="11"/>
  <c r="K3361" i="11"/>
  <c r="I3361" i="11"/>
  <c r="N3360" i="11"/>
  <c r="K3360" i="11"/>
  <c r="I3360" i="11"/>
  <c r="N3359" i="11"/>
  <c r="K3359" i="11"/>
  <c r="I3359" i="11"/>
  <c r="N3358" i="11"/>
  <c r="K3358" i="11"/>
  <c r="I3358" i="11"/>
  <c r="N3357" i="11"/>
  <c r="K3357" i="11"/>
  <c r="I3357" i="11"/>
  <c r="N3356" i="11"/>
  <c r="K3356" i="11"/>
  <c r="I3356" i="11"/>
  <c r="N3355" i="11"/>
  <c r="K3355" i="11"/>
  <c r="I3355" i="11"/>
  <c r="N3354" i="11"/>
  <c r="K3354" i="11"/>
  <c r="I3354" i="11"/>
  <c r="N3353" i="11"/>
  <c r="K3353" i="11"/>
  <c r="I3353" i="11"/>
  <c r="N3352" i="11"/>
  <c r="K3352" i="11"/>
  <c r="I3352" i="11"/>
  <c r="N3351" i="11"/>
  <c r="K3351" i="11"/>
  <c r="I3351" i="11"/>
  <c r="N3350" i="11"/>
  <c r="K3350" i="11"/>
  <c r="I3350" i="11"/>
  <c r="N3349" i="11"/>
  <c r="K3349" i="11"/>
  <c r="I3349" i="11"/>
  <c r="N3348" i="11"/>
  <c r="K3348" i="11"/>
  <c r="I3348" i="11"/>
  <c r="N3347" i="11"/>
  <c r="K3347" i="11"/>
  <c r="I3347" i="11"/>
  <c r="N3346" i="11"/>
  <c r="K3346" i="11"/>
  <c r="I3346" i="11"/>
  <c r="N3345" i="11"/>
  <c r="K3345" i="11"/>
  <c r="I3345" i="11"/>
  <c r="N3344" i="11"/>
  <c r="K3344" i="11"/>
  <c r="I3344" i="11"/>
  <c r="N3343" i="11"/>
  <c r="K3343" i="11"/>
  <c r="I3343" i="11"/>
  <c r="N3342" i="11"/>
  <c r="K3342" i="11"/>
  <c r="I3342" i="11"/>
  <c r="N3341" i="11"/>
  <c r="K3341" i="11"/>
  <c r="I3341" i="11"/>
  <c r="N3340" i="11"/>
  <c r="K3340" i="11"/>
  <c r="I3340" i="11"/>
  <c r="N3339" i="11"/>
  <c r="K3339" i="11"/>
  <c r="I3339" i="11"/>
  <c r="N3338" i="11"/>
  <c r="K3338" i="11"/>
  <c r="I3338" i="11"/>
  <c r="N3337" i="11"/>
  <c r="K3337" i="11"/>
  <c r="I3337" i="11"/>
  <c r="N3336" i="11"/>
  <c r="K3336" i="11"/>
  <c r="I3336" i="11"/>
  <c r="N3335" i="11"/>
  <c r="K3335" i="11"/>
  <c r="I3335" i="11"/>
  <c r="N3334" i="11"/>
  <c r="K3334" i="11"/>
  <c r="I3334" i="11"/>
  <c r="N3333" i="11"/>
  <c r="K3333" i="11"/>
  <c r="I3333" i="11"/>
  <c r="N3332" i="11"/>
  <c r="K3332" i="11"/>
  <c r="I3332" i="11"/>
  <c r="N3331" i="11"/>
  <c r="K3331" i="11"/>
  <c r="I3331" i="11"/>
  <c r="N3330" i="11"/>
  <c r="K3330" i="11"/>
  <c r="I3330" i="11"/>
  <c r="N3329" i="11"/>
  <c r="K3329" i="11"/>
  <c r="I3329" i="11"/>
  <c r="N3328" i="11"/>
  <c r="K3328" i="11"/>
  <c r="I3328" i="11"/>
  <c r="N3327" i="11"/>
  <c r="K3327" i="11"/>
  <c r="I3327" i="11"/>
  <c r="N3326" i="11"/>
  <c r="K3326" i="11"/>
  <c r="I3326" i="11"/>
  <c r="N3325" i="11"/>
  <c r="K3325" i="11"/>
  <c r="I3325" i="11"/>
  <c r="N3324" i="11"/>
  <c r="K3324" i="11"/>
  <c r="I3324" i="11"/>
  <c r="N3323" i="11"/>
  <c r="K3323" i="11"/>
  <c r="I3323" i="11"/>
  <c r="N3322" i="11"/>
  <c r="K3322" i="11"/>
  <c r="I3322" i="11"/>
  <c r="N3321" i="11"/>
  <c r="K3321" i="11"/>
  <c r="I3321" i="11"/>
  <c r="N3320" i="11"/>
  <c r="K3320" i="11"/>
  <c r="I3320" i="11"/>
  <c r="N3319" i="11"/>
  <c r="K3319" i="11"/>
  <c r="I3319" i="11"/>
  <c r="N3318" i="11"/>
  <c r="K3318" i="11"/>
  <c r="I3318" i="11"/>
  <c r="N3317" i="11"/>
  <c r="K3317" i="11"/>
  <c r="I3317" i="11"/>
  <c r="N3316" i="11"/>
  <c r="K3316" i="11"/>
  <c r="I3316" i="11"/>
  <c r="N3315" i="11"/>
  <c r="K3315" i="11"/>
  <c r="I3315" i="11"/>
  <c r="N3314" i="11"/>
  <c r="K3314" i="11"/>
  <c r="I3314" i="11"/>
  <c r="N3313" i="11"/>
  <c r="K3313" i="11"/>
  <c r="I3313" i="11"/>
  <c r="N3312" i="11"/>
  <c r="K3312" i="11"/>
  <c r="I3312" i="11"/>
  <c r="N3311" i="11"/>
  <c r="K3311" i="11"/>
  <c r="I3311" i="11"/>
  <c r="N3310" i="11"/>
  <c r="K3310" i="11"/>
  <c r="I3310" i="11"/>
  <c r="N3309" i="11"/>
  <c r="K3309" i="11"/>
  <c r="I3309" i="11"/>
  <c r="N3308" i="11"/>
  <c r="K3308" i="11"/>
  <c r="I3308" i="11"/>
  <c r="N3307" i="11"/>
  <c r="K3307" i="11"/>
  <c r="I3307" i="11"/>
  <c r="N3306" i="11"/>
  <c r="K3306" i="11"/>
  <c r="I3306" i="11"/>
  <c r="N3305" i="11"/>
  <c r="K3305" i="11"/>
  <c r="I3305" i="11"/>
  <c r="N3304" i="11"/>
  <c r="K3304" i="11"/>
  <c r="I3304" i="11"/>
  <c r="N3303" i="11"/>
  <c r="K3303" i="11"/>
  <c r="I3303" i="11"/>
  <c r="N3302" i="11"/>
  <c r="K3302" i="11"/>
  <c r="I3302" i="11"/>
  <c r="N3301" i="11"/>
  <c r="K3301" i="11"/>
  <c r="I3301" i="11"/>
  <c r="N3300" i="11"/>
  <c r="K3300" i="11"/>
  <c r="I3300" i="11"/>
  <c r="N3299" i="11"/>
  <c r="K3299" i="11"/>
  <c r="I3299" i="11"/>
  <c r="N3298" i="11"/>
  <c r="K3298" i="11"/>
  <c r="I3298" i="11"/>
  <c r="N3297" i="11"/>
  <c r="K3297" i="11"/>
  <c r="I3297" i="11"/>
  <c r="N3296" i="11"/>
  <c r="K3296" i="11"/>
  <c r="I3296" i="11"/>
  <c r="N3295" i="11"/>
  <c r="K3295" i="11"/>
  <c r="I3295" i="11"/>
  <c r="N3294" i="11"/>
  <c r="K3294" i="11"/>
  <c r="I3294" i="11"/>
  <c r="N3293" i="11"/>
  <c r="K3293" i="11"/>
  <c r="I3293" i="11"/>
  <c r="N3292" i="11"/>
  <c r="K3292" i="11"/>
  <c r="I3292" i="11"/>
  <c r="N3291" i="11"/>
  <c r="K3291" i="11"/>
  <c r="I3291" i="11"/>
  <c r="N3290" i="11"/>
  <c r="K3290" i="11"/>
  <c r="I3290" i="11"/>
  <c r="N3289" i="11"/>
  <c r="K3289" i="11"/>
  <c r="I3289" i="11"/>
  <c r="N3288" i="11"/>
  <c r="K3288" i="11"/>
  <c r="I3288" i="11"/>
  <c r="N3287" i="11"/>
  <c r="K3287" i="11"/>
  <c r="I3287" i="11"/>
  <c r="N3286" i="11"/>
  <c r="K3286" i="11"/>
  <c r="I3286" i="11"/>
  <c r="N3285" i="11"/>
  <c r="K3285" i="11"/>
  <c r="I3285" i="11"/>
  <c r="N3284" i="11"/>
  <c r="K3284" i="11"/>
  <c r="I3284" i="11"/>
  <c r="N3283" i="11"/>
  <c r="K3283" i="11"/>
  <c r="I3283" i="11"/>
  <c r="N3282" i="11"/>
  <c r="K3282" i="11"/>
  <c r="I3282" i="11"/>
  <c r="N3281" i="11"/>
  <c r="K3281" i="11"/>
  <c r="I3281" i="11"/>
  <c r="N3280" i="11"/>
  <c r="K3280" i="11"/>
  <c r="I3280" i="11"/>
  <c r="N3279" i="11"/>
  <c r="K3279" i="11"/>
  <c r="I3279" i="11"/>
  <c r="N3278" i="11"/>
  <c r="K3278" i="11"/>
  <c r="I3278" i="11"/>
  <c r="N3277" i="11"/>
  <c r="K3277" i="11"/>
  <c r="I3277" i="11"/>
  <c r="N3276" i="11"/>
  <c r="K3276" i="11"/>
  <c r="I3276" i="11"/>
  <c r="N3275" i="11"/>
  <c r="K3275" i="11"/>
  <c r="I3275" i="11"/>
  <c r="N3274" i="11"/>
  <c r="K3274" i="11"/>
  <c r="I3274" i="11"/>
  <c r="N3273" i="11"/>
  <c r="K3273" i="11"/>
  <c r="I3273" i="11"/>
  <c r="N3272" i="11"/>
  <c r="K3272" i="11"/>
  <c r="I3272" i="11"/>
  <c r="N3271" i="11"/>
  <c r="K3271" i="11"/>
  <c r="I3271" i="11"/>
  <c r="N3270" i="11"/>
  <c r="K3270" i="11"/>
  <c r="I3270" i="11"/>
  <c r="N3269" i="11"/>
  <c r="K3269" i="11"/>
  <c r="I3269" i="11"/>
  <c r="N3268" i="11"/>
  <c r="K3268" i="11"/>
  <c r="I3268" i="11"/>
  <c r="N3267" i="11"/>
  <c r="K3267" i="11"/>
  <c r="I3267" i="11"/>
  <c r="N3266" i="11"/>
  <c r="K3266" i="11"/>
  <c r="I3266" i="11"/>
  <c r="N3265" i="11"/>
  <c r="K3265" i="11"/>
  <c r="I3265" i="11"/>
  <c r="N3264" i="11"/>
  <c r="K3264" i="11"/>
  <c r="I3264" i="11"/>
  <c r="N3263" i="11"/>
  <c r="K3263" i="11"/>
  <c r="I3263" i="11"/>
  <c r="N3262" i="11"/>
  <c r="K3262" i="11"/>
  <c r="I3262" i="11"/>
  <c r="N3261" i="11"/>
  <c r="K3261" i="11"/>
  <c r="I3261" i="11"/>
  <c r="N3260" i="11"/>
  <c r="K3260" i="11"/>
  <c r="I3260" i="11"/>
  <c r="N3259" i="11"/>
  <c r="K3259" i="11"/>
  <c r="I3259" i="11"/>
  <c r="N3258" i="11"/>
  <c r="K3258" i="11"/>
  <c r="I3258" i="11"/>
  <c r="N3257" i="11"/>
  <c r="K3257" i="11"/>
  <c r="I3257" i="11"/>
  <c r="N3256" i="11"/>
  <c r="K3256" i="11"/>
  <c r="I3256" i="11"/>
  <c r="N3255" i="11"/>
  <c r="K3255" i="11"/>
  <c r="I3255" i="11"/>
  <c r="N3254" i="11"/>
  <c r="K3254" i="11"/>
  <c r="I3254" i="11"/>
  <c r="N3253" i="11"/>
  <c r="K3253" i="11"/>
  <c r="I3253" i="11"/>
  <c r="N3252" i="11"/>
  <c r="K3252" i="11"/>
  <c r="I3252" i="11"/>
  <c r="N3251" i="11"/>
  <c r="K3251" i="11"/>
  <c r="I3251" i="11"/>
  <c r="N3250" i="11"/>
  <c r="K3250" i="11"/>
  <c r="I3250" i="11"/>
  <c r="N3249" i="11"/>
  <c r="K3249" i="11"/>
  <c r="I3249" i="11"/>
  <c r="N3248" i="11"/>
  <c r="K3248" i="11"/>
  <c r="I3248" i="11"/>
  <c r="N3247" i="11"/>
  <c r="K3247" i="11"/>
  <c r="I3247" i="11"/>
  <c r="N3246" i="11"/>
  <c r="K3246" i="11"/>
  <c r="I3246" i="11"/>
  <c r="N3245" i="11"/>
  <c r="K3245" i="11"/>
  <c r="I3245" i="11"/>
  <c r="N3244" i="11"/>
  <c r="K3244" i="11"/>
  <c r="I3244" i="11"/>
  <c r="N3243" i="11"/>
  <c r="K3243" i="11"/>
  <c r="I3243" i="11"/>
  <c r="N3242" i="11"/>
  <c r="K3242" i="11"/>
  <c r="I3242" i="11"/>
  <c r="N3241" i="11"/>
  <c r="K3241" i="11"/>
  <c r="I3241" i="11"/>
  <c r="N3240" i="11"/>
  <c r="K3240" i="11"/>
  <c r="I3240" i="11"/>
  <c r="N3239" i="11"/>
  <c r="K3239" i="11"/>
  <c r="I3239" i="11"/>
  <c r="N3238" i="11"/>
  <c r="K3238" i="11"/>
  <c r="I3238" i="11"/>
  <c r="N3237" i="11"/>
  <c r="K3237" i="11"/>
  <c r="I3237" i="11"/>
  <c r="N3236" i="11"/>
  <c r="K3236" i="11"/>
  <c r="I3236" i="11"/>
  <c r="N3235" i="11"/>
  <c r="K3235" i="11"/>
  <c r="I3235" i="11"/>
  <c r="N3234" i="11"/>
  <c r="K3234" i="11"/>
  <c r="I3234" i="11"/>
  <c r="N3233" i="11"/>
  <c r="K3233" i="11"/>
  <c r="I3233" i="11"/>
  <c r="N3232" i="11"/>
  <c r="K3232" i="11"/>
  <c r="I3232" i="11"/>
  <c r="N3231" i="11"/>
  <c r="K3231" i="11"/>
  <c r="I3231" i="11"/>
  <c r="N3230" i="11"/>
  <c r="K3230" i="11"/>
  <c r="I3230" i="11"/>
  <c r="N3229" i="11"/>
  <c r="K3229" i="11"/>
  <c r="I3229" i="11"/>
  <c r="N3228" i="11"/>
  <c r="K3228" i="11"/>
  <c r="I3228" i="11"/>
  <c r="N3227" i="11"/>
  <c r="K3227" i="11"/>
  <c r="I3227" i="11"/>
  <c r="N3226" i="11"/>
  <c r="K3226" i="11"/>
  <c r="I3226" i="11"/>
  <c r="N3225" i="11"/>
  <c r="K3225" i="11"/>
  <c r="I3225" i="11"/>
  <c r="N3224" i="11"/>
  <c r="K3224" i="11"/>
  <c r="I3224" i="11"/>
  <c r="N3223" i="11"/>
  <c r="K3223" i="11"/>
  <c r="I3223" i="11"/>
  <c r="N3222" i="11"/>
  <c r="K3222" i="11"/>
  <c r="I3222" i="11"/>
  <c r="N3221" i="11"/>
  <c r="K3221" i="11"/>
  <c r="I3221" i="11"/>
  <c r="N3220" i="11"/>
  <c r="K3220" i="11"/>
  <c r="I3220" i="11"/>
  <c r="N3219" i="11"/>
  <c r="K3219" i="11"/>
  <c r="I3219" i="11"/>
  <c r="N3218" i="11"/>
  <c r="K3218" i="11"/>
  <c r="I3218" i="11"/>
  <c r="N3217" i="11"/>
  <c r="K3217" i="11"/>
  <c r="I3217" i="11"/>
  <c r="N3216" i="11"/>
  <c r="K3216" i="11"/>
  <c r="I3216" i="11"/>
  <c r="N3215" i="11"/>
  <c r="K3215" i="11"/>
  <c r="I3215" i="11"/>
  <c r="N3214" i="11"/>
  <c r="K3214" i="11"/>
  <c r="I3214" i="11"/>
  <c r="N3213" i="11"/>
  <c r="K3213" i="11"/>
  <c r="I3213" i="11"/>
  <c r="N3212" i="11"/>
  <c r="K3212" i="11"/>
  <c r="I3212" i="11"/>
  <c r="N3211" i="11"/>
  <c r="K3211" i="11"/>
  <c r="I3211" i="11"/>
  <c r="N3210" i="11"/>
  <c r="K3210" i="11"/>
  <c r="I3210" i="11"/>
  <c r="N3209" i="11"/>
  <c r="K3209" i="11"/>
  <c r="I3209" i="11"/>
  <c r="N3208" i="11"/>
  <c r="K3208" i="11"/>
  <c r="I3208" i="11"/>
  <c r="N3207" i="11"/>
  <c r="K3207" i="11"/>
  <c r="I3207" i="11"/>
  <c r="N3206" i="11"/>
  <c r="K3206" i="11"/>
  <c r="I3206" i="11"/>
  <c r="N3205" i="11"/>
  <c r="K3205" i="11"/>
  <c r="I3205" i="11"/>
  <c r="N3204" i="11"/>
  <c r="K3204" i="11"/>
  <c r="I3204" i="11"/>
  <c r="N3203" i="11"/>
  <c r="K3203" i="11"/>
  <c r="I3203" i="11"/>
  <c r="N3202" i="11"/>
  <c r="K3202" i="11"/>
  <c r="I3202" i="11"/>
  <c r="N3201" i="11"/>
  <c r="K3201" i="11"/>
  <c r="I3201" i="11"/>
  <c r="N3200" i="11"/>
  <c r="K3200" i="11"/>
  <c r="I3200" i="11"/>
  <c r="N3199" i="11"/>
  <c r="K3199" i="11"/>
  <c r="I3199" i="11"/>
  <c r="N3198" i="11"/>
  <c r="K3198" i="11"/>
  <c r="I3198" i="11"/>
  <c r="N3197" i="11"/>
  <c r="K3197" i="11"/>
  <c r="I3197" i="11"/>
  <c r="N3196" i="11"/>
  <c r="K3196" i="11"/>
  <c r="I3196" i="11"/>
  <c r="N3195" i="11"/>
  <c r="K3195" i="11"/>
  <c r="I3195" i="11"/>
  <c r="N3194" i="11"/>
  <c r="K3194" i="11"/>
  <c r="I3194" i="11"/>
  <c r="N3193" i="11"/>
  <c r="K3193" i="11"/>
  <c r="I3193" i="11"/>
  <c r="N3192" i="11"/>
  <c r="K3192" i="11"/>
  <c r="I3192" i="11"/>
  <c r="N3191" i="11"/>
  <c r="K3191" i="11"/>
  <c r="I3191" i="11"/>
  <c r="N3190" i="11"/>
  <c r="K3190" i="11"/>
  <c r="I3190" i="11"/>
  <c r="N3189" i="11"/>
  <c r="K3189" i="11"/>
  <c r="I3189" i="11"/>
  <c r="N3188" i="11"/>
  <c r="K3188" i="11"/>
  <c r="I3188" i="11"/>
  <c r="N3187" i="11"/>
  <c r="K3187" i="11"/>
  <c r="I3187" i="11"/>
  <c r="N3186" i="11"/>
  <c r="K3186" i="11"/>
  <c r="I3186" i="11"/>
  <c r="N3185" i="11"/>
  <c r="K3185" i="11"/>
  <c r="I3185" i="11"/>
  <c r="N3184" i="11"/>
  <c r="K3184" i="11"/>
  <c r="I3184" i="11"/>
  <c r="N3183" i="11"/>
  <c r="K3183" i="11"/>
  <c r="I3183" i="11"/>
  <c r="N3182" i="11"/>
  <c r="K3182" i="11"/>
  <c r="I3182" i="11"/>
  <c r="N3181" i="11"/>
  <c r="K3181" i="11"/>
  <c r="I3181" i="11"/>
  <c r="N3180" i="11"/>
  <c r="K3180" i="11"/>
  <c r="I3180" i="11"/>
  <c r="N3179" i="11"/>
  <c r="K3179" i="11"/>
  <c r="I3179" i="11"/>
  <c r="N3178" i="11"/>
  <c r="K3178" i="11"/>
  <c r="I3178" i="11"/>
  <c r="N3177" i="11"/>
  <c r="K3177" i="11"/>
  <c r="I3177" i="11"/>
  <c r="N3176" i="11"/>
  <c r="K3176" i="11"/>
  <c r="I3176" i="11"/>
  <c r="N3175" i="11"/>
  <c r="K3175" i="11"/>
  <c r="I3175" i="11"/>
  <c r="N3174" i="11"/>
  <c r="K3174" i="11"/>
  <c r="I3174" i="11"/>
  <c r="N3173" i="11"/>
  <c r="K3173" i="11"/>
  <c r="I3173" i="11"/>
  <c r="N3172" i="11"/>
  <c r="K3172" i="11"/>
  <c r="I3172" i="11"/>
  <c r="N3171" i="11"/>
  <c r="K3171" i="11"/>
  <c r="I3171" i="11"/>
  <c r="N3170" i="11"/>
  <c r="K3170" i="11"/>
  <c r="I3170" i="11"/>
  <c r="N3169" i="11"/>
  <c r="K3169" i="11"/>
  <c r="I3169" i="11"/>
  <c r="N3168" i="11"/>
  <c r="K3168" i="11"/>
  <c r="I3168" i="11"/>
  <c r="N3167" i="11"/>
  <c r="K3167" i="11"/>
  <c r="I3167" i="11"/>
  <c r="N3166" i="11"/>
  <c r="K3166" i="11"/>
  <c r="I3166" i="11"/>
  <c r="N3165" i="11"/>
  <c r="K3165" i="11"/>
  <c r="I3165" i="11"/>
  <c r="N3164" i="11"/>
  <c r="K3164" i="11"/>
  <c r="I3164" i="11"/>
  <c r="N3163" i="11"/>
  <c r="K3163" i="11"/>
  <c r="I3163" i="11"/>
  <c r="N3162" i="11"/>
  <c r="K3162" i="11"/>
  <c r="I3162" i="11"/>
  <c r="N3161" i="11"/>
  <c r="K3161" i="11"/>
  <c r="I3161" i="11"/>
  <c r="N3160" i="11"/>
  <c r="K3160" i="11"/>
  <c r="I3160" i="11"/>
  <c r="N3159" i="11"/>
  <c r="K3159" i="11"/>
  <c r="I3159" i="11"/>
  <c r="N3158" i="11"/>
  <c r="K3158" i="11"/>
  <c r="I3158" i="11"/>
  <c r="N3157" i="11"/>
  <c r="K3157" i="11"/>
  <c r="I3157" i="11"/>
  <c r="N3156" i="11"/>
  <c r="K3156" i="11"/>
  <c r="I3156" i="11"/>
  <c r="N3155" i="11"/>
  <c r="K3155" i="11"/>
  <c r="I3155" i="11"/>
  <c r="N3154" i="11"/>
  <c r="K3154" i="11"/>
  <c r="I3154" i="11"/>
  <c r="N3153" i="11"/>
  <c r="K3153" i="11"/>
  <c r="I3153" i="11"/>
  <c r="N3152" i="11"/>
  <c r="K3152" i="11"/>
  <c r="I3152" i="11"/>
  <c r="N3151" i="11"/>
  <c r="K3151" i="11"/>
  <c r="I3151" i="11"/>
  <c r="N3150" i="11"/>
  <c r="K3150" i="11"/>
  <c r="I3150" i="11"/>
  <c r="N3149" i="11"/>
  <c r="K3149" i="11"/>
  <c r="I3149" i="11"/>
  <c r="N3148" i="11"/>
  <c r="K3148" i="11"/>
  <c r="I3148" i="11"/>
  <c r="N3147" i="11"/>
  <c r="K3147" i="11"/>
  <c r="I3147" i="11"/>
  <c r="N3146" i="11"/>
  <c r="K3146" i="11"/>
  <c r="I3146" i="11"/>
  <c r="N3145" i="11"/>
  <c r="K3145" i="11"/>
  <c r="I3145" i="11"/>
  <c r="N3144" i="11"/>
  <c r="K3144" i="11"/>
  <c r="I3144" i="11"/>
  <c r="N3143" i="11"/>
  <c r="K3143" i="11"/>
  <c r="I3143" i="11"/>
  <c r="N3142" i="11"/>
  <c r="K3142" i="11"/>
  <c r="I3142" i="11"/>
  <c r="N3141" i="11"/>
  <c r="K3141" i="11"/>
  <c r="I3141" i="11"/>
  <c r="N3140" i="11"/>
  <c r="K3140" i="11"/>
  <c r="I3140" i="11"/>
  <c r="N3139" i="11"/>
  <c r="K3139" i="11"/>
  <c r="I3139" i="11"/>
  <c r="N3138" i="11"/>
  <c r="K3138" i="11"/>
  <c r="I3138" i="11"/>
  <c r="N3137" i="11"/>
  <c r="K3137" i="11"/>
  <c r="I3137" i="11"/>
  <c r="N3136" i="11"/>
  <c r="K3136" i="11"/>
  <c r="I3136" i="11"/>
  <c r="N3135" i="11"/>
  <c r="K3135" i="11"/>
  <c r="I3135" i="11"/>
  <c r="N3134" i="11"/>
  <c r="K3134" i="11"/>
  <c r="I3134" i="11"/>
  <c r="N3133" i="11"/>
  <c r="K3133" i="11"/>
  <c r="I3133" i="11"/>
  <c r="N3132" i="11"/>
  <c r="K3132" i="11"/>
  <c r="I3132" i="11"/>
  <c r="N3131" i="11"/>
  <c r="K3131" i="11"/>
  <c r="I3131" i="11"/>
  <c r="N3130" i="11"/>
  <c r="K3130" i="11"/>
  <c r="I3130" i="11"/>
  <c r="N3129" i="11"/>
  <c r="K3129" i="11"/>
  <c r="I3129" i="11"/>
  <c r="N3128" i="11"/>
  <c r="K3128" i="11"/>
  <c r="I3128" i="11"/>
  <c r="N3127" i="11"/>
  <c r="K3127" i="11"/>
  <c r="I3127" i="11"/>
  <c r="N3126" i="11"/>
  <c r="K3126" i="11"/>
  <c r="I3126" i="11"/>
  <c r="N3125" i="11"/>
  <c r="K3125" i="11"/>
  <c r="I3125" i="11"/>
  <c r="N3124" i="11"/>
  <c r="K3124" i="11"/>
  <c r="I3124" i="11"/>
  <c r="N3123" i="11"/>
  <c r="K3123" i="11"/>
  <c r="I3123" i="11"/>
  <c r="N3122" i="11"/>
  <c r="K3122" i="11"/>
  <c r="I3122" i="11"/>
  <c r="N3121" i="11"/>
  <c r="K3121" i="11"/>
  <c r="I3121" i="11"/>
  <c r="N3120" i="11"/>
  <c r="K3120" i="11"/>
  <c r="I3120" i="11"/>
  <c r="N3119" i="11"/>
  <c r="K3119" i="11"/>
  <c r="I3119" i="11"/>
  <c r="N3118" i="11"/>
  <c r="K3118" i="11"/>
  <c r="I3118" i="11"/>
  <c r="N3117" i="11"/>
  <c r="K3117" i="11"/>
  <c r="I3117" i="11"/>
  <c r="N3116" i="11"/>
  <c r="K3116" i="11"/>
  <c r="I3116" i="11"/>
  <c r="N3115" i="11"/>
  <c r="K3115" i="11"/>
  <c r="I3115" i="11"/>
  <c r="N3114" i="11"/>
  <c r="K3114" i="11"/>
  <c r="I3114" i="11"/>
  <c r="N3113" i="11"/>
  <c r="K3113" i="11"/>
  <c r="I3113" i="11"/>
  <c r="N3112" i="11"/>
  <c r="K3112" i="11"/>
  <c r="I3112" i="11"/>
  <c r="N3111" i="11"/>
  <c r="K3111" i="11"/>
  <c r="I3111" i="11"/>
  <c r="N3110" i="11"/>
  <c r="K3110" i="11"/>
  <c r="I3110" i="11"/>
  <c r="N3109" i="11"/>
  <c r="K3109" i="11"/>
  <c r="I3109" i="11"/>
  <c r="N3108" i="11"/>
  <c r="K3108" i="11"/>
  <c r="I3108" i="11"/>
  <c r="N3107" i="11"/>
  <c r="K3107" i="11"/>
  <c r="I3107" i="11"/>
  <c r="N3106" i="11"/>
  <c r="K3106" i="11"/>
  <c r="I3106" i="11"/>
  <c r="N3105" i="11"/>
  <c r="K3105" i="11"/>
  <c r="I3105" i="11"/>
  <c r="N3104" i="11"/>
  <c r="K3104" i="11"/>
  <c r="I3104" i="11"/>
  <c r="N3103" i="11"/>
  <c r="K3103" i="11"/>
  <c r="I3103" i="11"/>
  <c r="N3102" i="11"/>
  <c r="K3102" i="11"/>
  <c r="I3102" i="11"/>
  <c r="N3101" i="11"/>
  <c r="K3101" i="11"/>
  <c r="I3101" i="11"/>
  <c r="N3100" i="11"/>
  <c r="K3100" i="11"/>
  <c r="I3100" i="11"/>
  <c r="N3099" i="11"/>
  <c r="K3099" i="11"/>
  <c r="I3099" i="11"/>
  <c r="N3098" i="11"/>
  <c r="K3098" i="11"/>
  <c r="I3098" i="11"/>
  <c r="N3097" i="11"/>
  <c r="K3097" i="11"/>
  <c r="I3097" i="11"/>
  <c r="N3096" i="11"/>
  <c r="K3096" i="11"/>
  <c r="I3096" i="11"/>
  <c r="N3095" i="11"/>
  <c r="K3095" i="11"/>
  <c r="I3095" i="11"/>
  <c r="N3094" i="11"/>
  <c r="K3094" i="11"/>
  <c r="I3094" i="11"/>
  <c r="N3093" i="11"/>
  <c r="K3093" i="11"/>
  <c r="I3093" i="11"/>
  <c r="N3092" i="11"/>
  <c r="K3092" i="11"/>
  <c r="I3092" i="11"/>
  <c r="N3091" i="11"/>
  <c r="K3091" i="11"/>
  <c r="I3091" i="11"/>
  <c r="N3090" i="11"/>
  <c r="K3090" i="11"/>
  <c r="I3090" i="11"/>
  <c r="N3089" i="11"/>
  <c r="K3089" i="11"/>
  <c r="I3089" i="11"/>
  <c r="N3088" i="11"/>
  <c r="K3088" i="11"/>
  <c r="I3088" i="11"/>
  <c r="N3087" i="11"/>
  <c r="K3087" i="11"/>
  <c r="I3087" i="11"/>
  <c r="N3086" i="11"/>
  <c r="K3086" i="11"/>
  <c r="I3086" i="11"/>
  <c r="N3085" i="11"/>
  <c r="K3085" i="11"/>
  <c r="I3085" i="11"/>
  <c r="N3084" i="11"/>
  <c r="K3084" i="11"/>
  <c r="I3084" i="11"/>
  <c r="N3083" i="11"/>
  <c r="K3083" i="11"/>
  <c r="I3083" i="11"/>
  <c r="N3082" i="11"/>
  <c r="K3082" i="11"/>
  <c r="I3082" i="11"/>
  <c r="N3081" i="11"/>
  <c r="K3081" i="11"/>
  <c r="I3081" i="11"/>
  <c r="N3080" i="11"/>
  <c r="K3080" i="11"/>
  <c r="I3080" i="11"/>
  <c r="N3079" i="11"/>
  <c r="K3079" i="11"/>
  <c r="I3079" i="11"/>
  <c r="N3078" i="11"/>
  <c r="K3078" i="11"/>
  <c r="I3078" i="11"/>
  <c r="N3077" i="11"/>
  <c r="K3077" i="11"/>
  <c r="I3077" i="11"/>
  <c r="N3076" i="11"/>
  <c r="K3076" i="11"/>
  <c r="I3076" i="11"/>
  <c r="N3075" i="11"/>
  <c r="K3075" i="11"/>
  <c r="I3075" i="11"/>
  <c r="N3074" i="11"/>
  <c r="K3074" i="11"/>
  <c r="I3074" i="11"/>
  <c r="N3073" i="11"/>
  <c r="K3073" i="11"/>
  <c r="I3073" i="11"/>
  <c r="N3072" i="11"/>
  <c r="K3072" i="11"/>
  <c r="I3072" i="11"/>
  <c r="N3071" i="11"/>
  <c r="K3071" i="11"/>
  <c r="I3071" i="11"/>
  <c r="N3070" i="11"/>
  <c r="K3070" i="11"/>
  <c r="I3070" i="11"/>
  <c r="N3069" i="11"/>
  <c r="K3069" i="11"/>
  <c r="I3069" i="11"/>
  <c r="N3068" i="11"/>
  <c r="K3068" i="11"/>
  <c r="I3068" i="11"/>
  <c r="N3067" i="11"/>
  <c r="K3067" i="11"/>
  <c r="I3067" i="11"/>
  <c r="N3066" i="11"/>
  <c r="K3066" i="11"/>
  <c r="I3066" i="11"/>
  <c r="N3065" i="11"/>
  <c r="K3065" i="11"/>
  <c r="I3065" i="11"/>
  <c r="N3064" i="11"/>
  <c r="K3064" i="11"/>
  <c r="I3064" i="11"/>
  <c r="N3063" i="11"/>
  <c r="K3063" i="11"/>
  <c r="I3063" i="11"/>
  <c r="N3062" i="11"/>
  <c r="K3062" i="11"/>
  <c r="I3062" i="11"/>
  <c r="N3061" i="11"/>
  <c r="K3061" i="11"/>
  <c r="I3061" i="11"/>
  <c r="N3060" i="11"/>
  <c r="K3060" i="11"/>
  <c r="I3060" i="11"/>
  <c r="N3059" i="11"/>
  <c r="K3059" i="11"/>
  <c r="I3059" i="11"/>
  <c r="N3058" i="11"/>
  <c r="K3058" i="11"/>
  <c r="I3058" i="11"/>
  <c r="N3057" i="11"/>
  <c r="K3057" i="11"/>
  <c r="I3057" i="11"/>
  <c r="N3056" i="11"/>
  <c r="K3056" i="11"/>
  <c r="I3056" i="11"/>
  <c r="N3055" i="11"/>
  <c r="K3055" i="11"/>
  <c r="I3055" i="11"/>
  <c r="N3054" i="11"/>
  <c r="K3054" i="11"/>
  <c r="I3054" i="11"/>
  <c r="N3053" i="11"/>
  <c r="K3053" i="11"/>
  <c r="I3053" i="11"/>
  <c r="N3052" i="11"/>
  <c r="K3052" i="11"/>
  <c r="I3052" i="11"/>
  <c r="N3051" i="11"/>
  <c r="K3051" i="11"/>
  <c r="I3051" i="11"/>
  <c r="N3050" i="11"/>
  <c r="K3050" i="11"/>
  <c r="I3050" i="11"/>
  <c r="N3049" i="11"/>
  <c r="K3049" i="11"/>
  <c r="I3049" i="11"/>
  <c r="N3048" i="11"/>
  <c r="K3048" i="11"/>
  <c r="I3048" i="11"/>
  <c r="N3047" i="11"/>
  <c r="K3047" i="11"/>
  <c r="I3047" i="11"/>
  <c r="N3046" i="11"/>
  <c r="K3046" i="11"/>
  <c r="I3046" i="11"/>
  <c r="N3045" i="11"/>
  <c r="K3045" i="11"/>
  <c r="I3045" i="11"/>
  <c r="N3044" i="11"/>
  <c r="K3044" i="11"/>
  <c r="I3044" i="11"/>
  <c r="N3043" i="11"/>
  <c r="K3043" i="11"/>
  <c r="I3043" i="11"/>
  <c r="N3042" i="11"/>
  <c r="K3042" i="11"/>
  <c r="I3042" i="11"/>
  <c r="N3041" i="11"/>
  <c r="K3041" i="11"/>
  <c r="I3041" i="11"/>
  <c r="N3040" i="11"/>
  <c r="K3040" i="11"/>
  <c r="I3040" i="11"/>
  <c r="N3039" i="11"/>
  <c r="K3039" i="11"/>
  <c r="I3039" i="11"/>
  <c r="N3038" i="11"/>
  <c r="K3038" i="11"/>
  <c r="I3038" i="11"/>
  <c r="N3037" i="11"/>
  <c r="K3037" i="11"/>
  <c r="I3037" i="11"/>
  <c r="N3036" i="11"/>
  <c r="K3036" i="11"/>
  <c r="I3036" i="11"/>
  <c r="N3035" i="11"/>
  <c r="K3035" i="11"/>
  <c r="I3035" i="11"/>
  <c r="N3034" i="11"/>
  <c r="K3034" i="11"/>
  <c r="I3034" i="11"/>
  <c r="N3033" i="11"/>
  <c r="K3033" i="11"/>
  <c r="I3033" i="11"/>
  <c r="N3032" i="11"/>
  <c r="K3032" i="11"/>
  <c r="I3032" i="11"/>
  <c r="N3031" i="11"/>
  <c r="K3031" i="11"/>
  <c r="I3031" i="11"/>
  <c r="N3030" i="11"/>
  <c r="K3030" i="11"/>
  <c r="I3030" i="11"/>
  <c r="N3029" i="11"/>
  <c r="K3029" i="11"/>
  <c r="I3029" i="11"/>
  <c r="N3028" i="11"/>
  <c r="K3028" i="11"/>
  <c r="I3028" i="11"/>
  <c r="N3027" i="11"/>
  <c r="K3027" i="11"/>
  <c r="I3027" i="11"/>
  <c r="N3026" i="11"/>
  <c r="K3026" i="11"/>
  <c r="I3026" i="11"/>
  <c r="N3025" i="11"/>
  <c r="K3025" i="11"/>
  <c r="I3025" i="11"/>
  <c r="N3024" i="11"/>
  <c r="K3024" i="11"/>
  <c r="I3024" i="11"/>
  <c r="N3023" i="11"/>
  <c r="K3023" i="11"/>
  <c r="I3023" i="11"/>
  <c r="N3022" i="11"/>
  <c r="K3022" i="11"/>
  <c r="I3022" i="11"/>
  <c r="N3021" i="11"/>
  <c r="K3021" i="11"/>
  <c r="I3021" i="11"/>
  <c r="N3020" i="11"/>
  <c r="K3020" i="11"/>
  <c r="I3020" i="11"/>
  <c r="N3019" i="11"/>
  <c r="K3019" i="11"/>
  <c r="I3019" i="11"/>
  <c r="N3018" i="11"/>
  <c r="K3018" i="11"/>
  <c r="I3018" i="11"/>
  <c r="N3017" i="11"/>
  <c r="K3017" i="11"/>
  <c r="I3017" i="11"/>
  <c r="N3016" i="11"/>
  <c r="K3016" i="11"/>
  <c r="I3016" i="11"/>
  <c r="N3015" i="11"/>
  <c r="K3015" i="11"/>
  <c r="I3015" i="11"/>
  <c r="N3014" i="11"/>
  <c r="K3014" i="11"/>
  <c r="I3014" i="11"/>
  <c r="N3013" i="11"/>
  <c r="K3013" i="11"/>
  <c r="I3013" i="11"/>
  <c r="N3012" i="11"/>
  <c r="K3012" i="11"/>
  <c r="I3012" i="11"/>
  <c r="N3011" i="11"/>
  <c r="K3011" i="11"/>
  <c r="I3011" i="11"/>
  <c r="N3010" i="11"/>
  <c r="K3010" i="11"/>
  <c r="I3010" i="11"/>
  <c r="N3009" i="11"/>
  <c r="K3009" i="11"/>
  <c r="I3009" i="11"/>
  <c r="N3008" i="11"/>
  <c r="K3008" i="11"/>
  <c r="I3008" i="11"/>
  <c r="N3007" i="11"/>
  <c r="K3007" i="11"/>
  <c r="I3007" i="11"/>
  <c r="N3006" i="11"/>
  <c r="K3006" i="11"/>
  <c r="I3006" i="11"/>
  <c r="N3005" i="11"/>
  <c r="K3005" i="11"/>
  <c r="I3005" i="11"/>
  <c r="N3004" i="11"/>
  <c r="K3004" i="11"/>
  <c r="I3004" i="11"/>
  <c r="N3003" i="11"/>
  <c r="K3003" i="11"/>
  <c r="I3003" i="11"/>
  <c r="N3002" i="11"/>
  <c r="K3002" i="11"/>
  <c r="I3002" i="11"/>
  <c r="N3001" i="11"/>
  <c r="K3001" i="11"/>
  <c r="I3001" i="11"/>
  <c r="N3000" i="11"/>
  <c r="K3000" i="11"/>
  <c r="I3000" i="11"/>
  <c r="N2999" i="11"/>
  <c r="K2999" i="11"/>
  <c r="I2999" i="11"/>
  <c r="N2998" i="11"/>
  <c r="K2998" i="11"/>
  <c r="I2998" i="11"/>
  <c r="N2997" i="11"/>
  <c r="K2997" i="11"/>
  <c r="I2997" i="11"/>
  <c r="N2996" i="11"/>
  <c r="K2996" i="11"/>
  <c r="I2996" i="11"/>
  <c r="N2995" i="11"/>
  <c r="K2995" i="11"/>
  <c r="I2995" i="11"/>
  <c r="N2994" i="11"/>
  <c r="K2994" i="11"/>
  <c r="I2994" i="11"/>
  <c r="N2993" i="11"/>
  <c r="K2993" i="11"/>
  <c r="I2993" i="11"/>
  <c r="N2992" i="11"/>
  <c r="K2992" i="11"/>
  <c r="I2992" i="11"/>
  <c r="N2991" i="11"/>
  <c r="K2991" i="11"/>
  <c r="I2991" i="11"/>
  <c r="N2990" i="11"/>
  <c r="K2990" i="11"/>
  <c r="I2990" i="11"/>
  <c r="N2989" i="11"/>
  <c r="K2989" i="11"/>
  <c r="I2989" i="11"/>
  <c r="N2988" i="11"/>
  <c r="K2988" i="11"/>
  <c r="I2988" i="11"/>
  <c r="N2987" i="11"/>
  <c r="K2987" i="11"/>
  <c r="I2987" i="11"/>
  <c r="N2986" i="11"/>
  <c r="K2986" i="11"/>
  <c r="I2986" i="11"/>
  <c r="N2985" i="11"/>
  <c r="K2985" i="11"/>
  <c r="I2985" i="11"/>
  <c r="N2984" i="11"/>
  <c r="K2984" i="11"/>
  <c r="I2984" i="11"/>
  <c r="N2983" i="11"/>
  <c r="K2983" i="11"/>
  <c r="I2983" i="11"/>
  <c r="N2982" i="11"/>
  <c r="K2982" i="11"/>
  <c r="I2982" i="11"/>
  <c r="N2981" i="11"/>
  <c r="K2981" i="11"/>
  <c r="I2981" i="11"/>
  <c r="N2980" i="11"/>
  <c r="K2980" i="11"/>
  <c r="I2980" i="11"/>
  <c r="N2979" i="11"/>
  <c r="K2979" i="11"/>
  <c r="I2979" i="11"/>
  <c r="N2978" i="11"/>
  <c r="K2978" i="11"/>
  <c r="I2978" i="11"/>
  <c r="N2977" i="11"/>
  <c r="K2977" i="11"/>
  <c r="I2977" i="11"/>
  <c r="N2976" i="11"/>
  <c r="K2976" i="11"/>
  <c r="I2976" i="11"/>
  <c r="N2975" i="11"/>
  <c r="K2975" i="11"/>
  <c r="I2975" i="11"/>
  <c r="N2974" i="11"/>
  <c r="K2974" i="11"/>
  <c r="I2974" i="11"/>
  <c r="N2973" i="11"/>
  <c r="K2973" i="11"/>
  <c r="I2973" i="11"/>
  <c r="N2972" i="11"/>
  <c r="K2972" i="11"/>
  <c r="I2972" i="11"/>
  <c r="N2971" i="11"/>
  <c r="K2971" i="11"/>
  <c r="I2971" i="11"/>
  <c r="N2970" i="11"/>
  <c r="K2970" i="11"/>
  <c r="I2970" i="11"/>
  <c r="N2969" i="11"/>
  <c r="K2969" i="11"/>
  <c r="I2969" i="11"/>
  <c r="N2968" i="11"/>
  <c r="K2968" i="11"/>
  <c r="I2968" i="11"/>
  <c r="N2967" i="11"/>
  <c r="K2967" i="11"/>
  <c r="I2967" i="11"/>
  <c r="N2966" i="11"/>
  <c r="K2966" i="11"/>
  <c r="I2966" i="11"/>
  <c r="N2965" i="11"/>
  <c r="K2965" i="11"/>
  <c r="I2965" i="11"/>
  <c r="N2964" i="11"/>
  <c r="K2964" i="11"/>
  <c r="I2964" i="11"/>
  <c r="N2963" i="11"/>
  <c r="K2963" i="11"/>
  <c r="I2963" i="11"/>
  <c r="N2962" i="11"/>
  <c r="K2962" i="11"/>
  <c r="I2962" i="11"/>
  <c r="N2961" i="11"/>
  <c r="K2961" i="11"/>
  <c r="I2961" i="11"/>
  <c r="N2960" i="11"/>
  <c r="K2960" i="11"/>
  <c r="I2960" i="11"/>
  <c r="N2959" i="11"/>
  <c r="K2959" i="11"/>
  <c r="I2959" i="11"/>
  <c r="N2958" i="11"/>
  <c r="K2958" i="11"/>
  <c r="I2958" i="11"/>
  <c r="N2957" i="11"/>
  <c r="K2957" i="11"/>
  <c r="I2957" i="11"/>
  <c r="N2956" i="11"/>
  <c r="K2956" i="11"/>
  <c r="I2956" i="11"/>
  <c r="N2955" i="11"/>
  <c r="K2955" i="11"/>
  <c r="I2955" i="11"/>
  <c r="N2954" i="11"/>
  <c r="K2954" i="11"/>
  <c r="I2954" i="11"/>
  <c r="N2953" i="11"/>
  <c r="K2953" i="11"/>
  <c r="I2953" i="11"/>
  <c r="N2952" i="11"/>
  <c r="K2952" i="11"/>
  <c r="I2952" i="11"/>
  <c r="N2951" i="11"/>
  <c r="K2951" i="11"/>
  <c r="I2951" i="11"/>
  <c r="N2950" i="11"/>
  <c r="K2950" i="11"/>
  <c r="I2950" i="11"/>
  <c r="N2949" i="11"/>
  <c r="K2949" i="11"/>
  <c r="I2949" i="11"/>
  <c r="N2948" i="11"/>
  <c r="K2948" i="11"/>
  <c r="I2948" i="11"/>
  <c r="N2947" i="11"/>
  <c r="K2947" i="11"/>
  <c r="I2947" i="11"/>
  <c r="N2946" i="11"/>
  <c r="K2946" i="11"/>
  <c r="I2946" i="11"/>
  <c r="N2945" i="11"/>
  <c r="K2945" i="11"/>
  <c r="I2945" i="11"/>
  <c r="N2944" i="11"/>
  <c r="K2944" i="11"/>
  <c r="I2944" i="11"/>
  <c r="N2943" i="11"/>
  <c r="K2943" i="11"/>
  <c r="I2943" i="11"/>
  <c r="N2942" i="11"/>
  <c r="K2942" i="11"/>
  <c r="I2942" i="11"/>
  <c r="N2941" i="11"/>
  <c r="K2941" i="11"/>
  <c r="I2941" i="11"/>
  <c r="N2940" i="11"/>
  <c r="K2940" i="11"/>
  <c r="I2940" i="11"/>
  <c r="N2939" i="11"/>
  <c r="K2939" i="11"/>
  <c r="I2939" i="11"/>
  <c r="N2938" i="11"/>
  <c r="K2938" i="11"/>
  <c r="I2938" i="11"/>
  <c r="N2937" i="11"/>
  <c r="K2937" i="11"/>
  <c r="I2937" i="11"/>
  <c r="N2936" i="11"/>
  <c r="K2936" i="11"/>
  <c r="I2936" i="11"/>
  <c r="N2935" i="11"/>
  <c r="K2935" i="11"/>
  <c r="I2935" i="11"/>
  <c r="N2934" i="11"/>
  <c r="K2934" i="11"/>
  <c r="I2934" i="11"/>
  <c r="N2933" i="11"/>
  <c r="K2933" i="11"/>
  <c r="I2933" i="11"/>
  <c r="N2932" i="11"/>
  <c r="K2932" i="11"/>
  <c r="I2932" i="11"/>
  <c r="N2931" i="11"/>
  <c r="K2931" i="11"/>
  <c r="I2931" i="11"/>
  <c r="N2930" i="11"/>
  <c r="K2930" i="11"/>
  <c r="I2930" i="11"/>
  <c r="N2929" i="11"/>
  <c r="K2929" i="11"/>
  <c r="I2929" i="11"/>
  <c r="N2928" i="11"/>
  <c r="K2928" i="11"/>
  <c r="I2928" i="11"/>
  <c r="N2927" i="11"/>
  <c r="K2927" i="11"/>
  <c r="I2927" i="11"/>
  <c r="N2926" i="11"/>
  <c r="K2926" i="11"/>
  <c r="I2926" i="11"/>
  <c r="N2925" i="11"/>
  <c r="K2925" i="11"/>
  <c r="I2925" i="11"/>
  <c r="N2924" i="11"/>
  <c r="K2924" i="11"/>
  <c r="I2924" i="11"/>
  <c r="N2923" i="11"/>
  <c r="K2923" i="11"/>
  <c r="I2923" i="11"/>
  <c r="N2922" i="11"/>
  <c r="K2922" i="11"/>
  <c r="I2922" i="11"/>
  <c r="N2921" i="11"/>
  <c r="K2921" i="11"/>
  <c r="I2921" i="11"/>
  <c r="N2920" i="11"/>
  <c r="K2920" i="11"/>
  <c r="I2920" i="11"/>
  <c r="N2919" i="11"/>
  <c r="K2919" i="11"/>
  <c r="I2919" i="11"/>
  <c r="N2918" i="11"/>
  <c r="K2918" i="11"/>
  <c r="I2918" i="11"/>
  <c r="N2917" i="11"/>
  <c r="K2917" i="11"/>
  <c r="I2917" i="11"/>
  <c r="N2916" i="11"/>
  <c r="K2916" i="11"/>
  <c r="I2916" i="11"/>
  <c r="N2915" i="11"/>
  <c r="K2915" i="11"/>
  <c r="I2915" i="11"/>
  <c r="N2914" i="11"/>
  <c r="K2914" i="11"/>
  <c r="I2914" i="11"/>
  <c r="N2913" i="11"/>
  <c r="K2913" i="11"/>
  <c r="I2913" i="11"/>
  <c r="N2912" i="11"/>
  <c r="K2912" i="11"/>
  <c r="I2912" i="11"/>
  <c r="N2911" i="11"/>
  <c r="K2911" i="11"/>
  <c r="I2911" i="11"/>
  <c r="N2910" i="11"/>
  <c r="K2910" i="11"/>
  <c r="I2910" i="11"/>
  <c r="N2909" i="11"/>
  <c r="K2909" i="11"/>
  <c r="I2909" i="11"/>
  <c r="N2908" i="11"/>
  <c r="K2908" i="11"/>
  <c r="I2908" i="11"/>
  <c r="N2907" i="11"/>
  <c r="K2907" i="11"/>
  <c r="I2907" i="11"/>
  <c r="N2906" i="11"/>
  <c r="K2906" i="11"/>
  <c r="I2906" i="11"/>
  <c r="N2905" i="11"/>
  <c r="K2905" i="11"/>
  <c r="I2905" i="11"/>
  <c r="N2904" i="11"/>
  <c r="K2904" i="11"/>
  <c r="I2904" i="11"/>
  <c r="N2903" i="11"/>
  <c r="K2903" i="11"/>
  <c r="I2903" i="11"/>
  <c r="N2902" i="11"/>
  <c r="K2902" i="11"/>
  <c r="I2902" i="11"/>
  <c r="N2901" i="11"/>
  <c r="K2901" i="11"/>
  <c r="I2901" i="11"/>
  <c r="N2900" i="11"/>
  <c r="K2900" i="11"/>
  <c r="I2900" i="11"/>
  <c r="N2899" i="11"/>
  <c r="K2899" i="11"/>
  <c r="I2899" i="11"/>
  <c r="N2898" i="11"/>
  <c r="K2898" i="11"/>
  <c r="I2898" i="11"/>
  <c r="N2897" i="11"/>
  <c r="K2897" i="11"/>
  <c r="I2897" i="11"/>
  <c r="N2896" i="11"/>
  <c r="K2896" i="11"/>
  <c r="I2896" i="11"/>
  <c r="N2895" i="11"/>
  <c r="K2895" i="11"/>
  <c r="I2895" i="11"/>
  <c r="N2894" i="11"/>
  <c r="K2894" i="11"/>
  <c r="I2894" i="11"/>
  <c r="N2893" i="11"/>
  <c r="K2893" i="11"/>
  <c r="I2893" i="11"/>
  <c r="N2892" i="11"/>
  <c r="K2892" i="11"/>
  <c r="I2892" i="11"/>
  <c r="N2891" i="11"/>
  <c r="K2891" i="11"/>
  <c r="I2891" i="11"/>
  <c r="N2890" i="11"/>
  <c r="K2890" i="11"/>
  <c r="I2890" i="11"/>
  <c r="N2889" i="11"/>
  <c r="K2889" i="11"/>
  <c r="I2889" i="11"/>
  <c r="N2888" i="11"/>
  <c r="K2888" i="11"/>
  <c r="I2888" i="11"/>
  <c r="N2887" i="11"/>
  <c r="K2887" i="11"/>
  <c r="I2887" i="11"/>
  <c r="N2886" i="11"/>
  <c r="K2886" i="11"/>
  <c r="I2886" i="11"/>
  <c r="N2885" i="11"/>
  <c r="K2885" i="11"/>
  <c r="I2885" i="11"/>
  <c r="N2884" i="11"/>
  <c r="K2884" i="11"/>
  <c r="I2884" i="11"/>
  <c r="N2883" i="11"/>
  <c r="K2883" i="11"/>
  <c r="I2883" i="11"/>
  <c r="N2882" i="11"/>
  <c r="K2882" i="11"/>
  <c r="I2882" i="11"/>
  <c r="N2881" i="11"/>
  <c r="K2881" i="11"/>
  <c r="I2881" i="11"/>
  <c r="N2880" i="11"/>
  <c r="K2880" i="11"/>
  <c r="I2880" i="11"/>
  <c r="N2879" i="11"/>
  <c r="K2879" i="11"/>
  <c r="I2879" i="11"/>
  <c r="N2878" i="11"/>
  <c r="K2878" i="11"/>
  <c r="I2878" i="11"/>
  <c r="N2877" i="11"/>
  <c r="K2877" i="11"/>
  <c r="I2877" i="11"/>
  <c r="N2876" i="11"/>
  <c r="K2876" i="11"/>
  <c r="I2876" i="11"/>
  <c r="N2875" i="11"/>
  <c r="K2875" i="11"/>
  <c r="I2875" i="11"/>
  <c r="N2874" i="11"/>
  <c r="K2874" i="11"/>
  <c r="I2874" i="11"/>
  <c r="N2873" i="11"/>
  <c r="K2873" i="11"/>
  <c r="I2873" i="11"/>
  <c r="N2872" i="11"/>
  <c r="K2872" i="11"/>
  <c r="I2872" i="11"/>
  <c r="N2871" i="11"/>
  <c r="K2871" i="11"/>
  <c r="I2871" i="11"/>
  <c r="N2870" i="11"/>
  <c r="K2870" i="11"/>
  <c r="I2870" i="11"/>
  <c r="N2869" i="11"/>
  <c r="K2869" i="11"/>
  <c r="I2869" i="11"/>
  <c r="N2868" i="11"/>
  <c r="K2868" i="11"/>
  <c r="I2868" i="11"/>
  <c r="N2867" i="11"/>
  <c r="K2867" i="11"/>
  <c r="I2867" i="11"/>
  <c r="N2866" i="11"/>
  <c r="K2866" i="11"/>
  <c r="I2866" i="11"/>
  <c r="N2865" i="11"/>
  <c r="K2865" i="11"/>
  <c r="I2865" i="11"/>
  <c r="N2864" i="11"/>
  <c r="K2864" i="11"/>
  <c r="I2864" i="11"/>
  <c r="N2863" i="11"/>
  <c r="K2863" i="11"/>
  <c r="I2863" i="11"/>
  <c r="N2862" i="11"/>
  <c r="K2862" i="11"/>
  <c r="I2862" i="11"/>
  <c r="N2861" i="11"/>
  <c r="K2861" i="11"/>
  <c r="I2861" i="11"/>
  <c r="N2860" i="11"/>
  <c r="K2860" i="11"/>
  <c r="I2860" i="11"/>
  <c r="N2859" i="11"/>
  <c r="K2859" i="11"/>
  <c r="I2859" i="11"/>
  <c r="N2858" i="11"/>
  <c r="K2858" i="11"/>
  <c r="I2858" i="11"/>
  <c r="N2857" i="11"/>
  <c r="K2857" i="11"/>
  <c r="I2857" i="11"/>
  <c r="N2856" i="11"/>
  <c r="K2856" i="11"/>
  <c r="I2856" i="11"/>
  <c r="N2855" i="11"/>
  <c r="K2855" i="11"/>
  <c r="I2855" i="11"/>
  <c r="N2854" i="11"/>
  <c r="K2854" i="11"/>
  <c r="I2854" i="11"/>
  <c r="N2853" i="11"/>
  <c r="K2853" i="11"/>
  <c r="I2853" i="11"/>
  <c r="N2852" i="11"/>
  <c r="K2852" i="11"/>
  <c r="I2852" i="11"/>
  <c r="N2851" i="11"/>
  <c r="K2851" i="11"/>
  <c r="I2851" i="11"/>
  <c r="N2850" i="11"/>
  <c r="K2850" i="11"/>
  <c r="I2850" i="11"/>
  <c r="N2849" i="11"/>
  <c r="K2849" i="11"/>
  <c r="I2849" i="11"/>
  <c r="N2848" i="11"/>
  <c r="K2848" i="11"/>
  <c r="I2848" i="11"/>
  <c r="N2847" i="11"/>
  <c r="K2847" i="11"/>
  <c r="I2847" i="11"/>
  <c r="N2846" i="11"/>
  <c r="K2846" i="11"/>
  <c r="I2846" i="11"/>
  <c r="N2845" i="11"/>
  <c r="K2845" i="11"/>
  <c r="I2845" i="11"/>
  <c r="N2844" i="11"/>
  <c r="K2844" i="11"/>
  <c r="I2844" i="11"/>
  <c r="N2843" i="11"/>
  <c r="K2843" i="11"/>
  <c r="I2843" i="11"/>
  <c r="N2842" i="11"/>
  <c r="K2842" i="11"/>
  <c r="I2842" i="11"/>
  <c r="N2841" i="11"/>
  <c r="K2841" i="11"/>
  <c r="I2841" i="11"/>
  <c r="N2840" i="11"/>
  <c r="K2840" i="11"/>
  <c r="I2840" i="11"/>
  <c r="N2839" i="11"/>
  <c r="K2839" i="11"/>
  <c r="I2839" i="11"/>
  <c r="N2838" i="11"/>
  <c r="K2838" i="11"/>
  <c r="I2838" i="11"/>
  <c r="N2837" i="11"/>
  <c r="K2837" i="11"/>
  <c r="I2837" i="11"/>
  <c r="N2836" i="11"/>
  <c r="K2836" i="11"/>
  <c r="I2836" i="11"/>
  <c r="N2835" i="11"/>
  <c r="K2835" i="11"/>
  <c r="I2835" i="11"/>
  <c r="N2834" i="11"/>
  <c r="K2834" i="11"/>
  <c r="I2834" i="11"/>
  <c r="N2833" i="11"/>
  <c r="K2833" i="11"/>
  <c r="I2833" i="11"/>
  <c r="N2832" i="11"/>
  <c r="K2832" i="11"/>
  <c r="I2832" i="11"/>
  <c r="N2831" i="11"/>
  <c r="K2831" i="11"/>
  <c r="I2831" i="11"/>
  <c r="N2830" i="11"/>
  <c r="K2830" i="11"/>
  <c r="I2830" i="11"/>
  <c r="N2829" i="11"/>
  <c r="K2829" i="11"/>
  <c r="I2829" i="11"/>
  <c r="N2828" i="11"/>
  <c r="K2828" i="11"/>
  <c r="I2828" i="11"/>
  <c r="N2827" i="11"/>
  <c r="K2827" i="11"/>
  <c r="I2827" i="11"/>
  <c r="N2826" i="11"/>
  <c r="K2826" i="11"/>
  <c r="I2826" i="11"/>
  <c r="N2825" i="11"/>
  <c r="K2825" i="11"/>
  <c r="I2825" i="11"/>
  <c r="N2824" i="11"/>
  <c r="K2824" i="11"/>
  <c r="I2824" i="11"/>
  <c r="N2823" i="11"/>
  <c r="K2823" i="11"/>
  <c r="I2823" i="11"/>
  <c r="N2822" i="11"/>
  <c r="K2822" i="11"/>
  <c r="I2822" i="11"/>
  <c r="N2821" i="11"/>
  <c r="K2821" i="11"/>
  <c r="I2821" i="11"/>
  <c r="N2820" i="11"/>
  <c r="K2820" i="11"/>
  <c r="I2820" i="11"/>
  <c r="N2819" i="11"/>
  <c r="K2819" i="11"/>
  <c r="I2819" i="11"/>
  <c r="N2818" i="11"/>
  <c r="K2818" i="11"/>
  <c r="I2818" i="11"/>
  <c r="N2817" i="11"/>
  <c r="K2817" i="11"/>
  <c r="I2817" i="11"/>
  <c r="N2816" i="11"/>
  <c r="K2816" i="11"/>
  <c r="I2816" i="11"/>
  <c r="N2815" i="11"/>
  <c r="K2815" i="11"/>
  <c r="I2815" i="11"/>
  <c r="N2814" i="11"/>
  <c r="K2814" i="11"/>
  <c r="I2814" i="11"/>
  <c r="N2813" i="11"/>
  <c r="K2813" i="11"/>
  <c r="I2813" i="11"/>
  <c r="N2812" i="11"/>
  <c r="K2812" i="11"/>
  <c r="I2812" i="11"/>
  <c r="N2811" i="11"/>
  <c r="K2811" i="11"/>
  <c r="I2811" i="11"/>
  <c r="N2810" i="11"/>
  <c r="K2810" i="11"/>
  <c r="I2810" i="11"/>
  <c r="N2809" i="11"/>
  <c r="K2809" i="11"/>
  <c r="I2809" i="11"/>
  <c r="N2808" i="11"/>
  <c r="K2808" i="11"/>
  <c r="I2808" i="11"/>
  <c r="N2807" i="11"/>
  <c r="K2807" i="11"/>
  <c r="I2807" i="11"/>
  <c r="N2806" i="11"/>
  <c r="K2806" i="11"/>
  <c r="I2806" i="11"/>
  <c r="N2805" i="11"/>
  <c r="K2805" i="11"/>
  <c r="I2805" i="11"/>
  <c r="N2804" i="11"/>
  <c r="K2804" i="11"/>
  <c r="I2804" i="11"/>
  <c r="N2803" i="11"/>
  <c r="K2803" i="11"/>
  <c r="I2803" i="11"/>
  <c r="N2802" i="11"/>
  <c r="K2802" i="11"/>
  <c r="I2802" i="11"/>
  <c r="N2801" i="11"/>
  <c r="K2801" i="11"/>
  <c r="I2801" i="11"/>
  <c r="N2800" i="11"/>
  <c r="K2800" i="11"/>
  <c r="I2800" i="11"/>
  <c r="N2799" i="11"/>
  <c r="K2799" i="11"/>
  <c r="I2799" i="11"/>
  <c r="N2798" i="11"/>
  <c r="K2798" i="11"/>
  <c r="I2798" i="11"/>
  <c r="N2797" i="11"/>
  <c r="K2797" i="11"/>
  <c r="I2797" i="11"/>
  <c r="N2796" i="11"/>
  <c r="K2796" i="11"/>
  <c r="I2796" i="11"/>
  <c r="N2795" i="11"/>
  <c r="K2795" i="11"/>
  <c r="I2795" i="11"/>
  <c r="N2794" i="11"/>
  <c r="K2794" i="11"/>
  <c r="I2794" i="11"/>
  <c r="N2793" i="11"/>
  <c r="K2793" i="11"/>
  <c r="I2793" i="11"/>
  <c r="N2792" i="11"/>
  <c r="K2792" i="11"/>
  <c r="I2792" i="11"/>
  <c r="N2791" i="11"/>
  <c r="K2791" i="11"/>
  <c r="I2791" i="11"/>
  <c r="N2790" i="11"/>
  <c r="K2790" i="11"/>
  <c r="I2790" i="11"/>
  <c r="N2789" i="11"/>
  <c r="K2789" i="11"/>
  <c r="I2789" i="11"/>
  <c r="N2788" i="11"/>
  <c r="K2788" i="11"/>
  <c r="I2788" i="11"/>
  <c r="N2787" i="11"/>
  <c r="K2787" i="11"/>
  <c r="I2787" i="11"/>
  <c r="N2786" i="11"/>
  <c r="K2786" i="11"/>
  <c r="I2786" i="11"/>
  <c r="N2785" i="11"/>
  <c r="K2785" i="11"/>
  <c r="I2785" i="11"/>
  <c r="N2784" i="11"/>
  <c r="K2784" i="11"/>
  <c r="I2784" i="11"/>
  <c r="N2783" i="11"/>
  <c r="K2783" i="11"/>
  <c r="I2783" i="11"/>
  <c r="N2782" i="11"/>
  <c r="K2782" i="11"/>
  <c r="I2782" i="11"/>
  <c r="N2781" i="11"/>
  <c r="K2781" i="11"/>
  <c r="I2781" i="11"/>
  <c r="N2780" i="11"/>
  <c r="K2780" i="11"/>
  <c r="I2780" i="11"/>
  <c r="N2779" i="11"/>
  <c r="K2779" i="11"/>
  <c r="I2779" i="11"/>
  <c r="N2778" i="11"/>
  <c r="K2778" i="11"/>
  <c r="I2778" i="11"/>
  <c r="N2777" i="11"/>
  <c r="K2777" i="11"/>
  <c r="I2777" i="11"/>
  <c r="N2776" i="11"/>
  <c r="K2776" i="11"/>
  <c r="I2776" i="11"/>
  <c r="N2775" i="11"/>
  <c r="K2775" i="11"/>
  <c r="I2775" i="11"/>
  <c r="N2774" i="11"/>
  <c r="K2774" i="11"/>
  <c r="I2774" i="11"/>
  <c r="N2773" i="11"/>
  <c r="K2773" i="11"/>
  <c r="I2773" i="11"/>
  <c r="N2772" i="11"/>
  <c r="K2772" i="11"/>
  <c r="I2772" i="11"/>
  <c r="N2771" i="11"/>
  <c r="K2771" i="11"/>
  <c r="I2771" i="11"/>
  <c r="N2770" i="11"/>
  <c r="K2770" i="11"/>
  <c r="I2770" i="11"/>
  <c r="N2769" i="11"/>
  <c r="K2769" i="11"/>
  <c r="I2769" i="11"/>
  <c r="N2768" i="11"/>
  <c r="K2768" i="11"/>
  <c r="I2768" i="11"/>
  <c r="N2767" i="11"/>
  <c r="K2767" i="11"/>
  <c r="I2767" i="11"/>
  <c r="N2766" i="11"/>
  <c r="K2766" i="11"/>
  <c r="I2766" i="11"/>
  <c r="N2765" i="11"/>
  <c r="K2765" i="11"/>
  <c r="I2765" i="11"/>
  <c r="N2764" i="11"/>
  <c r="K2764" i="11"/>
  <c r="I2764" i="11"/>
  <c r="N2763" i="11"/>
  <c r="K2763" i="11"/>
  <c r="I2763" i="11"/>
  <c r="N2762" i="11"/>
  <c r="K2762" i="11"/>
  <c r="I2762" i="11"/>
  <c r="N2761" i="11"/>
  <c r="K2761" i="11"/>
  <c r="I2761" i="11"/>
  <c r="N2760" i="11"/>
  <c r="K2760" i="11"/>
  <c r="I2760" i="11"/>
  <c r="N2759" i="11"/>
  <c r="K2759" i="11"/>
  <c r="I2759" i="11"/>
  <c r="N2758" i="11"/>
  <c r="K2758" i="11"/>
  <c r="I2758" i="11"/>
  <c r="N2757" i="11"/>
  <c r="K2757" i="11"/>
  <c r="I2757" i="11"/>
  <c r="N2756" i="11"/>
  <c r="K2756" i="11"/>
  <c r="I2756" i="11"/>
  <c r="N2755" i="11"/>
  <c r="K2755" i="11"/>
  <c r="I2755" i="11"/>
  <c r="N2754" i="11"/>
  <c r="K2754" i="11"/>
  <c r="I2754" i="11"/>
  <c r="N2753" i="11"/>
  <c r="K2753" i="11"/>
  <c r="I2753" i="11"/>
  <c r="N2752" i="11"/>
  <c r="K2752" i="11"/>
  <c r="I2752" i="11"/>
  <c r="N2751" i="11"/>
  <c r="K2751" i="11"/>
  <c r="I2751" i="11"/>
  <c r="N2750" i="11"/>
  <c r="K2750" i="11"/>
  <c r="I2750" i="11"/>
  <c r="N2749" i="11"/>
  <c r="K2749" i="11"/>
  <c r="I2749" i="11"/>
  <c r="N2748" i="11"/>
  <c r="K2748" i="11"/>
  <c r="I2748" i="11"/>
  <c r="N2747" i="11"/>
  <c r="K2747" i="11"/>
  <c r="I2747" i="11"/>
  <c r="N2746" i="11"/>
  <c r="K2746" i="11"/>
  <c r="I2746" i="11"/>
  <c r="N2745" i="11"/>
  <c r="K2745" i="11"/>
  <c r="I2745" i="11"/>
  <c r="N2744" i="11"/>
  <c r="K2744" i="11"/>
  <c r="I2744" i="11"/>
  <c r="N2743" i="11"/>
  <c r="K2743" i="11"/>
  <c r="I2743" i="11"/>
  <c r="N2742" i="11"/>
  <c r="K2742" i="11"/>
  <c r="I2742" i="11"/>
  <c r="N2741" i="11"/>
  <c r="K2741" i="11"/>
  <c r="I2741" i="11"/>
  <c r="N2740" i="11"/>
  <c r="K2740" i="11"/>
  <c r="I2740" i="11"/>
  <c r="N2739" i="11"/>
  <c r="K2739" i="11"/>
  <c r="I2739" i="11"/>
  <c r="N2738" i="11"/>
  <c r="K2738" i="11"/>
  <c r="I2738" i="11"/>
  <c r="N2737" i="11"/>
  <c r="K2737" i="11"/>
  <c r="I2737" i="11"/>
  <c r="N2736" i="11"/>
  <c r="K2736" i="11"/>
  <c r="I2736" i="11"/>
  <c r="N2735" i="11"/>
  <c r="K2735" i="11"/>
  <c r="I2735" i="11"/>
  <c r="N2734" i="11"/>
  <c r="K2734" i="11"/>
  <c r="I2734" i="11"/>
  <c r="N2733" i="11"/>
  <c r="K2733" i="11"/>
  <c r="I2733" i="11"/>
  <c r="N2732" i="11"/>
  <c r="K2732" i="11"/>
  <c r="I2732" i="11"/>
  <c r="N2731" i="11"/>
  <c r="K2731" i="11"/>
  <c r="I2731" i="11"/>
  <c r="N2730" i="11"/>
  <c r="K2730" i="11"/>
  <c r="I2730" i="11"/>
  <c r="N2729" i="11"/>
  <c r="K2729" i="11"/>
  <c r="I2729" i="11"/>
  <c r="N2728" i="11"/>
  <c r="K2728" i="11"/>
  <c r="I2728" i="11"/>
  <c r="N2727" i="11"/>
  <c r="K2727" i="11"/>
  <c r="I2727" i="11"/>
  <c r="N2726" i="11"/>
  <c r="K2726" i="11"/>
  <c r="I2726" i="11"/>
  <c r="N2725" i="11"/>
  <c r="K2725" i="11"/>
  <c r="I2725" i="11"/>
  <c r="N2724" i="11"/>
  <c r="K2724" i="11"/>
  <c r="I2724" i="11"/>
  <c r="N2723" i="11"/>
  <c r="K2723" i="11"/>
  <c r="I2723" i="11"/>
  <c r="N2722" i="11"/>
  <c r="K2722" i="11"/>
  <c r="I2722" i="11"/>
  <c r="N2721" i="11"/>
  <c r="K2721" i="11"/>
  <c r="I2721" i="11"/>
  <c r="N2720" i="11"/>
  <c r="K2720" i="11"/>
  <c r="I2720" i="11"/>
  <c r="N2719" i="11"/>
  <c r="K2719" i="11"/>
  <c r="I2719" i="11"/>
  <c r="N2718" i="11"/>
  <c r="K2718" i="11"/>
  <c r="I2718" i="11"/>
  <c r="N2717" i="11"/>
  <c r="K2717" i="11"/>
  <c r="I2717" i="11"/>
  <c r="N2716" i="11"/>
  <c r="K2716" i="11"/>
  <c r="I2716" i="11"/>
  <c r="N2715" i="11"/>
  <c r="K2715" i="11"/>
  <c r="I2715" i="11"/>
  <c r="N2714" i="11"/>
  <c r="K2714" i="11"/>
  <c r="I2714" i="11"/>
  <c r="N2713" i="11"/>
  <c r="K2713" i="11"/>
  <c r="I2713" i="11"/>
  <c r="N2712" i="11"/>
  <c r="K2712" i="11"/>
  <c r="I2712" i="11"/>
  <c r="N2711" i="11"/>
  <c r="K2711" i="11"/>
  <c r="I2711" i="11"/>
  <c r="N2710" i="11"/>
  <c r="K2710" i="11"/>
  <c r="I2710" i="11"/>
  <c r="N2709" i="11"/>
  <c r="K2709" i="11"/>
  <c r="I2709" i="11"/>
  <c r="N2708" i="11"/>
  <c r="K2708" i="11"/>
  <c r="I2708" i="11"/>
  <c r="N2707" i="11"/>
  <c r="K2707" i="11"/>
  <c r="I2707" i="11"/>
  <c r="N2706" i="11"/>
  <c r="K2706" i="11"/>
  <c r="I2706" i="11"/>
  <c r="N2705" i="11"/>
  <c r="K2705" i="11"/>
  <c r="I2705" i="11"/>
  <c r="N2704" i="11"/>
  <c r="K2704" i="11"/>
  <c r="I2704" i="11"/>
  <c r="N2703" i="11"/>
  <c r="K2703" i="11"/>
  <c r="I2703" i="11"/>
  <c r="N2702" i="11"/>
  <c r="K2702" i="11"/>
  <c r="I2702" i="11"/>
  <c r="N2701" i="11"/>
  <c r="K2701" i="11"/>
  <c r="I2701" i="11"/>
  <c r="N2700" i="11"/>
  <c r="K2700" i="11"/>
  <c r="I2700" i="11"/>
  <c r="N2699" i="11"/>
  <c r="K2699" i="11"/>
  <c r="I2699" i="11"/>
  <c r="N2698" i="11"/>
  <c r="K2698" i="11"/>
  <c r="I2698" i="11"/>
  <c r="N2697" i="11"/>
  <c r="K2697" i="11"/>
  <c r="I2697" i="11"/>
  <c r="N2696" i="11"/>
  <c r="K2696" i="11"/>
  <c r="I2696" i="11"/>
  <c r="N2695" i="11"/>
  <c r="K2695" i="11"/>
  <c r="I2695" i="11"/>
  <c r="N2694" i="11"/>
  <c r="K2694" i="11"/>
  <c r="I2694" i="11"/>
  <c r="N2693" i="11"/>
  <c r="K2693" i="11"/>
  <c r="I2693" i="11"/>
  <c r="N2692" i="11"/>
  <c r="K2692" i="11"/>
  <c r="I2692" i="11"/>
  <c r="N2691" i="11"/>
  <c r="K2691" i="11"/>
  <c r="I2691" i="11"/>
  <c r="N2690" i="11"/>
  <c r="K2690" i="11"/>
  <c r="I2690" i="11"/>
  <c r="N2689" i="11"/>
  <c r="K2689" i="11"/>
  <c r="I2689" i="11"/>
  <c r="N2688" i="11"/>
  <c r="K2688" i="11"/>
  <c r="I2688" i="11"/>
  <c r="N2687" i="11"/>
  <c r="K2687" i="11"/>
  <c r="I2687" i="11"/>
  <c r="N2686" i="11"/>
  <c r="K2686" i="11"/>
  <c r="I2686" i="11"/>
  <c r="N2685" i="11"/>
  <c r="K2685" i="11"/>
  <c r="I2685" i="11"/>
  <c r="N2684" i="11"/>
  <c r="K2684" i="11"/>
  <c r="I2684" i="11"/>
  <c r="N2683" i="11"/>
  <c r="K2683" i="11"/>
  <c r="I2683" i="11"/>
  <c r="N2682" i="11"/>
  <c r="K2682" i="11"/>
  <c r="I2682" i="11"/>
  <c r="N2681" i="11"/>
  <c r="K2681" i="11"/>
  <c r="I2681" i="11"/>
  <c r="N2680" i="11"/>
  <c r="K2680" i="11"/>
  <c r="I2680" i="11"/>
  <c r="N2679" i="11"/>
  <c r="K2679" i="11"/>
  <c r="I2679" i="11"/>
  <c r="N2678" i="11"/>
  <c r="K2678" i="11"/>
  <c r="I2678" i="11"/>
  <c r="N2677" i="11"/>
  <c r="K2677" i="11"/>
  <c r="I2677" i="11"/>
  <c r="N2676" i="11"/>
  <c r="K2676" i="11"/>
  <c r="I2676" i="11"/>
  <c r="N2675" i="11"/>
  <c r="K2675" i="11"/>
  <c r="I2675" i="11"/>
  <c r="N2674" i="11"/>
  <c r="K2674" i="11"/>
  <c r="I2674" i="11"/>
  <c r="N2673" i="11"/>
  <c r="K2673" i="11"/>
  <c r="I2673" i="11"/>
  <c r="N2672" i="11"/>
  <c r="K2672" i="11"/>
  <c r="I2672" i="11"/>
  <c r="N2671" i="11"/>
  <c r="K2671" i="11"/>
  <c r="I2671" i="11"/>
  <c r="N2670" i="11"/>
  <c r="K2670" i="11"/>
  <c r="I2670" i="11"/>
  <c r="N2669" i="11"/>
  <c r="K2669" i="11"/>
  <c r="I2669" i="11"/>
  <c r="N2668" i="11"/>
  <c r="K2668" i="11"/>
  <c r="I2668" i="11"/>
  <c r="N2667" i="11"/>
  <c r="K2667" i="11"/>
  <c r="I2667" i="11"/>
  <c r="N2666" i="11"/>
  <c r="K2666" i="11"/>
  <c r="I2666" i="11"/>
  <c r="N2665" i="11"/>
  <c r="K2665" i="11"/>
  <c r="I2665" i="11"/>
  <c r="N2664" i="11"/>
  <c r="K2664" i="11"/>
  <c r="I2664" i="11"/>
  <c r="N2663" i="11"/>
  <c r="K2663" i="11"/>
  <c r="I2663" i="11"/>
  <c r="N2662" i="11"/>
  <c r="K2662" i="11"/>
  <c r="I2662" i="11"/>
  <c r="N2661" i="11"/>
  <c r="K2661" i="11"/>
  <c r="I2661" i="11"/>
  <c r="N2660" i="11"/>
  <c r="K2660" i="11"/>
  <c r="I2660" i="11"/>
  <c r="N2659" i="11"/>
  <c r="K2659" i="11"/>
  <c r="I2659" i="11"/>
  <c r="N2658" i="11"/>
  <c r="K2658" i="11"/>
  <c r="I2658" i="11"/>
  <c r="N2657" i="11"/>
  <c r="K2657" i="11"/>
  <c r="I2657" i="11"/>
  <c r="N2656" i="11"/>
  <c r="K2656" i="11"/>
  <c r="I2656" i="11"/>
  <c r="N2655" i="11"/>
  <c r="K2655" i="11"/>
  <c r="I2655" i="11"/>
  <c r="N2654" i="11"/>
  <c r="K2654" i="11"/>
  <c r="I2654" i="11"/>
  <c r="N2653" i="11"/>
  <c r="K2653" i="11"/>
  <c r="I2653" i="11"/>
  <c r="N2652" i="11"/>
  <c r="K2652" i="11"/>
  <c r="I2652" i="11"/>
  <c r="N2651" i="11"/>
  <c r="K2651" i="11"/>
  <c r="I2651" i="11"/>
  <c r="N2650" i="11"/>
  <c r="K2650" i="11"/>
  <c r="I2650" i="11"/>
  <c r="N2649" i="11"/>
  <c r="K2649" i="11"/>
  <c r="I2649" i="11"/>
  <c r="N2648" i="11"/>
  <c r="K2648" i="11"/>
  <c r="I2648" i="11"/>
  <c r="N2647" i="11"/>
  <c r="K2647" i="11"/>
  <c r="I2647" i="11"/>
  <c r="N2646" i="11"/>
  <c r="K2646" i="11"/>
  <c r="I2646" i="11"/>
  <c r="N2645" i="11"/>
  <c r="K2645" i="11"/>
  <c r="I2645" i="11"/>
  <c r="N2644" i="11"/>
  <c r="K2644" i="11"/>
  <c r="I2644" i="11"/>
  <c r="N2643" i="11"/>
  <c r="K2643" i="11"/>
  <c r="I2643" i="11"/>
  <c r="N2642" i="11"/>
  <c r="K2642" i="11"/>
  <c r="I2642" i="11"/>
  <c r="N2641" i="11"/>
  <c r="K2641" i="11"/>
  <c r="I2641" i="11"/>
  <c r="N2640" i="11"/>
  <c r="K2640" i="11"/>
  <c r="I2640" i="11"/>
  <c r="N2639" i="11"/>
  <c r="K2639" i="11"/>
  <c r="I2639" i="11"/>
  <c r="N2638" i="11"/>
  <c r="K2638" i="11"/>
  <c r="I2638" i="11"/>
  <c r="N2637" i="11"/>
  <c r="K2637" i="11"/>
  <c r="I2637" i="11"/>
  <c r="N2636" i="11"/>
  <c r="K2636" i="11"/>
  <c r="I2636" i="11"/>
  <c r="N2635" i="11"/>
  <c r="K2635" i="11"/>
  <c r="I2635" i="11"/>
  <c r="N2634" i="11"/>
  <c r="K2634" i="11"/>
  <c r="I2634" i="11"/>
  <c r="N2633" i="11"/>
  <c r="K2633" i="11"/>
  <c r="I2633" i="11"/>
  <c r="N2632" i="11"/>
  <c r="K2632" i="11"/>
  <c r="I2632" i="11"/>
  <c r="N2631" i="11"/>
  <c r="K2631" i="11"/>
  <c r="I2631" i="11"/>
  <c r="N2630" i="11"/>
  <c r="K2630" i="11"/>
  <c r="I2630" i="11"/>
  <c r="N2629" i="11"/>
  <c r="K2629" i="11"/>
  <c r="I2629" i="11"/>
  <c r="N2628" i="11"/>
  <c r="K2628" i="11"/>
  <c r="I2628" i="11"/>
  <c r="N2627" i="11"/>
  <c r="K2627" i="11"/>
  <c r="I2627" i="11"/>
  <c r="N2626" i="11"/>
  <c r="K2626" i="11"/>
  <c r="I2626" i="11"/>
  <c r="N2625" i="11"/>
  <c r="K2625" i="11"/>
  <c r="I2625" i="11"/>
  <c r="N2624" i="11"/>
  <c r="K2624" i="11"/>
  <c r="I2624" i="11"/>
  <c r="N2623" i="11"/>
  <c r="K2623" i="11"/>
  <c r="I2623" i="11"/>
  <c r="N2622" i="11"/>
  <c r="K2622" i="11"/>
  <c r="I2622" i="11"/>
  <c r="N2621" i="11"/>
  <c r="K2621" i="11"/>
  <c r="I2621" i="11"/>
  <c r="N2620" i="11"/>
  <c r="K2620" i="11"/>
  <c r="I2620" i="11"/>
  <c r="N2619" i="11"/>
  <c r="K2619" i="11"/>
  <c r="I2619" i="11"/>
  <c r="N2618" i="11"/>
  <c r="K2618" i="11"/>
  <c r="I2618" i="11"/>
  <c r="N2617" i="11"/>
  <c r="K2617" i="11"/>
  <c r="I2617" i="11"/>
  <c r="N2616" i="11"/>
  <c r="K2616" i="11"/>
  <c r="I2616" i="11"/>
  <c r="N2615" i="11"/>
  <c r="K2615" i="11"/>
  <c r="I2615" i="11"/>
  <c r="N2614" i="11"/>
  <c r="K2614" i="11"/>
  <c r="I2614" i="11"/>
  <c r="N2613" i="11"/>
  <c r="K2613" i="11"/>
  <c r="I2613" i="11"/>
  <c r="N2612" i="11"/>
  <c r="K2612" i="11"/>
  <c r="I2612" i="11"/>
  <c r="N2611" i="11"/>
  <c r="K2611" i="11"/>
  <c r="I2611" i="11"/>
  <c r="N2610" i="11"/>
  <c r="K2610" i="11"/>
  <c r="I2610" i="11"/>
  <c r="N2609" i="11"/>
  <c r="K2609" i="11"/>
  <c r="I2609" i="11"/>
  <c r="N2608" i="11"/>
  <c r="K2608" i="11"/>
  <c r="I2608" i="11"/>
  <c r="N2607" i="11"/>
  <c r="K2607" i="11"/>
  <c r="I2607" i="11"/>
  <c r="N2606" i="11"/>
  <c r="K2606" i="11"/>
  <c r="I2606" i="11"/>
  <c r="N2605" i="11"/>
  <c r="K2605" i="11"/>
  <c r="I2605" i="11"/>
  <c r="N2604" i="11"/>
  <c r="K2604" i="11"/>
  <c r="I2604" i="11"/>
  <c r="N2603" i="11"/>
  <c r="K2603" i="11"/>
  <c r="I2603" i="11"/>
  <c r="N2602" i="11"/>
  <c r="K2602" i="11"/>
  <c r="I2602" i="11"/>
  <c r="N2601" i="11"/>
  <c r="K2601" i="11"/>
  <c r="I2601" i="11"/>
  <c r="N2600" i="11"/>
  <c r="K2600" i="11"/>
  <c r="I2600" i="11"/>
  <c r="N2599" i="11"/>
  <c r="K2599" i="11"/>
  <c r="I2599" i="11"/>
  <c r="N2598" i="11"/>
  <c r="K2598" i="11"/>
  <c r="I2598" i="11"/>
  <c r="N2597" i="11"/>
  <c r="K2597" i="11"/>
  <c r="I2597" i="11"/>
  <c r="N2596" i="11"/>
  <c r="K2596" i="11"/>
  <c r="I2596" i="11"/>
  <c r="N2595" i="11"/>
  <c r="K2595" i="11"/>
  <c r="I2595" i="11"/>
  <c r="N2594" i="11"/>
  <c r="K2594" i="11"/>
  <c r="I2594" i="11"/>
  <c r="N2593" i="11"/>
  <c r="K2593" i="11"/>
  <c r="I2593" i="11"/>
  <c r="N2592" i="11"/>
  <c r="K2592" i="11"/>
  <c r="I2592" i="11"/>
  <c r="N2591" i="11"/>
  <c r="K2591" i="11"/>
  <c r="I2591" i="11"/>
  <c r="N2590" i="11"/>
  <c r="K2590" i="11"/>
  <c r="I2590" i="11"/>
  <c r="N2589" i="11"/>
  <c r="K2589" i="11"/>
  <c r="I2589" i="11"/>
  <c r="N2588" i="11"/>
  <c r="K2588" i="11"/>
  <c r="I2588" i="11"/>
  <c r="N2587" i="11"/>
  <c r="K2587" i="11"/>
  <c r="I2587" i="11"/>
  <c r="N2586" i="11"/>
  <c r="K2586" i="11"/>
  <c r="I2586" i="11"/>
  <c r="N2585" i="11"/>
  <c r="K2585" i="11"/>
  <c r="I2585" i="11"/>
  <c r="N2584" i="11"/>
  <c r="K2584" i="11"/>
  <c r="I2584" i="11"/>
  <c r="N2583" i="11"/>
  <c r="K2583" i="11"/>
  <c r="I2583" i="11"/>
  <c r="N2582" i="11"/>
  <c r="K2582" i="11"/>
  <c r="I2582" i="11"/>
  <c r="N2581" i="11"/>
  <c r="K2581" i="11"/>
  <c r="I2581" i="11"/>
  <c r="N2580" i="11"/>
  <c r="K2580" i="11"/>
  <c r="I2580" i="11"/>
  <c r="N2579" i="11"/>
  <c r="K2579" i="11"/>
  <c r="I2579" i="11"/>
  <c r="N2578" i="11"/>
  <c r="K2578" i="11"/>
  <c r="I2578" i="11"/>
  <c r="N2577" i="11"/>
  <c r="K2577" i="11"/>
  <c r="I2577" i="11"/>
  <c r="N2576" i="11"/>
  <c r="K2576" i="11"/>
  <c r="I2576" i="11"/>
  <c r="N2575" i="11"/>
  <c r="K2575" i="11"/>
  <c r="I2575" i="11"/>
  <c r="N2574" i="11"/>
  <c r="K2574" i="11"/>
  <c r="I2574" i="11"/>
  <c r="N2573" i="11"/>
  <c r="K2573" i="11"/>
  <c r="I2573" i="11"/>
  <c r="N2572" i="11"/>
  <c r="K2572" i="11"/>
  <c r="I2572" i="11"/>
  <c r="N2571" i="11"/>
  <c r="K2571" i="11"/>
  <c r="I2571" i="11"/>
  <c r="N2570" i="11"/>
  <c r="K2570" i="11"/>
  <c r="I2570" i="11"/>
  <c r="N2569" i="11"/>
  <c r="K2569" i="11"/>
  <c r="I2569" i="11"/>
  <c r="N2568" i="11"/>
  <c r="K2568" i="11"/>
  <c r="I2568" i="11"/>
  <c r="N2567" i="11"/>
  <c r="K2567" i="11"/>
  <c r="I2567" i="11"/>
  <c r="N2566" i="11"/>
  <c r="K2566" i="11"/>
  <c r="I2566" i="11"/>
  <c r="N2565" i="11"/>
  <c r="K2565" i="11"/>
  <c r="I2565" i="11"/>
  <c r="N2564" i="11"/>
  <c r="K2564" i="11"/>
  <c r="I2564" i="11"/>
  <c r="N2563" i="11"/>
  <c r="K2563" i="11"/>
  <c r="I2563" i="11"/>
  <c r="N2562" i="11"/>
  <c r="K2562" i="11"/>
  <c r="I2562" i="11"/>
  <c r="N2561" i="11"/>
  <c r="K2561" i="11"/>
  <c r="I2561" i="11"/>
  <c r="N2560" i="11"/>
  <c r="K2560" i="11"/>
  <c r="I2560" i="11"/>
  <c r="N2559" i="11"/>
  <c r="K2559" i="11"/>
  <c r="I2559" i="11"/>
  <c r="N2558" i="11"/>
  <c r="K2558" i="11"/>
  <c r="I2558" i="11"/>
  <c r="N2557" i="11"/>
  <c r="K2557" i="11"/>
  <c r="I2557" i="11"/>
  <c r="N2556" i="11"/>
  <c r="K2556" i="11"/>
  <c r="I2556" i="11"/>
  <c r="N2555" i="11"/>
  <c r="K2555" i="11"/>
  <c r="I2555" i="11"/>
  <c r="N2554" i="11"/>
  <c r="K2554" i="11"/>
  <c r="I2554" i="11"/>
  <c r="N2553" i="11"/>
  <c r="K2553" i="11"/>
  <c r="I2553" i="11"/>
  <c r="N2552" i="11"/>
  <c r="K2552" i="11"/>
  <c r="I2552" i="11"/>
  <c r="N2551" i="11"/>
  <c r="K2551" i="11"/>
  <c r="I2551" i="11"/>
  <c r="N2550" i="11"/>
  <c r="K2550" i="11"/>
  <c r="I2550" i="11"/>
  <c r="N2549" i="11"/>
  <c r="K2549" i="11"/>
  <c r="I2549" i="11"/>
  <c r="N2548" i="11"/>
  <c r="K2548" i="11"/>
  <c r="I2548" i="11"/>
  <c r="N2547" i="11"/>
  <c r="K2547" i="11"/>
  <c r="I2547" i="11"/>
  <c r="N2546" i="11"/>
  <c r="K2546" i="11"/>
  <c r="I2546" i="11"/>
  <c r="N2545" i="11"/>
  <c r="K2545" i="11"/>
  <c r="I2545" i="11"/>
  <c r="N2544" i="11"/>
  <c r="K2544" i="11"/>
  <c r="I2544" i="11"/>
  <c r="N2543" i="11"/>
  <c r="K2543" i="11"/>
  <c r="I2543" i="11"/>
  <c r="N2542" i="11"/>
  <c r="K2542" i="11"/>
  <c r="I2542" i="11"/>
  <c r="N2541" i="11"/>
  <c r="K2541" i="11"/>
  <c r="I2541" i="11"/>
  <c r="N2540" i="11"/>
  <c r="K2540" i="11"/>
  <c r="I2540" i="11"/>
  <c r="N2539" i="11"/>
  <c r="K2539" i="11"/>
  <c r="I2539" i="11"/>
  <c r="N2538" i="11"/>
  <c r="K2538" i="11"/>
  <c r="I2538" i="11"/>
  <c r="N2537" i="11"/>
  <c r="K2537" i="11"/>
  <c r="I2537" i="11"/>
  <c r="N2536" i="11"/>
  <c r="K2536" i="11"/>
  <c r="I2536" i="11"/>
  <c r="N2535" i="11"/>
  <c r="K2535" i="11"/>
  <c r="I2535" i="11"/>
  <c r="N2534" i="11"/>
  <c r="K2534" i="11"/>
  <c r="I2534" i="11"/>
  <c r="N2533" i="11"/>
  <c r="K2533" i="11"/>
  <c r="I2533" i="11"/>
  <c r="N2532" i="11"/>
  <c r="K2532" i="11"/>
  <c r="I2532" i="11"/>
  <c r="N2531" i="11"/>
  <c r="K2531" i="11"/>
  <c r="I2531" i="11"/>
  <c r="N2530" i="11"/>
  <c r="K2530" i="11"/>
  <c r="I2530" i="11"/>
  <c r="N2529" i="11"/>
  <c r="K2529" i="11"/>
  <c r="I2529" i="11"/>
  <c r="N2528" i="11"/>
  <c r="K2528" i="11"/>
  <c r="I2528" i="11"/>
  <c r="N2527" i="11"/>
  <c r="K2527" i="11"/>
  <c r="I2527" i="11"/>
  <c r="N2526" i="11"/>
  <c r="K2526" i="11"/>
  <c r="I2526" i="11"/>
  <c r="N2525" i="11"/>
  <c r="K2525" i="11"/>
  <c r="I2525" i="11"/>
  <c r="N2524" i="11"/>
  <c r="K2524" i="11"/>
  <c r="I2524" i="11"/>
  <c r="N2523" i="11"/>
  <c r="K2523" i="11"/>
  <c r="I2523" i="11"/>
  <c r="N2522" i="11"/>
  <c r="K2522" i="11"/>
  <c r="I2522" i="11"/>
  <c r="N2521" i="11"/>
  <c r="K2521" i="11"/>
  <c r="I2521" i="11"/>
  <c r="N2520" i="11"/>
  <c r="K2520" i="11"/>
  <c r="I2520" i="11"/>
  <c r="N2519" i="11"/>
  <c r="K2519" i="11"/>
  <c r="I2519" i="11"/>
  <c r="N2518" i="11"/>
  <c r="K2518" i="11"/>
  <c r="I2518" i="11"/>
  <c r="N2517" i="11"/>
  <c r="K2517" i="11"/>
  <c r="I2517" i="11"/>
  <c r="N2516" i="11"/>
  <c r="K2516" i="11"/>
  <c r="I2516" i="11"/>
  <c r="N2515" i="11"/>
  <c r="K2515" i="11"/>
  <c r="I2515" i="11"/>
  <c r="N2514" i="11"/>
  <c r="K2514" i="11"/>
  <c r="I2514" i="11"/>
  <c r="N2513" i="11"/>
  <c r="K2513" i="11"/>
  <c r="I2513" i="11"/>
  <c r="N2512" i="11"/>
  <c r="K2512" i="11"/>
  <c r="I2512" i="11"/>
  <c r="N2511" i="11"/>
  <c r="K2511" i="11"/>
  <c r="I2511" i="11"/>
  <c r="N2510" i="11"/>
  <c r="K2510" i="11"/>
  <c r="I2510" i="11"/>
  <c r="N2509" i="11"/>
  <c r="K2509" i="11"/>
  <c r="I2509" i="11"/>
  <c r="N2508" i="11"/>
  <c r="K2508" i="11"/>
  <c r="I2508" i="11"/>
  <c r="N2507" i="11"/>
  <c r="K2507" i="11"/>
  <c r="I2507" i="11"/>
  <c r="N2506" i="11"/>
  <c r="K2506" i="11"/>
  <c r="I2506" i="11"/>
  <c r="N2505" i="11"/>
  <c r="K2505" i="11"/>
  <c r="I2505" i="11"/>
  <c r="N2504" i="11"/>
  <c r="K2504" i="11"/>
  <c r="I2504" i="11"/>
  <c r="N2503" i="11"/>
  <c r="K2503" i="11"/>
  <c r="I2503" i="11"/>
  <c r="N2502" i="11"/>
  <c r="K2502" i="11"/>
  <c r="I2502" i="11"/>
  <c r="N2501" i="11"/>
  <c r="K2501" i="11"/>
  <c r="I2501" i="11"/>
  <c r="N2500" i="11"/>
  <c r="K2500" i="11"/>
  <c r="I2500" i="11"/>
  <c r="N2499" i="11"/>
  <c r="K2499" i="11"/>
  <c r="I2499" i="11"/>
  <c r="N2498" i="11"/>
  <c r="K2498" i="11"/>
  <c r="I2498" i="11"/>
  <c r="N2497" i="11"/>
  <c r="K2497" i="11"/>
  <c r="I2497" i="11"/>
  <c r="N2496" i="11"/>
  <c r="K2496" i="11"/>
  <c r="I2496" i="11"/>
  <c r="N2495" i="11"/>
  <c r="K2495" i="11"/>
  <c r="I2495" i="11"/>
  <c r="N2494" i="11"/>
  <c r="K2494" i="11"/>
  <c r="I2494" i="11"/>
  <c r="N2493" i="11"/>
  <c r="K2493" i="11"/>
  <c r="I2493" i="11"/>
  <c r="N2492" i="11"/>
  <c r="K2492" i="11"/>
  <c r="I2492" i="11"/>
  <c r="N2491" i="11"/>
  <c r="K2491" i="11"/>
  <c r="I2491" i="11"/>
  <c r="N2490" i="11"/>
  <c r="K2490" i="11"/>
  <c r="I2490" i="11"/>
  <c r="N2489" i="11"/>
  <c r="K2489" i="11"/>
  <c r="I2489" i="11"/>
  <c r="N2488" i="11"/>
  <c r="K2488" i="11"/>
  <c r="I2488" i="11"/>
  <c r="N2487" i="11"/>
  <c r="K2487" i="11"/>
  <c r="I2487" i="11"/>
  <c r="N2486" i="11"/>
  <c r="K2486" i="11"/>
  <c r="I2486" i="11"/>
  <c r="N2485" i="11"/>
  <c r="K2485" i="11"/>
  <c r="I2485" i="11"/>
  <c r="N2484" i="11"/>
  <c r="K2484" i="11"/>
  <c r="I2484" i="11"/>
  <c r="N2483" i="11"/>
  <c r="K2483" i="11"/>
  <c r="I2483" i="11"/>
  <c r="N2482" i="11"/>
  <c r="K2482" i="11"/>
  <c r="I2482" i="11"/>
  <c r="N2481" i="11"/>
  <c r="K2481" i="11"/>
  <c r="I2481" i="11"/>
  <c r="N2480" i="11"/>
  <c r="K2480" i="11"/>
  <c r="I2480" i="11"/>
  <c r="N2479" i="11"/>
  <c r="K2479" i="11"/>
  <c r="I2479" i="11"/>
  <c r="N2478" i="11"/>
  <c r="K2478" i="11"/>
  <c r="I2478" i="11"/>
  <c r="N2477" i="11"/>
  <c r="K2477" i="11"/>
  <c r="I2477" i="11"/>
  <c r="N2476" i="11"/>
  <c r="K2476" i="11"/>
  <c r="I2476" i="11"/>
  <c r="N2475" i="11"/>
  <c r="K2475" i="11"/>
  <c r="I2475" i="11"/>
  <c r="N2474" i="11"/>
  <c r="K2474" i="11"/>
  <c r="I2474" i="11"/>
  <c r="N2473" i="11"/>
  <c r="K2473" i="11"/>
  <c r="I2473" i="11"/>
  <c r="N2472" i="11"/>
  <c r="K2472" i="11"/>
  <c r="I2472" i="11"/>
  <c r="N2471" i="11"/>
  <c r="K2471" i="11"/>
  <c r="I2471" i="11"/>
  <c r="N2470" i="11"/>
  <c r="K2470" i="11"/>
  <c r="I2470" i="11"/>
  <c r="N2469" i="11"/>
  <c r="K2469" i="11"/>
  <c r="I2469" i="11"/>
  <c r="N2468" i="11"/>
  <c r="K2468" i="11"/>
  <c r="I2468" i="11"/>
  <c r="N2467" i="11"/>
  <c r="K2467" i="11"/>
  <c r="I2467" i="11"/>
  <c r="N2466" i="11"/>
  <c r="K2466" i="11"/>
  <c r="I2466" i="11"/>
  <c r="N2465" i="11"/>
  <c r="K2465" i="11"/>
  <c r="I2465" i="11"/>
  <c r="N2464" i="11"/>
  <c r="K2464" i="11"/>
  <c r="I2464" i="11"/>
  <c r="N2463" i="11"/>
  <c r="K2463" i="11"/>
  <c r="I2463" i="11"/>
  <c r="N2462" i="11"/>
  <c r="K2462" i="11"/>
  <c r="I2462" i="11"/>
  <c r="N2461" i="11"/>
  <c r="K2461" i="11"/>
  <c r="I2461" i="11"/>
  <c r="N2460" i="11"/>
  <c r="K2460" i="11"/>
  <c r="I2460" i="11"/>
  <c r="N2459" i="11"/>
  <c r="K2459" i="11"/>
  <c r="I2459" i="11"/>
  <c r="N2458" i="11"/>
  <c r="K2458" i="11"/>
  <c r="I2458" i="11"/>
  <c r="N2457" i="11"/>
  <c r="K2457" i="11"/>
  <c r="I2457" i="11"/>
  <c r="N2456" i="11"/>
  <c r="K2456" i="11"/>
  <c r="I2456" i="11"/>
  <c r="N2455" i="11"/>
  <c r="K2455" i="11"/>
  <c r="I2455" i="11"/>
  <c r="N2454" i="11"/>
  <c r="K2454" i="11"/>
  <c r="I2454" i="11"/>
  <c r="N2453" i="11"/>
  <c r="K2453" i="11"/>
  <c r="I2453" i="11"/>
  <c r="N2452" i="11"/>
  <c r="K2452" i="11"/>
  <c r="I2452" i="11"/>
  <c r="N2451" i="11"/>
  <c r="K2451" i="11"/>
  <c r="I2451" i="11"/>
  <c r="N2450" i="11"/>
  <c r="K2450" i="11"/>
  <c r="I2450" i="11"/>
  <c r="N2449" i="11"/>
  <c r="K2449" i="11"/>
  <c r="I2449" i="11"/>
  <c r="N2448" i="11"/>
  <c r="K2448" i="11"/>
  <c r="I2448" i="11"/>
  <c r="N2447" i="11"/>
  <c r="K2447" i="11"/>
  <c r="I2447" i="11"/>
  <c r="N2446" i="11"/>
  <c r="K2446" i="11"/>
  <c r="I2446" i="11"/>
  <c r="N2445" i="11"/>
  <c r="K2445" i="11"/>
  <c r="I2445" i="11"/>
  <c r="N2444" i="11"/>
  <c r="K2444" i="11"/>
  <c r="I2444" i="11"/>
  <c r="N2443" i="11"/>
  <c r="K2443" i="11"/>
  <c r="I2443" i="11"/>
  <c r="N2442" i="11"/>
  <c r="K2442" i="11"/>
  <c r="I2442" i="11"/>
  <c r="N2441" i="11"/>
  <c r="K2441" i="11"/>
  <c r="I2441" i="11"/>
  <c r="N2440" i="11"/>
  <c r="K2440" i="11"/>
  <c r="I2440" i="11"/>
  <c r="N2439" i="11"/>
  <c r="K2439" i="11"/>
  <c r="I2439" i="11"/>
  <c r="N2438" i="11"/>
  <c r="K2438" i="11"/>
  <c r="I2438" i="11"/>
  <c r="N2437" i="11"/>
  <c r="K2437" i="11"/>
  <c r="I2437" i="11"/>
  <c r="N2436" i="11"/>
  <c r="K2436" i="11"/>
  <c r="I2436" i="11"/>
  <c r="N2435" i="11"/>
  <c r="K2435" i="11"/>
  <c r="I2435" i="11"/>
  <c r="N2434" i="11"/>
  <c r="K2434" i="11"/>
  <c r="I2434" i="11"/>
  <c r="N2433" i="11"/>
  <c r="K2433" i="11"/>
  <c r="I2433" i="11"/>
  <c r="N2432" i="11"/>
  <c r="K2432" i="11"/>
  <c r="I2432" i="11"/>
  <c r="N2431" i="11"/>
  <c r="K2431" i="11"/>
  <c r="I2431" i="11"/>
  <c r="N2430" i="11"/>
  <c r="K2430" i="11"/>
  <c r="I2430" i="11"/>
  <c r="N2429" i="11"/>
  <c r="K2429" i="11"/>
  <c r="I2429" i="11"/>
  <c r="N2428" i="11"/>
  <c r="K2428" i="11"/>
  <c r="I2428" i="11"/>
  <c r="N2427" i="11"/>
  <c r="K2427" i="11"/>
  <c r="I2427" i="11"/>
  <c r="N2426" i="11"/>
  <c r="K2426" i="11"/>
  <c r="I2426" i="11"/>
  <c r="N2425" i="11"/>
  <c r="K2425" i="11"/>
  <c r="I2425" i="11"/>
  <c r="N2424" i="11"/>
  <c r="K2424" i="11"/>
  <c r="I2424" i="11"/>
  <c r="N2423" i="11"/>
  <c r="K2423" i="11"/>
  <c r="I2423" i="11"/>
  <c r="N2422" i="11"/>
  <c r="K2422" i="11"/>
  <c r="I2422" i="11"/>
  <c r="N2421" i="11"/>
  <c r="K2421" i="11"/>
  <c r="I2421" i="11"/>
  <c r="N2420" i="11"/>
  <c r="K2420" i="11"/>
  <c r="I2420" i="11"/>
  <c r="N2419" i="11"/>
  <c r="K2419" i="11"/>
  <c r="I2419" i="11"/>
  <c r="N2418" i="11"/>
  <c r="K2418" i="11"/>
  <c r="I2418" i="11"/>
  <c r="N2417" i="11"/>
  <c r="K2417" i="11"/>
  <c r="I2417" i="11"/>
  <c r="N2416" i="11"/>
  <c r="K2416" i="11"/>
  <c r="I2416" i="11"/>
  <c r="N2415" i="11"/>
  <c r="K2415" i="11"/>
  <c r="I2415" i="11"/>
  <c r="N2414" i="11"/>
  <c r="K2414" i="11"/>
  <c r="I2414" i="11"/>
  <c r="N2413" i="11"/>
  <c r="K2413" i="11"/>
  <c r="I2413" i="11"/>
  <c r="N2412" i="11"/>
  <c r="K2412" i="11"/>
  <c r="I2412" i="11"/>
  <c r="N2411" i="11"/>
  <c r="K2411" i="11"/>
  <c r="I2411" i="11"/>
  <c r="N2410" i="11"/>
  <c r="K2410" i="11"/>
  <c r="I2410" i="11"/>
  <c r="N2409" i="11"/>
  <c r="K2409" i="11"/>
  <c r="I2409" i="11"/>
  <c r="N2408" i="11"/>
  <c r="K2408" i="11"/>
  <c r="I2408" i="11"/>
  <c r="N2407" i="11"/>
  <c r="K2407" i="11"/>
  <c r="I2407" i="11"/>
  <c r="N2406" i="11"/>
  <c r="K2406" i="11"/>
  <c r="I2406" i="11"/>
  <c r="N2405" i="11"/>
  <c r="K2405" i="11"/>
  <c r="I2405" i="11"/>
  <c r="N2404" i="11"/>
  <c r="K2404" i="11"/>
  <c r="I2404" i="11"/>
  <c r="N2403" i="11"/>
  <c r="K2403" i="11"/>
  <c r="I2403" i="11"/>
  <c r="N2402" i="11"/>
  <c r="K2402" i="11"/>
  <c r="I2402" i="11"/>
  <c r="N2401" i="11"/>
  <c r="K2401" i="11"/>
  <c r="I2401" i="11"/>
  <c r="N2400" i="11"/>
  <c r="K2400" i="11"/>
  <c r="I2400" i="11"/>
  <c r="N2399" i="11"/>
  <c r="K2399" i="11"/>
  <c r="I2399" i="11"/>
  <c r="N2398" i="11"/>
  <c r="K2398" i="11"/>
  <c r="I2398" i="11"/>
  <c r="N2397" i="11"/>
  <c r="K2397" i="11"/>
  <c r="I2397" i="11"/>
  <c r="N2396" i="11"/>
  <c r="K2396" i="11"/>
  <c r="I2396" i="11"/>
  <c r="N2395" i="11"/>
  <c r="K2395" i="11"/>
  <c r="I2395" i="11"/>
  <c r="N2394" i="11"/>
  <c r="K2394" i="11"/>
  <c r="I2394" i="11"/>
  <c r="N2393" i="11"/>
  <c r="K2393" i="11"/>
  <c r="I2393" i="11"/>
  <c r="N2392" i="11"/>
  <c r="K2392" i="11"/>
  <c r="I2392" i="11"/>
  <c r="N2391" i="11"/>
  <c r="K2391" i="11"/>
  <c r="I2391" i="11"/>
  <c r="N2390" i="11"/>
  <c r="K2390" i="11"/>
  <c r="I2390" i="11"/>
  <c r="N2389" i="11"/>
  <c r="K2389" i="11"/>
  <c r="I2389" i="11"/>
  <c r="N2388" i="11"/>
  <c r="K2388" i="11"/>
  <c r="I2388" i="11"/>
  <c r="N2387" i="11"/>
  <c r="K2387" i="11"/>
  <c r="I2387" i="11"/>
  <c r="N2386" i="11"/>
  <c r="K2386" i="11"/>
  <c r="I2386" i="11"/>
  <c r="N2385" i="11"/>
  <c r="K2385" i="11"/>
  <c r="I2385" i="11"/>
  <c r="N2384" i="11"/>
  <c r="K2384" i="11"/>
  <c r="I2384" i="11"/>
  <c r="N2383" i="11"/>
  <c r="K2383" i="11"/>
  <c r="I2383" i="11"/>
  <c r="N2382" i="11"/>
  <c r="K2382" i="11"/>
  <c r="I2382" i="11"/>
  <c r="N2381" i="11"/>
  <c r="K2381" i="11"/>
  <c r="I2381" i="11"/>
  <c r="N2380" i="11"/>
  <c r="K2380" i="11"/>
  <c r="I2380" i="11"/>
  <c r="N2379" i="11"/>
  <c r="K2379" i="11"/>
  <c r="I2379" i="11"/>
  <c r="N2378" i="11"/>
  <c r="K2378" i="11"/>
  <c r="I2378" i="11"/>
  <c r="N2377" i="11"/>
  <c r="K2377" i="11"/>
  <c r="I2377" i="11"/>
  <c r="N2376" i="11"/>
  <c r="K2376" i="11"/>
  <c r="I2376" i="11"/>
  <c r="N2375" i="11"/>
  <c r="K2375" i="11"/>
  <c r="I2375" i="11"/>
  <c r="N2374" i="11"/>
  <c r="K2374" i="11"/>
  <c r="I2374" i="11"/>
  <c r="N2373" i="11"/>
  <c r="K2373" i="11"/>
  <c r="I2373" i="11"/>
  <c r="N2372" i="11"/>
  <c r="K2372" i="11"/>
  <c r="I2372" i="11"/>
  <c r="N2371" i="11"/>
  <c r="K2371" i="11"/>
  <c r="I2371" i="11"/>
  <c r="N2370" i="11"/>
  <c r="K2370" i="11"/>
  <c r="I2370" i="11"/>
  <c r="N2369" i="11"/>
  <c r="K2369" i="11"/>
  <c r="I2369" i="11"/>
  <c r="N2368" i="11"/>
  <c r="K2368" i="11"/>
  <c r="I2368" i="11"/>
  <c r="N2367" i="11"/>
  <c r="K2367" i="11"/>
  <c r="I2367" i="11"/>
  <c r="N2366" i="11"/>
  <c r="K2366" i="11"/>
  <c r="I2366" i="11"/>
  <c r="N2365" i="11"/>
  <c r="K2365" i="11"/>
  <c r="I2365" i="11"/>
  <c r="N2364" i="11"/>
  <c r="K2364" i="11"/>
  <c r="I2364" i="11"/>
  <c r="N2363" i="11"/>
  <c r="K2363" i="11"/>
  <c r="I2363" i="11"/>
  <c r="N2362" i="11"/>
  <c r="K2362" i="11"/>
  <c r="I2362" i="11"/>
  <c r="N2361" i="11"/>
  <c r="K2361" i="11"/>
  <c r="I2361" i="11"/>
  <c r="N2360" i="11"/>
  <c r="K2360" i="11"/>
  <c r="I2360" i="11"/>
  <c r="N2359" i="11"/>
  <c r="K2359" i="11"/>
  <c r="I2359" i="11"/>
  <c r="N2358" i="11"/>
  <c r="K2358" i="11"/>
  <c r="I2358" i="11"/>
  <c r="N2357" i="11"/>
  <c r="K2357" i="11"/>
  <c r="I2357" i="11"/>
  <c r="N2356" i="11"/>
  <c r="K2356" i="11"/>
  <c r="I2356" i="11"/>
  <c r="N2355" i="11"/>
  <c r="K2355" i="11"/>
  <c r="I2355" i="11"/>
  <c r="N2354" i="11"/>
  <c r="K2354" i="11"/>
  <c r="I2354" i="11"/>
  <c r="N2353" i="11"/>
  <c r="K2353" i="11"/>
  <c r="I2353" i="11"/>
  <c r="N2352" i="11"/>
  <c r="K2352" i="11"/>
  <c r="I2352" i="11"/>
  <c r="N2351" i="11"/>
  <c r="K2351" i="11"/>
  <c r="I2351" i="11"/>
  <c r="N2350" i="11"/>
  <c r="K2350" i="11"/>
  <c r="I2350" i="11"/>
  <c r="N2349" i="11"/>
  <c r="K2349" i="11"/>
  <c r="I2349" i="11"/>
  <c r="N2348" i="11"/>
  <c r="K2348" i="11"/>
  <c r="I2348" i="11"/>
  <c r="N2347" i="11"/>
  <c r="K2347" i="11"/>
  <c r="I2347" i="11"/>
  <c r="N2346" i="11"/>
  <c r="K2346" i="11"/>
  <c r="I2346" i="11"/>
  <c r="N2345" i="11"/>
  <c r="K2345" i="11"/>
  <c r="I2345" i="11"/>
  <c r="N2344" i="11"/>
  <c r="K2344" i="11"/>
  <c r="I2344" i="11"/>
  <c r="N2343" i="11"/>
  <c r="K2343" i="11"/>
  <c r="I2343" i="11"/>
  <c r="N2342" i="11"/>
  <c r="K2342" i="11"/>
  <c r="I2342" i="11"/>
  <c r="N2341" i="11"/>
  <c r="K2341" i="11"/>
  <c r="I2341" i="11"/>
  <c r="N2340" i="11"/>
  <c r="K2340" i="11"/>
  <c r="I2340" i="11"/>
  <c r="N2339" i="11"/>
  <c r="K2339" i="11"/>
  <c r="I2339" i="11"/>
  <c r="N2338" i="11"/>
  <c r="K2338" i="11"/>
  <c r="I2338" i="11"/>
  <c r="N2337" i="11"/>
  <c r="K2337" i="11"/>
  <c r="I2337" i="11"/>
  <c r="N2336" i="11"/>
  <c r="K2336" i="11"/>
  <c r="I2336" i="11"/>
  <c r="N2335" i="11"/>
  <c r="K2335" i="11"/>
  <c r="I2335" i="11"/>
  <c r="N2334" i="11"/>
  <c r="K2334" i="11"/>
  <c r="I2334" i="11"/>
  <c r="N2333" i="11"/>
  <c r="K2333" i="11"/>
  <c r="I2333" i="11"/>
  <c r="N2332" i="11"/>
  <c r="K2332" i="11"/>
  <c r="I2332" i="11"/>
  <c r="N2331" i="11"/>
  <c r="K2331" i="11"/>
  <c r="I2331" i="11"/>
  <c r="N2330" i="11"/>
  <c r="K2330" i="11"/>
  <c r="I2330" i="11"/>
  <c r="N2329" i="11"/>
  <c r="K2329" i="11"/>
  <c r="I2329" i="11"/>
  <c r="N2328" i="11"/>
  <c r="K2328" i="11"/>
  <c r="I2328" i="11"/>
  <c r="N2327" i="11"/>
  <c r="K2327" i="11"/>
  <c r="I2327" i="11"/>
  <c r="N2326" i="11"/>
  <c r="K2326" i="11"/>
  <c r="I2326" i="11"/>
  <c r="N2325" i="11"/>
  <c r="K2325" i="11"/>
  <c r="I2325" i="11"/>
  <c r="N2324" i="11"/>
  <c r="K2324" i="11"/>
  <c r="I2324" i="11"/>
  <c r="N2323" i="11"/>
  <c r="K2323" i="11"/>
  <c r="I2323" i="11"/>
  <c r="N2322" i="11"/>
  <c r="K2322" i="11"/>
  <c r="I2322" i="11"/>
  <c r="N2321" i="11"/>
  <c r="K2321" i="11"/>
  <c r="I2321" i="11"/>
  <c r="N2320" i="11"/>
  <c r="K2320" i="11"/>
  <c r="I2320" i="11"/>
  <c r="N2319" i="11"/>
  <c r="K2319" i="11"/>
  <c r="I2319" i="11"/>
  <c r="N2318" i="11"/>
  <c r="K2318" i="11"/>
  <c r="I2318" i="11"/>
  <c r="N2317" i="11"/>
  <c r="K2317" i="11"/>
  <c r="I2317" i="11"/>
  <c r="N2316" i="11"/>
  <c r="K2316" i="11"/>
  <c r="I2316" i="11"/>
  <c r="N2315" i="11"/>
  <c r="K2315" i="11"/>
  <c r="I2315" i="11"/>
  <c r="N2314" i="11"/>
  <c r="K2314" i="11"/>
  <c r="I2314" i="11"/>
  <c r="N2313" i="11"/>
  <c r="K2313" i="11"/>
  <c r="I2313" i="11"/>
  <c r="N2312" i="11"/>
  <c r="K2312" i="11"/>
  <c r="I2312" i="11"/>
  <c r="N2311" i="11"/>
  <c r="K2311" i="11"/>
  <c r="I2311" i="11"/>
  <c r="N2310" i="11"/>
  <c r="K2310" i="11"/>
  <c r="I2310" i="11"/>
  <c r="N2309" i="11"/>
  <c r="K2309" i="11"/>
  <c r="I2309" i="11"/>
  <c r="N2308" i="11"/>
  <c r="K2308" i="11"/>
  <c r="I2308" i="11"/>
  <c r="N2307" i="11"/>
  <c r="K2307" i="11"/>
  <c r="I2307" i="11"/>
  <c r="N2306" i="11"/>
  <c r="K2306" i="11"/>
  <c r="I2306" i="11"/>
  <c r="N2305" i="11"/>
  <c r="K2305" i="11"/>
  <c r="I2305" i="11"/>
  <c r="N2304" i="11"/>
  <c r="K2304" i="11"/>
  <c r="I2304" i="11"/>
  <c r="N2303" i="11"/>
  <c r="K2303" i="11"/>
  <c r="I2303" i="11"/>
  <c r="N2302" i="11"/>
  <c r="K2302" i="11"/>
  <c r="I2302" i="11"/>
  <c r="N2301" i="11"/>
  <c r="K2301" i="11"/>
  <c r="I2301" i="11"/>
  <c r="N2300" i="11"/>
  <c r="K2300" i="11"/>
  <c r="I2300" i="11"/>
  <c r="N2299" i="11"/>
  <c r="K2299" i="11"/>
  <c r="I2299" i="11"/>
  <c r="N2298" i="11"/>
  <c r="K2298" i="11"/>
  <c r="I2298" i="11"/>
  <c r="N2297" i="11"/>
  <c r="K2297" i="11"/>
  <c r="I2297" i="11"/>
  <c r="N2296" i="11"/>
  <c r="K2296" i="11"/>
  <c r="I2296" i="11"/>
  <c r="N2295" i="11"/>
  <c r="K2295" i="11"/>
  <c r="I2295" i="11"/>
  <c r="N2294" i="11"/>
  <c r="K2294" i="11"/>
  <c r="I2294" i="11"/>
  <c r="N2293" i="11"/>
  <c r="K2293" i="11"/>
  <c r="I2293" i="11"/>
  <c r="N2292" i="11"/>
  <c r="K2292" i="11"/>
  <c r="I2292" i="11"/>
  <c r="N2291" i="11"/>
  <c r="K2291" i="11"/>
  <c r="I2291" i="11"/>
  <c r="N2290" i="11"/>
  <c r="K2290" i="11"/>
  <c r="I2290" i="11"/>
  <c r="N2289" i="11"/>
  <c r="K2289" i="11"/>
  <c r="I2289" i="11"/>
  <c r="N2288" i="11"/>
  <c r="K2288" i="11"/>
  <c r="I2288" i="11"/>
  <c r="N2287" i="11"/>
  <c r="K2287" i="11"/>
  <c r="I2287" i="11"/>
  <c r="N2286" i="11"/>
  <c r="K2286" i="11"/>
  <c r="I2286" i="11"/>
  <c r="N2285" i="11"/>
  <c r="K2285" i="11"/>
  <c r="I2285" i="11"/>
  <c r="N2284" i="11"/>
  <c r="K2284" i="11"/>
  <c r="I2284" i="11"/>
  <c r="N2283" i="11"/>
  <c r="K2283" i="11"/>
  <c r="I2283" i="11"/>
  <c r="N2282" i="11"/>
  <c r="K2282" i="11"/>
  <c r="I2282" i="11"/>
  <c r="N2281" i="11"/>
  <c r="K2281" i="11"/>
  <c r="I2281" i="11"/>
  <c r="N2280" i="11"/>
  <c r="K2280" i="11"/>
  <c r="I2280" i="11"/>
  <c r="N2279" i="11"/>
  <c r="K2279" i="11"/>
  <c r="I2279" i="11"/>
  <c r="N2278" i="11"/>
  <c r="K2278" i="11"/>
  <c r="I2278" i="11"/>
  <c r="N2277" i="11"/>
  <c r="K2277" i="11"/>
  <c r="I2277" i="11"/>
  <c r="N2276" i="11"/>
  <c r="K2276" i="11"/>
  <c r="I2276" i="11"/>
  <c r="N2275" i="11"/>
  <c r="K2275" i="11"/>
  <c r="I2275" i="11"/>
  <c r="N2274" i="11"/>
  <c r="K2274" i="11"/>
  <c r="I2274" i="11"/>
  <c r="N2273" i="11"/>
  <c r="K2273" i="11"/>
  <c r="I2273" i="11"/>
  <c r="N2272" i="11"/>
  <c r="K2272" i="11"/>
  <c r="I2272" i="11"/>
  <c r="N2271" i="11"/>
  <c r="K2271" i="11"/>
  <c r="I2271" i="11"/>
  <c r="N2270" i="11"/>
  <c r="K2270" i="11"/>
  <c r="I2270" i="11"/>
  <c r="N2269" i="11"/>
  <c r="K2269" i="11"/>
  <c r="I2269" i="11"/>
  <c r="N2268" i="11"/>
  <c r="K2268" i="11"/>
  <c r="I2268" i="11"/>
  <c r="N2267" i="11"/>
  <c r="K2267" i="11"/>
  <c r="I2267" i="11"/>
  <c r="N2266" i="11"/>
  <c r="K2266" i="11"/>
  <c r="I2266" i="11"/>
  <c r="N2265" i="11"/>
  <c r="K2265" i="11"/>
  <c r="I2265" i="11"/>
  <c r="N2264" i="11"/>
  <c r="K2264" i="11"/>
  <c r="I2264" i="11"/>
  <c r="N2263" i="11"/>
  <c r="K2263" i="11"/>
  <c r="I2263" i="11"/>
  <c r="N2262" i="11"/>
  <c r="K2262" i="11"/>
  <c r="I2262" i="11"/>
  <c r="N2261" i="11"/>
  <c r="K2261" i="11"/>
  <c r="I2261" i="11"/>
  <c r="N2260" i="11"/>
  <c r="K2260" i="11"/>
  <c r="I2260" i="11"/>
  <c r="N2259" i="11"/>
  <c r="K2259" i="11"/>
  <c r="I2259" i="11"/>
  <c r="N2258" i="11"/>
  <c r="K2258" i="11"/>
  <c r="I2258" i="11"/>
  <c r="N2257" i="11"/>
  <c r="K2257" i="11"/>
  <c r="I2257" i="11"/>
  <c r="N2256" i="11"/>
  <c r="K2256" i="11"/>
  <c r="I2256" i="11"/>
  <c r="N2255" i="11"/>
  <c r="K2255" i="11"/>
  <c r="I2255" i="11"/>
  <c r="N2254" i="11"/>
  <c r="K2254" i="11"/>
  <c r="I2254" i="11"/>
  <c r="N2253" i="11"/>
  <c r="K2253" i="11"/>
  <c r="I2253" i="11"/>
  <c r="N2252" i="11"/>
  <c r="K2252" i="11"/>
  <c r="I2252" i="11"/>
  <c r="N2251" i="11"/>
  <c r="K2251" i="11"/>
  <c r="I2251" i="11"/>
  <c r="N2250" i="11"/>
  <c r="K2250" i="11"/>
  <c r="I2250" i="11"/>
  <c r="N2249" i="11"/>
  <c r="K2249" i="11"/>
  <c r="I2249" i="11"/>
  <c r="N2248" i="11"/>
  <c r="K2248" i="11"/>
  <c r="I2248" i="11"/>
  <c r="N2247" i="11"/>
  <c r="K2247" i="11"/>
  <c r="I2247" i="11"/>
  <c r="N2246" i="11"/>
  <c r="K2246" i="11"/>
  <c r="I2246" i="11"/>
  <c r="N2245" i="11"/>
  <c r="K2245" i="11"/>
  <c r="I2245" i="11"/>
  <c r="N2244" i="11"/>
  <c r="K2244" i="11"/>
  <c r="I2244" i="11"/>
  <c r="N2243" i="11"/>
  <c r="K2243" i="11"/>
  <c r="I2243" i="11"/>
  <c r="N2242" i="11"/>
  <c r="K2242" i="11"/>
  <c r="I2242" i="11"/>
  <c r="N2241" i="11"/>
  <c r="K2241" i="11"/>
  <c r="I2241" i="11"/>
  <c r="N2240" i="11"/>
  <c r="K2240" i="11"/>
  <c r="I2240" i="11"/>
  <c r="N2239" i="11"/>
  <c r="K2239" i="11"/>
  <c r="I2239" i="11"/>
  <c r="N2238" i="11"/>
  <c r="K2238" i="11"/>
  <c r="I2238" i="11"/>
  <c r="N2237" i="11"/>
  <c r="K2237" i="11"/>
  <c r="I2237" i="11"/>
  <c r="N2236" i="11"/>
  <c r="K2236" i="11"/>
  <c r="I2236" i="11"/>
  <c r="N2235" i="11"/>
  <c r="K2235" i="11"/>
  <c r="I2235" i="11"/>
  <c r="N2234" i="11"/>
  <c r="K2234" i="11"/>
  <c r="I2234" i="11"/>
  <c r="N2233" i="11"/>
  <c r="K2233" i="11"/>
  <c r="I2233" i="11"/>
  <c r="N2232" i="11"/>
  <c r="K2232" i="11"/>
  <c r="I2232" i="11"/>
  <c r="N2231" i="11"/>
  <c r="K2231" i="11"/>
  <c r="I2231" i="11"/>
  <c r="N2230" i="11"/>
  <c r="K2230" i="11"/>
  <c r="I2230" i="11"/>
  <c r="N2229" i="11"/>
  <c r="K2229" i="11"/>
  <c r="I2229" i="11"/>
  <c r="N2228" i="11"/>
  <c r="K2228" i="11"/>
  <c r="I2228" i="11"/>
  <c r="N2227" i="11"/>
  <c r="K2227" i="11"/>
  <c r="I2227" i="11"/>
  <c r="N2226" i="11"/>
  <c r="K2226" i="11"/>
  <c r="I2226" i="11"/>
  <c r="N2225" i="11"/>
  <c r="K2225" i="11"/>
  <c r="I2225" i="11"/>
  <c r="N2224" i="11"/>
  <c r="K2224" i="11"/>
  <c r="I2224" i="11"/>
  <c r="N2223" i="11"/>
  <c r="K2223" i="11"/>
  <c r="I2223" i="11"/>
  <c r="N2222" i="11"/>
  <c r="K2222" i="11"/>
  <c r="I2222" i="11"/>
  <c r="N2221" i="11"/>
  <c r="K2221" i="11"/>
  <c r="I2221" i="11"/>
  <c r="N2220" i="11"/>
  <c r="K2220" i="11"/>
  <c r="I2220" i="11"/>
  <c r="N2219" i="11"/>
  <c r="K2219" i="11"/>
  <c r="I2219" i="11"/>
  <c r="N2218" i="11"/>
  <c r="K2218" i="11"/>
  <c r="I2218" i="11"/>
  <c r="N2217" i="11"/>
  <c r="K2217" i="11"/>
  <c r="I2217" i="11"/>
  <c r="N2216" i="11"/>
  <c r="K2216" i="11"/>
  <c r="I2216" i="11"/>
  <c r="N2215" i="11"/>
  <c r="K2215" i="11"/>
  <c r="I2215" i="11"/>
  <c r="N2214" i="11"/>
  <c r="K2214" i="11"/>
  <c r="I2214" i="11"/>
  <c r="N2213" i="11"/>
  <c r="K2213" i="11"/>
  <c r="I2213" i="11"/>
  <c r="N2212" i="11"/>
  <c r="K2212" i="11"/>
  <c r="I2212" i="11"/>
  <c r="N2211" i="11"/>
  <c r="K2211" i="11"/>
  <c r="I2211" i="11"/>
  <c r="N2210" i="11"/>
  <c r="K2210" i="11"/>
  <c r="I2210" i="11"/>
  <c r="N2209" i="11"/>
  <c r="K2209" i="11"/>
  <c r="I2209" i="11"/>
  <c r="N2208" i="11"/>
  <c r="K2208" i="11"/>
  <c r="I2208" i="11"/>
  <c r="N2207" i="11"/>
  <c r="K2207" i="11"/>
  <c r="I2207" i="11"/>
  <c r="N2206" i="11"/>
  <c r="K2206" i="11"/>
  <c r="I2206" i="11"/>
  <c r="N2205" i="11"/>
  <c r="K2205" i="11"/>
  <c r="I2205" i="11"/>
  <c r="N2204" i="11"/>
  <c r="K2204" i="11"/>
  <c r="I2204" i="11"/>
  <c r="N2203" i="11"/>
  <c r="K2203" i="11"/>
  <c r="I2203" i="11"/>
  <c r="N2202" i="11"/>
  <c r="K2202" i="11"/>
  <c r="I2202" i="11"/>
  <c r="N2201" i="11"/>
  <c r="K2201" i="11"/>
  <c r="I2201" i="11"/>
  <c r="N2200" i="11"/>
  <c r="K2200" i="11"/>
  <c r="I2200" i="11"/>
  <c r="N2199" i="11"/>
  <c r="K2199" i="11"/>
  <c r="I2199" i="11"/>
  <c r="N2198" i="11"/>
  <c r="K2198" i="11"/>
  <c r="I2198" i="11"/>
  <c r="N2197" i="11"/>
  <c r="K2197" i="11"/>
  <c r="I2197" i="11"/>
  <c r="N2196" i="11"/>
  <c r="K2196" i="11"/>
  <c r="I2196" i="11"/>
  <c r="N2195" i="11"/>
  <c r="K2195" i="11"/>
  <c r="I2195" i="11"/>
  <c r="N2194" i="11"/>
  <c r="K2194" i="11"/>
  <c r="I2194" i="11"/>
  <c r="N2193" i="11"/>
  <c r="K2193" i="11"/>
  <c r="I2193" i="11"/>
  <c r="N2192" i="11"/>
  <c r="K2192" i="11"/>
  <c r="I2192" i="11"/>
  <c r="N2191" i="11"/>
  <c r="K2191" i="11"/>
  <c r="I2191" i="11"/>
  <c r="N2190" i="11"/>
  <c r="K2190" i="11"/>
  <c r="I2190" i="11"/>
  <c r="N2189" i="11"/>
  <c r="K2189" i="11"/>
  <c r="I2189" i="11"/>
  <c r="N2188" i="11"/>
  <c r="K2188" i="11"/>
  <c r="I2188" i="11"/>
  <c r="N2187" i="11"/>
  <c r="K2187" i="11"/>
  <c r="I2187" i="11"/>
  <c r="N2186" i="11"/>
  <c r="K2186" i="11"/>
  <c r="I2186" i="11"/>
  <c r="N2185" i="11"/>
  <c r="K2185" i="11"/>
  <c r="I2185" i="11"/>
  <c r="N2184" i="11"/>
  <c r="K2184" i="11"/>
  <c r="I2184" i="11"/>
  <c r="N2183" i="11"/>
  <c r="K2183" i="11"/>
  <c r="I2183" i="11"/>
  <c r="N2182" i="11"/>
  <c r="K2182" i="11"/>
  <c r="I2182" i="11"/>
  <c r="N2181" i="11"/>
  <c r="K2181" i="11"/>
  <c r="I2181" i="11"/>
  <c r="N2180" i="11"/>
  <c r="K2180" i="11"/>
  <c r="I2180" i="11"/>
  <c r="N2179" i="11"/>
  <c r="K2179" i="11"/>
  <c r="I2179" i="11"/>
  <c r="N2178" i="11"/>
  <c r="K2178" i="11"/>
  <c r="I2178" i="11"/>
  <c r="N2177" i="11"/>
  <c r="K2177" i="11"/>
  <c r="I2177" i="11"/>
  <c r="N2176" i="11"/>
  <c r="K2176" i="11"/>
  <c r="I2176" i="11"/>
  <c r="N2175" i="11"/>
  <c r="K2175" i="11"/>
  <c r="I2175" i="11"/>
  <c r="N2174" i="11"/>
  <c r="K2174" i="11"/>
  <c r="I2174" i="11"/>
  <c r="N2173" i="11"/>
  <c r="K2173" i="11"/>
  <c r="I2173" i="11"/>
  <c r="N2172" i="11"/>
  <c r="K2172" i="11"/>
  <c r="I2172" i="11"/>
  <c r="N2171" i="11"/>
  <c r="K2171" i="11"/>
  <c r="I2171" i="11"/>
  <c r="N2170" i="11"/>
  <c r="K2170" i="11"/>
  <c r="I2170" i="11"/>
  <c r="N2169" i="11"/>
  <c r="K2169" i="11"/>
  <c r="I2169" i="11"/>
  <c r="N2168" i="11"/>
  <c r="K2168" i="11"/>
  <c r="I2168" i="11"/>
  <c r="N2167" i="11"/>
  <c r="K2167" i="11"/>
  <c r="I2167" i="11"/>
  <c r="N2166" i="11"/>
  <c r="K2166" i="11"/>
  <c r="I2166" i="11"/>
  <c r="N2165" i="11"/>
  <c r="K2165" i="11"/>
  <c r="I2165" i="11"/>
  <c r="N2164" i="11"/>
  <c r="K2164" i="11"/>
  <c r="I2164" i="11"/>
  <c r="N2163" i="11"/>
  <c r="K2163" i="11"/>
  <c r="I2163" i="11"/>
  <c r="N2162" i="11"/>
  <c r="K2162" i="11"/>
  <c r="I2162" i="11"/>
  <c r="N2161" i="11"/>
  <c r="K2161" i="11"/>
  <c r="I2161" i="11"/>
  <c r="N2160" i="11"/>
  <c r="K2160" i="11"/>
  <c r="I2160" i="11"/>
  <c r="N2159" i="11"/>
  <c r="K2159" i="11"/>
  <c r="I2159" i="11"/>
  <c r="N2158" i="11"/>
  <c r="K2158" i="11"/>
  <c r="I2158" i="11"/>
  <c r="N2157" i="11"/>
  <c r="K2157" i="11"/>
  <c r="I2157" i="11"/>
  <c r="N2156" i="11"/>
  <c r="K2156" i="11"/>
  <c r="I2156" i="11"/>
  <c r="N2155" i="11"/>
  <c r="K2155" i="11"/>
  <c r="I2155" i="11"/>
  <c r="N2154" i="11"/>
  <c r="K2154" i="11"/>
  <c r="I2154" i="11"/>
  <c r="N2153" i="11"/>
  <c r="K2153" i="11"/>
  <c r="I2153" i="11"/>
  <c r="N2152" i="11"/>
  <c r="K2152" i="11"/>
  <c r="I2152" i="11"/>
  <c r="N2151" i="11"/>
  <c r="K2151" i="11"/>
  <c r="I2151" i="11"/>
  <c r="N2150" i="11"/>
  <c r="K2150" i="11"/>
  <c r="I2150" i="11"/>
  <c r="N2149" i="11"/>
  <c r="K2149" i="11"/>
  <c r="I2149" i="11"/>
  <c r="N2148" i="11"/>
  <c r="K2148" i="11"/>
  <c r="I2148" i="11"/>
  <c r="N2147" i="11"/>
  <c r="K2147" i="11"/>
  <c r="I2147" i="11"/>
  <c r="N2146" i="11"/>
  <c r="K2146" i="11"/>
  <c r="I2146" i="11"/>
  <c r="N2145" i="11"/>
  <c r="K2145" i="11"/>
  <c r="I2145" i="11"/>
  <c r="N2144" i="11"/>
  <c r="K2144" i="11"/>
  <c r="I2144" i="11"/>
  <c r="N2143" i="11"/>
  <c r="K2143" i="11"/>
  <c r="I2143" i="11"/>
  <c r="N2142" i="11"/>
  <c r="K2142" i="11"/>
  <c r="I2142" i="11"/>
  <c r="N2141" i="11"/>
  <c r="K2141" i="11"/>
  <c r="I2141" i="11"/>
  <c r="N2140" i="11"/>
  <c r="K2140" i="11"/>
  <c r="I2140" i="11"/>
  <c r="N2139" i="11"/>
  <c r="K2139" i="11"/>
  <c r="I2139" i="11"/>
  <c r="N2138" i="11"/>
  <c r="K2138" i="11"/>
  <c r="I2138" i="11"/>
  <c r="N2137" i="11"/>
  <c r="K2137" i="11"/>
  <c r="I2137" i="11"/>
  <c r="N2136" i="11"/>
  <c r="K2136" i="11"/>
  <c r="I2136" i="11"/>
  <c r="N2135" i="11"/>
  <c r="K2135" i="11"/>
  <c r="I2135" i="11"/>
  <c r="N2134" i="11"/>
  <c r="K2134" i="11"/>
  <c r="I2134" i="11"/>
  <c r="N2133" i="11"/>
  <c r="K2133" i="11"/>
  <c r="I2133" i="11"/>
  <c r="N2132" i="11"/>
  <c r="K2132" i="11"/>
  <c r="I2132" i="11"/>
  <c r="N2131" i="11"/>
  <c r="K2131" i="11"/>
  <c r="I2131" i="11"/>
  <c r="N2130" i="11"/>
  <c r="K2130" i="11"/>
  <c r="I2130" i="11"/>
  <c r="N2129" i="11"/>
  <c r="K2129" i="11"/>
  <c r="I2129" i="11"/>
  <c r="N2128" i="11"/>
  <c r="K2128" i="11"/>
  <c r="I2128" i="11"/>
  <c r="N2127" i="11"/>
  <c r="K2127" i="11"/>
  <c r="I2127" i="11"/>
  <c r="N2126" i="11"/>
  <c r="K2126" i="11"/>
  <c r="I2126" i="11"/>
  <c r="N2125" i="11"/>
  <c r="K2125" i="11"/>
  <c r="I2125" i="11"/>
  <c r="N2124" i="11"/>
  <c r="K2124" i="11"/>
  <c r="I2124" i="11"/>
  <c r="N2123" i="11"/>
  <c r="K2123" i="11"/>
  <c r="I2123" i="11"/>
  <c r="N2122" i="11"/>
  <c r="K2122" i="11"/>
  <c r="I2122" i="11"/>
  <c r="N2121" i="11"/>
  <c r="K2121" i="11"/>
  <c r="I2121" i="11"/>
  <c r="N2120" i="11"/>
  <c r="K2120" i="11"/>
  <c r="I2120" i="11"/>
  <c r="N2119" i="11"/>
  <c r="K2119" i="11"/>
  <c r="I2119" i="11"/>
  <c r="N2118" i="11"/>
  <c r="K2118" i="11"/>
  <c r="I2118" i="11"/>
  <c r="N2117" i="11"/>
  <c r="K2117" i="11"/>
  <c r="I2117" i="11"/>
  <c r="N2116" i="11"/>
  <c r="K2116" i="11"/>
  <c r="I2116" i="11"/>
  <c r="N2115" i="11"/>
  <c r="K2115" i="11"/>
  <c r="I2115" i="11"/>
  <c r="N2114" i="11"/>
  <c r="K2114" i="11"/>
  <c r="I2114" i="11"/>
  <c r="N2113" i="11"/>
  <c r="K2113" i="11"/>
  <c r="I2113" i="11"/>
  <c r="N2112" i="11"/>
  <c r="K2112" i="11"/>
  <c r="I2112" i="11"/>
  <c r="N2111" i="11"/>
  <c r="K2111" i="11"/>
  <c r="I2111" i="11"/>
  <c r="N2110" i="11"/>
  <c r="K2110" i="11"/>
  <c r="I2110" i="11"/>
  <c r="N2109" i="11"/>
  <c r="K2109" i="11"/>
  <c r="I2109" i="11"/>
  <c r="N2108" i="11"/>
  <c r="K2108" i="11"/>
  <c r="I2108" i="11"/>
  <c r="N2107" i="11"/>
  <c r="K2107" i="11"/>
  <c r="I2107" i="11"/>
  <c r="N2106" i="11"/>
  <c r="K2106" i="11"/>
  <c r="I2106" i="11"/>
  <c r="N2105" i="11"/>
  <c r="K2105" i="11"/>
  <c r="I2105" i="11"/>
  <c r="N2104" i="11"/>
  <c r="K2104" i="11"/>
  <c r="I2104" i="11"/>
  <c r="N2103" i="11"/>
  <c r="K2103" i="11"/>
  <c r="I2103" i="11"/>
  <c r="N2102" i="11"/>
  <c r="K2102" i="11"/>
  <c r="I2102" i="11"/>
  <c r="N2101" i="11"/>
  <c r="K2101" i="11"/>
  <c r="I2101" i="11"/>
  <c r="N2100" i="11"/>
  <c r="K2100" i="11"/>
  <c r="I2100" i="11"/>
  <c r="N2099" i="11"/>
  <c r="K2099" i="11"/>
  <c r="I2099" i="11"/>
  <c r="N2098" i="11"/>
  <c r="K2098" i="11"/>
  <c r="I2098" i="11"/>
  <c r="N2097" i="11"/>
  <c r="K2097" i="11"/>
  <c r="I2097" i="11"/>
  <c r="N2096" i="11"/>
  <c r="K2096" i="11"/>
  <c r="I2096" i="11"/>
  <c r="N2095" i="11"/>
  <c r="K2095" i="11"/>
  <c r="I2095" i="11"/>
  <c r="N2094" i="11"/>
  <c r="K2094" i="11"/>
  <c r="I2094" i="11"/>
  <c r="N2093" i="11"/>
  <c r="K2093" i="11"/>
  <c r="I2093" i="11"/>
  <c r="N2092" i="11"/>
  <c r="K2092" i="11"/>
  <c r="I2092" i="11"/>
  <c r="N2091" i="11"/>
  <c r="K2091" i="11"/>
  <c r="I2091" i="11"/>
  <c r="N2090" i="11"/>
  <c r="K2090" i="11"/>
  <c r="I2090" i="11"/>
  <c r="N2089" i="11"/>
  <c r="K2089" i="11"/>
  <c r="I2089" i="11"/>
  <c r="N2088" i="11"/>
  <c r="K2088" i="11"/>
  <c r="I2088" i="11"/>
  <c r="N2087" i="11"/>
  <c r="K2087" i="11"/>
  <c r="I2087" i="11"/>
  <c r="N2086" i="11"/>
  <c r="K2086" i="11"/>
  <c r="I2086" i="11"/>
  <c r="N2085" i="11"/>
  <c r="K2085" i="11"/>
  <c r="I2085" i="11"/>
  <c r="N2084" i="11"/>
  <c r="K2084" i="11"/>
  <c r="I2084" i="11"/>
  <c r="N2083" i="11"/>
  <c r="K2083" i="11"/>
  <c r="I2083" i="11"/>
  <c r="N2082" i="11"/>
  <c r="K2082" i="11"/>
  <c r="I2082" i="11"/>
  <c r="N2081" i="11"/>
  <c r="K2081" i="11"/>
  <c r="I2081" i="11"/>
  <c r="N2080" i="11"/>
  <c r="K2080" i="11"/>
  <c r="I2080" i="11"/>
  <c r="N2079" i="11"/>
  <c r="K2079" i="11"/>
  <c r="I2079" i="11"/>
  <c r="N2078" i="11"/>
  <c r="K2078" i="11"/>
  <c r="I2078" i="11"/>
  <c r="N2077" i="11"/>
  <c r="K2077" i="11"/>
  <c r="I2077" i="11"/>
  <c r="N2076" i="11"/>
  <c r="K2076" i="11"/>
  <c r="I2076" i="11"/>
  <c r="N2075" i="11"/>
  <c r="K2075" i="11"/>
  <c r="I2075" i="11"/>
  <c r="N2074" i="11"/>
  <c r="K2074" i="11"/>
  <c r="I2074" i="11"/>
  <c r="N2073" i="11"/>
  <c r="K2073" i="11"/>
  <c r="I2073" i="11"/>
  <c r="N2072" i="11"/>
  <c r="K2072" i="11"/>
  <c r="I2072" i="11"/>
  <c r="N2071" i="11"/>
  <c r="K2071" i="11"/>
  <c r="I2071" i="11"/>
  <c r="N2070" i="11"/>
  <c r="K2070" i="11"/>
  <c r="I2070" i="11"/>
  <c r="N2069" i="11"/>
  <c r="K2069" i="11"/>
  <c r="I2069" i="11"/>
  <c r="N2068" i="11"/>
  <c r="K2068" i="11"/>
  <c r="I2068" i="11"/>
  <c r="N2067" i="11"/>
  <c r="K2067" i="11"/>
  <c r="I2067" i="11"/>
  <c r="N2066" i="11"/>
  <c r="K2066" i="11"/>
  <c r="I2066" i="11"/>
  <c r="N2065" i="11"/>
  <c r="K2065" i="11"/>
  <c r="I2065" i="11"/>
  <c r="N2064" i="11"/>
  <c r="K2064" i="11"/>
  <c r="I2064" i="11"/>
  <c r="N2063" i="11"/>
  <c r="K2063" i="11"/>
  <c r="I2063" i="11"/>
  <c r="N2062" i="11"/>
  <c r="K2062" i="11"/>
  <c r="I2062" i="11"/>
  <c r="N2061" i="11"/>
  <c r="K2061" i="11"/>
  <c r="I2061" i="11"/>
  <c r="N2060" i="11"/>
  <c r="K2060" i="11"/>
  <c r="I2060" i="11"/>
  <c r="N2059" i="11"/>
  <c r="K2059" i="11"/>
  <c r="I2059" i="11"/>
  <c r="N2058" i="11"/>
  <c r="K2058" i="11"/>
  <c r="I2058" i="11"/>
  <c r="N2057" i="11"/>
  <c r="K2057" i="11"/>
  <c r="I2057" i="11"/>
  <c r="N2056" i="11"/>
  <c r="K2056" i="11"/>
  <c r="I2056" i="11"/>
  <c r="N2055" i="11"/>
  <c r="K2055" i="11"/>
  <c r="I2055" i="11"/>
  <c r="N2054" i="11"/>
  <c r="K2054" i="11"/>
  <c r="I2054" i="11"/>
  <c r="N2053" i="11"/>
  <c r="K2053" i="11"/>
  <c r="I2053" i="11"/>
  <c r="N2052" i="11"/>
  <c r="K2052" i="11"/>
  <c r="I2052" i="11"/>
  <c r="N2051" i="11"/>
  <c r="K2051" i="11"/>
  <c r="I2051" i="11"/>
  <c r="N2050" i="11"/>
  <c r="K2050" i="11"/>
  <c r="I2050" i="11"/>
  <c r="N2049" i="11"/>
  <c r="K2049" i="11"/>
  <c r="I2049" i="11"/>
  <c r="N2048" i="11"/>
  <c r="K2048" i="11"/>
  <c r="I2048" i="11"/>
  <c r="N2047" i="11"/>
  <c r="K2047" i="11"/>
  <c r="I2047" i="11"/>
  <c r="N2046" i="11"/>
  <c r="K2046" i="11"/>
  <c r="I2046" i="11"/>
  <c r="N2045" i="11"/>
  <c r="K2045" i="11"/>
  <c r="I2045" i="11"/>
  <c r="N2044" i="11"/>
  <c r="K2044" i="11"/>
  <c r="I2044" i="11"/>
  <c r="N2043" i="11"/>
  <c r="K2043" i="11"/>
  <c r="I2043" i="11"/>
  <c r="N2042" i="11"/>
  <c r="K2042" i="11"/>
  <c r="I2042" i="11"/>
  <c r="N2041" i="11"/>
  <c r="K2041" i="11"/>
  <c r="I2041" i="11"/>
  <c r="N2040" i="11"/>
  <c r="K2040" i="11"/>
  <c r="I2040" i="11"/>
  <c r="N2039" i="11"/>
  <c r="K2039" i="11"/>
  <c r="I2039" i="11"/>
  <c r="N2038" i="11"/>
  <c r="K2038" i="11"/>
  <c r="I2038" i="11"/>
  <c r="N2037" i="11"/>
  <c r="K2037" i="11"/>
  <c r="I2037" i="11"/>
  <c r="N2036" i="11"/>
  <c r="K2036" i="11"/>
  <c r="I2036" i="11"/>
  <c r="N2035" i="11"/>
  <c r="K2035" i="11"/>
  <c r="I2035" i="11"/>
  <c r="N2034" i="11"/>
  <c r="K2034" i="11"/>
  <c r="I2034" i="11"/>
  <c r="N2033" i="11"/>
  <c r="K2033" i="11"/>
  <c r="I2033" i="11"/>
  <c r="N2032" i="11"/>
  <c r="K2032" i="11"/>
  <c r="I2032" i="11"/>
  <c r="N2031" i="11"/>
  <c r="K2031" i="11"/>
  <c r="I2031" i="11"/>
  <c r="N2030" i="11"/>
  <c r="K2030" i="11"/>
  <c r="I2030" i="11"/>
  <c r="N2029" i="11"/>
  <c r="K2029" i="11"/>
  <c r="I2029" i="11"/>
  <c r="N2028" i="11"/>
  <c r="K2028" i="11"/>
  <c r="I2028" i="11"/>
  <c r="N2027" i="11"/>
  <c r="K2027" i="11"/>
  <c r="I2027" i="11"/>
  <c r="N2026" i="11"/>
  <c r="K2026" i="11"/>
  <c r="I2026" i="11"/>
  <c r="N2025" i="11"/>
  <c r="K2025" i="11"/>
  <c r="I2025" i="11"/>
  <c r="N2024" i="11"/>
  <c r="K2024" i="11"/>
  <c r="I2024" i="11"/>
  <c r="N2023" i="11"/>
  <c r="K2023" i="11"/>
  <c r="I2023" i="11"/>
  <c r="N2022" i="11"/>
  <c r="K2022" i="11"/>
  <c r="I2022" i="11"/>
  <c r="N2021" i="11"/>
  <c r="K2021" i="11"/>
  <c r="I2021" i="11"/>
  <c r="N2020" i="11"/>
  <c r="K2020" i="11"/>
  <c r="I2020" i="11"/>
  <c r="N2019" i="11"/>
  <c r="K2019" i="11"/>
  <c r="I2019" i="11"/>
  <c r="N2018" i="11"/>
  <c r="K2018" i="11"/>
  <c r="I2018" i="11"/>
  <c r="N2017" i="11"/>
  <c r="K2017" i="11"/>
  <c r="I2017" i="11"/>
  <c r="N2016" i="11"/>
  <c r="K2016" i="11"/>
  <c r="I2016" i="11"/>
  <c r="N2015" i="11"/>
  <c r="K2015" i="11"/>
  <c r="I2015" i="11"/>
  <c r="N2014" i="11"/>
  <c r="K2014" i="11"/>
  <c r="I2014" i="11"/>
  <c r="N2013" i="11"/>
  <c r="K2013" i="11"/>
  <c r="I2013" i="11"/>
  <c r="N2012" i="11"/>
  <c r="K2012" i="11"/>
  <c r="I2012" i="11"/>
  <c r="N2011" i="11"/>
  <c r="K2011" i="11"/>
  <c r="I2011" i="11"/>
  <c r="N2010" i="11"/>
  <c r="K2010" i="11"/>
  <c r="I2010" i="11"/>
  <c r="N2009" i="11"/>
  <c r="K2009" i="11"/>
  <c r="I2009" i="11"/>
  <c r="N2008" i="11"/>
  <c r="K2008" i="11"/>
  <c r="I2008" i="11"/>
  <c r="N2007" i="11"/>
  <c r="K2007" i="11"/>
  <c r="I2007" i="11"/>
  <c r="N2006" i="11"/>
  <c r="K2006" i="11"/>
  <c r="I2006" i="11"/>
  <c r="N2005" i="11"/>
  <c r="K2005" i="11"/>
  <c r="I2005" i="11"/>
  <c r="N2004" i="11"/>
  <c r="K2004" i="11"/>
  <c r="I2004" i="11"/>
  <c r="N2003" i="11"/>
  <c r="K2003" i="11"/>
  <c r="I2003" i="11"/>
  <c r="N2002" i="11"/>
  <c r="K2002" i="11"/>
  <c r="I2002" i="11"/>
  <c r="N2001" i="11"/>
  <c r="K2001" i="11"/>
  <c r="I2001" i="11"/>
  <c r="N2000" i="11"/>
  <c r="K2000" i="11"/>
  <c r="I2000" i="11"/>
  <c r="N1999" i="11"/>
  <c r="K1999" i="11"/>
  <c r="I1999" i="11"/>
  <c r="N1998" i="11"/>
  <c r="K1998" i="11"/>
  <c r="I1998" i="11"/>
  <c r="N1997" i="11"/>
  <c r="K1997" i="11"/>
  <c r="I1997" i="11"/>
  <c r="N1996" i="11"/>
  <c r="K1996" i="11"/>
  <c r="I1996" i="11"/>
  <c r="N1995" i="11"/>
  <c r="K1995" i="11"/>
  <c r="I1995" i="11"/>
  <c r="N1994" i="11"/>
  <c r="K1994" i="11"/>
  <c r="I1994" i="11"/>
  <c r="N1993" i="11"/>
  <c r="K1993" i="11"/>
  <c r="I1993" i="11"/>
  <c r="N1992" i="11"/>
  <c r="K1992" i="11"/>
  <c r="I1992" i="11"/>
  <c r="N1991" i="11"/>
  <c r="K1991" i="11"/>
  <c r="I1991" i="11"/>
  <c r="N1990" i="11"/>
  <c r="K1990" i="11"/>
  <c r="I1990" i="11"/>
  <c r="N1989" i="11"/>
  <c r="K1989" i="11"/>
  <c r="I1989" i="11"/>
  <c r="N1988" i="11"/>
  <c r="K1988" i="11"/>
  <c r="I1988" i="11"/>
  <c r="N1987" i="11"/>
  <c r="K1987" i="11"/>
  <c r="I1987" i="11"/>
  <c r="N1986" i="11"/>
  <c r="K1986" i="11"/>
  <c r="I1986" i="11"/>
  <c r="N1985" i="11"/>
  <c r="K1985" i="11"/>
  <c r="I1985" i="11"/>
  <c r="N1984" i="11"/>
  <c r="K1984" i="11"/>
  <c r="I1984" i="11"/>
  <c r="N1983" i="11"/>
  <c r="K1983" i="11"/>
  <c r="I1983" i="11"/>
  <c r="N1982" i="11"/>
  <c r="K1982" i="11"/>
  <c r="I1982" i="11"/>
  <c r="N1981" i="11"/>
  <c r="K1981" i="11"/>
  <c r="I1981" i="11"/>
  <c r="N1980" i="11"/>
  <c r="K1980" i="11"/>
  <c r="I1980" i="11"/>
  <c r="N1979" i="11"/>
  <c r="K1979" i="11"/>
  <c r="I1979" i="11"/>
  <c r="N1978" i="11"/>
  <c r="K1978" i="11"/>
  <c r="I1978" i="11"/>
  <c r="N1977" i="11"/>
  <c r="K1977" i="11"/>
  <c r="I1977" i="11"/>
  <c r="N1976" i="11"/>
  <c r="K1976" i="11"/>
  <c r="I1976" i="11"/>
  <c r="N1975" i="11"/>
  <c r="K1975" i="11"/>
  <c r="I1975" i="11"/>
  <c r="N1974" i="11"/>
  <c r="K1974" i="11"/>
  <c r="I1974" i="11"/>
  <c r="N1973" i="11"/>
  <c r="K1973" i="11"/>
  <c r="I1973" i="11"/>
  <c r="N1972" i="11"/>
  <c r="K1972" i="11"/>
  <c r="I1972" i="11"/>
  <c r="N1971" i="11"/>
  <c r="K1971" i="11"/>
  <c r="I1971" i="11"/>
  <c r="N1970" i="11"/>
  <c r="K1970" i="11"/>
  <c r="I1970" i="11"/>
  <c r="N1969" i="11"/>
  <c r="K1969" i="11"/>
  <c r="I1969" i="11"/>
  <c r="N1968" i="11"/>
  <c r="K1968" i="11"/>
  <c r="I1968" i="11"/>
  <c r="N1967" i="11"/>
  <c r="K1967" i="11"/>
  <c r="I1967" i="11"/>
  <c r="N1966" i="11"/>
  <c r="K1966" i="11"/>
  <c r="I1966" i="11"/>
  <c r="N1965" i="11"/>
  <c r="K1965" i="11"/>
  <c r="I1965" i="11"/>
  <c r="N1964" i="11"/>
  <c r="K1964" i="11"/>
  <c r="I1964" i="11"/>
  <c r="N1963" i="11"/>
  <c r="K1963" i="11"/>
  <c r="I1963" i="11"/>
  <c r="N1962" i="11"/>
  <c r="K1962" i="11"/>
  <c r="I1962" i="11"/>
  <c r="N1961" i="11"/>
  <c r="K1961" i="11"/>
  <c r="I1961" i="11"/>
  <c r="N1960" i="11"/>
  <c r="K1960" i="11"/>
  <c r="I1960" i="11"/>
  <c r="N1959" i="11"/>
  <c r="K1959" i="11"/>
  <c r="I1959" i="11"/>
  <c r="N1958" i="11"/>
  <c r="K1958" i="11"/>
  <c r="I1958" i="11"/>
  <c r="N1957" i="11"/>
  <c r="K1957" i="11"/>
  <c r="I1957" i="11"/>
  <c r="N1956" i="11"/>
  <c r="K1956" i="11"/>
  <c r="I1956" i="11"/>
  <c r="N1955" i="11"/>
  <c r="K1955" i="11"/>
  <c r="I1955" i="11"/>
  <c r="N1954" i="11"/>
  <c r="K1954" i="11"/>
  <c r="I1954" i="11"/>
  <c r="N1953" i="11"/>
  <c r="K1953" i="11"/>
  <c r="I1953" i="11"/>
  <c r="N1952" i="11"/>
  <c r="K1952" i="11"/>
  <c r="I1952" i="11"/>
  <c r="N1951" i="11"/>
  <c r="K1951" i="11"/>
  <c r="I1951" i="11"/>
  <c r="N1950" i="11"/>
  <c r="K1950" i="11"/>
  <c r="I1950" i="11"/>
  <c r="N1949" i="11"/>
  <c r="K1949" i="11"/>
  <c r="I1949" i="11"/>
  <c r="N1948" i="11"/>
  <c r="K1948" i="11"/>
  <c r="I1948" i="11"/>
  <c r="N1947" i="11"/>
  <c r="K1947" i="11"/>
  <c r="I1947" i="11"/>
  <c r="N1946" i="11"/>
  <c r="K1946" i="11"/>
  <c r="I1946" i="11"/>
  <c r="N1945" i="11"/>
  <c r="K1945" i="11"/>
  <c r="I1945" i="11"/>
  <c r="N1944" i="11"/>
  <c r="K1944" i="11"/>
  <c r="I1944" i="11"/>
  <c r="N1943" i="11"/>
  <c r="K1943" i="11"/>
  <c r="I1943" i="11"/>
  <c r="N1942" i="11"/>
  <c r="K1942" i="11"/>
  <c r="I1942" i="11"/>
  <c r="N1941" i="11"/>
  <c r="K1941" i="11"/>
  <c r="I1941" i="11"/>
  <c r="N1940" i="11"/>
  <c r="K1940" i="11"/>
  <c r="I1940" i="11"/>
  <c r="N1939" i="11"/>
  <c r="K1939" i="11"/>
  <c r="I1939" i="11"/>
  <c r="N1938" i="11"/>
  <c r="K1938" i="11"/>
  <c r="I1938" i="11"/>
  <c r="N1937" i="11"/>
  <c r="K1937" i="11"/>
  <c r="I1937" i="11"/>
  <c r="N1936" i="11"/>
  <c r="K1936" i="11"/>
  <c r="I1936" i="11"/>
  <c r="N1935" i="11"/>
  <c r="K1935" i="11"/>
  <c r="I1935" i="11"/>
  <c r="N1934" i="11"/>
  <c r="K1934" i="11"/>
  <c r="I1934" i="11"/>
  <c r="N1933" i="11"/>
  <c r="K1933" i="11"/>
  <c r="I1933" i="11"/>
  <c r="N1932" i="11"/>
  <c r="K1932" i="11"/>
  <c r="I1932" i="11"/>
  <c r="N1931" i="11"/>
  <c r="K1931" i="11"/>
  <c r="I1931" i="11"/>
  <c r="N1930" i="11"/>
  <c r="K1930" i="11"/>
  <c r="I1930" i="11"/>
  <c r="N1929" i="11"/>
  <c r="K1929" i="11"/>
  <c r="I1929" i="11"/>
  <c r="N1928" i="11"/>
  <c r="K1928" i="11"/>
  <c r="I1928" i="11"/>
  <c r="N1927" i="11"/>
  <c r="K1927" i="11"/>
  <c r="I1927" i="11"/>
  <c r="N1926" i="11"/>
  <c r="K1926" i="11"/>
  <c r="I1926" i="11"/>
  <c r="N1925" i="11"/>
  <c r="K1925" i="11"/>
  <c r="I1925" i="11"/>
  <c r="N1924" i="11"/>
  <c r="K1924" i="11"/>
  <c r="I1924" i="11"/>
  <c r="N1923" i="11"/>
  <c r="K1923" i="11"/>
  <c r="I1923" i="11"/>
  <c r="N1922" i="11"/>
  <c r="K1922" i="11"/>
  <c r="I1922" i="11"/>
  <c r="N1921" i="11"/>
  <c r="K1921" i="11"/>
  <c r="I1921" i="11"/>
  <c r="N1920" i="11"/>
  <c r="K1920" i="11"/>
  <c r="I1920" i="11"/>
  <c r="N1919" i="11"/>
  <c r="K1919" i="11"/>
  <c r="I1919" i="11"/>
  <c r="N1918" i="11"/>
  <c r="K1918" i="11"/>
  <c r="I1918" i="11"/>
  <c r="N1917" i="11"/>
  <c r="K1917" i="11"/>
  <c r="I1917" i="11"/>
  <c r="N1916" i="11"/>
  <c r="K1916" i="11"/>
  <c r="I1916" i="11"/>
  <c r="N1915" i="11"/>
  <c r="K1915" i="11"/>
  <c r="I1915" i="11"/>
  <c r="N1914" i="11"/>
  <c r="K1914" i="11"/>
  <c r="I1914" i="11"/>
  <c r="N1913" i="11"/>
  <c r="K1913" i="11"/>
  <c r="I1913" i="11"/>
  <c r="N1912" i="11"/>
  <c r="K1912" i="11"/>
  <c r="I1912" i="11"/>
  <c r="N1911" i="11"/>
  <c r="K1911" i="11"/>
  <c r="I1911" i="11"/>
  <c r="N1910" i="11"/>
  <c r="K1910" i="11"/>
  <c r="I1910" i="11"/>
  <c r="N1909" i="11"/>
  <c r="K1909" i="11"/>
  <c r="I1909" i="11"/>
  <c r="N1908" i="11"/>
  <c r="K1908" i="11"/>
  <c r="I1908" i="11"/>
  <c r="N1907" i="11"/>
  <c r="K1907" i="11"/>
  <c r="I1907" i="11"/>
  <c r="N1906" i="11"/>
  <c r="K1906" i="11"/>
  <c r="I1906" i="11"/>
  <c r="N1905" i="11"/>
  <c r="K1905" i="11"/>
  <c r="I1905" i="11"/>
  <c r="N1904" i="11"/>
  <c r="K1904" i="11"/>
  <c r="I1904" i="11"/>
  <c r="N1903" i="11"/>
  <c r="K1903" i="11"/>
  <c r="I1903" i="11"/>
  <c r="N1902" i="11"/>
  <c r="K1902" i="11"/>
  <c r="I1902" i="11"/>
  <c r="N1901" i="11"/>
  <c r="K1901" i="11"/>
  <c r="I1901" i="11"/>
  <c r="N1900" i="11"/>
  <c r="K1900" i="11"/>
  <c r="I1900" i="11"/>
  <c r="N1899" i="11"/>
  <c r="K1899" i="11"/>
  <c r="I1899" i="11"/>
  <c r="N1898" i="11"/>
  <c r="K1898" i="11"/>
  <c r="I1898" i="11"/>
  <c r="N1897" i="11"/>
  <c r="K1897" i="11"/>
  <c r="I1897" i="11"/>
  <c r="N1896" i="11"/>
  <c r="K1896" i="11"/>
  <c r="I1896" i="11"/>
  <c r="N1895" i="11"/>
  <c r="K1895" i="11"/>
  <c r="I1895" i="11"/>
  <c r="N1894" i="11"/>
  <c r="K1894" i="11"/>
  <c r="I1894" i="11"/>
  <c r="N1893" i="11"/>
  <c r="K1893" i="11"/>
  <c r="I1893" i="11"/>
  <c r="N1892" i="11"/>
  <c r="K1892" i="11"/>
  <c r="I1892" i="11"/>
  <c r="N1891" i="11"/>
  <c r="K1891" i="11"/>
  <c r="I1891" i="11"/>
  <c r="N1890" i="11"/>
  <c r="K1890" i="11"/>
  <c r="I1890" i="11"/>
  <c r="N1889" i="11"/>
  <c r="K1889" i="11"/>
  <c r="I1889" i="11"/>
  <c r="N1888" i="11"/>
  <c r="K1888" i="11"/>
  <c r="I1888" i="11"/>
  <c r="N1887" i="11"/>
  <c r="K1887" i="11"/>
  <c r="I1887" i="11"/>
  <c r="N1886" i="11"/>
  <c r="K1886" i="11"/>
  <c r="I1886" i="11"/>
  <c r="N1885" i="11"/>
  <c r="K1885" i="11"/>
  <c r="I1885" i="11"/>
  <c r="N1884" i="11"/>
  <c r="K1884" i="11"/>
  <c r="I1884" i="11"/>
  <c r="N1883" i="11"/>
  <c r="K1883" i="11"/>
  <c r="I1883" i="11"/>
  <c r="N1882" i="11"/>
  <c r="K1882" i="11"/>
  <c r="I1882" i="11"/>
  <c r="N1881" i="11"/>
  <c r="K1881" i="11"/>
  <c r="I1881" i="11"/>
  <c r="N1880" i="11"/>
  <c r="K1880" i="11"/>
  <c r="I1880" i="11"/>
  <c r="N1879" i="11"/>
  <c r="K1879" i="11"/>
  <c r="I1879" i="11"/>
  <c r="N1878" i="11"/>
  <c r="K1878" i="11"/>
  <c r="I1878" i="11"/>
  <c r="N1877" i="11"/>
  <c r="K1877" i="11"/>
  <c r="I1877" i="11"/>
  <c r="N1876" i="11"/>
  <c r="K1876" i="11"/>
  <c r="I1876" i="11"/>
  <c r="N1875" i="11"/>
  <c r="K1875" i="11"/>
  <c r="I1875" i="11"/>
  <c r="N1874" i="11"/>
  <c r="K1874" i="11"/>
  <c r="I1874" i="11"/>
  <c r="N1873" i="11"/>
  <c r="K1873" i="11"/>
  <c r="I1873" i="11"/>
  <c r="N1872" i="11"/>
  <c r="K1872" i="11"/>
  <c r="I1872" i="11"/>
  <c r="N1871" i="11"/>
  <c r="K1871" i="11"/>
  <c r="I1871" i="11"/>
  <c r="N1870" i="11"/>
  <c r="K1870" i="11"/>
  <c r="I1870" i="11"/>
  <c r="N1869" i="11"/>
  <c r="K1869" i="11"/>
  <c r="I1869" i="11"/>
  <c r="N1868" i="11"/>
  <c r="K1868" i="11"/>
  <c r="I1868" i="11"/>
  <c r="N1867" i="11"/>
  <c r="K1867" i="11"/>
  <c r="I1867" i="11"/>
  <c r="N1866" i="11"/>
  <c r="K1866" i="11"/>
  <c r="I1866" i="11"/>
  <c r="N1865" i="11"/>
  <c r="K1865" i="11"/>
  <c r="I1865" i="11"/>
  <c r="N1864" i="11"/>
  <c r="K1864" i="11"/>
  <c r="I1864" i="11"/>
  <c r="N1863" i="11"/>
  <c r="K1863" i="11"/>
  <c r="I1863" i="11"/>
  <c r="N1862" i="11"/>
  <c r="K1862" i="11"/>
  <c r="I1862" i="11"/>
  <c r="N1861" i="11"/>
  <c r="K1861" i="11"/>
  <c r="I1861" i="11"/>
  <c r="N1860" i="11"/>
  <c r="K1860" i="11"/>
  <c r="I1860" i="11"/>
  <c r="N1859" i="11"/>
  <c r="K1859" i="11"/>
  <c r="I1859" i="11"/>
  <c r="N1858" i="11"/>
  <c r="K1858" i="11"/>
  <c r="I1858" i="11"/>
  <c r="N1857" i="11"/>
  <c r="K1857" i="11"/>
  <c r="I1857" i="11"/>
  <c r="N1856" i="11"/>
  <c r="K1856" i="11"/>
  <c r="I1856" i="11"/>
  <c r="N1855" i="11"/>
  <c r="K1855" i="11"/>
  <c r="I1855" i="11"/>
  <c r="N1854" i="11"/>
  <c r="K1854" i="11"/>
  <c r="I1854" i="11"/>
  <c r="N1853" i="11"/>
  <c r="K1853" i="11"/>
  <c r="I1853" i="11"/>
  <c r="N1852" i="11"/>
  <c r="K1852" i="11"/>
  <c r="I1852" i="11"/>
  <c r="N1851" i="11"/>
  <c r="K1851" i="11"/>
  <c r="I1851" i="11"/>
  <c r="N1850" i="11"/>
  <c r="K1850" i="11"/>
  <c r="I1850" i="11"/>
  <c r="N1849" i="11"/>
  <c r="K1849" i="11"/>
  <c r="I1849" i="11"/>
  <c r="N1848" i="11"/>
  <c r="K1848" i="11"/>
  <c r="I1848" i="11"/>
  <c r="N1847" i="11"/>
  <c r="K1847" i="11"/>
  <c r="I1847" i="11"/>
  <c r="N1846" i="11"/>
  <c r="K1846" i="11"/>
  <c r="I1846" i="11"/>
  <c r="N1845" i="11"/>
  <c r="K1845" i="11"/>
  <c r="I1845" i="11"/>
  <c r="N1844" i="11"/>
  <c r="K1844" i="11"/>
  <c r="I1844" i="11"/>
  <c r="N1843" i="11"/>
  <c r="K1843" i="11"/>
  <c r="I1843" i="11"/>
  <c r="N1842" i="11"/>
  <c r="K1842" i="11"/>
  <c r="I1842" i="11"/>
  <c r="N1841" i="11"/>
  <c r="K1841" i="11"/>
  <c r="I1841" i="11"/>
  <c r="N1840" i="11"/>
  <c r="K1840" i="11"/>
  <c r="I1840" i="11"/>
  <c r="N1839" i="11"/>
  <c r="K1839" i="11"/>
  <c r="I1839" i="11"/>
  <c r="N1838" i="11"/>
  <c r="K1838" i="11"/>
  <c r="I1838" i="11"/>
  <c r="N1837" i="11"/>
  <c r="K1837" i="11"/>
  <c r="I1837" i="11"/>
  <c r="N1836" i="11"/>
  <c r="K1836" i="11"/>
  <c r="I1836" i="11"/>
  <c r="N1835" i="11"/>
  <c r="K1835" i="11"/>
  <c r="I1835" i="11"/>
  <c r="N1834" i="11"/>
  <c r="K1834" i="11"/>
  <c r="I1834" i="11"/>
  <c r="N1833" i="11"/>
  <c r="K1833" i="11"/>
  <c r="I1833" i="11"/>
  <c r="N1832" i="11"/>
  <c r="K1832" i="11"/>
  <c r="I1832" i="11"/>
  <c r="N1831" i="11"/>
  <c r="K1831" i="11"/>
  <c r="I1831" i="11"/>
  <c r="N1830" i="11"/>
  <c r="K1830" i="11"/>
  <c r="I1830" i="11"/>
  <c r="N1829" i="11"/>
  <c r="K1829" i="11"/>
  <c r="I1829" i="11"/>
  <c r="N1828" i="11"/>
  <c r="K1828" i="11"/>
  <c r="I1828" i="11"/>
  <c r="N1827" i="11"/>
  <c r="K1827" i="11"/>
  <c r="I1827" i="11"/>
  <c r="N1826" i="11"/>
  <c r="K1826" i="11"/>
  <c r="I1826" i="11"/>
  <c r="N1825" i="11"/>
  <c r="K1825" i="11"/>
  <c r="I1825" i="11"/>
  <c r="N1824" i="11"/>
  <c r="K1824" i="11"/>
  <c r="I1824" i="11"/>
  <c r="N1823" i="11"/>
  <c r="K1823" i="11"/>
  <c r="I1823" i="11"/>
  <c r="N1822" i="11"/>
  <c r="K1822" i="11"/>
  <c r="I1822" i="11"/>
  <c r="N1821" i="11"/>
  <c r="K1821" i="11"/>
  <c r="I1821" i="11"/>
  <c r="N1820" i="11"/>
  <c r="K1820" i="11"/>
  <c r="I1820" i="11"/>
  <c r="N1819" i="11"/>
  <c r="K1819" i="11"/>
  <c r="I1819" i="11"/>
  <c r="N1818" i="11"/>
  <c r="K1818" i="11"/>
  <c r="I1818" i="11"/>
  <c r="N1817" i="11"/>
  <c r="K1817" i="11"/>
  <c r="I1817" i="11"/>
  <c r="N1816" i="11"/>
  <c r="K1816" i="11"/>
  <c r="I1816" i="11"/>
  <c r="N1815" i="11"/>
  <c r="K1815" i="11"/>
  <c r="I1815" i="11"/>
  <c r="N1814" i="11"/>
  <c r="K1814" i="11"/>
  <c r="I1814" i="11"/>
  <c r="N1813" i="11"/>
  <c r="K1813" i="11"/>
  <c r="I1813" i="11"/>
  <c r="N1812" i="11"/>
  <c r="K1812" i="11"/>
  <c r="I1812" i="11"/>
  <c r="N1811" i="11"/>
  <c r="K1811" i="11"/>
  <c r="I1811" i="11"/>
  <c r="N1810" i="11"/>
  <c r="K1810" i="11"/>
  <c r="I1810" i="11"/>
  <c r="N1809" i="11"/>
  <c r="K1809" i="11"/>
  <c r="I1809" i="11"/>
  <c r="N1808" i="11"/>
  <c r="K1808" i="11"/>
  <c r="I1808" i="11"/>
  <c r="N1807" i="11"/>
  <c r="K1807" i="11"/>
  <c r="I1807" i="11"/>
  <c r="N1806" i="11"/>
  <c r="K1806" i="11"/>
  <c r="I1806" i="11"/>
  <c r="N1805" i="11"/>
  <c r="K1805" i="11"/>
  <c r="I1805" i="11"/>
  <c r="N1804" i="11"/>
  <c r="K1804" i="11"/>
  <c r="I1804" i="11"/>
  <c r="N1803" i="11"/>
  <c r="K1803" i="11"/>
  <c r="I1803" i="11"/>
  <c r="N1802" i="11"/>
  <c r="K1802" i="11"/>
  <c r="I1802" i="11"/>
  <c r="N1801" i="11"/>
  <c r="K1801" i="11"/>
  <c r="I1801" i="11"/>
  <c r="N1800" i="11"/>
  <c r="K1800" i="11"/>
  <c r="I1800" i="11"/>
  <c r="N1799" i="11"/>
  <c r="K1799" i="11"/>
  <c r="I1799" i="11"/>
  <c r="N1798" i="11"/>
  <c r="K1798" i="11"/>
  <c r="I1798" i="11"/>
  <c r="N1797" i="11"/>
  <c r="K1797" i="11"/>
  <c r="I1797" i="11"/>
  <c r="N1796" i="11"/>
  <c r="K1796" i="11"/>
  <c r="I1796" i="11"/>
  <c r="N1795" i="11"/>
  <c r="K1795" i="11"/>
  <c r="I1795" i="11"/>
  <c r="N1794" i="11"/>
  <c r="K1794" i="11"/>
  <c r="I1794" i="11"/>
  <c r="N1793" i="11"/>
  <c r="K1793" i="11"/>
  <c r="I1793" i="11"/>
  <c r="N1792" i="11"/>
  <c r="K1792" i="11"/>
  <c r="I1792" i="11"/>
  <c r="N1791" i="11"/>
  <c r="K1791" i="11"/>
  <c r="I1791" i="11"/>
  <c r="N1790" i="11"/>
  <c r="K1790" i="11"/>
  <c r="I1790" i="11"/>
  <c r="N1789" i="11"/>
  <c r="K1789" i="11"/>
  <c r="I1789" i="11"/>
  <c r="N1788" i="11"/>
  <c r="K1788" i="11"/>
  <c r="I1788" i="11"/>
  <c r="N1787" i="11"/>
  <c r="K1787" i="11"/>
  <c r="I1787" i="11"/>
  <c r="N1786" i="11"/>
  <c r="K1786" i="11"/>
  <c r="I1786" i="11"/>
  <c r="N1785" i="11"/>
  <c r="K1785" i="11"/>
  <c r="I1785" i="11"/>
  <c r="N1784" i="11"/>
  <c r="K1784" i="11"/>
  <c r="I1784" i="11"/>
  <c r="N1783" i="11"/>
  <c r="K1783" i="11"/>
  <c r="I1783" i="11"/>
  <c r="N1782" i="11"/>
  <c r="K1782" i="11"/>
  <c r="I1782" i="11"/>
  <c r="N1781" i="11"/>
  <c r="K1781" i="11"/>
  <c r="I1781" i="11"/>
  <c r="N1780" i="11"/>
  <c r="K1780" i="11"/>
  <c r="I1780" i="11"/>
  <c r="N1779" i="11"/>
  <c r="K1779" i="11"/>
  <c r="I1779" i="11"/>
  <c r="N1778" i="11"/>
  <c r="K1778" i="11"/>
  <c r="I1778" i="11"/>
  <c r="N1777" i="11"/>
  <c r="K1777" i="11"/>
  <c r="I1777" i="11"/>
  <c r="N1776" i="11"/>
  <c r="K1776" i="11"/>
  <c r="I1776" i="11"/>
  <c r="N1775" i="11"/>
  <c r="K1775" i="11"/>
  <c r="I1775" i="11"/>
  <c r="N1774" i="11"/>
  <c r="K1774" i="11"/>
  <c r="I1774" i="11"/>
  <c r="N1773" i="11"/>
  <c r="K1773" i="11"/>
  <c r="I1773" i="11"/>
  <c r="N1772" i="11"/>
  <c r="K1772" i="11"/>
  <c r="I1772" i="11"/>
  <c r="N1771" i="11"/>
  <c r="K1771" i="11"/>
  <c r="I1771" i="11"/>
  <c r="N1770" i="11"/>
  <c r="K1770" i="11"/>
  <c r="I1770" i="11"/>
  <c r="N1769" i="11"/>
  <c r="K1769" i="11"/>
  <c r="I1769" i="11"/>
  <c r="N1768" i="11"/>
  <c r="K1768" i="11"/>
  <c r="I1768" i="11"/>
  <c r="N1767" i="11"/>
  <c r="K1767" i="11"/>
  <c r="I1767" i="11"/>
  <c r="N1766" i="11"/>
  <c r="K1766" i="11"/>
  <c r="I1766" i="11"/>
  <c r="N1765" i="11"/>
  <c r="K1765" i="11"/>
  <c r="I1765" i="11"/>
  <c r="N1764" i="11"/>
  <c r="K1764" i="11"/>
  <c r="I1764" i="11"/>
  <c r="N1763" i="11"/>
  <c r="K1763" i="11"/>
  <c r="I1763" i="11"/>
  <c r="N1762" i="11"/>
  <c r="K1762" i="11"/>
  <c r="I1762" i="11"/>
  <c r="N1761" i="11"/>
  <c r="K1761" i="11"/>
  <c r="I1761" i="11"/>
  <c r="N1760" i="11"/>
  <c r="K1760" i="11"/>
  <c r="I1760" i="11"/>
  <c r="N1759" i="11"/>
  <c r="K1759" i="11"/>
  <c r="I1759" i="11"/>
  <c r="N1758" i="11"/>
  <c r="K1758" i="11"/>
  <c r="I1758" i="11"/>
  <c r="N1757" i="11"/>
  <c r="K1757" i="11"/>
  <c r="I1757" i="11"/>
  <c r="N1756" i="11"/>
  <c r="K1756" i="11"/>
  <c r="I1756" i="11"/>
  <c r="N1755" i="11"/>
  <c r="K1755" i="11"/>
  <c r="I1755" i="11"/>
  <c r="N1754" i="11"/>
  <c r="K1754" i="11"/>
  <c r="I1754" i="11"/>
  <c r="N1753" i="11"/>
  <c r="K1753" i="11"/>
  <c r="I1753" i="11"/>
  <c r="N1752" i="11"/>
  <c r="K1752" i="11"/>
  <c r="I1752" i="11"/>
  <c r="N1751" i="11"/>
  <c r="K1751" i="11"/>
  <c r="I1751" i="11"/>
  <c r="N1750" i="11"/>
  <c r="K1750" i="11"/>
  <c r="I1750" i="11"/>
  <c r="N1749" i="11"/>
  <c r="K1749" i="11"/>
  <c r="I1749" i="11"/>
  <c r="N1748" i="11"/>
  <c r="K1748" i="11"/>
  <c r="I1748" i="11"/>
  <c r="N1747" i="11"/>
  <c r="K1747" i="11"/>
  <c r="I1747" i="11"/>
  <c r="N1746" i="11"/>
  <c r="K1746" i="11"/>
  <c r="I1746" i="11"/>
  <c r="N1745" i="11"/>
  <c r="K1745" i="11"/>
  <c r="I1745" i="11"/>
  <c r="N1744" i="11"/>
  <c r="K1744" i="11"/>
  <c r="I1744" i="11"/>
  <c r="N1743" i="11"/>
  <c r="K1743" i="11"/>
  <c r="I1743" i="11"/>
  <c r="N1742" i="11"/>
  <c r="K1742" i="11"/>
  <c r="I1742" i="11"/>
  <c r="N1741" i="11"/>
  <c r="K1741" i="11"/>
  <c r="I1741" i="11"/>
  <c r="N1740" i="11"/>
  <c r="K1740" i="11"/>
  <c r="I1740" i="11"/>
  <c r="N1739" i="11"/>
  <c r="K1739" i="11"/>
  <c r="I1739" i="11"/>
  <c r="N1738" i="11"/>
  <c r="K1738" i="11"/>
  <c r="I1738" i="11"/>
  <c r="N1737" i="11"/>
  <c r="K1737" i="11"/>
  <c r="I1737" i="11"/>
  <c r="N1736" i="11"/>
  <c r="K1736" i="11"/>
  <c r="I1736" i="11"/>
  <c r="N1735" i="11"/>
  <c r="K1735" i="11"/>
  <c r="I1735" i="11"/>
  <c r="N1734" i="11"/>
  <c r="K1734" i="11"/>
  <c r="I1734" i="11"/>
  <c r="N1733" i="11"/>
  <c r="K1733" i="11"/>
  <c r="I1733" i="11"/>
  <c r="N1732" i="11"/>
  <c r="K1732" i="11"/>
  <c r="I1732" i="11"/>
  <c r="N1731" i="11"/>
  <c r="K1731" i="11"/>
  <c r="I1731" i="11"/>
  <c r="N1730" i="11"/>
  <c r="K1730" i="11"/>
  <c r="I1730" i="11"/>
  <c r="N1729" i="11"/>
  <c r="K1729" i="11"/>
  <c r="I1729" i="11"/>
  <c r="N1728" i="11"/>
  <c r="K1728" i="11"/>
  <c r="I1728" i="11"/>
  <c r="N1727" i="11"/>
  <c r="K1727" i="11"/>
  <c r="I1727" i="11"/>
  <c r="N1726" i="11"/>
  <c r="K1726" i="11"/>
  <c r="I1726" i="11"/>
  <c r="N1725" i="11"/>
  <c r="K1725" i="11"/>
  <c r="I1725" i="11"/>
  <c r="N1724" i="11"/>
  <c r="K1724" i="11"/>
  <c r="I1724" i="11"/>
  <c r="N1723" i="11"/>
  <c r="K1723" i="11"/>
  <c r="I1723" i="11"/>
  <c r="N1722" i="11"/>
  <c r="K1722" i="11"/>
  <c r="I1722" i="11"/>
  <c r="N1721" i="11"/>
  <c r="K1721" i="11"/>
  <c r="I1721" i="11"/>
  <c r="N1720" i="11"/>
  <c r="K1720" i="11"/>
  <c r="I1720" i="11"/>
  <c r="N1719" i="11"/>
  <c r="K1719" i="11"/>
  <c r="I1719" i="11"/>
  <c r="N1718" i="11"/>
  <c r="K1718" i="11"/>
  <c r="I1718" i="11"/>
  <c r="N1717" i="11"/>
  <c r="K1717" i="11"/>
  <c r="I1717" i="11"/>
  <c r="N1716" i="11"/>
  <c r="K1716" i="11"/>
  <c r="I1716" i="11"/>
  <c r="N1715" i="11"/>
  <c r="K1715" i="11"/>
  <c r="I1715" i="11"/>
  <c r="N1714" i="11"/>
  <c r="K1714" i="11"/>
  <c r="I1714" i="11"/>
  <c r="N1713" i="11"/>
  <c r="K1713" i="11"/>
  <c r="I1713" i="11"/>
  <c r="N1712" i="11"/>
  <c r="K1712" i="11"/>
  <c r="I1712" i="11"/>
  <c r="N1711" i="11"/>
  <c r="K1711" i="11"/>
  <c r="I1711" i="11"/>
  <c r="N1710" i="11"/>
  <c r="K1710" i="11"/>
  <c r="I1710" i="11"/>
  <c r="N1709" i="11"/>
  <c r="K1709" i="11"/>
  <c r="I1709" i="11"/>
  <c r="N1708" i="11"/>
  <c r="K1708" i="11"/>
  <c r="I1708" i="11"/>
  <c r="N1707" i="11"/>
  <c r="K1707" i="11"/>
  <c r="I1707" i="11"/>
  <c r="N1706" i="11"/>
  <c r="K1706" i="11"/>
  <c r="I1706" i="11"/>
  <c r="N1705" i="11"/>
  <c r="K1705" i="11"/>
  <c r="I1705" i="11"/>
  <c r="N1704" i="11"/>
  <c r="K1704" i="11"/>
  <c r="I1704" i="11"/>
  <c r="N1703" i="11"/>
  <c r="K1703" i="11"/>
  <c r="I1703" i="11"/>
  <c r="N1702" i="11"/>
  <c r="K1702" i="11"/>
  <c r="I1702" i="11"/>
  <c r="N1701" i="11"/>
  <c r="K1701" i="11"/>
  <c r="I1701" i="11"/>
  <c r="N1700" i="11"/>
  <c r="K1700" i="11"/>
  <c r="I1700" i="11"/>
  <c r="N1699" i="11"/>
  <c r="K1699" i="11"/>
  <c r="I1699" i="11"/>
  <c r="N1698" i="11"/>
  <c r="K1698" i="11"/>
  <c r="I1698" i="11"/>
  <c r="N1697" i="11"/>
  <c r="K1697" i="11"/>
  <c r="I1697" i="11"/>
  <c r="N1696" i="11"/>
  <c r="K1696" i="11"/>
  <c r="I1696" i="11"/>
  <c r="N1695" i="11"/>
  <c r="K1695" i="11"/>
  <c r="I1695" i="11"/>
  <c r="N1694" i="11"/>
  <c r="K1694" i="11"/>
  <c r="I1694" i="11"/>
  <c r="N1693" i="11"/>
  <c r="K1693" i="11"/>
  <c r="I1693" i="11"/>
  <c r="N1692" i="11"/>
  <c r="K1692" i="11"/>
  <c r="I1692" i="11"/>
  <c r="N1691" i="11"/>
  <c r="K1691" i="11"/>
  <c r="I1691" i="11"/>
  <c r="N1690" i="11"/>
  <c r="K1690" i="11"/>
  <c r="I1690" i="11"/>
  <c r="N1689" i="11"/>
  <c r="K1689" i="11"/>
  <c r="I1689" i="11"/>
  <c r="N1688" i="11"/>
  <c r="K1688" i="11"/>
  <c r="I1688" i="11"/>
  <c r="N1687" i="11"/>
  <c r="K1687" i="11"/>
  <c r="I1687" i="11"/>
  <c r="N1686" i="11"/>
  <c r="K1686" i="11"/>
  <c r="I1686" i="11"/>
  <c r="N1685" i="11"/>
  <c r="K1685" i="11"/>
  <c r="I1685" i="11"/>
  <c r="N1684" i="11"/>
  <c r="K1684" i="11"/>
  <c r="I1684" i="11"/>
  <c r="N1683" i="11"/>
  <c r="K1683" i="11"/>
  <c r="I1683" i="11"/>
  <c r="N1682" i="11"/>
  <c r="K1682" i="11"/>
  <c r="I1682" i="11"/>
  <c r="N1681" i="11"/>
  <c r="K1681" i="11"/>
  <c r="I1681" i="11"/>
  <c r="N1680" i="11"/>
  <c r="K1680" i="11"/>
  <c r="I1680" i="11"/>
  <c r="N1679" i="11"/>
  <c r="K1679" i="11"/>
  <c r="I1679" i="11"/>
  <c r="N1678" i="11"/>
  <c r="K1678" i="11"/>
  <c r="I1678" i="11"/>
  <c r="N1677" i="11"/>
  <c r="K1677" i="11"/>
  <c r="I1677" i="11"/>
  <c r="N1676" i="11"/>
  <c r="K1676" i="11"/>
  <c r="I1676" i="11"/>
  <c r="N1675" i="11"/>
  <c r="K1675" i="11"/>
  <c r="I1675" i="11"/>
  <c r="N1674" i="11"/>
  <c r="K1674" i="11"/>
  <c r="I1674" i="11"/>
  <c r="N1673" i="11"/>
  <c r="K1673" i="11"/>
  <c r="I1673" i="11"/>
  <c r="N1672" i="11"/>
  <c r="K1672" i="11"/>
  <c r="I1672" i="11"/>
  <c r="N1671" i="11"/>
  <c r="K1671" i="11"/>
  <c r="I1671" i="11"/>
  <c r="N1670" i="11"/>
  <c r="K1670" i="11"/>
  <c r="I1670" i="11"/>
  <c r="N1669" i="11"/>
  <c r="K1669" i="11"/>
  <c r="I1669" i="11"/>
  <c r="N1668" i="11"/>
  <c r="K1668" i="11"/>
  <c r="I1668" i="11"/>
  <c r="N1667" i="11"/>
  <c r="K1667" i="11"/>
  <c r="I1667" i="11"/>
  <c r="N1666" i="11"/>
  <c r="K1666" i="11"/>
  <c r="I1666" i="11"/>
  <c r="N1665" i="11"/>
  <c r="K1665" i="11"/>
  <c r="I1665" i="11"/>
  <c r="N1664" i="11"/>
  <c r="K1664" i="11"/>
  <c r="I1664" i="11"/>
  <c r="N1663" i="11"/>
  <c r="K1663" i="11"/>
  <c r="I1663" i="11"/>
  <c r="N1662" i="11"/>
  <c r="K1662" i="11"/>
  <c r="I1662" i="11"/>
  <c r="N1661" i="11"/>
  <c r="K1661" i="11"/>
  <c r="I1661" i="11"/>
  <c r="N1660" i="11"/>
  <c r="K1660" i="11"/>
  <c r="I1660" i="11"/>
  <c r="N1659" i="11"/>
  <c r="K1659" i="11"/>
  <c r="I1659" i="11"/>
  <c r="N1658" i="11"/>
  <c r="K1658" i="11"/>
  <c r="I1658" i="11"/>
  <c r="N1657" i="11"/>
  <c r="K1657" i="11"/>
  <c r="I1657" i="11"/>
  <c r="N1656" i="11"/>
  <c r="K1656" i="11"/>
  <c r="I1656" i="11"/>
  <c r="N1655" i="11"/>
  <c r="K1655" i="11"/>
  <c r="I1655" i="11"/>
  <c r="N1654" i="11"/>
  <c r="K1654" i="11"/>
  <c r="I1654" i="11"/>
  <c r="N1653" i="11"/>
  <c r="K1653" i="11"/>
  <c r="I1653" i="11"/>
  <c r="N1652" i="11"/>
  <c r="K1652" i="11"/>
  <c r="I1652" i="11"/>
  <c r="N1651" i="11"/>
  <c r="K1651" i="11"/>
  <c r="I1651" i="11"/>
  <c r="N1650" i="11"/>
  <c r="K1650" i="11"/>
  <c r="I1650" i="11"/>
  <c r="N1649" i="11"/>
  <c r="K1649" i="11"/>
  <c r="I1649" i="11"/>
  <c r="N1648" i="11"/>
  <c r="K1648" i="11"/>
  <c r="I1648" i="11"/>
  <c r="N1647" i="11"/>
  <c r="K1647" i="11"/>
  <c r="I1647" i="11"/>
  <c r="N1646" i="11"/>
  <c r="K1646" i="11"/>
  <c r="I1646" i="11"/>
  <c r="N1645" i="11"/>
  <c r="K1645" i="11"/>
  <c r="I1645" i="11"/>
  <c r="N1644" i="11"/>
  <c r="K1644" i="11"/>
  <c r="I1644" i="11"/>
  <c r="N1643" i="11"/>
  <c r="K1643" i="11"/>
  <c r="I1643" i="11"/>
  <c r="N1642" i="11"/>
  <c r="K1642" i="11"/>
  <c r="I1642" i="11"/>
  <c r="N1641" i="11"/>
  <c r="K1641" i="11"/>
  <c r="I1641" i="11"/>
  <c r="N1640" i="11"/>
  <c r="K1640" i="11"/>
  <c r="I1640" i="11"/>
  <c r="N1639" i="11"/>
  <c r="K1639" i="11"/>
  <c r="I1639" i="11"/>
  <c r="N1638" i="11"/>
  <c r="K1638" i="11"/>
  <c r="I1638" i="11"/>
  <c r="N1637" i="11"/>
  <c r="K1637" i="11"/>
  <c r="I1637" i="11"/>
  <c r="N1636" i="11"/>
  <c r="K1636" i="11"/>
  <c r="I1636" i="11"/>
  <c r="N1635" i="11"/>
  <c r="K1635" i="11"/>
  <c r="I1635" i="11"/>
  <c r="N1634" i="11"/>
  <c r="K1634" i="11"/>
  <c r="I1634" i="11"/>
  <c r="N1633" i="11"/>
  <c r="K1633" i="11"/>
  <c r="I1633" i="11"/>
  <c r="N1632" i="11"/>
  <c r="K1632" i="11"/>
  <c r="I1632" i="11"/>
  <c r="N1631" i="11"/>
  <c r="K1631" i="11"/>
  <c r="I1631" i="11"/>
  <c r="N1630" i="11"/>
  <c r="K1630" i="11"/>
  <c r="I1630" i="11"/>
  <c r="N1629" i="11"/>
  <c r="K1629" i="11"/>
  <c r="I1629" i="11"/>
  <c r="N1628" i="11"/>
  <c r="K1628" i="11"/>
  <c r="I1628" i="11"/>
  <c r="N1627" i="11"/>
  <c r="K1627" i="11"/>
  <c r="I1627" i="11"/>
  <c r="N1626" i="11"/>
  <c r="K1626" i="11"/>
  <c r="I1626" i="11"/>
  <c r="N1625" i="11"/>
  <c r="K1625" i="11"/>
  <c r="I1625" i="11"/>
  <c r="N1624" i="11"/>
  <c r="K1624" i="11"/>
  <c r="I1624" i="11"/>
  <c r="N1623" i="11"/>
  <c r="K1623" i="11"/>
  <c r="I1623" i="11"/>
  <c r="N1622" i="11"/>
  <c r="K1622" i="11"/>
  <c r="I1622" i="11"/>
  <c r="N1621" i="11"/>
  <c r="K1621" i="11"/>
  <c r="I1621" i="11"/>
  <c r="N1620" i="11"/>
  <c r="K1620" i="11"/>
  <c r="I1620" i="11"/>
  <c r="N1619" i="11"/>
  <c r="K1619" i="11"/>
  <c r="I1619" i="11"/>
  <c r="N1618" i="11"/>
  <c r="K1618" i="11"/>
  <c r="I1618" i="11"/>
  <c r="N1617" i="11"/>
  <c r="K1617" i="11"/>
  <c r="I1617" i="11"/>
  <c r="N1616" i="11"/>
  <c r="K1616" i="11"/>
  <c r="I1616" i="11"/>
  <c r="N1615" i="11"/>
  <c r="K1615" i="11"/>
  <c r="I1615" i="11"/>
  <c r="N1614" i="11"/>
  <c r="K1614" i="11"/>
  <c r="I1614" i="11"/>
  <c r="N1613" i="11"/>
  <c r="K1613" i="11"/>
  <c r="I1613" i="11"/>
  <c r="N1612" i="11"/>
  <c r="K1612" i="11"/>
  <c r="I1612" i="11"/>
  <c r="N1611" i="11"/>
  <c r="K1611" i="11"/>
  <c r="I1611" i="11"/>
  <c r="N1610" i="11"/>
  <c r="K1610" i="11"/>
  <c r="I1610" i="11"/>
  <c r="N1609" i="11"/>
  <c r="K1609" i="11"/>
  <c r="I1609" i="11"/>
  <c r="N1608" i="11"/>
  <c r="K1608" i="11"/>
  <c r="I1608" i="11"/>
  <c r="N1607" i="11"/>
  <c r="K1607" i="11"/>
  <c r="I1607" i="11"/>
  <c r="N1606" i="11"/>
  <c r="K1606" i="11"/>
  <c r="I1606" i="11"/>
  <c r="N1605" i="11"/>
  <c r="K1605" i="11"/>
  <c r="I1605" i="11"/>
  <c r="N1604" i="11"/>
  <c r="K1604" i="11"/>
  <c r="I1604" i="11"/>
  <c r="N1603" i="11"/>
  <c r="K1603" i="11"/>
  <c r="I1603" i="11"/>
  <c r="N1602" i="11"/>
  <c r="K1602" i="11"/>
  <c r="I1602" i="11"/>
  <c r="N1601" i="11"/>
  <c r="K1601" i="11"/>
  <c r="I1601" i="11"/>
  <c r="N1600" i="11"/>
  <c r="K1600" i="11"/>
  <c r="I1600" i="11"/>
  <c r="N1599" i="11"/>
  <c r="K1599" i="11"/>
  <c r="I1599" i="11"/>
  <c r="N1598" i="11"/>
  <c r="K1598" i="11"/>
  <c r="I1598" i="11"/>
  <c r="N1597" i="11"/>
  <c r="K1597" i="11"/>
  <c r="I1597" i="11"/>
  <c r="N1596" i="11"/>
  <c r="K1596" i="11"/>
  <c r="I1596" i="11"/>
  <c r="N1595" i="11"/>
  <c r="K1595" i="11"/>
  <c r="I1595" i="11"/>
  <c r="N1594" i="11"/>
  <c r="K1594" i="11"/>
  <c r="I1594" i="11"/>
  <c r="N1593" i="11"/>
  <c r="K1593" i="11"/>
  <c r="I1593" i="11"/>
  <c r="N1592" i="11"/>
  <c r="K1592" i="11"/>
  <c r="I1592" i="11"/>
  <c r="N1591" i="11"/>
  <c r="K1591" i="11"/>
  <c r="I1591" i="11"/>
  <c r="N1590" i="11"/>
  <c r="K1590" i="11"/>
  <c r="I1590" i="11"/>
  <c r="N1589" i="11"/>
  <c r="K1589" i="11"/>
  <c r="I1589" i="11"/>
  <c r="N1588" i="11"/>
  <c r="K1588" i="11"/>
  <c r="I1588" i="11"/>
  <c r="N1587" i="11"/>
  <c r="K1587" i="11"/>
  <c r="I1587" i="11"/>
  <c r="N1586" i="11"/>
  <c r="K1586" i="11"/>
  <c r="I1586" i="11"/>
  <c r="N1585" i="11"/>
  <c r="K1585" i="11"/>
  <c r="I1585" i="11"/>
  <c r="N1584" i="11"/>
  <c r="K1584" i="11"/>
  <c r="I1584" i="11"/>
  <c r="N1583" i="11"/>
  <c r="K1583" i="11"/>
  <c r="I1583" i="11"/>
  <c r="N1582" i="11"/>
  <c r="K1582" i="11"/>
  <c r="I1582" i="11"/>
  <c r="N1581" i="11"/>
  <c r="K1581" i="11"/>
  <c r="I1581" i="11"/>
  <c r="N1580" i="11"/>
  <c r="K1580" i="11"/>
  <c r="I1580" i="11"/>
  <c r="N1579" i="11"/>
  <c r="K1579" i="11"/>
  <c r="I1579" i="11"/>
  <c r="N1578" i="11"/>
  <c r="K1578" i="11"/>
  <c r="I1578" i="11"/>
  <c r="N1577" i="11"/>
  <c r="K1577" i="11"/>
  <c r="I1577" i="11"/>
  <c r="N1576" i="11"/>
  <c r="K1576" i="11"/>
  <c r="I1576" i="11"/>
  <c r="N1575" i="11"/>
  <c r="K1575" i="11"/>
  <c r="I1575" i="11"/>
  <c r="N1574" i="11"/>
  <c r="K1574" i="11"/>
  <c r="I1574" i="11"/>
  <c r="N1573" i="11"/>
  <c r="K1573" i="11"/>
  <c r="I1573" i="11"/>
  <c r="N1572" i="11"/>
  <c r="K1572" i="11"/>
  <c r="I1572" i="11"/>
  <c r="N1571" i="11"/>
  <c r="K1571" i="11"/>
  <c r="I1571" i="11"/>
  <c r="N1570" i="11"/>
  <c r="K1570" i="11"/>
  <c r="I1570" i="11"/>
  <c r="N1569" i="11"/>
  <c r="K1569" i="11"/>
  <c r="I1569" i="11"/>
  <c r="N1568" i="11"/>
  <c r="K1568" i="11"/>
  <c r="I1568" i="11"/>
  <c r="N1567" i="11"/>
  <c r="K1567" i="11"/>
  <c r="I1567" i="11"/>
  <c r="N1566" i="11"/>
  <c r="K1566" i="11"/>
  <c r="I1566" i="11"/>
  <c r="N1565" i="11"/>
  <c r="K1565" i="11"/>
  <c r="I1565" i="11"/>
  <c r="N1564" i="11"/>
  <c r="K1564" i="11"/>
  <c r="I1564" i="11"/>
  <c r="N1563" i="11"/>
  <c r="K1563" i="11"/>
  <c r="I1563" i="11"/>
  <c r="N1562" i="11"/>
  <c r="K1562" i="11"/>
  <c r="I1562" i="11"/>
  <c r="N1561" i="11"/>
  <c r="K1561" i="11"/>
  <c r="I1561" i="11"/>
  <c r="N1560" i="11"/>
  <c r="K1560" i="11"/>
  <c r="I1560" i="11"/>
  <c r="N1559" i="11"/>
  <c r="K1559" i="11"/>
  <c r="I1559" i="11"/>
  <c r="N1558" i="11"/>
  <c r="K1558" i="11"/>
  <c r="I1558" i="11"/>
  <c r="N1557" i="11"/>
  <c r="K1557" i="11"/>
  <c r="I1557" i="11"/>
  <c r="N1556" i="11"/>
  <c r="K1556" i="11"/>
  <c r="I1556" i="11"/>
  <c r="N1555" i="11"/>
  <c r="K1555" i="11"/>
  <c r="I1555" i="11"/>
  <c r="N1554" i="11"/>
  <c r="K1554" i="11"/>
  <c r="I1554" i="11"/>
  <c r="N1553" i="11"/>
  <c r="K1553" i="11"/>
  <c r="I1553" i="11"/>
  <c r="N1552" i="11"/>
  <c r="K1552" i="11"/>
  <c r="I1552" i="11"/>
  <c r="N1551" i="11"/>
  <c r="K1551" i="11"/>
  <c r="I1551" i="11"/>
  <c r="N1550" i="11"/>
  <c r="K1550" i="11"/>
  <c r="I1550" i="11"/>
  <c r="N1549" i="11"/>
  <c r="K1549" i="11"/>
  <c r="I1549" i="11"/>
  <c r="N1548" i="11"/>
  <c r="K1548" i="11"/>
  <c r="I1548" i="11"/>
  <c r="N1547" i="11"/>
  <c r="K1547" i="11"/>
  <c r="I1547" i="11"/>
  <c r="N1546" i="11"/>
  <c r="K1546" i="11"/>
  <c r="I1546" i="11"/>
  <c r="N1545" i="11"/>
  <c r="K1545" i="11"/>
  <c r="I1545" i="11"/>
  <c r="N1544" i="11"/>
  <c r="K1544" i="11"/>
  <c r="I1544" i="11"/>
  <c r="N1543" i="11"/>
  <c r="K1543" i="11"/>
  <c r="I1543" i="11"/>
  <c r="N1542" i="11"/>
  <c r="K1542" i="11"/>
  <c r="I1542" i="11"/>
  <c r="N1541" i="11"/>
  <c r="K1541" i="11"/>
  <c r="I1541" i="11"/>
  <c r="N1540" i="11"/>
  <c r="K1540" i="11"/>
  <c r="I1540" i="11"/>
  <c r="N1539" i="11"/>
  <c r="K1539" i="11"/>
  <c r="I1539" i="11"/>
  <c r="N1538" i="11"/>
  <c r="K1538" i="11"/>
  <c r="I1538" i="11"/>
  <c r="N1537" i="11"/>
  <c r="K1537" i="11"/>
  <c r="I1537" i="11"/>
  <c r="N1536" i="11"/>
  <c r="K1536" i="11"/>
  <c r="I1536" i="11"/>
  <c r="N1535" i="11"/>
  <c r="K1535" i="11"/>
  <c r="I1535" i="11"/>
  <c r="N1534" i="11"/>
  <c r="K1534" i="11"/>
  <c r="I1534" i="11"/>
  <c r="N1533" i="11"/>
  <c r="K1533" i="11"/>
  <c r="I1533" i="11"/>
  <c r="N1532" i="11"/>
  <c r="K1532" i="11"/>
  <c r="I1532" i="11"/>
  <c r="N1531" i="11"/>
  <c r="K1531" i="11"/>
  <c r="I1531" i="11"/>
  <c r="N1530" i="11"/>
  <c r="K1530" i="11"/>
  <c r="I1530" i="11"/>
  <c r="N1529" i="11"/>
  <c r="K1529" i="11"/>
  <c r="I1529" i="11"/>
  <c r="N1528" i="11"/>
  <c r="K1528" i="11"/>
  <c r="I1528" i="11"/>
  <c r="N1527" i="11"/>
  <c r="K1527" i="11"/>
  <c r="I1527" i="11"/>
  <c r="N1526" i="11"/>
  <c r="K1526" i="11"/>
  <c r="I1526" i="11"/>
  <c r="N1525" i="11"/>
  <c r="K1525" i="11"/>
  <c r="I1525" i="11"/>
  <c r="N1524" i="11"/>
  <c r="K1524" i="11"/>
  <c r="I1524" i="11"/>
  <c r="N1523" i="11"/>
  <c r="K1523" i="11"/>
  <c r="I1523" i="11"/>
  <c r="N1522" i="11"/>
  <c r="K1522" i="11"/>
  <c r="I1522" i="11"/>
  <c r="N1521" i="11"/>
  <c r="K1521" i="11"/>
  <c r="I1521" i="11"/>
  <c r="N1520" i="11"/>
  <c r="K1520" i="11"/>
  <c r="I1520" i="11"/>
  <c r="N1519" i="11"/>
  <c r="K1519" i="11"/>
  <c r="I1519" i="11"/>
  <c r="N1518" i="11"/>
  <c r="K1518" i="11"/>
  <c r="I1518" i="11"/>
  <c r="N1517" i="11"/>
  <c r="K1517" i="11"/>
  <c r="I1517" i="11"/>
  <c r="N1516" i="11"/>
  <c r="K1516" i="11"/>
  <c r="I1516" i="11"/>
  <c r="N1515" i="11"/>
  <c r="K1515" i="11"/>
  <c r="I1515" i="11"/>
  <c r="N1514" i="11"/>
  <c r="K1514" i="11"/>
  <c r="I1514" i="11"/>
  <c r="N1513" i="11"/>
  <c r="K1513" i="11"/>
  <c r="I1513" i="11"/>
  <c r="N1512" i="11"/>
  <c r="K1512" i="11"/>
  <c r="I1512" i="11"/>
  <c r="N1511" i="11"/>
  <c r="K1511" i="11"/>
  <c r="I1511" i="11"/>
  <c r="N1510" i="11"/>
  <c r="K1510" i="11"/>
  <c r="I1510" i="11"/>
  <c r="N1509" i="11"/>
  <c r="K1509" i="11"/>
  <c r="I1509" i="11"/>
  <c r="N1508" i="11"/>
  <c r="K1508" i="11"/>
  <c r="I1508" i="11"/>
  <c r="N1507" i="11"/>
  <c r="K1507" i="11"/>
  <c r="I1507" i="11"/>
  <c r="N1506" i="11"/>
  <c r="K1506" i="11"/>
  <c r="I1506" i="11"/>
  <c r="N1505" i="11"/>
  <c r="K1505" i="11"/>
  <c r="I1505" i="11"/>
  <c r="N1504" i="11"/>
  <c r="K1504" i="11"/>
  <c r="I1504" i="11"/>
  <c r="N1503" i="11"/>
  <c r="K1503" i="11"/>
  <c r="I1503" i="11"/>
  <c r="N1502" i="11"/>
  <c r="K1502" i="11"/>
  <c r="I1502" i="11"/>
  <c r="N1501" i="11"/>
  <c r="K1501" i="11"/>
  <c r="I1501" i="11"/>
  <c r="N1500" i="11"/>
  <c r="K1500" i="11"/>
  <c r="I1500" i="11"/>
  <c r="N1499" i="11"/>
  <c r="K1499" i="11"/>
  <c r="I1499" i="11"/>
  <c r="N1498" i="11"/>
  <c r="K1498" i="11"/>
  <c r="I1498" i="11"/>
  <c r="N1497" i="11"/>
  <c r="K1497" i="11"/>
  <c r="I1497" i="11"/>
  <c r="N1496" i="11"/>
  <c r="K1496" i="11"/>
  <c r="I1496" i="11"/>
  <c r="N1495" i="11"/>
  <c r="K1495" i="11"/>
  <c r="I1495" i="11"/>
  <c r="N1494" i="11"/>
  <c r="K1494" i="11"/>
  <c r="I1494" i="11"/>
  <c r="N1493" i="11"/>
  <c r="K1493" i="11"/>
  <c r="I1493" i="11"/>
  <c r="N1492" i="11"/>
  <c r="K1492" i="11"/>
  <c r="I1492" i="11"/>
  <c r="N1491" i="11"/>
  <c r="K1491" i="11"/>
  <c r="I1491" i="11"/>
  <c r="N1490" i="11"/>
  <c r="K1490" i="11"/>
  <c r="I1490" i="11"/>
  <c r="N1489" i="11"/>
  <c r="K1489" i="11"/>
  <c r="I1489" i="11"/>
  <c r="N1488" i="11"/>
  <c r="K1488" i="11"/>
  <c r="I1488" i="11"/>
  <c r="N1487" i="11"/>
  <c r="K1487" i="11"/>
  <c r="I1487" i="11"/>
  <c r="N1486" i="11"/>
  <c r="K1486" i="11"/>
  <c r="I1486" i="11"/>
  <c r="N1485" i="11"/>
  <c r="K1485" i="11"/>
  <c r="I1485" i="11"/>
  <c r="N1484" i="11"/>
  <c r="K1484" i="11"/>
  <c r="I1484" i="11"/>
  <c r="N1483" i="11"/>
  <c r="K1483" i="11"/>
  <c r="I1483" i="11"/>
  <c r="N1482" i="11"/>
  <c r="K1482" i="11"/>
  <c r="I1482" i="11"/>
  <c r="N1481" i="11"/>
  <c r="K1481" i="11"/>
  <c r="I1481" i="11"/>
  <c r="N1480" i="11"/>
  <c r="K1480" i="11"/>
  <c r="I1480" i="11"/>
  <c r="N1479" i="11"/>
  <c r="K1479" i="11"/>
  <c r="I1479" i="11"/>
  <c r="N1478" i="11"/>
  <c r="K1478" i="11"/>
  <c r="I1478" i="11"/>
  <c r="N1477" i="11"/>
  <c r="K1477" i="11"/>
  <c r="I1477" i="11"/>
  <c r="N1476" i="11"/>
  <c r="K1476" i="11"/>
  <c r="I1476" i="11"/>
  <c r="N1475" i="11"/>
  <c r="K1475" i="11"/>
  <c r="I1475" i="11"/>
  <c r="N1474" i="11"/>
  <c r="K1474" i="11"/>
  <c r="I1474" i="11"/>
  <c r="N1473" i="11"/>
  <c r="K1473" i="11"/>
  <c r="I1473" i="11"/>
  <c r="N1472" i="11"/>
  <c r="K1472" i="11"/>
  <c r="I1472" i="11"/>
  <c r="N1471" i="11"/>
  <c r="K1471" i="11"/>
  <c r="I1471" i="11"/>
  <c r="N1470" i="11"/>
  <c r="K1470" i="11"/>
  <c r="I1470" i="11"/>
  <c r="N1469" i="11"/>
  <c r="K1469" i="11"/>
  <c r="I1469" i="11"/>
  <c r="N1468" i="11"/>
  <c r="K1468" i="11"/>
  <c r="I1468" i="11"/>
  <c r="N1467" i="11"/>
  <c r="K1467" i="11"/>
  <c r="I1467" i="11"/>
  <c r="N1466" i="11"/>
  <c r="K1466" i="11"/>
  <c r="I1466" i="11"/>
  <c r="N1465" i="11"/>
  <c r="K1465" i="11"/>
  <c r="I1465" i="11"/>
  <c r="N1464" i="11"/>
  <c r="K1464" i="11"/>
  <c r="I1464" i="11"/>
  <c r="N1463" i="11"/>
  <c r="K1463" i="11"/>
  <c r="I1463" i="11"/>
  <c r="N1462" i="11"/>
  <c r="K1462" i="11"/>
  <c r="I1462" i="11"/>
  <c r="N1461" i="11"/>
  <c r="K1461" i="11"/>
  <c r="I1461" i="11"/>
  <c r="N1460" i="11"/>
  <c r="K1460" i="11"/>
  <c r="I1460" i="11"/>
  <c r="N1459" i="11"/>
  <c r="K1459" i="11"/>
  <c r="I1459" i="11"/>
  <c r="N1458" i="11"/>
  <c r="K1458" i="11"/>
  <c r="I1458" i="11"/>
  <c r="N1457" i="11"/>
  <c r="K1457" i="11"/>
  <c r="I1457" i="11"/>
  <c r="N1456" i="11"/>
  <c r="K1456" i="11"/>
  <c r="I1456" i="11"/>
  <c r="N1455" i="11"/>
  <c r="K1455" i="11"/>
  <c r="I1455" i="11"/>
  <c r="N1454" i="11"/>
  <c r="K1454" i="11"/>
  <c r="I1454" i="11"/>
  <c r="N1453" i="11"/>
  <c r="K1453" i="11"/>
  <c r="I1453" i="11"/>
  <c r="N1452" i="11"/>
  <c r="K1452" i="11"/>
  <c r="I1452" i="11"/>
  <c r="N1451" i="11"/>
  <c r="K1451" i="11"/>
  <c r="I1451" i="11"/>
  <c r="N1450" i="11"/>
  <c r="K1450" i="11"/>
  <c r="I1450" i="11"/>
  <c r="N1449" i="11"/>
  <c r="K1449" i="11"/>
  <c r="I1449" i="11"/>
  <c r="N1448" i="11"/>
  <c r="K1448" i="11"/>
  <c r="I1448" i="11"/>
  <c r="N1447" i="11"/>
  <c r="K1447" i="11"/>
  <c r="I1447" i="11"/>
  <c r="N1446" i="11"/>
  <c r="K1446" i="11"/>
  <c r="I1446" i="11"/>
  <c r="N1445" i="11"/>
  <c r="K1445" i="11"/>
  <c r="I1445" i="11"/>
  <c r="N1444" i="11"/>
  <c r="K1444" i="11"/>
  <c r="I1444" i="11"/>
  <c r="N1443" i="11"/>
  <c r="K1443" i="11"/>
  <c r="I1443" i="11"/>
  <c r="N1442" i="11"/>
  <c r="K1442" i="11"/>
  <c r="I1442" i="11"/>
  <c r="N1441" i="11"/>
  <c r="K1441" i="11"/>
  <c r="I1441" i="11"/>
  <c r="N1440" i="11"/>
  <c r="K1440" i="11"/>
  <c r="I1440" i="11"/>
  <c r="N1439" i="11"/>
  <c r="K1439" i="11"/>
  <c r="I1439" i="11"/>
  <c r="N1438" i="11"/>
  <c r="K1438" i="11"/>
  <c r="I1438" i="11"/>
  <c r="N1437" i="11"/>
  <c r="K1437" i="11"/>
  <c r="I1437" i="11"/>
  <c r="N1436" i="11"/>
  <c r="K1436" i="11"/>
  <c r="I1436" i="11"/>
  <c r="N1435" i="11"/>
  <c r="K1435" i="11"/>
  <c r="I1435" i="11"/>
  <c r="N1434" i="11"/>
  <c r="K1434" i="11"/>
  <c r="I1434" i="11"/>
  <c r="N1433" i="11"/>
  <c r="K1433" i="11"/>
  <c r="I1433" i="11"/>
  <c r="N1432" i="11"/>
  <c r="K1432" i="11"/>
  <c r="I1432" i="11"/>
  <c r="N1431" i="11"/>
  <c r="K1431" i="11"/>
  <c r="I1431" i="11"/>
  <c r="N1430" i="11"/>
  <c r="K1430" i="11"/>
  <c r="I1430" i="11"/>
  <c r="N1429" i="11"/>
  <c r="K1429" i="11"/>
  <c r="I1429" i="11"/>
  <c r="N1428" i="11"/>
  <c r="K1428" i="11"/>
  <c r="I1428" i="11"/>
  <c r="N1427" i="11"/>
  <c r="K1427" i="11"/>
  <c r="I1427" i="11"/>
  <c r="N1426" i="11"/>
  <c r="K1426" i="11"/>
  <c r="I1426" i="11"/>
  <c r="N1425" i="11"/>
  <c r="K1425" i="11"/>
  <c r="I1425" i="11"/>
  <c r="N1424" i="11"/>
  <c r="K1424" i="11"/>
  <c r="I1424" i="11"/>
  <c r="N1423" i="11"/>
  <c r="K1423" i="11"/>
  <c r="I1423" i="11"/>
  <c r="N1422" i="11"/>
  <c r="K1422" i="11"/>
  <c r="I1422" i="11"/>
  <c r="N1421" i="11"/>
  <c r="K1421" i="11"/>
  <c r="I1421" i="11"/>
  <c r="N1420" i="11"/>
  <c r="K1420" i="11"/>
  <c r="I1420" i="11"/>
  <c r="N1419" i="11"/>
  <c r="K1419" i="11"/>
  <c r="I1419" i="11"/>
  <c r="N1418" i="11"/>
  <c r="K1418" i="11"/>
  <c r="I1418" i="11"/>
  <c r="N1417" i="11"/>
  <c r="K1417" i="11"/>
  <c r="I1417" i="11"/>
  <c r="N1416" i="11"/>
  <c r="K1416" i="11"/>
  <c r="I1416" i="11"/>
  <c r="N1415" i="11"/>
  <c r="K1415" i="11"/>
  <c r="I1415" i="11"/>
  <c r="N1414" i="11"/>
  <c r="K1414" i="11"/>
  <c r="I1414" i="11"/>
  <c r="N1413" i="11"/>
  <c r="K1413" i="11"/>
  <c r="I1413" i="11"/>
  <c r="N1412" i="11"/>
  <c r="K1412" i="11"/>
  <c r="I1412" i="11"/>
  <c r="N1411" i="11"/>
  <c r="K1411" i="11"/>
  <c r="I1411" i="11"/>
  <c r="N1410" i="11"/>
  <c r="K1410" i="11"/>
  <c r="I1410" i="11"/>
  <c r="N1409" i="11"/>
  <c r="K1409" i="11"/>
  <c r="I1409" i="11"/>
  <c r="N1408" i="11"/>
  <c r="K1408" i="11"/>
  <c r="I1408" i="11"/>
  <c r="N1407" i="11"/>
  <c r="K1407" i="11"/>
  <c r="I1407" i="11"/>
  <c r="N1406" i="11"/>
  <c r="K1406" i="11"/>
  <c r="I1406" i="11"/>
  <c r="N1405" i="11"/>
  <c r="K1405" i="11"/>
  <c r="I1405" i="11"/>
  <c r="N1404" i="11"/>
  <c r="K1404" i="11"/>
  <c r="I1404" i="11"/>
  <c r="N1403" i="11"/>
  <c r="K1403" i="11"/>
  <c r="I1403" i="11"/>
  <c r="N1402" i="11"/>
  <c r="K1402" i="11"/>
  <c r="I1402" i="11"/>
  <c r="N1401" i="11"/>
  <c r="K1401" i="11"/>
  <c r="I1401" i="11"/>
  <c r="N1400" i="11"/>
  <c r="K1400" i="11"/>
  <c r="I1400" i="11"/>
  <c r="N1399" i="11"/>
  <c r="K1399" i="11"/>
  <c r="I1399" i="11"/>
  <c r="N1398" i="11"/>
  <c r="K1398" i="11"/>
  <c r="I1398" i="11"/>
  <c r="N1397" i="11"/>
  <c r="K1397" i="11"/>
  <c r="I1397" i="11"/>
  <c r="N1396" i="11"/>
  <c r="K1396" i="11"/>
  <c r="I1396" i="11"/>
  <c r="N1395" i="11"/>
  <c r="K1395" i="11"/>
  <c r="I1395" i="11"/>
  <c r="N1394" i="11"/>
  <c r="K1394" i="11"/>
  <c r="I1394" i="11"/>
  <c r="N1393" i="11"/>
  <c r="K1393" i="11"/>
  <c r="I1393" i="11"/>
  <c r="N1392" i="11"/>
  <c r="K1392" i="11"/>
  <c r="I1392" i="11"/>
  <c r="N1391" i="11"/>
  <c r="K1391" i="11"/>
  <c r="I1391" i="11"/>
  <c r="N1390" i="11"/>
  <c r="K1390" i="11"/>
  <c r="I1390" i="11"/>
  <c r="N1389" i="11"/>
  <c r="K1389" i="11"/>
  <c r="I1389" i="11"/>
  <c r="N1388" i="11"/>
  <c r="K1388" i="11"/>
  <c r="I1388" i="11"/>
  <c r="N1387" i="11"/>
  <c r="K1387" i="11"/>
  <c r="I1387" i="11"/>
  <c r="N1386" i="11"/>
  <c r="K1386" i="11"/>
  <c r="I1386" i="11"/>
  <c r="N1385" i="11"/>
  <c r="K1385" i="11"/>
  <c r="I1385" i="11"/>
  <c r="N1384" i="11"/>
  <c r="K1384" i="11"/>
  <c r="I1384" i="11"/>
  <c r="N1383" i="11"/>
  <c r="K1383" i="11"/>
  <c r="I1383" i="11"/>
  <c r="N1382" i="11"/>
  <c r="K1382" i="11"/>
  <c r="I1382" i="11"/>
  <c r="N1381" i="11"/>
  <c r="K1381" i="11"/>
  <c r="I1381" i="11"/>
  <c r="N1380" i="11"/>
  <c r="K1380" i="11"/>
  <c r="I1380" i="11"/>
  <c r="N1379" i="11"/>
  <c r="K1379" i="11"/>
  <c r="I1379" i="11"/>
  <c r="N1378" i="11"/>
  <c r="K1378" i="11"/>
  <c r="I1378" i="11"/>
  <c r="N1377" i="11"/>
  <c r="K1377" i="11"/>
  <c r="I1377" i="11"/>
  <c r="N1376" i="11"/>
  <c r="K1376" i="11"/>
  <c r="I1376" i="11"/>
  <c r="N1375" i="11"/>
  <c r="K1375" i="11"/>
  <c r="I1375" i="11"/>
  <c r="N1374" i="11"/>
  <c r="K1374" i="11"/>
  <c r="I1374" i="11"/>
  <c r="N1373" i="11"/>
  <c r="K1373" i="11"/>
  <c r="I1373" i="11"/>
  <c r="N1372" i="11"/>
  <c r="K1372" i="11"/>
  <c r="I1372" i="11"/>
  <c r="N1371" i="11"/>
  <c r="K1371" i="11"/>
  <c r="I1371" i="11"/>
  <c r="N1370" i="11"/>
  <c r="K1370" i="11"/>
  <c r="I1370" i="11"/>
  <c r="N1369" i="11"/>
  <c r="K1369" i="11"/>
  <c r="I1369" i="11"/>
  <c r="N1368" i="11"/>
  <c r="K1368" i="11"/>
  <c r="I1368" i="11"/>
  <c r="N1367" i="11"/>
  <c r="K1367" i="11"/>
  <c r="I1367" i="11"/>
  <c r="N1366" i="11"/>
  <c r="K1366" i="11"/>
  <c r="I1366" i="11"/>
  <c r="N1365" i="11"/>
  <c r="K1365" i="11"/>
  <c r="I1365" i="11"/>
  <c r="N1364" i="11"/>
  <c r="K1364" i="11"/>
  <c r="I1364" i="11"/>
  <c r="N1363" i="11"/>
  <c r="K1363" i="11"/>
  <c r="I1363" i="11"/>
  <c r="N1362" i="11"/>
  <c r="K1362" i="11"/>
  <c r="I1362" i="11"/>
  <c r="N1361" i="11"/>
  <c r="K1361" i="11"/>
  <c r="I1361" i="11"/>
  <c r="N1360" i="11"/>
  <c r="K1360" i="11"/>
  <c r="I1360" i="11"/>
  <c r="N1359" i="11"/>
  <c r="K1359" i="11"/>
  <c r="I1359" i="11"/>
  <c r="N1358" i="11"/>
  <c r="K1358" i="11"/>
  <c r="I1358" i="11"/>
  <c r="N1357" i="11"/>
  <c r="K1357" i="11"/>
  <c r="I1357" i="11"/>
  <c r="N1356" i="11"/>
  <c r="K1356" i="11"/>
  <c r="I1356" i="11"/>
  <c r="N1355" i="11"/>
  <c r="K1355" i="11"/>
  <c r="I1355" i="11"/>
  <c r="N1354" i="11"/>
  <c r="K1354" i="11"/>
  <c r="I1354" i="11"/>
  <c r="N1353" i="11"/>
  <c r="K1353" i="11"/>
  <c r="I1353" i="11"/>
  <c r="N1352" i="11"/>
  <c r="K1352" i="11"/>
  <c r="I1352" i="11"/>
  <c r="N1351" i="11"/>
  <c r="K1351" i="11"/>
  <c r="I1351" i="11"/>
  <c r="N1350" i="11"/>
  <c r="K1350" i="11"/>
  <c r="I1350" i="11"/>
  <c r="N1349" i="11"/>
  <c r="K1349" i="11"/>
  <c r="I1349" i="11"/>
  <c r="N1348" i="11"/>
  <c r="K1348" i="11"/>
  <c r="I1348" i="11"/>
  <c r="N1347" i="11"/>
  <c r="K1347" i="11"/>
  <c r="I1347" i="11"/>
  <c r="N1346" i="11"/>
  <c r="K1346" i="11"/>
  <c r="I1346" i="11"/>
  <c r="N1345" i="11"/>
  <c r="K1345" i="11"/>
  <c r="I1345" i="11"/>
  <c r="N1344" i="11"/>
  <c r="K1344" i="11"/>
  <c r="I1344" i="11"/>
  <c r="N1343" i="11"/>
  <c r="K1343" i="11"/>
  <c r="I1343" i="11"/>
  <c r="N1342" i="11"/>
  <c r="K1342" i="11"/>
  <c r="I1342" i="11"/>
  <c r="N1341" i="11"/>
  <c r="K1341" i="11"/>
  <c r="I1341" i="11"/>
  <c r="N1340" i="11"/>
  <c r="K1340" i="11"/>
  <c r="I1340" i="11"/>
  <c r="N1339" i="11"/>
  <c r="K1339" i="11"/>
  <c r="I1339" i="11"/>
  <c r="N1338" i="11"/>
  <c r="K1338" i="11"/>
  <c r="I1338" i="11"/>
  <c r="N1337" i="11"/>
  <c r="K1337" i="11"/>
  <c r="I1337" i="11"/>
  <c r="N1336" i="11"/>
  <c r="K1336" i="11"/>
  <c r="I1336" i="11"/>
  <c r="N1335" i="11"/>
  <c r="K1335" i="11"/>
  <c r="I1335" i="11"/>
  <c r="N1334" i="11"/>
  <c r="K1334" i="11"/>
  <c r="I1334" i="11"/>
  <c r="N1333" i="11"/>
  <c r="K1333" i="11"/>
  <c r="I1333" i="11"/>
  <c r="N1332" i="11"/>
  <c r="K1332" i="11"/>
  <c r="I1332" i="11"/>
  <c r="N1331" i="11"/>
  <c r="K1331" i="11"/>
  <c r="I1331" i="11"/>
  <c r="N1330" i="11"/>
  <c r="K1330" i="11"/>
  <c r="I1330" i="11"/>
  <c r="N1329" i="11"/>
  <c r="K1329" i="11"/>
  <c r="I1329" i="11"/>
  <c r="N1328" i="11"/>
  <c r="K1328" i="11"/>
  <c r="I1328" i="11"/>
  <c r="N1327" i="11"/>
  <c r="K1327" i="11"/>
  <c r="I1327" i="11"/>
  <c r="N1326" i="11"/>
  <c r="K1326" i="11"/>
  <c r="I1326" i="11"/>
  <c r="N1325" i="11"/>
  <c r="K1325" i="11"/>
  <c r="I1325" i="11"/>
  <c r="N1324" i="11"/>
  <c r="K1324" i="11"/>
  <c r="I1324" i="11"/>
  <c r="N1323" i="11"/>
  <c r="K1323" i="11"/>
  <c r="I1323" i="11"/>
  <c r="N1322" i="11"/>
  <c r="K1322" i="11"/>
  <c r="I1322" i="11"/>
  <c r="N1321" i="11"/>
  <c r="K1321" i="11"/>
  <c r="I1321" i="11"/>
  <c r="N1320" i="11"/>
  <c r="K1320" i="11"/>
  <c r="I1320" i="11"/>
  <c r="N1319" i="11"/>
  <c r="K1319" i="11"/>
  <c r="I1319" i="11"/>
  <c r="N1318" i="11"/>
  <c r="K1318" i="11"/>
  <c r="I1318" i="11"/>
  <c r="N1317" i="11"/>
  <c r="K1317" i="11"/>
  <c r="I1317" i="11"/>
  <c r="N1316" i="11"/>
  <c r="K1316" i="11"/>
  <c r="I1316" i="11"/>
  <c r="N1315" i="11"/>
  <c r="K1315" i="11"/>
  <c r="I1315" i="11"/>
  <c r="N1314" i="11"/>
  <c r="K1314" i="11"/>
  <c r="I1314" i="11"/>
  <c r="N1313" i="11"/>
  <c r="K1313" i="11"/>
  <c r="I1313" i="11"/>
  <c r="N1312" i="11"/>
  <c r="K1312" i="11"/>
  <c r="I1312" i="11"/>
  <c r="N1311" i="11"/>
  <c r="K1311" i="11"/>
  <c r="I1311" i="11"/>
  <c r="N1310" i="11"/>
  <c r="K1310" i="11"/>
  <c r="I1310" i="11"/>
  <c r="N1309" i="11"/>
  <c r="K1309" i="11"/>
  <c r="I1309" i="11"/>
  <c r="N1308" i="11"/>
  <c r="K1308" i="11"/>
  <c r="I1308" i="11"/>
  <c r="N1307" i="11"/>
  <c r="K1307" i="11"/>
  <c r="I1307" i="11"/>
  <c r="N1306" i="11"/>
  <c r="K1306" i="11"/>
  <c r="I1306" i="11"/>
  <c r="N1305" i="11"/>
  <c r="K1305" i="11"/>
  <c r="I1305" i="11"/>
  <c r="N1304" i="11"/>
  <c r="K1304" i="11"/>
  <c r="I1304" i="11"/>
  <c r="N1303" i="11"/>
  <c r="K1303" i="11"/>
  <c r="I1303" i="11"/>
  <c r="N1302" i="11"/>
  <c r="K1302" i="11"/>
  <c r="I1302" i="11"/>
  <c r="N1301" i="11"/>
  <c r="K1301" i="11"/>
  <c r="I1301" i="11"/>
  <c r="N1300" i="11"/>
  <c r="K1300" i="11"/>
  <c r="I1300" i="11"/>
  <c r="N1299" i="11"/>
  <c r="K1299" i="11"/>
  <c r="I1299" i="11"/>
  <c r="N1298" i="11"/>
  <c r="K1298" i="11"/>
  <c r="I1298" i="11"/>
  <c r="N1297" i="11"/>
  <c r="K1297" i="11"/>
  <c r="I1297" i="11"/>
  <c r="N1296" i="11"/>
  <c r="K1296" i="11"/>
  <c r="I1296" i="11"/>
  <c r="N1295" i="11"/>
  <c r="K1295" i="11"/>
  <c r="I1295" i="11"/>
  <c r="N1294" i="11"/>
  <c r="K1294" i="11"/>
  <c r="I1294" i="11"/>
  <c r="N1293" i="11"/>
  <c r="K1293" i="11"/>
  <c r="I1293" i="11"/>
  <c r="N1292" i="11"/>
  <c r="K1292" i="11"/>
  <c r="I1292" i="11"/>
  <c r="N1291" i="11"/>
  <c r="K1291" i="11"/>
  <c r="I1291" i="11"/>
  <c r="N1290" i="11"/>
  <c r="K1290" i="11"/>
  <c r="I1290" i="11"/>
  <c r="N1289" i="11"/>
  <c r="K1289" i="11"/>
  <c r="I1289" i="11"/>
  <c r="N1288" i="11"/>
  <c r="K1288" i="11"/>
  <c r="I1288" i="11"/>
  <c r="N1287" i="11"/>
  <c r="K1287" i="11"/>
  <c r="I1287" i="11"/>
  <c r="N1286" i="11"/>
  <c r="K1286" i="11"/>
  <c r="I1286" i="11"/>
  <c r="N1285" i="11"/>
  <c r="K1285" i="11"/>
  <c r="I1285" i="11"/>
  <c r="N1284" i="11"/>
  <c r="K1284" i="11"/>
  <c r="I1284" i="11"/>
  <c r="N1283" i="11"/>
  <c r="K1283" i="11"/>
  <c r="I1283" i="11"/>
  <c r="N1282" i="11"/>
  <c r="K1282" i="11"/>
  <c r="I1282" i="11"/>
  <c r="N1281" i="11"/>
  <c r="K1281" i="11"/>
  <c r="I1281" i="11"/>
  <c r="N1280" i="11"/>
  <c r="K1280" i="11"/>
  <c r="I1280" i="11"/>
  <c r="N1279" i="11"/>
  <c r="K1279" i="11"/>
  <c r="I1279" i="11"/>
  <c r="N1278" i="11"/>
  <c r="K1278" i="11"/>
  <c r="I1278" i="11"/>
  <c r="N1277" i="11"/>
  <c r="K1277" i="11"/>
  <c r="I1277" i="11"/>
  <c r="N1276" i="11"/>
  <c r="K1276" i="11"/>
  <c r="I1276" i="11"/>
  <c r="N1275" i="11"/>
  <c r="K1275" i="11"/>
  <c r="I1275" i="11"/>
  <c r="N1274" i="11"/>
  <c r="K1274" i="11"/>
  <c r="I1274" i="11"/>
  <c r="N1273" i="11"/>
  <c r="K1273" i="11"/>
  <c r="I1273" i="11"/>
  <c r="N1272" i="11"/>
  <c r="K1272" i="11"/>
  <c r="I1272" i="11"/>
  <c r="N1271" i="11"/>
  <c r="K1271" i="11"/>
  <c r="I1271" i="11"/>
  <c r="N1270" i="11"/>
  <c r="K1270" i="11"/>
  <c r="I1270" i="11"/>
  <c r="N1269" i="11"/>
  <c r="K1269" i="11"/>
  <c r="I1269" i="11"/>
  <c r="N1268" i="11"/>
  <c r="K1268" i="11"/>
  <c r="I1268" i="11"/>
  <c r="N1267" i="11"/>
  <c r="K1267" i="11"/>
  <c r="I1267" i="11"/>
  <c r="N1266" i="11"/>
  <c r="K1266" i="11"/>
  <c r="I1266" i="11"/>
  <c r="N1265" i="11"/>
  <c r="K1265" i="11"/>
  <c r="I1265" i="11"/>
  <c r="N1264" i="11"/>
  <c r="K1264" i="11"/>
  <c r="I1264" i="11"/>
  <c r="N1263" i="11"/>
  <c r="K1263" i="11"/>
  <c r="I1263" i="11"/>
  <c r="N1262" i="11"/>
  <c r="K1262" i="11"/>
  <c r="I1262" i="11"/>
  <c r="N1261" i="11"/>
  <c r="K1261" i="11"/>
  <c r="I1261" i="11"/>
  <c r="N1260" i="11"/>
  <c r="K1260" i="11"/>
  <c r="I1260" i="11"/>
  <c r="N1259" i="11"/>
  <c r="K1259" i="11"/>
  <c r="I1259" i="11"/>
  <c r="N1258" i="11"/>
  <c r="K1258" i="11"/>
  <c r="I1258" i="11"/>
  <c r="N1257" i="11"/>
  <c r="K1257" i="11"/>
  <c r="I1257" i="11"/>
  <c r="N1256" i="11"/>
  <c r="K1256" i="11"/>
  <c r="I1256" i="11"/>
  <c r="N1255" i="11"/>
  <c r="K1255" i="11"/>
  <c r="I1255" i="11"/>
  <c r="N1254" i="11"/>
  <c r="K1254" i="11"/>
  <c r="I1254" i="11"/>
  <c r="N1253" i="11"/>
  <c r="K1253" i="11"/>
  <c r="I1253" i="11"/>
  <c r="N1252" i="11"/>
  <c r="K1252" i="11"/>
  <c r="I1252" i="11"/>
  <c r="N1251" i="11"/>
  <c r="K1251" i="11"/>
  <c r="I1251" i="11"/>
  <c r="N1250" i="11"/>
  <c r="K1250" i="11"/>
  <c r="I1250" i="11"/>
  <c r="N1249" i="11"/>
  <c r="K1249" i="11"/>
  <c r="I1249" i="11"/>
  <c r="N1248" i="11"/>
  <c r="K1248" i="11"/>
  <c r="I1248" i="11"/>
  <c r="N1247" i="11"/>
  <c r="K1247" i="11"/>
  <c r="I1247" i="11"/>
  <c r="N1246" i="11"/>
  <c r="K1246" i="11"/>
  <c r="I1246" i="11"/>
  <c r="N1245" i="11"/>
  <c r="K1245" i="11"/>
  <c r="I1245" i="11"/>
  <c r="N1244" i="11"/>
  <c r="K1244" i="11"/>
  <c r="I1244" i="11"/>
  <c r="N1243" i="11"/>
  <c r="K1243" i="11"/>
  <c r="I1243" i="11"/>
  <c r="N1242" i="11"/>
  <c r="K1242" i="11"/>
  <c r="I1242" i="11"/>
  <c r="N1241" i="11"/>
  <c r="K1241" i="11"/>
  <c r="I1241" i="11"/>
  <c r="N1240" i="11"/>
  <c r="K1240" i="11"/>
  <c r="I1240" i="11"/>
  <c r="N1239" i="11"/>
  <c r="K1239" i="11"/>
  <c r="I1239" i="11"/>
  <c r="N1238" i="11"/>
  <c r="K1238" i="11"/>
  <c r="I1238" i="11"/>
  <c r="N1237" i="11"/>
  <c r="K1237" i="11"/>
  <c r="I1237" i="11"/>
  <c r="N1236" i="11"/>
  <c r="K1236" i="11"/>
  <c r="I1236" i="11"/>
  <c r="N1235" i="11"/>
  <c r="K1235" i="11"/>
  <c r="I1235" i="11"/>
  <c r="N1234" i="11"/>
  <c r="K1234" i="11"/>
  <c r="I1234" i="11"/>
  <c r="N1233" i="11"/>
  <c r="K1233" i="11"/>
  <c r="I1233" i="11"/>
  <c r="N1232" i="11"/>
  <c r="K1232" i="11"/>
  <c r="I1232" i="11"/>
  <c r="N1231" i="11"/>
  <c r="K1231" i="11"/>
  <c r="I1231" i="11"/>
  <c r="N1230" i="11"/>
  <c r="K1230" i="11"/>
  <c r="I1230" i="11"/>
  <c r="N1229" i="11"/>
  <c r="K1229" i="11"/>
  <c r="I1229" i="11"/>
  <c r="N1228" i="11"/>
  <c r="K1228" i="11"/>
  <c r="I1228" i="11"/>
  <c r="N1227" i="11"/>
  <c r="K1227" i="11"/>
  <c r="I1227" i="11"/>
  <c r="N1226" i="11"/>
  <c r="K1226" i="11"/>
  <c r="I1226" i="11"/>
  <c r="N1225" i="11"/>
  <c r="K1225" i="11"/>
  <c r="I1225" i="11"/>
  <c r="N1224" i="11"/>
  <c r="K1224" i="11"/>
  <c r="I1224" i="11"/>
  <c r="N1223" i="11"/>
  <c r="K1223" i="11"/>
  <c r="I1223" i="11"/>
  <c r="N1222" i="11"/>
  <c r="K1222" i="11"/>
  <c r="I1222" i="11"/>
  <c r="N1221" i="11"/>
  <c r="K1221" i="11"/>
  <c r="I1221" i="11"/>
  <c r="N1220" i="11"/>
  <c r="K1220" i="11"/>
  <c r="I1220" i="11"/>
  <c r="N1219" i="11"/>
  <c r="K1219" i="11"/>
  <c r="I1219" i="11"/>
  <c r="N1218" i="11"/>
  <c r="K1218" i="11"/>
  <c r="I1218" i="11"/>
  <c r="N1217" i="11"/>
  <c r="K1217" i="11"/>
  <c r="I1217" i="11"/>
  <c r="N1216" i="11"/>
  <c r="K1216" i="11"/>
  <c r="I1216" i="11"/>
  <c r="N1215" i="11"/>
  <c r="K1215" i="11"/>
  <c r="I1215" i="11"/>
  <c r="N1214" i="11"/>
  <c r="K1214" i="11"/>
  <c r="I1214" i="11"/>
  <c r="N1213" i="11"/>
  <c r="K1213" i="11"/>
  <c r="I1213" i="11"/>
  <c r="N1212" i="11"/>
  <c r="K1212" i="11"/>
  <c r="I1212" i="11"/>
  <c r="N1211" i="11"/>
  <c r="K1211" i="11"/>
  <c r="I1211" i="11"/>
  <c r="N1210" i="11"/>
  <c r="K1210" i="11"/>
  <c r="I1210" i="11"/>
  <c r="N1209" i="11"/>
  <c r="K1209" i="11"/>
  <c r="I1209" i="11"/>
  <c r="N1208" i="11"/>
  <c r="K1208" i="11"/>
  <c r="I1208" i="11"/>
  <c r="N1207" i="11"/>
  <c r="K1207" i="11"/>
  <c r="I1207" i="11"/>
  <c r="N1206" i="11"/>
  <c r="K1206" i="11"/>
  <c r="I1206" i="11"/>
  <c r="N1205" i="11"/>
  <c r="K1205" i="11"/>
  <c r="I1205" i="11"/>
  <c r="N1204" i="11"/>
  <c r="K1204" i="11"/>
  <c r="I1204" i="11"/>
  <c r="N1203" i="11"/>
  <c r="K1203" i="11"/>
  <c r="I1203" i="11"/>
  <c r="N1202" i="11"/>
  <c r="K1202" i="11"/>
  <c r="I1202" i="11"/>
  <c r="N1201" i="11"/>
  <c r="K1201" i="11"/>
  <c r="I1201" i="11"/>
  <c r="N1200" i="11"/>
  <c r="K1200" i="11"/>
  <c r="I1200" i="11"/>
  <c r="N1199" i="11"/>
  <c r="K1199" i="11"/>
  <c r="I1199" i="11"/>
  <c r="N1198" i="11"/>
  <c r="K1198" i="11"/>
  <c r="I1198" i="11"/>
  <c r="N1197" i="11"/>
  <c r="K1197" i="11"/>
  <c r="I1197" i="11"/>
  <c r="N1196" i="11"/>
  <c r="K1196" i="11"/>
  <c r="I1196" i="11"/>
  <c r="N1195" i="11"/>
  <c r="K1195" i="11"/>
  <c r="I1195" i="11"/>
  <c r="N1194" i="11"/>
  <c r="K1194" i="11"/>
  <c r="I1194" i="11"/>
  <c r="N1193" i="11"/>
  <c r="K1193" i="11"/>
  <c r="I1193" i="11"/>
  <c r="N1192" i="11"/>
  <c r="K1192" i="11"/>
  <c r="I1192" i="11"/>
  <c r="N1191" i="11"/>
  <c r="K1191" i="11"/>
  <c r="I1191" i="11"/>
  <c r="N1190" i="11"/>
  <c r="K1190" i="11"/>
  <c r="I1190" i="11"/>
  <c r="N1189" i="11"/>
  <c r="K1189" i="11"/>
  <c r="I1189" i="11"/>
  <c r="N1188" i="11"/>
  <c r="K1188" i="11"/>
  <c r="I1188" i="11"/>
  <c r="N1187" i="11"/>
  <c r="K1187" i="11"/>
  <c r="I1187" i="11"/>
  <c r="N1186" i="11"/>
  <c r="K1186" i="11"/>
  <c r="I1186" i="11"/>
  <c r="N1185" i="11"/>
  <c r="K1185" i="11"/>
  <c r="I1185" i="11"/>
  <c r="N1184" i="11"/>
  <c r="K1184" i="11"/>
  <c r="I1184" i="11"/>
  <c r="N1183" i="11"/>
  <c r="K1183" i="11"/>
  <c r="I1183" i="11"/>
  <c r="N1182" i="11"/>
  <c r="K1182" i="11"/>
  <c r="I1182" i="11"/>
  <c r="N1181" i="11"/>
  <c r="K1181" i="11"/>
  <c r="I1181" i="11"/>
  <c r="N1180" i="11"/>
  <c r="K1180" i="11"/>
  <c r="I1180" i="11"/>
  <c r="N1179" i="11"/>
  <c r="K1179" i="11"/>
  <c r="I1179" i="11"/>
  <c r="N1178" i="11"/>
  <c r="K1178" i="11"/>
  <c r="I1178" i="11"/>
  <c r="N1177" i="11"/>
  <c r="K1177" i="11"/>
  <c r="I1177" i="11"/>
  <c r="N1176" i="11"/>
  <c r="K1176" i="11"/>
  <c r="I1176" i="11"/>
  <c r="N1175" i="11"/>
  <c r="K1175" i="11"/>
  <c r="I1175" i="11"/>
  <c r="N1174" i="11"/>
  <c r="K1174" i="11"/>
  <c r="I1174" i="11"/>
  <c r="N1173" i="11"/>
  <c r="K1173" i="11"/>
  <c r="I1173" i="11"/>
  <c r="N1172" i="11"/>
  <c r="K1172" i="11"/>
  <c r="I1172" i="11"/>
  <c r="N1171" i="11"/>
  <c r="K1171" i="11"/>
  <c r="I1171" i="11"/>
  <c r="N1170" i="11"/>
  <c r="K1170" i="11"/>
  <c r="I1170" i="11"/>
  <c r="N1169" i="11"/>
  <c r="K1169" i="11"/>
  <c r="I1169" i="11"/>
  <c r="N1168" i="11"/>
  <c r="K1168" i="11"/>
  <c r="I1168" i="11"/>
  <c r="N1167" i="11"/>
  <c r="K1167" i="11"/>
  <c r="I1167" i="11"/>
  <c r="N1166" i="11"/>
  <c r="K1166" i="11"/>
  <c r="I1166" i="11"/>
  <c r="N1165" i="11"/>
  <c r="K1165" i="11"/>
  <c r="I1165" i="11"/>
  <c r="N1164" i="11"/>
  <c r="K1164" i="11"/>
  <c r="I1164" i="11"/>
  <c r="N1163" i="11"/>
  <c r="K1163" i="11"/>
  <c r="I1163" i="11"/>
  <c r="N1162" i="11"/>
  <c r="K1162" i="11"/>
  <c r="I1162" i="11"/>
  <c r="N1161" i="11"/>
  <c r="K1161" i="11"/>
  <c r="I1161" i="11"/>
  <c r="N1160" i="11"/>
  <c r="K1160" i="11"/>
  <c r="I1160" i="11"/>
  <c r="N1159" i="11"/>
  <c r="K1159" i="11"/>
  <c r="I1159" i="11"/>
  <c r="N1158" i="11"/>
  <c r="K1158" i="11"/>
  <c r="I1158" i="11"/>
  <c r="N1157" i="11"/>
  <c r="K1157" i="11"/>
  <c r="I1157" i="11"/>
  <c r="N1156" i="11"/>
  <c r="K1156" i="11"/>
  <c r="I1156" i="11"/>
  <c r="N1155" i="11"/>
  <c r="K1155" i="11"/>
  <c r="I1155" i="11"/>
  <c r="N1154" i="11"/>
  <c r="K1154" i="11"/>
  <c r="I1154" i="11"/>
  <c r="N1153" i="11"/>
  <c r="K1153" i="11"/>
  <c r="I1153" i="11"/>
  <c r="N1152" i="11"/>
  <c r="K1152" i="11"/>
  <c r="I1152" i="11"/>
  <c r="N1151" i="11"/>
  <c r="K1151" i="11"/>
  <c r="I1151" i="11"/>
  <c r="N1150" i="11"/>
  <c r="K1150" i="11"/>
  <c r="I1150" i="11"/>
  <c r="N1149" i="11"/>
  <c r="K1149" i="11"/>
  <c r="I1149" i="11"/>
  <c r="N1148" i="11"/>
  <c r="K1148" i="11"/>
  <c r="I1148" i="11"/>
  <c r="N1147" i="11"/>
  <c r="K1147" i="11"/>
  <c r="I1147" i="11"/>
  <c r="N1146" i="11"/>
  <c r="K1146" i="11"/>
  <c r="I1146" i="11"/>
  <c r="N1145" i="11"/>
  <c r="K1145" i="11"/>
  <c r="I1145" i="11"/>
  <c r="N1144" i="11"/>
  <c r="K1144" i="11"/>
  <c r="I1144" i="11"/>
  <c r="N1143" i="11"/>
  <c r="K1143" i="11"/>
  <c r="I1143" i="11"/>
  <c r="N1142" i="11"/>
  <c r="K1142" i="11"/>
  <c r="I1142" i="11"/>
  <c r="N1141" i="11"/>
  <c r="K1141" i="11"/>
  <c r="I1141" i="11"/>
  <c r="N1140" i="11"/>
  <c r="K1140" i="11"/>
  <c r="I1140" i="11"/>
  <c r="N1139" i="11"/>
  <c r="K1139" i="11"/>
  <c r="I1139" i="11"/>
  <c r="N1138" i="11"/>
  <c r="K1138" i="11"/>
  <c r="I1138" i="11"/>
  <c r="N1137" i="11"/>
  <c r="K1137" i="11"/>
  <c r="I1137" i="11"/>
  <c r="N1136" i="11"/>
  <c r="K1136" i="11"/>
  <c r="I1136" i="11"/>
  <c r="N1135" i="11"/>
  <c r="K1135" i="11"/>
  <c r="I1135" i="11"/>
  <c r="N1134" i="11"/>
  <c r="K1134" i="11"/>
  <c r="I1134" i="11"/>
  <c r="N1133" i="11"/>
  <c r="K1133" i="11"/>
  <c r="I1133" i="11"/>
  <c r="N1132" i="11"/>
  <c r="K1132" i="11"/>
  <c r="I1132" i="11"/>
  <c r="N1131" i="11"/>
  <c r="K1131" i="11"/>
  <c r="I1131" i="11"/>
  <c r="N1130" i="11"/>
  <c r="K1130" i="11"/>
  <c r="I1130" i="11"/>
  <c r="N1129" i="11"/>
  <c r="K1129" i="11"/>
  <c r="I1129" i="11"/>
  <c r="N1128" i="11"/>
  <c r="K1128" i="11"/>
  <c r="I1128" i="11"/>
  <c r="N1127" i="11"/>
  <c r="K1127" i="11"/>
  <c r="I1127" i="11"/>
  <c r="N1126" i="11"/>
  <c r="K1126" i="11"/>
  <c r="I1126" i="11"/>
  <c r="N1125" i="11"/>
  <c r="K1125" i="11"/>
  <c r="I1125" i="11"/>
  <c r="N1124" i="11"/>
  <c r="K1124" i="11"/>
  <c r="I1124" i="11"/>
  <c r="N1123" i="11"/>
  <c r="K1123" i="11"/>
  <c r="I1123" i="11"/>
  <c r="N1122" i="11"/>
  <c r="K1122" i="11"/>
  <c r="I1122" i="11"/>
  <c r="N1121" i="11"/>
  <c r="K1121" i="11"/>
  <c r="I1121" i="11"/>
  <c r="N1120" i="11"/>
  <c r="K1120" i="11"/>
  <c r="I1120" i="11"/>
  <c r="N1119" i="11"/>
  <c r="K1119" i="11"/>
  <c r="I1119" i="11"/>
  <c r="N1118" i="11"/>
  <c r="K1118" i="11"/>
  <c r="I1118" i="11"/>
  <c r="N1117" i="11"/>
  <c r="K1117" i="11"/>
  <c r="I1117" i="11"/>
  <c r="N1116" i="11"/>
  <c r="K1116" i="11"/>
  <c r="I1116" i="11"/>
  <c r="N1115" i="11"/>
  <c r="K1115" i="11"/>
  <c r="I1115" i="11"/>
  <c r="N1114" i="11"/>
  <c r="K1114" i="11"/>
  <c r="I1114" i="11"/>
  <c r="N1113" i="11"/>
  <c r="K1113" i="11"/>
  <c r="I1113" i="11"/>
  <c r="N1112" i="11"/>
  <c r="K1112" i="11"/>
  <c r="I1112" i="11"/>
  <c r="N1111" i="11"/>
  <c r="K1111" i="11"/>
  <c r="I1111" i="11"/>
  <c r="N1110" i="11"/>
  <c r="K1110" i="11"/>
  <c r="I1110" i="11"/>
  <c r="N1109" i="11"/>
  <c r="K1109" i="11"/>
  <c r="I1109" i="11"/>
  <c r="N1108" i="11"/>
  <c r="K1108" i="11"/>
  <c r="I1108" i="11"/>
  <c r="N1107" i="11"/>
  <c r="K1107" i="11"/>
  <c r="I1107" i="11"/>
  <c r="N1106" i="11"/>
  <c r="K1106" i="11"/>
  <c r="I1106" i="11"/>
  <c r="N1105" i="11"/>
  <c r="K1105" i="11"/>
  <c r="I1105" i="11"/>
  <c r="N1104" i="11"/>
  <c r="K1104" i="11"/>
  <c r="I1104" i="11"/>
  <c r="N1103" i="11"/>
  <c r="K1103" i="11"/>
  <c r="I1103" i="11"/>
  <c r="N1102" i="11"/>
  <c r="K1102" i="11"/>
  <c r="I1102" i="11"/>
  <c r="N1101" i="11"/>
  <c r="K1101" i="11"/>
  <c r="I1101" i="11"/>
  <c r="N1100" i="11"/>
  <c r="K1100" i="11"/>
  <c r="I1100" i="11"/>
  <c r="N1099" i="11"/>
  <c r="K1099" i="11"/>
  <c r="I1099" i="11"/>
  <c r="N1098" i="11"/>
  <c r="K1098" i="11"/>
  <c r="I1098" i="11"/>
  <c r="N1097" i="11"/>
  <c r="K1097" i="11"/>
  <c r="I1097" i="11"/>
  <c r="N1096" i="11"/>
  <c r="K1096" i="11"/>
  <c r="I1096" i="11"/>
  <c r="N1095" i="11"/>
  <c r="K1095" i="11"/>
  <c r="I1095" i="11"/>
  <c r="N1094" i="11"/>
  <c r="K1094" i="11"/>
  <c r="I1094" i="11"/>
  <c r="N1093" i="11"/>
  <c r="K1093" i="11"/>
  <c r="I1093" i="11"/>
  <c r="N1092" i="11"/>
  <c r="K1092" i="11"/>
  <c r="I1092" i="11"/>
  <c r="N1091" i="11"/>
  <c r="K1091" i="11"/>
  <c r="I1091" i="11"/>
  <c r="N1090" i="11"/>
  <c r="K1090" i="11"/>
  <c r="I1090" i="11"/>
  <c r="N1089" i="11"/>
  <c r="K1089" i="11"/>
  <c r="I1089" i="11"/>
  <c r="N1088" i="11"/>
  <c r="K1088" i="11"/>
  <c r="I1088" i="11"/>
  <c r="N1087" i="11"/>
  <c r="K1087" i="11"/>
  <c r="I1087" i="11"/>
  <c r="N1086" i="11"/>
  <c r="K1086" i="11"/>
  <c r="I1086" i="11"/>
  <c r="N1085" i="11"/>
  <c r="K1085" i="11"/>
  <c r="I1085" i="11"/>
  <c r="N1084" i="11"/>
  <c r="K1084" i="11"/>
  <c r="I1084" i="11"/>
  <c r="N1083" i="11"/>
  <c r="K1083" i="11"/>
  <c r="I1083" i="11"/>
  <c r="N1082" i="11"/>
  <c r="K1082" i="11"/>
  <c r="I1082" i="11"/>
  <c r="N1081" i="11"/>
  <c r="K1081" i="11"/>
  <c r="I1081" i="11"/>
  <c r="N1080" i="11"/>
  <c r="K1080" i="11"/>
  <c r="I1080" i="11"/>
  <c r="N1079" i="11"/>
  <c r="K1079" i="11"/>
  <c r="I1079" i="11"/>
  <c r="N1078" i="11"/>
  <c r="K1078" i="11"/>
  <c r="I1078" i="11"/>
  <c r="N1077" i="11"/>
  <c r="K1077" i="11"/>
  <c r="I1077" i="11"/>
  <c r="N1076" i="11"/>
  <c r="K1076" i="11"/>
  <c r="I1076" i="11"/>
  <c r="N1075" i="11"/>
  <c r="K1075" i="11"/>
  <c r="I1075" i="11"/>
  <c r="N1074" i="11"/>
  <c r="K1074" i="11"/>
  <c r="I1074" i="11"/>
  <c r="N1073" i="11"/>
  <c r="K1073" i="11"/>
  <c r="I1073" i="11"/>
  <c r="N1072" i="11"/>
  <c r="K1072" i="11"/>
  <c r="I1072" i="11"/>
  <c r="N1071" i="11"/>
  <c r="K1071" i="11"/>
  <c r="I1071" i="11"/>
  <c r="N1070" i="11"/>
  <c r="K1070" i="11"/>
  <c r="I1070" i="11"/>
  <c r="N1069" i="11"/>
  <c r="K1069" i="11"/>
  <c r="I1069" i="11"/>
  <c r="N1068" i="11"/>
  <c r="K1068" i="11"/>
  <c r="I1068" i="11"/>
  <c r="N1067" i="11"/>
  <c r="K1067" i="11"/>
  <c r="I1067" i="11"/>
  <c r="N1066" i="11"/>
  <c r="K1066" i="11"/>
  <c r="I1066" i="11"/>
  <c r="N1065" i="11"/>
  <c r="K1065" i="11"/>
  <c r="I1065" i="11"/>
  <c r="N1064" i="11"/>
  <c r="K1064" i="11"/>
  <c r="I1064" i="11"/>
  <c r="N1063" i="11"/>
  <c r="K1063" i="11"/>
  <c r="I1063" i="11"/>
  <c r="N1062" i="11"/>
  <c r="K1062" i="11"/>
  <c r="I1062" i="11"/>
  <c r="N1061" i="11"/>
  <c r="K1061" i="11"/>
  <c r="I1061" i="11"/>
  <c r="N1060" i="11"/>
  <c r="K1060" i="11"/>
  <c r="I1060" i="11"/>
  <c r="N1059" i="11"/>
  <c r="K1059" i="11"/>
  <c r="I1059" i="11"/>
  <c r="N1058" i="11"/>
  <c r="K1058" i="11"/>
  <c r="I1058" i="11"/>
  <c r="N1057" i="11"/>
  <c r="K1057" i="11"/>
  <c r="I1057" i="11"/>
  <c r="N1056" i="11"/>
  <c r="K1056" i="11"/>
  <c r="I1056" i="11"/>
  <c r="N1055" i="11"/>
  <c r="K1055" i="11"/>
  <c r="I1055" i="11"/>
  <c r="N1054" i="11"/>
  <c r="K1054" i="11"/>
  <c r="I1054" i="11"/>
  <c r="N1053" i="11"/>
  <c r="K1053" i="11"/>
  <c r="I1053" i="11"/>
  <c r="N1052" i="11"/>
  <c r="K1052" i="11"/>
  <c r="I1052" i="11"/>
  <c r="N1051" i="11"/>
  <c r="K1051" i="11"/>
  <c r="I1051" i="11"/>
  <c r="N1050" i="11"/>
  <c r="K1050" i="11"/>
  <c r="I1050" i="11"/>
  <c r="N1049" i="11"/>
  <c r="K1049" i="11"/>
  <c r="I1049" i="11"/>
  <c r="N1048" i="11"/>
  <c r="K1048" i="11"/>
  <c r="I1048" i="11"/>
  <c r="N1047" i="11"/>
  <c r="K1047" i="11"/>
  <c r="I1047" i="11"/>
  <c r="N1046" i="11"/>
  <c r="K1046" i="11"/>
  <c r="I1046" i="11"/>
  <c r="N1045" i="11"/>
  <c r="K1045" i="11"/>
  <c r="I1045" i="11"/>
  <c r="N1044" i="11"/>
  <c r="K1044" i="11"/>
  <c r="I1044" i="11"/>
  <c r="N1043" i="11"/>
  <c r="K1043" i="11"/>
  <c r="I1043" i="11"/>
  <c r="N1042" i="11"/>
  <c r="K1042" i="11"/>
  <c r="I1042" i="11"/>
  <c r="N1041" i="11"/>
  <c r="K1041" i="11"/>
  <c r="I1041" i="11"/>
  <c r="N1040" i="11"/>
  <c r="K1040" i="11"/>
  <c r="I1040" i="11"/>
  <c r="N1039" i="11"/>
  <c r="K1039" i="11"/>
  <c r="I1039" i="11"/>
  <c r="N1038" i="11"/>
  <c r="K1038" i="11"/>
  <c r="I1038" i="11"/>
  <c r="N1037" i="11"/>
  <c r="K1037" i="11"/>
  <c r="I1037" i="11"/>
  <c r="N1036" i="11"/>
  <c r="K1036" i="11"/>
  <c r="I1036" i="11"/>
  <c r="N1035" i="11"/>
  <c r="K1035" i="11"/>
  <c r="I1035" i="11"/>
  <c r="N1034" i="11"/>
  <c r="K1034" i="11"/>
  <c r="I1034" i="11"/>
  <c r="N1033" i="11"/>
  <c r="K1033" i="11"/>
  <c r="I1033" i="11"/>
  <c r="N1032" i="11"/>
  <c r="K1032" i="11"/>
  <c r="I1032" i="11"/>
  <c r="N1031" i="11"/>
  <c r="K1031" i="11"/>
  <c r="I1031" i="11"/>
  <c r="N1030" i="11"/>
  <c r="K1030" i="11"/>
  <c r="I1030" i="11"/>
  <c r="N1029" i="11"/>
  <c r="K1029" i="11"/>
  <c r="I1029" i="11"/>
  <c r="N1028" i="11"/>
  <c r="K1028" i="11"/>
  <c r="I1028" i="11"/>
  <c r="N1027" i="11"/>
  <c r="K1027" i="11"/>
  <c r="I1027" i="11"/>
  <c r="N1026" i="11"/>
  <c r="K1026" i="11"/>
  <c r="I1026" i="11"/>
  <c r="N1025" i="11"/>
  <c r="K1025" i="11"/>
  <c r="I1025" i="11"/>
  <c r="N1024" i="11"/>
  <c r="K1024" i="11"/>
  <c r="I1024" i="11"/>
  <c r="N1023" i="11"/>
  <c r="K1023" i="11"/>
  <c r="I1023" i="11"/>
  <c r="N1022" i="11"/>
  <c r="K1022" i="11"/>
  <c r="I1022" i="11"/>
  <c r="N1021" i="11"/>
  <c r="K1021" i="11"/>
  <c r="I1021" i="11"/>
  <c r="N1020" i="11"/>
  <c r="K1020" i="11"/>
  <c r="I1020" i="11"/>
  <c r="N1019" i="11"/>
  <c r="K1019" i="11"/>
  <c r="I1019" i="11"/>
  <c r="N1018" i="11"/>
  <c r="K1018" i="11"/>
  <c r="I1018" i="11"/>
  <c r="N1017" i="11"/>
  <c r="K1017" i="11"/>
  <c r="I1017" i="11"/>
  <c r="N1016" i="11"/>
  <c r="K1016" i="11"/>
  <c r="I1016" i="11"/>
  <c r="N1015" i="11"/>
  <c r="K1015" i="11"/>
  <c r="I1015" i="11"/>
  <c r="N1014" i="11"/>
  <c r="K1014" i="11"/>
  <c r="I1014" i="11"/>
  <c r="N1013" i="11"/>
  <c r="K1013" i="11"/>
  <c r="I1013" i="11"/>
  <c r="N1012" i="11"/>
  <c r="K1012" i="11"/>
  <c r="I1012" i="11"/>
  <c r="N1011" i="11"/>
  <c r="K1011" i="11"/>
  <c r="I1011" i="11"/>
  <c r="N1010" i="11"/>
  <c r="K1010" i="11"/>
  <c r="I1010" i="11"/>
  <c r="N1009" i="11"/>
  <c r="K1009" i="11"/>
  <c r="I1009" i="11"/>
  <c r="N1008" i="11"/>
  <c r="K1008" i="11"/>
  <c r="I1008" i="11"/>
  <c r="N1007" i="11"/>
  <c r="K1007" i="11"/>
  <c r="I1007" i="11"/>
  <c r="N1006" i="11"/>
  <c r="K1006" i="11"/>
  <c r="I1006" i="11"/>
  <c r="N1005" i="11"/>
  <c r="K1005" i="11"/>
  <c r="I1005" i="11"/>
  <c r="N1004" i="11"/>
  <c r="K1004" i="11"/>
  <c r="I1004" i="11"/>
  <c r="N1003" i="11"/>
  <c r="K1003" i="11"/>
  <c r="I1003" i="11"/>
  <c r="N1002" i="11"/>
  <c r="K1002" i="11"/>
  <c r="I1002" i="11"/>
  <c r="N1001" i="11"/>
  <c r="K1001" i="11"/>
  <c r="I1001" i="11"/>
  <c r="N1000" i="11"/>
  <c r="K1000" i="11"/>
  <c r="I1000" i="11"/>
  <c r="N999" i="11"/>
  <c r="K999" i="11"/>
  <c r="I999" i="11"/>
  <c r="N998" i="11"/>
  <c r="K998" i="11"/>
  <c r="I998" i="11"/>
  <c r="N997" i="11"/>
  <c r="K997" i="11"/>
  <c r="I997" i="11"/>
  <c r="N996" i="11"/>
  <c r="K996" i="11"/>
  <c r="I996" i="11"/>
  <c r="N995" i="11"/>
  <c r="K995" i="11"/>
  <c r="I995" i="11"/>
  <c r="N994" i="11"/>
  <c r="K994" i="11"/>
  <c r="I994" i="11"/>
  <c r="N993" i="11"/>
  <c r="K993" i="11"/>
  <c r="I993" i="11"/>
  <c r="N992" i="11"/>
  <c r="K992" i="11"/>
  <c r="I992" i="11"/>
  <c r="N991" i="11"/>
  <c r="K991" i="11"/>
  <c r="I991" i="11"/>
  <c r="N990" i="11"/>
  <c r="K990" i="11"/>
  <c r="I990" i="11"/>
  <c r="N989" i="11"/>
  <c r="K989" i="11"/>
  <c r="I989" i="11"/>
  <c r="N988" i="11"/>
  <c r="K988" i="11"/>
  <c r="I988" i="11"/>
  <c r="N987" i="11"/>
  <c r="K987" i="11"/>
  <c r="I987" i="11"/>
  <c r="N986" i="11"/>
  <c r="K986" i="11"/>
  <c r="I986" i="11"/>
  <c r="N985" i="11"/>
  <c r="K985" i="11"/>
  <c r="I985" i="11"/>
  <c r="N984" i="11"/>
  <c r="K984" i="11"/>
  <c r="I984" i="11"/>
  <c r="N983" i="11"/>
  <c r="K983" i="11"/>
  <c r="I983" i="11"/>
  <c r="N982" i="11"/>
  <c r="K982" i="11"/>
  <c r="I982" i="11"/>
  <c r="N981" i="11"/>
  <c r="K981" i="11"/>
  <c r="I981" i="11"/>
  <c r="N980" i="11"/>
  <c r="K980" i="11"/>
  <c r="I980" i="11"/>
  <c r="N979" i="11"/>
  <c r="K979" i="11"/>
  <c r="I979" i="11"/>
  <c r="N978" i="11"/>
  <c r="K978" i="11"/>
  <c r="I978" i="11"/>
  <c r="N977" i="11"/>
  <c r="K977" i="11"/>
  <c r="I977" i="11"/>
  <c r="N976" i="11"/>
  <c r="K976" i="11"/>
  <c r="I976" i="11"/>
  <c r="N975" i="11"/>
  <c r="K975" i="11"/>
  <c r="I975" i="11"/>
  <c r="N974" i="11"/>
  <c r="K974" i="11"/>
  <c r="I974" i="11"/>
  <c r="N973" i="11"/>
  <c r="K973" i="11"/>
  <c r="I973" i="11"/>
  <c r="N972" i="11"/>
  <c r="K972" i="11"/>
  <c r="I972" i="11"/>
  <c r="N971" i="11"/>
  <c r="K971" i="11"/>
  <c r="I971" i="11"/>
  <c r="N970" i="11"/>
  <c r="K970" i="11"/>
  <c r="I970" i="11"/>
  <c r="N969" i="11"/>
  <c r="K969" i="11"/>
  <c r="I969" i="11"/>
  <c r="N968" i="11"/>
  <c r="K968" i="11"/>
  <c r="I968" i="11"/>
  <c r="N967" i="11"/>
  <c r="K967" i="11"/>
  <c r="I967" i="11"/>
  <c r="N966" i="11"/>
  <c r="K966" i="11"/>
  <c r="I966" i="11"/>
  <c r="N965" i="11"/>
  <c r="K965" i="11"/>
  <c r="I965" i="11"/>
  <c r="N964" i="11"/>
  <c r="K964" i="11"/>
  <c r="I964" i="11"/>
  <c r="N963" i="11"/>
  <c r="K963" i="11"/>
  <c r="I963" i="11"/>
  <c r="N962" i="11"/>
  <c r="K962" i="11"/>
  <c r="I962" i="11"/>
  <c r="N961" i="11"/>
  <c r="K961" i="11"/>
  <c r="I961" i="11"/>
  <c r="N960" i="11"/>
  <c r="K960" i="11"/>
  <c r="I960" i="11"/>
  <c r="N959" i="11"/>
  <c r="K959" i="11"/>
  <c r="I959" i="11"/>
  <c r="N958" i="11"/>
  <c r="K958" i="11"/>
  <c r="I958" i="11"/>
  <c r="N957" i="11"/>
  <c r="K957" i="11"/>
  <c r="I957" i="11"/>
  <c r="N956" i="11"/>
  <c r="K956" i="11"/>
  <c r="I956" i="11"/>
  <c r="N955" i="11"/>
  <c r="K955" i="11"/>
  <c r="I955" i="11"/>
  <c r="N954" i="11"/>
  <c r="K954" i="11"/>
  <c r="I954" i="11"/>
  <c r="N953" i="11"/>
  <c r="K953" i="11"/>
  <c r="I953" i="11"/>
  <c r="N952" i="11"/>
  <c r="K952" i="11"/>
  <c r="I952" i="11"/>
  <c r="N951" i="11"/>
  <c r="K951" i="11"/>
  <c r="I951" i="11"/>
  <c r="N950" i="11"/>
  <c r="K950" i="11"/>
  <c r="I950" i="11"/>
  <c r="N949" i="11"/>
  <c r="K949" i="11"/>
  <c r="I949" i="11"/>
  <c r="N948" i="11"/>
  <c r="K948" i="11"/>
  <c r="I948" i="11"/>
  <c r="N947" i="11"/>
  <c r="K947" i="11"/>
  <c r="I947" i="11"/>
  <c r="N946" i="11"/>
  <c r="K946" i="11"/>
  <c r="I946" i="11"/>
  <c r="N945" i="11"/>
  <c r="K945" i="11"/>
  <c r="I945" i="11"/>
  <c r="N944" i="11"/>
  <c r="K944" i="11"/>
  <c r="I944" i="11"/>
  <c r="N943" i="11"/>
  <c r="K943" i="11"/>
  <c r="I943" i="11"/>
  <c r="N942" i="11"/>
  <c r="K942" i="11"/>
  <c r="I942" i="11"/>
  <c r="N941" i="11"/>
  <c r="K941" i="11"/>
  <c r="I941" i="11"/>
  <c r="N940" i="11"/>
  <c r="K940" i="11"/>
  <c r="I940" i="11"/>
  <c r="N939" i="11"/>
  <c r="K939" i="11"/>
  <c r="I939" i="11"/>
  <c r="N938" i="11"/>
  <c r="K938" i="11"/>
  <c r="I938" i="11"/>
  <c r="N937" i="11"/>
  <c r="K937" i="11"/>
  <c r="I937" i="11"/>
  <c r="N936" i="11"/>
  <c r="K936" i="11"/>
  <c r="I936" i="11"/>
  <c r="N935" i="11"/>
  <c r="K935" i="11"/>
  <c r="I935" i="11"/>
  <c r="N934" i="11"/>
  <c r="K934" i="11"/>
  <c r="I934" i="11"/>
  <c r="N933" i="11"/>
  <c r="K933" i="11"/>
  <c r="I933" i="11"/>
  <c r="N932" i="11"/>
  <c r="K932" i="11"/>
  <c r="I932" i="11"/>
  <c r="N931" i="11"/>
  <c r="K931" i="11"/>
  <c r="I931" i="11"/>
  <c r="N930" i="11"/>
  <c r="K930" i="11"/>
  <c r="I930" i="11"/>
  <c r="N929" i="11"/>
  <c r="K929" i="11"/>
  <c r="I929" i="11"/>
  <c r="N928" i="11"/>
  <c r="K928" i="11"/>
  <c r="I928" i="11"/>
  <c r="N927" i="11"/>
  <c r="K927" i="11"/>
  <c r="I927" i="11"/>
  <c r="N926" i="11"/>
  <c r="K926" i="11"/>
  <c r="I926" i="11"/>
  <c r="N925" i="11"/>
  <c r="K925" i="11"/>
  <c r="I925" i="11"/>
  <c r="N924" i="11"/>
  <c r="K924" i="11"/>
  <c r="I924" i="11"/>
  <c r="N923" i="11"/>
  <c r="K923" i="11"/>
  <c r="I923" i="11"/>
  <c r="N922" i="11"/>
  <c r="K922" i="11"/>
  <c r="I922" i="11"/>
  <c r="N921" i="11"/>
  <c r="K921" i="11"/>
  <c r="I921" i="11"/>
  <c r="N920" i="11"/>
  <c r="K920" i="11"/>
  <c r="I920" i="11"/>
  <c r="N919" i="11"/>
  <c r="K919" i="11"/>
  <c r="I919" i="11"/>
  <c r="N918" i="11"/>
  <c r="K918" i="11"/>
  <c r="I918" i="11"/>
  <c r="N917" i="11"/>
  <c r="K917" i="11"/>
  <c r="I917" i="11"/>
  <c r="N916" i="11"/>
  <c r="K916" i="11"/>
  <c r="I916" i="11"/>
  <c r="N915" i="11"/>
  <c r="K915" i="11"/>
  <c r="I915" i="11"/>
  <c r="N914" i="11"/>
  <c r="K914" i="11"/>
  <c r="I914" i="11"/>
  <c r="N913" i="11"/>
  <c r="K913" i="11"/>
  <c r="I913" i="11"/>
  <c r="N912" i="11"/>
  <c r="K912" i="11"/>
  <c r="I912" i="11"/>
  <c r="N911" i="11"/>
  <c r="K911" i="11"/>
  <c r="I911" i="11"/>
  <c r="N910" i="11"/>
  <c r="K910" i="11"/>
  <c r="I910" i="11"/>
  <c r="N909" i="11"/>
  <c r="K909" i="11"/>
  <c r="I909" i="11"/>
  <c r="N908" i="11"/>
  <c r="K908" i="11"/>
  <c r="I908" i="11"/>
  <c r="N907" i="11"/>
  <c r="K907" i="11"/>
  <c r="I907" i="11"/>
  <c r="N906" i="11"/>
  <c r="K906" i="11"/>
  <c r="I906" i="11"/>
  <c r="N905" i="11"/>
  <c r="K905" i="11"/>
  <c r="I905" i="11"/>
  <c r="N904" i="11"/>
  <c r="K904" i="11"/>
  <c r="I904" i="11"/>
  <c r="N903" i="11"/>
  <c r="K903" i="11"/>
  <c r="I903" i="11"/>
  <c r="N902" i="11"/>
  <c r="K902" i="11"/>
  <c r="I902" i="11"/>
  <c r="N901" i="11"/>
  <c r="K901" i="11"/>
  <c r="I901" i="11"/>
  <c r="N900" i="11"/>
  <c r="K900" i="11"/>
  <c r="I900" i="11"/>
  <c r="N899" i="11"/>
  <c r="K899" i="11"/>
  <c r="I899" i="11"/>
  <c r="N898" i="11"/>
  <c r="K898" i="11"/>
  <c r="I898" i="11"/>
  <c r="N897" i="11"/>
  <c r="K897" i="11"/>
  <c r="I897" i="11"/>
  <c r="N896" i="11"/>
  <c r="K896" i="11"/>
  <c r="I896" i="11"/>
  <c r="N895" i="11"/>
  <c r="K895" i="11"/>
  <c r="I895" i="11"/>
  <c r="N894" i="11"/>
  <c r="K894" i="11"/>
  <c r="I894" i="11"/>
  <c r="N893" i="11"/>
  <c r="K893" i="11"/>
  <c r="I893" i="11"/>
  <c r="N892" i="11"/>
  <c r="K892" i="11"/>
  <c r="I892" i="11"/>
  <c r="N891" i="11"/>
  <c r="K891" i="11"/>
  <c r="I891" i="11"/>
  <c r="N890" i="11"/>
  <c r="K890" i="11"/>
  <c r="I890" i="11"/>
  <c r="N889" i="11"/>
  <c r="K889" i="11"/>
  <c r="I889" i="11"/>
  <c r="N888" i="11"/>
  <c r="K888" i="11"/>
  <c r="I888" i="11"/>
  <c r="N887" i="11"/>
  <c r="K887" i="11"/>
  <c r="I887" i="11"/>
  <c r="N886" i="11"/>
  <c r="K886" i="11"/>
  <c r="I886" i="11"/>
  <c r="N885" i="11"/>
  <c r="K885" i="11"/>
  <c r="I885" i="11"/>
  <c r="N884" i="11"/>
  <c r="K884" i="11"/>
  <c r="I884" i="11"/>
  <c r="N883" i="11"/>
  <c r="K883" i="11"/>
  <c r="I883" i="11"/>
  <c r="N882" i="11"/>
  <c r="K882" i="11"/>
  <c r="I882" i="11"/>
  <c r="N881" i="11"/>
  <c r="K881" i="11"/>
  <c r="I881" i="11"/>
  <c r="N880" i="11"/>
  <c r="K880" i="11"/>
  <c r="I880" i="11"/>
  <c r="N879" i="11"/>
  <c r="K879" i="11"/>
  <c r="I879" i="11"/>
  <c r="N878" i="11"/>
  <c r="K878" i="11"/>
  <c r="I878" i="11"/>
  <c r="N877" i="11"/>
  <c r="K877" i="11"/>
  <c r="I877" i="11"/>
  <c r="N876" i="11"/>
  <c r="K876" i="11"/>
  <c r="I876" i="11"/>
  <c r="N875" i="11"/>
  <c r="K875" i="11"/>
  <c r="I875" i="11"/>
  <c r="N874" i="11"/>
  <c r="K874" i="11"/>
  <c r="I874" i="11"/>
  <c r="N873" i="11"/>
  <c r="K873" i="11"/>
  <c r="I873" i="11"/>
  <c r="N872" i="11"/>
  <c r="K872" i="11"/>
  <c r="I872" i="11"/>
  <c r="N871" i="11"/>
  <c r="K871" i="11"/>
  <c r="I871" i="11"/>
  <c r="N870" i="11"/>
  <c r="K870" i="11"/>
  <c r="I870" i="11"/>
  <c r="N869" i="11"/>
  <c r="K869" i="11"/>
  <c r="I869" i="11"/>
  <c r="N868" i="11"/>
  <c r="K868" i="11"/>
  <c r="I868" i="11"/>
  <c r="N867" i="11"/>
  <c r="K867" i="11"/>
  <c r="I867" i="11"/>
  <c r="N866" i="11"/>
  <c r="K866" i="11"/>
  <c r="I866" i="11"/>
  <c r="N865" i="11"/>
  <c r="K865" i="11"/>
  <c r="I865" i="11"/>
  <c r="N864" i="11"/>
  <c r="K864" i="11"/>
  <c r="I864" i="11"/>
  <c r="N863" i="11"/>
  <c r="K863" i="11"/>
  <c r="I863" i="11"/>
  <c r="N862" i="11"/>
  <c r="K862" i="11"/>
  <c r="I862" i="11"/>
  <c r="N861" i="11"/>
  <c r="K861" i="11"/>
  <c r="I861" i="11"/>
  <c r="N860" i="11"/>
  <c r="K860" i="11"/>
  <c r="I860" i="11"/>
  <c r="N859" i="11"/>
  <c r="K859" i="11"/>
  <c r="I859" i="11"/>
  <c r="N858" i="11"/>
  <c r="K858" i="11"/>
  <c r="I858" i="11"/>
  <c r="N857" i="11"/>
  <c r="K857" i="11"/>
  <c r="I857" i="11"/>
  <c r="N856" i="11"/>
  <c r="K856" i="11"/>
  <c r="I856" i="11"/>
  <c r="N855" i="11"/>
  <c r="K855" i="11"/>
  <c r="I855" i="11"/>
  <c r="N854" i="11"/>
  <c r="K854" i="11"/>
  <c r="I854" i="11"/>
  <c r="N853" i="11"/>
  <c r="K853" i="11"/>
  <c r="I853" i="11"/>
  <c r="N852" i="11"/>
  <c r="K852" i="11"/>
  <c r="I852" i="11"/>
  <c r="N851" i="11"/>
  <c r="K851" i="11"/>
  <c r="I851" i="11"/>
  <c r="N850" i="11"/>
  <c r="K850" i="11"/>
  <c r="I850" i="11"/>
  <c r="N849" i="11"/>
  <c r="K849" i="11"/>
  <c r="I849" i="11"/>
  <c r="N848" i="11"/>
  <c r="K848" i="11"/>
  <c r="I848" i="11"/>
  <c r="N847" i="11"/>
  <c r="K847" i="11"/>
  <c r="I847" i="11"/>
  <c r="N846" i="11"/>
  <c r="K846" i="11"/>
  <c r="I846" i="11"/>
  <c r="N845" i="11"/>
  <c r="K845" i="11"/>
  <c r="I845" i="11"/>
  <c r="N844" i="11"/>
  <c r="K844" i="11"/>
  <c r="I844" i="11"/>
  <c r="N843" i="11"/>
  <c r="K843" i="11"/>
  <c r="I843" i="11"/>
  <c r="N842" i="11"/>
  <c r="K842" i="11"/>
  <c r="I842" i="11"/>
  <c r="N841" i="11"/>
  <c r="K841" i="11"/>
  <c r="I841" i="11"/>
  <c r="N840" i="11"/>
  <c r="K840" i="11"/>
  <c r="I840" i="11"/>
  <c r="N839" i="11"/>
  <c r="K839" i="11"/>
  <c r="I839" i="11"/>
  <c r="N838" i="11"/>
  <c r="K838" i="11"/>
  <c r="I838" i="11"/>
  <c r="N837" i="11"/>
  <c r="K837" i="11"/>
  <c r="I837" i="11"/>
  <c r="N836" i="11"/>
  <c r="K836" i="11"/>
  <c r="I836" i="11"/>
  <c r="N835" i="11"/>
  <c r="K835" i="11"/>
  <c r="I835" i="11"/>
  <c r="N834" i="11"/>
  <c r="K834" i="11"/>
  <c r="I834" i="11"/>
  <c r="N833" i="11"/>
  <c r="K833" i="11"/>
  <c r="I833" i="11"/>
  <c r="N832" i="11"/>
  <c r="K832" i="11"/>
  <c r="I832" i="11"/>
  <c r="N831" i="11"/>
  <c r="K831" i="11"/>
  <c r="I831" i="11"/>
  <c r="N830" i="11"/>
  <c r="K830" i="11"/>
  <c r="I830" i="11"/>
  <c r="N829" i="11"/>
  <c r="K829" i="11"/>
  <c r="I829" i="11"/>
  <c r="N828" i="11"/>
  <c r="K828" i="11"/>
  <c r="I828" i="11"/>
  <c r="N827" i="11"/>
  <c r="K827" i="11"/>
  <c r="I827" i="11"/>
  <c r="N826" i="11"/>
  <c r="K826" i="11"/>
  <c r="I826" i="11"/>
  <c r="N825" i="11"/>
  <c r="K825" i="11"/>
  <c r="I825" i="11"/>
  <c r="N824" i="11"/>
  <c r="K824" i="11"/>
  <c r="I824" i="11"/>
  <c r="N823" i="11"/>
  <c r="K823" i="11"/>
  <c r="I823" i="11"/>
  <c r="N822" i="11"/>
  <c r="K822" i="11"/>
  <c r="I822" i="11"/>
  <c r="N821" i="11"/>
  <c r="K821" i="11"/>
  <c r="I821" i="11"/>
  <c r="N820" i="11"/>
  <c r="K820" i="11"/>
  <c r="I820" i="11"/>
  <c r="N819" i="11"/>
  <c r="K819" i="11"/>
  <c r="I819" i="11"/>
  <c r="N818" i="11"/>
  <c r="K818" i="11"/>
  <c r="I818" i="11"/>
  <c r="N817" i="11"/>
  <c r="K817" i="11"/>
  <c r="I817" i="11"/>
  <c r="N816" i="11"/>
  <c r="K816" i="11"/>
  <c r="I816" i="11"/>
  <c r="N815" i="11"/>
  <c r="K815" i="11"/>
  <c r="I815" i="11"/>
  <c r="N814" i="11"/>
  <c r="K814" i="11"/>
  <c r="I814" i="11"/>
  <c r="N813" i="11"/>
  <c r="K813" i="11"/>
  <c r="I813" i="11"/>
  <c r="N812" i="11"/>
  <c r="K812" i="11"/>
  <c r="I812" i="11"/>
  <c r="N811" i="11"/>
  <c r="K811" i="11"/>
  <c r="I811" i="11"/>
  <c r="N810" i="11"/>
  <c r="K810" i="11"/>
  <c r="I810" i="11"/>
  <c r="N809" i="11"/>
  <c r="K809" i="11"/>
  <c r="I809" i="11"/>
  <c r="N808" i="11"/>
  <c r="K808" i="11"/>
  <c r="I808" i="11"/>
  <c r="N807" i="11"/>
  <c r="K807" i="11"/>
  <c r="I807" i="11"/>
  <c r="N806" i="11"/>
  <c r="K806" i="11"/>
  <c r="I806" i="11"/>
  <c r="N805" i="11"/>
  <c r="K805" i="11"/>
  <c r="I805" i="11"/>
  <c r="N804" i="11"/>
  <c r="K804" i="11"/>
  <c r="I804" i="11"/>
  <c r="N803" i="11"/>
  <c r="K803" i="11"/>
  <c r="I803" i="11"/>
  <c r="N802" i="11"/>
  <c r="K802" i="11"/>
  <c r="I802" i="11"/>
  <c r="N801" i="11"/>
  <c r="K801" i="11"/>
  <c r="I801" i="11"/>
  <c r="N800" i="11"/>
  <c r="K800" i="11"/>
  <c r="I800" i="11"/>
  <c r="N799" i="11"/>
  <c r="K799" i="11"/>
  <c r="I799" i="11"/>
  <c r="N798" i="11"/>
  <c r="K798" i="11"/>
  <c r="I798" i="11"/>
  <c r="N797" i="11"/>
  <c r="K797" i="11"/>
  <c r="I797" i="11"/>
  <c r="N796" i="11"/>
  <c r="K796" i="11"/>
  <c r="I796" i="11"/>
  <c r="N795" i="11"/>
  <c r="K795" i="11"/>
  <c r="I795" i="11"/>
  <c r="N794" i="11"/>
  <c r="K794" i="11"/>
  <c r="I794" i="11"/>
  <c r="N793" i="11"/>
  <c r="K793" i="11"/>
  <c r="I793" i="11"/>
  <c r="N792" i="11"/>
  <c r="K792" i="11"/>
  <c r="I792" i="11"/>
  <c r="N791" i="11"/>
  <c r="K791" i="11"/>
  <c r="I791" i="11"/>
  <c r="N790" i="11"/>
  <c r="K790" i="11"/>
  <c r="I790" i="11"/>
  <c r="N789" i="11"/>
  <c r="K789" i="11"/>
  <c r="I789" i="11"/>
  <c r="N788" i="11"/>
  <c r="K788" i="11"/>
  <c r="I788" i="11"/>
  <c r="N787" i="11"/>
  <c r="K787" i="11"/>
  <c r="I787" i="11"/>
  <c r="N786" i="11"/>
  <c r="K786" i="11"/>
  <c r="I786" i="11"/>
  <c r="N785" i="11"/>
  <c r="K785" i="11"/>
  <c r="I785" i="11"/>
  <c r="N784" i="11"/>
  <c r="K784" i="11"/>
  <c r="I784" i="11"/>
  <c r="N783" i="11"/>
  <c r="K783" i="11"/>
  <c r="I783" i="11"/>
  <c r="N782" i="11"/>
  <c r="K782" i="11"/>
  <c r="I782" i="11"/>
  <c r="N781" i="11"/>
  <c r="K781" i="11"/>
  <c r="I781" i="11"/>
  <c r="N780" i="11"/>
  <c r="K780" i="11"/>
  <c r="I780" i="11"/>
  <c r="N779" i="11"/>
  <c r="K779" i="11"/>
  <c r="I779" i="11"/>
  <c r="N778" i="11"/>
  <c r="K778" i="11"/>
  <c r="I778" i="11"/>
  <c r="N777" i="11"/>
  <c r="K777" i="11"/>
  <c r="I777" i="11"/>
  <c r="N776" i="11"/>
  <c r="K776" i="11"/>
  <c r="I776" i="11"/>
  <c r="N775" i="11"/>
  <c r="K775" i="11"/>
  <c r="I775" i="11"/>
  <c r="N774" i="11"/>
  <c r="K774" i="11"/>
  <c r="I774" i="11"/>
  <c r="N773" i="11"/>
  <c r="K773" i="11"/>
  <c r="I773" i="11"/>
  <c r="N772" i="11"/>
  <c r="K772" i="11"/>
  <c r="I772" i="11"/>
  <c r="N771" i="11"/>
  <c r="K771" i="11"/>
  <c r="I771" i="11"/>
  <c r="N770" i="11"/>
  <c r="K770" i="11"/>
  <c r="I770" i="11"/>
  <c r="N769" i="11"/>
  <c r="K769" i="11"/>
  <c r="I769" i="11"/>
  <c r="N768" i="11"/>
  <c r="K768" i="11"/>
  <c r="I768" i="11"/>
  <c r="N767" i="11"/>
  <c r="K767" i="11"/>
  <c r="I767" i="11"/>
  <c r="N766" i="11"/>
  <c r="K766" i="11"/>
  <c r="I766" i="11"/>
  <c r="N765" i="11"/>
  <c r="K765" i="11"/>
  <c r="I765" i="11"/>
  <c r="N764" i="11"/>
  <c r="K764" i="11"/>
  <c r="I764" i="11"/>
  <c r="N763" i="11"/>
  <c r="K763" i="11"/>
  <c r="I763" i="11"/>
  <c r="N762" i="11"/>
  <c r="K762" i="11"/>
  <c r="I762" i="11"/>
  <c r="N761" i="11"/>
  <c r="K761" i="11"/>
  <c r="I761" i="11"/>
  <c r="N760" i="11"/>
  <c r="K760" i="11"/>
  <c r="I760" i="11"/>
  <c r="N759" i="11"/>
  <c r="K759" i="11"/>
  <c r="I759" i="11"/>
  <c r="N758" i="11"/>
  <c r="K758" i="11"/>
  <c r="I758" i="11"/>
  <c r="N757" i="11"/>
  <c r="K757" i="11"/>
  <c r="I757" i="11"/>
  <c r="N756" i="11"/>
  <c r="K756" i="11"/>
  <c r="I756" i="11"/>
  <c r="N755" i="11"/>
  <c r="K755" i="11"/>
  <c r="I755" i="11"/>
  <c r="N754" i="11"/>
  <c r="K754" i="11"/>
  <c r="I754" i="11"/>
  <c r="N753" i="11"/>
  <c r="K753" i="11"/>
  <c r="I753" i="11"/>
  <c r="N752" i="11"/>
  <c r="K752" i="11"/>
  <c r="I752" i="11"/>
  <c r="N751" i="11"/>
  <c r="K751" i="11"/>
  <c r="I751" i="11"/>
  <c r="N750" i="11"/>
  <c r="K750" i="11"/>
  <c r="I750" i="11"/>
  <c r="N749" i="11"/>
  <c r="K749" i="11"/>
  <c r="I749" i="11"/>
  <c r="N748" i="11"/>
  <c r="K748" i="11"/>
  <c r="I748" i="11"/>
  <c r="N747" i="11"/>
  <c r="K747" i="11"/>
  <c r="I747" i="11"/>
  <c r="N746" i="11"/>
  <c r="K746" i="11"/>
  <c r="I746" i="11"/>
  <c r="N745" i="11"/>
  <c r="K745" i="11"/>
  <c r="I745" i="11"/>
  <c r="N744" i="11"/>
  <c r="K744" i="11"/>
  <c r="I744" i="11"/>
  <c r="N743" i="11"/>
  <c r="K743" i="11"/>
  <c r="I743" i="11"/>
  <c r="N742" i="11"/>
  <c r="K742" i="11"/>
  <c r="I742" i="11"/>
  <c r="N741" i="11"/>
  <c r="K741" i="11"/>
  <c r="I741" i="11"/>
  <c r="N740" i="11"/>
  <c r="K740" i="11"/>
  <c r="I740" i="11"/>
  <c r="N739" i="11"/>
  <c r="K739" i="11"/>
  <c r="I739" i="11"/>
  <c r="N738" i="11"/>
  <c r="K738" i="11"/>
  <c r="I738" i="11"/>
  <c r="N737" i="11"/>
  <c r="K737" i="11"/>
  <c r="I737" i="11"/>
  <c r="N736" i="11"/>
  <c r="K736" i="11"/>
  <c r="I736" i="11"/>
  <c r="N735" i="11"/>
  <c r="K735" i="11"/>
  <c r="I735" i="11"/>
  <c r="N734" i="11"/>
  <c r="K734" i="11"/>
  <c r="I734" i="11"/>
  <c r="N733" i="11"/>
  <c r="K733" i="11"/>
  <c r="I733" i="11"/>
  <c r="N732" i="11"/>
  <c r="K732" i="11"/>
  <c r="I732" i="11"/>
  <c r="N731" i="11"/>
  <c r="K731" i="11"/>
  <c r="I731" i="11"/>
  <c r="N730" i="11"/>
  <c r="K730" i="11"/>
  <c r="I730" i="11"/>
  <c r="N729" i="11"/>
  <c r="K729" i="11"/>
  <c r="I729" i="11"/>
  <c r="N728" i="11"/>
  <c r="K728" i="11"/>
  <c r="I728" i="11"/>
  <c r="N727" i="11"/>
  <c r="K727" i="11"/>
  <c r="I727" i="11"/>
  <c r="N726" i="11"/>
  <c r="K726" i="11"/>
  <c r="I726" i="11"/>
  <c r="N725" i="11"/>
  <c r="K725" i="11"/>
  <c r="I725" i="11"/>
  <c r="N724" i="11"/>
  <c r="K724" i="11"/>
  <c r="I724" i="11"/>
  <c r="N723" i="11"/>
  <c r="K723" i="11"/>
  <c r="I723" i="11"/>
  <c r="N722" i="11"/>
  <c r="K722" i="11"/>
  <c r="I722" i="11"/>
  <c r="N721" i="11"/>
  <c r="K721" i="11"/>
  <c r="I721" i="11"/>
  <c r="N720" i="11"/>
  <c r="K720" i="11"/>
  <c r="I720" i="11"/>
  <c r="N719" i="11"/>
  <c r="K719" i="11"/>
  <c r="I719" i="11"/>
  <c r="N718" i="11"/>
  <c r="K718" i="11"/>
  <c r="I718" i="11"/>
  <c r="N717" i="11"/>
  <c r="K717" i="11"/>
  <c r="I717" i="11"/>
  <c r="N716" i="11"/>
  <c r="K716" i="11"/>
  <c r="I716" i="11"/>
  <c r="N715" i="11"/>
  <c r="K715" i="11"/>
  <c r="I715" i="11"/>
  <c r="N714" i="11"/>
  <c r="K714" i="11"/>
  <c r="I714" i="11"/>
  <c r="N713" i="11"/>
  <c r="K713" i="11"/>
  <c r="I713" i="11"/>
  <c r="N712" i="11"/>
  <c r="K712" i="11"/>
  <c r="I712" i="11"/>
  <c r="N711" i="11"/>
  <c r="K711" i="11"/>
  <c r="I711" i="11"/>
  <c r="N710" i="11"/>
  <c r="K710" i="11"/>
  <c r="I710" i="11"/>
  <c r="N709" i="11"/>
  <c r="K709" i="11"/>
  <c r="I709" i="11"/>
  <c r="N708" i="11"/>
  <c r="K708" i="11"/>
  <c r="I708" i="11"/>
  <c r="N707" i="11"/>
  <c r="K707" i="11"/>
  <c r="I707" i="11"/>
  <c r="N706" i="11"/>
  <c r="K706" i="11"/>
  <c r="I706" i="11"/>
  <c r="N705" i="11"/>
  <c r="K705" i="11"/>
  <c r="I705" i="11"/>
  <c r="N704" i="11"/>
  <c r="K704" i="11"/>
  <c r="I704" i="11"/>
  <c r="N703" i="11"/>
  <c r="K703" i="11"/>
  <c r="I703" i="11"/>
  <c r="N702" i="11"/>
  <c r="K702" i="11"/>
  <c r="I702" i="11"/>
  <c r="N701" i="11"/>
  <c r="K701" i="11"/>
  <c r="I701" i="11"/>
  <c r="N700" i="11"/>
  <c r="K700" i="11"/>
  <c r="I700" i="11"/>
  <c r="N699" i="11"/>
  <c r="K699" i="11"/>
  <c r="I699" i="11"/>
  <c r="N698" i="11"/>
  <c r="K698" i="11"/>
  <c r="I698" i="11"/>
  <c r="N697" i="11"/>
  <c r="K697" i="11"/>
  <c r="I697" i="11"/>
  <c r="N696" i="11"/>
  <c r="K696" i="11"/>
  <c r="I696" i="11"/>
  <c r="N695" i="11"/>
  <c r="K695" i="11"/>
  <c r="I695" i="11"/>
  <c r="N694" i="11"/>
  <c r="K694" i="11"/>
  <c r="I694" i="11"/>
  <c r="N693" i="11"/>
  <c r="K693" i="11"/>
  <c r="I693" i="11"/>
  <c r="N692" i="11"/>
  <c r="K692" i="11"/>
  <c r="I692" i="11"/>
  <c r="N691" i="11"/>
  <c r="K691" i="11"/>
  <c r="I691" i="11"/>
  <c r="N690" i="11"/>
  <c r="K690" i="11"/>
  <c r="I690" i="11"/>
  <c r="N689" i="11"/>
  <c r="K689" i="11"/>
  <c r="I689" i="11"/>
  <c r="N688" i="11"/>
  <c r="K688" i="11"/>
  <c r="I688" i="11"/>
  <c r="N687" i="11"/>
  <c r="K687" i="11"/>
  <c r="I687" i="11"/>
  <c r="N686" i="11"/>
  <c r="K686" i="11"/>
  <c r="I686" i="11"/>
  <c r="N685" i="11"/>
  <c r="K685" i="11"/>
  <c r="I685" i="11"/>
  <c r="N684" i="11"/>
  <c r="K684" i="11"/>
  <c r="I684" i="11"/>
  <c r="N683" i="11"/>
  <c r="K683" i="11"/>
  <c r="I683" i="11"/>
  <c r="N682" i="11"/>
  <c r="K682" i="11"/>
  <c r="I682" i="11"/>
  <c r="N681" i="11"/>
  <c r="K681" i="11"/>
  <c r="I681" i="11"/>
  <c r="N680" i="11"/>
  <c r="K680" i="11"/>
  <c r="I680" i="11"/>
  <c r="N679" i="11"/>
  <c r="K679" i="11"/>
  <c r="I679" i="11"/>
  <c r="N678" i="11"/>
  <c r="K678" i="11"/>
  <c r="I678" i="11"/>
  <c r="N677" i="11"/>
  <c r="K677" i="11"/>
  <c r="I677" i="11"/>
  <c r="N676" i="11"/>
  <c r="K676" i="11"/>
  <c r="I676" i="11"/>
  <c r="N675" i="11"/>
  <c r="K675" i="11"/>
  <c r="I675" i="11"/>
  <c r="N674" i="11"/>
  <c r="K674" i="11"/>
  <c r="I674" i="11"/>
  <c r="N673" i="11"/>
  <c r="K673" i="11"/>
  <c r="I673" i="11"/>
  <c r="N672" i="11"/>
  <c r="K672" i="11"/>
  <c r="I672" i="11"/>
  <c r="N671" i="11"/>
  <c r="K671" i="11"/>
  <c r="I671" i="11"/>
  <c r="N670" i="11"/>
  <c r="K670" i="11"/>
  <c r="I670" i="11"/>
  <c r="N669" i="11"/>
  <c r="K669" i="11"/>
  <c r="I669" i="11"/>
  <c r="N668" i="11"/>
  <c r="K668" i="11"/>
  <c r="I668" i="11"/>
  <c r="N667" i="11"/>
  <c r="K667" i="11"/>
  <c r="I667" i="11"/>
  <c r="N666" i="11"/>
  <c r="K666" i="11"/>
  <c r="I666" i="11"/>
  <c r="N665" i="11"/>
  <c r="K665" i="11"/>
  <c r="I665" i="11"/>
  <c r="N664" i="11"/>
  <c r="K664" i="11"/>
  <c r="I664" i="11"/>
  <c r="N663" i="11"/>
  <c r="K663" i="11"/>
  <c r="I663" i="11"/>
  <c r="N662" i="11"/>
  <c r="K662" i="11"/>
  <c r="I662" i="11"/>
  <c r="N661" i="11"/>
  <c r="K661" i="11"/>
  <c r="I661" i="11"/>
  <c r="N660" i="11"/>
  <c r="K660" i="11"/>
  <c r="I660" i="11"/>
  <c r="N659" i="11"/>
  <c r="K659" i="11"/>
  <c r="I659" i="11"/>
  <c r="N658" i="11"/>
  <c r="K658" i="11"/>
  <c r="I658" i="11"/>
  <c r="N657" i="11"/>
  <c r="K657" i="11"/>
  <c r="I657" i="11"/>
  <c r="N656" i="11"/>
  <c r="K656" i="11"/>
  <c r="I656" i="11"/>
  <c r="N655" i="11"/>
  <c r="K655" i="11"/>
  <c r="I655" i="11"/>
  <c r="N654" i="11"/>
  <c r="K654" i="11"/>
  <c r="I654" i="11"/>
  <c r="N653" i="11"/>
  <c r="K653" i="11"/>
  <c r="I653" i="11"/>
  <c r="N652" i="11"/>
  <c r="K652" i="11"/>
  <c r="I652" i="11"/>
  <c r="N651" i="11"/>
  <c r="K651" i="11"/>
  <c r="I651" i="11"/>
  <c r="N650" i="11"/>
  <c r="K650" i="11"/>
  <c r="I650" i="11"/>
  <c r="N649" i="11"/>
  <c r="K649" i="11"/>
  <c r="I649" i="11"/>
  <c r="N648" i="11"/>
  <c r="K648" i="11"/>
  <c r="I648" i="11"/>
  <c r="N647" i="11"/>
  <c r="K647" i="11"/>
  <c r="I647" i="11"/>
  <c r="N646" i="11"/>
  <c r="K646" i="11"/>
  <c r="I646" i="11"/>
  <c r="N645" i="11"/>
  <c r="K645" i="11"/>
  <c r="I645" i="11"/>
  <c r="N644" i="11"/>
  <c r="K644" i="11"/>
  <c r="I644" i="11"/>
  <c r="N643" i="11"/>
  <c r="K643" i="11"/>
  <c r="I643" i="11"/>
  <c r="N642" i="11"/>
  <c r="K642" i="11"/>
  <c r="I642" i="11"/>
  <c r="N641" i="11"/>
  <c r="K641" i="11"/>
  <c r="I641" i="11"/>
  <c r="N640" i="11"/>
  <c r="K640" i="11"/>
  <c r="I640" i="11"/>
  <c r="N639" i="11"/>
  <c r="K639" i="11"/>
  <c r="I639" i="11"/>
  <c r="N638" i="11"/>
  <c r="K638" i="11"/>
  <c r="I638" i="11"/>
  <c r="N637" i="11"/>
  <c r="K637" i="11"/>
  <c r="I637" i="11"/>
  <c r="N636" i="11"/>
  <c r="K636" i="11"/>
  <c r="I636" i="11"/>
  <c r="N635" i="11"/>
  <c r="K635" i="11"/>
  <c r="I635" i="11"/>
  <c r="N634" i="11"/>
  <c r="K634" i="11"/>
  <c r="I634" i="11"/>
  <c r="N633" i="11"/>
  <c r="K633" i="11"/>
  <c r="I633" i="11"/>
  <c r="N632" i="11"/>
  <c r="K632" i="11"/>
  <c r="I632" i="11"/>
  <c r="N631" i="11"/>
  <c r="K631" i="11"/>
  <c r="I631" i="11"/>
  <c r="N630" i="11"/>
  <c r="K630" i="11"/>
  <c r="I630" i="11"/>
  <c r="N629" i="11"/>
  <c r="K629" i="11"/>
  <c r="I629" i="11"/>
  <c r="N628" i="11"/>
  <c r="K628" i="11"/>
  <c r="I628" i="11"/>
  <c r="N627" i="11"/>
  <c r="K627" i="11"/>
  <c r="I627" i="11"/>
  <c r="N626" i="11"/>
  <c r="K626" i="11"/>
  <c r="I626" i="11"/>
  <c r="N625" i="11"/>
  <c r="K625" i="11"/>
  <c r="I625" i="11"/>
  <c r="N624" i="11"/>
  <c r="K624" i="11"/>
  <c r="I624" i="11"/>
  <c r="N623" i="11"/>
  <c r="K623" i="11"/>
  <c r="I623" i="11"/>
  <c r="N622" i="11"/>
  <c r="K622" i="11"/>
  <c r="I622" i="11"/>
  <c r="N621" i="11"/>
  <c r="K621" i="11"/>
  <c r="I621" i="11"/>
  <c r="N620" i="11"/>
  <c r="K620" i="11"/>
  <c r="I620" i="11"/>
  <c r="N619" i="11"/>
  <c r="K619" i="11"/>
  <c r="I619" i="11"/>
  <c r="N618" i="11"/>
  <c r="K618" i="11"/>
  <c r="I618" i="11"/>
  <c r="N617" i="11"/>
  <c r="K617" i="11"/>
  <c r="I617" i="11"/>
  <c r="N616" i="11"/>
  <c r="K616" i="11"/>
  <c r="I616" i="11"/>
  <c r="N615" i="11"/>
  <c r="K615" i="11"/>
  <c r="I615" i="11"/>
  <c r="N614" i="11"/>
  <c r="K614" i="11"/>
  <c r="I614" i="11"/>
  <c r="N613" i="11"/>
  <c r="K613" i="11"/>
  <c r="I613" i="11"/>
  <c r="N612" i="11"/>
  <c r="K612" i="11"/>
  <c r="I612" i="11"/>
  <c r="N611" i="11"/>
  <c r="K611" i="11"/>
  <c r="I611" i="11"/>
  <c r="N610" i="11"/>
  <c r="K610" i="11"/>
  <c r="I610" i="11"/>
  <c r="N609" i="11"/>
  <c r="K609" i="11"/>
  <c r="I609" i="11"/>
  <c r="N608" i="11"/>
  <c r="K608" i="11"/>
  <c r="I608" i="11"/>
  <c r="N607" i="11"/>
  <c r="K607" i="11"/>
  <c r="I607" i="11"/>
  <c r="N606" i="11"/>
  <c r="K606" i="11"/>
  <c r="I606" i="11"/>
  <c r="N605" i="11"/>
  <c r="K605" i="11"/>
  <c r="I605" i="11"/>
  <c r="N604" i="11"/>
  <c r="K604" i="11"/>
  <c r="I604" i="11"/>
  <c r="N603" i="11"/>
  <c r="K603" i="11"/>
  <c r="I603" i="11"/>
  <c r="N602" i="11"/>
  <c r="K602" i="11"/>
  <c r="I602" i="11"/>
  <c r="N601" i="11"/>
  <c r="K601" i="11"/>
  <c r="I601" i="11"/>
  <c r="N600" i="11"/>
  <c r="K600" i="11"/>
  <c r="I600" i="11"/>
  <c r="N599" i="11"/>
  <c r="K599" i="11"/>
  <c r="I599" i="11"/>
  <c r="N598" i="11"/>
  <c r="K598" i="11"/>
  <c r="I598" i="11"/>
  <c r="N597" i="11"/>
  <c r="K597" i="11"/>
  <c r="I597" i="11"/>
  <c r="N596" i="11"/>
  <c r="K596" i="11"/>
  <c r="I596" i="11"/>
  <c r="N595" i="11"/>
  <c r="K595" i="11"/>
  <c r="I595" i="11"/>
  <c r="N594" i="11"/>
  <c r="K594" i="11"/>
  <c r="I594" i="11"/>
  <c r="N593" i="11"/>
  <c r="K593" i="11"/>
  <c r="I593" i="11"/>
  <c r="N592" i="11"/>
  <c r="K592" i="11"/>
  <c r="I592" i="11"/>
  <c r="N591" i="11"/>
  <c r="K591" i="11"/>
  <c r="I591" i="11"/>
  <c r="N590" i="11"/>
  <c r="K590" i="11"/>
  <c r="I590" i="11"/>
  <c r="N589" i="11"/>
  <c r="K589" i="11"/>
  <c r="I589" i="11"/>
  <c r="N588" i="11"/>
  <c r="K588" i="11"/>
  <c r="I588" i="11"/>
  <c r="N587" i="11"/>
  <c r="K587" i="11"/>
  <c r="I587" i="11"/>
  <c r="N586" i="11"/>
  <c r="K586" i="11"/>
  <c r="I586" i="11"/>
  <c r="N585" i="11"/>
  <c r="K585" i="11"/>
  <c r="I585" i="11"/>
  <c r="N584" i="11"/>
  <c r="K584" i="11"/>
  <c r="I584" i="11"/>
  <c r="N583" i="11"/>
  <c r="K583" i="11"/>
  <c r="I583" i="11"/>
  <c r="N582" i="11"/>
  <c r="K582" i="11"/>
  <c r="I582" i="11"/>
  <c r="N581" i="11"/>
  <c r="K581" i="11"/>
  <c r="I581" i="11"/>
  <c r="N580" i="11"/>
  <c r="K580" i="11"/>
  <c r="I580" i="11"/>
  <c r="N579" i="11"/>
  <c r="K579" i="11"/>
  <c r="I579" i="11"/>
  <c r="N578" i="11"/>
  <c r="K578" i="11"/>
  <c r="I578" i="11"/>
  <c r="N577" i="11"/>
  <c r="K577" i="11"/>
  <c r="I577" i="11"/>
  <c r="N576" i="11"/>
  <c r="K576" i="11"/>
  <c r="I576" i="11"/>
  <c r="N575" i="11"/>
  <c r="K575" i="11"/>
  <c r="I575" i="11"/>
  <c r="N574" i="11"/>
  <c r="K574" i="11"/>
  <c r="I574" i="11"/>
  <c r="N573" i="11"/>
  <c r="K573" i="11"/>
  <c r="I573" i="11"/>
  <c r="N572" i="11"/>
  <c r="K572" i="11"/>
  <c r="I572" i="11"/>
  <c r="N571" i="11"/>
  <c r="K571" i="11"/>
  <c r="I571" i="11"/>
  <c r="N570" i="11"/>
  <c r="K570" i="11"/>
  <c r="I570" i="11"/>
  <c r="N569" i="11"/>
  <c r="K569" i="11"/>
  <c r="I569" i="11"/>
  <c r="N568" i="11"/>
  <c r="K568" i="11"/>
  <c r="I568" i="11"/>
  <c r="N567" i="11"/>
  <c r="K567" i="11"/>
  <c r="I567" i="11"/>
  <c r="N566" i="11"/>
  <c r="K566" i="11"/>
  <c r="I566" i="11"/>
  <c r="N565" i="11"/>
  <c r="K565" i="11"/>
  <c r="I565" i="11"/>
  <c r="N564" i="11"/>
  <c r="K564" i="11"/>
  <c r="I564" i="11"/>
  <c r="N563" i="11"/>
  <c r="K563" i="11"/>
  <c r="I563" i="11"/>
  <c r="N562" i="11"/>
  <c r="K562" i="11"/>
  <c r="I562" i="11"/>
  <c r="N561" i="11"/>
  <c r="K561" i="11"/>
  <c r="I561" i="11"/>
  <c r="N560" i="11"/>
  <c r="K560" i="11"/>
  <c r="I560" i="11"/>
  <c r="N559" i="11"/>
  <c r="K559" i="11"/>
  <c r="I559" i="11"/>
  <c r="N558" i="11"/>
  <c r="K558" i="11"/>
  <c r="I558" i="11"/>
  <c r="N557" i="11"/>
  <c r="K557" i="11"/>
  <c r="I557" i="11"/>
  <c r="N556" i="11"/>
  <c r="K556" i="11"/>
  <c r="I556" i="11"/>
  <c r="N555" i="11"/>
  <c r="K555" i="11"/>
  <c r="I555" i="11"/>
  <c r="N554" i="11"/>
  <c r="K554" i="11"/>
  <c r="I554" i="11"/>
  <c r="N553" i="11"/>
  <c r="K553" i="11"/>
  <c r="I553" i="11"/>
  <c r="N552" i="11"/>
  <c r="K552" i="11"/>
  <c r="I552" i="11"/>
  <c r="N551" i="11"/>
  <c r="K551" i="11"/>
  <c r="I551" i="11"/>
  <c r="N550" i="11"/>
  <c r="K550" i="11"/>
  <c r="I550" i="11"/>
  <c r="N549" i="11"/>
  <c r="K549" i="11"/>
  <c r="I549" i="11"/>
  <c r="N548" i="11"/>
  <c r="K548" i="11"/>
  <c r="I548" i="11"/>
  <c r="N547" i="11"/>
  <c r="K547" i="11"/>
  <c r="I547" i="11"/>
  <c r="N546" i="11"/>
  <c r="K546" i="11"/>
  <c r="I546" i="11"/>
  <c r="N545" i="11"/>
  <c r="K545" i="11"/>
  <c r="I545" i="11"/>
  <c r="N544" i="11"/>
  <c r="K544" i="11"/>
  <c r="I544" i="11"/>
  <c r="N543" i="11"/>
  <c r="K543" i="11"/>
  <c r="I543" i="11"/>
  <c r="N542" i="11"/>
  <c r="K542" i="11"/>
  <c r="I542" i="11"/>
  <c r="N541" i="11"/>
  <c r="K541" i="11"/>
  <c r="I541" i="11"/>
  <c r="N540" i="11"/>
  <c r="K540" i="11"/>
  <c r="I540" i="11"/>
  <c r="N539" i="11"/>
  <c r="K539" i="11"/>
  <c r="I539" i="11"/>
  <c r="N538" i="11"/>
  <c r="K538" i="11"/>
  <c r="I538" i="11"/>
  <c r="N537" i="11"/>
  <c r="K537" i="11"/>
  <c r="I537" i="11"/>
  <c r="N536" i="11"/>
  <c r="K536" i="11"/>
  <c r="I536" i="11"/>
  <c r="N535" i="11"/>
  <c r="K535" i="11"/>
  <c r="I535" i="11"/>
  <c r="N534" i="11"/>
  <c r="K534" i="11"/>
  <c r="I534" i="11"/>
  <c r="N533" i="11"/>
  <c r="K533" i="11"/>
  <c r="I533" i="11"/>
  <c r="N532" i="11"/>
  <c r="K532" i="11"/>
  <c r="I532" i="11"/>
  <c r="N531" i="11"/>
  <c r="K531" i="11"/>
  <c r="I531" i="11"/>
  <c r="N530" i="11"/>
  <c r="K530" i="11"/>
  <c r="I530" i="11"/>
  <c r="N529" i="11"/>
  <c r="K529" i="11"/>
  <c r="I529" i="11"/>
  <c r="N528" i="11"/>
  <c r="K528" i="11"/>
  <c r="I528" i="11"/>
  <c r="N527" i="11"/>
  <c r="K527" i="11"/>
  <c r="I527" i="11"/>
  <c r="N526" i="11"/>
  <c r="K526" i="11"/>
  <c r="I526" i="11"/>
  <c r="N525" i="11"/>
  <c r="K525" i="11"/>
  <c r="I525" i="11"/>
  <c r="N524" i="11"/>
  <c r="K524" i="11"/>
  <c r="I524" i="11"/>
  <c r="N523" i="11"/>
  <c r="K523" i="11"/>
  <c r="I523" i="11"/>
  <c r="N522" i="11"/>
  <c r="K522" i="11"/>
  <c r="I522" i="11"/>
  <c r="N521" i="11"/>
  <c r="K521" i="11"/>
  <c r="I521" i="11"/>
  <c r="N520" i="11"/>
  <c r="K520" i="11"/>
  <c r="I520" i="11"/>
  <c r="N519" i="11"/>
  <c r="K519" i="11"/>
  <c r="I519" i="11"/>
  <c r="N518" i="11"/>
  <c r="K518" i="11"/>
  <c r="I518" i="11"/>
  <c r="N517" i="11"/>
  <c r="K517" i="11"/>
  <c r="I517" i="11"/>
  <c r="N516" i="11"/>
  <c r="K516" i="11"/>
  <c r="I516" i="11"/>
  <c r="N515" i="11"/>
  <c r="K515" i="11"/>
  <c r="I515" i="11"/>
  <c r="N514" i="11"/>
  <c r="K514" i="11"/>
  <c r="I514" i="11"/>
  <c r="N513" i="11"/>
  <c r="K513" i="11"/>
  <c r="I513" i="11"/>
  <c r="N512" i="11"/>
  <c r="K512" i="11"/>
  <c r="I512" i="11"/>
  <c r="N511" i="11"/>
  <c r="K511" i="11"/>
  <c r="I511" i="11"/>
  <c r="N510" i="11"/>
  <c r="K510" i="11"/>
  <c r="I510" i="11"/>
  <c r="N509" i="11"/>
  <c r="K509" i="11"/>
  <c r="I509" i="11"/>
  <c r="N508" i="11"/>
  <c r="K508" i="11"/>
  <c r="I508" i="11"/>
  <c r="N507" i="11"/>
  <c r="K507" i="11"/>
  <c r="I507" i="11"/>
  <c r="N506" i="11"/>
  <c r="K506" i="11"/>
  <c r="I506" i="11"/>
  <c r="N505" i="11"/>
  <c r="K505" i="11"/>
  <c r="I505" i="11"/>
  <c r="N504" i="11"/>
  <c r="K504" i="11"/>
  <c r="I504" i="11"/>
  <c r="N503" i="11"/>
  <c r="K503" i="11"/>
  <c r="I503" i="11"/>
  <c r="N502" i="11"/>
  <c r="K502" i="11"/>
  <c r="I502" i="11"/>
  <c r="N501" i="11"/>
  <c r="K501" i="11"/>
  <c r="I501" i="11"/>
  <c r="N500" i="11"/>
  <c r="K500" i="11"/>
  <c r="I500" i="11"/>
  <c r="N499" i="11"/>
  <c r="K499" i="11"/>
  <c r="I499" i="11"/>
  <c r="N498" i="11"/>
  <c r="K498" i="11"/>
  <c r="I498" i="11"/>
  <c r="N497" i="11"/>
  <c r="K497" i="11"/>
  <c r="I497" i="11"/>
  <c r="N496" i="11"/>
  <c r="K496" i="11"/>
  <c r="I496" i="11"/>
  <c r="N495" i="11"/>
  <c r="K495" i="11"/>
  <c r="I495" i="11"/>
  <c r="N494" i="11"/>
  <c r="K494" i="11"/>
  <c r="I494" i="11"/>
  <c r="N493" i="11"/>
  <c r="K493" i="11"/>
  <c r="I493" i="11"/>
  <c r="N492" i="11"/>
  <c r="K492" i="11"/>
  <c r="I492" i="11"/>
  <c r="N491" i="11"/>
  <c r="K491" i="11"/>
  <c r="I491" i="11"/>
  <c r="N490" i="11"/>
  <c r="K490" i="11"/>
  <c r="I490" i="11"/>
  <c r="N489" i="11"/>
  <c r="K489" i="11"/>
  <c r="I489" i="11"/>
  <c r="N488" i="11"/>
  <c r="K488" i="11"/>
  <c r="I488" i="11"/>
  <c r="N487" i="11"/>
  <c r="K487" i="11"/>
  <c r="I487" i="11"/>
  <c r="N486" i="11"/>
  <c r="K486" i="11"/>
  <c r="I486" i="11"/>
  <c r="N485" i="11"/>
  <c r="K485" i="11"/>
  <c r="I485" i="11"/>
  <c r="N484" i="11"/>
  <c r="K484" i="11"/>
  <c r="I484" i="11"/>
  <c r="N483" i="11"/>
  <c r="K483" i="11"/>
  <c r="I483" i="11"/>
  <c r="N482" i="11"/>
  <c r="K482" i="11"/>
  <c r="I482" i="11"/>
  <c r="N481" i="11"/>
  <c r="K481" i="11"/>
  <c r="I481" i="11"/>
  <c r="N480" i="11"/>
  <c r="K480" i="11"/>
  <c r="I480" i="11"/>
  <c r="N479" i="11"/>
  <c r="K479" i="11"/>
  <c r="I479" i="11"/>
  <c r="N478" i="11"/>
  <c r="K478" i="11"/>
  <c r="I478" i="11"/>
  <c r="N477" i="11"/>
  <c r="K477" i="11"/>
  <c r="I477" i="11"/>
  <c r="N476" i="11"/>
  <c r="K476" i="11"/>
  <c r="I476" i="11"/>
  <c r="N475" i="11"/>
  <c r="K475" i="11"/>
  <c r="I475" i="11"/>
  <c r="N474" i="11"/>
  <c r="K474" i="11"/>
  <c r="I474" i="11"/>
  <c r="N473" i="11"/>
  <c r="K473" i="11"/>
  <c r="I473" i="11"/>
  <c r="N472" i="11"/>
  <c r="K472" i="11"/>
  <c r="I472" i="11"/>
  <c r="N471" i="11"/>
  <c r="K471" i="11"/>
  <c r="I471" i="11"/>
  <c r="N470" i="11"/>
  <c r="K470" i="11"/>
  <c r="I470" i="11"/>
  <c r="N469" i="11"/>
  <c r="K469" i="11"/>
  <c r="I469" i="11"/>
  <c r="N468" i="11"/>
  <c r="K468" i="11"/>
  <c r="I468" i="11"/>
  <c r="N467" i="11"/>
  <c r="K467" i="11"/>
  <c r="I467" i="11"/>
  <c r="N466" i="11"/>
  <c r="K466" i="11"/>
  <c r="I466" i="11"/>
  <c r="N465" i="11"/>
  <c r="K465" i="11"/>
  <c r="I465" i="11"/>
  <c r="N464" i="11"/>
  <c r="K464" i="11"/>
  <c r="I464" i="11"/>
  <c r="N463" i="11"/>
  <c r="K463" i="11"/>
  <c r="I463" i="11"/>
  <c r="N462" i="11"/>
  <c r="K462" i="11"/>
  <c r="I462" i="11"/>
  <c r="N461" i="11"/>
  <c r="K461" i="11"/>
  <c r="I461" i="11"/>
  <c r="N460" i="11"/>
  <c r="K460" i="11"/>
  <c r="I460" i="11"/>
  <c r="N459" i="11"/>
  <c r="K459" i="11"/>
  <c r="I459" i="11"/>
  <c r="N458" i="11"/>
  <c r="K458" i="11"/>
  <c r="I458" i="11"/>
  <c r="N457" i="11"/>
  <c r="K457" i="11"/>
  <c r="I457" i="11"/>
  <c r="N456" i="11"/>
  <c r="K456" i="11"/>
  <c r="I456" i="11"/>
  <c r="N455" i="11"/>
  <c r="K455" i="11"/>
  <c r="I455" i="11"/>
  <c r="N454" i="11"/>
  <c r="K454" i="11"/>
  <c r="I454" i="11"/>
  <c r="N453" i="11"/>
  <c r="K453" i="11"/>
  <c r="I453" i="11"/>
  <c r="N452" i="11"/>
  <c r="K452" i="11"/>
  <c r="I452" i="11"/>
  <c r="N451" i="11"/>
  <c r="K451" i="11"/>
  <c r="I451" i="11"/>
  <c r="N450" i="11"/>
  <c r="K450" i="11"/>
  <c r="I450" i="11"/>
  <c r="N449" i="11"/>
  <c r="K449" i="11"/>
  <c r="I449" i="11"/>
  <c r="N448" i="11"/>
  <c r="K448" i="11"/>
  <c r="I448" i="11"/>
  <c r="N447" i="11"/>
  <c r="K447" i="11"/>
  <c r="I447" i="11"/>
  <c r="N446" i="11"/>
  <c r="K446" i="11"/>
  <c r="I446" i="11"/>
  <c r="N445" i="11"/>
  <c r="K445" i="11"/>
  <c r="I445" i="11"/>
  <c r="N444" i="11"/>
  <c r="K444" i="11"/>
  <c r="I444" i="11"/>
  <c r="N443" i="11"/>
  <c r="K443" i="11"/>
  <c r="I443" i="11"/>
  <c r="N442" i="11"/>
  <c r="K442" i="11"/>
  <c r="I442" i="11"/>
  <c r="N441" i="11"/>
  <c r="K441" i="11"/>
  <c r="I441" i="11"/>
  <c r="N440" i="11"/>
  <c r="K440" i="11"/>
  <c r="I440" i="11"/>
  <c r="N439" i="11"/>
  <c r="K439" i="11"/>
  <c r="I439" i="11"/>
  <c r="N438" i="11"/>
  <c r="K438" i="11"/>
  <c r="I438" i="11"/>
  <c r="N437" i="11"/>
  <c r="K437" i="11"/>
  <c r="I437" i="11"/>
  <c r="N436" i="11"/>
  <c r="K436" i="11"/>
  <c r="I436" i="11"/>
  <c r="N435" i="11"/>
  <c r="K435" i="11"/>
  <c r="I435" i="11"/>
  <c r="N434" i="11"/>
  <c r="K434" i="11"/>
  <c r="I434" i="11"/>
  <c r="N433" i="11"/>
  <c r="K433" i="11"/>
  <c r="I433" i="11"/>
  <c r="N432" i="11"/>
  <c r="K432" i="11"/>
  <c r="I432" i="11"/>
  <c r="N431" i="11"/>
  <c r="K431" i="11"/>
  <c r="I431" i="11"/>
  <c r="N430" i="11"/>
  <c r="K430" i="11"/>
  <c r="I430" i="11"/>
  <c r="N429" i="11"/>
  <c r="K429" i="11"/>
  <c r="I429" i="11"/>
  <c r="N428" i="11"/>
  <c r="K428" i="11"/>
  <c r="I428" i="11"/>
  <c r="N427" i="11"/>
  <c r="K427" i="11"/>
  <c r="I427" i="11"/>
  <c r="N426" i="11"/>
  <c r="K426" i="11"/>
  <c r="I426" i="11"/>
  <c r="N425" i="11"/>
  <c r="K425" i="11"/>
  <c r="I425" i="11"/>
  <c r="N424" i="11"/>
  <c r="K424" i="11"/>
  <c r="I424" i="11"/>
  <c r="N423" i="11"/>
  <c r="K423" i="11"/>
  <c r="I423" i="11"/>
  <c r="N422" i="11"/>
  <c r="K422" i="11"/>
  <c r="I422" i="11"/>
  <c r="N421" i="11"/>
  <c r="K421" i="11"/>
  <c r="I421" i="11"/>
  <c r="N420" i="11"/>
  <c r="K420" i="11"/>
  <c r="I420" i="11"/>
  <c r="N419" i="11"/>
  <c r="K419" i="11"/>
  <c r="I419" i="11"/>
  <c r="N418" i="11"/>
  <c r="K418" i="11"/>
  <c r="I418" i="11"/>
  <c r="N417" i="11"/>
  <c r="K417" i="11"/>
  <c r="I417" i="11"/>
  <c r="N416" i="11"/>
  <c r="K416" i="11"/>
  <c r="I416" i="11"/>
  <c r="N415" i="11"/>
  <c r="K415" i="11"/>
  <c r="I415" i="11"/>
  <c r="N414" i="11"/>
  <c r="K414" i="11"/>
  <c r="I414" i="11"/>
  <c r="N413" i="11"/>
  <c r="K413" i="11"/>
  <c r="I413" i="11"/>
  <c r="N412" i="11"/>
  <c r="K412" i="11"/>
  <c r="I412" i="11"/>
  <c r="N411" i="11"/>
  <c r="K411" i="11"/>
  <c r="I411" i="11"/>
  <c r="N410" i="11"/>
  <c r="K410" i="11"/>
  <c r="I410" i="11"/>
  <c r="N409" i="11"/>
  <c r="K409" i="11"/>
  <c r="I409" i="11"/>
  <c r="N408" i="11"/>
  <c r="K408" i="11"/>
  <c r="I408" i="11"/>
  <c r="N407" i="11"/>
  <c r="K407" i="11"/>
  <c r="I407" i="11"/>
  <c r="N406" i="11"/>
  <c r="K406" i="11"/>
  <c r="I406" i="11"/>
  <c r="N405" i="11"/>
  <c r="K405" i="11"/>
  <c r="I405" i="11"/>
  <c r="N404" i="11"/>
  <c r="K404" i="11"/>
  <c r="I404" i="11"/>
  <c r="N403" i="11"/>
  <c r="K403" i="11"/>
  <c r="I403" i="11"/>
  <c r="N402" i="11"/>
  <c r="K402" i="11"/>
  <c r="I402" i="11"/>
  <c r="N401" i="11"/>
  <c r="K401" i="11"/>
  <c r="I401" i="11"/>
  <c r="N400" i="11"/>
  <c r="K400" i="11"/>
  <c r="I400" i="11"/>
  <c r="N399" i="11"/>
  <c r="K399" i="11"/>
  <c r="I399" i="11"/>
  <c r="N398" i="11"/>
  <c r="K398" i="11"/>
  <c r="I398" i="11"/>
  <c r="N397" i="11"/>
  <c r="K397" i="11"/>
  <c r="I397" i="11"/>
  <c r="N396" i="11"/>
  <c r="K396" i="11"/>
  <c r="I396" i="11"/>
  <c r="N395" i="11"/>
  <c r="K395" i="11"/>
  <c r="I395" i="11"/>
  <c r="N394" i="11"/>
  <c r="K394" i="11"/>
  <c r="I394" i="11"/>
  <c r="N393" i="11"/>
  <c r="K393" i="11"/>
  <c r="I393" i="11"/>
  <c r="N392" i="11"/>
  <c r="K392" i="11"/>
  <c r="I392" i="11"/>
  <c r="N391" i="11"/>
  <c r="K391" i="11"/>
  <c r="I391" i="11"/>
  <c r="N390" i="11"/>
  <c r="K390" i="11"/>
  <c r="I390" i="11"/>
  <c r="N389" i="11"/>
  <c r="K389" i="11"/>
  <c r="I389" i="11"/>
  <c r="N388" i="11"/>
  <c r="K388" i="11"/>
  <c r="I388" i="11"/>
  <c r="N387" i="11"/>
  <c r="K387" i="11"/>
  <c r="I387" i="11"/>
  <c r="N386" i="11"/>
  <c r="K386" i="11"/>
  <c r="I386" i="11"/>
  <c r="N385" i="11"/>
  <c r="K385" i="11"/>
  <c r="I385" i="11"/>
  <c r="N384" i="11"/>
  <c r="K384" i="11"/>
  <c r="I384" i="11"/>
  <c r="N383" i="11"/>
  <c r="K383" i="11"/>
  <c r="I383" i="11"/>
  <c r="N382" i="11"/>
  <c r="K382" i="11"/>
  <c r="I382" i="11"/>
  <c r="N381" i="11"/>
  <c r="K381" i="11"/>
  <c r="I381" i="11"/>
  <c r="N380" i="11"/>
  <c r="K380" i="11"/>
  <c r="I380" i="11"/>
  <c r="N379" i="11"/>
  <c r="K379" i="11"/>
  <c r="I379" i="11"/>
  <c r="N378" i="11"/>
  <c r="K378" i="11"/>
  <c r="I378" i="11"/>
  <c r="N377" i="11"/>
  <c r="K377" i="11"/>
  <c r="I377" i="11"/>
  <c r="N376" i="11"/>
  <c r="K376" i="11"/>
  <c r="I376" i="11"/>
  <c r="N375" i="11"/>
  <c r="K375" i="11"/>
  <c r="I375" i="11"/>
  <c r="N374" i="11"/>
  <c r="K374" i="11"/>
  <c r="I374" i="11"/>
  <c r="N373" i="11"/>
  <c r="K373" i="11"/>
  <c r="I373" i="11"/>
  <c r="N372" i="11"/>
  <c r="K372" i="11"/>
  <c r="I372" i="11"/>
  <c r="N371" i="11"/>
  <c r="K371" i="11"/>
  <c r="I371" i="11"/>
  <c r="N370" i="11"/>
  <c r="K370" i="11"/>
  <c r="I370" i="11"/>
  <c r="N369" i="11"/>
  <c r="K369" i="11"/>
  <c r="I369" i="11"/>
  <c r="N368" i="11"/>
  <c r="K368" i="11"/>
  <c r="I368" i="11"/>
  <c r="N367" i="11"/>
  <c r="K367" i="11"/>
  <c r="I367" i="11"/>
  <c r="N366" i="11"/>
  <c r="K366" i="11"/>
  <c r="I366" i="11"/>
  <c r="N365" i="11"/>
  <c r="K365" i="11"/>
  <c r="I365" i="11"/>
  <c r="N364" i="11"/>
  <c r="K364" i="11"/>
  <c r="I364" i="11"/>
  <c r="N363" i="11"/>
  <c r="K363" i="11"/>
  <c r="I363" i="11"/>
  <c r="N362" i="11"/>
  <c r="K362" i="11"/>
  <c r="I362" i="11"/>
  <c r="N361" i="11"/>
  <c r="K361" i="11"/>
  <c r="I361" i="11"/>
  <c r="N360" i="11"/>
  <c r="K360" i="11"/>
  <c r="I360" i="11"/>
  <c r="N359" i="11"/>
  <c r="K359" i="11"/>
  <c r="I359" i="11"/>
  <c r="N358" i="11"/>
  <c r="K358" i="11"/>
  <c r="I358" i="11"/>
  <c r="N357" i="11"/>
  <c r="K357" i="11"/>
  <c r="I357" i="11"/>
  <c r="N356" i="11"/>
  <c r="K356" i="11"/>
  <c r="I356" i="11"/>
  <c r="N355" i="11"/>
  <c r="K355" i="11"/>
  <c r="I355" i="11"/>
  <c r="N354" i="11"/>
  <c r="K354" i="11"/>
  <c r="I354" i="11"/>
  <c r="N353" i="11"/>
  <c r="K353" i="11"/>
  <c r="I353" i="11"/>
  <c r="N352" i="11"/>
  <c r="K352" i="11"/>
  <c r="I352" i="11"/>
  <c r="N351" i="11"/>
  <c r="K351" i="11"/>
  <c r="I351" i="11"/>
  <c r="N350" i="11"/>
  <c r="K350" i="11"/>
  <c r="I350" i="11"/>
  <c r="N349" i="11"/>
  <c r="K349" i="11"/>
  <c r="I349" i="11"/>
  <c r="N348" i="11"/>
  <c r="K348" i="11"/>
  <c r="I348" i="11"/>
  <c r="N347" i="11"/>
  <c r="K347" i="11"/>
  <c r="I347" i="11"/>
  <c r="N346" i="11"/>
  <c r="K346" i="11"/>
  <c r="I346" i="11"/>
  <c r="N345" i="11"/>
  <c r="K345" i="11"/>
  <c r="I345" i="11"/>
  <c r="N344" i="11"/>
  <c r="K344" i="11"/>
  <c r="I344" i="11"/>
  <c r="N343" i="11"/>
  <c r="K343" i="11"/>
  <c r="I343" i="11"/>
  <c r="N342" i="11"/>
  <c r="K342" i="11"/>
  <c r="I342" i="11"/>
  <c r="N341" i="11"/>
  <c r="K341" i="11"/>
  <c r="I341" i="11"/>
  <c r="N340" i="11"/>
  <c r="K340" i="11"/>
  <c r="I340" i="11"/>
  <c r="N339" i="11"/>
  <c r="K339" i="11"/>
  <c r="I339" i="11"/>
  <c r="N338" i="11"/>
  <c r="K338" i="11"/>
  <c r="I338" i="11"/>
  <c r="N337" i="11"/>
  <c r="K337" i="11"/>
  <c r="I337" i="11"/>
  <c r="N336" i="11"/>
  <c r="K336" i="11"/>
  <c r="I336" i="11"/>
  <c r="N335" i="11"/>
  <c r="K335" i="11"/>
  <c r="I335" i="11"/>
  <c r="N334" i="11"/>
  <c r="K334" i="11"/>
  <c r="I334" i="11"/>
  <c r="N333" i="11"/>
  <c r="K333" i="11"/>
  <c r="I333" i="11"/>
  <c r="N332" i="11"/>
  <c r="K332" i="11"/>
  <c r="I332" i="11"/>
  <c r="N331" i="11"/>
  <c r="K331" i="11"/>
  <c r="I331" i="11"/>
  <c r="N330" i="11"/>
  <c r="K330" i="11"/>
  <c r="I330" i="11"/>
  <c r="N329" i="11"/>
  <c r="K329" i="11"/>
  <c r="I329" i="11"/>
  <c r="N328" i="11"/>
  <c r="K328" i="11"/>
  <c r="I328" i="11"/>
  <c r="N327" i="11"/>
  <c r="K327" i="11"/>
  <c r="I327" i="11"/>
  <c r="N326" i="11"/>
  <c r="K326" i="11"/>
  <c r="I326" i="11"/>
  <c r="N325" i="11"/>
  <c r="K325" i="11"/>
  <c r="I325" i="11"/>
  <c r="N324" i="11"/>
  <c r="K324" i="11"/>
  <c r="I324" i="11"/>
  <c r="N323" i="11"/>
  <c r="K323" i="11"/>
  <c r="I323" i="11"/>
  <c r="N322" i="11"/>
  <c r="K322" i="11"/>
  <c r="I322" i="11"/>
  <c r="N321" i="11"/>
  <c r="K321" i="11"/>
  <c r="I321" i="11"/>
  <c r="N320" i="11"/>
  <c r="K320" i="11"/>
  <c r="I320" i="11"/>
  <c r="N319" i="11"/>
  <c r="K319" i="11"/>
  <c r="I319" i="11"/>
  <c r="N318" i="11"/>
  <c r="K318" i="11"/>
  <c r="I318" i="11"/>
  <c r="N317" i="11"/>
  <c r="K317" i="11"/>
  <c r="I317" i="11"/>
  <c r="N316" i="11"/>
  <c r="K316" i="11"/>
  <c r="I316" i="11"/>
  <c r="N315" i="11"/>
  <c r="K315" i="11"/>
  <c r="I315" i="11"/>
  <c r="N314" i="11"/>
  <c r="K314" i="11"/>
  <c r="I314" i="11"/>
  <c r="N313" i="11"/>
  <c r="K313" i="11"/>
  <c r="I313" i="11"/>
  <c r="N312" i="11"/>
  <c r="K312" i="11"/>
  <c r="I312" i="11"/>
  <c r="N311" i="11"/>
  <c r="K311" i="11"/>
  <c r="I311" i="11"/>
  <c r="N310" i="11"/>
  <c r="K310" i="11"/>
  <c r="I310" i="11"/>
  <c r="N309" i="11"/>
  <c r="K309" i="11"/>
  <c r="I309" i="11"/>
  <c r="N308" i="11"/>
  <c r="K308" i="11"/>
  <c r="I308" i="11"/>
  <c r="N307" i="11"/>
  <c r="K307" i="11"/>
  <c r="I307" i="11"/>
  <c r="N306" i="11"/>
  <c r="K306" i="11"/>
  <c r="I306" i="11"/>
  <c r="N305" i="11"/>
  <c r="K305" i="11"/>
  <c r="I305" i="11"/>
  <c r="N304" i="11"/>
  <c r="K304" i="11"/>
  <c r="I304" i="11"/>
  <c r="N303" i="11"/>
  <c r="K303" i="11"/>
  <c r="I303" i="11"/>
  <c r="N302" i="11"/>
  <c r="K302" i="11"/>
  <c r="I302" i="11"/>
  <c r="N301" i="11"/>
  <c r="K301" i="11"/>
  <c r="I301" i="11"/>
  <c r="N300" i="11"/>
  <c r="K300" i="11"/>
  <c r="I300" i="11"/>
  <c r="N299" i="11"/>
  <c r="K299" i="11"/>
  <c r="I299" i="11"/>
  <c r="N298" i="11"/>
  <c r="K298" i="11"/>
  <c r="I298" i="11"/>
  <c r="N297" i="11"/>
  <c r="K297" i="11"/>
  <c r="I297" i="11"/>
  <c r="N296" i="11"/>
  <c r="K296" i="11"/>
  <c r="I296" i="11"/>
  <c r="N295" i="11"/>
  <c r="K295" i="11"/>
  <c r="I295" i="11"/>
  <c r="N294" i="11"/>
  <c r="K294" i="11"/>
  <c r="I294" i="11"/>
  <c r="N293" i="11"/>
  <c r="K293" i="11"/>
  <c r="I293" i="11"/>
  <c r="N292" i="11"/>
  <c r="K292" i="11"/>
  <c r="I292" i="11"/>
  <c r="N291" i="11"/>
  <c r="K291" i="11"/>
  <c r="I291" i="11"/>
  <c r="N290" i="11"/>
  <c r="K290" i="11"/>
  <c r="I290" i="11"/>
  <c r="N289" i="11"/>
  <c r="K289" i="11"/>
  <c r="I289" i="11"/>
  <c r="N288" i="11"/>
  <c r="K288" i="11"/>
  <c r="I288" i="11"/>
  <c r="N287" i="11"/>
  <c r="K287" i="11"/>
  <c r="I287" i="11"/>
  <c r="N286" i="11"/>
  <c r="K286" i="11"/>
  <c r="I286" i="11"/>
  <c r="N285" i="11"/>
  <c r="K285" i="11"/>
  <c r="I285" i="11"/>
  <c r="N284" i="11"/>
  <c r="K284" i="11"/>
  <c r="I284" i="11"/>
  <c r="N283" i="11"/>
  <c r="K283" i="11"/>
  <c r="I283" i="11"/>
  <c r="N282" i="11"/>
  <c r="K282" i="11"/>
  <c r="I282" i="11"/>
  <c r="N281" i="11"/>
  <c r="K281" i="11"/>
  <c r="I281" i="11"/>
  <c r="N280" i="11"/>
  <c r="K280" i="11"/>
  <c r="I280" i="11"/>
  <c r="N279" i="11"/>
  <c r="K279" i="11"/>
  <c r="I279" i="11"/>
  <c r="N278" i="11"/>
  <c r="K278" i="11"/>
  <c r="I278" i="11"/>
  <c r="N277" i="11"/>
  <c r="K277" i="11"/>
  <c r="I277" i="11"/>
  <c r="N276" i="11"/>
  <c r="K276" i="11"/>
  <c r="I276" i="11"/>
  <c r="N275" i="11"/>
  <c r="K275" i="11"/>
  <c r="I275" i="11"/>
  <c r="N274" i="11"/>
  <c r="K274" i="11"/>
  <c r="I274" i="11"/>
  <c r="N273" i="11"/>
  <c r="K273" i="11"/>
  <c r="I273" i="11"/>
  <c r="N272" i="11"/>
  <c r="K272" i="11"/>
  <c r="I272" i="11"/>
  <c r="N271" i="11"/>
  <c r="K271" i="11"/>
  <c r="I271" i="11"/>
  <c r="N270" i="11"/>
  <c r="K270" i="11"/>
  <c r="I270" i="11"/>
  <c r="N269" i="11"/>
  <c r="K269" i="11"/>
  <c r="I269" i="11"/>
  <c r="N268" i="11"/>
  <c r="K268" i="11"/>
  <c r="I268" i="11"/>
  <c r="N267" i="11"/>
  <c r="K267" i="11"/>
  <c r="I267" i="11"/>
  <c r="N266" i="11"/>
  <c r="K266" i="11"/>
  <c r="I266" i="11"/>
  <c r="N265" i="11"/>
  <c r="K265" i="11"/>
  <c r="I265" i="11"/>
  <c r="N264" i="11"/>
  <c r="K264" i="11"/>
  <c r="I264" i="11"/>
  <c r="N263" i="11"/>
  <c r="K263" i="11"/>
  <c r="I263" i="11"/>
  <c r="N262" i="11"/>
  <c r="K262" i="11"/>
  <c r="I262" i="11"/>
  <c r="N261" i="11"/>
  <c r="K261" i="11"/>
  <c r="I261" i="11"/>
  <c r="N260" i="11"/>
  <c r="K260" i="11"/>
  <c r="I260" i="11"/>
  <c r="N259" i="11"/>
  <c r="K259" i="11"/>
  <c r="I259" i="11"/>
  <c r="N258" i="11"/>
  <c r="K258" i="11"/>
  <c r="I258" i="11"/>
  <c r="N257" i="11"/>
  <c r="K257" i="11"/>
  <c r="I257" i="11"/>
  <c r="N256" i="11"/>
  <c r="K256" i="11"/>
  <c r="I256" i="11"/>
  <c r="N255" i="11"/>
  <c r="K255" i="11"/>
  <c r="I255" i="11"/>
  <c r="N254" i="11"/>
  <c r="K254" i="11"/>
  <c r="I254" i="11"/>
  <c r="N253" i="11"/>
  <c r="K253" i="11"/>
  <c r="I253" i="11"/>
  <c r="N252" i="11"/>
  <c r="K252" i="11"/>
  <c r="I252" i="11"/>
  <c r="N251" i="11"/>
  <c r="K251" i="11"/>
  <c r="I251" i="11"/>
  <c r="N250" i="11"/>
  <c r="K250" i="11"/>
  <c r="I250" i="11"/>
  <c r="N249" i="11"/>
  <c r="K249" i="11"/>
  <c r="I249" i="11"/>
  <c r="N248" i="11"/>
  <c r="K248" i="11"/>
  <c r="I248" i="11"/>
  <c r="N247" i="11"/>
  <c r="K247" i="11"/>
  <c r="I247" i="11"/>
  <c r="N246" i="11"/>
  <c r="K246" i="11"/>
  <c r="I246" i="11"/>
  <c r="N245" i="11"/>
  <c r="K245" i="11"/>
  <c r="I245" i="11"/>
  <c r="N244" i="11"/>
  <c r="K244" i="11"/>
  <c r="I244" i="11"/>
  <c r="N243" i="11"/>
  <c r="K243" i="11"/>
  <c r="I243" i="11"/>
  <c r="N242" i="11"/>
  <c r="K242" i="11"/>
  <c r="I242" i="11"/>
  <c r="N241" i="11"/>
  <c r="K241" i="11"/>
  <c r="I241" i="11"/>
  <c r="N240" i="11"/>
  <c r="K240" i="11"/>
  <c r="I240" i="11"/>
  <c r="N239" i="11"/>
  <c r="K239" i="11"/>
  <c r="I239" i="11"/>
  <c r="N238" i="11"/>
  <c r="K238" i="11"/>
  <c r="I238" i="11"/>
  <c r="N237" i="11"/>
  <c r="K237" i="11"/>
  <c r="I237" i="11"/>
  <c r="N236" i="11"/>
  <c r="K236" i="11"/>
  <c r="I236" i="11"/>
  <c r="N235" i="11"/>
  <c r="K235" i="11"/>
  <c r="I235" i="11"/>
  <c r="N234" i="11"/>
  <c r="K234" i="11"/>
  <c r="I234" i="11"/>
  <c r="N233" i="11"/>
  <c r="K233" i="11"/>
  <c r="I233" i="11"/>
  <c r="N232" i="11"/>
  <c r="K232" i="11"/>
  <c r="I232" i="11"/>
  <c r="N231" i="11"/>
  <c r="K231" i="11"/>
  <c r="I231" i="11"/>
  <c r="N230" i="11"/>
  <c r="K230" i="11"/>
  <c r="I230" i="11"/>
  <c r="N229" i="11"/>
  <c r="K229" i="11"/>
  <c r="I229" i="11"/>
  <c r="N228" i="11"/>
  <c r="K228" i="11"/>
  <c r="I228" i="11"/>
  <c r="N227" i="11"/>
  <c r="K227" i="11"/>
  <c r="I227" i="11"/>
  <c r="N226" i="11"/>
  <c r="K226" i="11"/>
  <c r="I226" i="11"/>
  <c r="N225" i="11"/>
  <c r="K225" i="11"/>
  <c r="I225" i="11"/>
  <c r="N224" i="11"/>
  <c r="K224" i="11"/>
  <c r="I224" i="11"/>
  <c r="N223" i="11"/>
  <c r="K223" i="11"/>
  <c r="I223" i="11"/>
  <c r="N222" i="11"/>
  <c r="K222" i="11"/>
  <c r="I222" i="11"/>
  <c r="N221" i="11"/>
  <c r="K221" i="11"/>
  <c r="I221" i="11"/>
  <c r="N220" i="11"/>
  <c r="K220" i="11"/>
  <c r="I220" i="11"/>
  <c r="N219" i="11"/>
  <c r="K219" i="11"/>
  <c r="I219" i="11"/>
  <c r="N218" i="11"/>
  <c r="K218" i="11"/>
  <c r="I218" i="11"/>
  <c r="N217" i="11"/>
  <c r="K217" i="11"/>
  <c r="I217" i="11"/>
  <c r="N216" i="11"/>
  <c r="K216" i="11"/>
  <c r="I216" i="11"/>
  <c r="N215" i="11"/>
  <c r="K215" i="11"/>
  <c r="I215" i="11"/>
  <c r="N214" i="11"/>
  <c r="K214" i="11"/>
  <c r="I214" i="11"/>
  <c r="N213" i="11"/>
  <c r="K213" i="11"/>
  <c r="I213" i="11"/>
  <c r="N212" i="11"/>
  <c r="K212" i="11"/>
  <c r="I212" i="11"/>
  <c r="N211" i="11"/>
  <c r="K211" i="11"/>
  <c r="I211" i="11"/>
  <c r="N210" i="11"/>
  <c r="K210" i="11"/>
  <c r="I210" i="11"/>
  <c r="N209" i="11"/>
  <c r="K209" i="11"/>
  <c r="I209" i="11"/>
  <c r="N208" i="11"/>
  <c r="K208" i="11"/>
  <c r="I208" i="11"/>
  <c r="N207" i="11"/>
  <c r="K207" i="11"/>
  <c r="I207" i="11"/>
  <c r="N206" i="11"/>
  <c r="K206" i="11"/>
  <c r="I206" i="11"/>
  <c r="N205" i="11"/>
  <c r="K205" i="11"/>
  <c r="I205" i="11"/>
  <c r="N204" i="11"/>
  <c r="K204" i="11"/>
  <c r="I204" i="11"/>
  <c r="N203" i="11"/>
  <c r="K203" i="11"/>
  <c r="I203" i="11"/>
  <c r="N202" i="11"/>
  <c r="K202" i="11"/>
  <c r="I202" i="11"/>
  <c r="N201" i="11"/>
  <c r="K201" i="11"/>
  <c r="I201" i="11"/>
  <c r="N200" i="11"/>
  <c r="K200" i="11"/>
  <c r="I200" i="11"/>
  <c r="N199" i="11"/>
  <c r="K199" i="11"/>
  <c r="I199" i="11"/>
  <c r="N198" i="11"/>
  <c r="K198" i="11"/>
  <c r="I198" i="11"/>
  <c r="N197" i="11"/>
  <c r="K197" i="11"/>
  <c r="I197" i="11"/>
  <c r="N196" i="11"/>
  <c r="K196" i="11"/>
  <c r="I196" i="11"/>
  <c r="N195" i="11"/>
  <c r="K195" i="11"/>
  <c r="I195" i="11"/>
  <c r="N194" i="11"/>
  <c r="K194" i="11"/>
  <c r="I194" i="11"/>
  <c r="N193" i="11"/>
  <c r="K193" i="11"/>
  <c r="I193" i="11"/>
  <c r="N192" i="11"/>
  <c r="K192" i="11"/>
  <c r="I192" i="11"/>
  <c r="N191" i="11"/>
  <c r="K191" i="11"/>
  <c r="I191" i="11"/>
  <c r="N190" i="11"/>
  <c r="K190" i="11"/>
  <c r="I190" i="11"/>
  <c r="N189" i="11"/>
  <c r="K189" i="11"/>
  <c r="I189" i="11"/>
  <c r="N188" i="11"/>
  <c r="K188" i="11"/>
  <c r="I188" i="11"/>
  <c r="N187" i="11"/>
  <c r="K187" i="11"/>
  <c r="I187" i="11"/>
  <c r="N186" i="11"/>
  <c r="K186" i="11"/>
  <c r="I186" i="11"/>
  <c r="N185" i="11"/>
  <c r="K185" i="11"/>
  <c r="I185" i="11"/>
  <c r="N184" i="11"/>
  <c r="K184" i="11"/>
  <c r="I184" i="11"/>
  <c r="N183" i="11"/>
  <c r="K183" i="11"/>
  <c r="I183" i="11"/>
  <c r="N182" i="11"/>
  <c r="K182" i="11"/>
  <c r="I182" i="11"/>
  <c r="N181" i="11"/>
  <c r="K181" i="11"/>
  <c r="I181" i="11"/>
  <c r="N180" i="11"/>
  <c r="K180" i="11"/>
  <c r="I180" i="11"/>
  <c r="N179" i="11"/>
  <c r="K179" i="11"/>
  <c r="I179" i="11"/>
  <c r="N178" i="11"/>
  <c r="K178" i="11"/>
  <c r="I178" i="11"/>
  <c r="N177" i="11"/>
  <c r="K177" i="11"/>
  <c r="I177" i="11"/>
  <c r="N176" i="11"/>
  <c r="K176" i="11"/>
  <c r="I176" i="11"/>
  <c r="N175" i="11"/>
  <c r="K175" i="11"/>
  <c r="I175" i="11"/>
  <c r="N174" i="11"/>
  <c r="K174" i="11"/>
  <c r="I174" i="11"/>
  <c r="N173" i="11"/>
  <c r="K173" i="11"/>
  <c r="I173" i="11"/>
  <c r="N172" i="11"/>
  <c r="K172" i="11"/>
  <c r="I172" i="11"/>
  <c r="N171" i="11"/>
  <c r="K171" i="11"/>
  <c r="I171" i="11"/>
  <c r="N170" i="11"/>
  <c r="K170" i="11"/>
  <c r="I170" i="11"/>
  <c r="N169" i="11"/>
  <c r="K169" i="11"/>
  <c r="I169" i="11"/>
  <c r="N168" i="11"/>
  <c r="K168" i="11"/>
  <c r="I168" i="11"/>
  <c r="N167" i="11"/>
  <c r="K167" i="11"/>
  <c r="I167" i="11"/>
  <c r="N166" i="11"/>
  <c r="K166" i="11"/>
  <c r="I166" i="11"/>
  <c r="N165" i="11"/>
  <c r="K165" i="11"/>
  <c r="I165" i="11"/>
  <c r="N164" i="11"/>
  <c r="K164" i="11"/>
  <c r="I164" i="11"/>
  <c r="N163" i="11"/>
  <c r="K163" i="11"/>
  <c r="I163" i="11"/>
  <c r="N162" i="11"/>
  <c r="K162" i="11"/>
  <c r="I162" i="11"/>
  <c r="N161" i="11"/>
  <c r="K161" i="11"/>
  <c r="I161" i="11"/>
  <c r="N160" i="11"/>
  <c r="K160" i="11"/>
  <c r="I160" i="11"/>
  <c r="N159" i="11"/>
  <c r="K159" i="11"/>
  <c r="I159" i="11"/>
  <c r="N158" i="11"/>
  <c r="K158" i="11"/>
  <c r="I158" i="11"/>
  <c r="N157" i="11"/>
  <c r="K157" i="11"/>
  <c r="I157" i="11"/>
  <c r="N156" i="11"/>
  <c r="K156" i="11"/>
  <c r="I156" i="11"/>
  <c r="N155" i="11"/>
  <c r="K155" i="11"/>
  <c r="I155" i="11"/>
  <c r="N154" i="11"/>
  <c r="K154" i="11"/>
  <c r="I154" i="11"/>
  <c r="N153" i="11"/>
  <c r="K153" i="11"/>
  <c r="I153" i="11"/>
  <c r="N152" i="11"/>
  <c r="K152" i="11"/>
  <c r="I152" i="11"/>
  <c r="N151" i="11"/>
  <c r="K151" i="11"/>
  <c r="I151" i="11"/>
  <c r="N150" i="11"/>
  <c r="K150" i="11"/>
  <c r="I150" i="11"/>
  <c r="N149" i="11"/>
  <c r="K149" i="11"/>
  <c r="I149" i="11"/>
  <c r="N148" i="11"/>
  <c r="K148" i="11"/>
  <c r="I148" i="11"/>
  <c r="N147" i="11"/>
  <c r="K147" i="11"/>
  <c r="I147" i="11"/>
  <c r="N146" i="11"/>
  <c r="K146" i="11"/>
  <c r="I146" i="11"/>
  <c r="N145" i="11"/>
  <c r="K145" i="11"/>
  <c r="I145" i="11"/>
  <c r="N144" i="11"/>
  <c r="K144" i="11"/>
  <c r="I144" i="11"/>
  <c r="N143" i="11"/>
  <c r="K143" i="11"/>
  <c r="I143" i="11"/>
  <c r="N142" i="11"/>
  <c r="K142" i="11"/>
  <c r="I142" i="11"/>
  <c r="N141" i="11"/>
  <c r="K141" i="11"/>
  <c r="I141" i="11"/>
  <c r="N140" i="11"/>
  <c r="K140" i="11"/>
  <c r="I140" i="11"/>
  <c r="N139" i="11"/>
  <c r="K139" i="11"/>
  <c r="I139" i="11"/>
  <c r="N138" i="11"/>
  <c r="K138" i="11"/>
  <c r="I138" i="11"/>
  <c r="N137" i="11"/>
  <c r="K137" i="11"/>
  <c r="I137" i="11"/>
  <c r="N136" i="11"/>
  <c r="K136" i="11"/>
  <c r="I136" i="11"/>
  <c r="N135" i="11"/>
  <c r="K135" i="11"/>
  <c r="I135" i="11"/>
  <c r="N134" i="11"/>
  <c r="K134" i="11"/>
  <c r="I134" i="11"/>
  <c r="N133" i="11"/>
  <c r="K133" i="11"/>
  <c r="I133" i="11"/>
  <c r="N132" i="11"/>
  <c r="K132" i="11"/>
  <c r="I132" i="11"/>
  <c r="N131" i="11"/>
  <c r="K131" i="11"/>
  <c r="I131" i="11"/>
  <c r="N130" i="11"/>
  <c r="K130" i="11"/>
  <c r="I130" i="11"/>
  <c r="N129" i="11"/>
  <c r="K129" i="11"/>
  <c r="I129" i="11"/>
  <c r="N128" i="11"/>
  <c r="K128" i="11"/>
  <c r="I128" i="11"/>
  <c r="N127" i="11"/>
  <c r="K127" i="11"/>
  <c r="I127" i="11"/>
  <c r="N126" i="11"/>
  <c r="K126" i="11"/>
  <c r="I126" i="11"/>
  <c r="N125" i="11"/>
  <c r="K125" i="11"/>
  <c r="I125" i="11"/>
  <c r="N124" i="11"/>
  <c r="K124" i="11"/>
  <c r="I124" i="11"/>
  <c r="N123" i="11"/>
  <c r="K123" i="11"/>
  <c r="I123" i="11"/>
  <c r="N122" i="11"/>
  <c r="K122" i="11"/>
  <c r="I122" i="11"/>
  <c r="N121" i="11"/>
  <c r="K121" i="11"/>
  <c r="I121" i="11"/>
  <c r="N120" i="11"/>
  <c r="K120" i="11"/>
  <c r="I120" i="11"/>
  <c r="N119" i="11"/>
  <c r="K119" i="11"/>
  <c r="I119" i="11"/>
  <c r="N118" i="11"/>
  <c r="K118" i="11"/>
  <c r="I118" i="11"/>
  <c r="N117" i="11"/>
  <c r="K117" i="11"/>
  <c r="I117" i="11"/>
  <c r="N116" i="11"/>
  <c r="K116" i="11"/>
  <c r="I116" i="11"/>
  <c r="N115" i="11"/>
  <c r="K115" i="11"/>
  <c r="I115" i="11"/>
  <c r="N114" i="11"/>
  <c r="K114" i="11"/>
  <c r="I114" i="11"/>
  <c r="N113" i="11"/>
  <c r="K113" i="11"/>
  <c r="I113" i="11"/>
  <c r="N112" i="11"/>
  <c r="K112" i="11"/>
  <c r="I112" i="11"/>
  <c r="N111" i="11"/>
  <c r="K111" i="11"/>
  <c r="I111" i="11"/>
  <c r="N110" i="11"/>
  <c r="K110" i="11"/>
  <c r="I110" i="11"/>
  <c r="N109" i="11"/>
  <c r="K109" i="11"/>
  <c r="I109" i="11"/>
  <c r="N108" i="11"/>
  <c r="K108" i="11"/>
  <c r="I108" i="11"/>
  <c r="N107" i="11"/>
  <c r="K107" i="11"/>
  <c r="I107" i="11"/>
  <c r="N106" i="11"/>
  <c r="K106" i="11"/>
  <c r="I106" i="11"/>
  <c r="N105" i="11"/>
  <c r="K105" i="11"/>
  <c r="I105" i="11"/>
  <c r="N104" i="11"/>
  <c r="K104" i="11"/>
  <c r="I104" i="11"/>
  <c r="N103" i="11"/>
  <c r="K103" i="11"/>
  <c r="I103" i="11"/>
  <c r="N102" i="11"/>
  <c r="K102" i="11"/>
  <c r="I102" i="11"/>
  <c r="N101" i="11"/>
  <c r="K101" i="11"/>
  <c r="I101" i="11"/>
  <c r="N100" i="11"/>
  <c r="K100" i="11"/>
  <c r="I100" i="11"/>
  <c r="N99" i="11"/>
  <c r="K99" i="11"/>
  <c r="I99" i="11"/>
  <c r="N98" i="11"/>
  <c r="K98" i="11"/>
  <c r="I98" i="11"/>
  <c r="N97" i="11"/>
  <c r="K97" i="11"/>
  <c r="I97" i="11"/>
  <c r="N96" i="11"/>
  <c r="K96" i="11"/>
  <c r="I96" i="11"/>
  <c r="N95" i="11"/>
  <c r="K95" i="11"/>
  <c r="I95" i="11"/>
  <c r="N94" i="11"/>
  <c r="K94" i="11"/>
  <c r="I94" i="11"/>
  <c r="N93" i="11"/>
  <c r="K93" i="11"/>
  <c r="I93" i="11"/>
  <c r="N92" i="11"/>
  <c r="K92" i="11"/>
  <c r="I92" i="11"/>
  <c r="N91" i="11"/>
  <c r="K91" i="11"/>
  <c r="I91" i="11"/>
  <c r="N90" i="11"/>
  <c r="K90" i="11"/>
  <c r="I90" i="11"/>
  <c r="N89" i="11"/>
  <c r="K89" i="11"/>
  <c r="I89" i="11"/>
  <c r="N88" i="11"/>
  <c r="K88" i="11"/>
  <c r="I88" i="11"/>
  <c r="N87" i="11"/>
  <c r="K87" i="11"/>
  <c r="I87" i="11"/>
  <c r="N86" i="11"/>
  <c r="K86" i="11"/>
  <c r="I86" i="11"/>
  <c r="N85" i="11"/>
  <c r="K85" i="11"/>
  <c r="I85" i="11"/>
  <c r="N84" i="11"/>
  <c r="K84" i="11"/>
  <c r="I84" i="11"/>
  <c r="N83" i="11"/>
  <c r="K83" i="11"/>
  <c r="I83" i="11"/>
  <c r="N82" i="11"/>
  <c r="K82" i="11"/>
  <c r="I82" i="11"/>
  <c r="N81" i="11"/>
  <c r="K81" i="11"/>
  <c r="I81" i="11"/>
  <c r="N80" i="11"/>
  <c r="K80" i="11"/>
  <c r="I80" i="11"/>
  <c r="N79" i="11"/>
  <c r="K79" i="11"/>
  <c r="I79" i="11"/>
  <c r="N78" i="11"/>
  <c r="K78" i="11"/>
  <c r="I78" i="11"/>
  <c r="N77" i="11"/>
  <c r="K77" i="11"/>
  <c r="I77" i="11"/>
  <c r="N76" i="11"/>
  <c r="K76" i="11"/>
  <c r="I76" i="11"/>
  <c r="N75" i="11"/>
  <c r="K75" i="11"/>
  <c r="I75" i="11"/>
  <c r="N74" i="11"/>
  <c r="K74" i="11"/>
  <c r="I74" i="11"/>
  <c r="N73" i="11"/>
  <c r="K73" i="11"/>
  <c r="I73" i="11"/>
  <c r="N72" i="11"/>
  <c r="K72" i="11"/>
  <c r="I72" i="11"/>
  <c r="N71" i="11"/>
  <c r="K71" i="11"/>
  <c r="I71" i="11"/>
  <c r="N70" i="11"/>
  <c r="K70" i="11"/>
  <c r="I70" i="11"/>
  <c r="N69" i="11"/>
  <c r="K69" i="11"/>
  <c r="I69" i="11"/>
  <c r="N68" i="11"/>
  <c r="K68" i="11"/>
  <c r="I68" i="11"/>
  <c r="N67" i="11"/>
  <c r="K67" i="11"/>
  <c r="I67" i="11"/>
  <c r="N66" i="11"/>
  <c r="K66" i="11"/>
  <c r="I66" i="11"/>
  <c r="N65" i="11"/>
  <c r="K65" i="11"/>
  <c r="I65" i="11"/>
  <c r="N64" i="11"/>
  <c r="K64" i="11"/>
  <c r="I64" i="11"/>
  <c r="N63" i="11"/>
  <c r="K63" i="11"/>
  <c r="I63" i="11"/>
  <c r="N62" i="11"/>
  <c r="K62" i="11"/>
  <c r="I62" i="11"/>
  <c r="N61" i="11"/>
  <c r="K61" i="11"/>
  <c r="I61" i="11"/>
  <c r="N60" i="11"/>
  <c r="K60" i="11"/>
  <c r="I60" i="11"/>
  <c r="N59" i="11"/>
  <c r="K59" i="11"/>
  <c r="I59" i="11"/>
  <c r="N58" i="11"/>
  <c r="K58" i="11"/>
  <c r="I58" i="11"/>
  <c r="N57" i="11"/>
  <c r="K57" i="11"/>
  <c r="I57" i="11"/>
  <c r="N56" i="11"/>
  <c r="K56" i="11"/>
  <c r="I56" i="11"/>
  <c r="N55" i="11"/>
  <c r="K55" i="11"/>
  <c r="I55" i="11"/>
  <c r="N54" i="11"/>
  <c r="K54" i="11"/>
  <c r="I54" i="11"/>
  <c r="N53" i="11"/>
  <c r="K53" i="11"/>
  <c r="I53" i="11"/>
  <c r="N52" i="11"/>
  <c r="K52" i="11"/>
  <c r="I52" i="11"/>
  <c r="N51" i="11"/>
  <c r="K51" i="11"/>
  <c r="I51" i="11"/>
  <c r="N50" i="11"/>
  <c r="K50" i="11"/>
  <c r="I50" i="11"/>
  <c r="N49" i="11"/>
  <c r="K49" i="11"/>
  <c r="I49" i="11"/>
  <c r="N48" i="11"/>
  <c r="K48" i="11"/>
  <c r="I48" i="11"/>
  <c r="N47" i="11"/>
  <c r="K47" i="11"/>
  <c r="I47" i="11"/>
  <c r="N46" i="11"/>
  <c r="K46" i="11"/>
  <c r="I46" i="11"/>
  <c r="N45" i="11"/>
  <c r="K45" i="11"/>
  <c r="I45" i="11"/>
  <c r="N44" i="11"/>
  <c r="K44" i="11"/>
  <c r="I44" i="11"/>
  <c r="N43" i="11"/>
  <c r="K43" i="11"/>
  <c r="I43" i="11"/>
  <c r="N42" i="11"/>
  <c r="K42" i="11"/>
  <c r="I42" i="11"/>
  <c r="N41" i="11"/>
  <c r="K41" i="11"/>
  <c r="I41" i="11"/>
  <c r="N40" i="11"/>
  <c r="K40" i="11"/>
  <c r="I40" i="11"/>
  <c r="N39" i="11"/>
  <c r="K39" i="11"/>
  <c r="I39" i="11"/>
  <c r="N38" i="11"/>
  <c r="K38" i="11"/>
  <c r="I38" i="11"/>
  <c r="N37" i="11"/>
  <c r="K37" i="11"/>
  <c r="I37" i="11"/>
  <c r="N36" i="11"/>
  <c r="K36" i="11"/>
  <c r="I36" i="11"/>
  <c r="N35" i="11"/>
  <c r="K35" i="11"/>
  <c r="I35" i="11"/>
  <c r="N34" i="11"/>
  <c r="K34" i="11"/>
  <c r="I34" i="11"/>
  <c r="N33" i="11"/>
  <c r="K33" i="11"/>
  <c r="I33" i="11"/>
  <c r="N32" i="11"/>
  <c r="K32" i="11"/>
  <c r="I32" i="11"/>
  <c r="N31" i="11"/>
  <c r="K31" i="11"/>
  <c r="I31" i="11"/>
  <c r="N30" i="11"/>
  <c r="K30" i="11"/>
  <c r="I30" i="11"/>
  <c r="N29" i="11"/>
  <c r="K29" i="11"/>
  <c r="I29" i="11"/>
  <c r="N28" i="11"/>
  <c r="K28" i="11"/>
  <c r="I28" i="11"/>
  <c r="N27" i="11"/>
  <c r="K27" i="11"/>
  <c r="I27" i="11"/>
  <c r="N26" i="11"/>
  <c r="K26" i="11"/>
  <c r="I26" i="11"/>
  <c r="N25" i="11"/>
  <c r="K25" i="11"/>
  <c r="I25" i="11"/>
  <c r="N24" i="11"/>
  <c r="K24" i="11"/>
  <c r="I24" i="11"/>
  <c r="N23" i="11"/>
  <c r="K23" i="11"/>
  <c r="I23" i="11"/>
  <c r="N22" i="11"/>
  <c r="K22" i="11"/>
  <c r="I22" i="11"/>
  <c r="N21" i="11"/>
  <c r="K21" i="11"/>
  <c r="I21" i="11"/>
  <c r="N20" i="11"/>
  <c r="K20" i="11"/>
  <c r="I20" i="11"/>
  <c r="N19" i="11"/>
  <c r="K19" i="11"/>
  <c r="I19" i="11"/>
  <c r="N18" i="11"/>
  <c r="K18" i="11"/>
  <c r="I18" i="11"/>
  <c r="N17" i="11"/>
  <c r="K17" i="11"/>
  <c r="I17" i="11"/>
  <c r="N16" i="11"/>
  <c r="K16" i="11"/>
  <c r="I16" i="11"/>
  <c r="N15" i="11"/>
  <c r="K15" i="11"/>
  <c r="I15" i="11"/>
  <c r="N14" i="11"/>
  <c r="K14" i="11"/>
  <c r="I14" i="11"/>
  <c r="N13" i="11"/>
  <c r="K13" i="11"/>
  <c r="I13" i="11"/>
  <c r="N12" i="11"/>
  <c r="K12" i="11"/>
  <c r="I12" i="11"/>
  <c r="N11" i="11"/>
  <c r="K11" i="11"/>
  <c r="I11" i="11"/>
  <c r="N10" i="11"/>
  <c r="K10" i="11"/>
  <c r="I10" i="11"/>
  <c r="N9" i="11"/>
  <c r="K9" i="11"/>
  <c r="I9" i="11"/>
  <c r="N8" i="11"/>
  <c r="K8" i="11"/>
  <c r="I8" i="11"/>
  <c r="N7" i="11"/>
  <c r="K7" i="11"/>
  <c r="I7" i="11"/>
  <c r="N6" i="11"/>
  <c r="K6" i="11"/>
  <c r="I6" i="11"/>
  <c r="N5" i="11"/>
  <c r="K5" i="11"/>
  <c r="I5" i="11"/>
  <c r="N4" i="11"/>
  <c r="K4" i="11"/>
  <c r="I4" i="11"/>
  <c r="N3" i="11"/>
  <c r="K3" i="11"/>
  <c r="I3" i="11"/>
  <c r="H39" i="1"/>
  <c r="H49" i="1"/>
  <c r="H48" i="1"/>
  <c r="H47" i="1"/>
  <c r="H46" i="1"/>
  <c r="H45" i="1"/>
  <c r="H44" i="1"/>
  <c r="H43" i="1"/>
  <c r="H42" i="1"/>
  <c r="H41" i="1"/>
  <c r="H40" i="1"/>
  <c r="H38" i="1"/>
  <c r="H2" i="1"/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Waraporn Promsurin</author>
  </authors>
  <commentList>
    <comment ref="E3477" authorId="0" shapeId="0" xr:uid="{244DF1AE-58A2-42F2-A048-82EEBDAFD267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สิ้นสุดการเป็น Farmer 16/06/24</t>
        </r>
      </text>
    </comment>
    <comment ref="E3478" authorId="0" shapeId="0" xr:uid="{C81FBBD7-E9EF-4AA7-902A-E9216A4F6587}">
      <text>
        <r>
          <rPr>
            <b/>
            <sz val="9"/>
            <color indexed="81"/>
            <rFont val="Tahoma"/>
            <family val="2"/>
          </rPr>
          <t>Waraporn Promsurin:</t>
        </r>
        <r>
          <rPr>
            <sz val="9"/>
            <color indexed="81"/>
            <rFont val="Tahoma"/>
            <family val="2"/>
          </rPr>
          <t xml:space="preserve">
เริ่มเป็น Broker 17/06/24</t>
        </r>
      </text>
    </comment>
  </commentList>
</comments>
</file>

<file path=xl/sharedStrings.xml><?xml version="1.0" encoding="utf-8"?>
<sst xmlns="http://schemas.openxmlformats.org/spreadsheetml/2006/main" count="46342" uniqueCount="801">
  <si>
    <t>Year</t>
  </si>
  <si>
    <t>Month</t>
  </si>
  <si>
    <t>Plant</t>
  </si>
  <si>
    <t>Est. PPDS cost against TTSA, THB/kg</t>
  </si>
  <si>
    <t>TTSA Price</t>
  </si>
  <si>
    <t>Act. PPDS cost against TTSA, THB/kg</t>
  </si>
  <si>
    <t>Est. PPDS accuracy, %</t>
  </si>
  <si>
    <t>Act. PPDS accuracy,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</si>
  <si>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</si>
  <si>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</si>
  <si>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</si>
  <si>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</si>
  <si>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</si>
  <si>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</si>
  <si>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</si>
  <si>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</si>
  <si>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</si>
  <si>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</si>
  <si>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</si>
  <si>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</si>
  <si>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</t>
  </si>
  <si>
    <t>LE0 PPDS, THB/kg</t>
  </si>
  <si>
    <t>LV PPDS, THB/kg</t>
  </si>
  <si>
    <t>Act. PPDS, THB/kg</t>
  </si>
  <si>
    <t>LE0 Starch content, %</t>
  </si>
  <si>
    <t>LV Starch content, %</t>
  </si>
  <si>
    <t>Act. Starch content, %</t>
  </si>
  <si>
    <t>LE0 Price THB/kg</t>
  </si>
  <si>
    <t>LV Price THB/kg</t>
  </si>
  <si>
    <t>Act. Price THB/kg</t>
  </si>
  <si>
    <t>Kalasin</t>
  </si>
  <si>
    <t>Act. impurity, %</t>
  </si>
  <si>
    <t>Est. Farmer contribution , %</t>
  </si>
  <si>
    <t>Est. impurity, %</t>
  </si>
  <si>
    <t>Roots type</t>
  </si>
  <si>
    <t>Vendor type</t>
  </si>
  <si>
    <t>Vendor</t>
  </si>
  <si>
    <t>District</t>
  </si>
  <si>
    <t>Province</t>
  </si>
  <si>
    <t>Volume, kg.</t>
  </si>
  <si>
    <t>Volume, MT</t>
  </si>
  <si>
    <t>Starch content</t>
  </si>
  <si>
    <t>Weigh starch</t>
  </si>
  <si>
    <t>Price</t>
  </si>
  <si>
    <t>Amount</t>
  </si>
  <si>
    <t>PPDS</t>
  </si>
  <si>
    <t>Regular roots</t>
  </si>
  <si>
    <t>Farmer</t>
  </si>
  <si>
    <t>นางกิ่งแก้ว ธารศรี</t>
  </si>
  <si>
    <t>เมืองกาฬสินธุ์</t>
  </si>
  <si>
    <t>กาฬสินธุ์</t>
  </si>
  <si>
    <t>นางขาวจร คงมูล</t>
  </si>
  <si>
    <t>นางคำปุน ทิวะสิงห์</t>
  </si>
  <si>
    <t>นางคำเพียร ภารประสาท</t>
  </si>
  <si>
    <t>ดอนจาน</t>
  </si>
  <si>
    <t>นางจันทร์เพ็ญ คำหงษา</t>
  </si>
  <si>
    <t>นางจันทร์เพ็ญ เฉื่อยกลาง</t>
  </si>
  <si>
    <t>สมเด็จ</t>
  </si>
  <si>
    <t>นางจันทร์เพ็ญ ผดุงจันทร์</t>
  </si>
  <si>
    <t>นางดาวรรณ พรรณขาม</t>
  </si>
  <si>
    <t>สหัสขันธ์</t>
  </si>
  <si>
    <t>นางติ๋ม พลเดชา</t>
  </si>
  <si>
    <t>นางเต็ม สังฆมณี</t>
  </si>
  <si>
    <t>นางทองสิน ภูผาสุข</t>
  </si>
  <si>
    <t>หนองกุงศรี</t>
  </si>
  <si>
    <t>นางทองสุข คงถิ่น</t>
  </si>
  <si>
    <t>นางธมลวรรณ แดงบุสดี</t>
  </si>
  <si>
    <t>นางนวลมณี มุศิริ</t>
  </si>
  <si>
    <t>นางนิสรรณ์ ทรัพย์กุล</t>
  </si>
  <si>
    <t>นางบรรทม แจ่มสุวรรณ</t>
  </si>
  <si>
    <t>นางบัวไล พิกุลหอม</t>
  </si>
  <si>
    <t>นางบุญมี มาตรมงคล</t>
  </si>
  <si>
    <t>นางปภัสรา คำศรียา</t>
  </si>
  <si>
    <t>นางประครอง คำมะลิ</t>
  </si>
  <si>
    <t>นางประมวล ถินวิลัย</t>
  </si>
  <si>
    <t>นางพิกุล แดงบุสดี</t>
  </si>
  <si>
    <t>นางพิมพา ทุมพล</t>
  </si>
  <si>
    <t>นางพิศมัย พันธ์พิพิธ</t>
  </si>
  <si>
    <t>นางภาภรกุล พลเยี่ยม</t>
  </si>
  <si>
    <t>นางมลิวัลย์ นาทองลาย</t>
  </si>
  <si>
    <t>นางมะลิวรรร์ กุลแก้ว</t>
  </si>
  <si>
    <t>นามน</t>
  </si>
  <si>
    <t>นางยุพเยาว์ พรมราช</t>
  </si>
  <si>
    <t>นางรัชนิกรณ์ กระธรรมมะ</t>
  </si>
  <si>
    <t>นางลัดดาวัลย์ ศรีแพงมน</t>
  </si>
  <si>
    <t>นางลำดวน สงพัด</t>
  </si>
  <si>
    <t>นางวรรณดี ภารภิรมย์</t>
  </si>
  <si>
    <t>นางวราพร ปุระชะตา</t>
  </si>
  <si>
    <t>นางสมบัติ พันธุ์ศิริ</t>
  </si>
  <si>
    <t>นางสมาน ตรีกามน</t>
  </si>
  <si>
    <t>นางสมุด พันจรุง</t>
  </si>
  <si>
    <t>นางสายยนต์ สอนบุญตา</t>
  </si>
  <si>
    <t>นางสาว ภัทรนันท์ จันทะคัด</t>
  </si>
  <si>
    <t>นางสาวกาญจนา ภักดีสมัย</t>
  </si>
  <si>
    <t>นางสาวณัฐชนันท์ ศรีลาพัฒน์</t>
  </si>
  <si>
    <t>นางสาวณิชา แสนนาม</t>
  </si>
  <si>
    <t>นางสาวดลกมล ถินประสาท</t>
  </si>
  <si>
    <t>นางสาวดวงฤดี ภูละอิ่ม</t>
  </si>
  <si>
    <t>นางสาวถวิล การหาญ</t>
  </si>
  <si>
    <t>นางสาวทองไสย คำทูลศรี</t>
  </si>
  <si>
    <t>นางสาวทิพย์ประภาพร ทุมพล</t>
  </si>
  <si>
    <t>นางสาวทิรัญญาพร ภูถมทอง</t>
  </si>
  <si>
    <t>Broker</t>
  </si>
  <si>
    <t>นางสาวธารทิพย์ พลสิทธิ์</t>
  </si>
  <si>
    <t>เมืองขอนแก่น</t>
  </si>
  <si>
    <t>ขอนแก่น</t>
  </si>
  <si>
    <t>นางสาวธิดารัตน์ ดาบลาอำ</t>
  </si>
  <si>
    <t>กุดบาก</t>
  </si>
  <si>
    <t>สกลนคร</t>
  </si>
  <si>
    <t>นางสาวธิติกาญจน์ ผลจรัส</t>
  </si>
  <si>
    <t>นางสาวนงค์นารถ พิมพะทิตย์</t>
  </si>
  <si>
    <t>นางสาวนฤมล กองคำ</t>
  </si>
  <si>
    <t>นางสาวบุญรัตน์ ภูเพชร</t>
  </si>
  <si>
    <t>นางสาวปณิดา แน่นอุดร</t>
  </si>
  <si>
    <t>ภูพาน</t>
  </si>
  <si>
    <t>นางสาวปรัก ภูเพชร</t>
  </si>
  <si>
    <t>นางสาวพรพันธุ์ สาราแสง</t>
  </si>
  <si>
    <t>นางสาวพัชรียา นิลม้าย</t>
  </si>
  <si>
    <t>ดงหลวง</t>
  </si>
  <si>
    <t>มุกดาหาร</t>
  </si>
  <si>
    <t>นางสาวพิมพ์พิไล พันสุวรรณ</t>
  </si>
  <si>
    <t>นางสาวพิสวาส โยธาคึก</t>
  </si>
  <si>
    <t>นางสาวเพชรรัดดา จำปาเหลือง</t>
  </si>
  <si>
    <t>นางสาวไพวัลย์ การเลิศ</t>
  </si>
  <si>
    <t>นางสาวมณีจันทร์ กุลสีโล</t>
  </si>
  <si>
    <t>นางสาวมลิวรรณ์ จำปาลา</t>
  </si>
  <si>
    <t>นางสาวรัชนี ภู่วิจิตร</t>
  </si>
  <si>
    <t>วังสามหมอ</t>
  </si>
  <si>
    <t>อุดรธานี</t>
  </si>
  <si>
    <t>นางสาววงเดือน นาสอ้าน</t>
  </si>
  <si>
    <t>นางสาววันวิสา กระธรรมะ</t>
  </si>
  <si>
    <t>นางสาวศิรินันท์ ภูนาเชียง</t>
  </si>
  <si>
    <t>นางสาวสมควร ถิ่นสำอางค์</t>
  </si>
  <si>
    <t>นางสาวสรินรานีย์ ศรีโยธี</t>
  </si>
  <si>
    <t>คำม่วง</t>
  </si>
  <si>
    <t>นางสาวสิริพร วิสารพันธ์</t>
  </si>
  <si>
    <t>นางสาวสุวรรณา อัตรา</t>
  </si>
  <si>
    <t>นางสาวอรุณ พันธุ์ภักดี</t>
  </si>
  <si>
    <t>นางสาวอำพร ทรัพย์นาค</t>
  </si>
  <si>
    <t>นางสุพรรณ การฟุ้ง</t>
  </si>
  <si>
    <t>นางสุรภีภรณ์ เรณู</t>
  </si>
  <si>
    <t>นางหนูจี อนุศาสตรชน</t>
  </si>
  <si>
    <t>นางอรพรรณ ซื่อสัตย์</t>
  </si>
  <si>
    <t>นางอรุณรักษ์ มูลอินทร์</t>
  </si>
  <si>
    <t>นางอ่อนจันทร์ สำราญสม</t>
  </si>
  <si>
    <t>นางอุดม ขันธุแสง</t>
  </si>
  <si>
    <t>นายกฤษดา อุ่นทะยา</t>
  </si>
  <si>
    <t>นายกิหลัน ไชยสา</t>
  </si>
  <si>
    <t>นายคมกฤษ เรียบรันดร</t>
  </si>
  <si>
    <t>นายคำกรุง สุมา</t>
  </si>
  <si>
    <t>นายคำใบ เบ้าจังหาร</t>
  </si>
  <si>
    <t>นายคำมูล ภูขำ</t>
  </si>
  <si>
    <t>นายคำใหม่ อิ่มประสงค์</t>
  </si>
  <si>
    <t>นายจำนงค์ บุญเรือน</t>
  </si>
  <si>
    <t>นายจิตรกร บุญบุตร</t>
  </si>
  <si>
    <t>นายเจษฏาภรณ์ จุนัน</t>
  </si>
  <si>
    <t>นายฉายัญ แสนนาม</t>
  </si>
  <si>
    <t>นายชิตษณุพล แฟสันเทียะ</t>
  </si>
  <si>
    <t>นายชูชาติ ดอนสมจิต</t>
  </si>
  <si>
    <t>นายณัฐพงษ์ สุขล้ำเลิศ</t>
  </si>
  <si>
    <t>นายดนุพล หรดี</t>
  </si>
  <si>
    <t>นายดุสิต อัฐนาค</t>
  </si>
  <si>
    <t>นายตะวัน พันธุ์เสถียร</t>
  </si>
  <si>
    <t>นายถวิล แก้วบุรมย์</t>
  </si>
  <si>
    <t>นายทรงศักดิ์ ไชยเกรินทร์</t>
  </si>
  <si>
    <t>นายทรัพย์ เฉื่อยกลาง</t>
  </si>
  <si>
    <t>นายทวี ดลปัดชา</t>
  </si>
  <si>
    <t>นายทวี ปะริวันตา</t>
  </si>
  <si>
    <t>นายทวีป ภูแดนไกร</t>
  </si>
  <si>
    <t>นายทอง ทองคำแสง</t>
  </si>
  <si>
    <t>นายทองคำ ภูขำ</t>
  </si>
  <si>
    <t>นายทองจันทร์ คำพระมัย</t>
  </si>
  <si>
    <t>นายทองจันทร์ เจริญศิลป์</t>
  </si>
  <si>
    <t>นายทองจันทร์ ศรีค้อ</t>
  </si>
  <si>
    <t>นายทองม้วน อันลูกท้าว</t>
  </si>
  <si>
    <t>นายทองร้อย ศรีคำมูล</t>
  </si>
  <si>
    <t>นายเทพเทวี สุริยะ</t>
  </si>
  <si>
    <t>นายไทยพิชิต อาริสาโพธิ์</t>
  </si>
  <si>
    <t>นายธงชัย ฉายจิตร</t>
  </si>
  <si>
    <t>นายธนพล ทาบรรหาร</t>
  </si>
  <si>
    <t>นายนพดล รัตนพันธุ์</t>
  </si>
  <si>
    <t>นายนิคม เฉื่อยกลาง</t>
  </si>
  <si>
    <t>นายนิพนธ์ การไสว</t>
  </si>
  <si>
    <t>นายนิรันดร์ คำภิรมย์</t>
  </si>
  <si>
    <t>นายบัญญัติ ผาริผล</t>
  </si>
  <si>
    <t>นายบัวทอง ขินานา</t>
  </si>
  <si>
    <t>นายบุญจันทร์ ภูยอดนิล</t>
  </si>
  <si>
    <t>นายบุญเจียม โพธิสาลาแสง</t>
  </si>
  <si>
    <t>นายบุญเติม พรหมมา</t>
  </si>
  <si>
    <t>ไชยวาน</t>
  </si>
  <si>
    <t>นายบุญทวี วีระทูร</t>
  </si>
  <si>
    <t>นายบุญทัน แน่นอุดร</t>
  </si>
  <si>
    <t>นายบุญทัน ภูขำ</t>
  </si>
  <si>
    <t>นายบุญภักดิ์ ศรีบุตร</t>
  </si>
  <si>
    <t>นายบุญล้วน คำควร</t>
  </si>
  <si>
    <t>นายบุญเลิศ แสนสุข</t>
  </si>
  <si>
    <t>นายบุญสม ไผตะขบ</t>
  </si>
  <si>
    <t>นายประกาย ศรีษะ</t>
  </si>
  <si>
    <t>นายประสิทธิ์ พันธ์สุวรรณ</t>
  </si>
  <si>
    <t>นายประสิทธิ์ รัตนไทย</t>
  </si>
  <si>
    <t>นายปัญญา คำชูราช</t>
  </si>
  <si>
    <t>นายพงษ์ศักดิ์ เหล่าคา</t>
  </si>
  <si>
    <t>นายพล คำสมหวัง</t>
  </si>
  <si>
    <t>นายพสุธา หาญไชย</t>
  </si>
  <si>
    <t>นายพันโทมังกร พันประดับ</t>
  </si>
  <si>
    <t>นายพิทักษ์พงศ์ จิตเย็น</t>
  </si>
  <si>
    <t>นายพิมพา ชมจุมจัง</t>
  </si>
  <si>
    <t>นายพีระพล จันทร์เพ็ญ</t>
  </si>
  <si>
    <t>นายเพชร ศรีบุรัมย์</t>
  </si>
  <si>
    <t>นายไพฑูรย์ สุขศิริ</t>
  </si>
  <si>
    <t>นายไพรวรรณ เศรษฐานาม</t>
  </si>
  <si>
    <t>นายไพศาล สารพัฒน์</t>
  </si>
  <si>
    <t>นายแฟน โยธาคึก</t>
  </si>
  <si>
    <t>นายไมตรี จันทร์สุวรรณ์</t>
  </si>
  <si>
    <t>นายยุทธจักร ภูสมตา</t>
  </si>
  <si>
    <t>นายเรืองฤทธิ์ วงศ์จันทา</t>
  </si>
  <si>
    <t>นายวรรลพ มุลตรีบุตร</t>
  </si>
  <si>
    <t>นายวัชรพล พันธุสุวรรณ</t>
  </si>
  <si>
    <t>นายวิจิตร หรดี</t>
  </si>
  <si>
    <t>นายวิทยา สบาย</t>
  </si>
  <si>
    <t>นายวินัย สาธุพันธุ์</t>
  </si>
  <si>
    <t>นายวิระพงษ์ ภูครองนาค</t>
  </si>
  <si>
    <t>นายวิรัช ศรีจำปา</t>
  </si>
  <si>
    <t>กุฉินารายณ์</t>
  </si>
  <si>
    <t>นายศรชัย ภิรมย์ขวัญ</t>
  </si>
  <si>
    <t>นายศราวุฒิ บุตรพรม</t>
  </si>
  <si>
    <t>นายศักดิ์ ภูตองโขบ</t>
  </si>
  <si>
    <t>นายสถาพร บังขุนทศ</t>
  </si>
  <si>
    <t>นายสมชาย ด้วงแจ่ม</t>
  </si>
  <si>
    <t>นายสมชาย ทองคำแสง</t>
  </si>
  <si>
    <t>นายสมชาย ภักดี</t>
  </si>
  <si>
    <t>นายสมพร ศรีบุรัมย์</t>
  </si>
  <si>
    <t>นายสมเพชร เขระภูมิ</t>
  </si>
  <si>
    <t>นายสมัย เศษบุญ</t>
  </si>
  <si>
    <t>นายสมาน จันทะดวง</t>
  </si>
  <si>
    <t>นายสมาน จันมะณี</t>
  </si>
  <si>
    <t>นายสำรวย พันทอง</t>
  </si>
  <si>
    <t>นายสิงหา สาศรีเมือง</t>
  </si>
  <si>
    <t>สามชัย</t>
  </si>
  <si>
    <t>นายสินชัย นิยมธรรม</t>
  </si>
  <si>
    <t>ยางตลาด</t>
  </si>
  <si>
    <t>นายสุทิน เชตุราช</t>
  </si>
  <si>
    <t>นายสุปัน สีทองนาค</t>
  </si>
  <si>
    <t>นายสุริยา เสริฐวาสนา</t>
  </si>
  <si>
    <t>นายหนูนา เกลือสีโท</t>
  </si>
  <si>
    <t>นายหัสดี เลียงโอฐ</t>
  </si>
  <si>
    <t>นายเหมือน นาสอ้าน</t>
  </si>
  <si>
    <t>นายอดิพงษ์ ศรีสองเมือง</t>
  </si>
  <si>
    <t>นายอนันต์ ภูสีน้ำ</t>
  </si>
  <si>
    <t>นายอมร ชาวดง</t>
  </si>
  <si>
    <t>นายอรรถพล แน่นอุดร</t>
  </si>
  <si>
    <t>นายอ่อนจันทร์ น้อยชื่น</t>
  </si>
  <si>
    <t>นายอัศวิน สว่างทรวง</t>
  </si>
  <si>
    <t>นายอำคา ระวิชัย</t>
  </si>
  <si>
    <t>นายอุดร ศรีจรัญ</t>
  </si>
  <si>
    <t>นายเอกบุรุษ ภูละมุล</t>
  </si>
  <si>
    <t>นายโอภาส ตรีกามน</t>
  </si>
  <si>
    <t>วิสาหกิจชุมชนกลุ่มผู้ปลูกมันสำปะหลังตำบ (Farmer)</t>
  </si>
  <si>
    <t>สหกรณ์การเกษตรดงพยุง จำกัด</t>
  </si>
  <si>
    <t>นางกรรนิกา คำสวัสดิ์</t>
  </si>
  <si>
    <t>นางกัญญารัตน์ คำหงษา</t>
  </si>
  <si>
    <t>นางทองใบ ชนะชัยสิงห์</t>
  </si>
  <si>
    <t>นางทองสุข เรืองนุช</t>
  </si>
  <si>
    <t>นางนันที วรรณจักร</t>
  </si>
  <si>
    <t>นางนีลุบล คำหงศา</t>
  </si>
  <si>
    <t>นางพิศมัย คำยุธา</t>
  </si>
  <si>
    <t>นางพิศมัย แจ่มศักดิ์</t>
  </si>
  <si>
    <t>นางมุกดา พันจรุง</t>
  </si>
  <si>
    <t>นางยุพาวรรณ ตันสกุล</t>
  </si>
  <si>
    <t>นางไย จันทมุด</t>
  </si>
  <si>
    <t>นางวรรณวิภา การละออ</t>
  </si>
  <si>
    <t>นางศศิธร ไพโสภา</t>
  </si>
  <si>
    <t>นางสาคร มุธิตา</t>
  </si>
  <si>
    <t>นางสายฝน สงพัด</t>
  </si>
  <si>
    <t>นางสาวคำผิว ชัยวรรณา</t>
  </si>
  <si>
    <t>นางสาวจันทิมา วัยเจริญ</t>
  </si>
  <si>
    <t>นางสาวณัฐนรี่ สุราฤทธิ์</t>
  </si>
  <si>
    <t>นางสาวนภาพร สำราญจักร์</t>
  </si>
  <si>
    <t>นางสาวบุษบา นาไชยรัตน์</t>
  </si>
  <si>
    <t>นางสาววิลัย นาบุญธรรม</t>
  </si>
  <si>
    <t>นางสาวสินใจ คงชู</t>
  </si>
  <si>
    <t>ห้วยผึ้ง</t>
  </si>
  <si>
    <t>นางสาวสุริฉาย มุงคุณ</t>
  </si>
  <si>
    <t>นางสาวอรพรรณ จงประเสริฐ</t>
  </si>
  <si>
    <t>นางสาวอริศรา ศรีเทา</t>
  </si>
  <si>
    <t>นางสาวอุดมรัตน์ ดอนสินเพิ่ม</t>
  </si>
  <si>
    <t>นางสาวอุตสา ไกรวงษ์</t>
  </si>
  <si>
    <t>นางสำเนียง ศรีอากาศ</t>
  </si>
  <si>
    <t>นางสุพรรณี แจ่มสุวรรณ</t>
  </si>
  <si>
    <t>นางอัมลา สาศรีเมือง</t>
  </si>
  <si>
    <t>นายกลม คำภูมิวัน</t>
  </si>
  <si>
    <t>นายกิติพงศ์ คำมะลิ</t>
  </si>
  <si>
    <t>นายคูณเมือง ปรีพัฒน์</t>
  </si>
  <si>
    <t>นายฉลอง ปรีสมบัติ</t>
  </si>
  <si>
    <t>นายเฉลย ศรีรังษ์</t>
  </si>
  <si>
    <t>นายชัชชัย สนทาธร</t>
  </si>
  <si>
    <t>นายชาญชัย ภูมิชาญ</t>
  </si>
  <si>
    <t>นายถาวร พันประสาท</t>
  </si>
  <si>
    <t>นายธภัทร เข็มวงศ์ทอง</t>
  </si>
  <si>
    <t>นายนิรันดร์ คุณพระรักษ์</t>
  </si>
  <si>
    <t>นายนิรันดร์ พะละ</t>
  </si>
  <si>
    <t>นายบรรจง บุญบุตร</t>
  </si>
  <si>
    <t>นายบุญมี จิตรเจือ</t>
  </si>
  <si>
    <t>นายบุญล้น บริบูรณ์</t>
  </si>
  <si>
    <t>นายบุญล้อม สุภอุดร</t>
  </si>
  <si>
    <t>นายประดิษฐ์ ศรีโสภา</t>
  </si>
  <si>
    <t>นายประยุทธ ปรีพัฒน์</t>
  </si>
  <si>
    <t>นายประยูร ไพรัช</t>
  </si>
  <si>
    <t>นายประสิทธิ์ เทพธานี</t>
  </si>
  <si>
    <t>นายพงศกร มังสุไร</t>
  </si>
  <si>
    <t>นายพงศธร เขจรภักดิ์</t>
  </si>
  <si>
    <t>นายพร อิ่มพูล</t>
  </si>
  <si>
    <t>นายไพทูรย์ เรียนทิพย์</t>
  </si>
  <si>
    <t>นายมานะ เศรษฐานาม</t>
  </si>
  <si>
    <t>นายวัชระ จำเริญควร</t>
  </si>
  <si>
    <t>นายวีรชาติ พันภู</t>
  </si>
  <si>
    <t>นายศุภกิจ หาญไชย</t>
  </si>
  <si>
    <t>นายสนั่น เหมกุล</t>
  </si>
  <si>
    <t>นายสมหมาย มติยะภักดิ์</t>
  </si>
  <si>
    <t>นายสุกิจพงษ์ บันนามน</t>
  </si>
  <si>
    <t>นายสุดใจ ภูกา</t>
  </si>
  <si>
    <t>นายสุปัน ภูทองพันธ์</t>
  </si>
  <si>
    <t>นายสุวิทย์ บุดสาวิเศษ</t>
  </si>
  <si>
    <t>นายหงษ์แก้ว กมลชาติ</t>
  </si>
  <si>
    <t>นายหน่อคำ สีแพงมน</t>
  </si>
  <si>
    <t>นายอนุชา นาสาโร</t>
  </si>
  <si>
    <t>นายอุดร อันชัยศรี</t>
  </si>
  <si>
    <t>นายเอกลักษณ์ พุดพารี</t>
  </si>
  <si>
    <t xml:space="preserve">นาง คำจันทร์ ดลปัดชา </t>
  </si>
  <si>
    <t>นางถวิล จุทาการ</t>
  </si>
  <si>
    <t>นางทองใบ พรมหนองอ้อ</t>
  </si>
  <si>
    <t>น้ำพอง</t>
  </si>
  <si>
    <t>นางทัศนีย์ เกื้ออนัน</t>
  </si>
  <si>
    <t>นางนวลจันทร์ เนตรเสนา</t>
  </si>
  <si>
    <t>นางปราณี บุญละคร</t>
  </si>
  <si>
    <t>นางพรทิพย์ เวียงอินทร์</t>
  </si>
  <si>
    <t>นางพิศมัย ภูดี</t>
  </si>
  <si>
    <t>นางรจนา ฟังก์</t>
  </si>
  <si>
    <t>เขาสวนกวาง</t>
  </si>
  <si>
    <t>นางสาวจิราภรณ์ คงสมภักตร์</t>
  </si>
  <si>
    <t>โพธิ์ชัย</t>
  </si>
  <si>
    <t>ร้อยเอ็ด</t>
  </si>
  <si>
    <t>นางสาวนิยม ดอนโอภาส</t>
  </si>
  <si>
    <t>นางสาวมะยุรี ทิพย์ปัสถี</t>
  </si>
  <si>
    <t>นางสาวเมทินี ทองคำ</t>
  </si>
  <si>
    <t>นางสาวรจนา ดอนโอภาส</t>
  </si>
  <si>
    <t>นางสาวรัชนี ศรีชุม</t>
  </si>
  <si>
    <t>นางสาววิภาวดี ถาลี</t>
  </si>
  <si>
    <t>นางสุภาสินี จันทะดี</t>
  </si>
  <si>
    <t>กระนวน</t>
  </si>
  <si>
    <t>นางหนูกูล ศรีจันทร์</t>
  </si>
  <si>
    <t>นายกิตติพงค์ แก้วจิตตะ</t>
  </si>
  <si>
    <t>นายจักรกฤษณ์ ประทุม</t>
  </si>
  <si>
    <t>นายชัยนะรง ภูโปร่ง</t>
  </si>
  <si>
    <t>นายถัน ประมวล</t>
  </si>
  <si>
    <t>นายบุญตา พิมพิลา</t>
  </si>
  <si>
    <t>นายพงษ์ศักดิ์ อุ่นจำรัส</t>
  </si>
  <si>
    <t>นายพนม เขียนโคกกรวด</t>
  </si>
  <si>
    <t>นายพร ปัญญา</t>
  </si>
  <si>
    <t>นายพิทักษ์ วิชาชัย</t>
  </si>
  <si>
    <t>นายเพ็ญศิลป์ พานมุงคุณ</t>
  </si>
  <si>
    <t>นายไพทูลย์ เปลือยหนองแข้</t>
  </si>
  <si>
    <t>นายมนัด พะละ</t>
  </si>
  <si>
    <t>นายยงค์ นิกร</t>
  </si>
  <si>
    <t>นายวีระชาติ จันทพนม</t>
  </si>
  <si>
    <t>นายศักดา แก้วจิตตะ</t>
  </si>
  <si>
    <t>นายสถานุ เอกคำพันธ์</t>
  </si>
  <si>
    <t>โนนสะอาด</t>
  </si>
  <si>
    <t>อุดรธานี </t>
  </si>
  <si>
    <t>นายสมชาย เสนาหมื่น</t>
  </si>
  <si>
    <t>นายสมเด็จ ศรีระบุตร</t>
  </si>
  <si>
    <t>นายสมบัติ คำสา</t>
  </si>
  <si>
    <t>นายสมศรี ภูน้ำใส</t>
  </si>
  <si>
    <t>นายสิริเดช สุวรรณศรี</t>
  </si>
  <si>
    <t>นายเสริมศักดิ์ บุญนามน</t>
  </si>
  <si>
    <t>นายหนูสันต์ ภูขำ</t>
  </si>
  <si>
    <t>นายอดิศักดิ์ รังกลิ่น</t>
  </si>
  <si>
    <t>นาคู</t>
  </si>
  <si>
    <t>นายอภิรเดช จรนามน</t>
  </si>
  <si>
    <t>นายอภิรักษ์ ยุบลชู</t>
  </si>
  <si>
    <t>นายเอกราช ทิพย์วงค์</t>
  </si>
  <si>
    <t>นายสมยศ คำมะลา</t>
  </si>
  <si>
    <t>นายบรรทม ลาคำ</t>
  </si>
  <si>
    <t>นางสลี โสภาพร</t>
  </si>
  <si>
    <t>นายสมจิตร จันที</t>
  </si>
  <si>
    <t>นายสมยนร์ ปัญญา</t>
  </si>
  <si>
    <t>นายทวีศักดิ์ พรมศิริเดช</t>
  </si>
  <si>
    <t>นายเวทย์ กาวี</t>
  </si>
  <si>
    <t>นายประคี ศรีทหาร</t>
  </si>
  <si>
    <t>นายศุภโชค ภู่วิจิตร</t>
  </si>
  <si>
    <t>นางสำราญ แสนโบราณ</t>
  </si>
  <si>
    <t>นายรพ ทาบรรหาญ</t>
  </si>
  <si>
    <t>นายวิชาญชัย ไร่สงวน</t>
  </si>
  <si>
    <t>นางทองลา ภูมีเมฆ</t>
  </si>
  <si>
    <t>นายลำไพ ภูพันรัตน์</t>
  </si>
  <si>
    <t>นางสาวเสาวนีย์ หาญพิมาย</t>
  </si>
  <si>
    <t>นายฉัตรชัย วงษา</t>
  </si>
  <si>
    <t>ซำสูง</t>
  </si>
  <si>
    <t>นางสาวสุรีรัตน์ ชาติไทย</t>
  </si>
  <si>
    <t>นายวาสนา อัศวภูมิ</t>
  </si>
  <si>
    <t>นางสาววิริยะ เห็มชัย</t>
  </si>
  <si>
    <t>นายบัญชา การประไพ</t>
  </si>
  <si>
    <t>นางเวียง การวงค์</t>
  </si>
  <si>
    <t>นางสาววรรณภา หรดี</t>
  </si>
  <si>
    <t>นายบุญเลิศ อินทรักษา</t>
  </si>
  <si>
    <t>นายปริญญา ภูอุภัย</t>
  </si>
  <si>
    <t>นางสาววรวรรณ จันทะคัด</t>
  </si>
  <si>
    <t>นายตง เกษอินทร์</t>
  </si>
  <si>
    <t>นายราชัน อุดมวรรณ</t>
  </si>
  <si>
    <t>นายเทวิล ศรีสองเมือง</t>
  </si>
  <si>
    <t>นายสุรพรรณ สืบผาง</t>
  </si>
  <si>
    <t>นายประกาศ โยธาวงค์</t>
  </si>
  <si>
    <t>นายพัลลภ ไชยสัตย์</t>
  </si>
  <si>
    <t>นายธีระวัฒน์ แจ่มศักดิ์</t>
  </si>
  <si>
    <t>นางอนงค์ ชินมา</t>
  </si>
  <si>
    <t>ท่าคันโท</t>
  </si>
  <si>
    <t>นางคำดี คำไพรศรี</t>
  </si>
  <si>
    <t>นางสาวจันทร์เพ็ญ ศรีศักดิ์</t>
  </si>
  <si>
    <t>นางสาวสุวรรณา ลุนท้อ</t>
  </si>
  <si>
    <t>นางประภาพร ตาลประเสริฐ</t>
  </si>
  <si>
    <t>นางจุฑามาศ ไพศาล</t>
  </si>
  <si>
    <t>นางเฉลียง ดลเจิม</t>
  </si>
  <si>
    <t>นางณิรดา แสนแก้ว</t>
  </si>
  <si>
    <t>นางพนม เพชรบรม</t>
  </si>
  <si>
    <t>นางพิลุธ รัตธรรม</t>
  </si>
  <si>
    <t>นางมณีรัตน์ การรัตน์</t>
  </si>
  <si>
    <t>นางเรียน ทักเสน</t>
  </si>
  <si>
    <t>นางละหม้าย สารหงษ์</t>
  </si>
  <si>
    <t>นางสาวกชพร ภูแป้ง</t>
  </si>
  <si>
    <t>นางสาวจันทร์ฉาย แน่นอุดร</t>
  </si>
  <si>
    <t>นางสาวจิราวรรณ การสว่าง</t>
  </si>
  <si>
    <t>นางสาวพนมวัย ฉายวงศ์</t>
  </si>
  <si>
    <t>นางสาวพรลิขิต สะสันติ</t>
  </si>
  <si>
    <t>นางสาวเวียงสวรรค์ ทิพย์วงค์</t>
  </si>
  <si>
    <t>นางสาวสุภัสสรา สหะชัย</t>
  </si>
  <si>
    <t>นางสาวอรพรรณ ทองอด</t>
  </si>
  <si>
    <t>นางหนูแดง ภาวะภูตานนต์</t>
  </si>
  <si>
    <t>นายเกษดา ฉายแม้น</t>
  </si>
  <si>
    <t>นายจันทา การนา</t>
  </si>
  <si>
    <t>นายจิรายุ พละดล</t>
  </si>
  <si>
    <t>นายโชคชัย บังขุนทศ</t>
  </si>
  <si>
    <t>นายธีระพงศ์ วัฒโน</t>
  </si>
  <si>
    <t>นายประจักษ์ ไร่สงวน</t>
  </si>
  <si>
    <t>นายพิชัย หาระทา</t>
  </si>
  <si>
    <t>นายวรวัฒน์ ภูนบผา</t>
  </si>
  <si>
    <t>นายวินัย อุปแก้ว</t>
  </si>
  <si>
    <t>นายวิศรุต ภูถินเชือก</t>
  </si>
  <si>
    <t>นายวีระพงษ์ บุญสิงห์</t>
  </si>
  <si>
    <t>นายศักดิ์ พิมสาร</t>
  </si>
  <si>
    <t>นายสมบัติ ไร่สงวน</t>
  </si>
  <si>
    <t>นายสวัสดิ์ ทระรักษ์</t>
  </si>
  <si>
    <t>นายสุข อุชี</t>
  </si>
  <si>
    <t>นายสุพจน์ ภูมิศาสตร์</t>
  </si>
  <si>
    <t>นายไสว ทองการ</t>
  </si>
  <si>
    <t>นายหนูสินธุ์ เขตบุญไสย</t>
  </si>
  <si>
    <t>นายอาทิตย์ พันธ์ศรี</t>
  </si>
  <si>
    <t>เมยวดี</t>
  </si>
  <si>
    <t>นายอำพันธ์ กลมขันธ์</t>
  </si>
  <si>
    <t>นายอุทัย โอละนำ</t>
  </si>
  <si>
    <t>สหกรณ์การเกษตรคำม่วง จำกัด (Farmer)</t>
  </si>
  <si>
    <t>นางสำลี โพธิจักร</t>
  </si>
  <si>
    <t>นายสมเกียรติ ภูอาบทอง</t>
  </si>
  <si>
    <t>นายจตุพล พัฒนโพธิ์</t>
  </si>
  <si>
    <t>นายสมเพชร สว่างศรี</t>
  </si>
  <si>
    <t>นายวิลัย ทองการ</t>
  </si>
  <si>
    <t>นายสนาม ไชยสา</t>
  </si>
  <si>
    <t>นายวรรณชัย บุญเรือน</t>
  </si>
  <si>
    <t>นายธวัชชัย นาสมจิตร</t>
  </si>
  <si>
    <t>นางสาวจันทร์สุดา ภูใบบัง</t>
  </si>
  <si>
    <t>นายเขียว ภารประสาท</t>
  </si>
  <si>
    <t>นางสาวอรัญญา น้อยชื่น</t>
  </si>
  <si>
    <t>นางปองสี ระวิชัย</t>
  </si>
  <si>
    <t>นายบุญเพ็ง โพธิ์ขาว</t>
  </si>
  <si>
    <t>นายจำรูญ ตันสร้าง</t>
  </si>
  <si>
    <t>นายเดชา มาตรบุรมย์</t>
  </si>
  <si>
    <t>นายสังเวียน ไร่บุญ</t>
  </si>
  <si>
    <t>นางหนูแดง นันบุญ</t>
  </si>
  <si>
    <t>นายสมจิตร ฉันประเดิม</t>
  </si>
  <si>
    <t>นางสาวอัญชลี สุ่มมาตย์</t>
  </si>
  <si>
    <t>นายสมัย สัสดี</t>
  </si>
  <si>
    <t>นางสาวอรวรรณ ทรัพย์เติม</t>
  </si>
  <si>
    <t>นางสาวกัลติยา ปิยะโครต</t>
  </si>
  <si>
    <t>นายบุธวัช พับไธสง</t>
  </si>
  <si>
    <t>นายเสนอ เฉยฉิว</t>
  </si>
  <si>
    <t>นายสามารถ พฤษฎี</t>
  </si>
  <si>
    <t>นางสาวยุระตา มิ่งคำ</t>
  </si>
  <si>
    <t>นางปริณดา นาทองแถม</t>
  </si>
  <si>
    <t>โพนทอง</t>
  </si>
  <si>
    <t>นายวรรณชัย เจริญศิลป์</t>
  </si>
  <si>
    <t>นายรักชาติ กั้วพิจิตร</t>
  </si>
  <si>
    <t>นางไพรวัลย์ แสนสุด</t>
  </si>
  <si>
    <t>นางกิริณี เขจรแข</t>
  </si>
  <si>
    <t>นายวัฒนา ตาสาโรจน์</t>
  </si>
  <si>
    <t>นายสุวรรณ์ พะละ</t>
  </si>
  <si>
    <t>นางบัวลอย ทรัพย์พิพัฒน์</t>
  </si>
  <si>
    <t>นายคำกอง ผลเลขา</t>
  </si>
  <si>
    <t>นางจันทร์เพ็ญ พันธ์สุวรรณ์</t>
  </si>
  <si>
    <t>นายสุริยันต์ ยะไวทย์</t>
  </si>
  <si>
    <t>นางนะรอง นระแสน</t>
  </si>
  <si>
    <t>นายสัญญา จันทมนตรี</t>
  </si>
  <si>
    <t>นายสมพงศ์ ไร่สงวน</t>
  </si>
  <si>
    <t>นางพนิดา พัสดร</t>
  </si>
  <si>
    <t>นางบุญมี หมั่นประกอบ</t>
  </si>
  <si>
    <t>นางบุญโฮม แพงคำ</t>
  </si>
  <si>
    <t>นายสมเกียรติ ภูศรีฤทธิ์</t>
  </si>
  <si>
    <t>นางสาวพัชญาพร บุญสิงห์</t>
  </si>
  <si>
    <t>นางสาวเสาวลักษณ์ ยะไวทย์</t>
  </si>
  <si>
    <t>นางสาวสุพรรนิภา พลยาง</t>
  </si>
  <si>
    <t>นายธนวัฒน์ ทาบรรหาร</t>
  </si>
  <si>
    <t>นายพิทักษ์ บุญบุตร</t>
  </si>
  <si>
    <t>นางสาวกัลยากร ถิ่นวิไล</t>
  </si>
  <si>
    <t>นาย เพชร ปิ่นละออ</t>
  </si>
  <si>
    <t>นายอมร พัฒนสาร</t>
  </si>
  <si>
    <t>นายสุพิช การพูล</t>
  </si>
  <si>
    <t>นายพัฒนศักดิ์ โชติจรุง</t>
  </si>
  <si>
    <t xml:space="preserve">กุฉินารายณ์ </t>
  </si>
  <si>
    <t>นางพรรณี ศรีผักผ่อง</t>
  </si>
  <si>
    <t>นางสาวอุไรพร คำชัยนนท์</t>
  </si>
  <si>
    <t>นางมลฤฎี นระแสน</t>
  </si>
  <si>
    <t>นางศิวัชญา ศรีณะพรม</t>
  </si>
  <si>
    <t>นางสมจิตห์ พันธ์จรุง</t>
  </si>
  <si>
    <t>นางสาวพรจรัส พิมตะวงค์</t>
  </si>
  <si>
    <t>นางสาวรุ่งนภา สิงเจริญ</t>
  </si>
  <si>
    <t>นางสุดใจ ภูชมศรี</t>
  </si>
  <si>
    <t>นายตะวัน พับไธสง</t>
  </si>
  <si>
    <t>นายนพรัตน์ สมร</t>
  </si>
  <si>
    <t>นายบัญชา เหล่าแสวง</t>
  </si>
  <si>
    <t>นายสุวรรณ์ สิมารับ</t>
  </si>
  <si>
    <t>นางสาวกมลชนก ยานจรัส</t>
  </si>
  <si>
    <t>นางสาวเสาวลักษณ์ คำผง</t>
  </si>
  <si>
    <t>นายโกสินทร์ สังรวมใจ</t>
  </si>
  <si>
    <t>นายทองสอน สุกวาท</t>
  </si>
  <si>
    <t>นายปอน ภารประสาท</t>
  </si>
  <si>
    <t>นายวิษณุ เสริฐสวาท</t>
  </si>
  <si>
    <t>นายสุปัญ ทรัพย์สำราญ</t>
  </si>
  <si>
    <t>นายอัศดง ภูขำ</t>
  </si>
  <si>
    <t>นางรัตน์ลาวัลย์ สินชัย</t>
  </si>
  <si>
    <t>นางสาวเพรียวพรรณ การรักษ์</t>
  </si>
  <si>
    <t>นางเหล็ก สุลำนาจ</t>
  </si>
  <si>
    <t>นายโชคชัย ศรีอ่อนดี</t>
  </si>
  <si>
    <t>นายประเสริฐ พันธุ์เทศ</t>
  </si>
  <si>
    <t>นายวัชพล ศรีบัวเทพ</t>
  </si>
  <si>
    <t>นายสมเด็จ ลาคำ</t>
  </si>
  <si>
    <t>นายสุวรรณ โบราณมูล</t>
  </si>
  <si>
    <t>นายอาทิตย์ พานสำราญ</t>
  </si>
  <si>
    <t>นายอุดม อวนวัง</t>
  </si>
  <si>
    <t>นางเจียระไน อุทุมพร</t>
  </si>
  <si>
    <t>เสลภูมิ</t>
  </si>
  <si>
    <t>นางตุ๊กตา อนันตพัฒน์</t>
  </si>
  <si>
    <t>นางแต้ม สันประภา</t>
  </si>
  <si>
    <t>นางรุจิกร ป้องวิชัย</t>
  </si>
  <si>
    <t>นางสาวพานทอง เดชประเสริฐ</t>
  </si>
  <si>
    <t>นางสาวสุปราณี ศรีบุญจันทร์</t>
  </si>
  <si>
    <t>นายจักรพงษ์ ปัญจิต</t>
  </si>
  <si>
    <t>นายชัยชนะ ชุณหวรชัย</t>
  </si>
  <si>
    <t>นายธีรศักดิ์ กองเสนา</t>
  </si>
  <si>
    <t>ชื่นชม</t>
  </si>
  <si>
    <t>มหาสารคาม</t>
  </si>
  <si>
    <t>นายบุญตา จำเริญสัตย์</t>
  </si>
  <si>
    <t>นายประสิทธิ์ ทรัพย์วิบูลย์</t>
  </si>
  <si>
    <t>นายพนมพร บุระพันธ์</t>
  </si>
  <si>
    <t>นายพรมมี การช่วง</t>
  </si>
  <si>
    <t>นายวัฒนา แพงแสง</t>
  </si>
  <si>
    <t>นายสันติสุข ศรีนวล</t>
  </si>
  <si>
    <t>น้ำยืน</t>
  </si>
  <si>
    <t>อุบลราชธานี</t>
  </si>
  <si>
    <t>นายสุทิน การร้อย</t>
  </si>
  <si>
    <t>นายสุริยันต์ พันธ์เสถียร</t>
  </si>
  <si>
    <t>นายสุวิทย์ เชื้อคำจันทร์</t>
  </si>
  <si>
    <t xml:space="preserve">ดงหลวง </t>
  </si>
  <si>
    <t>นายอารม คำหงษา</t>
  </si>
  <si>
    <t>นางบุญรื่น คำเจริญ</t>
  </si>
  <si>
    <t>นางสาวเนตรนภา บุตรพรม</t>
  </si>
  <si>
    <t>นายจะดิษฐ์ คำเลิศ</t>
  </si>
  <si>
    <t>นายใจ คำออน</t>
  </si>
  <si>
    <t>นายชาญชัย กะทุ่งกาง</t>
  </si>
  <si>
    <t>นายนรศิล การรักษ์</t>
  </si>
  <si>
    <t>นายบรรลพ หาญอาษา</t>
  </si>
  <si>
    <t>นายอดิศักดิ์ สมศรี</t>
  </si>
  <si>
    <t>นางสาวลำใย จันทะดวง</t>
  </si>
  <si>
    <t>นางนันทิยาพร วงสุวรรณ</t>
  </si>
  <si>
    <t>นายเกียรติ พุทธบุรี</t>
  </si>
  <si>
    <t>นายนิวัฒน์ ปัดเสนา</t>
  </si>
  <si>
    <t>นายจงสันต์ วัฒโน</t>
  </si>
  <si>
    <t>นายเดือน แก้วบุญ</t>
  </si>
  <si>
    <t>นางสมควร พัฒนไชย</t>
  </si>
  <si>
    <t>นางสาวกาญจนา ทำกิน</t>
  </si>
  <si>
    <t>นายสุวิทย์ เปลื่องปลาด</t>
  </si>
  <si>
    <t>นางบัวพัน เจริญเขต</t>
  </si>
  <si>
    <t>นางอุมาพร อาษาศึก</t>
  </si>
  <si>
    <t>นายภูชิชย์ อิ่มเสถียร</t>
  </si>
  <si>
    <t>นายประสาท แวงวรรณ</t>
  </si>
  <si>
    <t>นางพิกุล แวงโส</t>
  </si>
  <si>
    <t>นางสาวรัชนี อิ่มเสถียร</t>
  </si>
  <si>
    <t>นางสาวลำใย ยะระขันธุ์</t>
  </si>
  <si>
    <t>นางทองสา สายสิม</t>
  </si>
  <si>
    <t>นางธัญทิพย์ คำหงษา</t>
  </si>
  <si>
    <t>นายบุญชู การดี</t>
  </si>
  <si>
    <t>นางชมเชย ทรัพกุล</t>
  </si>
  <si>
    <t>นายสมร คำมะลิ</t>
  </si>
  <si>
    <t>นางสมมติ อุ่นทะยา</t>
  </si>
  <si>
    <t>นางคำพันธ์ อบมาลี</t>
  </si>
  <si>
    <t>นายอาดุลเดช ภูวังแทบ</t>
  </si>
  <si>
    <t>นางสาวสมฤดี โพธิรัตน์</t>
  </si>
  <si>
    <t>นางสาวอภิญญา อรรถประจง</t>
  </si>
  <si>
    <t>นายมนูญ ขนันแข็ง</t>
  </si>
  <si>
    <t>นายสุทธิพงษ์ อิ่มประสงค์</t>
  </si>
  <si>
    <t>นายทศยศ ปัญจโรจน์</t>
  </si>
  <si>
    <t>นางสาวแสงจันทร์ แก้วขอนแก่น</t>
  </si>
  <si>
    <t>นายประยงค์ ไร้รัตน์</t>
  </si>
  <si>
    <t>นางสาววิยะดา คำเสนาะ</t>
  </si>
  <si>
    <t>นางสาวดวงจันทร์ พิมพิลา</t>
  </si>
  <si>
    <t>นางวัฒนา รักสวย</t>
  </si>
  <si>
    <t>นายอธิพงษ์ ศรีคิรินทร์</t>
  </si>
  <si>
    <t>นางสาวสุนันทา ลีหล้าน้อย</t>
  </si>
  <si>
    <t>นายชนะชัย พุทธแก้ว</t>
  </si>
  <si>
    <t>นางสาวอรปวีณา พละศักดิ์</t>
  </si>
  <si>
    <t>นายนันทไชย ฐานโอภาส</t>
  </si>
  <si>
    <t>นางสำลี เขตสินบุญ</t>
  </si>
  <si>
    <t>นางไอ่ ไร่รัตน์</t>
  </si>
  <si>
    <t>นายอัษฎาวุธ ชะริชน</t>
  </si>
  <si>
    <t>นายกระหนก ลังภูรี</t>
  </si>
  <si>
    <t>นายอภิชาติ แพงคำ</t>
  </si>
  <si>
    <t>นายอดุลย์ ฤทธิ์แสง</t>
  </si>
  <si>
    <t>นางอวยพร ภักดี</t>
  </si>
  <si>
    <t>นายถาวร ใสศรีดา</t>
  </si>
  <si>
    <t>นายบุญชู แน่นอุดร</t>
  </si>
  <si>
    <t>นายอภิชัย แพงคำ</t>
  </si>
  <si>
    <t>นายพีรพล ดิษสลุง</t>
  </si>
  <si>
    <t>นายไพบูลย์ บุญหล้า</t>
  </si>
  <si>
    <t>นางสมปอง นาทศรีทา</t>
  </si>
  <si>
    <t>นายรังสรรค์ ไชยฤทธิ์</t>
  </si>
  <si>
    <t>นายประยงค์ เทศารินทร์</t>
  </si>
  <si>
    <t>นายนที ภูยอดนิล</t>
  </si>
  <si>
    <t>นางสาวจิราพัชร พลลาภ</t>
  </si>
  <si>
    <t>นายพงศักดิ์ ภูตาคม</t>
  </si>
  <si>
    <t>นางสาวปณิตา ภูบุตตะ</t>
  </si>
  <si>
    <t>นายสุรพงษ์ บุญลือชา</t>
  </si>
  <si>
    <t>นายวัชระ สุรันนา</t>
  </si>
  <si>
    <t>นายวิชัย ภูธะโล</t>
  </si>
  <si>
    <t>นายปราโมทย์ หมื่นรัตน์</t>
  </si>
  <si>
    <t>นายศักดิ์สุพรรณ ซาซิโย</t>
  </si>
  <si>
    <t>นายปฏิภาณ พระโนราช</t>
  </si>
  <si>
    <t>นายพิชิต สนองเดช</t>
  </si>
  <si>
    <t>นายชัชวาลย์ ริสถา</t>
  </si>
  <si>
    <t>นายประดิษฐ์ ทองอุ่น</t>
  </si>
  <si>
    <t>นางดุษฎี ทิวะสิงห์</t>
  </si>
  <si>
    <t>นางพิศมัย นันสมบัติ</t>
  </si>
  <si>
    <t>นางสาวหนูจันทร์ เจริญศิลป์</t>
  </si>
  <si>
    <t>นายปริวัตร ภูหลักด่าน</t>
  </si>
  <si>
    <t>นายกฤษฎา สารหงห์</t>
  </si>
  <si>
    <t>นางสาวขนิษฐา โพนนางาม</t>
  </si>
  <si>
    <t>นายปฎิวัติ ยอดยศ</t>
  </si>
  <si>
    <t>นายศตวรรษ ผาสุข</t>
  </si>
  <si>
    <t>นางสาวสายฝน บุญเย็น</t>
  </si>
  <si>
    <t>นายคำมี แวดไธยสงค์</t>
  </si>
  <si>
    <t>นางสาวศิริพร วงษ์ชา</t>
  </si>
  <si>
    <t>เมืองมุกดาหาร</t>
  </si>
  <si>
    <t>วิสาหกิจชุมชนกลุ่มผู้ปลูกมันสำปะหลังตำบ</t>
  </si>
  <si>
    <t>นายประกร โอภาศิริรัตน์</t>
  </si>
  <si>
    <t>นายศุภกิจ แสบงบาล</t>
  </si>
  <si>
    <t>นายสนั่น ไชยสุข</t>
  </si>
  <si>
    <t>นางสาววิลัยลักษณ์ การสอน</t>
  </si>
  <si>
    <t>นางสังวาล มุงคุณ</t>
  </si>
  <si>
    <t>นายธงชัย มุศิริ</t>
  </si>
  <si>
    <t>นางสาวปราณี พงษ์ศาสตร์</t>
  </si>
  <si>
    <t>นางอุลัยวรรณ์ เกือสีโท</t>
  </si>
  <si>
    <t>นายเย็น เวียงนนท์</t>
  </si>
  <si>
    <t>นายวิบูรณ์ วงไชยา</t>
  </si>
  <si>
    <t>นางสาววาสนา แฉล้มชาติ</t>
  </si>
  <si>
    <t>นายศราวุธ บุญละคร</t>
  </si>
  <si>
    <t>นางสาวกมลวรรณ ทวีสอน</t>
  </si>
  <si>
    <t>นางวรัญญา ผาชาตา</t>
  </si>
  <si>
    <t>นายอนันต์ ศรีบุรัมย์</t>
  </si>
  <si>
    <t>นายสิทธิศักดิ์ นนท์สะเกตุ</t>
  </si>
  <si>
    <t>เมืองสกลนคร</t>
  </si>
  <si>
    <t>นายปรีชา ถินสถิตย์</t>
  </si>
  <si>
    <t>นายเพิ่มพล ผลพันธุ์</t>
  </si>
  <si>
    <t>นางสาวศิริวรรณ จำเริญเจือ</t>
  </si>
  <si>
    <t>นายอนันต์ ยศนีย์</t>
  </si>
  <si>
    <t>นายสมคิด การเลียง</t>
  </si>
  <si>
    <t>นางสมาน เพ็ชรสังหาร</t>
  </si>
  <si>
    <t>นางสาวจุฑาภรณ์ กมลภา</t>
  </si>
  <si>
    <t>นายสมัคร ศรีจันทร์</t>
  </si>
  <si>
    <t>นางสาวพัชริน นามไพร</t>
  </si>
  <si>
    <t>เมืองร้อยเอ็ด</t>
  </si>
  <si>
    <t>นายชินกร อารีเอื้อ</t>
  </si>
  <si>
    <t>นายองอาจ รูปสวย</t>
  </si>
  <si>
    <t>นายอนุวัตร แพงโคตร</t>
  </si>
  <si>
    <t>นายบุญสิน ภารจรัส</t>
  </si>
  <si>
    <t>นางปันณะดา ภูอุทัย</t>
  </si>
  <si>
    <t>นายกิตติพงษ์ นาโสก</t>
  </si>
  <si>
    <t>นายสุรพล ตาลพันธุ์</t>
  </si>
  <si>
    <t>นายพิมพา เพ็ชรสังหาร</t>
  </si>
  <si>
    <t>นางเพชรสุพรรณ อารีเอื้อ</t>
  </si>
  <si>
    <t>นายธนกุล วรรณปะโค</t>
  </si>
  <si>
    <t>เชียงยืน</t>
  </si>
  <si>
    <t>นางสาวจุฑาทิพย์ ทองวงษา</t>
  </si>
  <si>
    <t>นายสยาม ปัญญา</t>
  </si>
  <si>
    <t>นางสาวคำพันธ์ พันธุ์สุวรรณ</t>
  </si>
  <si>
    <t>นายอาคม ไชยเกรินทร์</t>
  </si>
  <si>
    <t>นางสาวไอรีน วิภัคอัครกุล</t>
  </si>
  <si>
    <t>นายณัฐพล ชมจันทร์</t>
  </si>
  <si>
    <t>นายพีรพงษ์ พรรณเนตร</t>
  </si>
  <si>
    <t>ลำทะเมนชัย</t>
  </si>
  <si>
    <t>นครราชสีมา</t>
  </si>
  <si>
    <t>นายประเวศ น้อยศรี</t>
  </si>
  <si>
    <t>นางสาวอาทิตยา ลีทัพไทย</t>
  </si>
  <si>
    <t>นายศักดิ์ชัย เต็งกลาง</t>
  </si>
  <si>
    <t>นายสมภพ จันโสม</t>
  </si>
  <si>
    <t>นางสาวอมรรัตน์ ฤทธิจรจาก</t>
  </si>
  <si>
    <t>นางประนอม โชติไสว</t>
  </si>
  <si>
    <t>นางสาวชลิตา คำยุธา</t>
  </si>
  <si>
    <t>นายเรณู คำวงษา</t>
  </si>
  <si>
    <t>นายชัยวัฒน์ วรพล</t>
  </si>
  <si>
    <t>นายสาคร บังขุนทศ</t>
  </si>
  <si>
    <t>นายสวาท สระทอง</t>
  </si>
  <si>
    <t>นายอลากรณ์ เจียมตัว</t>
  </si>
  <si>
    <t>นายสุระชัย ภูกงลี</t>
  </si>
  <si>
    <t>นายเสริมพล ทองอาสน์</t>
  </si>
  <si>
    <t>นางอุราวัล อัศวภูมิ</t>
  </si>
  <si>
    <t>นายชัยพล บรรเจิด</t>
  </si>
  <si>
    <t>นายถนอม คำหงษา</t>
  </si>
  <si>
    <t>นางสาวเนตนภา พานมุงคุณ</t>
  </si>
  <si>
    <t>นายประจวบ นาดี</t>
  </si>
  <si>
    <t>นางตุ๊กตา นามมุงคุณ</t>
  </si>
  <si>
    <t>นายสัมฤทธิ์ บัวไถล</t>
  </si>
  <si>
    <t>เสนางคนิคม</t>
  </si>
  <si>
    <t>อำนาจเจริญ</t>
  </si>
  <si>
    <t>นางใบสี คำพวงค์</t>
  </si>
  <si>
    <t>นายโชคดี เขตชมภู</t>
  </si>
  <si>
    <t>นางสาวสุนิตา แสนสมบัติ</t>
  </si>
  <si>
    <t>นางสาวนันทิชา แจนอก</t>
  </si>
  <si>
    <t>นางสาวรัชญา เตชะผล</t>
  </si>
  <si>
    <t>กุมภวาปี</t>
  </si>
  <si>
    <t>นายชาญชัย หงษ์โยธี</t>
  </si>
  <si>
    <t>ห้วยเม็ก</t>
  </si>
  <si>
    <t>นางสาวปัฐน์ธันญา นิยมธรรม</t>
  </si>
  <si>
    <t>นายนิพนธ์ แก้วถาวร</t>
  </si>
  <si>
    <t>นายไพฑูล มณีโคตร</t>
  </si>
  <si>
    <t>นางสาวธิวานิตย์ จันทร์สามารถ</t>
  </si>
  <si>
    <t>นางสาวปวีณา ภานุรักษ์</t>
  </si>
  <si>
    <t>นางสาวลลิตา ชาบรรดิษฐ์</t>
  </si>
  <si>
    <t>นางสาวบัณฑิตา บุริภักดิ์</t>
  </si>
  <si>
    <t>นายกฤษฎางษ์ ไชยสา</t>
  </si>
  <si>
    <t>นางสมพร เขตรบุญพร้อม</t>
  </si>
  <si>
    <t>นางวนิดา เอกวงษา</t>
  </si>
  <si>
    <t>นางสาวณัฎฐนิษฐ์ วรานิชานนต์</t>
  </si>
  <si>
    <t>ศรีธาตุ</t>
  </si>
  <si>
    <t>นายเอกนัฐ ศิลาพัฒน์</t>
  </si>
  <si>
    <t>นายภานุมาศ ศรีบุรัมย์</t>
  </si>
  <si>
    <t>นายจิรวัฒน์ เนตรเสนา</t>
  </si>
  <si>
    <t>นางสาววรรณวิภา จันทร์โฮม</t>
  </si>
  <si>
    <t>นายไพเพชร อวนวัง</t>
  </si>
  <si>
    <t>นางสาวกรทิพย์ หมานจันทร์</t>
  </si>
  <si>
    <t>โกสุมพิสัย</t>
  </si>
  <si>
    <t>นายนันทวัฒน์ ชัยลิ้นฟ้า</t>
  </si>
  <si>
    <t>นางสาวเกศรา บัวทอง</t>
  </si>
  <si>
    <t>นางธัญวรรณ แสงไพรินทร์</t>
  </si>
  <si>
    <t xml:space="preserve">เมืองหนองบัวลำภู </t>
  </si>
  <si>
    <t>หนองบัวลำภู</t>
  </si>
  <si>
    <t>นางพิชญาภา สาสังข์</t>
  </si>
  <si>
    <t>นายปัญญา สุวรรณธาดา</t>
  </si>
  <si>
    <t>นางนีรัตน์ ถานทนดี</t>
  </si>
  <si>
    <t>บ้านม่วง</t>
  </si>
  <si>
    <t>นางนิภา อันธพันธ์</t>
  </si>
  <si>
    <t>พัฒนานิคม</t>
  </si>
  <si>
    <t>นางสาวอมริสา ลือเทพ</t>
  </si>
  <si>
    <t>เมืองสุรินท์</t>
  </si>
  <si>
    <t>นางสาวชเนษฎาภา เชื่อมมะลัง</t>
  </si>
  <si>
    <t>เฉลิมพระเกียรติ</t>
  </si>
  <si>
    <t>นายรัฐกรณ์ สมปู่</t>
  </si>
  <si>
    <t>จัตุรัส</t>
  </si>
  <si>
    <t>ชัยภูมิ</t>
  </si>
  <si>
    <t>สุรินทร์</t>
  </si>
  <si>
    <t>นางสาวพัชรินทร์ แก้วขอนแก่น</t>
  </si>
  <si>
    <t>นางสาวปราณี ไหดงยาง</t>
  </si>
  <si>
    <t>เมืองมหาสารคาม</t>
  </si>
  <si>
    <t>นายอนันต์ เอกคำพันธ์</t>
  </si>
  <si>
    <t>นายวิลัย มิ่งคำ</t>
  </si>
  <si>
    <t>นางสาวชุติมันต์ บริเดช</t>
  </si>
  <si>
    <t>นายสามารถ พิทักษา</t>
  </si>
  <si>
    <t>นายเสาร์ ผิวบาง</t>
  </si>
  <si>
    <t>นายพุทธี ไชยคำมิ่ง</t>
  </si>
  <si>
    <t>นายอุดม ไร่วิเศษ</t>
  </si>
  <si>
    <t>นางสุกัญญา ศรีคิรินทร์</t>
  </si>
  <si>
    <t>นางบุญรอด บุญเข็ม</t>
  </si>
  <si>
    <t>นาจารย์</t>
  </si>
  <si>
    <t>นางสุปราณี พันธะรี</t>
  </si>
  <si>
    <t>ลพบุรี</t>
  </si>
  <si>
    <t>นายสัญญารัก แสนสุด</t>
  </si>
  <si>
    <t>นางสาวพิมพ์ชิชาภา ภาวรรณลักษณ์</t>
  </si>
  <si>
    <t>นางสาวลดาวัลย์ แสนนาเรียง</t>
  </si>
  <si>
    <t>นางจิระนันท์ เปลือยหนองแข้</t>
  </si>
  <si>
    <t>นายธีรสุวัฒน์ วัฒนาศักดิ์</t>
  </si>
  <si>
    <t>ลานสัก</t>
  </si>
  <si>
    <t>อุทัยธานี</t>
  </si>
  <si>
    <t>Broker volume, tons</t>
  </si>
  <si>
    <t>Farmer volume, tons</t>
  </si>
  <si>
    <t>Regular volume, tons</t>
  </si>
  <si>
    <t>สหกรณ์การเกษตรคำม่วง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</si>
</sst>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.000_);_(* \(#,##0.000\);_(* &quot;-&quot;??_);_(@_)"/>
    <numFmt numFmtId="166" formatCode="_-* #,##0_-;\-* #,##0_-;_-* &quot;-&quot;??_-;_-@_-"/>
    <numFmt numFmtId="168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Gill Sans M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164" fontId="4" fillId="0" borderId="0" xfId="1" applyFont="1" applyAlignment="1">
      <alignment vertical="top" wrapText="1"/>
    </xf>
    <xf numFmtId="0" fontId="4" fillId="0" borderId="0" xfId="2" applyNumberFormat="1" applyFont="1" applyAlignment="1">
      <alignment vertical="top" wrapText="1"/>
    </xf>
    <xf numFmtId="165" fontId="4" fillId="0" borderId="0" xfId="1" applyNumberFormat="1" applyFont="1"/>
    <xf numFmtId="0" fontId="5" fillId="0" borderId="0" xfId="2" applyNumberFormat="1" applyFont="1" applyAlignment="1">
      <alignment vertical="top" wrapText="1"/>
    </xf>
    <xf numFmtId="0" fontId="5" fillId="0" borderId="0" xfId="1" applyNumberFormat="1" applyFont="1" applyAlignment="1">
      <alignment vertical="top" wrapText="1"/>
    </xf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1" applyFont="1" applyAlignment="1">
      <alignment vertical="top" wrapText="1"/>
    </xf>
    <xf numFmtId="165" fontId="5" fillId="0" borderId="0" xfId="1" applyNumberFormat="1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165" fontId="5" fillId="0" borderId="0" xfId="1" applyNumberFormat="1" applyFont="1" applyAlignment="1">
      <alignment vertical="top" wrapText="1"/>
    </xf>
    <xf numFmtId="164" fontId="5" fillId="0" borderId="0" xfId="1" applyNumberFormat="1" applyFont="1" applyAlignment="1">
      <alignment vertical="top" wrapText="1"/>
    </xf>
    <xf numFmtId="0" fontId="7" fillId="0" borderId="0" xfId="0" applyFont="1" applyAlignment="1">
      <alignment horizontal="left"/>
    </xf>
    <xf numFmtId="0" fontId="7" fillId="0" borderId="0" xfId="0" applyFont="1"/>
    <xf numFmtId="164" fontId="7" fillId="0" borderId="0" xfId="1" applyFont="1" applyAlignment="1">
      <alignment vertical="top" wrapText="1"/>
    </xf>
    <xf numFmtId="0" fontId="7" fillId="0" borderId="0" xfId="2" applyNumberFormat="1" applyFont="1" applyAlignment="1">
      <alignment vertical="top" wrapText="1"/>
    </xf>
    <xf numFmtId="165" fontId="7" fillId="0" borderId="0" xfId="1" applyNumberFormat="1" applyFont="1" applyAlignment="1">
      <alignment vertical="top" wrapText="1"/>
    </xf>
    <xf numFmtId="164" fontId="8" fillId="0" borderId="0" xfId="1" applyFont="1" applyAlignment="1">
      <alignment vertical="top" wrapText="1"/>
    </xf>
    <xf numFmtId="165" fontId="8" fillId="0" borderId="0" xfId="1" applyNumberFormat="1" applyFont="1"/>
    <xf numFmtId="0" fontId="8" fillId="0" borderId="0" xfId="0" applyFont="1"/>
    <xf numFmtId="164" fontId="9" fillId="0" borderId="0" xfId="1" applyFont="1" applyFill="1" applyBorder="1"/>
    <xf numFmtId="43" fontId="4" fillId="0" borderId="0" xfId="2" applyNumberFormat="1" applyFont="1" applyAlignment="1">
      <alignment vertical="top" wrapText="1"/>
    </xf>
    <xf numFmtId="2" fontId="5" fillId="0" borderId="0" xfId="2" applyNumberFormat="1" applyFont="1" applyAlignment="1">
      <alignment vertical="top" wrapText="1"/>
    </xf>
    <xf numFmtId="0" fontId="1" fillId="0" borderId="0" xfId="5" applyAlignment="1">
      <alignment horizontal="center"/>
    </xf>
    <xf numFmtId="0" fontId="1" fillId="0" borderId="0" xfId="5" applyAlignment="1">
      <alignment horizontal="left"/>
    </xf>
    <xf numFmtId="0" fontId="1" fillId="0" borderId="0" xfId="5"/>
    <xf numFmtId="166" fontId="0" fillId="0" borderId="0" xfId="6" applyNumberFormat="1" applyFont="1"/>
    <xf numFmtId="43" fontId="0" fillId="0" borderId="0" xfId="6" applyFont="1"/>
    <xf numFmtId="43" fontId="0" fillId="0" borderId="0" xfId="6" applyFont="1" applyAlignment="1">
      <alignment horizontal="center" vertical="center"/>
    </xf>
    <xf numFmtId="166" fontId="0" fillId="0" borderId="0" xfId="6" applyNumberFormat="1" applyFont="1" applyAlignment="1">
      <alignment horizontal="center" vertical="center"/>
    </xf>
    <xf numFmtId="166" fontId="0" fillId="0" borderId="0" xfId="6" applyNumberFormat="1" applyFont="1" applyFill="1"/>
    <xf numFmtId="43" fontId="0" fillId="0" borderId="0" xfId="6" applyFont="1" applyFill="1"/>
    <xf numFmtId="43" fontId="0" fillId="0" borderId="0" xfId="6" applyFont="1" applyAlignment="1">
      <alignment horizontal="center"/>
    </xf>
    <xf numFmtId="43" fontId="0" fillId="0" borderId="0" xfId="6" applyFont="1" applyAlignment="1"/>
    <xf numFmtId="0" fontId="5" fillId="0" borderId="0" xfId="7" applyFont="1" applyAlignment="1">
      <alignment horizontal="left"/>
    </xf>
    <xf numFmtId="0" fontId="5" fillId="0" borderId="0" xfId="7" applyFont="1"/>
    <xf numFmtId="0" fontId="5" fillId="0" borderId="0" xfId="8" applyNumberFormat="1" applyFont="1"/>
    <xf numFmtId="0" fontId="4" fillId="0" borderId="0" xfId="7" applyFont="1"/>
    <xf numFmtId="0" fontId="5" fillId="0" borderId="0" xfId="5" applyFont="1" applyAlignment="1">
      <alignment horizontal="left"/>
    </xf>
    <xf numFmtId="0" fontId="5" fillId="0" borderId="0" xfId="5" applyFont="1"/>
    <xf numFmtId="43" fontId="5" fillId="0" borderId="0" xfId="6" applyFont="1"/>
    <xf numFmtId="0" fontId="4" fillId="0" borderId="0" xfId="7" applyFont="1" applyAlignment="1">
      <alignment horizontal="left"/>
    </xf>
    <xf numFmtId="168" fontId="4" fillId="0" borderId="0" xfId="8" applyNumberFormat="1" applyFont="1"/>
    <xf numFmtId="0" fontId="12" fillId="0" borderId="0" xfId="5" applyFont="1"/>
    <xf numFmtId="0" fontId="1" fillId="2" borderId="1" xfId="5" applyFill="1" applyBorder="1" applyAlignment="1">
      <alignment horizontal="center"/>
    </xf>
    <xf numFmtId="0" fontId="1" fillId="2" borderId="2" xfId="5" applyFill="1" applyBorder="1"/>
    <xf numFmtId="0" fontId="1" fillId="2" borderId="3" xfId="5" applyFill="1" applyBorder="1"/>
    <xf numFmtId="0" fontId="1" fillId="0" borderId="1" xfId="5" applyBorder="1" applyAlignment="1">
      <alignment horizontal="center"/>
    </xf>
    <xf numFmtId="0" fontId="1" fillId="0" borderId="2" xfId="5" applyBorder="1"/>
    <xf numFmtId="0" fontId="1" fillId="0" borderId="3" xfId="5" applyBorder="1"/>
    <xf numFmtId="0" fontId="1" fillId="0" borderId="4" xfId="5" applyBorder="1" applyAlignment="1">
      <alignment horizontal="center"/>
    </xf>
    <xf numFmtId="0" fontId="1" fillId="0" borderId="5" xfId="5" applyBorder="1"/>
    <xf numFmtId="0" fontId="1" fillId="0" borderId="6" xfId="5" applyBorder="1"/>
  </cellXfs>
  <cellStyles count="9">
    <cellStyle name="Comma" xfId="1" builtinId="3"/>
    <cellStyle name="Comma 2" xfId="6" xr:uid="{92779C8C-32D8-4C13-A1DF-9875A4C8DE50}"/>
    <cellStyle name="Comma 2 2" xfId="8" xr:uid="{BCBC565A-4494-425F-9394-456A943F2E8E}"/>
    <cellStyle name="Normal" xfId="0" builtinId="0"/>
    <cellStyle name="Normal 2" xfId="5" xr:uid="{0BE92135-33B5-4974-90E6-04D045BE031C}"/>
    <cellStyle name="Normal 2 2" xfId="7" xr:uid="{65482ACC-0E72-40DF-ADC3-3E374DB457AB}"/>
    <cellStyle name="Normal 47" xfId="4" xr:uid="{708B74D8-6582-45E1-BDC0-6248C5AB9EF0}"/>
    <cellStyle name="Percent" xfId="2" builtinId="5"/>
    <cellStyle name="Percent 14 2" xfId="3" xr:uid="{DA0A8061-22B8-4C61-8B88-7CDD032BA1F8}"/>
  </cellStyles>
  <dxfs count="55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66" formatCode="_-* #,##0_-;\-* #,##0_-;_-* &quot;-&quot;??_-;_-@_-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(* #,##0.000_);_(* \(#,##0.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msw01\Desktop\&#3594;&#3639;&#3656;&#3629;&#3648;&#3585;&#3625;&#3605;&#3619;.xlsx" TargetMode="External"/><Relationship Id="rId1" Type="http://schemas.openxmlformats.org/officeDocument/2006/relationships/externalLinkPath" Target="file:///C:\Users\promsw01\Desktop\&#3594;&#3639;&#3656;&#3629;&#3648;&#3585;&#3625;&#3605;&#3619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ngredion-my.sharepoint.com/personal/waraporn_promsurin_ingredion_com/Documents/DATA/1%20Incoming%20report/CDP%20Transportation/2023%20Transportation%20Data%20for%202024%20CDP%20Submission%20Template%20_%20Cassava%20updatae%20on%20Jan'24.xlsx" TargetMode="External"/><Relationship Id="rId2" Type="http://schemas.microsoft.com/office/2019/04/relationships/externalLinkLongPath" Target="/personal/waraporn_promsurin_ingredion_com/Documents/DATA/1%20Incoming%20report/CDP%20Transportation/2023%20Transportation%20Data%20for%202024%20CDP%20Submission%20Template%20_%20Cassava%20updatae%20on%20Jan'24.xlsx?A31889CF" TargetMode="External"/><Relationship Id="rId1" Type="http://schemas.openxmlformats.org/officeDocument/2006/relationships/externalLinkPath" Target="file:///\\A31889CF\2023%20Transportation%20Data%20for%202024%20CDP%20Submission%20Template%20_%20Cassava%20updatae%20on%20Jan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me.SK"/>
      <sheetName val="Name.KSN"/>
    </sheetNames>
    <sheetDataSet>
      <sheetData sheetId="0"/>
      <sheetData sheetId="1">
        <row r="2">
          <cell r="C2" t="str">
            <v xml:space="preserve">นาง คำจันทร์ ดลปัดชา </v>
          </cell>
          <cell r="D2" t="str">
            <v>เมืองกาฬสินธุ์</v>
          </cell>
          <cell r="E2" t="str">
            <v>กาฬสินธุ์</v>
          </cell>
          <cell r="F2" t="str">
            <v>Farmer</v>
          </cell>
        </row>
        <row r="3">
          <cell r="C3" t="str">
            <v>นางกรรนิกา คำสวัสดิ์</v>
          </cell>
          <cell r="D3" t="str">
            <v>ดอนจาน</v>
          </cell>
          <cell r="E3" t="str">
            <v>กาฬสินธุ์</v>
          </cell>
          <cell r="F3" t="str">
            <v>Farmer</v>
          </cell>
        </row>
        <row r="4">
          <cell r="C4" t="str">
            <v>นางกัญญารัตน์ คำหงษา</v>
          </cell>
          <cell r="D4" t="str">
            <v>เมืองกาฬสินธุ์</v>
          </cell>
          <cell r="E4" t="str">
            <v>กาฬสินธุ์</v>
          </cell>
          <cell r="F4" t="str">
            <v>Farmer</v>
          </cell>
        </row>
        <row r="5">
          <cell r="C5" t="str">
            <v>นางกิ่งแก้ว ธารศรี</v>
          </cell>
          <cell r="D5" t="str">
            <v>เมืองกาฬสินธุ์</v>
          </cell>
          <cell r="E5" t="str">
            <v>กาฬสินธุ์</v>
          </cell>
          <cell r="F5" t="str">
            <v>Farmer</v>
          </cell>
        </row>
        <row r="6">
          <cell r="C6" t="str">
            <v>นางกิริณี เขจรแข</v>
          </cell>
          <cell r="D6" t="str">
            <v>นามน</v>
          </cell>
          <cell r="E6" t="str">
            <v>กาฬสินธุ์</v>
          </cell>
          <cell r="F6" t="str">
            <v>Farmer</v>
          </cell>
        </row>
        <row r="7">
          <cell r="C7" t="str">
            <v>นางขาวจร คงมูล</v>
          </cell>
          <cell r="D7" t="str">
            <v>เมืองกาฬสินธุ์</v>
          </cell>
          <cell r="E7" t="str">
            <v>กาฬสินธุ์</v>
          </cell>
          <cell r="F7" t="str">
            <v>Farmer</v>
          </cell>
        </row>
        <row r="8">
          <cell r="C8" t="str">
            <v>นางคำดี คำไพรศรี</v>
          </cell>
          <cell r="D8" t="str">
            <v>สหัสขันธ์</v>
          </cell>
          <cell r="E8" t="str">
            <v>กาฬสินธุ์</v>
          </cell>
          <cell r="F8" t="str">
            <v>Farmer</v>
          </cell>
        </row>
        <row r="9">
          <cell r="C9" t="str">
            <v>นางคำปุน ทิวะสิงห์</v>
          </cell>
          <cell r="D9" t="str">
            <v>เมืองกาฬสินธุ์</v>
          </cell>
          <cell r="E9" t="str">
            <v>กาฬสินธุ์</v>
          </cell>
          <cell r="F9" t="str">
            <v>Farmer</v>
          </cell>
        </row>
        <row r="10">
          <cell r="C10" t="str">
            <v>นางคำพันธ์ อบมาลี</v>
          </cell>
          <cell r="D10" t="str">
            <v>สหัสขันธ์</v>
          </cell>
          <cell r="E10" t="str">
            <v>กาฬสินธุ์</v>
          </cell>
          <cell r="F10" t="str">
            <v>Farmer</v>
          </cell>
        </row>
        <row r="11">
          <cell r="C11" t="str">
            <v>นางคำเพียร ภารประสาท</v>
          </cell>
          <cell r="D11" t="str">
            <v>ดอนจาน</v>
          </cell>
          <cell r="E11" t="str">
            <v>กาฬสินธุ์</v>
          </cell>
          <cell r="F11" t="str">
            <v>Farmer</v>
          </cell>
        </row>
        <row r="12">
          <cell r="C12" t="str">
            <v>นางจันทร์เพ็ญ คำหงษา</v>
          </cell>
          <cell r="D12" t="str">
            <v>เมืองกาฬสินธุ์</v>
          </cell>
          <cell r="E12" t="str">
            <v>กาฬสินธุ์</v>
          </cell>
          <cell r="F12" t="str">
            <v>Farmer</v>
          </cell>
        </row>
        <row r="13">
          <cell r="C13" t="str">
            <v>นางจันทร์เพ็ญ เฉื่อยกลาง</v>
          </cell>
          <cell r="D13" t="str">
            <v>สมเด็จ</v>
          </cell>
          <cell r="E13" t="str">
            <v>กาฬสินธุ์</v>
          </cell>
          <cell r="F13" t="str">
            <v>Farmer</v>
          </cell>
        </row>
        <row r="14">
          <cell r="C14" t="str">
            <v>นางจันทร์เพ็ญ ผดุงจันทร์</v>
          </cell>
          <cell r="D14" t="str">
            <v>เมืองกาฬสินธุ์</v>
          </cell>
          <cell r="E14" t="str">
            <v>กาฬสินธุ์</v>
          </cell>
          <cell r="F14" t="str">
            <v>Farmer</v>
          </cell>
        </row>
        <row r="15">
          <cell r="C15" t="str">
            <v>นางจันทร์เพ็ญ พันธ์สุวรรณ์</v>
          </cell>
          <cell r="D15" t="str">
            <v>เมืองกาฬสินธุ์</v>
          </cell>
          <cell r="E15" t="str">
            <v>กาฬสินธุ์</v>
          </cell>
          <cell r="F15" t="str">
            <v>Farmer</v>
          </cell>
        </row>
        <row r="16">
          <cell r="C16" t="str">
            <v>นางจุฑามาศ ไพศาล</v>
          </cell>
          <cell r="D16" t="str">
            <v>สมเด็จ</v>
          </cell>
          <cell r="E16" t="str">
            <v>กาฬสินธุ์</v>
          </cell>
          <cell r="F16" t="str">
            <v>Farmer</v>
          </cell>
        </row>
        <row r="17">
          <cell r="C17" t="str">
            <v>นางเจียระไน อุทุมพร</v>
          </cell>
          <cell r="D17" t="str">
            <v>เสลภูมิ</v>
          </cell>
          <cell r="E17" t="str">
            <v>ร้อยเอ็ด</v>
          </cell>
          <cell r="F17" t="str">
            <v>Broker</v>
          </cell>
        </row>
        <row r="18">
          <cell r="C18" t="str">
            <v>นางเฉลียง ดลเจิม</v>
          </cell>
          <cell r="D18" t="str">
            <v>เมืองกาฬสินธุ์</v>
          </cell>
          <cell r="E18" t="str">
            <v>กาฬสินธุ์</v>
          </cell>
          <cell r="F18" t="str">
            <v>Farmer</v>
          </cell>
        </row>
        <row r="19">
          <cell r="C19" t="str">
            <v>นางชมเชย ทรัพกุล</v>
          </cell>
          <cell r="D19" t="str">
            <v>เมืองกาฬสินธุ์</v>
          </cell>
          <cell r="E19" t="str">
            <v>กาฬสินธุ์</v>
          </cell>
          <cell r="F19" t="str">
            <v>Farmer</v>
          </cell>
        </row>
        <row r="20">
          <cell r="C20" t="str">
            <v>นางณิรดา แสนแก้ว</v>
          </cell>
          <cell r="D20" t="str">
            <v>คำม่วง</v>
          </cell>
          <cell r="E20" t="str">
            <v>กาฬสินธุ์</v>
          </cell>
          <cell r="F20" t="str">
            <v>Farmer</v>
          </cell>
        </row>
        <row r="21">
          <cell r="C21" t="str">
            <v>นางดาวรรณ พรรณขาม</v>
          </cell>
          <cell r="D21" t="str">
            <v>สหัสขันธ์</v>
          </cell>
          <cell r="E21" t="str">
            <v>กาฬสินธุ์</v>
          </cell>
          <cell r="F21" t="str">
            <v>Farmer</v>
          </cell>
        </row>
        <row r="22">
          <cell r="C22" t="str">
            <v>นางดุษฎี ทิวะสิงห์</v>
          </cell>
          <cell r="D22" t="str">
            <v>เมืองกาฬสินธุ์</v>
          </cell>
          <cell r="E22" t="str">
            <v>กาฬสินธุ์</v>
          </cell>
          <cell r="F22" t="str">
            <v>Farmer</v>
          </cell>
        </row>
        <row r="23">
          <cell r="C23" t="str">
            <v>นางติ๋ม พลเดชา</v>
          </cell>
          <cell r="D23" t="str">
            <v>สมเด็จ</v>
          </cell>
          <cell r="E23" t="str">
            <v>กาฬสินธุ์</v>
          </cell>
          <cell r="F23" t="str">
            <v>Farmer</v>
          </cell>
        </row>
        <row r="24">
          <cell r="C24" t="str">
            <v>นางตุ๊กตา อนันตพัฒน์</v>
          </cell>
          <cell r="D24" t="str">
            <v>เมืองกาฬสินธุ์</v>
          </cell>
          <cell r="E24" t="str">
            <v>กาฬสินธุ์</v>
          </cell>
          <cell r="F24" t="str">
            <v>Farmer</v>
          </cell>
        </row>
        <row r="25">
          <cell r="C25" t="str">
            <v>นางเต็ม สังฆมณี</v>
          </cell>
          <cell r="D25" t="str">
            <v>สมเด็จ</v>
          </cell>
          <cell r="E25" t="str">
            <v>กาฬสินธุ์</v>
          </cell>
          <cell r="F25" t="str">
            <v>Farmer</v>
          </cell>
        </row>
        <row r="26">
          <cell r="C26" t="str">
            <v>นางแต้ม สันประภา</v>
          </cell>
          <cell r="D26" t="str">
            <v>เมืองกาฬสินธุ์</v>
          </cell>
          <cell r="E26" t="str">
            <v>กาฬสินธุ์</v>
          </cell>
          <cell r="F26" t="str">
            <v>Farmer</v>
          </cell>
        </row>
        <row r="27">
          <cell r="C27" t="str">
            <v>นางถวิล จุทาการ</v>
          </cell>
          <cell r="D27" t="str">
            <v>เมืองกาฬสินธุ์</v>
          </cell>
          <cell r="E27" t="str">
            <v>กาฬสินธุ์</v>
          </cell>
          <cell r="F27" t="str">
            <v>Farmer</v>
          </cell>
        </row>
        <row r="28">
          <cell r="C28" t="str">
            <v>นางทองใบ ชนะชัยสิงห์</v>
          </cell>
          <cell r="D28" t="str">
            <v>นามน</v>
          </cell>
          <cell r="E28" t="str">
            <v>กาฬสินธุ์</v>
          </cell>
          <cell r="F28" t="str">
            <v>Farmer</v>
          </cell>
        </row>
        <row r="29">
          <cell r="C29" t="str">
            <v>นางทองใบ พรมหนองอ้อ</v>
          </cell>
          <cell r="D29" t="str">
            <v>น้ำพอง</v>
          </cell>
          <cell r="E29" t="str">
            <v>ขอนแก่น</v>
          </cell>
          <cell r="F29" t="str">
            <v>Broker</v>
          </cell>
        </row>
        <row r="30">
          <cell r="C30" t="str">
            <v>นางทองลา ภูมีเมฆ</v>
          </cell>
          <cell r="D30" t="str">
            <v>สหัสขันธ์</v>
          </cell>
          <cell r="E30" t="str">
            <v>กาฬสินธุ์</v>
          </cell>
          <cell r="F30" t="str">
            <v>Farmer</v>
          </cell>
        </row>
        <row r="31">
          <cell r="C31" t="str">
            <v>นางทองสา สายสิม</v>
          </cell>
          <cell r="D31" t="str">
            <v>หนองกุงศรี</v>
          </cell>
          <cell r="E31" t="str">
            <v>กาฬสินธุ์</v>
          </cell>
          <cell r="F31" t="str">
            <v>Farmer</v>
          </cell>
        </row>
        <row r="32">
          <cell r="C32" t="str">
            <v>นางทองสิน ภูผาสุข</v>
          </cell>
          <cell r="D32" t="str">
            <v>หนองกุงศรี</v>
          </cell>
          <cell r="E32" t="str">
            <v>กาฬสินธุ์</v>
          </cell>
          <cell r="F32" t="str">
            <v>Farmer</v>
          </cell>
        </row>
        <row r="33">
          <cell r="C33" t="str">
            <v>นางทองสุข คงถิ่น</v>
          </cell>
          <cell r="D33" t="str">
            <v>เมืองกาฬสินธุ์</v>
          </cell>
          <cell r="E33" t="str">
            <v>กาฬสินธุ์</v>
          </cell>
          <cell r="F33" t="str">
            <v>Farmer</v>
          </cell>
        </row>
        <row r="34">
          <cell r="C34" t="str">
            <v>นางทองสุข เรืองนุช</v>
          </cell>
          <cell r="D34" t="str">
            <v>นามน</v>
          </cell>
          <cell r="E34" t="str">
            <v>กาฬสินธุ์</v>
          </cell>
          <cell r="F34" t="str">
            <v>Farmer</v>
          </cell>
        </row>
        <row r="35">
          <cell r="C35" t="str">
            <v>นางทัศนีย์ เกื้ออนัน</v>
          </cell>
          <cell r="D35" t="str">
            <v>เมืองกาฬสินธุ์</v>
          </cell>
          <cell r="E35" t="str">
            <v>กาฬสินธุ์</v>
          </cell>
          <cell r="F35" t="str">
            <v>Farmer</v>
          </cell>
        </row>
        <row r="36">
          <cell r="C36" t="str">
            <v>นางธมลวรรณ แดงบุสดี</v>
          </cell>
          <cell r="D36" t="str">
            <v>เมืองกาฬสินธุ์</v>
          </cell>
          <cell r="E36" t="str">
            <v>กาฬสินธุ์</v>
          </cell>
          <cell r="F36" t="str">
            <v>Farmer</v>
          </cell>
        </row>
        <row r="37">
          <cell r="C37" t="str">
            <v>นางธัญทิพย์ คำหงษา</v>
          </cell>
          <cell r="D37" t="str">
            <v>เมืองกาฬสินธุ์</v>
          </cell>
          <cell r="E37" t="str">
            <v>กาฬสินธุ์</v>
          </cell>
          <cell r="F37" t="str">
            <v>Farmer</v>
          </cell>
        </row>
        <row r="38">
          <cell r="C38" t="str">
            <v>นางนวลจันทร์ เนตรเสนา</v>
          </cell>
          <cell r="D38" t="str">
            <v>สมเด็จ</v>
          </cell>
          <cell r="E38" t="str">
            <v>กาฬสินธุ์</v>
          </cell>
          <cell r="F38" t="str">
            <v>Farmer</v>
          </cell>
        </row>
        <row r="39">
          <cell r="C39" t="str">
            <v>นางนวลมณี มุศิริ</v>
          </cell>
          <cell r="D39" t="str">
            <v>เมืองกาฬสินธุ์</v>
          </cell>
          <cell r="E39" t="str">
            <v>กาฬสินธุ์</v>
          </cell>
          <cell r="F39" t="str">
            <v>Farmer</v>
          </cell>
        </row>
        <row r="40">
          <cell r="C40" t="str">
            <v>นางนะรอง นระแสน</v>
          </cell>
          <cell r="D40" t="str">
            <v>เมืองกาฬสินธุ์</v>
          </cell>
          <cell r="E40" t="str">
            <v>กาฬสินธุ์</v>
          </cell>
          <cell r="F40" t="str">
            <v>Farmer</v>
          </cell>
        </row>
        <row r="41">
          <cell r="C41" t="str">
            <v>นางนันทิยาพร วงสุวรรณ</v>
          </cell>
          <cell r="D41" t="str">
            <v>เมืองกาฬสินธุ์</v>
          </cell>
          <cell r="E41" t="str">
            <v>กาฬสินธุ์</v>
          </cell>
          <cell r="F41" t="str">
            <v>Farmer</v>
          </cell>
        </row>
        <row r="42">
          <cell r="C42" t="str">
            <v>นางนันที วรรณจักร</v>
          </cell>
          <cell r="D42" t="str">
            <v>นามน</v>
          </cell>
          <cell r="E42" t="str">
            <v>กาฬสินธุ์</v>
          </cell>
          <cell r="F42" t="str">
            <v>Farmer</v>
          </cell>
        </row>
        <row r="43">
          <cell r="C43" t="str">
            <v>นางนิสรรณ์ ทรัพย์กุล</v>
          </cell>
          <cell r="D43" t="str">
            <v>เมืองกาฬสินธุ์</v>
          </cell>
          <cell r="E43" t="str">
            <v>กาฬสินธุ์</v>
          </cell>
          <cell r="F43" t="str">
            <v>Farmer</v>
          </cell>
        </row>
        <row r="44">
          <cell r="C44" t="str">
            <v>นางนีลุบล คำหงศา</v>
          </cell>
          <cell r="D44" t="str">
            <v>เมืองกาฬสินธุ์</v>
          </cell>
          <cell r="E44" t="str">
            <v>กาฬสินธุ์</v>
          </cell>
          <cell r="F44" t="str">
            <v>Farmer</v>
          </cell>
        </row>
        <row r="45">
          <cell r="C45" t="str">
            <v>นางบรรทม แจ่มสุวรรณ</v>
          </cell>
          <cell r="D45" t="str">
            <v>เมืองกาฬสินธุ์</v>
          </cell>
          <cell r="E45" t="str">
            <v>กาฬสินธุ์</v>
          </cell>
          <cell r="F45" t="str">
            <v>Farmer</v>
          </cell>
        </row>
        <row r="46">
          <cell r="C46" t="str">
            <v>นางบัวพัน เจริญเขต</v>
          </cell>
          <cell r="D46" t="str">
            <v>กุฉินารายณ์</v>
          </cell>
          <cell r="E46" t="str">
            <v>กาฬสินธุ์</v>
          </cell>
          <cell r="F46" t="str">
            <v>Farmer</v>
          </cell>
        </row>
        <row r="47">
          <cell r="C47" t="str">
            <v>นางบัวลอย ทรัพย์พิพัฒน์</v>
          </cell>
          <cell r="D47" t="str">
            <v>เมืองกาฬสินธุ์</v>
          </cell>
          <cell r="E47" t="str">
            <v>กาฬสินธุ์</v>
          </cell>
          <cell r="F47" t="str">
            <v>Farmer</v>
          </cell>
        </row>
        <row r="48">
          <cell r="C48" t="str">
            <v>นางบัวไล พิกุลหอม</v>
          </cell>
          <cell r="D48" t="str">
            <v>เมืองกาฬสินธุ์</v>
          </cell>
          <cell r="E48" t="str">
            <v>กาฬสินธุ์</v>
          </cell>
          <cell r="F48" t="str">
            <v>Farmer</v>
          </cell>
        </row>
        <row r="49">
          <cell r="C49" t="str">
            <v>นางบุญมี มาตรมงคล</v>
          </cell>
          <cell r="D49" t="str">
            <v>เมืองกาฬสินธุ์</v>
          </cell>
          <cell r="E49" t="str">
            <v>กาฬสินธุ์</v>
          </cell>
          <cell r="F49" t="str">
            <v>Farmer</v>
          </cell>
        </row>
        <row r="50">
          <cell r="C50" t="str">
            <v>นางบุญมี หมั่นประกอบ</v>
          </cell>
          <cell r="D50" t="str">
            <v>เมืองกาฬสินธุ์</v>
          </cell>
          <cell r="E50" t="str">
            <v>กาฬสินธุ์</v>
          </cell>
          <cell r="F50" t="str">
            <v>Farmer</v>
          </cell>
        </row>
        <row r="51">
          <cell r="C51" t="str">
            <v>นางบุญรื่น คำเจริญ</v>
          </cell>
          <cell r="D51" t="str">
            <v>เมืองกาฬสินธุ์</v>
          </cell>
          <cell r="E51" t="str">
            <v>กาฬสินธุ์</v>
          </cell>
          <cell r="F51" t="str">
            <v>Farmer</v>
          </cell>
        </row>
        <row r="52">
          <cell r="C52" t="str">
            <v>นางบุญโฮม แพงคำ</v>
          </cell>
          <cell r="D52" t="str">
            <v>เมืองกาฬสินธุ์</v>
          </cell>
          <cell r="E52" t="str">
            <v>กาฬสินธุ์</v>
          </cell>
          <cell r="F52" t="str">
            <v>Farmer</v>
          </cell>
        </row>
        <row r="53">
          <cell r="C53" t="str">
            <v>นางปภัสรา คำศรียา</v>
          </cell>
          <cell r="D53" t="str">
            <v>เมืองกาฬสินธุ์</v>
          </cell>
          <cell r="E53" t="str">
            <v>กาฬสินธุ์</v>
          </cell>
          <cell r="F53" t="str">
            <v>Farmer</v>
          </cell>
        </row>
        <row r="54">
          <cell r="C54" t="str">
            <v>นางประครอง คำมะลิ</v>
          </cell>
          <cell r="D54" t="str">
            <v>เมืองกาฬสินธุ์</v>
          </cell>
          <cell r="E54" t="str">
            <v>กาฬสินธุ์</v>
          </cell>
          <cell r="F54" t="str">
            <v>Farmer</v>
          </cell>
        </row>
        <row r="55">
          <cell r="C55" t="str">
            <v>นางประนอม โชติไสว</v>
          </cell>
          <cell r="D55" t="str">
            <v>กุฉินารายณ์</v>
          </cell>
          <cell r="E55" t="str">
            <v>กาฬสินธุ์</v>
          </cell>
          <cell r="F55" t="str">
            <v>Farmer</v>
          </cell>
        </row>
        <row r="56">
          <cell r="C56" t="str">
            <v>นางประภาพร ตาลประเสริฐ</v>
          </cell>
          <cell r="D56" t="str">
            <v>กุฉินารายณ์</v>
          </cell>
          <cell r="E56" t="str">
            <v>กาฬสินธุ์</v>
          </cell>
          <cell r="F56" t="str">
            <v>Farmer</v>
          </cell>
        </row>
        <row r="57">
          <cell r="C57" t="str">
            <v>นางประมวล ถินวิลัย</v>
          </cell>
          <cell r="D57" t="str">
            <v>เมืองกาฬสินธุ์</v>
          </cell>
          <cell r="E57" t="str">
            <v>กาฬสินธุ์</v>
          </cell>
          <cell r="F57" t="str">
            <v>Farmer</v>
          </cell>
        </row>
        <row r="58">
          <cell r="C58" t="str">
            <v>นางปราณี บุญละคร</v>
          </cell>
          <cell r="D58" t="str">
            <v>นามน</v>
          </cell>
          <cell r="E58" t="str">
            <v>กาฬสินธุ์</v>
          </cell>
          <cell r="F58" t="str">
            <v>Farmer</v>
          </cell>
        </row>
        <row r="59">
          <cell r="C59" t="str">
            <v>นางปริณดา นาทองแถม</v>
          </cell>
          <cell r="D59" t="str">
            <v>โพนทอง</v>
          </cell>
          <cell r="E59" t="str">
            <v>ร้อยเอ็ด</v>
          </cell>
          <cell r="F59" t="str">
            <v>Farmer</v>
          </cell>
        </row>
        <row r="60">
          <cell r="C60" t="str">
            <v>นางปองสี ระวิชัย</v>
          </cell>
          <cell r="D60" t="str">
            <v>สมเด็จ</v>
          </cell>
          <cell r="E60" t="str">
            <v>กาฬสินธุ์</v>
          </cell>
          <cell r="F60" t="str">
            <v>Farmer</v>
          </cell>
        </row>
        <row r="61">
          <cell r="C61" t="str">
            <v>นางปันณะดา ภูอุทัย</v>
          </cell>
          <cell r="D61" t="str">
            <v>ยางตลาด</v>
          </cell>
          <cell r="E61" t="str">
            <v>กาฬสินธุ์</v>
          </cell>
          <cell r="F61" t="str">
            <v>Farmer</v>
          </cell>
        </row>
        <row r="62">
          <cell r="C62" t="str">
            <v>นางพนม เพชรบรม</v>
          </cell>
          <cell r="D62" t="str">
            <v>เมืองกาฬสินธุ์</v>
          </cell>
          <cell r="E62" t="str">
            <v>กาฬสินธุ์</v>
          </cell>
          <cell r="F62" t="str">
            <v>Farmer</v>
          </cell>
        </row>
        <row r="63">
          <cell r="C63" t="str">
            <v>นางพนิดา พัสดร</v>
          </cell>
          <cell r="D63" t="str">
            <v>นามน</v>
          </cell>
          <cell r="E63" t="str">
            <v>กาฬสินธุ์</v>
          </cell>
          <cell r="F63" t="str">
            <v>Farmer</v>
          </cell>
        </row>
        <row r="64">
          <cell r="C64" t="str">
            <v>นางพรทิพย์ เวียงอินทร์</v>
          </cell>
          <cell r="D64" t="str">
            <v>ดอนจาน</v>
          </cell>
          <cell r="E64" t="str">
            <v>กาฬสินธุ์</v>
          </cell>
          <cell r="F64" t="str">
            <v>Farmer</v>
          </cell>
        </row>
        <row r="65">
          <cell r="C65" t="str">
            <v>นางพรรณี ศรีผักผ่อง</v>
          </cell>
          <cell r="D65" t="str">
            <v>หนองกุงศรี</v>
          </cell>
          <cell r="E65" t="str">
            <v>กาฬสินธุ์</v>
          </cell>
          <cell r="F65" t="str">
            <v>Farmer</v>
          </cell>
        </row>
        <row r="66">
          <cell r="C66" t="str">
            <v>นางพิกุล แดงบุสดี</v>
          </cell>
          <cell r="D66" t="str">
            <v>เมืองกาฬสินธุ์</v>
          </cell>
          <cell r="E66" t="str">
            <v>กาฬสินธุ์</v>
          </cell>
          <cell r="F66" t="str">
            <v>Farmer</v>
          </cell>
        </row>
        <row r="67">
          <cell r="C67" t="str">
            <v>นางพิกุล แวงโส</v>
          </cell>
          <cell r="D67" t="str">
            <v>กุฉินารายณ์</v>
          </cell>
          <cell r="E67" t="str">
            <v>กาฬสินธุ์</v>
          </cell>
          <cell r="F67" t="str">
            <v>Farmer</v>
          </cell>
        </row>
        <row r="68">
          <cell r="C68" t="str">
            <v>นางพิมพา ทุมพล</v>
          </cell>
          <cell r="D68" t="str">
            <v>สหัสขันธ์</v>
          </cell>
          <cell r="E68" t="str">
            <v>กาฬสินธุ์</v>
          </cell>
          <cell r="F68" t="str">
            <v>Farmer</v>
          </cell>
        </row>
        <row r="69">
          <cell r="C69" t="str">
            <v>นางพิลุธ รัตธรรม</v>
          </cell>
          <cell r="D69" t="str">
            <v>สมเด็จ</v>
          </cell>
          <cell r="E69" t="str">
            <v>กาฬสินธุ์</v>
          </cell>
          <cell r="F69" t="str">
            <v>Farmer</v>
          </cell>
        </row>
        <row r="70">
          <cell r="C70" t="str">
            <v>นางพิศมัย คำยุธา</v>
          </cell>
          <cell r="D70" t="str">
            <v>เมืองกาฬสินธุ์</v>
          </cell>
          <cell r="E70" t="str">
            <v>กาฬสินธุ์</v>
          </cell>
          <cell r="F70" t="str">
            <v>Farmer</v>
          </cell>
        </row>
        <row r="71">
          <cell r="C71" t="str">
            <v>นางพิศมัย แจ่มศักดิ์</v>
          </cell>
          <cell r="D71" t="str">
            <v>เมืองกาฬสินธุ์</v>
          </cell>
          <cell r="E71" t="str">
            <v>กาฬสินธุ์</v>
          </cell>
          <cell r="F71" t="str">
            <v>Farmer</v>
          </cell>
        </row>
        <row r="72">
          <cell r="C72" t="str">
            <v>นางพิศมัย นันสมบัติ</v>
          </cell>
          <cell r="D72" t="str">
            <v>เมืองกาฬสินธุ์</v>
          </cell>
          <cell r="E72" t="str">
            <v>กาฬสินธุ์</v>
          </cell>
          <cell r="F72" t="str">
            <v>Farmer</v>
          </cell>
        </row>
        <row r="73">
          <cell r="C73" t="str">
            <v>นางพิศมัย พันธ์พิพิธ</v>
          </cell>
          <cell r="D73" t="str">
            <v>เมืองกาฬสินธุ์</v>
          </cell>
          <cell r="E73" t="str">
            <v>กาฬสินธุ์</v>
          </cell>
          <cell r="F73" t="str">
            <v>Farmer</v>
          </cell>
        </row>
        <row r="74">
          <cell r="C74" t="str">
            <v>นางพิศมัย ภูดี</v>
          </cell>
          <cell r="D74" t="str">
            <v>ภูพาน</v>
          </cell>
          <cell r="E74" t="str">
            <v>สกลนคร</v>
          </cell>
          <cell r="F74" t="str">
            <v>Broker</v>
          </cell>
        </row>
        <row r="75">
          <cell r="C75" t="str">
            <v>นางเพชรสุพรรณ อารีเอื้อ</v>
          </cell>
          <cell r="D75" t="str">
            <v>เมืองกาฬสินธุ์</v>
          </cell>
          <cell r="E75" t="str">
            <v>กาฬสินธุ์</v>
          </cell>
          <cell r="F75" t="str">
            <v>Farmer</v>
          </cell>
        </row>
        <row r="76">
          <cell r="C76" t="str">
            <v>นางไพรวัลย์ แสนสุด</v>
          </cell>
          <cell r="D76" t="str">
            <v>เมืองกาฬสินธุ์</v>
          </cell>
          <cell r="E76" t="str">
            <v>กาฬสินธุ์</v>
          </cell>
          <cell r="F76" t="str">
            <v>Farmer</v>
          </cell>
        </row>
        <row r="77">
          <cell r="C77" t="str">
            <v>นางภาภรกุล พลเยี่ยม</v>
          </cell>
          <cell r="D77" t="str">
            <v>เมืองกาฬสินธุ์</v>
          </cell>
          <cell r="E77" t="str">
            <v>กาฬสินธุ์</v>
          </cell>
          <cell r="F77" t="str">
            <v>Farmer</v>
          </cell>
        </row>
        <row r="78">
          <cell r="C78" t="str">
            <v>นางมณีรัตน์ การรัตน์</v>
          </cell>
          <cell r="D78" t="str">
            <v>เมืองกาฬสินธุ์</v>
          </cell>
          <cell r="E78" t="str">
            <v>กาฬสินธุ์</v>
          </cell>
          <cell r="F78" t="str">
            <v>Farmer</v>
          </cell>
        </row>
        <row r="79">
          <cell r="C79" t="str">
            <v>นางมลฤฎี นระแสน</v>
          </cell>
          <cell r="D79" t="str">
            <v>เมืองกาฬสินธุ์</v>
          </cell>
          <cell r="E79" t="str">
            <v>กาฬสินธุ์</v>
          </cell>
          <cell r="F79" t="str">
            <v>Farmer</v>
          </cell>
        </row>
        <row r="80">
          <cell r="C80" t="str">
            <v>นางมลิวัลย์ นาทองลาย</v>
          </cell>
          <cell r="D80" t="str">
            <v>เมืองกาฬสินธุ์</v>
          </cell>
          <cell r="E80" t="str">
            <v>กาฬสินธุ์</v>
          </cell>
          <cell r="F80" t="str">
            <v>Farmer</v>
          </cell>
        </row>
        <row r="81">
          <cell r="C81" t="str">
            <v>นางมะลิวรรร์ กุลแก้ว</v>
          </cell>
          <cell r="D81" t="str">
            <v>นามน</v>
          </cell>
          <cell r="E81" t="str">
            <v>กาฬสินธุ์</v>
          </cell>
          <cell r="F81" t="str">
            <v>Farmer</v>
          </cell>
        </row>
        <row r="82">
          <cell r="C82" t="str">
            <v>นางมุกดา พันจรุง</v>
          </cell>
          <cell r="D82" t="str">
            <v>สมเด็จ</v>
          </cell>
          <cell r="E82" t="str">
            <v>กาฬสินธุ์</v>
          </cell>
          <cell r="F82" t="str">
            <v>Farmer</v>
          </cell>
        </row>
        <row r="83">
          <cell r="C83" t="str">
            <v>นางยุพเยาว์ พรมราช</v>
          </cell>
          <cell r="D83" t="str">
            <v>สมเด็จ</v>
          </cell>
          <cell r="E83" t="str">
            <v>กาฬสินธุ์</v>
          </cell>
          <cell r="F83" t="str">
            <v>Farmer</v>
          </cell>
        </row>
        <row r="84">
          <cell r="C84" t="str">
            <v>นางยุพาวรรณ ตันสกุล</v>
          </cell>
          <cell r="D84" t="str">
            <v>สมเด็จ</v>
          </cell>
          <cell r="E84" t="str">
            <v>กาฬสินธุ์</v>
          </cell>
          <cell r="F84" t="str">
            <v>Farmer</v>
          </cell>
        </row>
        <row r="85">
          <cell r="C85" t="str">
            <v>นางไย จันทมุด</v>
          </cell>
          <cell r="D85" t="str">
            <v>สหัสขันธ์</v>
          </cell>
          <cell r="E85" t="str">
            <v>กาฬสินธุ์</v>
          </cell>
          <cell r="F85" t="str">
            <v>Farmer</v>
          </cell>
        </row>
        <row r="86">
          <cell r="C86" t="str">
            <v>นางรจนา ฟังก์</v>
          </cell>
          <cell r="D86" t="str">
            <v>เขาสวนกวาง</v>
          </cell>
          <cell r="E86" t="str">
            <v>ขอนแก่น</v>
          </cell>
          <cell r="F86" t="str">
            <v>Broker</v>
          </cell>
        </row>
        <row r="87">
          <cell r="C87" t="str">
            <v>นางรัชนิกรณ์ กระธรรมมะ</v>
          </cell>
          <cell r="D87" t="str">
            <v>หนองกุงศรี</v>
          </cell>
          <cell r="E87" t="str">
            <v>กาฬสินธุ์</v>
          </cell>
          <cell r="F87" t="str">
            <v>Farmer</v>
          </cell>
        </row>
        <row r="88">
          <cell r="C88" t="str">
            <v>นางรัตน์ลาวัลย์ สินชัย</v>
          </cell>
          <cell r="D88" t="str">
            <v>สหัสขันธ์</v>
          </cell>
          <cell r="E88" t="str">
            <v>กาฬสินธุ์</v>
          </cell>
          <cell r="F88" t="str">
            <v>Farmer</v>
          </cell>
        </row>
        <row r="89">
          <cell r="C89" t="str">
            <v>นางรุจิกร ป้องวิชัย</v>
          </cell>
          <cell r="D89" t="str">
            <v xml:space="preserve">กุฉินารายณ์ </v>
          </cell>
          <cell r="E89" t="str">
            <v>กาฬสินธุ์</v>
          </cell>
          <cell r="F89" t="str">
            <v>Farmer</v>
          </cell>
        </row>
        <row r="90">
          <cell r="C90" t="str">
            <v>นางเรียน ทักเสน</v>
          </cell>
          <cell r="D90" t="str">
            <v>เมืองกาฬสินธุ์</v>
          </cell>
          <cell r="E90" t="str">
            <v>กาฬสินธุ์</v>
          </cell>
          <cell r="F90" t="str">
            <v>Farmer</v>
          </cell>
        </row>
        <row r="91">
          <cell r="C91" t="str">
            <v>นางละหม้าย สารหงษ์</v>
          </cell>
          <cell r="D91" t="str">
            <v>สมเด็จ</v>
          </cell>
          <cell r="E91" t="str">
            <v>กาฬสินธุ์</v>
          </cell>
          <cell r="F91" t="str">
            <v>Farmer</v>
          </cell>
        </row>
        <row r="92">
          <cell r="C92" t="str">
            <v>นางลัดดาวัลย์ ศรีแพงมน</v>
          </cell>
          <cell r="D92" t="str">
            <v>สมเด็จ</v>
          </cell>
          <cell r="E92" t="str">
            <v>กาฬสินธุ์</v>
          </cell>
          <cell r="F92" t="str">
            <v>Farmer</v>
          </cell>
        </row>
        <row r="93">
          <cell r="C93" t="str">
            <v>นางลำดวน สงพัด</v>
          </cell>
          <cell r="D93" t="str">
            <v>เมืองกาฬสินธุ์</v>
          </cell>
          <cell r="E93" t="str">
            <v>กาฬสินธุ์</v>
          </cell>
          <cell r="F93" t="str">
            <v>Farmer</v>
          </cell>
        </row>
        <row r="94">
          <cell r="C94" t="str">
            <v>นางวรรณดี ภารภิรมย์</v>
          </cell>
          <cell r="D94" t="str">
            <v>เมืองกาฬสินธุ์</v>
          </cell>
          <cell r="E94" t="str">
            <v>กาฬสินธุ์</v>
          </cell>
          <cell r="F94" t="str">
            <v>Farmer</v>
          </cell>
        </row>
        <row r="95">
          <cell r="C95" t="str">
            <v>นางวรรณวิภา การละออ</v>
          </cell>
          <cell r="D95" t="str">
            <v>เมืองกาฬสินธุ์</v>
          </cell>
          <cell r="E95" t="str">
            <v>กาฬสินธุ์</v>
          </cell>
          <cell r="F95" t="str">
            <v>Farmer</v>
          </cell>
        </row>
        <row r="96">
          <cell r="C96" t="str">
            <v>นางวรัญญา ผาชาตา</v>
          </cell>
          <cell r="D96" t="str">
            <v>คำม่วง</v>
          </cell>
          <cell r="E96" t="str">
            <v>กาฬสินธุ์</v>
          </cell>
          <cell r="F96" t="str">
            <v>Farmer</v>
          </cell>
        </row>
        <row r="97">
          <cell r="C97" t="str">
            <v>นางวราพร ปุระชะตา</v>
          </cell>
          <cell r="D97" t="str">
            <v>เมืองกาฬสินธุ์</v>
          </cell>
          <cell r="E97" t="str">
            <v>กาฬสินธุ์</v>
          </cell>
          <cell r="F97" t="str">
            <v>Farmer</v>
          </cell>
        </row>
        <row r="98">
          <cell r="C98" t="str">
            <v>นางวัฒนา รักสวย</v>
          </cell>
          <cell r="D98" t="str">
            <v>สมเด็จ</v>
          </cell>
          <cell r="E98" t="str">
            <v>กาฬสินธุ์</v>
          </cell>
          <cell r="F98" t="str">
            <v>Farmer</v>
          </cell>
        </row>
        <row r="99">
          <cell r="C99" t="str">
            <v>นางเวียง การวงค์</v>
          </cell>
          <cell r="D99" t="str">
            <v>สหัสขันธ์</v>
          </cell>
          <cell r="E99" t="str">
            <v>กาฬสินธุ์</v>
          </cell>
          <cell r="F99" t="str">
            <v>Farmer</v>
          </cell>
        </row>
        <row r="100">
          <cell r="C100" t="str">
            <v>นางศศิธร ไพโสภา</v>
          </cell>
          <cell r="D100" t="str">
            <v>เมืองกาฬสินธุ์</v>
          </cell>
          <cell r="E100" t="str">
            <v>กาฬสินธุ์</v>
          </cell>
          <cell r="F100" t="str">
            <v>Farmer</v>
          </cell>
        </row>
        <row r="101">
          <cell r="C101" t="str">
            <v>นางศิวัชญา ศรีณะพรม</v>
          </cell>
          <cell r="D101" t="str">
            <v>คำม่วง</v>
          </cell>
          <cell r="E101" t="str">
            <v>กาฬสินธุ์</v>
          </cell>
          <cell r="F101" t="str">
            <v>Farmer</v>
          </cell>
        </row>
        <row r="102">
          <cell r="C102" t="str">
            <v>นางสมควร พัฒนไชย</v>
          </cell>
          <cell r="D102" t="str">
            <v>เมืองกาฬสินธุ์</v>
          </cell>
          <cell r="E102" t="str">
            <v>กาฬสินธุ์</v>
          </cell>
          <cell r="F102" t="str">
            <v>Farmer</v>
          </cell>
        </row>
        <row r="103">
          <cell r="C103" t="str">
            <v>นางสมจิตห์ พันธ์จรุง</v>
          </cell>
          <cell r="D103" t="str">
            <v>เมืองกาฬสินธุ์</v>
          </cell>
          <cell r="E103" t="str">
            <v>กาฬสินธุ์</v>
          </cell>
          <cell r="F103" t="str">
            <v>Farmer</v>
          </cell>
        </row>
        <row r="104">
          <cell r="C104" t="str">
            <v>นางสมบัติ พันธุ์ศิริ</v>
          </cell>
          <cell r="D104" t="str">
            <v>เมืองกาฬสินธุ์</v>
          </cell>
          <cell r="E104" t="str">
            <v>กาฬสินธุ์</v>
          </cell>
          <cell r="F104" t="str">
            <v>Farmer</v>
          </cell>
        </row>
        <row r="105">
          <cell r="C105" t="str">
            <v>นางสมปอง นาทศรีทา</v>
          </cell>
          <cell r="D105" t="str">
            <v>นามน</v>
          </cell>
          <cell r="E105" t="str">
            <v>กาฬสินธุ์</v>
          </cell>
          <cell r="F105" t="str">
            <v>Farmer</v>
          </cell>
        </row>
        <row r="106">
          <cell r="C106" t="str">
            <v>นางสมมติ อุ่นทะยา</v>
          </cell>
          <cell r="D106" t="str">
            <v>หนองกุงศรี</v>
          </cell>
          <cell r="E106" t="str">
            <v>กาฬสินธุ์</v>
          </cell>
          <cell r="F106" t="str">
            <v>Farmer</v>
          </cell>
        </row>
        <row r="107">
          <cell r="C107" t="str">
            <v>นางสมาน ตรีกามน</v>
          </cell>
          <cell r="D107" t="str">
            <v>นามน</v>
          </cell>
          <cell r="E107" t="str">
            <v>กาฬสินธุ์</v>
          </cell>
          <cell r="F107" t="str">
            <v>Farmer</v>
          </cell>
        </row>
        <row r="108">
          <cell r="C108" t="str">
            <v>นางสมาน เพ็ชรสังหาร</v>
          </cell>
          <cell r="D108" t="str">
            <v>เมืองกาฬสินธุ์</v>
          </cell>
          <cell r="E108" t="str">
            <v>กาฬสินธุ์</v>
          </cell>
          <cell r="F108" t="str">
            <v>Farmer</v>
          </cell>
        </row>
        <row r="109">
          <cell r="C109" t="str">
            <v>นางสมุด พันจรุง</v>
          </cell>
          <cell r="D109" t="str">
            <v>เมืองกาฬสินธุ์</v>
          </cell>
          <cell r="E109" t="str">
            <v>กาฬสินธุ์</v>
          </cell>
          <cell r="F109" t="str">
            <v>Farmer</v>
          </cell>
        </row>
        <row r="110">
          <cell r="C110" t="str">
            <v>นางสลี โสภาพร</v>
          </cell>
          <cell r="D110" t="str">
            <v>เมืองกาฬสินธุ์</v>
          </cell>
          <cell r="E110" t="str">
            <v>กาฬสินธุ์</v>
          </cell>
          <cell r="F110" t="str">
            <v>Farmer</v>
          </cell>
        </row>
        <row r="111">
          <cell r="C111" t="str">
            <v>นางสังวาล มุงคุณ</v>
          </cell>
          <cell r="D111" t="str">
            <v>เมืองกาฬสินธุ์</v>
          </cell>
          <cell r="E111" t="str">
            <v>กาฬสินธุ์</v>
          </cell>
          <cell r="F111" t="str">
            <v>Farmer</v>
          </cell>
        </row>
        <row r="112">
          <cell r="C112" t="str">
            <v>นางสาคร มุธิตา</v>
          </cell>
          <cell r="D112" t="str">
            <v>สหัสขันธ์</v>
          </cell>
          <cell r="E112" t="str">
            <v>กาฬสินธุ์</v>
          </cell>
          <cell r="F112" t="str">
            <v>Farmer</v>
          </cell>
        </row>
        <row r="113">
          <cell r="C113" t="str">
            <v>นางสายฝน สงพัด</v>
          </cell>
          <cell r="D113" t="str">
            <v>เมืองกาฬสินธุ์</v>
          </cell>
          <cell r="E113" t="str">
            <v>กาฬสินธุ์</v>
          </cell>
          <cell r="F113" t="str">
            <v>Farmer</v>
          </cell>
        </row>
        <row r="114">
          <cell r="C114" t="str">
            <v>นางสายยนต์ สอนบุญตา</v>
          </cell>
          <cell r="D114" t="str">
            <v>สหัสขันธ์</v>
          </cell>
          <cell r="E114" t="str">
            <v>กาฬสินธุ์</v>
          </cell>
          <cell r="F114" t="str">
            <v>Farmer</v>
          </cell>
        </row>
        <row r="115">
          <cell r="C115" t="str">
            <v>นางสาว ภัทรนันท์ จันทะคัด</v>
          </cell>
          <cell r="D115" t="str">
            <v>นามน</v>
          </cell>
          <cell r="E115" t="str">
            <v>กาฬสินธุ์</v>
          </cell>
          <cell r="F115" t="str">
            <v>Farmer</v>
          </cell>
        </row>
        <row r="116">
          <cell r="C116" t="str">
            <v>นางสาวกชพร ภูแป้ง</v>
          </cell>
          <cell r="D116" t="str">
            <v>หนองกุงศรี</v>
          </cell>
          <cell r="E116" t="str">
            <v>กาฬสินธุ์</v>
          </cell>
          <cell r="F116" t="str">
            <v>Farmer</v>
          </cell>
        </row>
        <row r="117">
          <cell r="C117" t="str">
            <v>นางสาวกมลชนก ยานจรัส</v>
          </cell>
          <cell r="D117" t="str">
            <v>เมืองกาฬสินธุ์</v>
          </cell>
          <cell r="E117" t="str">
            <v>กาฬสินธุ์</v>
          </cell>
          <cell r="F117" t="str">
            <v>Farmer</v>
          </cell>
        </row>
        <row r="118">
          <cell r="C118" t="str">
            <v>นางสาวกมลวรรณ ทวีสอน</v>
          </cell>
          <cell r="D118" t="str">
            <v>เมืองกาฬสินธุ์</v>
          </cell>
          <cell r="E118" t="str">
            <v>กาฬสินธุ์</v>
          </cell>
          <cell r="F118" t="str">
            <v>Farmer</v>
          </cell>
        </row>
        <row r="119">
          <cell r="C119" t="str">
            <v>นางสาวกัลติยา ปิยะโครต</v>
          </cell>
          <cell r="D119" t="str">
            <v>เมืองกาฬสินธุ์</v>
          </cell>
          <cell r="E119" t="str">
            <v>กาฬสินธุ์</v>
          </cell>
          <cell r="F119" t="str">
            <v>Broker</v>
          </cell>
        </row>
        <row r="120">
          <cell r="C120" t="str">
            <v>นางสาวกัลยากร ถิ่นวิไล</v>
          </cell>
          <cell r="D120" t="str">
            <v>เมืองกาฬสินธุ์</v>
          </cell>
          <cell r="E120" t="str">
            <v>กาฬสินธุ์</v>
          </cell>
          <cell r="F120" t="str">
            <v>Farmer</v>
          </cell>
        </row>
        <row r="121">
          <cell r="C121" t="str">
            <v>นางสาวกาญจนา ทำกิน</v>
          </cell>
          <cell r="D121" t="str">
            <v>หนองกุงศรี</v>
          </cell>
          <cell r="E121" t="str">
            <v>กาฬสินธุ์</v>
          </cell>
          <cell r="F121" t="str">
            <v>Farmer</v>
          </cell>
        </row>
        <row r="122">
          <cell r="C122" t="str">
            <v>นางสาวกาญจนา ภักดีสมัย</v>
          </cell>
          <cell r="D122" t="str">
            <v>หนองกุงศรี</v>
          </cell>
          <cell r="E122" t="str">
            <v>กาฬสินธุ์</v>
          </cell>
          <cell r="F122" t="str">
            <v>Farmer</v>
          </cell>
        </row>
        <row r="123">
          <cell r="C123" t="str">
            <v>นางสาวขนิษฐา โพนนางาม</v>
          </cell>
          <cell r="D123" t="str">
            <v>กุฉินารายณ์</v>
          </cell>
          <cell r="E123" t="str">
            <v>กาฬสินธุ์</v>
          </cell>
          <cell r="F123" t="str">
            <v>Farmer</v>
          </cell>
        </row>
        <row r="124">
          <cell r="C124" t="str">
            <v>นางสาวคำผิว ชัยวรรณา</v>
          </cell>
          <cell r="D124" t="str">
            <v>เมืองกาฬสินธุ์</v>
          </cell>
          <cell r="E124" t="str">
            <v>กาฬสินธุ์</v>
          </cell>
          <cell r="F124" t="str">
            <v>Farmer</v>
          </cell>
        </row>
        <row r="125">
          <cell r="C125" t="str">
            <v>นางสาวคำพันธ์ พันธุ์สุวรรณ</v>
          </cell>
          <cell r="D125" t="str">
            <v>เมืองกาฬสินธุ์</v>
          </cell>
          <cell r="E125" t="str">
            <v>กาฬสินธุ์</v>
          </cell>
          <cell r="F125" t="str">
            <v>Farmer</v>
          </cell>
        </row>
        <row r="126">
          <cell r="C126" t="str">
            <v>นางสาวจันทร์ฉาย แน่นอุดร</v>
          </cell>
          <cell r="D126" t="str">
            <v>ดอนจาน</v>
          </cell>
          <cell r="E126" t="str">
            <v>กาฬสินธุ์</v>
          </cell>
          <cell r="F126" t="str">
            <v>Farmer</v>
          </cell>
        </row>
        <row r="127">
          <cell r="C127" t="str">
            <v>นางสาวจันทร์เพ็ญ ศรีศักดิ์</v>
          </cell>
          <cell r="D127" t="str">
            <v>เมืองกาฬสินธุ์</v>
          </cell>
          <cell r="E127" t="str">
            <v>กาฬสินธุ์</v>
          </cell>
          <cell r="F127" t="str">
            <v>Farmer</v>
          </cell>
        </row>
        <row r="128">
          <cell r="C128" t="str">
            <v>นางสาวจันทร์สุดา ภูใบบัง</v>
          </cell>
          <cell r="D128" t="str">
            <v>ยางตลาด</v>
          </cell>
          <cell r="E128" t="str">
            <v>กาฬสินธุ์</v>
          </cell>
          <cell r="F128" t="str">
            <v>Farmer</v>
          </cell>
        </row>
        <row r="129">
          <cell r="C129" t="str">
            <v>นางสาวจันทิมา วัยเจริญ</v>
          </cell>
          <cell r="D129" t="str">
            <v>ดอนจาน</v>
          </cell>
          <cell r="E129" t="str">
            <v>กาฬสินธุ์</v>
          </cell>
          <cell r="F129" t="str">
            <v>Farmer</v>
          </cell>
        </row>
        <row r="130">
          <cell r="C130" t="str">
            <v>นางสาวจิราพัชร พลลาภ</v>
          </cell>
          <cell r="D130" t="str">
            <v>สมเด็จ</v>
          </cell>
          <cell r="E130" t="str">
            <v>กาฬสินธุ์</v>
          </cell>
          <cell r="F130" t="str">
            <v>Farmer</v>
          </cell>
        </row>
        <row r="131">
          <cell r="C131" t="str">
            <v>นางสาวจิราภรณ์ คงสมภักตร์</v>
          </cell>
          <cell r="D131" t="str">
            <v>โพธิ์ชัย</v>
          </cell>
          <cell r="E131" t="str">
            <v>ร้อยเอ็ด</v>
          </cell>
          <cell r="F131" t="str">
            <v>Broker</v>
          </cell>
        </row>
        <row r="132">
          <cell r="C132" t="str">
            <v>นางสาวจิราวรรณ การสว่าง</v>
          </cell>
          <cell r="D132" t="str">
            <v>เมืองกาฬสินธุ์</v>
          </cell>
          <cell r="E132" t="str">
            <v>กาฬสินธุ์</v>
          </cell>
          <cell r="F132" t="str">
            <v>Farmer</v>
          </cell>
        </row>
        <row r="133">
          <cell r="C133" t="str">
            <v>นางสาวจุฑาทิพย์ ทองวงษา</v>
          </cell>
          <cell r="D133" t="str">
            <v>กุดบาก</v>
          </cell>
          <cell r="E133" t="str">
            <v>สกลนคร</v>
          </cell>
          <cell r="F133" t="str">
            <v>Broker</v>
          </cell>
        </row>
        <row r="134">
          <cell r="C134" t="str">
            <v>นางสาวจุฑาภรณ์ กมลภา</v>
          </cell>
          <cell r="D134" t="str">
            <v>กุฉินารายณ์</v>
          </cell>
          <cell r="E134" t="str">
            <v>กาฬสินธุ์</v>
          </cell>
          <cell r="F134" t="str">
            <v>Farmer</v>
          </cell>
        </row>
        <row r="135">
          <cell r="C135" t="str">
            <v>นางสาวชลิตา คำยุธา</v>
          </cell>
          <cell r="D135" t="str">
            <v>เมืองกาฬสินธุ์</v>
          </cell>
          <cell r="E135" t="str">
            <v>กาฬสินธุ์</v>
          </cell>
          <cell r="F135" t="str">
            <v>Farmer</v>
          </cell>
        </row>
        <row r="136">
          <cell r="C136" t="str">
            <v>นางสาวณัฐชนันท์ ศรีลาพัฒน์</v>
          </cell>
          <cell r="D136" t="str">
            <v>หนองกุงศรี</v>
          </cell>
          <cell r="E136" t="str">
            <v>กาฬสินธุ์</v>
          </cell>
          <cell r="F136" t="str">
            <v>Farmer</v>
          </cell>
        </row>
        <row r="137">
          <cell r="C137" t="str">
            <v>นางสาวณัฐนรี่ สุราฤทธิ์</v>
          </cell>
          <cell r="D137" t="str">
            <v>เมืองกาฬสินธุ์</v>
          </cell>
          <cell r="E137" t="str">
            <v>กาฬสินธุ์</v>
          </cell>
          <cell r="F137" t="str">
            <v>Farmer</v>
          </cell>
        </row>
        <row r="138">
          <cell r="C138" t="str">
            <v>นางสาวณิชา แสนนาม</v>
          </cell>
          <cell r="D138" t="str">
            <v>เมืองกาฬสินธุ์</v>
          </cell>
          <cell r="E138" t="str">
            <v>กาฬสินธุ์</v>
          </cell>
          <cell r="F138" t="str">
            <v>Farmer</v>
          </cell>
        </row>
        <row r="139">
          <cell r="C139" t="str">
            <v>นางสาวดลกมล ถินประสาท</v>
          </cell>
          <cell r="D139" t="str">
            <v>เมืองกาฬสินธุ์</v>
          </cell>
          <cell r="E139" t="str">
            <v>กาฬสินธุ์</v>
          </cell>
          <cell r="F139" t="str">
            <v>Farmer</v>
          </cell>
        </row>
        <row r="140">
          <cell r="C140" t="str">
            <v>นางสาวดวงจันทร์ พิมพิลา</v>
          </cell>
          <cell r="D140" t="str">
            <v>สหัสขันธ์</v>
          </cell>
          <cell r="E140" t="str">
            <v>กาฬสินธุ์</v>
          </cell>
          <cell r="F140" t="str">
            <v>Farmer</v>
          </cell>
        </row>
        <row r="141">
          <cell r="C141" t="str">
            <v>นางสาวดวงฤดี ภูละอิ่ม</v>
          </cell>
          <cell r="D141" t="str">
            <v>เมืองกาฬสินธุ์</v>
          </cell>
          <cell r="E141" t="str">
            <v>กาฬสินธุ์</v>
          </cell>
          <cell r="F141" t="str">
            <v>Farmer</v>
          </cell>
        </row>
        <row r="142">
          <cell r="C142" t="str">
            <v>นางสาวถวิล การหาญ</v>
          </cell>
          <cell r="D142" t="str">
            <v>เมืองกาฬสินธุ์</v>
          </cell>
          <cell r="E142" t="str">
            <v>กาฬสินธุ์</v>
          </cell>
          <cell r="F142" t="str">
            <v>Farmer</v>
          </cell>
        </row>
        <row r="143">
          <cell r="C143" t="str">
            <v>นางสาวทองไสย คำทูลศรี</v>
          </cell>
          <cell r="D143" t="str">
            <v>เมืองกาฬสินธุ์</v>
          </cell>
          <cell r="E143" t="str">
            <v>กาฬสินธุ์</v>
          </cell>
          <cell r="F143" t="str">
            <v>Farmer</v>
          </cell>
        </row>
        <row r="144">
          <cell r="C144" t="str">
            <v>นางสาวทิพย์ประภาพร ทุมพล</v>
          </cell>
          <cell r="D144" t="str">
            <v>สหัสขันธ์</v>
          </cell>
          <cell r="E144" t="str">
            <v>กาฬสินธุ์</v>
          </cell>
          <cell r="F144" t="str">
            <v>Farmer</v>
          </cell>
        </row>
        <row r="145">
          <cell r="C145" t="str">
            <v>นางสาวทิรัญญาพร ภูถมทอง</v>
          </cell>
          <cell r="D145" t="str">
            <v>หนองกุงศรี</v>
          </cell>
          <cell r="E145" t="str">
            <v>กาฬสินธุ์</v>
          </cell>
          <cell r="F145" t="str">
            <v>Farmer</v>
          </cell>
        </row>
        <row r="146">
          <cell r="C146" t="str">
            <v>นางสาวธารทิพย์ พลสิทธิ์</v>
          </cell>
          <cell r="D146" t="str">
            <v>เมืองขอนแก่น</v>
          </cell>
          <cell r="E146" t="str">
            <v>ขอนแก่น</v>
          </cell>
          <cell r="F146" t="str">
            <v>Broker</v>
          </cell>
        </row>
        <row r="147">
          <cell r="C147" t="str">
            <v>นางสาวธิดารัตน์ ดาบลาอำ</v>
          </cell>
          <cell r="D147" t="str">
            <v>กุดบาก</v>
          </cell>
          <cell r="E147" t="str">
            <v>สกลนคร</v>
          </cell>
          <cell r="F147" t="str">
            <v>Broker</v>
          </cell>
        </row>
        <row r="148">
          <cell r="C148" t="str">
            <v>นางสาวธิติกาญจน์ ผลจรัส</v>
          </cell>
          <cell r="D148" t="str">
            <v>สหัสขันธ์</v>
          </cell>
          <cell r="E148" t="str">
            <v>กาฬสินธุ์</v>
          </cell>
          <cell r="F148" t="str">
            <v>Farmer</v>
          </cell>
        </row>
        <row r="149">
          <cell r="C149" t="str">
            <v>นางสาวนงค์นารถ พิมพะทิตย์</v>
          </cell>
          <cell r="D149" t="str">
            <v>สมเด็จ</v>
          </cell>
          <cell r="E149" t="str">
            <v>กาฬสินธุ์</v>
          </cell>
          <cell r="F149" t="str">
            <v>Farmer</v>
          </cell>
        </row>
        <row r="150">
          <cell r="C150" t="str">
            <v>นางสาวนภาพร สำราญจักร์</v>
          </cell>
          <cell r="D150" t="str">
            <v>สหัสขันธ์</v>
          </cell>
          <cell r="E150" t="str">
            <v>กาฬสินธุ์</v>
          </cell>
          <cell r="F150" t="str">
            <v>Farmer</v>
          </cell>
        </row>
        <row r="151">
          <cell r="C151" t="str">
            <v>นางสาวนฤมล กองคำ</v>
          </cell>
          <cell r="D151" t="str">
            <v>สหัสขันธ์</v>
          </cell>
          <cell r="E151" t="str">
            <v>กาฬสินธุ์</v>
          </cell>
          <cell r="F151" t="str">
            <v>Farmer</v>
          </cell>
        </row>
        <row r="152">
          <cell r="C152" t="str">
            <v>นางสาวนิยม ดอนโอภาส</v>
          </cell>
          <cell r="D152" t="str">
            <v>นามน</v>
          </cell>
          <cell r="E152" t="str">
            <v>กาฬสินธุ์</v>
          </cell>
          <cell r="F152" t="str">
            <v>Farmer</v>
          </cell>
        </row>
        <row r="153">
          <cell r="C153" t="str">
            <v>นางสาวเนตรนภา บุตรพรม</v>
          </cell>
          <cell r="D153" t="str">
            <v>หนองกุงศรี</v>
          </cell>
          <cell r="E153" t="str">
            <v>กาฬสินธุ์</v>
          </cell>
          <cell r="F153" t="str">
            <v>Farmer</v>
          </cell>
        </row>
        <row r="154">
          <cell r="C154" t="str">
            <v>นางสาวบุญรัตน์ ภูเพชร</v>
          </cell>
          <cell r="D154" t="str">
            <v>เมืองกาฬสินธุ์</v>
          </cell>
          <cell r="E154" t="str">
            <v>กาฬสินธุ์</v>
          </cell>
          <cell r="F154" t="str">
            <v>Farmer</v>
          </cell>
        </row>
        <row r="155">
          <cell r="C155" t="str">
            <v>นางสาวบุษบา นาไชยรัตน์</v>
          </cell>
          <cell r="D155" t="str">
            <v>เมืองกาฬสินธุ์</v>
          </cell>
          <cell r="E155" t="str">
            <v>กาฬสินธุ์</v>
          </cell>
          <cell r="F155" t="str">
            <v>Farmer</v>
          </cell>
        </row>
        <row r="156">
          <cell r="C156" t="str">
            <v>นางสาวปณิดา แน่นอุดร</v>
          </cell>
          <cell r="D156" t="str">
            <v>ภูพาน</v>
          </cell>
          <cell r="E156" t="str">
            <v>สกลนคร</v>
          </cell>
          <cell r="F156" t="str">
            <v>Broker</v>
          </cell>
        </row>
        <row r="157">
          <cell r="C157" t="str">
            <v>นางสาวปณิตา ภูบุตตะ</v>
          </cell>
          <cell r="D157" t="str">
            <v>หนองกุงศรี</v>
          </cell>
          <cell r="E157" t="str">
            <v>กาฬสินธุ์</v>
          </cell>
          <cell r="F157" t="str">
            <v>Farmer</v>
          </cell>
        </row>
        <row r="158">
          <cell r="C158" t="str">
            <v>นางสาวปรัก ภูเพชร</v>
          </cell>
          <cell r="D158" t="str">
            <v>เมืองกาฬสินธุ์</v>
          </cell>
          <cell r="E158" t="str">
            <v>กาฬสินธุ์</v>
          </cell>
          <cell r="F158" t="str">
            <v>Farmer</v>
          </cell>
        </row>
        <row r="159">
          <cell r="C159" t="str">
            <v>นางสาวปราณี พงษ์ศาสตร์</v>
          </cell>
          <cell r="D159" t="str">
            <v>โพนทอง</v>
          </cell>
          <cell r="E159" t="str">
            <v>ร้อยเอ็ด</v>
          </cell>
          <cell r="F159" t="str">
            <v>Broker</v>
          </cell>
        </row>
        <row r="160">
          <cell r="C160" t="str">
            <v>นางสาวพนมวัย ฉายวงศ์</v>
          </cell>
          <cell r="D160" t="str">
            <v>เมืองกาฬสินธุ์</v>
          </cell>
          <cell r="E160" t="str">
            <v>กาฬสินธุ์</v>
          </cell>
          <cell r="F160" t="str">
            <v>Farmer</v>
          </cell>
        </row>
        <row r="161">
          <cell r="C161" t="str">
            <v>นางสาวพรจรัส พิมตะวงค์</v>
          </cell>
          <cell r="D161" t="str">
            <v>เมืองกาฬสินธุ์</v>
          </cell>
          <cell r="E161" t="str">
            <v>กาฬสินธุ์</v>
          </cell>
          <cell r="F161" t="str">
            <v>Farmer</v>
          </cell>
        </row>
        <row r="162">
          <cell r="C162" t="str">
            <v>นางสาวพรพันธุ์ สาราแสง</v>
          </cell>
          <cell r="D162" t="str">
            <v>นามน</v>
          </cell>
          <cell r="E162" t="str">
            <v>กาฬสินธุ์</v>
          </cell>
          <cell r="F162" t="str">
            <v>Farmer</v>
          </cell>
        </row>
        <row r="163">
          <cell r="C163" t="str">
            <v>นางสาวพรลิขิต สะสันติ</v>
          </cell>
          <cell r="D163" t="str">
            <v>คำม่วง</v>
          </cell>
          <cell r="E163" t="str">
            <v>กาฬสินธุ์</v>
          </cell>
          <cell r="F163" t="str">
            <v>Farmer</v>
          </cell>
        </row>
        <row r="164">
          <cell r="C164" t="str">
            <v>นางสาวพัชญาพร บุญสิงห์</v>
          </cell>
          <cell r="D164" t="str">
            <v>นามน</v>
          </cell>
          <cell r="E164" t="str">
            <v>กาฬสินธุ์</v>
          </cell>
          <cell r="F164" t="str">
            <v>Farmer</v>
          </cell>
        </row>
        <row r="165">
          <cell r="C165" t="str">
            <v>นางสาวพัชริน นามไพร</v>
          </cell>
          <cell r="D165" t="str">
            <v>เมืองร้อยเอ็ด</v>
          </cell>
          <cell r="E165" t="str">
            <v>ร้อยเอ็ด</v>
          </cell>
          <cell r="F165" t="str">
            <v>Farmer</v>
          </cell>
        </row>
        <row r="166">
          <cell r="C166" t="str">
            <v>นางสาวพัชรียา นิลม้าย</v>
          </cell>
          <cell r="D166" t="str">
            <v>ดงหลวง</v>
          </cell>
          <cell r="E166" t="str">
            <v>มุกดาหาร</v>
          </cell>
          <cell r="F166" t="str">
            <v>Broker</v>
          </cell>
        </row>
        <row r="167">
          <cell r="C167" t="str">
            <v>นางสาวพานทอง เดชประเสริฐ</v>
          </cell>
          <cell r="D167" t="str">
            <v>ดอนจาน</v>
          </cell>
          <cell r="E167" t="str">
            <v>กาฬสินธุ์</v>
          </cell>
          <cell r="F167" t="str">
            <v>Farmer</v>
          </cell>
        </row>
        <row r="168">
          <cell r="C168" t="str">
            <v>นางสาวพิมพ์พิไล พันสุวรรณ</v>
          </cell>
          <cell r="D168" t="str">
            <v>เมืองกาฬสินธุ์</v>
          </cell>
          <cell r="E168" t="str">
            <v>กาฬสินธุ์</v>
          </cell>
          <cell r="F168" t="str">
            <v>Farmer</v>
          </cell>
        </row>
        <row r="169">
          <cell r="C169" t="str">
            <v>นางสาวพิสวาส โยธาคึก</v>
          </cell>
          <cell r="D169" t="str">
            <v>สหัสขันธ์</v>
          </cell>
          <cell r="E169" t="str">
            <v>กาฬสินธุ์</v>
          </cell>
          <cell r="F169" t="str">
            <v>Farmer</v>
          </cell>
        </row>
        <row r="170">
          <cell r="C170" t="str">
            <v>นางสาวเพชรรัดดา จำปาเหลือง</v>
          </cell>
          <cell r="D170" t="str">
            <v>เมืองกาฬสินธุ์</v>
          </cell>
          <cell r="E170" t="str">
            <v>กาฬสินธุ์</v>
          </cell>
          <cell r="F170" t="str">
            <v>Farmer</v>
          </cell>
        </row>
        <row r="171">
          <cell r="C171" t="str">
            <v>นางสาวเพรียวพรรณ การรักษ์</v>
          </cell>
          <cell r="D171" t="str">
            <v>เมืองกาฬสินธุ์</v>
          </cell>
          <cell r="E171" t="str">
            <v>กาฬสินธุ์</v>
          </cell>
          <cell r="F171" t="str">
            <v>Farmer</v>
          </cell>
        </row>
        <row r="172">
          <cell r="C172" t="str">
            <v>นางสาวไพวัลย์ การเลิศ</v>
          </cell>
          <cell r="D172" t="str">
            <v>เมืองกาฬสินธุ์</v>
          </cell>
          <cell r="E172" t="str">
            <v>กาฬสินธุ์</v>
          </cell>
          <cell r="F172" t="str">
            <v>Farmer</v>
          </cell>
        </row>
        <row r="173">
          <cell r="C173" t="str">
            <v>นางสาวมณีจันทร์ กุลสีโล</v>
          </cell>
          <cell r="D173" t="str">
            <v>เมืองกาฬสินธุ์</v>
          </cell>
          <cell r="E173" t="str">
            <v>กาฬสินธุ์</v>
          </cell>
          <cell r="F173" t="str">
            <v>Farmer</v>
          </cell>
        </row>
        <row r="174">
          <cell r="C174" t="str">
            <v>นางสาวมลิวรรณ์ จำปาลา</v>
          </cell>
          <cell r="D174" t="str">
            <v>สหัสขันธ์</v>
          </cell>
          <cell r="E174" t="str">
            <v>กาฬสินธุ์</v>
          </cell>
          <cell r="F174" t="str">
            <v>Farmer</v>
          </cell>
        </row>
        <row r="175">
          <cell r="C175" t="str">
            <v>นางสาวมะยุรี ทิพย์ปัสถี</v>
          </cell>
          <cell r="D175" t="str">
            <v>เมืองกาฬสินธุ์</v>
          </cell>
          <cell r="E175" t="str">
            <v>กาฬสินธุ์</v>
          </cell>
          <cell r="F175" t="str">
            <v>Farmer</v>
          </cell>
        </row>
        <row r="176">
          <cell r="C176" t="str">
            <v>นางสาวเมทินี ทองคำ</v>
          </cell>
          <cell r="D176" t="str">
            <v>สหัสขันธ์</v>
          </cell>
          <cell r="E176" t="str">
            <v>กาฬสินธุ์</v>
          </cell>
          <cell r="F176" t="str">
            <v>Farmer</v>
          </cell>
        </row>
        <row r="177">
          <cell r="C177" t="str">
            <v>นางสาวยุระตา มิ่งคำ</v>
          </cell>
          <cell r="D177" t="str">
            <v>คำม่วง</v>
          </cell>
          <cell r="E177" t="str">
            <v>กาฬสินธุ์</v>
          </cell>
          <cell r="F177" t="str">
            <v>Farmer</v>
          </cell>
        </row>
        <row r="178">
          <cell r="C178" t="str">
            <v>นางสาวรจนา ดอนโอภาส</v>
          </cell>
          <cell r="D178" t="str">
            <v>นามน</v>
          </cell>
          <cell r="E178" t="str">
            <v>กาฬสินธุ์</v>
          </cell>
          <cell r="F178" t="str">
            <v>Farmer</v>
          </cell>
        </row>
        <row r="179">
          <cell r="C179" t="str">
            <v>นางสาวรัชนี ภู่วิจิตร</v>
          </cell>
          <cell r="D179" t="str">
            <v>วังสามหมอ</v>
          </cell>
          <cell r="E179" t="str">
            <v>อุดรธานี</v>
          </cell>
          <cell r="F179" t="str">
            <v>Broker</v>
          </cell>
        </row>
        <row r="180">
          <cell r="C180" t="str">
            <v>นางสาวรัชนี ศรีชุม</v>
          </cell>
          <cell r="D180" t="str">
            <v>เมืองกาฬสินธุ์</v>
          </cell>
          <cell r="E180" t="str">
            <v>กาฬสินธุ์</v>
          </cell>
          <cell r="F180" t="str">
            <v>Farmer</v>
          </cell>
        </row>
        <row r="181">
          <cell r="C181" t="str">
            <v>นางสาวรัชนี อิ่มเสถียร</v>
          </cell>
          <cell r="D181" t="str">
            <v>เมืองกาฬสินธุ์</v>
          </cell>
          <cell r="E181" t="str">
            <v>กาฬสินธุ์</v>
          </cell>
          <cell r="F181" t="str">
            <v>Farmer</v>
          </cell>
        </row>
        <row r="182">
          <cell r="C182" t="str">
            <v>นางสาวรุ่งนภา สิงเจริญ</v>
          </cell>
          <cell r="D182" t="str">
            <v>หนองกุงศรี</v>
          </cell>
          <cell r="E182" t="str">
            <v>กาฬสินธุ์</v>
          </cell>
          <cell r="F182" t="str">
            <v>Farmer</v>
          </cell>
        </row>
        <row r="183">
          <cell r="C183" t="str">
            <v>นางสาวลำใย จันทะดวง</v>
          </cell>
          <cell r="D183" t="str">
            <v>เมืองกาฬสินธุ์</v>
          </cell>
          <cell r="E183" t="str">
            <v>กาฬสินธุ์</v>
          </cell>
          <cell r="F183" t="str">
            <v>Farmer</v>
          </cell>
        </row>
        <row r="184">
          <cell r="C184" t="str">
            <v>นางสาวลำใย ยะระขันธุ์</v>
          </cell>
          <cell r="D184" t="str">
            <v>กุฉินารายณ์</v>
          </cell>
          <cell r="E184" t="str">
            <v>กาฬสินธุ์</v>
          </cell>
          <cell r="F184" t="str">
            <v>Farmer</v>
          </cell>
        </row>
        <row r="185">
          <cell r="C185" t="str">
            <v>นางสาววงเดือน นาสอ้าน</v>
          </cell>
          <cell r="D185" t="str">
            <v>สมเด็จ</v>
          </cell>
          <cell r="E185" t="str">
            <v>กาฬสินธุ์</v>
          </cell>
          <cell r="F185" t="str">
            <v>Farmer</v>
          </cell>
        </row>
        <row r="186">
          <cell r="C186" t="str">
            <v>นางสาววรรณภา หรดี</v>
          </cell>
          <cell r="D186" t="str">
            <v>สหัสขันธ์</v>
          </cell>
          <cell r="E186" t="str">
            <v>กาฬสินธุ์</v>
          </cell>
          <cell r="F186" t="str">
            <v>Farmer</v>
          </cell>
        </row>
        <row r="187">
          <cell r="C187" t="str">
            <v>นางสาววรวรรณ จันทะคัด</v>
          </cell>
          <cell r="D187" t="str">
            <v>นามน</v>
          </cell>
          <cell r="E187" t="str">
            <v>กาฬสินธุ์</v>
          </cell>
          <cell r="F187" t="str">
            <v>Farmer</v>
          </cell>
        </row>
        <row r="188">
          <cell r="C188" t="str">
            <v>นางสาววันวิสา กระธรรมะ</v>
          </cell>
          <cell r="D188" t="str">
            <v>หนองกุงศรี</v>
          </cell>
          <cell r="E188" t="str">
            <v>กาฬสินธุ์</v>
          </cell>
          <cell r="F188" t="str">
            <v>Farmer</v>
          </cell>
        </row>
        <row r="189">
          <cell r="C189" t="str">
            <v>นางสาววาสนา แฉล้มชาติ</v>
          </cell>
          <cell r="D189" t="str">
            <v>นามน</v>
          </cell>
          <cell r="E189" t="str">
            <v>กาฬสินธุ์</v>
          </cell>
          <cell r="F189" t="str">
            <v>Farmer</v>
          </cell>
        </row>
        <row r="190">
          <cell r="C190" t="str">
            <v>นางสาววิภาวดี ถาลี</v>
          </cell>
          <cell r="D190" t="str">
            <v>เมืองกาฬสินธุ์</v>
          </cell>
          <cell r="E190" t="str">
            <v>กาฬสินธุ์</v>
          </cell>
          <cell r="F190" t="str">
            <v>Farmer</v>
          </cell>
        </row>
        <row r="191">
          <cell r="C191" t="str">
            <v>นางสาววิยะดา คำเสนาะ</v>
          </cell>
          <cell r="D191" t="str">
            <v>สามชัย</v>
          </cell>
          <cell r="E191" t="str">
            <v>กาฬสินธุ์</v>
          </cell>
          <cell r="F191" t="str">
            <v>Farmer</v>
          </cell>
        </row>
        <row r="192">
          <cell r="C192" t="str">
            <v>นางสาววิริยะ เห็มชัย</v>
          </cell>
          <cell r="D192" t="str">
            <v>ห้วยผึ้ง</v>
          </cell>
          <cell r="E192" t="str">
            <v>กาฬสินธุ์</v>
          </cell>
          <cell r="F192" t="str">
            <v>Farmer</v>
          </cell>
        </row>
        <row r="193">
          <cell r="C193" t="str">
            <v>นางสาววิลัย นาบุญธรรม</v>
          </cell>
          <cell r="D193" t="str">
            <v>เมืองกาฬสินธุ์</v>
          </cell>
          <cell r="E193" t="str">
            <v>กาฬสินธุ์</v>
          </cell>
          <cell r="F193" t="str">
            <v>Farmer</v>
          </cell>
        </row>
        <row r="194">
          <cell r="C194" t="str">
            <v>นางสาววิลัยลักษณ์ การสอน</v>
          </cell>
          <cell r="D194" t="str">
            <v>สมเด็จ</v>
          </cell>
          <cell r="E194" t="str">
            <v>กาฬสินธุ์</v>
          </cell>
          <cell r="F194" t="str">
            <v>Farmer</v>
          </cell>
        </row>
        <row r="195">
          <cell r="C195" t="str">
            <v>นางสาวเวียงสวรรค์ ทิพย์วงค์</v>
          </cell>
          <cell r="D195" t="str">
            <v>เมืองกาฬสินธุ์</v>
          </cell>
          <cell r="E195" t="str">
            <v>กาฬสินธุ์</v>
          </cell>
          <cell r="F195" t="str">
            <v>Farmer</v>
          </cell>
        </row>
        <row r="196">
          <cell r="C196" t="str">
            <v>นางสาวศิรินันท์ ภูนาเชียง</v>
          </cell>
          <cell r="D196" t="str">
            <v>หนองกุงศรี</v>
          </cell>
          <cell r="E196" t="str">
            <v>กาฬสินธุ์</v>
          </cell>
          <cell r="F196" t="str">
            <v>Farmer</v>
          </cell>
        </row>
        <row r="197">
          <cell r="C197" t="str">
            <v>นางสาวศิริพร วงษ์ชา</v>
          </cell>
          <cell r="D197" t="str">
            <v>เมืองมุกดาหาร</v>
          </cell>
          <cell r="E197" t="str">
            <v>มุกดาหาร</v>
          </cell>
          <cell r="F197" t="str">
            <v>Broker</v>
          </cell>
        </row>
        <row r="198">
          <cell r="C198" t="str">
            <v>นางสาวศิริวรรณ จำเริญเจือ</v>
          </cell>
          <cell r="D198" t="str">
            <v>สหัสขันธ์</v>
          </cell>
          <cell r="E198" t="str">
            <v>กาฬสินธุ์</v>
          </cell>
          <cell r="F198" t="str">
            <v>Farmer</v>
          </cell>
        </row>
        <row r="199">
          <cell r="C199" t="str">
            <v>นางสาวสมควร ถิ่นสำอางค์</v>
          </cell>
          <cell r="D199" t="str">
            <v>เมืองกาฬสินธุ์</v>
          </cell>
          <cell r="E199" t="str">
            <v>กาฬสินธุ์</v>
          </cell>
          <cell r="F199" t="str">
            <v>Farmer</v>
          </cell>
        </row>
        <row r="200">
          <cell r="C200" t="str">
            <v>นางสาวสมฤดี โพธิรัตน์</v>
          </cell>
          <cell r="D200" t="str">
            <v>เมืองกาฬสินธุ์</v>
          </cell>
          <cell r="E200" t="str">
            <v>กาฬสินธุ์</v>
          </cell>
          <cell r="F200" t="str">
            <v>Farmer</v>
          </cell>
        </row>
        <row r="201">
          <cell r="C201" t="str">
            <v>นางสาวสรินรานีย์ ศรีโยธี</v>
          </cell>
          <cell r="D201" t="str">
            <v>คำม่วง</v>
          </cell>
          <cell r="E201" t="str">
            <v>กาฬสินธุ์</v>
          </cell>
          <cell r="F201" t="str">
            <v>Farmer</v>
          </cell>
        </row>
        <row r="202">
          <cell r="C202" t="str">
            <v>นางสาวสายฝน บุญเย็น</v>
          </cell>
          <cell r="D202" t="str">
            <v>ห้วยผึ้ง</v>
          </cell>
          <cell r="E202" t="str">
            <v>กาฬสินธุ์</v>
          </cell>
          <cell r="F202" t="str">
            <v>Farmer</v>
          </cell>
        </row>
        <row r="203">
          <cell r="C203" t="str">
            <v>นางสาวสินใจ คงชู</v>
          </cell>
          <cell r="D203" t="str">
            <v>ห้วยผึ้ง</v>
          </cell>
          <cell r="E203" t="str">
            <v>กาฬสินธุ์</v>
          </cell>
          <cell r="F203" t="str">
            <v>Farmer</v>
          </cell>
        </row>
        <row r="204">
          <cell r="C204" t="str">
            <v>นางสาวสิริพร วิสารพันธ์</v>
          </cell>
          <cell r="D204" t="str">
            <v>เมืองกาฬสินธุ์</v>
          </cell>
          <cell r="E204" t="str">
            <v>กาฬสินธุ์</v>
          </cell>
          <cell r="F204" t="str">
            <v>Farmer</v>
          </cell>
        </row>
        <row r="205">
          <cell r="C205" t="str">
            <v>นางสาวสุนันทา ลีหล้าน้อย</v>
          </cell>
          <cell r="D205" t="str">
            <v>กุฉินารายณ์</v>
          </cell>
          <cell r="E205" t="str">
            <v>กาฬสินธุ์</v>
          </cell>
          <cell r="F205" t="str">
            <v>Farmer</v>
          </cell>
        </row>
        <row r="206">
          <cell r="C206" t="str">
            <v>นางสาวสุปราณี ศรีบุญจันทร์</v>
          </cell>
          <cell r="D206" t="str">
            <v>สามชัย</v>
          </cell>
          <cell r="E206" t="str">
            <v>กาฬสินธุ์</v>
          </cell>
          <cell r="F206" t="str">
            <v>Broker</v>
          </cell>
        </row>
        <row r="207">
          <cell r="C207" t="str">
            <v>นางสาวสุพรรนิภา พลยาง</v>
          </cell>
          <cell r="D207" t="str">
            <v>สหัสขันธ์</v>
          </cell>
          <cell r="E207" t="str">
            <v>กาฬสินธุ์</v>
          </cell>
          <cell r="F207" t="str">
            <v>Farmer</v>
          </cell>
        </row>
        <row r="208">
          <cell r="C208" t="str">
            <v>นางสาวสุภัสสรา สหะชัย</v>
          </cell>
          <cell r="D208" t="str">
            <v>สมเด็จ</v>
          </cell>
          <cell r="E208" t="str">
            <v>กาฬสินธุ์</v>
          </cell>
          <cell r="F208" t="str">
            <v>Farmer</v>
          </cell>
        </row>
        <row r="209">
          <cell r="C209" t="str">
            <v>นางสาวสุริฉาย มุงคุณ</v>
          </cell>
          <cell r="D209" t="str">
            <v>เมืองกาฬสินธุ์</v>
          </cell>
          <cell r="E209" t="str">
            <v>กาฬสินธุ์</v>
          </cell>
          <cell r="F209" t="str">
            <v>Farmer</v>
          </cell>
        </row>
        <row r="210">
          <cell r="C210" t="str">
            <v>นางสาวสุรีรัตน์ ชาติไทย</v>
          </cell>
          <cell r="D210" t="str">
            <v>หนองกุงศรี</v>
          </cell>
          <cell r="E210" t="str">
            <v>กาฬสินธุ์</v>
          </cell>
          <cell r="F210" t="str">
            <v>Farmer</v>
          </cell>
        </row>
        <row r="211">
          <cell r="C211" t="str">
            <v>นางสาวสุวรรณา ลุนท้อ</v>
          </cell>
          <cell r="D211" t="str">
            <v>เมืองขอนแก่น</v>
          </cell>
          <cell r="E211" t="str">
            <v>ขอนแก่น</v>
          </cell>
          <cell r="F211" t="str">
            <v>Broker</v>
          </cell>
        </row>
        <row r="212">
          <cell r="C212" t="str">
            <v>นางสาวสุวรรณา อัตรา</v>
          </cell>
          <cell r="D212" t="str">
            <v>เมืองกาฬสินธุ์</v>
          </cell>
          <cell r="E212" t="str">
            <v>กาฬสินธุ์</v>
          </cell>
          <cell r="F212" t="str">
            <v>Farmer</v>
          </cell>
        </row>
        <row r="213">
          <cell r="C213" t="str">
            <v>นางสาวเสาวนีย์ หาญพิมาย</v>
          </cell>
          <cell r="D213" t="str">
            <v>นามน</v>
          </cell>
          <cell r="E213" t="str">
            <v>กาฬสินธุ์</v>
          </cell>
          <cell r="F213" t="str">
            <v>Farmer</v>
          </cell>
        </row>
        <row r="214">
          <cell r="C214" t="str">
            <v>นางสาวเสาวลักษณ์ คำผง</v>
          </cell>
          <cell r="D214" t="str">
            <v>เมืองกาฬสินธุ์</v>
          </cell>
          <cell r="E214" t="str">
            <v>กาฬสินธุ์</v>
          </cell>
          <cell r="F214" t="str">
            <v>Farmer</v>
          </cell>
        </row>
        <row r="215">
          <cell r="C215" t="str">
            <v>นางสาวเสาวลักษณ์ ยะไวทย์</v>
          </cell>
          <cell r="D215" t="str">
            <v>สมเด็จ</v>
          </cell>
          <cell r="E215" t="str">
            <v>กาฬสินธุ์</v>
          </cell>
          <cell r="F215" t="str">
            <v>Farmer</v>
          </cell>
        </row>
        <row r="216">
          <cell r="C216" t="str">
            <v>นางสาวแสงจันทร์ แก้วขอนแก่น</v>
          </cell>
          <cell r="D216" t="str">
            <v>เมืองกาฬสินธุ์</v>
          </cell>
          <cell r="E216" t="str">
            <v>กาฬสินธุ์</v>
          </cell>
          <cell r="F216" t="str">
            <v>Farmer</v>
          </cell>
        </row>
        <row r="217">
          <cell r="C217" t="str">
            <v>นางสาวหนูจันทร์ เจริญศิลป์</v>
          </cell>
          <cell r="D217" t="str">
            <v>สมเด็จ</v>
          </cell>
          <cell r="E217" t="str">
            <v>กาฬสินธุ์</v>
          </cell>
          <cell r="F217" t="str">
            <v>Farmer</v>
          </cell>
        </row>
        <row r="218">
          <cell r="C218" t="str">
            <v>นางสาวอภิญญา อรรถประจง</v>
          </cell>
          <cell r="D218" t="str">
            <v>คำม่วง</v>
          </cell>
          <cell r="E218" t="str">
            <v>กาฬสินธุ์</v>
          </cell>
          <cell r="F218" t="str">
            <v>Farmer</v>
          </cell>
        </row>
        <row r="219">
          <cell r="C219" t="str">
            <v>นางสาวอมรรัตน์ ฤทธิจรจาก</v>
          </cell>
          <cell r="D219" t="str">
            <v>ไชยวาน</v>
          </cell>
          <cell r="E219" t="str">
            <v>อุดรธานี</v>
          </cell>
          <cell r="F219" t="str">
            <v>Broker</v>
          </cell>
        </row>
        <row r="220">
          <cell r="C220" t="str">
            <v>นางสาวอรปวีณา พละศักดิ์</v>
          </cell>
          <cell r="D220" t="str">
            <v>กุฉินารายณ์</v>
          </cell>
          <cell r="E220" t="str">
            <v>กาฬสินธุ์</v>
          </cell>
          <cell r="F220" t="str">
            <v>Farmer</v>
          </cell>
        </row>
        <row r="221">
          <cell r="C221" t="str">
            <v>นางสาวอรพรรณ จงประเสริฐ</v>
          </cell>
          <cell r="D221" t="str">
            <v>เมืองกาฬสินธุ์</v>
          </cell>
          <cell r="E221" t="str">
            <v>กาฬสินธุ์</v>
          </cell>
          <cell r="F221" t="str">
            <v>Farmer</v>
          </cell>
        </row>
        <row r="222">
          <cell r="C222" t="str">
            <v>นางสาวอรพรรณ ทองอด</v>
          </cell>
          <cell r="D222" t="str">
            <v>เมืองกาฬสินธุ์</v>
          </cell>
          <cell r="E222" t="str">
            <v>กาฬสินธุ์</v>
          </cell>
          <cell r="F222" t="str">
            <v>Farmer</v>
          </cell>
        </row>
        <row r="223">
          <cell r="C223" t="str">
            <v>นางสาวอรวรรณ ทรัพย์เติม</v>
          </cell>
          <cell r="D223" t="str">
            <v>เมืองกาฬสินธุ์</v>
          </cell>
          <cell r="E223" t="str">
            <v>กาฬสินธุ์</v>
          </cell>
          <cell r="F223" t="str">
            <v>Farmer</v>
          </cell>
        </row>
        <row r="224">
          <cell r="C224" t="str">
            <v>นางสาวอรัญญา น้อยชื่น</v>
          </cell>
          <cell r="D224" t="str">
            <v>สมเด็จ</v>
          </cell>
          <cell r="E224" t="str">
            <v>กาฬสินธุ์</v>
          </cell>
          <cell r="F224" t="str">
            <v>Farmer</v>
          </cell>
        </row>
        <row r="225">
          <cell r="C225" t="str">
            <v>นางสาวอริศรา ศรีเทา</v>
          </cell>
          <cell r="D225" t="str">
            <v>เมืองกาฬสินธุ์</v>
          </cell>
          <cell r="E225" t="str">
            <v>กาฬสินธุ์</v>
          </cell>
          <cell r="F225" t="str">
            <v>Farmer</v>
          </cell>
        </row>
        <row r="226">
          <cell r="C226" t="str">
            <v>นางสาวอรุณ พันธุ์ภักดี</v>
          </cell>
          <cell r="D226" t="str">
            <v>เมืองกาฬสินธุ์</v>
          </cell>
          <cell r="E226" t="str">
            <v>กาฬสินธุ์</v>
          </cell>
          <cell r="F226" t="str">
            <v>Farmer</v>
          </cell>
        </row>
        <row r="227">
          <cell r="C227" t="str">
            <v>นางสาวอัญชลี สุ่มมาตย์</v>
          </cell>
          <cell r="D227" t="str">
            <v>ห้วยผึ้ง</v>
          </cell>
          <cell r="E227" t="str">
            <v>กาฬสินธุ์</v>
          </cell>
          <cell r="F227" t="str">
            <v>Farmer</v>
          </cell>
        </row>
        <row r="228">
          <cell r="C228" t="str">
            <v>นางสาวอาทิตยา ลีทัพไทย</v>
          </cell>
          <cell r="D228" t="str">
            <v>น้ำพอง</v>
          </cell>
          <cell r="E228" t="str">
            <v>ขอนแก่น</v>
          </cell>
          <cell r="F228" t="str">
            <v>Broker</v>
          </cell>
        </row>
        <row r="229">
          <cell r="C229" t="str">
            <v>นางสาวอำพร ทรัพย์นาค</v>
          </cell>
          <cell r="D229" t="str">
            <v>เมืองกาฬสินธุ์</v>
          </cell>
          <cell r="E229" t="str">
            <v>กาฬสินธุ์</v>
          </cell>
          <cell r="F229" t="str">
            <v>Farmer</v>
          </cell>
        </row>
        <row r="230">
          <cell r="C230" t="str">
            <v>นางสาวอุดมรัตน์ ดอนสินเพิ่ม</v>
          </cell>
          <cell r="D230" t="str">
            <v>เมืองกาฬสินธุ์</v>
          </cell>
          <cell r="E230" t="str">
            <v>กาฬสินธุ์</v>
          </cell>
          <cell r="F230" t="str">
            <v>Farmer</v>
          </cell>
        </row>
        <row r="231">
          <cell r="C231" t="str">
            <v>นางสาวอุตสา ไกรวงษ์</v>
          </cell>
          <cell r="D231" t="str">
            <v>เมืองกาฬสินธุ์</v>
          </cell>
          <cell r="E231" t="str">
            <v>กาฬสินธุ์</v>
          </cell>
          <cell r="F231" t="str">
            <v>Farmer</v>
          </cell>
        </row>
        <row r="232">
          <cell r="C232" t="str">
            <v>นางสาวอุไรพร คำชัยนนท์</v>
          </cell>
          <cell r="D232" t="str">
            <v>สมเด็จ</v>
          </cell>
          <cell r="E232" t="str">
            <v>กาฬสินธุ์</v>
          </cell>
          <cell r="F232" t="str">
            <v>Farmer</v>
          </cell>
        </row>
        <row r="233">
          <cell r="C233" t="str">
            <v>นางสาวไอรีน วิภัคอัครกุล</v>
          </cell>
          <cell r="D233" t="str">
            <v>กระนวน</v>
          </cell>
          <cell r="E233" t="str">
            <v>ขอนแก่น</v>
          </cell>
          <cell r="F233" t="str">
            <v>Broker</v>
          </cell>
        </row>
        <row r="234">
          <cell r="C234" t="str">
            <v>นางสำเนียง ศรีอากาศ</v>
          </cell>
          <cell r="D234" t="str">
            <v>สหัสขันธ์</v>
          </cell>
          <cell r="E234" t="str">
            <v>กาฬสินธุ์</v>
          </cell>
          <cell r="F234" t="str">
            <v>Farmer</v>
          </cell>
        </row>
        <row r="235">
          <cell r="C235" t="str">
            <v>นางสำราญ แสนโบราณ</v>
          </cell>
          <cell r="D235" t="str">
            <v>สหัสขันธ์</v>
          </cell>
          <cell r="E235" t="str">
            <v>กาฬสินธุ์</v>
          </cell>
          <cell r="F235" t="str">
            <v>Farmer</v>
          </cell>
        </row>
        <row r="236">
          <cell r="C236" t="str">
            <v>นางสำลี เขตสินบุญ</v>
          </cell>
          <cell r="D236" t="str">
            <v>นามน</v>
          </cell>
          <cell r="E236" t="str">
            <v>กาฬสินธุ์</v>
          </cell>
          <cell r="F236" t="str">
            <v>Farmer</v>
          </cell>
        </row>
        <row r="237">
          <cell r="C237" t="str">
            <v>นางสำลี โพธิจักร</v>
          </cell>
          <cell r="D237" t="str">
            <v>เมืองกาฬสินธุ์</v>
          </cell>
          <cell r="E237" t="str">
            <v>กาฬสินธุ์</v>
          </cell>
          <cell r="F237" t="str">
            <v>Farmer</v>
          </cell>
        </row>
        <row r="238">
          <cell r="C238" t="str">
            <v>นางสุดใจ ภูชมศรี</v>
          </cell>
          <cell r="D238" t="str">
            <v>เมืองกาฬสินธุ์</v>
          </cell>
          <cell r="E238" t="str">
            <v>กาฬสินธุ์</v>
          </cell>
          <cell r="F238" t="str">
            <v>Farmer</v>
          </cell>
        </row>
        <row r="239">
          <cell r="C239" t="str">
            <v>นางสุพรรณ การฟุ้ง</v>
          </cell>
          <cell r="D239" t="str">
            <v>สมเด็จ</v>
          </cell>
          <cell r="E239" t="str">
            <v>กาฬสินธุ์</v>
          </cell>
          <cell r="F239" t="str">
            <v>Farmer</v>
          </cell>
        </row>
        <row r="240">
          <cell r="C240" t="str">
            <v>นางสุพรรณี แจ่มสุวรรณ</v>
          </cell>
          <cell r="D240" t="str">
            <v>เมืองกาฬสินธุ์</v>
          </cell>
          <cell r="E240" t="str">
            <v>กาฬสินธุ์</v>
          </cell>
          <cell r="F240" t="str">
            <v>Farmer</v>
          </cell>
        </row>
        <row r="241">
          <cell r="C241" t="str">
            <v>นางสุภาสินี จันทะดี</v>
          </cell>
          <cell r="D241" t="str">
            <v>กระนวน</v>
          </cell>
          <cell r="E241" t="str">
            <v>ขอนแก่น</v>
          </cell>
          <cell r="F241" t="str">
            <v>Broker</v>
          </cell>
        </row>
        <row r="242">
          <cell r="C242" t="str">
            <v>นางสุรภีภรณ์ เรณู</v>
          </cell>
          <cell r="D242" t="str">
            <v>เมืองกาฬสินธุ์</v>
          </cell>
          <cell r="E242" t="str">
            <v>กาฬสินธุ์</v>
          </cell>
          <cell r="F242" t="str">
            <v>Farmer</v>
          </cell>
        </row>
        <row r="243">
          <cell r="C243" t="str">
            <v>นางหนูกูล ศรีจันทร์</v>
          </cell>
          <cell r="D243" t="str">
            <v>เมืองกาฬสินธุ์</v>
          </cell>
          <cell r="E243" t="str">
            <v>กาฬสินธุ์</v>
          </cell>
          <cell r="F243" t="str">
            <v>Farmer</v>
          </cell>
        </row>
        <row r="244">
          <cell r="C244" t="str">
            <v>นางหนูจี อนุศาสตรชน</v>
          </cell>
          <cell r="D244" t="str">
            <v>เมืองกาฬสินธุ์</v>
          </cell>
          <cell r="E244" t="str">
            <v>กาฬสินธุ์</v>
          </cell>
          <cell r="F244" t="str">
            <v>Farmer</v>
          </cell>
        </row>
        <row r="245">
          <cell r="C245" t="str">
            <v>นางหนูแดง นันบุญ</v>
          </cell>
          <cell r="D245" t="str">
            <v>เมืองกาฬสินธุ์</v>
          </cell>
          <cell r="E245" t="str">
            <v>กาฬสินธุ์</v>
          </cell>
          <cell r="F245" t="str">
            <v>Farmer</v>
          </cell>
        </row>
        <row r="246">
          <cell r="C246" t="str">
            <v>นางหนูแดง ภาวะภูตานนต์</v>
          </cell>
          <cell r="D246" t="str">
            <v>สมเด็จ</v>
          </cell>
          <cell r="E246" t="str">
            <v>กาฬสินธุ์</v>
          </cell>
          <cell r="F246" t="str">
            <v>Farmer</v>
          </cell>
        </row>
        <row r="247">
          <cell r="C247" t="str">
            <v>นางเหล็ก สุลำนาจ</v>
          </cell>
          <cell r="D247" t="str">
            <v>ดงหลวง</v>
          </cell>
          <cell r="E247" t="str">
            <v>มุกดาหาร</v>
          </cell>
          <cell r="F247" t="str">
            <v>Farmer</v>
          </cell>
        </row>
        <row r="248">
          <cell r="C248" t="str">
            <v>นางอนงค์ ชินมา</v>
          </cell>
          <cell r="D248" t="str">
            <v>ท่าคันโท</v>
          </cell>
          <cell r="E248" t="str">
            <v>กาฬสินธุ์</v>
          </cell>
          <cell r="F248" t="str">
            <v>Broker</v>
          </cell>
        </row>
        <row r="249">
          <cell r="C249" t="str">
            <v>นางอรพรรณ ซื่อสัตย์</v>
          </cell>
          <cell r="D249" t="str">
            <v>สมเด็จ</v>
          </cell>
          <cell r="E249" t="str">
            <v>กาฬสินธุ์</v>
          </cell>
          <cell r="F249" t="str">
            <v>Farmer</v>
          </cell>
        </row>
        <row r="250">
          <cell r="C250" t="str">
            <v>นางอรุณรักษ์ มูลอินทร์</v>
          </cell>
          <cell r="D250" t="str">
            <v>เมืองกาฬสินธุ์</v>
          </cell>
          <cell r="E250" t="str">
            <v>กาฬสินธุ์</v>
          </cell>
          <cell r="F250" t="str">
            <v>Farmer</v>
          </cell>
        </row>
        <row r="251">
          <cell r="C251" t="str">
            <v>นางอวยพร ภักดี</v>
          </cell>
          <cell r="D251" t="str">
            <v>เมืองกาฬสินธุ์</v>
          </cell>
          <cell r="E251" t="str">
            <v>กาฬสินธุ์</v>
          </cell>
          <cell r="F251" t="str">
            <v>Farmer</v>
          </cell>
        </row>
        <row r="252">
          <cell r="C252" t="str">
            <v>นางอ่อนจันทร์ สำราญสม</v>
          </cell>
          <cell r="D252" t="str">
            <v>เมืองกาฬสินธุ์</v>
          </cell>
          <cell r="E252" t="str">
            <v>กาฬสินธุ์</v>
          </cell>
          <cell r="F252" t="str">
            <v>Farmer</v>
          </cell>
        </row>
        <row r="253">
          <cell r="C253" t="str">
            <v>นางอัมลา สาศรีเมือง</v>
          </cell>
          <cell r="D253" t="str">
            <v>สามชัย</v>
          </cell>
          <cell r="E253" t="str">
            <v>กาฬสินธุ์</v>
          </cell>
          <cell r="F253" t="str">
            <v>Farmer</v>
          </cell>
        </row>
        <row r="254">
          <cell r="C254" t="str">
            <v>นางอุดม ขันธุแสง</v>
          </cell>
          <cell r="D254" t="str">
            <v>สหัสขันธ์</v>
          </cell>
          <cell r="E254" t="str">
            <v>กาฬสินธุ์</v>
          </cell>
          <cell r="F254" t="str">
            <v>Farmer</v>
          </cell>
        </row>
        <row r="255">
          <cell r="C255" t="str">
            <v>นางอุมาพร อาษาศึก</v>
          </cell>
          <cell r="D255" t="str">
            <v>นามน</v>
          </cell>
          <cell r="E255" t="str">
            <v>กาฬสินธุ์</v>
          </cell>
          <cell r="F255" t="str">
            <v>Farmer</v>
          </cell>
        </row>
        <row r="256">
          <cell r="C256" t="str">
            <v>นางอุลัยวรรณ์ เกือสีโท</v>
          </cell>
          <cell r="D256" t="str">
            <v>เมืองกาฬสินธุ์</v>
          </cell>
          <cell r="E256" t="str">
            <v>กาฬสินธุ์</v>
          </cell>
          <cell r="F256" t="str">
            <v>Farmer</v>
          </cell>
        </row>
        <row r="257">
          <cell r="C257" t="str">
            <v>นางไอ่ ไร่รัตน์</v>
          </cell>
          <cell r="D257" t="str">
            <v>นามน</v>
          </cell>
          <cell r="E257" t="str">
            <v>กาฬสินธุ์</v>
          </cell>
          <cell r="F257" t="str">
            <v>Farmer</v>
          </cell>
        </row>
        <row r="258">
          <cell r="C258" t="str">
            <v>นาย เพชร ปิ่นละออ</v>
          </cell>
          <cell r="D258" t="str">
            <v>สหัสขันธ์</v>
          </cell>
          <cell r="E258" t="str">
            <v>กาฬสินธุ์</v>
          </cell>
          <cell r="F258" t="str">
            <v>Farmer</v>
          </cell>
        </row>
        <row r="259">
          <cell r="C259" t="str">
            <v>นายกระหนก ลังภูรี</v>
          </cell>
          <cell r="D259" t="str">
            <v>คำม่วง</v>
          </cell>
          <cell r="E259" t="str">
            <v>กาฬสินธุ์</v>
          </cell>
          <cell r="F259" t="str">
            <v>Farmer</v>
          </cell>
        </row>
        <row r="260">
          <cell r="C260" t="str">
            <v>นายกฤษฎา สารหงห์</v>
          </cell>
          <cell r="D260" t="str">
            <v>สามชัย</v>
          </cell>
          <cell r="E260" t="str">
            <v>กาฬสินธุ์</v>
          </cell>
          <cell r="F260" t="str">
            <v>Farmer</v>
          </cell>
        </row>
        <row r="261">
          <cell r="C261" t="str">
            <v>นายกฤษดา อุ่นทะยา</v>
          </cell>
          <cell r="D261" t="str">
            <v>หนองกุงศรี</v>
          </cell>
          <cell r="E261" t="str">
            <v>กาฬสินธุ์</v>
          </cell>
          <cell r="F261" t="str">
            <v>Farmer</v>
          </cell>
        </row>
        <row r="262">
          <cell r="C262" t="str">
            <v>นายกลม คำภูมิวัน</v>
          </cell>
          <cell r="D262" t="str">
            <v>เมืองกาฬสินธุ์</v>
          </cell>
          <cell r="E262" t="str">
            <v>กาฬสินธุ์</v>
          </cell>
          <cell r="F262" t="str">
            <v>Farmer</v>
          </cell>
        </row>
        <row r="263">
          <cell r="C263" t="str">
            <v>นายกิตติพงค์ แก้วจิตตะ</v>
          </cell>
          <cell r="D263" t="str">
            <v>เมืองกาฬสินธุ์</v>
          </cell>
          <cell r="E263" t="str">
            <v>กาฬสินธุ์</v>
          </cell>
          <cell r="F263" t="str">
            <v>Farmer</v>
          </cell>
        </row>
        <row r="264">
          <cell r="C264" t="str">
            <v>นายกิตติพงษ์ นาโสก</v>
          </cell>
          <cell r="D264" t="str">
            <v>เมืองมุกดาหาร</v>
          </cell>
          <cell r="E264" t="str">
            <v>มุกดาหาร</v>
          </cell>
          <cell r="F264" t="str">
            <v>Broker</v>
          </cell>
        </row>
        <row r="265">
          <cell r="C265" t="str">
            <v>นายกิติพงศ์ คำมะลิ</v>
          </cell>
          <cell r="D265" t="str">
            <v>สมเด็จ</v>
          </cell>
          <cell r="E265" t="str">
            <v>กาฬสินธุ์</v>
          </cell>
          <cell r="F265" t="str">
            <v>Farmer</v>
          </cell>
        </row>
        <row r="266">
          <cell r="C266" t="str">
            <v>นายกิหลัน ไชยสา</v>
          </cell>
          <cell r="D266" t="str">
            <v>สมเด็จ</v>
          </cell>
          <cell r="E266" t="str">
            <v>กาฬสินธุ์</v>
          </cell>
          <cell r="F266" t="str">
            <v>Farmer</v>
          </cell>
        </row>
        <row r="267">
          <cell r="C267" t="str">
            <v>นายเกษดา ฉายแม้น</v>
          </cell>
          <cell r="D267" t="str">
            <v>เมืองกาฬสินธุ์</v>
          </cell>
          <cell r="E267" t="str">
            <v>กาฬสินธุ์</v>
          </cell>
          <cell r="F267" t="str">
            <v>Broker</v>
          </cell>
        </row>
        <row r="268">
          <cell r="C268" t="str">
            <v>นายเกียรติ พุทธบุรี</v>
          </cell>
          <cell r="D268" t="str">
            <v>หนองกุงศรี</v>
          </cell>
          <cell r="E268" t="str">
            <v>กาฬสินธุ์</v>
          </cell>
          <cell r="F268" t="str">
            <v>Farmer</v>
          </cell>
        </row>
        <row r="269">
          <cell r="C269" t="str">
            <v>นายโกสินทร์ สังรวมใจ</v>
          </cell>
          <cell r="D269" t="str">
            <v>เมืองกาฬสินธุ์</v>
          </cell>
          <cell r="E269" t="str">
            <v>กาฬสินธุ์</v>
          </cell>
          <cell r="F269" t="str">
            <v>Farmer</v>
          </cell>
        </row>
        <row r="270">
          <cell r="C270" t="str">
            <v>นายเขียว ภารประสาท</v>
          </cell>
          <cell r="D270" t="str">
            <v>สมเด็จ</v>
          </cell>
          <cell r="E270" t="str">
            <v>กาฬสินธุ์</v>
          </cell>
          <cell r="F270" t="str">
            <v>Farmer</v>
          </cell>
        </row>
        <row r="271">
          <cell r="C271" t="str">
            <v>นายคมกฤษ เรียบรันดร</v>
          </cell>
          <cell r="D271" t="str">
            <v>เมืองกาฬสินธุ์</v>
          </cell>
          <cell r="E271" t="str">
            <v>กาฬสินธุ์</v>
          </cell>
          <cell r="F271" t="str">
            <v>Farmer</v>
          </cell>
        </row>
        <row r="272">
          <cell r="C272" t="str">
            <v>นายคำกรุง สุมา</v>
          </cell>
          <cell r="D272" t="str">
            <v>เมืองกาฬสินธุ์</v>
          </cell>
          <cell r="E272" t="str">
            <v>กาฬสินธุ์</v>
          </cell>
          <cell r="F272" t="str">
            <v>Farmer</v>
          </cell>
        </row>
        <row r="273">
          <cell r="C273" t="str">
            <v>นายคำกอง ผลเลขา</v>
          </cell>
          <cell r="D273" t="str">
            <v>ดอนจาน</v>
          </cell>
          <cell r="E273" t="str">
            <v>กาฬสินธุ์</v>
          </cell>
          <cell r="F273" t="str">
            <v>Farmer</v>
          </cell>
        </row>
        <row r="274">
          <cell r="C274" t="str">
            <v>นายคำใบ เบ้าจังหาร</v>
          </cell>
          <cell r="D274" t="str">
            <v>เมืองกาฬสินธุ์</v>
          </cell>
          <cell r="E274" t="str">
            <v>กาฬสินธุ์</v>
          </cell>
          <cell r="F274" t="str">
            <v>Farmer</v>
          </cell>
        </row>
        <row r="275">
          <cell r="C275" t="str">
            <v>นายคำมี แวดไธยสงค์</v>
          </cell>
          <cell r="D275" t="str">
            <v>เมืองกาฬสินธุ์</v>
          </cell>
          <cell r="E275" t="str">
            <v>กาฬสินธุ์</v>
          </cell>
          <cell r="F275" t="str">
            <v>Farmer</v>
          </cell>
        </row>
        <row r="276">
          <cell r="C276" t="str">
            <v>นายคำมูล ภูขำ</v>
          </cell>
          <cell r="D276" t="str">
            <v>สหัสขันธ์</v>
          </cell>
          <cell r="E276" t="str">
            <v>กาฬสินธุ์</v>
          </cell>
          <cell r="F276" t="str">
            <v>Farmer</v>
          </cell>
        </row>
        <row r="277">
          <cell r="C277" t="str">
            <v>นายคำใหม่ อิ่มประสงค์</v>
          </cell>
          <cell r="D277" t="str">
            <v>สหัสขันธ์</v>
          </cell>
          <cell r="E277" t="str">
            <v>กาฬสินธุ์</v>
          </cell>
          <cell r="F277" t="str">
            <v>Farmer</v>
          </cell>
        </row>
        <row r="278">
          <cell r="C278" t="str">
            <v>นายคูณเมือง ปรีพัฒน์</v>
          </cell>
          <cell r="D278" t="str">
            <v>สหัสขันธ์</v>
          </cell>
          <cell r="E278" t="str">
            <v>กาฬสินธุ์</v>
          </cell>
          <cell r="F278" t="str">
            <v>Farmer</v>
          </cell>
        </row>
        <row r="279">
          <cell r="C279" t="str">
            <v>นายจงสันต์ วัฒโน</v>
          </cell>
          <cell r="D279" t="str">
            <v>หนองกุงศรี</v>
          </cell>
          <cell r="E279" t="str">
            <v>กาฬสินธุ์</v>
          </cell>
          <cell r="F279" t="str">
            <v>Farmer</v>
          </cell>
        </row>
        <row r="280">
          <cell r="C280" t="str">
            <v>นายจตุพล พัฒนโพธิ์</v>
          </cell>
          <cell r="D280" t="str">
            <v>เมืองกาฬสินธุ์</v>
          </cell>
          <cell r="E280" t="str">
            <v>กาฬสินธุ์</v>
          </cell>
          <cell r="F280" t="str">
            <v>Farmer</v>
          </cell>
        </row>
        <row r="281">
          <cell r="C281" t="str">
            <v>นายจะดิษฐ์ คำเลิศ</v>
          </cell>
          <cell r="D281" t="str">
            <v>เมืองกาฬสินธุ์</v>
          </cell>
          <cell r="E281" t="str">
            <v>กาฬสินธุ์</v>
          </cell>
          <cell r="F281" t="str">
            <v>Farmer</v>
          </cell>
        </row>
        <row r="282">
          <cell r="C282" t="str">
            <v>นายจักรกฤษณ์ ประทุม</v>
          </cell>
          <cell r="D282" t="str">
            <v>ดอนจาน</v>
          </cell>
          <cell r="E282" t="str">
            <v>กาฬสินธุ์</v>
          </cell>
          <cell r="F282" t="str">
            <v>Farmer</v>
          </cell>
        </row>
        <row r="283">
          <cell r="C283" t="str">
            <v>นายจักรพงษ์ ปัญจิต</v>
          </cell>
          <cell r="D283" t="str">
            <v>สามชัย</v>
          </cell>
          <cell r="E283" t="str">
            <v>กาฬสินธุ์</v>
          </cell>
          <cell r="F283" t="str">
            <v>Farmer</v>
          </cell>
        </row>
        <row r="284">
          <cell r="C284" t="str">
            <v>นายจันทา การนา</v>
          </cell>
          <cell r="D284" t="str">
            <v>สมเด็จ</v>
          </cell>
          <cell r="E284" t="str">
            <v>กาฬสินธุ์</v>
          </cell>
          <cell r="F284" t="str">
            <v>Farmer</v>
          </cell>
        </row>
        <row r="285">
          <cell r="C285" t="str">
            <v>นายจำนงค์ บุญเรือน</v>
          </cell>
          <cell r="D285" t="str">
            <v>สมเด็จ</v>
          </cell>
          <cell r="E285" t="str">
            <v>กาฬสินธุ์</v>
          </cell>
          <cell r="F285" t="str">
            <v>Farmer</v>
          </cell>
        </row>
        <row r="286">
          <cell r="C286" t="str">
            <v>นายจำรูญ ตันสร้าง</v>
          </cell>
          <cell r="D286" t="str">
            <v>สมเด็จ</v>
          </cell>
          <cell r="E286" t="str">
            <v>กาฬสินธุ์</v>
          </cell>
          <cell r="F286" t="str">
            <v>Farmer</v>
          </cell>
        </row>
        <row r="287">
          <cell r="C287" t="str">
            <v>นายจิตรกร บุญบุตร</v>
          </cell>
          <cell r="D287" t="str">
            <v>สหัสขันธ์</v>
          </cell>
          <cell r="E287" t="str">
            <v>กาฬสินธุ์</v>
          </cell>
          <cell r="F287" t="str">
            <v>Farmer</v>
          </cell>
        </row>
        <row r="288">
          <cell r="C288" t="str">
            <v>นายจิรายุ พละดล</v>
          </cell>
          <cell r="D288" t="str">
            <v>หนองกุงศรี</v>
          </cell>
          <cell r="E288" t="str">
            <v>กาฬสินธุ์</v>
          </cell>
          <cell r="F288" t="str">
            <v>Farmer</v>
          </cell>
        </row>
        <row r="289">
          <cell r="C289" t="str">
            <v>นายเจษฏาภรณ์ จุนัน</v>
          </cell>
          <cell r="D289" t="str">
            <v>หนองกุงศรี</v>
          </cell>
          <cell r="E289" t="str">
            <v>กาฬสินธุ์</v>
          </cell>
          <cell r="F289" t="str">
            <v>Farmer</v>
          </cell>
        </row>
        <row r="290">
          <cell r="C290" t="str">
            <v>นายใจ คำออน</v>
          </cell>
          <cell r="D290" t="str">
            <v>คำม่วง</v>
          </cell>
          <cell r="E290" t="str">
            <v>กาฬสินธุ์</v>
          </cell>
          <cell r="F290" t="str">
            <v>Farmer</v>
          </cell>
        </row>
        <row r="291">
          <cell r="C291" t="str">
            <v>นายฉลอง ปรีสมบัติ</v>
          </cell>
          <cell r="D291" t="str">
            <v>สหัสขันธ์</v>
          </cell>
          <cell r="E291" t="str">
            <v>กาฬสินธุ์</v>
          </cell>
          <cell r="F291" t="str">
            <v>Farmer</v>
          </cell>
        </row>
        <row r="292">
          <cell r="C292" t="str">
            <v>นายฉัตรชัย วงษา</v>
          </cell>
          <cell r="D292" t="str">
            <v>ซำสูง</v>
          </cell>
          <cell r="E292" t="str">
            <v>ขอนแก่น</v>
          </cell>
          <cell r="F292" t="str">
            <v>Broker</v>
          </cell>
        </row>
        <row r="293">
          <cell r="C293" t="str">
            <v>นายฉายัญ แสนนาม</v>
          </cell>
          <cell r="D293" t="str">
            <v>เมืองกาฬสินธุ์</v>
          </cell>
          <cell r="E293" t="str">
            <v>กาฬสินธุ์</v>
          </cell>
          <cell r="F293" t="str">
            <v>Farmer</v>
          </cell>
        </row>
        <row r="294">
          <cell r="C294" t="str">
            <v>นายเฉลย ศรีรังษ์</v>
          </cell>
          <cell r="D294" t="str">
            <v>นามน</v>
          </cell>
          <cell r="E294" t="str">
            <v>กาฬสินธุ์</v>
          </cell>
          <cell r="F294" t="str">
            <v>Farmer</v>
          </cell>
        </row>
        <row r="295">
          <cell r="C295" t="str">
            <v>นายชนะชัย พุทธแก้ว</v>
          </cell>
          <cell r="D295" t="str">
            <v>คำม่วง</v>
          </cell>
          <cell r="E295" t="str">
            <v>กาฬสินธุ์</v>
          </cell>
          <cell r="F295" t="str">
            <v>Farmer</v>
          </cell>
        </row>
        <row r="296">
          <cell r="C296" t="str">
            <v>นายชัชชัย สนทาธร</v>
          </cell>
          <cell r="D296" t="str">
            <v>วังสามหมอ</v>
          </cell>
          <cell r="E296" t="str">
            <v>อุดรธานี</v>
          </cell>
          <cell r="F296" t="str">
            <v>Broker</v>
          </cell>
        </row>
        <row r="297">
          <cell r="C297" t="str">
            <v>นายชัชวาลย์ ริสถา</v>
          </cell>
          <cell r="D297" t="str">
            <v>สมเด็จ</v>
          </cell>
          <cell r="E297" t="str">
            <v>กาฬสินธุ์</v>
          </cell>
          <cell r="F297" t="str">
            <v>Farmer</v>
          </cell>
        </row>
        <row r="298">
          <cell r="C298" t="str">
            <v>นายชัยชนะ ชุณหวรชัย</v>
          </cell>
          <cell r="D298" t="str">
            <v>น้ำพอง</v>
          </cell>
          <cell r="E298" t="str">
            <v>ขอนแก่น</v>
          </cell>
          <cell r="F298" t="str">
            <v>Broker</v>
          </cell>
        </row>
        <row r="299">
          <cell r="C299" t="str">
            <v>นายชัยนะรง ภูโปร่ง</v>
          </cell>
          <cell r="D299" t="str">
            <v>สมเด็จ</v>
          </cell>
          <cell r="E299" t="str">
            <v>กาฬสินธุ์</v>
          </cell>
          <cell r="F299" t="str">
            <v>Farmer</v>
          </cell>
        </row>
        <row r="300">
          <cell r="C300" t="str">
            <v>นายชัยวัฒน์ วรพล</v>
          </cell>
          <cell r="D300" t="str">
            <v>สามชัย</v>
          </cell>
          <cell r="E300" t="str">
            <v>กาฬสินธุ์</v>
          </cell>
          <cell r="F300" t="str">
            <v>Farmer</v>
          </cell>
        </row>
        <row r="301">
          <cell r="C301" t="str">
            <v>นายชาญชัย กะทุ่งกาง</v>
          </cell>
          <cell r="D301" t="str">
            <v>หนองกุงศรี</v>
          </cell>
          <cell r="E301" t="str">
            <v>กาฬสินธุ์</v>
          </cell>
          <cell r="F301" t="str">
            <v>Farmer</v>
          </cell>
        </row>
        <row r="302">
          <cell r="C302" t="str">
            <v>นายชาญชัย ภูมิชาญ</v>
          </cell>
          <cell r="D302" t="str">
            <v>สหัสขันธ์</v>
          </cell>
          <cell r="E302" t="str">
            <v>กาฬสินธุ์</v>
          </cell>
          <cell r="F302" t="str">
            <v>Farmer</v>
          </cell>
        </row>
        <row r="303">
          <cell r="C303" t="str">
            <v>นายชิตษณุพล แฟสันเทียะ</v>
          </cell>
          <cell r="D303" t="str">
            <v>วังสามหมอ</v>
          </cell>
          <cell r="E303" t="str">
            <v>อุดรธานี</v>
          </cell>
          <cell r="F303" t="str">
            <v>Broker</v>
          </cell>
        </row>
        <row r="304">
          <cell r="C304" t="str">
            <v>นายชินกร อารีเอื้อ</v>
          </cell>
          <cell r="D304" t="str">
            <v>เมืองกาฬสินธุ์</v>
          </cell>
          <cell r="E304" t="str">
            <v>กาฬสินธุ์</v>
          </cell>
          <cell r="F304" t="str">
            <v>Farmer</v>
          </cell>
        </row>
        <row r="305">
          <cell r="C305" t="str">
            <v>นายชูชาติ ดอนสมจิต</v>
          </cell>
          <cell r="D305" t="str">
            <v>สมเด็จ</v>
          </cell>
          <cell r="E305" t="str">
            <v>กาฬสินธุ์</v>
          </cell>
          <cell r="F305" t="str">
            <v>Farmer</v>
          </cell>
        </row>
        <row r="306">
          <cell r="C306" t="str">
            <v>นายโชคชัย บังขุนทศ</v>
          </cell>
          <cell r="D306" t="str">
            <v>สมเด็จ</v>
          </cell>
          <cell r="E306" t="str">
            <v>กาฬสินธุ์</v>
          </cell>
          <cell r="F306" t="str">
            <v>Farmer</v>
          </cell>
        </row>
        <row r="307">
          <cell r="C307" t="str">
            <v>นายโชคชัย ศรีอ่อนดี</v>
          </cell>
          <cell r="D307" t="str">
            <v>สมเด็จ</v>
          </cell>
          <cell r="E307" t="str">
            <v>กาฬสินธุ์</v>
          </cell>
          <cell r="F307" t="str">
            <v>Farmer</v>
          </cell>
        </row>
        <row r="308">
          <cell r="C308" t="str">
            <v>นายณัฐพงษ์ สุขล้ำเลิศ</v>
          </cell>
          <cell r="D308" t="str">
            <v>นามน</v>
          </cell>
          <cell r="E308" t="str">
            <v>กาฬสินธุ์</v>
          </cell>
          <cell r="F308" t="str">
            <v>Farmer</v>
          </cell>
        </row>
        <row r="309">
          <cell r="C309" t="str">
            <v>นายณัฐพล ชมจันทร์</v>
          </cell>
          <cell r="D309" t="str">
            <v>ไชยวาน</v>
          </cell>
          <cell r="E309" t="str">
            <v>อุดรธานี</v>
          </cell>
          <cell r="F309" t="str">
            <v>Broker</v>
          </cell>
        </row>
        <row r="310">
          <cell r="C310" t="str">
            <v>นายดนุพล หรดี</v>
          </cell>
          <cell r="D310" t="str">
            <v>เมืองกาฬสินธุ์</v>
          </cell>
          <cell r="E310" t="str">
            <v>กาฬสินธุ์</v>
          </cell>
          <cell r="F310" t="str">
            <v>Farmer</v>
          </cell>
        </row>
        <row r="311">
          <cell r="C311" t="str">
            <v>นายดุสิต อัฐนาค</v>
          </cell>
          <cell r="D311" t="str">
            <v>สมเด็จ</v>
          </cell>
          <cell r="E311" t="str">
            <v>กาฬสินธุ์</v>
          </cell>
          <cell r="F311" t="str">
            <v>Farmer</v>
          </cell>
        </row>
        <row r="312">
          <cell r="C312" t="str">
            <v>นายเดชา มาตรบุรมย์</v>
          </cell>
          <cell r="D312" t="str">
            <v>สหัสขันธ์</v>
          </cell>
          <cell r="E312" t="str">
            <v>กาฬสินธุ์</v>
          </cell>
          <cell r="F312" t="str">
            <v>Farmer</v>
          </cell>
        </row>
        <row r="313">
          <cell r="C313" t="str">
            <v>นายเดือน แก้วบุญ</v>
          </cell>
          <cell r="D313" t="str">
            <v>หนองกุงศรี</v>
          </cell>
          <cell r="E313" t="str">
            <v>กาฬสินธุ์</v>
          </cell>
          <cell r="F313" t="str">
            <v>Farmer</v>
          </cell>
        </row>
        <row r="314">
          <cell r="C314" t="str">
            <v>นายตง เกษอินทร์</v>
          </cell>
          <cell r="D314" t="str">
            <v>เมืองกาฬสินธุ์</v>
          </cell>
          <cell r="E314" t="str">
            <v>กาฬสินธุ์</v>
          </cell>
          <cell r="F314" t="str">
            <v>Farmer</v>
          </cell>
        </row>
        <row r="315">
          <cell r="C315" t="str">
            <v>นายตะวัน พันธุ์เสถียร</v>
          </cell>
          <cell r="D315" t="str">
            <v>เมืองกาฬสินธุ์</v>
          </cell>
          <cell r="E315" t="str">
            <v>กาฬสินธุ์</v>
          </cell>
          <cell r="F315" t="str">
            <v>Farmer</v>
          </cell>
        </row>
        <row r="316">
          <cell r="C316" t="str">
            <v>นายตะวัน พับไธสง</v>
          </cell>
          <cell r="D316" t="str">
            <v>เมืองกาฬสินธุ์</v>
          </cell>
          <cell r="E316" t="str">
            <v>กาฬสินธุ์</v>
          </cell>
          <cell r="F316" t="str">
            <v>Farmer</v>
          </cell>
        </row>
        <row r="317">
          <cell r="C317" t="str">
            <v>นายถวิล แก้วบุรมย์</v>
          </cell>
          <cell r="D317" t="str">
            <v>สหัสขันธ์</v>
          </cell>
          <cell r="E317" t="str">
            <v>กาฬสินธุ์</v>
          </cell>
          <cell r="F317" t="str">
            <v>Farmer</v>
          </cell>
        </row>
        <row r="318">
          <cell r="C318" t="str">
            <v>นายถัน ประมวล</v>
          </cell>
          <cell r="D318" t="str">
            <v>สหัสขันธ์</v>
          </cell>
          <cell r="E318" t="str">
            <v>กาฬสินธุ์</v>
          </cell>
          <cell r="F318" t="str">
            <v>Farmer</v>
          </cell>
        </row>
        <row r="319">
          <cell r="C319" t="str">
            <v>นายถาวร พันประสาท</v>
          </cell>
          <cell r="D319" t="str">
            <v>สมเด็จ</v>
          </cell>
          <cell r="E319" t="str">
            <v>กาฬสินธุ์</v>
          </cell>
          <cell r="F319" t="str">
            <v>Farmer</v>
          </cell>
        </row>
        <row r="320">
          <cell r="C320" t="str">
            <v>นายถาวร ใสศรีดา</v>
          </cell>
          <cell r="D320" t="str">
            <v>เมืองกาฬสินธุ์</v>
          </cell>
          <cell r="E320" t="str">
            <v>กาฬสินธุ์</v>
          </cell>
          <cell r="F320" t="str">
            <v>Farmer</v>
          </cell>
        </row>
        <row r="321">
          <cell r="C321" t="str">
            <v>นายทรงศักดิ์ ไชยเกรินทร์</v>
          </cell>
          <cell r="D321" t="str">
            <v>เมืองกาฬสินธุ์</v>
          </cell>
          <cell r="E321" t="str">
            <v>กาฬสินธุ์</v>
          </cell>
          <cell r="F321" t="str">
            <v>Farmer</v>
          </cell>
        </row>
        <row r="322">
          <cell r="C322" t="str">
            <v>นายทรัพย์ เฉื่อยกลาง</v>
          </cell>
          <cell r="D322" t="str">
            <v>สมเด็จ</v>
          </cell>
          <cell r="E322" t="str">
            <v>กาฬสินธุ์</v>
          </cell>
          <cell r="F322" t="str">
            <v>Farmer</v>
          </cell>
        </row>
        <row r="323">
          <cell r="C323" t="str">
            <v>นายทวี ดลปัดชา</v>
          </cell>
          <cell r="D323" t="str">
            <v>เมืองกาฬสินธุ์</v>
          </cell>
          <cell r="E323" t="str">
            <v>กาฬสินธุ์</v>
          </cell>
          <cell r="F323" t="str">
            <v>Farmer</v>
          </cell>
        </row>
        <row r="324">
          <cell r="C324" t="str">
            <v>นายทวี ปะริวันตา</v>
          </cell>
          <cell r="D324" t="str">
            <v>เมืองกาฬสินธุ์</v>
          </cell>
          <cell r="E324" t="str">
            <v>กาฬสินธุ์</v>
          </cell>
          <cell r="F324" t="str">
            <v>Farmer</v>
          </cell>
        </row>
        <row r="325">
          <cell r="C325" t="str">
            <v>นายทวีป ภูแดนไกร</v>
          </cell>
          <cell r="D325" t="str">
            <v>สหัสขันธ์</v>
          </cell>
          <cell r="E325" t="str">
            <v>กาฬสินธุ์</v>
          </cell>
          <cell r="F325" t="str">
            <v>Farmer</v>
          </cell>
        </row>
        <row r="326">
          <cell r="C326" t="str">
            <v>นายทวีศักดิ์ พรมศิริเดช</v>
          </cell>
          <cell r="D326" t="str">
            <v>เมืองกาฬสินธุ์</v>
          </cell>
          <cell r="E326" t="str">
            <v>กาฬสินธุ์</v>
          </cell>
          <cell r="F326" t="str">
            <v>Farmer</v>
          </cell>
        </row>
        <row r="327">
          <cell r="C327" t="str">
            <v>นายทศยศ ปัญจโรจน์</v>
          </cell>
          <cell r="D327" t="str">
            <v>นามน</v>
          </cell>
          <cell r="E327" t="str">
            <v>กาฬสินธุ์</v>
          </cell>
          <cell r="F327" t="str">
            <v>Farmer</v>
          </cell>
        </row>
        <row r="328">
          <cell r="C328" t="str">
            <v>นายทอง ทองคำแสง</v>
          </cell>
          <cell r="D328" t="str">
            <v>เมืองกาฬสินธุ์</v>
          </cell>
          <cell r="E328" t="str">
            <v>กาฬสินธุ์</v>
          </cell>
          <cell r="F328" t="str">
            <v>Farmer</v>
          </cell>
        </row>
        <row r="329">
          <cell r="C329" t="str">
            <v>นายทองคำ ภูขำ</v>
          </cell>
          <cell r="D329" t="str">
            <v>เมืองกาฬสินธุ์</v>
          </cell>
          <cell r="E329" t="str">
            <v>กาฬสินธุ์</v>
          </cell>
          <cell r="F329" t="str">
            <v>Farmer</v>
          </cell>
        </row>
        <row r="330">
          <cell r="C330" t="str">
            <v>นายทองจันทร์ คำพระมัย</v>
          </cell>
          <cell r="D330" t="str">
            <v>เมืองกาฬสินธุ์</v>
          </cell>
          <cell r="E330" t="str">
            <v>กาฬสินธุ์</v>
          </cell>
          <cell r="F330" t="str">
            <v>Farmer</v>
          </cell>
        </row>
        <row r="331">
          <cell r="C331" t="str">
            <v>นายทองจันทร์ เจริญศิลป์</v>
          </cell>
          <cell r="D331" t="str">
            <v>สมเด็จ</v>
          </cell>
          <cell r="E331" t="str">
            <v>กาฬสินธุ์</v>
          </cell>
          <cell r="F331" t="str">
            <v>Farmer</v>
          </cell>
        </row>
        <row r="332">
          <cell r="C332" t="str">
            <v>นายทองจันทร์ ศรีค้อ</v>
          </cell>
          <cell r="D332" t="str">
            <v>สมเด็จ</v>
          </cell>
          <cell r="E332" t="str">
            <v>กาฬสินธุ์</v>
          </cell>
          <cell r="F332" t="str">
            <v>Farmer</v>
          </cell>
        </row>
        <row r="333">
          <cell r="C333" t="str">
            <v>นายทองม้วน อันลูกท้าว</v>
          </cell>
          <cell r="D333" t="str">
            <v>สมเด็จ</v>
          </cell>
          <cell r="E333" t="str">
            <v>กาฬสินธุ์</v>
          </cell>
          <cell r="F333" t="str">
            <v>Farmer</v>
          </cell>
        </row>
        <row r="334">
          <cell r="C334" t="str">
            <v>นายทองร้อย ศรีคำมูล</v>
          </cell>
          <cell r="D334" t="str">
            <v>หนองกุงศรี</v>
          </cell>
          <cell r="E334" t="str">
            <v>กาฬสินธุ์</v>
          </cell>
          <cell r="F334" t="str">
            <v>Farmer</v>
          </cell>
        </row>
        <row r="335">
          <cell r="C335" t="str">
            <v>นายทองสอน สุกวาท</v>
          </cell>
          <cell r="D335" t="str">
            <v>สหัสขันธ์</v>
          </cell>
          <cell r="E335" t="str">
            <v>กาฬสินธุ์</v>
          </cell>
          <cell r="F335" t="str">
            <v>Farmer</v>
          </cell>
        </row>
        <row r="336">
          <cell r="C336" t="str">
            <v>นายเทพเทวี สุริยะ</v>
          </cell>
          <cell r="D336" t="str">
            <v>เมืองกาฬสินธุ์</v>
          </cell>
          <cell r="E336" t="str">
            <v>กาฬสินธุ์</v>
          </cell>
          <cell r="F336" t="str">
            <v>Farmer</v>
          </cell>
        </row>
        <row r="337">
          <cell r="C337" t="str">
            <v>นายเทวิล ศรีสองเมือง</v>
          </cell>
          <cell r="D337" t="str">
            <v>สมเด็จ</v>
          </cell>
          <cell r="E337" t="str">
            <v>กาฬสินธุ์</v>
          </cell>
          <cell r="F337" t="str">
            <v>Farmer</v>
          </cell>
        </row>
        <row r="338">
          <cell r="C338" t="str">
            <v>นายไทยพิชิต อาริสาโพธิ์</v>
          </cell>
          <cell r="D338" t="str">
            <v>เมืองกาฬสินธุ์</v>
          </cell>
          <cell r="E338" t="str">
            <v>กาฬสินธุ์</v>
          </cell>
          <cell r="F338" t="str">
            <v>Farmer</v>
          </cell>
        </row>
        <row r="339">
          <cell r="C339" t="str">
            <v>นายธงชัย ฉายจิตร</v>
          </cell>
          <cell r="D339" t="str">
            <v>เมืองกาฬสินธุ์</v>
          </cell>
          <cell r="E339" t="str">
            <v>กาฬสินธุ์</v>
          </cell>
          <cell r="F339" t="str">
            <v>Farmer</v>
          </cell>
        </row>
        <row r="340">
          <cell r="C340" t="str">
            <v>นายธงชัย มุศิริ</v>
          </cell>
          <cell r="D340" t="str">
            <v>ภูพาน</v>
          </cell>
          <cell r="E340" t="str">
            <v>สกลนคร</v>
          </cell>
          <cell r="F340" t="str">
            <v>Farmer</v>
          </cell>
        </row>
        <row r="341">
          <cell r="C341" t="str">
            <v>นายธนกุล วรรณปะโค</v>
          </cell>
          <cell r="D341" t="str">
            <v>เชียงยืน</v>
          </cell>
          <cell r="E341" t="str">
            <v>มหาสารคาม</v>
          </cell>
          <cell r="F341" t="str">
            <v>Broker</v>
          </cell>
        </row>
        <row r="342">
          <cell r="C342" t="str">
            <v>นายธนพล ทาบรรหาร</v>
          </cell>
          <cell r="D342" t="str">
            <v>สหัสขันธ์</v>
          </cell>
          <cell r="E342" t="str">
            <v>กาฬสินธุ์</v>
          </cell>
          <cell r="F342" t="str">
            <v>Farmer</v>
          </cell>
        </row>
        <row r="343">
          <cell r="C343" t="str">
            <v>นายธนวัฒน์ ทาบรรหาร</v>
          </cell>
          <cell r="D343" t="str">
            <v>สหัสขันธ์</v>
          </cell>
          <cell r="E343" t="str">
            <v>กาฬสินธุ์</v>
          </cell>
          <cell r="F343" t="str">
            <v>Farmer</v>
          </cell>
        </row>
        <row r="344">
          <cell r="C344" t="str">
            <v>นายธภัทร เข็มวงศ์ทอง</v>
          </cell>
          <cell r="D344" t="str">
            <v>เมืองกาฬสินธุ์</v>
          </cell>
          <cell r="E344" t="str">
            <v>กาฬสินธุ์</v>
          </cell>
          <cell r="F344" t="str">
            <v>Farmer</v>
          </cell>
        </row>
        <row r="345">
          <cell r="C345" t="str">
            <v>นายธวัชชัย นาสมจิตร</v>
          </cell>
          <cell r="D345" t="str">
            <v>สมเด็จ</v>
          </cell>
          <cell r="E345" t="str">
            <v>กาฬสินธุ์</v>
          </cell>
          <cell r="F345" t="str">
            <v>Farmer</v>
          </cell>
        </row>
        <row r="346">
          <cell r="C346" t="str">
            <v>นายธีรศักดิ์ กองเสนา</v>
          </cell>
          <cell r="D346" t="str">
            <v>ชื่นชม</v>
          </cell>
          <cell r="E346" t="str">
            <v>มหาสารคาม</v>
          </cell>
          <cell r="F346" t="str">
            <v>Broker</v>
          </cell>
        </row>
        <row r="347">
          <cell r="C347" t="str">
            <v>นายธีระพงศ์ วัฒโน</v>
          </cell>
          <cell r="D347" t="str">
            <v>หนองกุงศรี</v>
          </cell>
          <cell r="E347" t="str">
            <v>กาฬสินธุ์</v>
          </cell>
          <cell r="F347" t="str">
            <v>Farmer</v>
          </cell>
        </row>
        <row r="348">
          <cell r="C348" t="str">
            <v>นายธีระวัฒน์ แจ่มศักดิ์</v>
          </cell>
          <cell r="D348" t="str">
            <v>เมืองกาฬสินธุ์</v>
          </cell>
          <cell r="E348" t="str">
            <v>กาฬสินธุ์</v>
          </cell>
          <cell r="F348" t="str">
            <v>Farmer</v>
          </cell>
        </row>
        <row r="349">
          <cell r="C349" t="str">
            <v>นายนที ภูยอดนิล</v>
          </cell>
          <cell r="D349" t="str">
            <v>หนองกุงศรี</v>
          </cell>
          <cell r="E349" t="str">
            <v>กาฬสินธุ์</v>
          </cell>
          <cell r="F349" t="str">
            <v>Farmer</v>
          </cell>
        </row>
        <row r="350">
          <cell r="C350" t="str">
            <v>นายนพดล รัตนพันธุ์</v>
          </cell>
          <cell r="D350" t="str">
            <v>หนองกุงศรี</v>
          </cell>
          <cell r="E350" t="str">
            <v>กาฬสินธุ์</v>
          </cell>
          <cell r="F350" t="str">
            <v>Farmer</v>
          </cell>
        </row>
        <row r="351">
          <cell r="C351" t="str">
            <v>นายนพรัตน์ สมร</v>
          </cell>
          <cell r="D351" t="str">
            <v>คำม่วง</v>
          </cell>
          <cell r="E351" t="str">
            <v>กาฬสินธุ์</v>
          </cell>
          <cell r="F351" t="str">
            <v>Farmer</v>
          </cell>
        </row>
        <row r="352">
          <cell r="C352" t="str">
            <v>นายนรศิล การรักษ์</v>
          </cell>
          <cell r="D352" t="str">
            <v>สหัสขันธ์</v>
          </cell>
          <cell r="E352" t="str">
            <v>กาฬสินธุ์</v>
          </cell>
          <cell r="F352" t="str">
            <v>Farmer</v>
          </cell>
        </row>
        <row r="353">
          <cell r="C353" t="str">
            <v>นายนันทไชย ฐานโอภาส</v>
          </cell>
          <cell r="D353" t="str">
            <v>นามน</v>
          </cell>
          <cell r="E353" t="str">
            <v>กาฬสินธุ์</v>
          </cell>
          <cell r="F353" t="str">
            <v>Farmer</v>
          </cell>
        </row>
        <row r="354">
          <cell r="C354" t="str">
            <v>นายนิคม เฉื่อยกลาง</v>
          </cell>
          <cell r="D354" t="str">
            <v>สมเด็จ</v>
          </cell>
          <cell r="E354" t="str">
            <v>กาฬสินธุ์</v>
          </cell>
          <cell r="F354" t="str">
            <v>Farmer</v>
          </cell>
        </row>
        <row r="355">
          <cell r="C355" t="str">
            <v>นายนิพนธ์ การไสว</v>
          </cell>
          <cell r="D355" t="str">
            <v>นามน</v>
          </cell>
          <cell r="E355" t="str">
            <v>กาฬสินธุ์</v>
          </cell>
          <cell r="F355" t="str">
            <v>Farmer</v>
          </cell>
        </row>
        <row r="356">
          <cell r="C356" t="str">
            <v>นายนิรันดร์ คำภิรมย์</v>
          </cell>
          <cell r="D356" t="str">
            <v>เมืองกาฬสินธุ์</v>
          </cell>
          <cell r="E356" t="str">
            <v>กาฬสินธุ์</v>
          </cell>
          <cell r="F356" t="str">
            <v>Farmer</v>
          </cell>
        </row>
        <row r="357">
          <cell r="C357" t="str">
            <v>นายนิรันดร์ คุณพระรักษ์</v>
          </cell>
          <cell r="D357" t="str">
            <v>เมืองกาฬสินธุ์</v>
          </cell>
          <cell r="E357" t="str">
            <v>กาฬสินธุ์</v>
          </cell>
          <cell r="F357" t="str">
            <v>Farmer</v>
          </cell>
        </row>
        <row r="358">
          <cell r="C358" t="str">
            <v>นายนิรันดร์ พะละ</v>
          </cell>
          <cell r="D358" t="str">
            <v>สมเด็จ</v>
          </cell>
          <cell r="E358" t="str">
            <v>กาฬสินธุ์</v>
          </cell>
          <cell r="F358" t="str">
            <v>Farmer</v>
          </cell>
        </row>
        <row r="359">
          <cell r="C359" t="str">
            <v>นายนิวัฒน์ ปัดเสนา</v>
          </cell>
          <cell r="D359" t="str">
            <v>หนองกุงศรี</v>
          </cell>
          <cell r="E359" t="str">
            <v>กาฬสินธุ์</v>
          </cell>
          <cell r="F359" t="str">
            <v>Farmer</v>
          </cell>
        </row>
        <row r="360">
          <cell r="C360" t="str">
            <v>นายบรรจง บุญบุตร</v>
          </cell>
          <cell r="D360" t="str">
            <v>สหัสขันธ์</v>
          </cell>
          <cell r="E360" t="str">
            <v>กาฬสินธุ์</v>
          </cell>
          <cell r="F360" t="str">
            <v>Farmer</v>
          </cell>
        </row>
        <row r="361">
          <cell r="C361" t="str">
            <v>นายบรรทม ลาคำ</v>
          </cell>
          <cell r="D361" t="str">
            <v>สหัสขันธ์</v>
          </cell>
          <cell r="E361" t="str">
            <v>กาฬสินธุ์</v>
          </cell>
          <cell r="F361" t="str">
            <v>Farmer</v>
          </cell>
        </row>
        <row r="362">
          <cell r="C362" t="str">
            <v>นายบรรลพ หาญอาษา</v>
          </cell>
          <cell r="D362" t="str">
            <v>นามน</v>
          </cell>
          <cell r="E362" t="str">
            <v>กาฬสินธุ์</v>
          </cell>
          <cell r="F362" t="str">
            <v>Farmer</v>
          </cell>
        </row>
        <row r="363">
          <cell r="C363" t="str">
            <v>นายบัญชา การประไพ</v>
          </cell>
          <cell r="D363" t="str">
            <v>สมเด็จ</v>
          </cell>
          <cell r="E363" t="str">
            <v>กาฬสินธุ์</v>
          </cell>
          <cell r="F363" t="str">
            <v>Farmer</v>
          </cell>
        </row>
        <row r="364">
          <cell r="C364" t="str">
            <v>นายบัญชา เหล่าแสวง</v>
          </cell>
          <cell r="D364" t="str">
            <v>เมืองกาฬสินธุ์</v>
          </cell>
          <cell r="E364" t="str">
            <v>กาฬสินธุ์</v>
          </cell>
          <cell r="F364" t="str">
            <v>Farmer</v>
          </cell>
        </row>
        <row r="365">
          <cell r="C365" t="str">
            <v>นายบัญญัติ ผาริผล</v>
          </cell>
          <cell r="D365" t="str">
            <v>สมเด็จ</v>
          </cell>
          <cell r="E365" t="str">
            <v>กาฬสินธุ์</v>
          </cell>
          <cell r="F365" t="str">
            <v>Farmer</v>
          </cell>
        </row>
        <row r="366">
          <cell r="C366" t="str">
            <v>นายบัวทอง ขินานา</v>
          </cell>
          <cell r="D366" t="str">
            <v>สมเด็จ</v>
          </cell>
          <cell r="E366" t="str">
            <v>กาฬสินธุ์</v>
          </cell>
          <cell r="F366" t="str">
            <v>Farmer</v>
          </cell>
        </row>
        <row r="367">
          <cell r="C367" t="str">
            <v>นายบุญจันทร์ ภูยอดนิล</v>
          </cell>
          <cell r="D367" t="str">
            <v>หนองกุงศรี</v>
          </cell>
          <cell r="E367" t="str">
            <v>กาฬสินธุ์</v>
          </cell>
          <cell r="F367" t="str">
            <v>Farmer</v>
          </cell>
        </row>
        <row r="368">
          <cell r="C368" t="str">
            <v>นายบุญเจียม โพธิสาลาแสง</v>
          </cell>
          <cell r="D368" t="str">
            <v>ดอนจาน</v>
          </cell>
          <cell r="E368" t="str">
            <v>กาฬสินธุ์</v>
          </cell>
          <cell r="F368" t="str">
            <v>Farmer</v>
          </cell>
        </row>
        <row r="369">
          <cell r="C369" t="str">
            <v>นายบุญชู การดี</v>
          </cell>
          <cell r="D369" t="str">
            <v>เมืองกาฬสินธุ์</v>
          </cell>
          <cell r="E369" t="str">
            <v>กาฬสินธุ์</v>
          </cell>
          <cell r="F369" t="str">
            <v>Farmer</v>
          </cell>
        </row>
        <row r="370">
          <cell r="C370" t="str">
            <v>นายบุญชู แน่นอุดร</v>
          </cell>
          <cell r="D370" t="str">
            <v>เมืองกาฬสินธุ์</v>
          </cell>
          <cell r="E370" t="str">
            <v>กาฬสินธุ์</v>
          </cell>
          <cell r="F370" t="str">
            <v>Farmer</v>
          </cell>
        </row>
        <row r="371">
          <cell r="C371" t="str">
            <v>นายบุญตา จำเริญสัตย์</v>
          </cell>
          <cell r="D371" t="str">
            <v>เมืองกาฬสินธุ์</v>
          </cell>
          <cell r="E371" t="str">
            <v>กาฬสินธุ์</v>
          </cell>
          <cell r="F371" t="str">
            <v>Farmer</v>
          </cell>
        </row>
        <row r="372">
          <cell r="C372" t="str">
            <v>นายบุญตา พิมพิลา</v>
          </cell>
          <cell r="D372" t="str">
            <v>สหัสขันธ์</v>
          </cell>
          <cell r="E372" t="str">
            <v>กาฬสินธุ์</v>
          </cell>
          <cell r="F372" t="str">
            <v>Farmer</v>
          </cell>
        </row>
        <row r="373">
          <cell r="C373" t="str">
            <v>นายบุญเติม พรหมมา</v>
          </cell>
          <cell r="D373" t="str">
            <v>ไชยวาน</v>
          </cell>
          <cell r="E373" t="str">
            <v>อุดรธานี</v>
          </cell>
          <cell r="F373" t="str">
            <v>Broker</v>
          </cell>
        </row>
        <row r="374">
          <cell r="C374" t="str">
            <v>นายบุญทวี วีระทูร</v>
          </cell>
          <cell r="D374" t="str">
            <v>นามน</v>
          </cell>
          <cell r="E374" t="str">
            <v>กาฬสินธุ์</v>
          </cell>
          <cell r="F374" t="str">
            <v>Farmer</v>
          </cell>
        </row>
        <row r="375">
          <cell r="C375" t="str">
            <v>นายบุญทัน แน่นอุดร</v>
          </cell>
          <cell r="D375" t="str">
            <v>เมืองกาฬสินธุ์</v>
          </cell>
          <cell r="E375" t="str">
            <v>กาฬสินธุ์</v>
          </cell>
          <cell r="F375" t="str">
            <v>Farmer</v>
          </cell>
        </row>
        <row r="376">
          <cell r="C376" t="str">
            <v>นายบุญทัน ภูขำ</v>
          </cell>
          <cell r="D376" t="str">
            <v>เมืองกาฬสินธุ์</v>
          </cell>
          <cell r="E376" t="str">
            <v>กาฬสินธุ์</v>
          </cell>
          <cell r="F376" t="str">
            <v>Farmer</v>
          </cell>
        </row>
        <row r="377">
          <cell r="C377" t="str">
            <v>นายบุญเพ็ง โพธิ์ขาว</v>
          </cell>
          <cell r="D377" t="str">
            <v>สมเด็จ</v>
          </cell>
          <cell r="E377" t="str">
            <v>กาฬสินธุ์</v>
          </cell>
          <cell r="F377" t="str">
            <v>Farmer</v>
          </cell>
        </row>
        <row r="378">
          <cell r="C378" t="str">
            <v>นายบุญภักดิ์ ศรีบุตร</v>
          </cell>
          <cell r="D378" t="str">
            <v>นามน</v>
          </cell>
          <cell r="E378" t="str">
            <v>กาฬสินธุ์</v>
          </cell>
          <cell r="F378" t="str">
            <v>Farmer</v>
          </cell>
        </row>
        <row r="379">
          <cell r="C379" t="str">
            <v>นายบุญมี จิตรเจือ</v>
          </cell>
          <cell r="D379" t="str">
            <v>เมืองกาฬสินธุ์</v>
          </cell>
          <cell r="E379" t="str">
            <v>กาฬสินธุ์</v>
          </cell>
          <cell r="F379" t="str">
            <v>Farmer</v>
          </cell>
        </row>
        <row r="380">
          <cell r="C380" t="str">
            <v>นายบุญล้น บริบูรณ์</v>
          </cell>
          <cell r="D380" t="str">
            <v>สมเด็จ</v>
          </cell>
          <cell r="E380" t="str">
            <v>กาฬสินธุ์</v>
          </cell>
          <cell r="F380" t="str">
            <v>Farmer</v>
          </cell>
        </row>
        <row r="381">
          <cell r="C381" t="str">
            <v>นายบุญล้วน คำควร</v>
          </cell>
          <cell r="D381" t="str">
            <v>เมืองกาฬสินธุ์</v>
          </cell>
          <cell r="E381" t="str">
            <v>กาฬสินธุ์</v>
          </cell>
          <cell r="F381" t="str">
            <v>Farmer</v>
          </cell>
        </row>
        <row r="382">
          <cell r="C382" t="str">
            <v>นายบุญล้อม สุภอุดร</v>
          </cell>
          <cell r="D382" t="str">
            <v>หนองกุงศรี</v>
          </cell>
          <cell r="E382" t="str">
            <v>กาฬสินธุ์</v>
          </cell>
          <cell r="F382" t="str">
            <v>Farmer</v>
          </cell>
        </row>
        <row r="383">
          <cell r="C383" t="str">
            <v>นายบุญเลิศ แสนสุข</v>
          </cell>
          <cell r="D383" t="str">
            <v>สมเด็จ</v>
          </cell>
          <cell r="E383" t="str">
            <v>กาฬสินธุ์</v>
          </cell>
          <cell r="F383" t="str">
            <v>Farmer</v>
          </cell>
        </row>
        <row r="384">
          <cell r="C384" t="str">
            <v>นายบุญเลิศ อินทรักษา</v>
          </cell>
          <cell r="D384" t="str">
            <v>สหัสขันธ์</v>
          </cell>
          <cell r="E384" t="str">
            <v>กาฬสินธุ์</v>
          </cell>
          <cell r="F384" t="str">
            <v>Farmer</v>
          </cell>
        </row>
        <row r="385">
          <cell r="C385" t="str">
            <v>นายบุญสม ไผตะขบ</v>
          </cell>
          <cell r="D385" t="str">
            <v>สมเด็จ</v>
          </cell>
          <cell r="E385" t="str">
            <v>กาฬสินธุ์</v>
          </cell>
          <cell r="F385" t="str">
            <v>Farmer</v>
          </cell>
        </row>
        <row r="386">
          <cell r="C386" t="str">
            <v>นายบุญสิน ภารจรัส</v>
          </cell>
          <cell r="D386" t="str">
            <v>เมืองกาฬสินธุ์</v>
          </cell>
          <cell r="E386" t="str">
            <v>กาฬสินธุ์</v>
          </cell>
          <cell r="F386" t="str">
            <v>Farmer</v>
          </cell>
        </row>
        <row r="387">
          <cell r="C387" t="str">
            <v>นายบุธวัช พับไธสง</v>
          </cell>
          <cell r="D387" t="str">
            <v>เมืองกาฬสินธุ์</v>
          </cell>
          <cell r="E387" t="str">
            <v>กาฬสินธุ์</v>
          </cell>
          <cell r="F387" t="str">
            <v>Farmer</v>
          </cell>
        </row>
        <row r="388">
          <cell r="C388" t="str">
            <v>นายปฎิวัติ ยอดยศ</v>
          </cell>
          <cell r="D388" t="str">
            <v>กุฉินารายณ์</v>
          </cell>
          <cell r="E388" t="str">
            <v>กาฬสินธุ์</v>
          </cell>
          <cell r="F388" t="str">
            <v>Farmer</v>
          </cell>
        </row>
        <row r="389">
          <cell r="C389" t="str">
            <v>นายปฏิภาณ พระโนราช</v>
          </cell>
          <cell r="D389" t="str">
            <v>หนองกุงศรี</v>
          </cell>
          <cell r="E389" t="str">
            <v>กาฬสินธุ์</v>
          </cell>
          <cell r="F389" t="str">
            <v>Farmer</v>
          </cell>
        </row>
        <row r="390">
          <cell r="C390" t="str">
            <v>นายประกร โอภาศิริรัตน์</v>
          </cell>
          <cell r="D390" t="str">
            <v>เมืองกาฬสินธุ์</v>
          </cell>
          <cell r="E390" t="str">
            <v>กาฬสินธุ์</v>
          </cell>
          <cell r="F390" t="str">
            <v>Farmer</v>
          </cell>
        </row>
        <row r="391">
          <cell r="C391" t="str">
            <v>นายประกาย ศรีษะ</v>
          </cell>
          <cell r="D391" t="str">
            <v>สมเด็จ</v>
          </cell>
          <cell r="E391" t="str">
            <v>กาฬสินธุ์</v>
          </cell>
          <cell r="F391" t="str">
            <v>Farmer</v>
          </cell>
        </row>
        <row r="392">
          <cell r="C392" t="str">
            <v>นายประกาศ โยธาวงค์</v>
          </cell>
          <cell r="D392" t="str">
            <v>คำม่วง</v>
          </cell>
          <cell r="E392" t="str">
            <v>กาฬสินธุ์</v>
          </cell>
          <cell r="F392" t="str">
            <v>Farmer</v>
          </cell>
        </row>
        <row r="393">
          <cell r="C393" t="str">
            <v>นายประคี ศรีทหาร</v>
          </cell>
          <cell r="D393" t="str">
            <v>คำม่วง</v>
          </cell>
          <cell r="E393" t="str">
            <v>กาฬสินธุ์</v>
          </cell>
          <cell r="F393" t="str">
            <v>Farmer</v>
          </cell>
        </row>
        <row r="394">
          <cell r="C394" t="str">
            <v>นายประจักษ์ ไร่สงวน</v>
          </cell>
          <cell r="D394" t="str">
            <v>นามน</v>
          </cell>
          <cell r="E394" t="str">
            <v>กาฬสินธุ์</v>
          </cell>
          <cell r="F394" t="str">
            <v>Farmer</v>
          </cell>
        </row>
        <row r="395">
          <cell r="C395" t="str">
            <v>นายประดิษฐ์ ทองอุ่น</v>
          </cell>
          <cell r="D395" t="str">
            <v>สามชัย</v>
          </cell>
          <cell r="E395" t="str">
            <v>กาฬสินธุ์</v>
          </cell>
          <cell r="F395" t="str">
            <v>Farmer</v>
          </cell>
        </row>
        <row r="396">
          <cell r="C396" t="str">
            <v>นายประดิษฐ์ ศรีโสภา</v>
          </cell>
          <cell r="D396" t="str">
            <v>หนองกุงศรี</v>
          </cell>
          <cell r="E396" t="str">
            <v>กาฬสินธุ์</v>
          </cell>
          <cell r="F396" t="str">
            <v>Farmer</v>
          </cell>
        </row>
        <row r="397">
          <cell r="C397" t="str">
            <v>นายประยงค์ เทศารินทร์</v>
          </cell>
          <cell r="D397" t="str">
            <v>คำม่วง</v>
          </cell>
          <cell r="E397" t="str">
            <v>กาฬสินธุ์</v>
          </cell>
          <cell r="F397" t="str">
            <v>Farmer</v>
          </cell>
        </row>
        <row r="398">
          <cell r="C398" t="str">
            <v>นายประยงค์ ไร้รัตน์</v>
          </cell>
          <cell r="D398" t="str">
            <v>นามน</v>
          </cell>
          <cell r="E398" t="str">
            <v>กาฬสินธุ์</v>
          </cell>
          <cell r="F398" t="str">
            <v>Farmer</v>
          </cell>
        </row>
        <row r="399">
          <cell r="C399" t="str">
            <v>นายประยุทธ ปรีพัฒน์</v>
          </cell>
          <cell r="D399" t="str">
            <v>สหัสขันธ์</v>
          </cell>
          <cell r="E399" t="str">
            <v>กาฬสินธุ์</v>
          </cell>
          <cell r="F399" t="str">
            <v>Farmer</v>
          </cell>
        </row>
        <row r="400">
          <cell r="C400" t="str">
            <v>นายประยูร ไพรัช</v>
          </cell>
          <cell r="D400" t="str">
            <v>นามน</v>
          </cell>
          <cell r="E400" t="str">
            <v>กาฬสินธุ์</v>
          </cell>
          <cell r="F400" t="str">
            <v>Farmer</v>
          </cell>
        </row>
        <row r="401">
          <cell r="C401" t="str">
            <v>นายประเวศ น้อยศรี</v>
          </cell>
          <cell r="D401" t="str">
            <v>กระนวน</v>
          </cell>
          <cell r="E401" t="str">
            <v>ขอนแก่น</v>
          </cell>
          <cell r="F401" t="str">
            <v>Broker</v>
          </cell>
        </row>
        <row r="402">
          <cell r="C402" t="str">
            <v>นายประสาท แวงวรรณ</v>
          </cell>
          <cell r="D402" t="str">
            <v>กุฉินารายณ์</v>
          </cell>
          <cell r="E402" t="str">
            <v>กาฬสินธุ์</v>
          </cell>
          <cell r="F402" t="str">
            <v>Farmer</v>
          </cell>
        </row>
        <row r="403">
          <cell r="C403" t="str">
            <v>นายประสิทธิ์ ทรัพย์วิบูลย์</v>
          </cell>
          <cell r="D403" t="str">
            <v>เมืองกาฬสินธุ์</v>
          </cell>
          <cell r="E403" t="str">
            <v>กาฬสินธุ์</v>
          </cell>
          <cell r="F403" t="str">
            <v>Farmer</v>
          </cell>
        </row>
        <row r="404">
          <cell r="C404" t="str">
            <v>นายประสิทธิ์ เทพธานี</v>
          </cell>
          <cell r="D404" t="str">
            <v>นามน</v>
          </cell>
          <cell r="E404" t="str">
            <v>กาฬสินธุ์</v>
          </cell>
          <cell r="F404" t="str">
            <v>Farmer</v>
          </cell>
        </row>
        <row r="405">
          <cell r="C405" t="str">
            <v>นายประสิทธิ์ พันธ์สุวรรณ</v>
          </cell>
          <cell r="D405" t="str">
            <v>เมืองกาฬสินธุ์</v>
          </cell>
          <cell r="E405" t="str">
            <v>กาฬสินธุ์</v>
          </cell>
          <cell r="F405" t="str">
            <v>Farmer</v>
          </cell>
        </row>
        <row r="406">
          <cell r="C406" t="str">
            <v>นายประสิทธิ์ รัตนไทย</v>
          </cell>
          <cell r="D406" t="str">
            <v>สหัสขันธ์</v>
          </cell>
          <cell r="E406" t="str">
            <v>กาฬสินธุ์</v>
          </cell>
          <cell r="F406" t="str">
            <v>Farmer</v>
          </cell>
        </row>
        <row r="407">
          <cell r="C407" t="str">
            <v>นายประเสริฐ พันธุ์เทศ</v>
          </cell>
          <cell r="D407" t="str">
            <v>เมืองกาฬสินธุ์</v>
          </cell>
          <cell r="E407" t="str">
            <v>กาฬสินธุ์</v>
          </cell>
          <cell r="F407" t="str">
            <v>Farmer</v>
          </cell>
        </row>
        <row r="408">
          <cell r="C408" t="str">
            <v>นายปราโมทย์ หมื่นรัตน์</v>
          </cell>
          <cell r="D408" t="str">
            <v>หนองกุงศรี</v>
          </cell>
          <cell r="E408" t="str">
            <v>กาฬสินธุ์</v>
          </cell>
          <cell r="F408" t="str">
            <v>Farmer</v>
          </cell>
        </row>
        <row r="409">
          <cell r="C409" t="str">
            <v>นายปริญญา ภูอุภัย</v>
          </cell>
          <cell r="D409" t="str">
            <v>ยางตลาด</v>
          </cell>
          <cell r="E409" t="str">
            <v>กาฬสินธุ์</v>
          </cell>
          <cell r="F409" t="str">
            <v>Farmer</v>
          </cell>
        </row>
        <row r="410">
          <cell r="C410" t="str">
            <v>นายปริวัตร ภูหลักด่าน</v>
          </cell>
          <cell r="D410" t="str">
            <v>กุฉินารายณ์</v>
          </cell>
          <cell r="E410" t="str">
            <v>กาฬสินธุ์</v>
          </cell>
          <cell r="F410" t="str">
            <v>Farmer</v>
          </cell>
        </row>
        <row r="411">
          <cell r="C411" t="str">
            <v>นายปรีชา ถินสถิตย์</v>
          </cell>
          <cell r="D411" t="str">
            <v>สหัสขันธ์</v>
          </cell>
          <cell r="E411" t="str">
            <v>กาฬสินธุ์</v>
          </cell>
          <cell r="F411" t="str">
            <v>Farmer</v>
          </cell>
        </row>
        <row r="412">
          <cell r="C412" t="str">
            <v>นายปอน ภารประสาท</v>
          </cell>
          <cell r="D412" t="str">
            <v>ดอนจาน</v>
          </cell>
          <cell r="E412" t="str">
            <v>กาฬสินธุ์</v>
          </cell>
          <cell r="F412" t="str">
            <v>Farmer</v>
          </cell>
        </row>
        <row r="413">
          <cell r="C413" t="str">
            <v>นายปัญญา คำชูราช</v>
          </cell>
          <cell r="D413" t="str">
            <v>หนองกุงศรี</v>
          </cell>
          <cell r="E413" t="str">
            <v>กาฬสินธุ์</v>
          </cell>
          <cell r="F413" t="str">
            <v>Farmer</v>
          </cell>
        </row>
        <row r="414">
          <cell r="C414" t="str">
            <v>นายพงศกร มังสุไร</v>
          </cell>
          <cell r="D414" t="str">
            <v>นามน</v>
          </cell>
          <cell r="E414" t="str">
            <v>กาฬสินธุ์</v>
          </cell>
          <cell r="F414" t="str">
            <v>Farmer</v>
          </cell>
        </row>
        <row r="415">
          <cell r="C415" t="str">
            <v>นายพงศธร เขจรภักดิ์</v>
          </cell>
          <cell r="D415" t="str">
            <v>ดอนจาน</v>
          </cell>
          <cell r="E415" t="str">
            <v>กาฬสินธุ์</v>
          </cell>
          <cell r="F415" t="str">
            <v>Farmer</v>
          </cell>
        </row>
        <row r="416">
          <cell r="C416" t="str">
            <v>นายพงศักดิ์ ภูตาคม</v>
          </cell>
          <cell r="D416" t="str">
            <v>สหัสขันธ์</v>
          </cell>
          <cell r="E416" t="str">
            <v>กาฬสินธุ์</v>
          </cell>
          <cell r="F416" t="str">
            <v>Farmer</v>
          </cell>
        </row>
        <row r="417">
          <cell r="C417" t="str">
            <v>นายพงษ์ศักดิ์ เหล่าคา</v>
          </cell>
          <cell r="D417" t="str">
            <v>เมืองกาฬสินธุ์</v>
          </cell>
          <cell r="E417" t="str">
            <v>กาฬสินธุ์</v>
          </cell>
          <cell r="F417" t="str">
            <v>Farmer</v>
          </cell>
        </row>
        <row r="418">
          <cell r="C418" t="str">
            <v>นายพงษ์ศักดิ์ อุ่นจำรัส</v>
          </cell>
          <cell r="D418" t="str">
            <v>เมืองกาฬสินธุ์</v>
          </cell>
          <cell r="E418" t="str">
            <v>กาฬสินธุ์</v>
          </cell>
          <cell r="F418" t="str">
            <v>Farmer</v>
          </cell>
        </row>
        <row r="419">
          <cell r="C419" t="str">
            <v>นายพนม เขียนโคกกรวด</v>
          </cell>
          <cell r="D419" t="str">
            <v>เขาสวนกวาง</v>
          </cell>
          <cell r="E419" t="str">
            <v>ขอนแก่น</v>
          </cell>
          <cell r="F419" t="str">
            <v>Broker</v>
          </cell>
        </row>
        <row r="420">
          <cell r="C420" t="str">
            <v>นายพนมพร บุระพันธ์</v>
          </cell>
          <cell r="D420" t="str">
            <v>เมืองกาฬสินธุ์</v>
          </cell>
          <cell r="E420" t="str">
            <v>กาฬสินธุ์</v>
          </cell>
          <cell r="F420" t="str">
            <v>Farmer</v>
          </cell>
        </row>
        <row r="421">
          <cell r="C421" t="str">
            <v>นายพร ปัญญา</v>
          </cell>
          <cell r="D421" t="str">
            <v>สหัสขันธ์</v>
          </cell>
          <cell r="E421" t="str">
            <v>กาฬสินธุ์</v>
          </cell>
          <cell r="F421" t="str">
            <v>Farmer</v>
          </cell>
        </row>
        <row r="422">
          <cell r="C422" t="str">
            <v>นายพร อิ่มพูล</v>
          </cell>
          <cell r="D422" t="str">
            <v>สมเด็จ</v>
          </cell>
          <cell r="E422" t="str">
            <v>กาฬสินธุ์</v>
          </cell>
          <cell r="F422" t="str">
            <v>Farmer</v>
          </cell>
        </row>
        <row r="423">
          <cell r="C423" t="str">
            <v>นายพรมมี การช่วง</v>
          </cell>
          <cell r="D423" t="str">
            <v>ดอนจาน</v>
          </cell>
          <cell r="E423" t="str">
            <v>กาฬสินธุ์</v>
          </cell>
          <cell r="F423" t="str">
            <v>Farmer</v>
          </cell>
        </row>
        <row r="424">
          <cell r="C424" t="str">
            <v>นายพล คำสมหวัง</v>
          </cell>
          <cell r="D424" t="str">
            <v>สมเด็จ</v>
          </cell>
          <cell r="E424" t="str">
            <v>กาฬสินธุ์</v>
          </cell>
          <cell r="F424" t="str">
            <v>Farmer</v>
          </cell>
        </row>
        <row r="425">
          <cell r="C425" t="str">
            <v>นายพสุธา หาญไชย</v>
          </cell>
          <cell r="D425" t="str">
            <v>สมเด็จ</v>
          </cell>
          <cell r="E425" t="str">
            <v>กาฬสินธุ์</v>
          </cell>
          <cell r="F425" t="str">
            <v>Farmer</v>
          </cell>
        </row>
        <row r="426">
          <cell r="C426" t="str">
            <v>นายพัฒนศักดิ์ โชติจรุง</v>
          </cell>
          <cell r="D426" t="str">
            <v xml:space="preserve">กุฉินารายณ์ </v>
          </cell>
          <cell r="E426" t="str">
            <v>กาฬสินธุ์</v>
          </cell>
          <cell r="F426" t="str">
            <v>Farmer</v>
          </cell>
        </row>
        <row r="427">
          <cell r="C427" t="str">
            <v>นายพันโทมังกร พันประดับ</v>
          </cell>
          <cell r="D427" t="str">
            <v>เมืองกาฬสินธุ์</v>
          </cell>
          <cell r="E427" t="str">
            <v>กาฬสินธุ์</v>
          </cell>
          <cell r="F427" t="str">
            <v>Farmer</v>
          </cell>
        </row>
        <row r="428">
          <cell r="C428" t="str">
            <v>นายพัลลภ ไชยสัตย์</v>
          </cell>
          <cell r="D428" t="str">
            <v>สมเด็จ</v>
          </cell>
          <cell r="E428" t="str">
            <v>กาฬสินธุ์</v>
          </cell>
          <cell r="F428" t="str">
            <v>Farmer</v>
          </cell>
        </row>
        <row r="429">
          <cell r="C429" t="str">
            <v>นายพิชัย หาระทา</v>
          </cell>
          <cell r="D429" t="str">
            <v>คำม่วง</v>
          </cell>
          <cell r="E429" t="str">
            <v>กาฬสินธุ์</v>
          </cell>
          <cell r="F429" t="str">
            <v>Farmer</v>
          </cell>
        </row>
        <row r="430">
          <cell r="C430" t="str">
            <v>นายพิชิต สนองเดช</v>
          </cell>
          <cell r="D430" t="str">
            <v>สมเด็จ</v>
          </cell>
          <cell r="E430" t="str">
            <v>กาฬสินธุ์</v>
          </cell>
          <cell r="F430" t="str">
            <v>Farmer</v>
          </cell>
        </row>
        <row r="431">
          <cell r="C431" t="str">
            <v>นายพิทักษ์ บุญบุตร</v>
          </cell>
          <cell r="D431" t="str">
            <v>เมืองกาฬสินธุ์</v>
          </cell>
          <cell r="E431" t="str">
            <v>กาฬสินธุ์</v>
          </cell>
          <cell r="F431" t="str">
            <v>Farmer</v>
          </cell>
        </row>
        <row r="432">
          <cell r="C432" t="str">
            <v>นายพิทักษ์ วิชาชัย</v>
          </cell>
          <cell r="D432" t="str">
            <v>สมเด็จ</v>
          </cell>
          <cell r="E432" t="str">
            <v>กาฬสินธุ์</v>
          </cell>
          <cell r="F432" t="str">
            <v>Farmer</v>
          </cell>
        </row>
        <row r="433">
          <cell r="C433" t="str">
            <v>นายพิทักษ์พงศ์ จิตเย็น</v>
          </cell>
          <cell r="D433" t="str">
            <v>เมืองกาฬสินธุ์</v>
          </cell>
          <cell r="E433" t="str">
            <v>กาฬสินธุ์</v>
          </cell>
          <cell r="F433" t="str">
            <v>Farmer</v>
          </cell>
        </row>
        <row r="434">
          <cell r="C434" t="str">
            <v>นายพิมพา ชมจุมจัง</v>
          </cell>
          <cell r="D434" t="str">
            <v>นามน</v>
          </cell>
          <cell r="E434" t="str">
            <v>กาฬสินธุ์</v>
          </cell>
          <cell r="F434" t="str">
            <v>Farmer</v>
          </cell>
        </row>
        <row r="435">
          <cell r="C435" t="str">
            <v>นายพิมพา เพ็ชรสังหาร</v>
          </cell>
          <cell r="D435" t="str">
            <v>เมืองกาฬสินธุ์</v>
          </cell>
          <cell r="E435" t="str">
            <v>กาฬสินธุ์</v>
          </cell>
          <cell r="F435" t="str">
            <v>Farmer</v>
          </cell>
        </row>
        <row r="436">
          <cell r="C436" t="str">
            <v>นายพีรพงษ์ พรรณเนตร</v>
          </cell>
          <cell r="D436" t="str">
            <v>ลำทะเมนชัย</v>
          </cell>
          <cell r="E436" t="str">
            <v>นครราชสีมา</v>
          </cell>
          <cell r="F436" t="str">
            <v>Broker</v>
          </cell>
        </row>
        <row r="437">
          <cell r="C437" t="str">
            <v>นายพีรพล ดิษสลุง</v>
          </cell>
          <cell r="D437" t="str">
            <v>ดอนจาน</v>
          </cell>
          <cell r="E437" t="str">
            <v>กาฬสินธุ์</v>
          </cell>
          <cell r="F437" t="str">
            <v>Farmer</v>
          </cell>
        </row>
        <row r="438">
          <cell r="C438" t="str">
            <v>นายพีระพล จันทร์เพ็ญ</v>
          </cell>
          <cell r="D438" t="str">
            <v>หนองกุงศรี</v>
          </cell>
          <cell r="E438" t="str">
            <v>กาฬสินธุ์</v>
          </cell>
          <cell r="F438" t="str">
            <v>Farmer</v>
          </cell>
        </row>
        <row r="439">
          <cell r="C439" t="str">
            <v>นายเพชร ศรีบุรัมย์</v>
          </cell>
          <cell r="D439" t="str">
            <v>เมืองกาฬสินธุ์</v>
          </cell>
          <cell r="E439" t="str">
            <v>กาฬสินธุ์</v>
          </cell>
          <cell r="F439" t="str">
            <v>Farmer</v>
          </cell>
        </row>
        <row r="440">
          <cell r="C440" t="str">
            <v>นายเพ็ญศิลป์ พานมุงคุณ</v>
          </cell>
          <cell r="D440" t="str">
            <v>เมืองกาฬสินธุ์</v>
          </cell>
          <cell r="E440" t="str">
            <v>กาฬสินธุ์</v>
          </cell>
          <cell r="F440" t="str">
            <v>Farmer</v>
          </cell>
        </row>
        <row r="441">
          <cell r="C441" t="str">
            <v>นายเพิ่มพล ผลพันธุ์</v>
          </cell>
          <cell r="D441" t="str">
            <v>เมืองกาฬสินธุ์</v>
          </cell>
          <cell r="E441" t="str">
            <v>กาฬสินธุ์</v>
          </cell>
          <cell r="F441" t="str">
            <v>Farmer</v>
          </cell>
        </row>
        <row r="442">
          <cell r="C442" t="str">
            <v>นายไพฑูรย์ สุขศิริ</v>
          </cell>
          <cell r="D442" t="str">
            <v>เมืองกาฬสินธุ์</v>
          </cell>
          <cell r="E442" t="str">
            <v>กาฬสินธุ์</v>
          </cell>
          <cell r="F442" t="str">
            <v>Farmer</v>
          </cell>
        </row>
        <row r="443">
          <cell r="C443" t="str">
            <v>นายไพทูรย์ เรียนทิพย์</v>
          </cell>
          <cell r="D443" t="str">
            <v>สหัสขันธ์</v>
          </cell>
          <cell r="E443" t="str">
            <v>กาฬสินธุ์</v>
          </cell>
          <cell r="F443" t="str">
            <v>Farmer</v>
          </cell>
        </row>
        <row r="444">
          <cell r="C444" t="str">
            <v>นายไพทูลย์ เปลือยหนองแข้</v>
          </cell>
          <cell r="D444" t="str">
            <v>สมเด็จ</v>
          </cell>
          <cell r="E444" t="str">
            <v>กาฬสินธุ์</v>
          </cell>
          <cell r="F444" t="str">
            <v>Farmer</v>
          </cell>
        </row>
        <row r="445">
          <cell r="C445" t="str">
            <v>นายไพบูลย์ บุญหล้า</v>
          </cell>
          <cell r="D445" t="str">
            <v>สหัสขันธ์</v>
          </cell>
          <cell r="E445" t="str">
            <v>กาฬสินธุ์</v>
          </cell>
          <cell r="F445" t="str">
            <v>Farmer</v>
          </cell>
        </row>
        <row r="446">
          <cell r="C446" t="str">
            <v>นายไพรวรรณ เศรษฐานาม</v>
          </cell>
          <cell r="D446" t="str">
            <v>สหัสขันธ์</v>
          </cell>
          <cell r="E446" t="str">
            <v>กาฬสินธุ์</v>
          </cell>
          <cell r="F446" t="str">
            <v>Farmer</v>
          </cell>
        </row>
        <row r="447">
          <cell r="C447" t="str">
            <v>นายไพศาล สารพัฒน์</v>
          </cell>
          <cell r="D447" t="str">
            <v>สมเด็จ</v>
          </cell>
          <cell r="E447" t="str">
            <v>กาฬสินธุ์</v>
          </cell>
          <cell r="F447" t="str">
            <v>Farmer</v>
          </cell>
        </row>
        <row r="448">
          <cell r="C448" t="str">
            <v>นายแฟน โยธาคึก</v>
          </cell>
          <cell r="D448" t="str">
            <v>สหัสขันธ์</v>
          </cell>
          <cell r="E448" t="str">
            <v>กาฬสินธุ์</v>
          </cell>
          <cell r="F448" t="str">
            <v>Farmer</v>
          </cell>
        </row>
        <row r="449">
          <cell r="C449" t="str">
            <v>นายภูชิชย์ อิ่มเสถียร</v>
          </cell>
          <cell r="D449" t="str">
            <v>เมืองกาฬสินธุ์</v>
          </cell>
          <cell r="E449" t="str">
            <v>กาฬสินธุ์</v>
          </cell>
          <cell r="F449" t="str">
            <v>Farmer</v>
          </cell>
        </row>
        <row r="450">
          <cell r="C450" t="str">
            <v>นายมนัด พะละ</v>
          </cell>
          <cell r="D450" t="str">
            <v>เมืองกาฬสินธุ์</v>
          </cell>
          <cell r="E450" t="str">
            <v>กาฬสินธุ์</v>
          </cell>
          <cell r="F450" t="str">
            <v>Farmer</v>
          </cell>
        </row>
        <row r="451">
          <cell r="C451" t="str">
            <v>นายมนูญ ขนันแข็ง</v>
          </cell>
          <cell r="D451" t="str">
            <v>ยางตลาด</v>
          </cell>
          <cell r="E451" t="str">
            <v>กาฬสินธุ์</v>
          </cell>
          <cell r="F451" t="str">
            <v>Farmer</v>
          </cell>
        </row>
        <row r="452">
          <cell r="C452" t="str">
            <v>นายมานะ เศรษฐานาม</v>
          </cell>
          <cell r="D452" t="str">
            <v>สหัสขันธ์</v>
          </cell>
          <cell r="E452" t="str">
            <v>กาฬสินธุ์</v>
          </cell>
          <cell r="F452" t="str">
            <v>Farmer</v>
          </cell>
        </row>
        <row r="453">
          <cell r="C453" t="str">
            <v>นายไมตรี จันทร์สุวรรณ์</v>
          </cell>
          <cell r="D453" t="str">
            <v>เมืองกาฬสินธุ์</v>
          </cell>
          <cell r="E453" t="str">
            <v>กาฬสินธุ์</v>
          </cell>
          <cell r="F453" t="str">
            <v>Farmer</v>
          </cell>
        </row>
        <row r="454">
          <cell r="C454" t="str">
            <v>นายยงค์ นิกร</v>
          </cell>
          <cell r="D454" t="str">
            <v>สหัสขันธ์</v>
          </cell>
          <cell r="E454" t="str">
            <v>กาฬสินธุ์</v>
          </cell>
          <cell r="F454" t="str">
            <v>Farmer</v>
          </cell>
        </row>
        <row r="455">
          <cell r="C455" t="str">
            <v>นายยุทธจักร ภูสมตา</v>
          </cell>
          <cell r="D455" t="str">
            <v>หนองกุงศรี</v>
          </cell>
          <cell r="E455" t="str">
            <v>กาฬสินธุ์</v>
          </cell>
          <cell r="F455" t="str">
            <v>Farmer</v>
          </cell>
        </row>
        <row r="456">
          <cell r="C456" t="str">
            <v>นายเย็น เวียงนนท์</v>
          </cell>
          <cell r="D456" t="str">
            <v>สหัสขันธ์</v>
          </cell>
          <cell r="E456" t="str">
            <v>กาฬสินธุ์</v>
          </cell>
          <cell r="F456" t="str">
            <v>Farmer</v>
          </cell>
        </row>
        <row r="457">
          <cell r="C457" t="str">
            <v>นายรพ ทาบรรหาญ</v>
          </cell>
          <cell r="D457" t="str">
            <v>สหัสขันธ์</v>
          </cell>
          <cell r="E457" t="str">
            <v>กาฬสินธุ์</v>
          </cell>
          <cell r="F457" t="str">
            <v>Farmer</v>
          </cell>
        </row>
        <row r="458">
          <cell r="C458" t="str">
            <v>นายรักชาติ กั้วพิจิตร</v>
          </cell>
          <cell r="D458" t="str">
            <v>นามน</v>
          </cell>
          <cell r="E458" t="str">
            <v>กาฬสินธุ์</v>
          </cell>
          <cell r="F458" t="str">
            <v>Farmer</v>
          </cell>
        </row>
        <row r="459">
          <cell r="C459" t="str">
            <v>นายรังสรรค์ ไชยฤทธิ์</v>
          </cell>
          <cell r="D459" t="str">
            <v>กุฉินารายณ์</v>
          </cell>
          <cell r="E459" t="str">
            <v>กาฬสินธุ์</v>
          </cell>
          <cell r="F459" t="str">
            <v>Farmer</v>
          </cell>
        </row>
        <row r="460">
          <cell r="C460" t="str">
            <v>นายราชัน อุดมวรรณ</v>
          </cell>
          <cell r="D460" t="str">
            <v>สามชัย</v>
          </cell>
          <cell r="E460" t="str">
            <v>กาฬสินธุ์</v>
          </cell>
          <cell r="F460" t="str">
            <v>Farmer</v>
          </cell>
        </row>
        <row r="461">
          <cell r="C461" t="str">
            <v>นายเรณู คำวงษา</v>
          </cell>
          <cell r="D461" t="str">
            <v>หนองกุงศรี</v>
          </cell>
          <cell r="E461" t="str">
            <v>กาฬสินธุ์</v>
          </cell>
          <cell r="F461" t="str">
            <v>Farmer</v>
          </cell>
        </row>
        <row r="462">
          <cell r="C462" t="str">
            <v>นายเรืองฤทธิ์ วงศ์จันทา</v>
          </cell>
          <cell r="D462" t="str">
            <v>สมเด็จ</v>
          </cell>
          <cell r="E462" t="str">
            <v>กาฬสินธุ์</v>
          </cell>
          <cell r="F462" t="str">
            <v>Farmer</v>
          </cell>
        </row>
        <row r="463">
          <cell r="C463" t="str">
            <v>นายลำไพ ภูพันรัตน์</v>
          </cell>
          <cell r="D463" t="str">
            <v>หนองกุงศรี</v>
          </cell>
          <cell r="E463" t="str">
            <v>กาฬสินธุ์</v>
          </cell>
          <cell r="F463" t="str">
            <v>Farmer</v>
          </cell>
        </row>
        <row r="464">
          <cell r="C464" t="str">
            <v>นายวรรณชัย เจริญศิลป์</v>
          </cell>
          <cell r="D464" t="str">
            <v>สมเด็จ</v>
          </cell>
          <cell r="E464" t="str">
            <v>กาฬสินธุ์</v>
          </cell>
          <cell r="F464" t="str">
            <v>Farmer</v>
          </cell>
        </row>
        <row r="465">
          <cell r="C465" t="str">
            <v>นายวรรณชัย บุญเรือน</v>
          </cell>
          <cell r="D465" t="str">
            <v>สมเด็จ</v>
          </cell>
          <cell r="E465" t="str">
            <v>กาฬสินธุ์</v>
          </cell>
          <cell r="F465" t="str">
            <v>Farmer</v>
          </cell>
        </row>
        <row r="466">
          <cell r="C466" t="str">
            <v>นายวรรลพ มุลตรีบุตร</v>
          </cell>
          <cell r="D466" t="str">
            <v>หนองกุงศรี</v>
          </cell>
          <cell r="E466" t="str">
            <v>กาฬสินธุ์</v>
          </cell>
          <cell r="F466" t="str">
            <v>Farmer</v>
          </cell>
        </row>
        <row r="467">
          <cell r="C467" t="str">
            <v>นายวรวัฒน์ ภูนบผา</v>
          </cell>
          <cell r="D467" t="str">
            <v>เมืองกาฬสินธุ์</v>
          </cell>
          <cell r="E467" t="str">
            <v>กาฬสินธุ์</v>
          </cell>
          <cell r="F467" t="str">
            <v>Farmer</v>
          </cell>
        </row>
        <row r="468">
          <cell r="C468" t="str">
            <v>นายวัชพล ศรีบัวเทพ</v>
          </cell>
          <cell r="D468" t="str">
            <v>ดงหลวง</v>
          </cell>
          <cell r="E468" t="str">
            <v>มุกดาหาร</v>
          </cell>
          <cell r="F468" t="str">
            <v>Farmer</v>
          </cell>
        </row>
        <row r="469">
          <cell r="C469" t="str">
            <v>นายวัชรพล พันธุสุวรรณ</v>
          </cell>
          <cell r="D469" t="str">
            <v>เมืองกาฬสินธุ์</v>
          </cell>
          <cell r="E469" t="str">
            <v>กาฬสินธุ์</v>
          </cell>
          <cell r="F469" t="str">
            <v>Farmer</v>
          </cell>
        </row>
        <row r="470">
          <cell r="C470" t="str">
            <v>นายวัชระ จำเริญควร</v>
          </cell>
          <cell r="D470" t="str">
            <v>สมเด็จ</v>
          </cell>
          <cell r="E470" t="str">
            <v>กาฬสินธุ์</v>
          </cell>
          <cell r="F470" t="str">
            <v>Farmer</v>
          </cell>
        </row>
        <row r="471">
          <cell r="C471" t="str">
            <v>นายวัชระ สุรันนา</v>
          </cell>
          <cell r="D471" t="str">
            <v>สมเด็จ</v>
          </cell>
          <cell r="E471" t="str">
            <v>กาฬสินธุ์</v>
          </cell>
          <cell r="F471" t="str">
            <v>Farmer</v>
          </cell>
        </row>
        <row r="472">
          <cell r="C472" t="str">
            <v>นายวัฒนา ตาสาโรจน์</v>
          </cell>
          <cell r="D472" t="str">
            <v>สมเด็จ</v>
          </cell>
          <cell r="E472" t="str">
            <v>กาฬสินธุ์</v>
          </cell>
          <cell r="F472" t="str">
            <v>Farmer</v>
          </cell>
        </row>
        <row r="473">
          <cell r="C473" t="str">
            <v>นายวัฒนา แพงแสง</v>
          </cell>
          <cell r="D473" t="str">
            <v>หนองกุงศรี</v>
          </cell>
          <cell r="E473" t="str">
            <v>กาฬสินธุ์</v>
          </cell>
          <cell r="F473" t="str">
            <v>Farmer</v>
          </cell>
        </row>
        <row r="474">
          <cell r="C474" t="str">
            <v>นายวาสนา อัศวภูมิ</v>
          </cell>
          <cell r="D474" t="str">
            <v>หนองกุงศรี</v>
          </cell>
          <cell r="E474" t="str">
            <v>กาฬสินธุ์</v>
          </cell>
          <cell r="F474" t="str">
            <v>Farmer</v>
          </cell>
        </row>
        <row r="475">
          <cell r="C475" t="str">
            <v>นายวิจิตร หรดี</v>
          </cell>
          <cell r="D475" t="str">
            <v>เมืองกาฬสินธุ์</v>
          </cell>
          <cell r="E475" t="str">
            <v>กาฬสินธุ์</v>
          </cell>
          <cell r="F475" t="str">
            <v>Farmer</v>
          </cell>
        </row>
        <row r="476">
          <cell r="C476" t="str">
            <v>นายวิชัย ภูธะโล</v>
          </cell>
          <cell r="D476" t="str">
            <v>สหัสขันธ์</v>
          </cell>
          <cell r="E476" t="str">
            <v>กาฬสินธุ์</v>
          </cell>
          <cell r="F476" t="str">
            <v>Farmer</v>
          </cell>
        </row>
        <row r="477">
          <cell r="C477" t="str">
            <v>นายวิชาญชัย ไร่สงวน</v>
          </cell>
          <cell r="D477" t="str">
            <v>เมืองกาฬสินธุ์</v>
          </cell>
          <cell r="E477" t="str">
            <v>กาฬสินธุ์</v>
          </cell>
          <cell r="F477" t="str">
            <v>Farmer</v>
          </cell>
        </row>
        <row r="478">
          <cell r="C478" t="str">
            <v>นายวิทยา สบาย</v>
          </cell>
          <cell r="D478" t="str">
            <v>สมเด็จ</v>
          </cell>
          <cell r="E478" t="str">
            <v>กาฬสินธุ์</v>
          </cell>
          <cell r="F478" t="str">
            <v>Farmer</v>
          </cell>
        </row>
        <row r="479">
          <cell r="C479" t="str">
            <v>นายวินัย สาธุพันธุ์</v>
          </cell>
          <cell r="D479" t="str">
            <v>เมืองกาฬสินธุ์</v>
          </cell>
          <cell r="E479" t="str">
            <v>กาฬสินธุ์</v>
          </cell>
          <cell r="F479" t="str">
            <v>Farmer</v>
          </cell>
        </row>
        <row r="480">
          <cell r="C480" t="str">
            <v>นายวินัย อุปแก้ว</v>
          </cell>
          <cell r="D480" t="str">
            <v>เมืองกาฬสินธุ์</v>
          </cell>
          <cell r="E480" t="str">
            <v>กาฬสินธุ์</v>
          </cell>
          <cell r="F480" t="str">
            <v>Farmer</v>
          </cell>
        </row>
        <row r="481">
          <cell r="C481" t="str">
            <v>นายวิบูรณ์ วงไชยา</v>
          </cell>
          <cell r="D481" t="str">
            <v>สหัสขันธ์</v>
          </cell>
          <cell r="E481" t="str">
            <v>กาฬสินธุ์</v>
          </cell>
          <cell r="F481" t="str">
            <v>Farmer</v>
          </cell>
        </row>
        <row r="482">
          <cell r="C482" t="str">
            <v>นายวิระพงษ์ ภูครองนาค</v>
          </cell>
          <cell r="D482" t="str">
            <v>หนองกุงศรี</v>
          </cell>
          <cell r="E482" t="str">
            <v>กาฬสินธุ์</v>
          </cell>
          <cell r="F482" t="str">
            <v>Farmer</v>
          </cell>
        </row>
        <row r="483">
          <cell r="C483" t="str">
            <v>นายวิรัช ศรีจำปา</v>
          </cell>
          <cell r="D483" t="str">
            <v>กุฉินารายณ์</v>
          </cell>
          <cell r="E483" t="str">
            <v>กาฬสินธุ์</v>
          </cell>
          <cell r="F483" t="str">
            <v>Broker</v>
          </cell>
        </row>
        <row r="484">
          <cell r="C484" t="str">
            <v>นายวิลัย ทองการ</v>
          </cell>
          <cell r="D484" t="str">
            <v>สมเด็จ</v>
          </cell>
          <cell r="E484" t="str">
            <v>กาฬสินธุ์</v>
          </cell>
          <cell r="F484" t="str">
            <v>Farmer</v>
          </cell>
        </row>
        <row r="485">
          <cell r="C485" t="str">
            <v>นายวิศรุต ภูถินเชือก</v>
          </cell>
          <cell r="D485" t="str">
            <v>ยางตลาด</v>
          </cell>
          <cell r="E485" t="str">
            <v>กาฬสินธุ์</v>
          </cell>
          <cell r="F485" t="str">
            <v>Farmer</v>
          </cell>
        </row>
        <row r="486">
          <cell r="C486" t="str">
            <v>นายวิษณุ เสริฐสวาท</v>
          </cell>
          <cell r="D486" t="str">
            <v>สหัสขันธ์</v>
          </cell>
          <cell r="E486" t="str">
            <v>กาฬสินธุ์</v>
          </cell>
          <cell r="F486" t="str">
            <v>Farmer</v>
          </cell>
        </row>
        <row r="487">
          <cell r="C487" t="str">
            <v>นายวีรชาติ พันภู</v>
          </cell>
          <cell r="D487" t="str">
            <v>คำม่วง</v>
          </cell>
          <cell r="E487" t="str">
            <v>กาฬสินธุ์</v>
          </cell>
          <cell r="F487" t="str">
            <v>Farmer</v>
          </cell>
        </row>
        <row r="488">
          <cell r="C488" t="str">
            <v>นายวีระชาติ จันทพนม</v>
          </cell>
          <cell r="D488" t="str">
            <v>กุฉินารายณ์</v>
          </cell>
          <cell r="E488" t="str">
            <v>กาฬสินธุ์</v>
          </cell>
          <cell r="F488" t="str">
            <v>Broker</v>
          </cell>
        </row>
        <row r="489">
          <cell r="C489" t="str">
            <v>นายวีระพงษ์ บุญสิงห์</v>
          </cell>
          <cell r="D489" t="str">
            <v>สมเด็จ</v>
          </cell>
          <cell r="E489" t="str">
            <v>กาฬสินธุ์</v>
          </cell>
          <cell r="F489" t="str">
            <v>Farmer</v>
          </cell>
        </row>
        <row r="490">
          <cell r="C490" t="str">
            <v>นายเวทย์ กาวี</v>
          </cell>
          <cell r="D490" t="str">
            <v>สมเด็จ</v>
          </cell>
          <cell r="E490" t="str">
            <v>กาฬสินธุ์</v>
          </cell>
          <cell r="F490" t="str">
            <v>Farmer</v>
          </cell>
        </row>
        <row r="491">
          <cell r="C491" t="str">
            <v>นายศตวรรษ ผาสุข</v>
          </cell>
          <cell r="D491" t="str">
            <v>สหัสขันธ์</v>
          </cell>
          <cell r="E491" t="str">
            <v>กาฬสินธุ์</v>
          </cell>
          <cell r="F491" t="str">
            <v>Farmer</v>
          </cell>
        </row>
        <row r="492">
          <cell r="C492" t="str">
            <v>นายศรชัย ภิรมย์ขวัญ</v>
          </cell>
          <cell r="D492" t="str">
            <v>สมเด็จ</v>
          </cell>
          <cell r="E492" t="str">
            <v>กาฬสินธุ์</v>
          </cell>
          <cell r="F492" t="str">
            <v>Farmer</v>
          </cell>
        </row>
        <row r="493">
          <cell r="C493" t="str">
            <v>นายศราวุฒิ บุตรพรม</v>
          </cell>
          <cell r="D493" t="str">
            <v>หนองกุงศรี</v>
          </cell>
          <cell r="E493" t="str">
            <v>กาฬสินธุ์</v>
          </cell>
          <cell r="F493" t="str">
            <v>Farmer</v>
          </cell>
        </row>
        <row r="494">
          <cell r="C494" t="str">
            <v>นายศราวุธ บุญละคร</v>
          </cell>
          <cell r="D494" t="str">
            <v>นามน</v>
          </cell>
          <cell r="E494" t="str">
            <v>กาฬสินธุ์</v>
          </cell>
          <cell r="F494" t="str">
            <v>Farmer</v>
          </cell>
        </row>
        <row r="495">
          <cell r="C495" t="str">
            <v>นายศักดา แก้วจิตตะ</v>
          </cell>
          <cell r="D495" t="str">
            <v>เมืองกาฬสินธุ์</v>
          </cell>
          <cell r="E495" t="str">
            <v>กาฬสินธุ์</v>
          </cell>
          <cell r="F495" t="str">
            <v>Farmer</v>
          </cell>
        </row>
        <row r="496">
          <cell r="C496" t="str">
            <v>นายศักดิ์ พิมสาร</v>
          </cell>
          <cell r="D496" t="str">
            <v>สามชัย</v>
          </cell>
          <cell r="E496" t="str">
            <v>กาฬสินธุ์</v>
          </cell>
          <cell r="F496" t="str">
            <v>Farmer</v>
          </cell>
        </row>
        <row r="497">
          <cell r="C497" t="str">
            <v>นายศักดิ์ ภูตองโขบ</v>
          </cell>
          <cell r="D497" t="str">
            <v>สหัสขันธ์</v>
          </cell>
          <cell r="E497" t="str">
            <v>กาฬสินธุ์</v>
          </cell>
          <cell r="F497" t="str">
            <v>Farmer</v>
          </cell>
        </row>
        <row r="498">
          <cell r="C498" t="str">
            <v>นายศักดิ์ชัย เต็งกลาง</v>
          </cell>
          <cell r="D498" t="str">
            <v>ซำสูง</v>
          </cell>
          <cell r="E498" t="str">
            <v>ขอนแก่น</v>
          </cell>
          <cell r="F498" t="str">
            <v>Broker</v>
          </cell>
        </row>
        <row r="499">
          <cell r="C499" t="str">
            <v>นายศักดิ์สุพรรณ ซาซิโย</v>
          </cell>
          <cell r="D499" t="str">
            <v>เมืองกาฬสินธุ์</v>
          </cell>
          <cell r="E499" t="str">
            <v>กาฬสินธุ์</v>
          </cell>
          <cell r="F499" t="str">
            <v>Farmer</v>
          </cell>
        </row>
        <row r="500">
          <cell r="C500" t="str">
            <v>นายศุภกิจ แสบงบาล</v>
          </cell>
          <cell r="D500" t="str">
            <v>ห้วยผึ้ง</v>
          </cell>
          <cell r="E500" t="str">
            <v>กาฬสินธุ์</v>
          </cell>
          <cell r="F500" t="str">
            <v>Farmer</v>
          </cell>
        </row>
        <row r="501">
          <cell r="C501" t="str">
            <v>นายศุภกิจ หาญไชย</v>
          </cell>
          <cell r="D501" t="str">
            <v>สมเด็จ</v>
          </cell>
          <cell r="E501" t="str">
            <v>กาฬสินธุ์</v>
          </cell>
          <cell r="F501" t="str">
            <v>Farmer</v>
          </cell>
        </row>
        <row r="502">
          <cell r="C502" t="str">
            <v>นายศุภโชค ภู่วิจิตร</v>
          </cell>
          <cell r="D502" t="str">
            <v>สามชัย</v>
          </cell>
          <cell r="E502" t="str">
            <v>กาฬสินธุ์</v>
          </cell>
          <cell r="F502" t="str">
            <v>Broker</v>
          </cell>
        </row>
        <row r="503">
          <cell r="C503" t="str">
            <v>นายสถานุ เอกคำพันธ์</v>
          </cell>
          <cell r="D503" t="str">
            <v>โนนสะอาด</v>
          </cell>
          <cell r="E503" t="str">
            <v>อุดรธานี </v>
          </cell>
          <cell r="F503" t="str">
            <v>Broker</v>
          </cell>
        </row>
        <row r="504">
          <cell r="C504" t="str">
            <v>นายสถาพร บังขุนทศ</v>
          </cell>
          <cell r="D504" t="str">
            <v>สมเด็จ</v>
          </cell>
          <cell r="E504" t="str">
            <v>กาฬสินธุ์</v>
          </cell>
          <cell r="F504" t="str">
            <v>Farmer</v>
          </cell>
        </row>
        <row r="505">
          <cell r="C505" t="str">
            <v>นายสนั่น ไชยสุข</v>
          </cell>
          <cell r="D505" t="str">
            <v>ห้วยผึ้ง</v>
          </cell>
          <cell r="E505" t="str">
            <v>กาฬสินธุ์</v>
          </cell>
          <cell r="F505" t="str">
            <v>Farmer</v>
          </cell>
        </row>
        <row r="506">
          <cell r="C506" t="str">
            <v>นายสนั่น เหมกุล</v>
          </cell>
          <cell r="D506" t="str">
            <v>สหัสขันธ์</v>
          </cell>
          <cell r="E506" t="str">
            <v>กาฬสินธุ์</v>
          </cell>
          <cell r="F506" t="str">
            <v>Farmer</v>
          </cell>
        </row>
        <row r="507">
          <cell r="C507" t="str">
            <v>นายสนาม ไชยสา</v>
          </cell>
          <cell r="D507" t="str">
            <v>สมเด็จ</v>
          </cell>
          <cell r="E507" t="str">
            <v>กาฬสินธุ์</v>
          </cell>
          <cell r="F507" t="str">
            <v>Farmer</v>
          </cell>
        </row>
        <row r="508">
          <cell r="C508" t="str">
            <v>นายสมเกียรติ ภูศรีฤทธิ์</v>
          </cell>
          <cell r="D508" t="str">
            <v>สหัสขันธ์</v>
          </cell>
          <cell r="E508" t="str">
            <v>กาฬสินธุ์</v>
          </cell>
          <cell r="F508" t="str">
            <v>Farmer</v>
          </cell>
        </row>
        <row r="509">
          <cell r="C509" t="str">
            <v>นายสมเกียรติ ภูอาบทอง</v>
          </cell>
          <cell r="D509" t="str">
            <v>ดอนจาน</v>
          </cell>
          <cell r="E509" t="str">
            <v>กาฬสินธุ์</v>
          </cell>
          <cell r="F509" t="str">
            <v>Farmer</v>
          </cell>
        </row>
        <row r="510">
          <cell r="C510" t="str">
            <v>นายสมคิด การเลียง</v>
          </cell>
          <cell r="D510" t="str">
            <v>เมืองกาฬสินธุ์</v>
          </cell>
          <cell r="E510" t="str">
            <v>กาฬสินธุ์</v>
          </cell>
          <cell r="F510" t="str">
            <v>Farmer</v>
          </cell>
        </row>
        <row r="511">
          <cell r="C511" t="str">
            <v>นายสมจิตร จันที</v>
          </cell>
          <cell r="D511" t="str">
            <v>สหัสขันธ์</v>
          </cell>
          <cell r="E511" t="str">
            <v>กาฬสินธุ์</v>
          </cell>
          <cell r="F511" t="str">
            <v>Farmer</v>
          </cell>
        </row>
        <row r="512">
          <cell r="C512" t="str">
            <v>นายสมจิตร ฉันประเดิม</v>
          </cell>
          <cell r="D512" t="str">
            <v>ดอนจาน</v>
          </cell>
          <cell r="E512" t="str">
            <v>กาฬสินธุ์</v>
          </cell>
          <cell r="F512" t="str">
            <v>Farmer</v>
          </cell>
        </row>
        <row r="513">
          <cell r="C513" t="str">
            <v>นายสมชาย ด้วงแจ่ม</v>
          </cell>
          <cell r="D513" t="str">
            <v>หนองกุงศรี</v>
          </cell>
          <cell r="E513" t="str">
            <v>กาฬสินธุ์</v>
          </cell>
          <cell r="F513" t="str">
            <v>Farmer</v>
          </cell>
        </row>
        <row r="514">
          <cell r="C514" t="str">
            <v>นายสมชาย ทองคำแสง</v>
          </cell>
          <cell r="D514" t="str">
            <v>สมเด็จ</v>
          </cell>
          <cell r="E514" t="str">
            <v>กาฬสินธุ์</v>
          </cell>
          <cell r="F514" t="str">
            <v>Farmer</v>
          </cell>
        </row>
        <row r="515">
          <cell r="C515" t="str">
            <v>นายสมชาย ภักดี</v>
          </cell>
          <cell r="D515" t="str">
            <v>เมืองกาฬสินธุ์</v>
          </cell>
          <cell r="E515" t="str">
            <v>กาฬสินธุ์</v>
          </cell>
          <cell r="F515" t="str">
            <v>Farmer</v>
          </cell>
        </row>
        <row r="516">
          <cell r="C516" t="str">
            <v>นายสมชาย เสนาหมื่น</v>
          </cell>
          <cell r="D516" t="str">
            <v>สมเด็จ</v>
          </cell>
          <cell r="E516" t="str">
            <v>กาฬสินธุ์</v>
          </cell>
          <cell r="F516" t="str">
            <v>Farmer</v>
          </cell>
        </row>
        <row r="517">
          <cell r="C517" t="str">
            <v>นายสมเด็จ ลาคำ</v>
          </cell>
          <cell r="D517" t="str">
            <v>สหัสขันธ์</v>
          </cell>
          <cell r="E517" t="str">
            <v>กาฬสินธุ์</v>
          </cell>
          <cell r="F517" t="str">
            <v>Farmer</v>
          </cell>
        </row>
        <row r="518">
          <cell r="C518" t="str">
            <v>นายสมเด็จ ศรีระบุตร</v>
          </cell>
          <cell r="D518" t="str">
            <v>กุฉินารายณ์</v>
          </cell>
          <cell r="E518" t="str">
            <v>กาฬสินธุ์</v>
          </cell>
          <cell r="F518" t="str">
            <v>Farmer</v>
          </cell>
        </row>
        <row r="519">
          <cell r="C519" t="str">
            <v>นายสมบัติ คำสา</v>
          </cell>
          <cell r="D519" t="str">
            <v>หนองกุงศรี</v>
          </cell>
          <cell r="E519" t="str">
            <v>กาฬสินธุ์</v>
          </cell>
          <cell r="F519" t="str">
            <v>Farmer</v>
          </cell>
        </row>
        <row r="520">
          <cell r="C520" t="str">
            <v>นายสมบัติ ไร่สงวน</v>
          </cell>
          <cell r="D520" t="str">
            <v>เมืองกาฬสินธุ์</v>
          </cell>
          <cell r="E520" t="str">
            <v>กาฬสินธุ์</v>
          </cell>
          <cell r="F520" t="str">
            <v>Farmer</v>
          </cell>
        </row>
        <row r="521">
          <cell r="C521" t="str">
            <v>นายสมพงศ์ ไร่สงวน</v>
          </cell>
          <cell r="D521" t="str">
            <v>เมืองกาฬสินธุ์</v>
          </cell>
          <cell r="E521" t="str">
            <v>กาฬสินธุ์</v>
          </cell>
          <cell r="F521" t="str">
            <v>Farmer</v>
          </cell>
        </row>
        <row r="522">
          <cell r="C522" t="str">
            <v>นายสมพร ศรีบุรัมย์</v>
          </cell>
          <cell r="D522" t="str">
            <v>เมืองกาฬสินธุ์</v>
          </cell>
          <cell r="E522" t="str">
            <v>กาฬสินธุ์</v>
          </cell>
          <cell r="F522" t="str">
            <v>Farmer</v>
          </cell>
        </row>
        <row r="523">
          <cell r="C523" t="str">
            <v>นายสมเพชร เขระภูมิ</v>
          </cell>
          <cell r="D523" t="str">
            <v>เมืองกาฬสินธุ์</v>
          </cell>
          <cell r="E523" t="str">
            <v>กาฬสินธุ์</v>
          </cell>
          <cell r="F523" t="str">
            <v>Farmer</v>
          </cell>
        </row>
        <row r="524">
          <cell r="C524" t="str">
            <v>นายสมเพชร สว่างศรี</v>
          </cell>
          <cell r="D524" t="str">
            <v>เมืองกาฬสินธุ์</v>
          </cell>
          <cell r="E524" t="str">
            <v>กาฬสินธุ์</v>
          </cell>
          <cell r="F524" t="str">
            <v>Farmer</v>
          </cell>
        </row>
        <row r="525">
          <cell r="C525" t="str">
            <v>นายสมภพ จันโสม</v>
          </cell>
          <cell r="D525" t="str">
            <v>เมืองกาฬสินธุ์</v>
          </cell>
          <cell r="E525" t="str">
            <v>กาฬสินธุ์</v>
          </cell>
          <cell r="F525" t="str">
            <v>Farmer</v>
          </cell>
        </row>
        <row r="526">
          <cell r="C526" t="str">
            <v>นายสมยนร์ ปัญญา</v>
          </cell>
          <cell r="D526" t="str">
            <v>สมเด็จ</v>
          </cell>
          <cell r="E526" t="str">
            <v>กาฬสินธุ์</v>
          </cell>
          <cell r="F526" t="str">
            <v>Farmer</v>
          </cell>
        </row>
        <row r="527">
          <cell r="C527" t="str">
            <v>นายสมยศ คำมะลา</v>
          </cell>
          <cell r="D527" t="str">
            <v>เมืองกาฬสินธุ์</v>
          </cell>
          <cell r="E527" t="str">
            <v>กาฬสินธุ์</v>
          </cell>
          <cell r="F527" t="str">
            <v>Farmer</v>
          </cell>
        </row>
        <row r="528">
          <cell r="C528" t="str">
            <v>นายสมร คำมะลิ</v>
          </cell>
          <cell r="D528" t="str">
            <v>สมเด็จ</v>
          </cell>
          <cell r="E528" t="str">
            <v>กาฬสินธุ์</v>
          </cell>
          <cell r="F528" t="str">
            <v>Farmer</v>
          </cell>
        </row>
        <row r="529">
          <cell r="C529" t="str">
            <v>นายสมศรี ภูน้ำใส</v>
          </cell>
          <cell r="D529" t="str">
            <v>เมืองกาฬสินธุ์</v>
          </cell>
          <cell r="E529" t="str">
            <v>กาฬสินธุ์</v>
          </cell>
          <cell r="F529" t="str">
            <v>Farmer</v>
          </cell>
        </row>
        <row r="530">
          <cell r="C530" t="str">
            <v>นายสมหมาย มติยะภักดิ์</v>
          </cell>
          <cell r="D530" t="str">
            <v>สหัสขันธ์</v>
          </cell>
          <cell r="E530" t="str">
            <v>กาฬสินธุ์</v>
          </cell>
          <cell r="F530" t="str">
            <v>Farmer</v>
          </cell>
        </row>
        <row r="531">
          <cell r="C531" t="str">
            <v>นายสมัคร ศรีจันทร์</v>
          </cell>
          <cell r="D531" t="str">
            <v>เมืองกาฬสินธุ์</v>
          </cell>
          <cell r="E531" t="str">
            <v>กาฬสินธุ์</v>
          </cell>
          <cell r="F531" t="str">
            <v>Farmer</v>
          </cell>
        </row>
        <row r="532">
          <cell r="C532" t="str">
            <v>นายสมัย เศษบุญ</v>
          </cell>
          <cell r="D532" t="str">
            <v>สมเด็จ</v>
          </cell>
          <cell r="E532" t="str">
            <v>กาฬสินธุ์</v>
          </cell>
          <cell r="F532" t="str">
            <v>Farmer</v>
          </cell>
        </row>
        <row r="533">
          <cell r="C533" t="str">
            <v>นายสมัย สัสดี</v>
          </cell>
          <cell r="D533" t="str">
            <v>สมเด็จ</v>
          </cell>
          <cell r="E533" t="str">
            <v>กาฬสินธุ์</v>
          </cell>
          <cell r="F533" t="str">
            <v>Farmer</v>
          </cell>
        </row>
        <row r="534">
          <cell r="C534" t="str">
            <v>นายสมาน จันทะดวง</v>
          </cell>
          <cell r="D534" t="str">
            <v>เมืองกาฬสินธุ์</v>
          </cell>
          <cell r="E534" t="str">
            <v>กาฬสินธุ์</v>
          </cell>
          <cell r="F534" t="str">
            <v>Farmer</v>
          </cell>
        </row>
        <row r="535">
          <cell r="C535" t="str">
            <v>นายสมาน จันมะณี</v>
          </cell>
          <cell r="D535" t="str">
            <v>สมเด็จ</v>
          </cell>
          <cell r="E535" t="str">
            <v>กาฬสินธุ์</v>
          </cell>
          <cell r="F535" t="str">
            <v>Farmer</v>
          </cell>
        </row>
        <row r="536">
          <cell r="C536" t="str">
            <v>นายสยาม ปัญญา</v>
          </cell>
          <cell r="D536" t="str">
            <v>สมเด็จ</v>
          </cell>
          <cell r="E536" t="str">
            <v>กาฬสินธุ์</v>
          </cell>
          <cell r="F536" t="str">
            <v>Farmer</v>
          </cell>
        </row>
        <row r="537">
          <cell r="C537" t="str">
            <v>นายสวัสดิ์ ทระรักษ์</v>
          </cell>
          <cell r="D537" t="str">
            <v>หนองกุงศรี</v>
          </cell>
          <cell r="E537" t="str">
            <v>กาฬสินธุ์</v>
          </cell>
          <cell r="F537" t="str">
            <v>Farmer</v>
          </cell>
        </row>
        <row r="538">
          <cell r="C538" t="str">
            <v>นายสังเวียน ไร่บุญ</v>
          </cell>
          <cell r="D538" t="str">
            <v>ห้วยผึ้ง</v>
          </cell>
          <cell r="E538" t="str">
            <v>กาฬสินธุ์</v>
          </cell>
          <cell r="F538" t="str">
            <v>Farmer</v>
          </cell>
        </row>
        <row r="539">
          <cell r="C539" t="str">
            <v>นายสัญญา จันทมนตรี</v>
          </cell>
          <cell r="D539" t="str">
            <v>นามน</v>
          </cell>
          <cell r="E539" t="str">
            <v>กาฬสินธุ์</v>
          </cell>
          <cell r="F539" t="str">
            <v>Farmer</v>
          </cell>
        </row>
        <row r="540">
          <cell r="C540" t="str">
            <v>นายสันติสุข ศรีนวล</v>
          </cell>
          <cell r="D540" t="str">
            <v>น้ำยืน</v>
          </cell>
          <cell r="E540" t="str">
            <v>อุบลราชธานี</v>
          </cell>
          <cell r="F540" t="str">
            <v>Broker</v>
          </cell>
        </row>
        <row r="541">
          <cell r="C541" t="str">
            <v>นายสามารถ พฤษฎี</v>
          </cell>
          <cell r="D541" t="str">
            <v>นามน</v>
          </cell>
          <cell r="E541" t="str">
            <v>กาฬสินธุ์</v>
          </cell>
          <cell r="F541" t="str">
            <v>Farmer</v>
          </cell>
        </row>
        <row r="542">
          <cell r="C542" t="str">
            <v>นายสำรวย พันทอง</v>
          </cell>
          <cell r="D542" t="str">
            <v>เมืองกาฬสินธุ์</v>
          </cell>
          <cell r="E542" t="str">
            <v>กาฬสินธุ์</v>
          </cell>
          <cell r="F542" t="str">
            <v>Farmer</v>
          </cell>
        </row>
        <row r="543">
          <cell r="C543" t="str">
            <v>นายสิงหา สาศรีเมือง</v>
          </cell>
          <cell r="D543" t="str">
            <v>สามชัย</v>
          </cell>
          <cell r="E543" t="str">
            <v>กาฬสินธุ์</v>
          </cell>
          <cell r="F543" t="str">
            <v>Farmer</v>
          </cell>
        </row>
        <row r="544">
          <cell r="C544" t="str">
            <v>นายสิทธิศักดิ์ นนท์สะเกตุ</v>
          </cell>
          <cell r="D544" t="str">
            <v>เมืองสกลนคร</v>
          </cell>
          <cell r="E544" t="str">
            <v>สกลนคร</v>
          </cell>
          <cell r="F544" t="str">
            <v>Farmer</v>
          </cell>
        </row>
        <row r="545">
          <cell r="C545" t="str">
            <v>นายสินชัย นิยมธรรม</v>
          </cell>
          <cell r="D545" t="str">
            <v>ยางตลาด</v>
          </cell>
          <cell r="E545" t="str">
            <v>กาฬสินธุ์</v>
          </cell>
          <cell r="F545" t="str">
            <v>Broker</v>
          </cell>
        </row>
        <row r="546">
          <cell r="C546" t="str">
            <v>นายสิริเดช สุวรรณศรี</v>
          </cell>
          <cell r="D546" t="str">
            <v>เมืองกาฬสินธุ์</v>
          </cell>
          <cell r="E546" t="str">
            <v>กาฬสินธุ์</v>
          </cell>
          <cell r="F546" t="str">
            <v>Farmer</v>
          </cell>
        </row>
        <row r="547">
          <cell r="C547" t="str">
            <v>นายสุกิจพงษ์ บันนามน</v>
          </cell>
          <cell r="D547" t="str">
            <v>นามน</v>
          </cell>
          <cell r="E547" t="str">
            <v>กาฬสินธุ์</v>
          </cell>
          <cell r="F547" t="str">
            <v>Farmer</v>
          </cell>
        </row>
        <row r="548">
          <cell r="C548" t="str">
            <v>นายสุข อุชี</v>
          </cell>
          <cell r="D548" t="str">
            <v>ดอนจาน</v>
          </cell>
          <cell r="E548" t="str">
            <v>กาฬสินธุ์</v>
          </cell>
          <cell r="F548" t="str">
            <v>Farmer</v>
          </cell>
        </row>
        <row r="549">
          <cell r="C549" t="str">
            <v>นายสุดใจ ภูกา</v>
          </cell>
          <cell r="D549" t="str">
            <v>เมืองกาฬสินธุ์</v>
          </cell>
          <cell r="E549" t="str">
            <v>กาฬสินธุ์</v>
          </cell>
          <cell r="F549" t="str">
            <v>Farmer</v>
          </cell>
        </row>
        <row r="550">
          <cell r="C550" t="str">
            <v>นายสุทธิพงษ์ อิ่มประสงค์</v>
          </cell>
          <cell r="D550" t="str">
            <v>เมืองกาฬสินธุ์</v>
          </cell>
          <cell r="E550" t="str">
            <v>กาฬสินธุ์</v>
          </cell>
          <cell r="F550" t="str">
            <v>Farmer</v>
          </cell>
        </row>
        <row r="551">
          <cell r="C551" t="str">
            <v>นายสุทิน การร้อย</v>
          </cell>
          <cell r="D551" t="str">
            <v>คำม่วง</v>
          </cell>
          <cell r="E551" t="str">
            <v>กาฬสินธุ์</v>
          </cell>
          <cell r="F551" t="str">
            <v>Farmer</v>
          </cell>
        </row>
        <row r="552">
          <cell r="C552" t="str">
            <v>นายสุทิน เชตุราช</v>
          </cell>
          <cell r="D552" t="str">
            <v>สมเด็จ</v>
          </cell>
          <cell r="E552" t="str">
            <v>กาฬสินธุ์</v>
          </cell>
          <cell r="F552" t="str">
            <v>Farmer</v>
          </cell>
        </row>
        <row r="553">
          <cell r="C553" t="str">
            <v>นายสุปัญ ทรัพย์สำราญ</v>
          </cell>
          <cell r="D553" t="str">
            <v>เมืองกาฬสินธุ์</v>
          </cell>
          <cell r="E553" t="str">
            <v>กาฬสินธุ์</v>
          </cell>
          <cell r="F553" t="str">
            <v>Farmer</v>
          </cell>
        </row>
        <row r="554">
          <cell r="C554" t="str">
            <v>นายสุปัน ภูทองพันธ์</v>
          </cell>
          <cell r="D554" t="str">
            <v>เมืองกาฬสินธุ์</v>
          </cell>
          <cell r="E554" t="str">
            <v>กาฬสินธุ์</v>
          </cell>
          <cell r="F554" t="str">
            <v>Farmer</v>
          </cell>
        </row>
        <row r="555">
          <cell r="C555" t="str">
            <v>นายสุปัน สีทองนาค</v>
          </cell>
          <cell r="D555" t="str">
            <v>สหัสขันธ์</v>
          </cell>
          <cell r="E555" t="str">
            <v>กาฬสินธุ์</v>
          </cell>
          <cell r="F555" t="str">
            <v>Farmer</v>
          </cell>
        </row>
        <row r="556">
          <cell r="C556" t="str">
            <v>นายสุพจน์ ภูมิศาสตร์</v>
          </cell>
          <cell r="D556" t="str">
            <v>คำม่วง</v>
          </cell>
          <cell r="E556" t="str">
            <v>กาฬสินธุ์</v>
          </cell>
          <cell r="F556" t="str">
            <v>Farmer</v>
          </cell>
        </row>
        <row r="557">
          <cell r="C557" t="str">
            <v>นายสุพิช การพูล</v>
          </cell>
          <cell r="D557" t="str">
            <v>สมเด็จ</v>
          </cell>
          <cell r="E557" t="str">
            <v>กาฬสินธุ์</v>
          </cell>
          <cell r="F557" t="str">
            <v>Farmer</v>
          </cell>
        </row>
        <row r="558">
          <cell r="C558" t="str">
            <v>นายสุรพงษ์ บุญลือชา</v>
          </cell>
          <cell r="D558" t="str">
            <v>สหัสขันธ์</v>
          </cell>
          <cell r="E558" t="str">
            <v>กาฬสินธุ์</v>
          </cell>
          <cell r="F558" t="str">
            <v>Farmer</v>
          </cell>
        </row>
        <row r="559">
          <cell r="C559" t="str">
            <v>นายสุรพรรณ สืบผาง</v>
          </cell>
          <cell r="D559" t="str">
            <v>ดอนจาน</v>
          </cell>
          <cell r="E559" t="str">
            <v>กาฬสินธุ์</v>
          </cell>
          <cell r="F559" t="str">
            <v>Farmer</v>
          </cell>
        </row>
        <row r="560">
          <cell r="C560" t="str">
            <v>นายสุรพล ตาลพันธุ์</v>
          </cell>
          <cell r="D560" t="str">
            <v>นามน</v>
          </cell>
          <cell r="E560" t="str">
            <v>กาฬสินธุ์</v>
          </cell>
          <cell r="F560" t="str">
            <v>Farmer</v>
          </cell>
        </row>
        <row r="561">
          <cell r="C561" t="str">
            <v>นายสุริยันต์ พันธ์เสถียร</v>
          </cell>
          <cell r="D561" t="str">
            <v>เมืองกาฬสินธุ์</v>
          </cell>
          <cell r="E561" t="str">
            <v>กาฬสินธุ์</v>
          </cell>
          <cell r="F561" t="str">
            <v>Farmer</v>
          </cell>
        </row>
        <row r="562">
          <cell r="C562" t="str">
            <v>นายสุริยันต์ ยะไวทย์</v>
          </cell>
          <cell r="D562" t="str">
            <v>สมเด็จ</v>
          </cell>
          <cell r="E562" t="str">
            <v>กาฬสินธุ์</v>
          </cell>
          <cell r="F562" t="str">
            <v>Farmer</v>
          </cell>
        </row>
        <row r="563">
          <cell r="C563" t="str">
            <v>นายสุริยา เสริฐวาสนา</v>
          </cell>
          <cell r="D563" t="str">
            <v>สหัสขันธ์</v>
          </cell>
          <cell r="E563" t="str">
            <v>กาฬสินธุ์</v>
          </cell>
          <cell r="F563" t="str">
            <v>Farmer</v>
          </cell>
        </row>
        <row r="564">
          <cell r="C564" t="str">
            <v>นายสุวรรณ โบราณมูล</v>
          </cell>
          <cell r="D564" t="str">
            <v>เมืองกาฬสินธุ์</v>
          </cell>
          <cell r="E564" t="str">
            <v>กาฬสินธุ์</v>
          </cell>
          <cell r="F564" t="str">
            <v>Farmer</v>
          </cell>
        </row>
        <row r="565">
          <cell r="C565" t="str">
            <v>นายสุวรรณ์ พะละ</v>
          </cell>
          <cell r="D565" t="str">
            <v>เมืองกาฬสินธุ์</v>
          </cell>
          <cell r="E565" t="str">
            <v>กาฬสินธุ์</v>
          </cell>
          <cell r="F565" t="str">
            <v>Farmer</v>
          </cell>
        </row>
        <row r="566">
          <cell r="C566" t="str">
            <v>นายสุวรรณ์ สิมารับ</v>
          </cell>
          <cell r="D566" t="str">
            <v>สหัสขันธ์</v>
          </cell>
          <cell r="E566" t="str">
            <v>กาฬสินธุ์</v>
          </cell>
          <cell r="F566" t="str">
            <v>Farmer</v>
          </cell>
        </row>
        <row r="567">
          <cell r="C567" t="str">
            <v>นายสุวิทย์ เชื้อคำจันทร์</v>
          </cell>
          <cell r="D567" t="str">
            <v xml:space="preserve">ดงหลวง </v>
          </cell>
          <cell r="E567" t="str">
            <v>มุกดาหาร</v>
          </cell>
          <cell r="F567" t="str">
            <v>Broker</v>
          </cell>
        </row>
        <row r="568">
          <cell r="C568" t="str">
            <v>นายสุวิทย์ บุดสาวิเศษ</v>
          </cell>
          <cell r="D568" t="str">
            <v>สมเด็จ</v>
          </cell>
          <cell r="E568" t="str">
            <v>กาฬสินธุ์</v>
          </cell>
          <cell r="F568" t="str">
            <v>Farmer</v>
          </cell>
        </row>
        <row r="569">
          <cell r="C569" t="str">
            <v>นายสุวิทย์ เปลื่องปลาด</v>
          </cell>
          <cell r="D569" t="str">
            <v>กุฉินารายณ์</v>
          </cell>
          <cell r="E569" t="str">
            <v>กาฬสินธุ์</v>
          </cell>
          <cell r="F569" t="str">
            <v>Farmer</v>
          </cell>
        </row>
        <row r="570">
          <cell r="C570" t="str">
            <v>นายเสนอ เฉยฉิว</v>
          </cell>
          <cell r="D570" t="str">
            <v>สามชัย</v>
          </cell>
          <cell r="E570" t="str">
            <v>กาฬสินธุ์</v>
          </cell>
          <cell r="F570" t="str">
            <v>Farmer</v>
          </cell>
        </row>
        <row r="571">
          <cell r="C571" t="str">
            <v>นายเสริมศักดิ์ บุญนามน</v>
          </cell>
          <cell r="D571" t="str">
            <v>นามน</v>
          </cell>
          <cell r="E571" t="str">
            <v>กาฬสินธุ์</v>
          </cell>
          <cell r="F571" t="str">
            <v>Farmer</v>
          </cell>
        </row>
        <row r="572">
          <cell r="C572" t="str">
            <v>นายไสว ทองการ</v>
          </cell>
          <cell r="D572" t="str">
            <v>สมเด็จ</v>
          </cell>
          <cell r="E572" t="str">
            <v>กาฬสินธุ์</v>
          </cell>
          <cell r="F572" t="str">
            <v>Farmer</v>
          </cell>
        </row>
        <row r="573">
          <cell r="C573" t="str">
            <v>นายหงษ์แก้ว กมลชาติ</v>
          </cell>
          <cell r="D573" t="str">
            <v>เมืองกาฬสินธุ์</v>
          </cell>
          <cell r="E573" t="str">
            <v>กาฬสินธุ์</v>
          </cell>
          <cell r="F573" t="str">
            <v>Farmer</v>
          </cell>
        </row>
        <row r="574">
          <cell r="C574" t="str">
            <v>นายหน่อคำ สีแพงมน</v>
          </cell>
          <cell r="D574" t="str">
            <v>นามน</v>
          </cell>
          <cell r="E574" t="str">
            <v>กาฬสินธุ์</v>
          </cell>
          <cell r="F574" t="str">
            <v>Farmer</v>
          </cell>
        </row>
        <row r="575">
          <cell r="C575" t="str">
            <v>นายหนูนา เกลือสีโท</v>
          </cell>
          <cell r="D575" t="str">
            <v>สหัสขันธ์</v>
          </cell>
          <cell r="E575" t="str">
            <v>กาฬสินธุ์</v>
          </cell>
          <cell r="F575" t="str">
            <v>Farmer</v>
          </cell>
        </row>
        <row r="576">
          <cell r="C576" t="str">
            <v>นายหนูสันต์ ภูขำ</v>
          </cell>
          <cell r="D576" t="str">
            <v>เมืองกาฬสินธุ์</v>
          </cell>
          <cell r="E576" t="str">
            <v>กาฬสินธุ์</v>
          </cell>
          <cell r="F576" t="str">
            <v>Farmer</v>
          </cell>
        </row>
        <row r="577">
          <cell r="C577" t="str">
            <v>นายหนูสินธุ์ เขตบุญไสย</v>
          </cell>
          <cell r="D577" t="str">
            <v>ภูพาน</v>
          </cell>
          <cell r="E577" t="str">
            <v>สกลนคร</v>
          </cell>
          <cell r="F577" t="str">
            <v>Farmer</v>
          </cell>
        </row>
        <row r="578">
          <cell r="C578" t="str">
            <v>นายหัสดี เลียงโอฐ</v>
          </cell>
          <cell r="D578" t="str">
            <v>สมเด็จ</v>
          </cell>
          <cell r="E578" t="str">
            <v>กาฬสินธุ์</v>
          </cell>
          <cell r="F578" t="str">
            <v>Farmer</v>
          </cell>
        </row>
        <row r="579">
          <cell r="C579" t="str">
            <v>นายเหมือน นาสอ้าน</v>
          </cell>
          <cell r="D579" t="str">
            <v>เมืองกาฬสินธุ์</v>
          </cell>
          <cell r="E579" t="str">
            <v>กาฬสินธุ์</v>
          </cell>
          <cell r="F579" t="str">
            <v>Farmer</v>
          </cell>
        </row>
        <row r="580">
          <cell r="C580" t="str">
            <v>นายองอาจ รูปสวย</v>
          </cell>
          <cell r="D580" t="str">
            <v>เมืองกาฬสินธุ์</v>
          </cell>
          <cell r="E580" t="str">
            <v>กาฬสินธุ์</v>
          </cell>
          <cell r="F580" t="str">
            <v>Farmer</v>
          </cell>
        </row>
        <row r="581">
          <cell r="C581" t="str">
            <v>นายอดิพงษ์ ศรีสองเมือง</v>
          </cell>
          <cell r="D581" t="str">
            <v>คำม่วง</v>
          </cell>
          <cell r="E581" t="str">
            <v>กาฬสินธุ์</v>
          </cell>
          <cell r="F581" t="str">
            <v>Farmer</v>
          </cell>
        </row>
        <row r="582">
          <cell r="C582" t="str">
            <v>นายอดิศักดิ์ รังกลิ่น</v>
          </cell>
          <cell r="D582" t="str">
            <v>นาคู</v>
          </cell>
          <cell r="E582" t="str">
            <v>กาฬสินธุ์</v>
          </cell>
          <cell r="F582" t="str">
            <v>Farmer</v>
          </cell>
        </row>
        <row r="583">
          <cell r="C583" t="str">
            <v>นายอดิศักดิ์ สมศรี</v>
          </cell>
          <cell r="D583" t="str">
            <v>สหัสขันธ์</v>
          </cell>
          <cell r="E583" t="str">
            <v>กาฬสินธุ์</v>
          </cell>
          <cell r="F583" t="str">
            <v>Farmer</v>
          </cell>
        </row>
        <row r="584">
          <cell r="C584" t="str">
            <v>นายอดุลย์ ฤทธิ์แสง</v>
          </cell>
          <cell r="D584" t="str">
            <v>กุฉินารายณ์</v>
          </cell>
          <cell r="E584" t="str">
            <v>กาฬสินธุ์</v>
          </cell>
          <cell r="F584" t="str">
            <v>Farmer</v>
          </cell>
        </row>
        <row r="585">
          <cell r="C585" t="str">
            <v>นายอธิพงษ์ ศรีคิรินทร์</v>
          </cell>
          <cell r="D585" t="str">
            <v>คำม่วง</v>
          </cell>
          <cell r="E585" t="str">
            <v>กาฬสินธุ์</v>
          </cell>
          <cell r="F585" t="str">
            <v>Farmer</v>
          </cell>
        </row>
        <row r="586">
          <cell r="C586" t="str">
            <v>นายอนันต์ ภูสีน้ำ</v>
          </cell>
          <cell r="D586" t="str">
            <v>หนองกุงศรี</v>
          </cell>
          <cell r="E586" t="str">
            <v>กาฬสินธุ์</v>
          </cell>
          <cell r="F586" t="str">
            <v>Farmer</v>
          </cell>
        </row>
        <row r="587">
          <cell r="C587" t="str">
            <v>นายอนันต์ ยศนีย์</v>
          </cell>
          <cell r="D587" t="str">
            <v>เมืองกาฬสินธุ์</v>
          </cell>
          <cell r="E587" t="str">
            <v>กาฬสินธุ์</v>
          </cell>
          <cell r="F587" t="str">
            <v>Farmer</v>
          </cell>
        </row>
        <row r="588">
          <cell r="C588" t="str">
            <v>นายอนันต์ ศรีบุรัมย์</v>
          </cell>
          <cell r="D588" t="str">
            <v>เมืองกาฬสินธุ์</v>
          </cell>
          <cell r="E588" t="str">
            <v>กาฬสินธุ์</v>
          </cell>
          <cell r="F588" t="str">
            <v>Farmer</v>
          </cell>
        </row>
        <row r="589">
          <cell r="C589" t="str">
            <v>นายอนุชา นาสาโร</v>
          </cell>
          <cell r="D589" t="str">
            <v>สหัสขันธ์</v>
          </cell>
          <cell r="E589" t="str">
            <v>กาฬสินธุ์</v>
          </cell>
          <cell r="F589" t="str">
            <v>Farmer</v>
          </cell>
        </row>
        <row r="590">
          <cell r="C590" t="str">
            <v>นายอนุวัตร แพงโคตร</v>
          </cell>
          <cell r="D590" t="str">
            <v>สหัสขันธ์</v>
          </cell>
          <cell r="E590" t="str">
            <v>กาฬสินธุ์</v>
          </cell>
          <cell r="F590" t="str">
            <v>Farmer</v>
          </cell>
        </row>
        <row r="591">
          <cell r="C591" t="str">
            <v>นายอภิชัย แพงคำ</v>
          </cell>
          <cell r="D591" t="str">
            <v>เมืองกาฬสินธุ์</v>
          </cell>
          <cell r="E591" t="str">
            <v>กาฬสินธุ์</v>
          </cell>
          <cell r="F591" t="str">
            <v>Broker</v>
          </cell>
        </row>
        <row r="592">
          <cell r="C592" t="str">
            <v>นายอภิชาติ แพงคำ</v>
          </cell>
          <cell r="D592" t="str">
            <v>สามชัย</v>
          </cell>
          <cell r="E592" t="str">
            <v>กาฬสินธุ์</v>
          </cell>
          <cell r="F592" t="str">
            <v>Broker</v>
          </cell>
        </row>
        <row r="593">
          <cell r="C593" t="str">
            <v>นายอภิรเดช จรนามน</v>
          </cell>
          <cell r="D593" t="str">
            <v>นามน</v>
          </cell>
          <cell r="E593" t="str">
            <v>กาฬสินธุ์</v>
          </cell>
          <cell r="F593" t="str">
            <v>Broker</v>
          </cell>
        </row>
        <row r="594">
          <cell r="C594" t="str">
            <v>นายอภิรักษ์ ยุบลชู</v>
          </cell>
          <cell r="D594" t="str">
            <v>เมืองกาฬสินธุ์</v>
          </cell>
          <cell r="E594" t="str">
            <v>กาฬสินธุ์</v>
          </cell>
          <cell r="F594" t="str">
            <v>Farmer</v>
          </cell>
        </row>
        <row r="595">
          <cell r="C595" t="str">
            <v>นายอมร ชาวดง</v>
          </cell>
          <cell r="D595" t="str">
            <v>ดงหลวง</v>
          </cell>
          <cell r="E595" t="str">
            <v>มุกดาหาร</v>
          </cell>
          <cell r="F595" t="str">
            <v>Broker</v>
          </cell>
        </row>
        <row r="596">
          <cell r="C596" t="str">
            <v>นายอมร พัฒนสาร</v>
          </cell>
          <cell r="D596" t="str">
            <v>นามน</v>
          </cell>
          <cell r="E596" t="str">
            <v>กาฬสินธุ์</v>
          </cell>
          <cell r="F596" t="str">
            <v>Farmer</v>
          </cell>
        </row>
        <row r="597">
          <cell r="C597" t="str">
            <v>นายอรรถพล แน่นอุดร</v>
          </cell>
          <cell r="D597" t="str">
            <v>เมืองกาฬสินธุ์</v>
          </cell>
          <cell r="E597" t="str">
            <v>กาฬสินธุ์</v>
          </cell>
          <cell r="F597" t="str">
            <v>Broker</v>
          </cell>
        </row>
        <row r="598">
          <cell r="C598" t="str">
            <v>นายอ่อนจันทร์ น้อยชื่น</v>
          </cell>
          <cell r="D598" t="str">
            <v>เมืองกาฬสินธุ์</v>
          </cell>
          <cell r="E598" t="str">
            <v>กาฬสินธุ์</v>
          </cell>
          <cell r="F598" t="str">
            <v>Farmer</v>
          </cell>
        </row>
        <row r="599">
          <cell r="C599" t="str">
            <v>นายอัศดง ภูขำ</v>
          </cell>
          <cell r="D599" t="str">
            <v>สหัสขันธ์</v>
          </cell>
          <cell r="E599" t="str">
            <v>กาฬสินธุ์</v>
          </cell>
          <cell r="F599" t="str">
            <v>Farmer</v>
          </cell>
        </row>
        <row r="600">
          <cell r="C600" t="str">
            <v>นายอัศวิน สว่างทรวง</v>
          </cell>
          <cell r="D600" t="str">
            <v>เมืองกาฬสินธุ์</v>
          </cell>
          <cell r="E600" t="str">
            <v>กาฬสินธุ์</v>
          </cell>
          <cell r="F600" t="str">
            <v>Farmer</v>
          </cell>
        </row>
        <row r="601">
          <cell r="C601" t="str">
            <v>นายอัษฎาวุธ ชะริชน</v>
          </cell>
          <cell r="D601" t="str">
            <v>คำม่วง</v>
          </cell>
          <cell r="E601" t="str">
            <v>กาฬสินธุ์</v>
          </cell>
          <cell r="F601" t="str">
            <v>Farmer</v>
          </cell>
        </row>
        <row r="602">
          <cell r="C602" t="str">
            <v>นายอาคม ไชยเกรินทร์</v>
          </cell>
          <cell r="D602" t="str">
            <v>สหัสขันธ์</v>
          </cell>
          <cell r="E602" t="str">
            <v>กาฬสินธุ์</v>
          </cell>
          <cell r="F602" t="str">
            <v>Farmer</v>
          </cell>
        </row>
        <row r="603">
          <cell r="C603" t="str">
            <v>นายอาดุลเดช ภูวังแทบ</v>
          </cell>
          <cell r="D603" t="str">
            <v>เมืองกาฬสินธุ์</v>
          </cell>
          <cell r="E603" t="str">
            <v>กาฬสินธุ์</v>
          </cell>
          <cell r="F603" t="str">
            <v>Farmer</v>
          </cell>
        </row>
        <row r="604">
          <cell r="C604" t="str">
            <v>นายอาทิตย์ พันธ์ศรี</v>
          </cell>
          <cell r="D604" t="str">
            <v>เมยวดี</v>
          </cell>
          <cell r="E604" t="str">
            <v>ร้อยเอ็ด</v>
          </cell>
          <cell r="F604" t="str">
            <v>Farmer</v>
          </cell>
        </row>
        <row r="605">
          <cell r="C605" t="str">
            <v>นายอาทิตย์ พานสำราญ</v>
          </cell>
          <cell r="D605" t="str">
            <v>สมเด็จ</v>
          </cell>
          <cell r="E605" t="str">
            <v>กาฬสินธุ์</v>
          </cell>
          <cell r="F605" t="str">
            <v>Farmer</v>
          </cell>
        </row>
        <row r="606">
          <cell r="C606" t="str">
            <v>นายอารม คำหงษา</v>
          </cell>
          <cell r="D606" t="str">
            <v>เมืองกาฬสินธุ์</v>
          </cell>
          <cell r="E606" t="str">
            <v>กาฬสินธุ์</v>
          </cell>
          <cell r="F606" t="str">
            <v>Farmer</v>
          </cell>
        </row>
        <row r="607">
          <cell r="C607" t="str">
            <v>นายอำคา ระวิชัย</v>
          </cell>
          <cell r="D607" t="str">
            <v>สมเด็จ</v>
          </cell>
          <cell r="E607" t="str">
            <v>กาฬสินธุ์</v>
          </cell>
          <cell r="F607" t="str">
            <v>Farmer</v>
          </cell>
        </row>
        <row r="608">
          <cell r="C608" t="str">
            <v>นายอำพันธ์ กลมขันธ์</v>
          </cell>
          <cell r="D608" t="str">
            <v>เมืองกาฬสินธุ์</v>
          </cell>
          <cell r="E608" t="str">
            <v>กาฬสินธุ์</v>
          </cell>
          <cell r="F608" t="str">
            <v>Farmer</v>
          </cell>
        </row>
        <row r="609">
          <cell r="C609" t="str">
            <v>นายอุดม อวนวัง</v>
          </cell>
          <cell r="D609" t="str">
            <v>ดอนจาน</v>
          </cell>
          <cell r="E609" t="str">
            <v>กาฬสินธุ์</v>
          </cell>
          <cell r="F609" t="str">
            <v>Farmer</v>
          </cell>
        </row>
        <row r="610">
          <cell r="C610" t="str">
            <v>นายอุดร ศรีจรัญ</v>
          </cell>
          <cell r="D610" t="str">
            <v>เมืองกาฬสินธุ์</v>
          </cell>
          <cell r="E610" t="str">
            <v>กาฬสินธุ์</v>
          </cell>
          <cell r="F610" t="str">
            <v>Farmer</v>
          </cell>
        </row>
        <row r="611">
          <cell r="C611" t="str">
            <v>นายอุดร อันชัยศรี</v>
          </cell>
          <cell r="D611" t="str">
            <v>สมเด็จ</v>
          </cell>
          <cell r="E611" t="str">
            <v>กาฬสินธุ์</v>
          </cell>
          <cell r="F611" t="str">
            <v>Farmer</v>
          </cell>
        </row>
        <row r="612">
          <cell r="C612" t="str">
            <v>นายอุทัย โอละนำ</v>
          </cell>
          <cell r="D612" t="str">
            <v>สหัสขันธ์</v>
          </cell>
          <cell r="E612" t="str">
            <v>กาฬสินธุ์</v>
          </cell>
          <cell r="F612" t="str">
            <v>Farmer</v>
          </cell>
        </row>
        <row r="613">
          <cell r="C613" t="str">
            <v>นายเอกบุรุษ ภูละมุล</v>
          </cell>
          <cell r="D613" t="str">
            <v>สหัสขันธ์</v>
          </cell>
          <cell r="E613" t="str">
            <v>กาฬสินธุ์</v>
          </cell>
          <cell r="F613" t="str">
            <v>Farmer</v>
          </cell>
        </row>
        <row r="614">
          <cell r="C614" t="str">
            <v>นายเอกราช ทิพย์วงค์</v>
          </cell>
          <cell r="D614" t="str">
            <v>เมืองกาฬสินธุ์</v>
          </cell>
          <cell r="E614" t="str">
            <v>กาฬสินธุ์</v>
          </cell>
          <cell r="F614" t="str">
            <v>Farmer</v>
          </cell>
        </row>
        <row r="615">
          <cell r="C615" t="str">
            <v>นายเอกลักษณ์ พุดพารี</v>
          </cell>
          <cell r="D615" t="str">
            <v>เมืองกาฬสินธุ์</v>
          </cell>
          <cell r="E615" t="str">
            <v>กาฬสินธุ์</v>
          </cell>
          <cell r="F615" t="str">
            <v>Farmer</v>
          </cell>
        </row>
        <row r="616">
          <cell r="C616" t="str">
            <v>นายโอภาส ตรีกามน</v>
          </cell>
          <cell r="D616" t="str">
            <v>นามน</v>
          </cell>
          <cell r="E616" t="str">
            <v>กาฬสินธุ์</v>
          </cell>
          <cell r="F616" t="str">
            <v>Farmer</v>
          </cell>
        </row>
        <row r="617">
          <cell r="C617" t="str">
            <v>วิสาหกิจชุมชนกลุ่มผู้ปลูกมันสำปะหลังตำบ (Farmer)</v>
          </cell>
          <cell r="D617" t="str">
            <v>หนองกุงศรี</v>
          </cell>
          <cell r="E617" t="str">
            <v>กาฬสินธุ์</v>
          </cell>
          <cell r="F617" t="str">
            <v>Farmer</v>
          </cell>
        </row>
        <row r="618">
          <cell r="C618" t="str">
            <v>วิสาหกิจชุมชนกลุ่มผู้ปลูกมันสำปะหลังตำบ</v>
          </cell>
          <cell r="D618" t="str">
            <v>หนองกุงศรี</v>
          </cell>
          <cell r="E618" t="str">
            <v>กาฬสินธุ์</v>
          </cell>
          <cell r="F618" t="str">
            <v>Broker</v>
          </cell>
        </row>
        <row r="619">
          <cell r="C619" t="str">
            <v>สหกรณ์การเกษตรคำม่วง จำกัด (Farmer)</v>
          </cell>
          <cell r="D619" t="str">
            <v>คำม่วง</v>
          </cell>
          <cell r="E619" t="str">
            <v>กาฬสินธุ์</v>
          </cell>
          <cell r="F619" t="str">
            <v>Farmer</v>
          </cell>
        </row>
        <row r="620">
          <cell r="C620" t="str">
            <v>สหกรณ์การเกษตรคำม่วง จำกัด</v>
          </cell>
          <cell r="D620" t="str">
            <v>คำม่วง</v>
          </cell>
          <cell r="E620" t="str">
            <v>กาฬสินธุ์</v>
          </cell>
          <cell r="F620" t="str">
            <v>Broker</v>
          </cell>
        </row>
        <row r="621">
          <cell r="C621" t="str">
            <v>สหกรณ์การเกษตรดงพยุง จำกัด</v>
          </cell>
          <cell r="D621" t="str">
            <v>เมืองกาฬสินธุ์</v>
          </cell>
          <cell r="E621" t="str">
            <v>กาฬสินธุ์</v>
          </cell>
          <cell r="F621" t="str">
            <v>Farmer</v>
          </cell>
        </row>
        <row r="622">
          <cell r="C622" t="str">
            <v>นายทอง ทองคำแสง</v>
          </cell>
          <cell r="D622" t="str">
            <v>เมืองกาฬสินธุ์</v>
          </cell>
          <cell r="E622" t="str">
            <v>กาฬสินธุ์</v>
          </cell>
          <cell r="F622" t="str">
            <v>Farmer</v>
          </cell>
        </row>
        <row r="623">
          <cell r="C623" t="str">
            <v>นายสาคร บังขุนทศ</v>
          </cell>
          <cell r="D623" t="str">
            <v>สมเด็จ</v>
          </cell>
          <cell r="E623" t="str">
            <v>กาฬสินธุ์</v>
          </cell>
          <cell r="F623" t="str">
            <v>Farmer</v>
          </cell>
        </row>
        <row r="624">
          <cell r="C624" t="str">
            <v>นายสวาท สระทอง</v>
          </cell>
          <cell r="D624" t="str">
            <v>คำม่วง</v>
          </cell>
          <cell r="E624" t="str">
            <v>กาฬสินธุ์</v>
          </cell>
          <cell r="F624" t="str">
            <v>Farmer</v>
          </cell>
        </row>
        <row r="625">
          <cell r="C625" t="str">
            <v>นายอลากรณ์ เจียมตัว</v>
          </cell>
          <cell r="D625" t="str">
            <v>กุฉินารายณ์</v>
          </cell>
          <cell r="E625" t="str">
            <v>กาฬสินธุ์</v>
          </cell>
          <cell r="F625" t="str">
            <v>Farmer</v>
          </cell>
        </row>
        <row r="626">
          <cell r="C626" t="str">
            <v>นายสุระชัย ภูกงลี</v>
          </cell>
          <cell r="D626" t="str">
            <v>สหัสขันธ์</v>
          </cell>
          <cell r="E626" t="str">
            <v>กาฬสินธุ์</v>
          </cell>
          <cell r="F626" t="str">
            <v>Farmer</v>
          </cell>
        </row>
        <row r="627">
          <cell r="C627" t="str">
            <v>นายเสริมพล ทองอาสน์</v>
          </cell>
          <cell r="D627" t="str">
            <v>นามน</v>
          </cell>
          <cell r="E627" t="str">
            <v>กาฬสินธุ์</v>
          </cell>
          <cell r="F627" t="str">
            <v>Farmer</v>
          </cell>
        </row>
        <row r="628">
          <cell r="C628" t="str">
            <v>นางอุราวัล อัศวภูมิ</v>
          </cell>
          <cell r="D628" t="str">
            <v>หนองกุงศรี</v>
          </cell>
          <cell r="E628" t="str">
            <v>กาฬสินธุ์</v>
          </cell>
          <cell r="F628" t="str">
            <v>Farmer</v>
          </cell>
        </row>
        <row r="629">
          <cell r="C629" t="str">
            <v>นายชัยพล บรรเจิด</v>
          </cell>
          <cell r="D629" t="str">
            <v>เมืองกาฬสินธุ์</v>
          </cell>
          <cell r="E629" t="str">
            <v>กาฬสินธุ์</v>
          </cell>
          <cell r="F629" t="str">
            <v>Farmer</v>
          </cell>
        </row>
        <row r="630">
          <cell r="C630" t="str">
            <v>นายถนอม คำหงษา</v>
          </cell>
          <cell r="D630" t="str">
            <v>เมืองกาฬสินธุ์</v>
          </cell>
          <cell r="E630" t="str">
            <v>กาฬสินธุ์</v>
          </cell>
          <cell r="F630" t="str">
            <v>Farmer</v>
          </cell>
        </row>
        <row r="631">
          <cell r="C631" t="str">
            <v>นางสาวเนตนภา พานมุงคุณ</v>
          </cell>
          <cell r="D631" t="str">
            <v>เมืองกาฬสินธุ์</v>
          </cell>
          <cell r="E631" t="str">
            <v>กาฬสินธุ์</v>
          </cell>
          <cell r="F631" t="str">
            <v>Farmer</v>
          </cell>
        </row>
        <row r="632">
          <cell r="C632" t="str">
            <v>นายประจวบ นาดี</v>
          </cell>
          <cell r="D632" t="str">
            <v>หนองกุงศรี</v>
          </cell>
          <cell r="E632" t="str">
            <v>กาฬสินธุ์</v>
          </cell>
          <cell r="F632" t="str">
            <v>Farmer</v>
          </cell>
        </row>
        <row r="633">
          <cell r="C633" t="str">
            <v>นางตุ๊กตา นามมุงคุณ</v>
          </cell>
          <cell r="D633" t="str">
            <v>เมืองกาฬสินธุ์</v>
          </cell>
          <cell r="E633" t="str">
            <v>กาฬสินธุ์</v>
          </cell>
          <cell r="F633" t="str">
            <v>Farmer</v>
          </cell>
        </row>
        <row r="634">
          <cell r="C634" t="str">
            <v>นายสัมฤทธิ์ บัวไถล</v>
          </cell>
          <cell r="D634" t="str">
            <v>เสนางคนิคม</v>
          </cell>
          <cell r="E634" t="str">
            <v>อำนาจเจริญ</v>
          </cell>
          <cell r="F634" t="str">
            <v>Broker</v>
          </cell>
        </row>
        <row r="635">
          <cell r="C635" t="str">
            <v>นางใบสี คำพวงค์</v>
          </cell>
          <cell r="D635" t="str">
            <v>เมืองกาฬสินธุ์</v>
          </cell>
          <cell r="E635" t="str">
            <v>กาฬสินธุ์</v>
          </cell>
          <cell r="F635" t="str">
            <v>Farmer</v>
          </cell>
        </row>
        <row r="636">
          <cell r="C636" t="str">
            <v>นายโชคดี เขตชมภู</v>
          </cell>
          <cell r="D636" t="str">
            <v>โพนทอง</v>
          </cell>
          <cell r="E636" t="str">
            <v>ร้อยเอ็ด</v>
          </cell>
          <cell r="F636" t="str">
            <v>Broker</v>
          </cell>
        </row>
        <row r="637">
          <cell r="C637" t="str">
            <v>นางสาวสุนิตา แสนสมบัติ</v>
          </cell>
          <cell r="D637" t="str">
            <v>หนองกุงศรี</v>
          </cell>
          <cell r="E637" t="str">
            <v>กาฬสินธุ์</v>
          </cell>
          <cell r="F637" t="str">
            <v>Farmer</v>
          </cell>
        </row>
        <row r="638">
          <cell r="C638" t="str">
            <v>นางสาวนันทิชา แจนอก</v>
          </cell>
          <cell r="D638" t="str">
            <v>กระนวน</v>
          </cell>
          <cell r="E638" t="str">
            <v>ขอนแก่น</v>
          </cell>
          <cell r="F638" t="str">
            <v>Broker</v>
          </cell>
        </row>
        <row r="639">
          <cell r="C639" t="str">
            <v>นายชาญชัย หงษ์โยธี</v>
          </cell>
          <cell r="D639" t="str">
            <v>ห้วยเม็ก</v>
          </cell>
          <cell r="E639" t="str">
            <v>กาฬสินธุ์</v>
          </cell>
          <cell r="F639" t="str">
            <v>Broker</v>
          </cell>
        </row>
        <row r="640">
          <cell r="C640" t="str">
            <v>นางสาวปัฐน์ธันญา นิยมธรรม</v>
          </cell>
          <cell r="D640" t="str">
            <v>ยางตลาด</v>
          </cell>
          <cell r="E640" t="str">
            <v>กาฬสินธุ์</v>
          </cell>
          <cell r="F640" t="str">
            <v>Broker</v>
          </cell>
        </row>
        <row r="641">
          <cell r="C641" t="str">
            <v>นายนิพนธ์ แก้วถาวร</v>
          </cell>
          <cell r="D641" t="str">
            <v>นามน</v>
          </cell>
          <cell r="E641" t="str">
            <v>กาฬสินธุ์</v>
          </cell>
          <cell r="F641" t="str">
            <v>Farmer</v>
          </cell>
        </row>
        <row r="642">
          <cell r="C642" t="str">
            <v>นางสาวรัชญา เตชะผล</v>
          </cell>
          <cell r="D642" t="str">
            <v>กุมภวาปี</v>
          </cell>
          <cell r="E642" t="str">
            <v>อุดรธานี</v>
          </cell>
          <cell r="F642" t="str">
            <v>Broker</v>
          </cell>
        </row>
        <row r="643">
          <cell r="C643" t="str">
            <v>นายไพฑูล มณีโคตร</v>
          </cell>
          <cell r="D643" t="str">
            <v>สหัสขันธ์</v>
          </cell>
          <cell r="E643" t="str">
            <v>กาฬสินธุ์</v>
          </cell>
          <cell r="F643" t="str">
            <v>Farmer</v>
          </cell>
        </row>
        <row r="644">
          <cell r="C644" t="str">
            <v>นางสาวธิวานิตย์ จันทร์สามารถ</v>
          </cell>
          <cell r="D644" t="str">
            <v>เมืองกาฬสินธุ์</v>
          </cell>
          <cell r="E644" t="str">
            <v>กาฬสินธุ์</v>
          </cell>
          <cell r="F644" t="str">
            <v>Farmer</v>
          </cell>
        </row>
        <row r="645">
          <cell r="C645" t="str">
            <v>นางสาวปวีณา ภานุรักษ์</v>
          </cell>
          <cell r="D645" t="str">
            <v>สหัสขันธ์</v>
          </cell>
          <cell r="E645" t="str">
            <v>กาฬสินธุ์</v>
          </cell>
          <cell r="F645" t="str">
            <v>Farmer</v>
          </cell>
        </row>
        <row r="646">
          <cell r="C646" t="str">
            <v>นางสาวลลิตา ชาบรรดิษฐ์</v>
          </cell>
          <cell r="D646" t="str">
            <v>เมืองกาฬสินธุ์</v>
          </cell>
          <cell r="E646" t="str">
            <v>กาฬสินธุ์</v>
          </cell>
          <cell r="F646" t="str">
            <v>Farmer</v>
          </cell>
        </row>
        <row r="647">
          <cell r="C647" t="str">
            <v>นางสาวบัณฑิตา บุริภักดิ์</v>
          </cell>
          <cell r="D647" t="str">
            <v>วังสามหมอ</v>
          </cell>
          <cell r="E647" t="str">
            <v>อุดรธานี</v>
          </cell>
          <cell r="F647" t="str">
            <v>Broker</v>
          </cell>
        </row>
        <row r="648">
          <cell r="C648" t="str">
            <v>นายกฤษฎางษ์ ไชยสา</v>
          </cell>
          <cell r="D648" t="str">
            <v>เมืองกาฬสินธุ์</v>
          </cell>
          <cell r="E648" t="str">
            <v>กาฬสินธุ์</v>
          </cell>
          <cell r="F648" t="str">
            <v>Farmer</v>
          </cell>
        </row>
        <row r="649">
          <cell r="C649" t="str">
            <v>นางสมพร เขตรบุญพร้อม</v>
          </cell>
          <cell r="D649" t="str">
            <v>สมเด็จ</v>
          </cell>
          <cell r="E649" t="str">
            <v>กาฬสินธุ์</v>
          </cell>
          <cell r="F649" t="str">
            <v>Farmer</v>
          </cell>
        </row>
        <row r="650">
          <cell r="C650" t="str">
            <v>นางวนิดา เอกวงษา</v>
          </cell>
          <cell r="D650" t="str">
            <v>วังสามหมอ</v>
          </cell>
          <cell r="E650" t="str">
            <v>อุดรธานี</v>
          </cell>
          <cell r="F650" t="str">
            <v>Broker</v>
          </cell>
        </row>
        <row r="651">
          <cell r="C651" t="str">
            <v>นางสาวณัฎฐนิษฐ์ วรานิชานนต์</v>
          </cell>
          <cell r="D651" t="str">
            <v>ศรีธาตุ</v>
          </cell>
          <cell r="E651" t="str">
            <v>อุดรธานี</v>
          </cell>
          <cell r="F651" t="str">
            <v>Broker</v>
          </cell>
        </row>
        <row r="652">
          <cell r="C652" t="str">
            <v>นายเอกนัฐ ศิลาพัฒน์</v>
          </cell>
          <cell r="D652" t="str">
            <v>สมเด็จ</v>
          </cell>
          <cell r="E652" t="str">
            <v>กาฬสินธุ์</v>
          </cell>
          <cell r="F652" t="str">
            <v>Farmer</v>
          </cell>
        </row>
        <row r="653">
          <cell r="C653" t="str">
            <v>นายภานุมาศ ศรีบุรัมย์</v>
          </cell>
          <cell r="D653" t="str">
            <v>เมืองกาฬสินธุ์</v>
          </cell>
          <cell r="E653" t="str">
            <v>กาฬสินธุ์</v>
          </cell>
          <cell r="F653" t="str">
            <v>Farmer</v>
          </cell>
        </row>
        <row r="654">
          <cell r="C654" t="str">
            <v>นายจิรวัฒน์ เนตรเสนา</v>
          </cell>
          <cell r="D654" t="str">
            <v>สมเด็จ</v>
          </cell>
          <cell r="E654" t="str">
            <v>กาฬสินธุ์</v>
          </cell>
          <cell r="F654" t="str">
            <v>Farmer</v>
          </cell>
        </row>
        <row r="655">
          <cell r="C655" t="str">
            <v>นางสาววรรณวิภา จันทร์โฮม</v>
          </cell>
          <cell r="D655" t="str">
            <v>เมืองกาฬสินธุ์</v>
          </cell>
          <cell r="E655" t="str">
            <v>กาฬสินธุ์</v>
          </cell>
          <cell r="F655" t="str">
            <v>Farmer</v>
          </cell>
        </row>
        <row r="656">
          <cell r="C656" t="str">
            <v>นางสาวกรทิพย์ หมานจันทร์</v>
          </cell>
          <cell r="D656" t="str">
            <v>โกสุมพิสัย</v>
          </cell>
          <cell r="E656" t="str">
            <v>มหาสารคาม</v>
          </cell>
          <cell r="F656" t="str">
            <v>Broker</v>
          </cell>
        </row>
        <row r="657">
          <cell r="C657" t="str">
            <v>นางสาวเกศรา บัวทอง</v>
          </cell>
          <cell r="D657" t="str">
            <v>น้ำพอง</v>
          </cell>
          <cell r="E657" t="str">
            <v>ขอนแก่น</v>
          </cell>
          <cell r="F657" t="str">
            <v>Broker</v>
          </cell>
        </row>
        <row r="658">
          <cell r="C658" t="str">
            <v>นางนีรัตน์ ถานทนดี</v>
          </cell>
          <cell r="D658" t="str">
            <v>บ้านม่วง</v>
          </cell>
          <cell r="E658" t="str">
            <v>สกลนคร</v>
          </cell>
          <cell r="F658" t="str">
            <v>Broker</v>
          </cell>
        </row>
        <row r="659">
          <cell r="C659" t="str">
            <v>นายนันทวัฒน์ ชัยลิ้นฟ้า</v>
          </cell>
          <cell r="D659" t="str">
            <v>กระนวน</v>
          </cell>
          <cell r="E659" t="str">
            <v>ขอนแก่น</v>
          </cell>
          <cell r="F659" t="str">
            <v>Broker</v>
          </cell>
        </row>
        <row r="660">
          <cell r="C660" t="str">
            <v>นายไพเพชร อวนวัง</v>
          </cell>
          <cell r="D660" t="str">
            <v>ดงหลวง</v>
          </cell>
          <cell r="E660" t="str">
            <v>มุกดาหาร</v>
          </cell>
          <cell r="F660" t="str">
            <v>Broker</v>
          </cell>
        </row>
        <row r="661">
          <cell r="C661" t="str">
            <v>นางพิชญาภา สาสังข์</v>
          </cell>
          <cell r="D661" t="str">
            <v>วังสามหมอ</v>
          </cell>
          <cell r="E661" t="str">
            <v>อุดรธานี</v>
          </cell>
          <cell r="F661" t="str">
            <v>Broker</v>
          </cell>
        </row>
        <row r="662">
          <cell r="C662" t="str">
            <v>นางธัญวรรณ แสงไพรินทร์</v>
          </cell>
          <cell r="D662" t="str">
            <v xml:space="preserve">เมืองหนองบัวลำภู </v>
          </cell>
          <cell r="E662" t="str">
            <v>หนองบัวลำภู</v>
          </cell>
          <cell r="F662" t="str">
            <v>Broker</v>
          </cell>
        </row>
        <row r="663">
          <cell r="C663" t="str">
            <v>นายปัญญา สุวรรณธาดา</v>
          </cell>
          <cell r="D663" t="str">
            <v>หนองกุงศรี</v>
          </cell>
          <cell r="E663" t="str">
            <v>กาฬสินธุ์</v>
          </cell>
          <cell r="F663" t="str">
            <v>Broker</v>
          </cell>
        </row>
        <row r="664">
          <cell r="C664" t="str">
            <v>นางนิภา อันธพันธ์</v>
          </cell>
          <cell r="D664" t="str">
            <v>พัฒนานิคม</v>
          </cell>
          <cell r="E664" t="str">
            <v>ลพบุรี</v>
          </cell>
          <cell r="F664" t="str">
            <v>Broker</v>
          </cell>
        </row>
        <row r="665">
          <cell r="C665" t="str">
            <v>นางสาวอมริสา ลือเทพ</v>
          </cell>
          <cell r="D665" t="str">
            <v>เมืองสุรินท์</v>
          </cell>
          <cell r="E665" t="str">
            <v>สุรินทร์</v>
          </cell>
          <cell r="F665" t="str">
            <v>Broker</v>
          </cell>
        </row>
        <row r="666">
          <cell r="C666" t="str">
            <v>นางสาวชเนษฎาภา เชื่อมมะลัง</v>
          </cell>
          <cell r="D666" t="str">
            <v>เฉลิมพระเกียรติ</v>
          </cell>
          <cell r="E666" t="str">
            <v>นครราชสีมา</v>
          </cell>
          <cell r="F666" t="str">
            <v>Broker</v>
          </cell>
        </row>
        <row r="667">
          <cell r="C667" t="str">
            <v>นายรัฐกรณ์ สมปู่</v>
          </cell>
          <cell r="D667" t="str">
            <v>จัตุรัส</v>
          </cell>
          <cell r="E667" t="str">
            <v>ชัยภูมิ</v>
          </cell>
          <cell r="F667" t="str">
            <v>Broker</v>
          </cell>
        </row>
        <row r="668">
          <cell r="C668" t="str">
            <v>นางสาวพัชรินทร์ แก้วขอนแก่น</v>
          </cell>
          <cell r="D668" t="str">
            <v>โพธิ์ชัย</v>
          </cell>
          <cell r="E668" t="str">
            <v>ร้อยเอ็ด</v>
          </cell>
          <cell r="F668" t="str">
            <v>Broker</v>
          </cell>
        </row>
        <row r="669">
          <cell r="C669" t="str">
            <v>นางสาวปราณี ไหดงยาง</v>
          </cell>
          <cell r="D669" t="str">
            <v>เมืองมหาสารคาม</v>
          </cell>
          <cell r="E669" t="str">
            <v>มหาสารคาม</v>
          </cell>
          <cell r="F669" t="str">
            <v>Broker</v>
          </cell>
        </row>
        <row r="670">
          <cell r="C670" t="str">
            <v>นายอนันต์ เอกคำพันธ์</v>
          </cell>
          <cell r="D670" t="str">
            <v>เขาสวนกวาง</v>
          </cell>
          <cell r="E670" t="str">
            <v>ขอนแก่น</v>
          </cell>
          <cell r="F670" t="str">
            <v>Broker</v>
          </cell>
        </row>
        <row r="671">
          <cell r="C671" t="str">
            <v>นายวิลัย มิ่งคำ</v>
          </cell>
          <cell r="D671" t="str">
            <v>สมเด็จ</v>
          </cell>
          <cell r="E671" t="str">
            <v>กาฬสินธุ์</v>
          </cell>
          <cell r="F671" t="str">
            <v>Farmer</v>
          </cell>
        </row>
        <row r="672">
          <cell r="C672" t="str">
            <v>นางสาวชุติมันต์ บริเดช</v>
          </cell>
          <cell r="D672" t="str">
            <v>สามชัย</v>
          </cell>
          <cell r="E672" t="str">
            <v>กาฬสินธุ์</v>
          </cell>
          <cell r="F672" t="str">
            <v>Broker</v>
          </cell>
        </row>
        <row r="673">
          <cell r="C673" t="str">
            <v>นายสามารถ พิทักษา</v>
          </cell>
          <cell r="D673" t="str">
            <v>กระนวน</v>
          </cell>
          <cell r="E673" t="str">
            <v>ขอนแก่น</v>
          </cell>
          <cell r="F673" t="str">
            <v>Broker</v>
          </cell>
        </row>
        <row r="674">
          <cell r="C674" t="str">
            <v>นายเสาร์ ผิวบาง</v>
          </cell>
          <cell r="D674" t="str">
            <v>ดอนจาน</v>
          </cell>
          <cell r="E674" t="str">
            <v>กาฬสินธุ์</v>
          </cell>
          <cell r="F674" t="str">
            <v>Farmer</v>
          </cell>
        </row>
        <row r="675">
          <cell r="C675" t="str">
            <v>นายพุทธี ไชยคำมิ่ง</v>
          </cell>
          <cell r="D675" t="str">
            <v>สมเด็จ</v>
          </cell>
          <cell r="E675" t="str">
            <v>กาฬสินธุ์</v>
          </cell>
          <cell r="F675" t="str">
            <v>Farmer</v>
          </cell>
        </row>
        <row r="676">
          <cell r="C676" t="str">
            <v>นายอุดม ไร่วิเศษ</v>
          </cell>
          <cell r="D676" t="str">
            <v>สมเด็จ</v>
          </cell>
          <cell r="E676" t="str">
            <v>กาฬสินธุ์</v>
          </cell>
          <cell r="F676" t="str">
            <v>Farmer</v>
          </cell>
        </row>
        <row r="677">
          <cell r="C677" t="str">
            <v>นางสุกัญญา ศรีคิรินทร์</v>
          </cell>
          <cell r="D677" t="str">
            <v>คำม่วง</v>
          </cell>
          <cell r="E677" t="str">
            <v>กาฬสินธุ์</v>
          </cell>
          <cell r="F677" t="str">
            <v>Farmer</v>
          </cell>
        </row>
        <row r="678">
          <cell r="C678" t="str">
            <v>นางสุปราณี พันธะรี</v>
          </cell>
          <cell r="D678" t="str">
            <v>วังสามหมอ</v>
          </cell>
          <cell r="E678" t="str">
            <v>อุดรธานี</v>
          </cell>
          <cell r="F678" t="str">
            <v>Broker</v>
          </cell>
        </row>
        <row r="679">
          <cell r="C679" t="str">
            <v>นายสัญญารัก แสนสุด</v>
          </cell>
          <cell r="D679" t="str">
            <v>กุฉินารายณ์</v>
          </cell>
          <cell r="E679" t="str">
            <v>กาฬสินธุ์</v>
          </cell>
          <cell r="F679" t="str">
            <v>Broker</v>
          </cell>
        </row>
        <row r="680">
          <cell r="C680" t="str">
            <v>นางสาวพิมพ์ชิชาภา ภาวรรณลักษณ์</v>
          </cell>
          <cell r="D680" t="str">
            <v>สามชัย</v>
          </cell>
          <cell r="E680" t="str">
            <v>กาฬสินธุ์</v>
          </cell>
          <cell r="F680" t="str">
            <v>Broker</v>
          </cell>
        </row>
        <row r="681">
          <cell r="C681" t="str">
            <v>นางบุญรอด บุญเข็ม</v>
          </cell>
          <cell r="D681" t="str">
            <v>นาจารย์</v>
          </cell>
          <cell r="E681" t="str">
            <v>กาฬสินธุ์</v>
          </cell>
          <cell r="F681" t="str">
            <v>Farmer</v>
          </cell>
        </row>
        <row r="682">
          <cell r="C682" t="str">
            <v>นางสาวลดาวัลย์ แสนนาเรียง</v>
          </cell>
          <cell r="D682" t="str">
            <v>นามน</v>
          </cell>
          <cell r="E682" t="str">
            <v>กาฬสินธุ์</v>
          </cell>
          <cell r="F682" t="str">
            <v>Broker</v>
          </cell>
        </row>
        <row r="683">
          <cell r="C683" t="str">
            <v>นางจิระนันท์ เปลือยหนองแข้</v>
          </cell>
          <cell r="D683" t="str">
            <v>สมเด็จ</v>
          </cell>
          <cell r="E683" t="str">
            <v>กาฬสินธุ์</v>
          </cell>
          <cell r="F683" t="str">
            <v>Farmer</v>
          </cell>
        </row>
        <row r="684">
          <cell r="C684" t="str">
            <v>นายธีรสุวัฒน์ วัฒนาศักดิ์</v>
          </cell>
          <cell r="D684" t="str">
            <v>ลานสัก</v>
          </cell>
          <cell r="E684" t="str">
            <v>อุทัยธานี</v>
          </cell>
          <cell r="F684" t="str">
            <v>Broker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ipment Info"/>
      <sheetName val="SK summary report support"/>
      <sheetName val="KSN summary report support"/>
      <sheetName val="SK on YTD 23 _ Separate"/>
      <sheetName val="SK on YTD 23 _ Regular+Waxy"/>
      <sheetName val="Waxy transferred 2023-SK"/>
      <sheetName val="Regular transferred 2023-SK"/>
      <sheetName val="SK Regular Manually on Y2023"/>
      <sheetName val="KSN on YTD 23 _ Separate"/>
      <sheetName val="KSN on YTD 23 _ Regular"/>
      <sheetName val="Instructions"/>
      <sheetName val="2 LETTER COUNTRY INFO"/>
      <sheetName val="Drop Down Lists (Don't edi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CF73C6-02FA-4683-BA30-CF61A64B7EA3}" name="T_raw.KPI.SK" displayName="T_raw.KPI.SK" ref="A1:T49" totalsRowShown="0" headerRowDxfId="54" dataDxfId="53" headerRowCellStyle="Comma">
  <autoFilter ref="A1:T49" xr:uid="{F7CF73C6-02FA-4683-BA30-CF61A64B7EA3}"/>
  <tableColumns count="20">
    <tableColumn id="1" xr3:uid="{35417428-99C9-48BC-A721-829BC84D7830}" name="Year" dataDxfId="52"/>
    <tableColumn id="2" xr3:uid="{E4EE42A5-C5A4-4EDC-971C-ACDA028B72EA}" name="Month" dataDxfId="51"/>
    <tableColumn id="3" xr3:uid="{A9D8801E-C9BE-4885-9A6D-754D4B13CD59}" name="Plant" dataDxfId="50"/>
    <tableColumn id="17" xr3:uid="{B08FB535-1C6A-4CE5-B015-542B310B9A9F}" name="LE0 PPDS, THB/kg" dataDxfId="49" dataCellStyle="Comma"/>
    <tableColumn id="18" xr3:uid="{85C215BF-877E-4772-9E5B-FA6BF25C5C74}" name="LV PPDS, THB/kg" dataDxfId="48" dataCellStyle="Comma"/>
    <tableColumn id="13" xr3:uid="{132D5622-91D6-4DB5-BC55-7C50B3F95755}" name="Act. PPDS, THB/kg" dataDxfId="47" dataCellStyle="Comma"/>
    <tableColumn id="12" xr3:uid="{362A18EC-0A74-4D7F-9D45-CD9B427A2C35}" name="TTSA Price" dataDxfId="46" dataCellStyle="Percent"/>
    <tableColumn id="5" xr3:uid="{AC746EE8-669E-4BD4-8272-75F760234B30}" name="Act. PPDS cost against TTSA, THB/kg" dataDxfId="45" dataCellStyle="Comma">
      <calculatedColumnFormula>T_raw.KPI.SK[[#This Row],[TTSA Price]]-T_raw.KPI.SK[[#This Row],[Act. PPDS, THB/kg]]</calculatedColumnFormula>
    </tableColumn>
    <tableColumn id="4" xr3:uid="{69A7F05E-499E-4566-BDCF-12A323EED0C4}" name="Est. PPDS cost against TTSA, THB/kg" dataDxfId="44" dataCellStyle="Comma"/>
    <tableColumn id="6" xr3:uid="{91E14547-DED3-4A9E-9856-7EDA82C5E4D9}" name="Est. PPDS accuracy, %" dataDxfId="43" dataCellStyle="Percent"/>
    <tableColumn id="7" xr3:uid="{E1F13B5A-4A7C-4775-A832-539ED64AD39A}" name="Act. PPDS accuracy, %" dataDxfId="42" dataCellStyle="Percent"/>
    <tableColumn id="15" xr3:uid="{ECA0A536-D1C3-4A4B-8E23-086EE24D1BE8}" name="LE0 Starch content, %" dataDxfId="41" dataCellStyle="Comma"/>
    <tableColumn id="16" xr3:uid="{FBF64BD5-79FA-470B-80CD-DA738B0ED7B0}" name="LV Starch content, %" dataDxfId="40" dataCellStyle="Comma"/>
    <tableColumn id="14" xr3:uid="{F5039849-7475-4929-BF26-EA9C159B289E}" name="Act. Starch content, %" dataDxfId="39" dataCellStyle="Percent"/>
    <tableColumn id="19" xr3:uid="{14B58E84-91C4-4D67-8A6A-C158FDC13C54}" name="LE0 Price THB/kg" dataDxfId="38" dataCellStyle="Percent"/>
    <tableColumn id="20" xr3:uid="{EC8F92B9-A3E4-45D1-867F-68C739C1289E}" name="LV Price THB/kg" dataDxfId="37" dataCellStyle="Percent"/>
    <tableColumn id="21" xr3:uid="{5025FC9F-E817-4EA2-84A7-68A2629CADCA}" name="Act. Price THB/kg" dataDxfId="36" dataCellStyle="Percent"/>
    <tableColumn id="8" xr3:uid="{846E34D5-0D60-47BC-90A3-8C7E6ACF8E0B}" name="Est. Farmer contribution , %" dataDxfId="35" dataCellStyle="Comma"/>
    <tableColumn id="9" xr3:uid="{07AF2D66-8D40-466F-879C-76065256C1BC}" name="Est. impurity, %" dataDxfId="34" dataCellStyle="Comma"/>
    <tableColumn id="11" xr3:uid="{923AB959-B0B0-42EE-A844-736FBAD8DFC5}" name="Act. impurity, %" dataDxfId="33" dataCellStyle="Comma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83A949-2E7A-4585-A81D-66D838A6104B}" name="T_raw.vol.SK6" displayName="T_raw.vol.SK6" ref="A1:E49" totalsRowShown="0" headerRowDxfId="9" dataDxfId="8">
  <autoFilter ref="A1:E49" xr:uid="{6186166B-F2DA-416C-B1CB-89C84AF69CDB}"/>
  <tableColumns count="5">
    <tableColumn id="1" xr3:uid="{0F322213-C59B-43FF-840B-E07E39FFDD46}" name="Year" dataDxfId="7"/>
    <tableColumn id="2" xr3:uid="{27A94543-76FE-4584-9CBC-94C9E80A4F66}" name="Month" dataDxfId="6"/>
    <tableColumn id="4" xr3:uid="{FE7E9CD3-BED3-4E1C-BFF3-B56362E040DD}" name="Broker volume, tons" dataDxfId="5" dataCellStyle="Comma"/>
    <tableColumn id="5" xr3:uid="{6CB5B783-60BE-4B1D-A51D-29B856008E73}" name="Farmer volume, tons" dataDxfId="4" dataCellStyle="Comma"/>
    <tableColumn id="6" xr3:uid="{A0BC33CE-1A6A-4820-9C61-F424F52BA16E}" name="Regular volume, tons" dataDxfId="3" dataCellStyle="Comma">
      <calculatedColumnFormula>T_raw.vol.SK6[[#This Row],[Broker volume, tons]]+T_raw.vol.SK6[[#This Row],[Farmer volume, tons]]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6A2FE6-F750-452C-9E6F-84F7311EC391}" name="Table3" displayName="Table3" ref="A2:N7286" totalsRowShown="0" headerRowDxfId="24" dataDxfId="23" headerRowCellStyle="Comma" dataCellStyle="Comma">
  <autoFilter ref="A2:N7286" xr:uid="{94D747E9-CA0B-4560-8C1A-B53D15646C56}"/>
  <tableColumns count="14">
    <tableColumn id="1" xr3:uid="{11D7A4E7-E47A-4779-9980-0F659E17DC78}" name="Year" dataDxfId="22"/>
    <tableColumn id="2" xr3:uid="{504FAE4B-9FC6-4CCE-A1B5-6C91FBE7A9DB}" name="Month" dataDxfId="21"/>
    <tableColumn id="4" xr3:uid="{67156E56-6AA7-479A-93A2-DAC5EFCD71F1}" name="Roots type" dataDxfId="20"/>
    <tableColumn id="5" xr3:uid="{5C613CD9-3794-4525-ABAF-466983A4A586}" name="Vendor type" dataDxfId="19"/>
    <tableColumn id="6" xr3:uid="{E2DD55EE-CFD7-4DB3-8D29-EB7EC918BAE1}" name="Vendor"/>
    <tableColumn id="13" xr3:uid="{AB1B662F-62D9-4714-BCC4-1ACCBCB23F6A}" name="District" dataDxfId="18">
      <calculatedColumnFormula>VLOOKUP(Table3[[#This Row],[Vendor]],'[2]KSN on YTD 23 _ Regular'!$A$6:$D$494,4,0)</calculatedColumnFormula>
    </tableColumn>
    <tableColumn id="14" xr3:uid="{27CF7361-A938-4733-92EB-11EC40C268DB}" name="Province" dataDxfId="17">
      <calculatedColumnFormula>VLOOKUP(Table3[[#This Row],[Vendor]],'[2]KSN on YTD 23 _ Regular'!$A$6:$E$494,5,0)</calculatedColumnFormula>
    </tableColumn>
    <tableColumn id="7" xr3:uid="{FB5E6F83-F24F-4F8C-80BB-A1A9835D1EE7}" name="Volume, kg." dataDxfId="16" dataCellStyle="Comma"/>
    <tableColumn id="15" xr3:uid="{B5EA801D-8517-4FBD-B733-0DAB749E9715}" name="Volume, MT" dataDxfId="15" dataCellStyle="Comma">
      <calculatedColumnFormula>Table3[[#This Row],[Volume, kg.]]/1000</calculatedColumnFormula>
    </tableColumn>
    <tableColumn id="8" xr3:uid="{C557DF21-56C7-4044-8483-4CFC7C285CB9}" name="Starch content" dataDxfId="14" dataCellStyle="Comma"/>
    <tableColumn id="9" xr3:uid="{CB2A4F54-3BAB-4AD1-8233-499FA852BDDB}" name="Weigh starch" dataDxfId="13" dataCellStyle="Comma">
      <calculatedColumnFormula>H3*J3</calculatedColumnFormula>
    </tableColumn>
    <tableColumn id="10" xr3:uid="{3BD26971-B04A-4C10-A719-C1828EA3A66D}" name="Price" dataDxfId="12" dataCellStyle="Comma"/>
    <tableColumn id="11" xr3:uid="{721D0696-B7CE-4FD7-AF94-FA05F1834696}" name="Amount" dataDxfId="11" dataCellStyle="Comma"/>
    <tableColumn id="12" xr3:uid="{BBE2695C-6D9D-4B78-BEF0-B8F6D564DE59}" name="PPDS" dataDxfId="10" dataCellStyle="Comma">
      <calculatedColumnFormula>L3/J3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287C3-BF35-4EDB-80A0-57141AC8FE60}" name="Table2" displayName="Table2" ref="A1:E684" totalsRowShown="0" headerRowDxfId="2">
  <autoFilter ref="A1:E684" xr:uid="{9136C85C-30AA-434F-930F-67FFB1BF3E77}"/>
  <tableColumns count="5">
    <tableColumn id="1" xr3:uid="{ED36332B-206C-44F4-A7D6-8778FB925D51}" name="No" dataDxfId="1"/>
    <tableColumn id="2" xr3:uid="{A0C7D891-DF04-491F-A5BC-42D45F50CC25}" name="Vendor type"/>
    <tableColumn id="3" xr3:uid="{8CDC1D5E-5619-4381-B080-752CA6456365}" name="Vendor"/>
    <tableColumn id="4" xr3:uid="{6C986561-B3A2-4961-8955-1F58BA02306C}" name="District"/>
    <tableColumn id="5" xr3:uid="{EE90F361-A2FB-4A9D-8142-D234A6C2B0EA}" name="Provinc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DF79F-F05F-4D9A-BDAA-DB5DC60CF950}" name="T_year.SK" displayName="T_year.SK" ref="A1:B5" totalsRowShown="0" headerRowDxfId="32" dataDxfId="31">
  <autoFilter ref="A1:B5" xr:uid="{64CDF79F-F05F-4D9A-BDAA-DB5DC60CF950}"/>
  <tableColumns count="2">
    <tableColumn id="1" xr3:uid="{E1EC94B9-5087-4C07-BB8F-EE3E50B21D8C}" name="No" dataDxfId="30"/>
    <tableColumn id="2" xr3:uid="{6D6D84FA-B019-4016-BE1F-48EC19B9E880}" name="Year" dataDxfId="29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B106D6-441B-47F1-B37B-FC77AC3D37FB}" name="T_month.SK" displayName="T_month.SK" ref="A1:B13" totalsRowShown="0" headerRowDxfId="28" dataDxfId="27">
  <autoFilter ref="A1:B13" xr:uid="{EDB106D6-441B-47F1-B37B-FC77AC3D37FB}"/>
  <tableColumns count="2">
    <tableColumn id="1" xr3:uid="{96959ABE-30E0-433B-B2FB-54B34CA7117B}" name="No" dataDxfId="26"/>
    <tableColumn id="2" xr3:uid="{D44F2963-12A9-4E77-8053-8A42A47E2100}" name="Month" dataDxfId="25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7741-69DA-4EBD-A0D4-54123F57C123}">
  <dimension ref="A1:W64"/>
  <sheetViews>
    <sheetView tabSelected="1" topLeftCell="J1" zoomScale="70" zoomScaleNormal="70" workbookViewId="0">
      <pane ySplit="1" topLeftCell="A35" activePane="bottomLeft" state="frozen"/>
      <selection pane="bottomLeft" activeCell="R54" sqref="R54"/>
    </sheetView>
  </sheetViews>
  <sheetFormatPr defaultColWidth="8.7265625" defaultRowHeight="14.5" x14ac:dyDescent="0.35"/>
  <cols>
    <col min="1" max="1" width="11.54296875" style="2" customWidth="1"/>
    <col min="2" max="3" width="11.54296875" style="1" customWidth="1"/>
    <col min="4" max="4" width="17" customWidth="1"/>
    <col min="5" max="6" width="17" style="3" customWidth="1"/>
    <col min="7" max="7" width="17" customWidth="1"/>
    <col min="8" max="9" width="22.6328125" style="3" customWidth="1"/>
    <col min="10" max="12" width="18.6328125" style="3" customWidth="1"/>
    <col min="13" max="17" width="18.6328125" style="5" customWidth="1"/>
    <col min="18" max="19" width="24.7265625" style="5" customWidth="1"/>
    <col min="20" max="21" width="22.6328125" style="4" customWidth="1"/>
    <col min="22" max="22" width="29.81640625" style="6" customWidth="1"/>
    <col min="23" max="23" width="30.1796875" style="6" customWidth="1"/>
    <col min="24" max="16384" width="8.7265625" style="1"/>
  </cols>
  <sheetData>
    <row r="1" spans="1:23" s="16" customFormat="1" ht="29" x14ac:dyDescent="0.35">
      <c r="A1" s="13" t="s">
        <v>0</v>
      </c>
      <c r="B1" s="14" t="s">
        <v>1</v>
      </c>
      <c r="C1" s="14" t="s">
        <v>2</v>
      </c>
      <c r="D1" s="7" t="s">
        <v>21</v>
      </c>
      <c r="E1" s="7" t="s">
        <v>22</v>
      </c>
      <c r="F1" s="7" t="s">
        <v>23</v>
      </c>
      <c r="G1" s="15" t="s">
        <v>4</v>
      </c>
      <c r="H1" s="15" t="s">
        <v>5</v>
      </c>
      <c r="I1" s="15" t="s">
        <v>3</v>
      </c>
      <c r="J1" s="15" t="s">
        <v>6</v>
      </c>
      <c r="K1" s="7" t="s">
        <v>7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8" t="s">
        <v>32</v>
      </c>
      <c r="S1" s="8" t="s">
        <v>33</v>
      </c>
      <c r="T1" s="8" t="s">
        <v>31</v>
      </c>
    </row>
    <row r="2" spans="1:23" x14ac:dyDescent="0.35">
      <c r="A2" s="9">
        <v>2023</v>
      </c>
      <c r="B2" s="10" t="s">
        <v>8</v>
      </c>
      <c r="C2" s="10" t="s">
        <v>30</v>
      </c>
      <c r="D2" s="11">
        <v>10.83916083916084</v>
      </c>
      <c r="E2" s="11">
        <v>11.180339217722395</v>
      </c>
      <c r="F2" s="11">
        <v>11.182142291455765</v>
      </c>
      <c r="G2" s="11">
        <v>16.52</v>
      </c>
      <c r="H2" s="11">
        <f>T_raw.KPI.SK[[#This Row],[TTSA Price]]-T_raw.KPI.SK[[#This Row],[Act. PPDS, THB/kg]]</f>
        <v>5.3378577085442345</v>
      </c>
      <c r="I2" s="11">
        <v>4.9000000000000004</v>
      </c>
      <c r="J2" s="7">
        <v>0.97</v>
      </c>
      <c r="K2" s="11">
        <v>0.96461645449483702</v>
      </c>
      <c r="L2" s="11">
        <v>0.28599999999999998</v>
      </c>
      <c r="M2" s="11">
        <v>0.28889999999999999</v>
      </c>
      <c r="N2" s="11">
        <v>0.28890165153166097</v>
      </c>
      <c r="O2" s="11">
        <v>3.1</v>
      </c>
      <c r="P2" s="11">
        <v>3.23</v>
      </c>
      <c r="Q2" s="11">
        <v>3.2305393756636005</v>
      </c>
      <c r="R2" s="11">
        <v>0.59</v>
      </c>
      <c r="S2" s="12">
        <v>7.1499999999999994E-2</v>
      </c>
      <c r="T2" s="12">
        <v>6.2771281374142396E-2</v>
      </c>
      <c r="U2" s="1"/>
      <c r="V2" s="1"/>
      <c r="W2" s="1"/>
    </row>
    <row r="3" spans="1:23" x14ac:dyDescent="0.35">
      <c r="A3" s="9">
        <v>2023</v>
      </c>
      <c r="B3" s="10" t="s">
        <v>9</v>
      </c>
      <c r="C3" s="10" t="s">
        <v>30</v>
      </c>
      <c r="D3" s="11">
        <v>10.971223021582732</v>
      </c>
      <c r="E3" s="11">
        <v>11.460131170176043</v>
      </c>
      <c r="F3" s="11">
        <v>11.452537141877659</v>
      </c>
      <c r="G3" s="11">
        <v>16.962499999999999</v>
      </c>
      <c r="H3" s="11">
        <f>T_raw.KPI.SK[[#This Row],[TTSA Price]]-T_raw.KPI.SK[[#This Row],[Act. PPDS, THB/kg]]</f>
        <v>5.5099628581223392</v>
      </c>
      <c r="I3" s="11">
        <v>4.9000000000000004</v>
      </c>
      <c r="J3" s="7">
        <v>0.97</v>
      </c>
      <c r="K3" s="11">
        <v>0.98558839430960898</v>
      </c>
      <c r="L3" s="11">
        <v>0.27800000000000002</v>
      </c>
      <c r="M3" s="11">
        <v>0.28970000000000001</v>
      </c>
      <c r="N3" s="11">
        <v>0.28970000000000001</v>
      </c>
      <c r="O3" s="11">
        <v>3.05</v>
      </c>
      <c r="P3" s="11">
        <v>3.32</v>
      </c>
      <c r="Q3" s="11">
        <v>3.317800010001958</v>
      </c>
      <c r="R3" s="11">
        <v>0.59</v>
      </c>
      <c r="S3" s="12">
        <v>7.1499999999999994E-2</v>
      </c>
      <c r="T3" s="12">
        <v>6.7568106330271396E-2</v>
      </c>
      <c r="U3" s="1"/>
      <c r="V3" s="1"/>
      <c r="W3" s="1"/>
    </row>
    <row r="4" spans="1:23" x14ac:dyDescent="0.35">
      <c r="A4" s="9">
        <v>2023</v>
      </c>
      <c r="B4" s="10" t="s">
        <v>10</v>
      </c>
      <c r="C4" s="10" t="s">
        <v>30</v>
      </c>
      <c r="D4" s="11">
        <v>11.111111111111111</v>
      </c>
      <c r="E4" s="11">
        <v>13.505642519111758</v>
      </c>
      <c r="F4" s="11">
        <v>13.518988225752771</v>
      </c>
      <c r="G4" s="11">
        <v>17.599999999999998</v>
      </c>
      <c r="H4" s="11">
        <f>T_raw.KPI.SK[[#This Row],[TTSA Price]]-T_raw.KPI.SK[[#This Row],[Act. PPDS, THB/kg]]</f>
        <v>4.0810117742472265</v>
      </c>
      <c r="I4" s="11">
        <v>4.9000000000000004</v>
      </c>
      <c r="J4" s="7">
        <v>0.97</v>
      </c>
      <c r="K4" s="11">
        <v>0.89550749789601503</v>
      </c>
      <c r="L4" s="11">
        <v>0.27</v>
      </c>
      <c r="M4" s="11">
        <v>0.2747</v>
      </c>
      <c r="N4" s="11">
        <v>0.27471618828637501</v>
      </c>
      <c r="O4" s="11">
        <v>3</v>
      </c>
      <c r="P4" s="11">
        <v>3.71</v>
      </c>
      <c r="Q4" s="11">
        <v>3.7138849148671835</v>
      </c>
      <c r="R4" s="11">
        <v>0.59</v>
      </c>
      <c r="S4" s="12">
        <v>7.1499999999999994E-2</v>
      </c>
      <c r="T4" s="12">
        <v>7.5281882886945303E-2</v>
      </c>
      <c r="U4" s="1"/>
      <c r="V4" s="1"/>
      <c r="W4" s="1"/>
    </row>
    <row r="5" spans="1:23" x14ac:dyDescent="0.35">
      <c r="A5" s="9">
        <v>2023</v>
      </c>
      <c r="B5" s="10" t="s">
        <v>11</v>
      </c>
      <c r="C5" s="10" t="s">
        <v>30</v>
      </c>
      <c r="D5" s="11">
        <v>11.811023622047244</v>
      </c>
      <c r="E5" s="11">
        <v>15.923566878980893</v>
      </c>
      <c r="F5" s="11">
        <v>15.937619228615391</v>
      </c>
      <c r="G5" s="11">
        <v>17.95</v>
      </c>
      <c r="H5" s="11">
        <f>T_raw.KPI.SK[[#This Row],[TTSA Price]]-T_raw.KPI.SK[[#This Row],[Act. PPDS, THB/kg]]</f>
        <v>2.012380771384608</v>
      </c>
      <c r="I5" s="11">
        <v>4.9000000000000004</v>
      </c>
      <c r="J5" s="7">
        <v>0.97</v>
      </c>
      <c r="K5" s="11">
        <v>0.91210790248359097</v>
      </c>
      <c r="L5" s="11">
        <v>0.254</v>
      </c>
      <c r="M5" s="11">
        <v>0.23549999999999999</v>
      </c>
      <c r="N5" s="11">
        <v>0.235491966556719</v>
      </c>
      <c r="O5" s="11">
        <v>3</v>
      </c>
      <c r="P5" s="11">
        <v>3.75</v>
      </c>
      <c r="Q5" s="11">
        <v>3.7531812943788236</v>
      </c>
      <c r="R5" s="11">
        <v>0.59</v>
      </c>
      <c r="S5" s="12">
        <v>7.1499999999999994E-2</v>
      </c>
      <c r="T5" s="12">
        <v>6.6553458071551996E-2</v>
      </c>
      <c r="U5" s="1"/>
      <c r="V5" s="1"/>
      <c r="W5" s="1"/>
    </row>
    <row r="6" spans="1:23" x14ac:dyDescent="0.35">
      <c r="A6" s="9">
        <v>2023</v>
      </c>
      <c r="B6" s="10" t="s">
        <v>12</v>
      </c>
      <c r="C6" s="10" t="s">
        <v>30</v>
      </c>
      <c r="D6" s="11">
        <v>12.391304347826086</v>
      </c>
      <c r="E6" s="11">
        <v>15.862754848334161</v>
      </c>
      <c r="F6" s="11">
        <v>15.843569834900254</v>
      </c>
      <c r="G6" s="11">
        <v>18.360000000000003</v>
      </c>
      <c r="H6" s="11">
        <f>T_raw.KPI.SK[[#This Row],[TTSA Price]]-T_raw.KPI.SK[[#This Row],[Act. PPDS, THB/kg]]</f>
        <v>2.5164301650997487</v>
      </c>
      <c r="I6" s="11">
        <v>4.9000000000000004</v>
      </c>
      <c r="J6" s="7">
        <v>0.97</v>
      </c>
      <c r="K6" s="11">
        <v>0.95271015242935997</v>
      </c>
      <c r="L6" s="11">
        <v>0.23</v>
      </c>
      <c r="M6" s="11">
        <v>0.2011</v>
      </c>
      <c r="N6" s="11">
        <v>0.201109153152426</v>
      </c>
      <c r="O6" s="11">
        <v>2.85</v>
      </c>
      <c r="P6" s="11">
        <v>3.19</v>
      </c>
      <c r="Q6" s="11">
        <v>3.1862869124081064</v>
      </c>
      <c r="R6" s="11">
        <v>0.59</v>
      </c>
      <c r="S6" s="12">
        <v>7.1499999999999994E-2</v>
      </c>
      <c r="T6" s="12">
        <v>7.5337380805017201E-2</v>
      </c>
      <c r="U6" s="1"/>
      <c r="V6" s="1"/>
      <c r="W6" s="1"/>
    </row>
    <row r="7" spans="1:23" x14ac:dyDescent="0.35">
      <c r="A7" s="9">
        <v>2023</v>
      </c>
      <c r="B7" s="10" t="s">
        <v>13</v>
      </c>
      <c r="C7" s="10" t="s">
        <v>30</v>
      </c>
      <c r="D7" s="11">
        <v>12.340425531914894</v>
      </c>
      <c r="E7" s="11">
        <v>14.727854855923157</v>
      </c>
      <c r="F7" s="11">
        <v>14.704625868194748</v>
      </c>
      <c r="G7" s="11">
        <v>18.424999999999997</v>
      </c>
      <c r="H7" s="11">
        <f>T_raw.KPI.SK[[#This Row],[TTSA Price]]-T_raw.KPI.SK[[#This Row],[Act. PPDS, THB/kg]]</f>
        <v>3.720374131805249</v>
      </c>
      <c r="I7" s="11">
        <v>4.9000000000000004</v>
      </c>
      <c r="J7" s="7">
        <v>0.97</v>
      </c>
      <c r="K7" s="11">
        <v>0.93244298466675601</v>
      </c>
      <c r="L7" s="11">
        <v>0.23499999999999999</v>
      </c>
      <c r="M7" s="11">
        <v>0.18740000000000001</v>
      </c>
      <c r="N7" s="11">
        <v>0.18828484519298899</v>
      </c>
      <c r="O7" s="11">
        <v>2.9</v>
      </c>
      <c r="P7" s="11">
        <v>2.76</v>
      </c>
      <c r="Q7" s="11">
        <v>2.7686582052138671</v>
      </c>
      <c r="R7" s="11">
        <v>0.59</v>
      </c>
      <c r="S7" s="12">
        <v>7.1499999999999994E-2</v>
      </c>
      <c r="T7" s="12">
        <v>5.8782870799411101E-2</v>
      </c>
      <c r="U7" s="1"/>
      <c r="V7" s="1"/>
      <c r="W7" s="1"/>
    </row>
    <row r="8" spans="1:23" x14ac:dyDescent="0.35">
      <c r="A8" s="9">
        <v>2023</v>
      </c>
      <c r="B8" s="10" t="s">
        <v>14</v>
      </c>
      <c r="C8" s="10" t="s">
        <v>30</v>
      </c>
      <c r="D8" s="11">
        <v>12.247422680412372</v>
      </c>
      <c r="E8" s="11">
        <v>13.535536441828881</v>
      </c>
      <c r="F8" s="11">
        <v>13.536497309395202</v>
      </c>
      <c r="G8" s="11">
        <v>18.5</v>
      </c>
      <c r="H8" s="11">
        <f>T_raw.KPI.SK[[#This Row],[TTSA Price]]-T_raw.KPI.SK[[#This Row],[Act. PPDS, THB/kg]]</f>
        <v>4.9635026906047983</v>
      </c>
      <c r="I8" s="11">
        <v>4.9000000000000004</v>
      </c>
      <c r="J8" s="7">
        <v>0.97</v>
      </c>
      <c r="K8" s="11">
        <v>0.91154864036331296</v>
      </c>
      <c r="L8" s="11">
        <v>0.24249999999999999</v>
      </c>
      <c r="M8" s="11">
        <v>0.22090000000000001</v>
      </c>
      <c r="N8" s="11">
        <v>0.22098549618970201</v>
      </c>
      <c r="O8" s="11">
        <v>2.97</v>
      </c>
      <c r="P8" s="11">
        <v>2.99</v>
      </c>
      <c r="Q8" s="11">
        <v>2.9913695745872699</v>
      </c>
      <c r="R8" s="11">
        <v>0.59</v>
      </c>
      <c r="S8" s="12">
        <v>7.1499999999999994E-2</v>
      </c>
      <c r="T8" s="12">
        <v>6.8544833639612793E-2</v>
      </c>
      <c r="U8" s="1"/>
      <c r="V8" s="1"/>
      <c r="W8" s="1"/>
    </row>
    <row r="9" spans="1:23" x14ac:dyDescent="0.35">
      <c r="A9" s="9">
        <v>2023</v>
      </c>
      <c r="B9" s="10" t="s">
        <v>15</v>
      </c>
      <c r="C9" s="10" t="s">
        <v>30</v>
      </c>
      <c r="D9" s="11">
        <v>12.007952286282306</v>
      </c>
      <c r="E9" s="11">
        <v>12.621789193976971</v>
      </c>
      <c r="F9" s="11">
        <v>12.330816619637048</v>
      </c>
      <c r="G9" s="11">
        <v>18.5</v>
      </c>
      <c r="H9" s="11">
        <f>T_raw.KPI.SK[[#This Row],[TTSA Price]]-T_raw.KPI.SK[[#This Row],[Act. PPDS, THB/kg]]</f>
        <v>6.1691833803629521</v>
      </c>
      <c r="I9" s="11">
        <v>4.9000000000000004</v>
      </c>
      <c r="J9" s="7">
        <v>0.97</v>
      </c>
      <c r="K9" s="11">
        <v>0.93557030498004901</v>
      </c>
      <c r="L9" s="11">
        <v>0.2515</v>
      </c>
      <c r="M9" s="11">
        <v>0.2258</v>
      </c>
      <c r="N9" s="11">
        <v>0.235215274092443</v>
      </c>
      <c r="O9" s="11">
        <v>3.02</v>
      </c>
      <c r="P9" s="11">
        <v>2.85</v>
      </c>
      <c r="Q9" s="11">
        <v>2.9003964109715779</v>
      </c>
      <c r="R9" s="11">
        <v>0.59</v>
      </c>
      <c r="S9" s="12">
        <v>7.1499999999999994E-2</v>
      </c>
      <c r="T9" s="12">
        <v>6.82234542500854E-2</v>
      </c>
      <c r="U9" s="1"/>
      <c r="V9" s="1"/>
      <c r="W9" s="1"/>
    </row>
    <row r="10" spans="1:23" x14ac:dyDescent="0.35">
      <c r="A10" s="9">
        <v>2023</v>
      </c>
      <c r="B10" s="10" t="s">
        <v>16</v>
      </c>
      <c r="C10" s="10" t="s">
        <v>30</v>
      </c>
      <c r="D10" s="11">
        <v>11.882352941176469</v>
      </c>
      <c r="E10" s="11">
        <v>12.731092436974789</v>
      </c>
      <c r="F10" s="11">
        <v>13.061220794011433</v>
      </c>
      <c r="G10" s="11">
        <v>18.600000000000001</v>
      </c>
      <c r="H10" s="11">
        <f>T_raw.KPI.SK[[#This Row],[TTSA Price]]-T_raw.KPI.SK[[#This Row],[Act. PPDS, THB/kg]]</f>
        <v>5.5387792059885683</v>
      </c>
      <c r="I10" s="11">
        <v>4.9000000000000004</v>
      </c>
      <c r="J10" s="7">
        <v>0.97</v>
      </c>
      <c r="K10" s="11">
        <v>0.96339517507845795</v>
      </c>
      <c r="L10" s="11">
        <v>0.255</v>
      </c>
      <c r="M10" s="11">
        <v>0.23799999999999999</v>
      </c>
      <c r="N10" s="11">
        <v>0.23500475495597201</v>
      </c>
      <c r="O10" s="11">
        <v>3.03</v>
      </c>
      <c r="P10" s="11">
        <v>3.03</v>
      </c>
      <c r="Q10" s="11">
        <v>3.0694489921225006</v>
      </c>
      <c r="R10" s="11">
        <v>0.59</v>
      </c>
      <c r="S10" s="12">
        <v>7.1499999999999994E-2</v>
      </c>
      <c r="T10" s="12">
        <v>7.4845065944409303E-2</v>
      </c>
      <c r="U10" s="1"/>
      <c r="V10" s="1"/>
      <c r="W10" s="1"/>
    </row>
    <row r="11" spans="1:23" x14ac:dyDescent="0.35">
      <c r="A11" s="9">
        <v>2023</v>
      </c>
      <c r="B11" s="10" t="s">
        <v>17</v>
      </c>
      <c r="C11" s="10" t="s">
        <v>30</v>
      </c>
      <c r="D11" s="11">
        <v>11.653846153846153</v>
      </c>
      <c r="E11" s="11">
        <v>12.64936135146271</v>
      </c>
      <c r="F11" s="11">
        <v>14.167258709530357</v>
      </c>
      <c r="G11" s="11">
        <v>18.7</v>
      </c>
      <c r="H11" s="11">
        <f>T_raw.KPI.SK[[#This Row],[TTSA Price]]-T_raw.KPI.SK[[#This Row],[Act. PPDS, THB/kg]]</f>
        <v>4.5327412904696427</v>
      </c>
      <c r="I11" s="11">
        <v>4.9000000000000004</v>
      </c>
      <c r="J11" s="7">
        <v>0.97</v>
      </c>
      <c r="K11" s="11">
        <v>0.97856822570076696</v>
      </c>
      <c r="L11" s="11">
        <v>0.26</v>
      </c>
      <c r="M11" s="11">
        <v>0.2427</v>
      </c>
      <c r="N11" s="11">
        <v>0.22977082748636199</v>
      </c>
      <c r="O11" s="11">
        <v>3.03</v>
      </c>
      <c r="P11" s="11">
        <v>3.07</v>
      </c>
      <c r="Q11" s="11">
        <v>3.2552227569021648</v>
      </c>
      <c r="R11" s="11">
        <v>0.59</v>
      </c>
      <c r="S11" s="12">
        <v>7.1499999999999994E-2</v>
      </c>
      <c r="T11" s="12">
        <v>7.3710367429093898E-2</v>
      </c>
      <c r="U11" s="1"/>
      <c r="V11" s="1"/>
      <c r="W11" s="1"/>
    </row>
    <row r="12" spans="1:23" x14ac:dyDescent="0.35">
      <c r="A12" s="9">
        <v>2023</v>
      </c>
      <c r="B12" s="10" t="s">
        <v>18</v>
      </c>
      <c r="C12" s="10" t="s">
        <v>30</v>
      </c>
      <c r="D12" s="11">
        <v>11.413043478260867</v>
      </c>
      <c r="E12" s="11">
        <v>12.992125984251967</v>
      </c>
      <c r="F12" s="11">
        <v>15.837714978584721</v>
      </c>
      <c r="G12" s="11">
        <v>19.074999999999999</v>
      </c>
      <c r="H12" s="11">
        <f>T_raw.KPI.SK[[#This Row],[TTSA Price]]-T_raw.KPI.SK[[#This Row],[Act. PPDS, THB/kg]]</f>
        <v>3.2372850214152784</v>
      </c>
      <c r="I12" s="11">
        <v>4.9000000000000004</v>
      </c>
      <c r="J12" s="7">
        <v>0.97</v>
      </c>
      <c r="K12" s="11">
        <v>0.96822703722575099</v>
      </c>
      <c r="L12" s="11">
        <v>0.27600000000000002</v>
      </c>
      <c r="M12" s="11">
        <v>0.254</v>
      </c>
      <c r="N12" s="11">
        <v>0.24135440259541099</v>
      </c>
      <c r="O12" s="11">
        <v>3.15</v>
      </c>
      <c r="P12" s="11">
        <v>3.3</v>
      </c>
      <c r="Q12" s="11">
        <v>3.8225022371327002</v>
      </c>
      <c r="R12" s="11">
        <v>0.59</v>
      </c>
      <c r="S12" s="12">
        <v>7.1499999999999994E-2</v>
      </c>
      <c r="T12" s="12">
        <v>7.2670793740196402E-2</v>
      </c>
      <c r="U12" s="1"/>
      <c r="V12" s="1"/>
      <c r="W12" s="1"/>
    </row>
    <row r="13" spans="1:23" x14ac:dyDescent="0.35">
      <c r="A13" s="9">
        <v>2023</v>
      </c>
      <c r="B13" s="10" t="s">
        <v>19</v>
      </c>
      <c r="C13" s="10" t="s">
        <v>30</v>
      </c>
      <c r="D13" s="11">
        <v>11.130742049469966</v>
      </c>
      <c r="E13" s="11">
        <v>12.338858195211786</v>
      </c>
      <c r="F13" s="11">
        <v>14.545702977490512</v>
      </c>
      <c r="G13" s="11">
        <v>19.3</v>
      </c>
      <c r="H13" s="11">
        <f>T_raw.KPI.SK[[#This Row],[TTSA Price]]-T_raw.KPI.SK[[#This Row],[Act. PPDS, THB/kg]]</f>
        <v>4.7542970225094887</v>
      </c>
      <c r="I13" s="11">
        <v>4.9000000000000004</v>
      </c>
      <c r="J13" s="7">
        <v>0.97</v>
      </c>
      <c r="K13" s="11">
        <v>0.93550433056962701</v>
      </c>
      <c r="L13" s="11">
        <v>0.28299999999999997</v>
      </c>
      <c r="M13" s="11">
        <v>0.27150000000000002</v>
      </c>
      <c r="N13" s="11">
        <v>0.26922451612178</v>
      </c>
      <c r="O13" s="11">
        <v>3.15</v>
      </c>
      <c r="P13" s="11">
        <v>3.35</v>
      </c>
      <c r="Q13" s="11">
        <v>3.916059845766013</v>
      </c>
      <c r="R13" s="11">
        <v>0.59</v>
      </c>
      <c r="S13" s="12">
        <v>7.1499999999999994E-2</v>
      </c>
      <c r="T13" s="12">
        <v>5.7139761902535398E-2</v>
      </c>
      <c r="U13" s="1"/>
      <c r="V13" s="1"/>
      <c r="W13" s="1"/>
    </row>
    <row r="14" spans="1:23" x14ac:dyDescent="0.35">
      <c r="A14" s="9">
        <v>2024</v>
      </c>
      <c r="B14" s="10" t="s">
        <v>8</v>
      </c>
      <c r="C14" s="10" t="s">
        <v>30</v>
      </c>
      <c r="D14" s="11">
        <v>14.62962962962963</v>
      </c>
      <c r="E14" s="11">
        <v>14.315486884656845</v>
      </c>
      <c r="F14" s="11">
        <v>14.315577715945851</v>
      </c>
      <c r="G14" s="11">
        <v>19.074999999999999</v>
      </c>
      <c r="H14" s="11">
        <f>T_raw.KPI.SK[[#This Row],[TTSA Price]]-T_raw.KPI.SK[[#This Row],[Act. PPDS, THB/kg]]</f>
        <v>4.759422284054148</v>
      </c>
      <c r="I14" s="11">
        <v>4.9000000000000004</v>
      </c>
      <c r="J14" s="7">
        <v>0.97</v>
      </c>
      <c r="K14" s="11">
        <v>0.99896943160644103</v>
      </c>
      <c r="L14" s="11">
        <v>0.27</v>
      </c>
      <c r="M14" s="11">
        <v>0.27829999999999999</v>
      </c>
      <c r="N14" s="11">
        <v>0.278310582466131</v>
      </c>
      <c r="O14" s="11">
        <v>3.95</v>
      </c>
      <c r="P14" s="11">
        <v>3.984</v>
      </c>
      <c r="Q14" s="11">
        <v>3.9841767724640524</v>
      </c>
      <c r="R14" s="11">
        <v>0.62</v>
      </c>
      <c r="S14" s="12">
        <v>6.7699999999999996E-2</v>
      </c>
      <c r="T14" s="12">
        <v>4.8276647557411595E-2</v>
      </c>
      <c r="U14" s="1"/>
      <c r="V14" s="1"/>
      <c r="W14" s="1"/>
    </row>
    <row r="15" spans="1:23" x14ac:dyDescent="0.35">
      <c r="A15" s="9">
        <v>2024</v>
      </c>
      <c r="B15" s="10" t="s">
        <v>9</v>
      </c>
      <c r="C15" s="10" t="s">
        <v>30</v>
      </c>
      <c r="D15" s="11">
        <v>14.575645756457565</v>
      </c>
      <c r="E15" s="11">
        <v>14.048991354466859</v>
      </c>
      <c r="F15" s="11">
        <v>14.054652726433678</v>
      </c>
      <c r="G15" s="11">
        <v>19.0625</v>
      </c>
      <c r="H15" s="11">
        <f>T_raw.KPI.SK[[#This Row],[TTSA Price]]-T_raw.KPI.SK[[#This Row],[Act. PPDS, THB/kg]]</f>
        <v>5.0078472735663215</v>
      </c>
      <c r="I15" s="11">
        <v>4.9000000000000004</v>
      </c>
      <c r="J15" s="7">
        <v>0.97</v>
      </c>
      <c r="K15" s="11">
        <v>0.99609623382616597</v>
      </c>
      <c r="L15" s="11">
        <v>0.27100000000000002</v>
      </c>
      <c r="M15" s="11">
        <v>0.27760000000000001</v>
      </c>
      <c r="N15" s="11">
        <v>0.27763913995241901</v>
      </c>
      <c r="O15" s="11">
        <v>3.95</v>
      </c>
      <c r="P15" s="11">
        <v>3.9</v>
      </c>
      <c r="Q15" s="11">
        <v>3.9021216952969726</v>
      </c>
      <c r="R15" s="11">
        <v>0.62</v>
      </c>
      <c r="S15" s="12">
        <v>6.7699999999999996E-2</v>
      </c>
      <c r="T15" s="12">
        <v>5.1175237651531598E-2</v>
      </c>
      <c r="U15" s="1"/>
      <c r="V15" s="1"/>
      <c r="W15" s="1"/>
    </row>
    <row r="16" spans="1:23" x14ac:dyDescent="0.35">
      <c r="A16" s="9">
        <v>2024</v>
      </c>
      <c r="B16" s="10" t="s">
        <v>10</v>
      </c>
      <c r="C16" s="10" t="s">
        <v>30</v>
      </c>
      <c r="D16" s="11">
        <v>15.164576802507838</v>
      </c>
      <c r="E16" s="11">
        <v>14.346481051817479</v>
      </c>
      <c r="F16" s="11">
        <v>14.340807074319734</v>
      </c>
      <c r="G16" s="11">
        <v>19.100000000000001</v>
      </c>
      <c r="H16" s="11">
        <f>T_raw.KPI.SK[[#This Row],[TTSA Price]]-T_raw.KPI.SK[[#This Row],[Act. PPDS, THB/kg]]</f>
        <v>4.7591929256802672</v>
      </c>
      <c r="I16" s="11">
        <v>4.9000000000000004</v>
      </c>
      <c r="J16" s="7">
        <v>0.97</v>
      </c>
      <c r="K16" s="11">
        <v>0.99362757373194799</v>
      </c>
      <c r="L16" s="11">
        <v>0.25519999999999998</v>
      </c>
      <c r="M16" s="11">
        <v>0.2586</v>
      </c>
      <c r="N16" s="11">
        <v>0.25857647622065899</v>
      </c>
      <c r="O16" s="11">
        <v>3.87</v>
      </c>
      <c r="P16" s="11">
        <v>3.71</v>
      </c>
      <c r="Q16" s="11">
        <v>3.7081953594378998</v>
      </c>
      <c r="R16" s="11">
        <v>0.62</v>
      </c>
      <c r="S16" s="12">
        <v>6.7699999999999996E-2</v>
      </c>
      <c r="T16" s="12">
        <v>4.8079371279435158E-2</v>
      </c>
      <c r="U16" s="1"/>
      <c r="V16" s="1"/>
      <c r="W16" s="1"/>
    </row>
    <row r="17" spans="1:23" x14ac:dyDescent="0.35">
      <c r="A17" s="9">
        <v>2024</v>
      </c>
      <c r="B17" s="10" t="s">
        <v>11</v>
      </c>
      <c r="C17" s="10" t="s">
        <v>30</v>
      </c>
      <c r="D17" s="11">
        <v>16.289978678038381</v>
      </c>
      <c r="E17" s="11">
        <v>13.68535419382877</v>
      </c>
      <c r="F17" s="11">
        <v>13.676570094693858</v>
      </c>
      <c r="G17" s="11">
        <v>18.989999999999998</v>
      </c>
      <c r="H17" s="11">
        <f>T_raw.KPI.SK[[#This Row],[TTSA Price]]-T_raw.KPI.SK[[#This Row],[Act. PPDS, THB/kg]]</f>
        <v>5.3134299053061405</v>
      </c>
      <c r="I17" s="11">
        <v>4.9000000000000004</v>
      </c>
      <c r="J17" s="7">
        <v>0.97</v>
      </c>
      <c r="K17" s="11">
        <v>0.97689786390670397</v>
      </c>
      <c r="L17" s="11">
        <v>0.23449999999999999</v>
      </c>
      <c r="M17" s="11">
        <v>0.2301</v>
      </c>
      <c r="N17" s="11">
        <v>0.23014333155782299</v>
      </c>
      <c r="O17" s="11">
        <v>3.82</v>
      </c>
      <c r="P17" s="11">
        <v>3.149</v>
      </c>
      <c r="Q17" s="11">
        <v>3.1475714058769384</v>
      </c>
      <c r="R17" s="11">
        <v>0.62</v>
      </c>
      <c r="S17" s="12">
        <v>6.7699999999999996E-2</v>
      </c>
      <c r="T17" s="12">
        <v>5.5374200384248597E-2</v>
      </c>
      <c r="U17" s="1"/>
      <c r="V17" s="1"/>
      <c r="W17" s="1"/>
    </row>
    <row r="18" spans="1:23" x14ac:dyDescent="0.35">
      <c r="A18" s="9">
        <v>2024</v>
      </c>
      <c r="B18" s="10" t="s">
        <v>12</v>
      </c>
      <c r="C18" s="10" t="s">
        <v>30</v>
      </c>
      <c r="D18" s="11">
        <v>16.981132075471699</v>
      </c>
      <c r="E18" s="11">
        <v>13.895754970445998</v>
      </c>
      <c r="F18" s="11">
        <v>13.902553334926415</v>
      </c>
      <c r="G18" s="11">
        <v>18.737500000000001</v>
      </c>
      <c r="H18" s="11">
        <f>T_raw.KPI.SK[[#This Row],[TTSA Price]]-T_raw.KPI.SK[[#This Row],[Act. PPDS, THB/kg]]</f>
        <v>4.8349466650735859</v>
      </c>
      <c r="I18" s="11">
        <v>4.9000000000000004</v>
      </c>
      <c r="J18" s="7">
        <v>0.97</v>
      </c>
      <c r="K18" s="11">
        <v>0.979247308313269</v>
      </c>
      <c r="L18" s="11">
        <v>0.21199999999999999</v>
      </c>
      <c r="M18" s="11">
        <v>0.18609999999999999</v>
      </c>
      <c r="N18" s="11">
        <v>0.186140280871017</v>
      </c>
      <c r="O18" s="11">
        <v>3.6</v>
      </c>
      <c r="P18" s="11">
        <v>2.5859999999999999</v>
      </c>
      <c r="Q18" s="11">
        <v>2.5878251825874901</v>
      </c>
      <c r="R18" s="11">
        <v>0.62</v>
      </c>
      <c r="S18" s="12">
        <v>6.7699999999999996E-2</v>
      </c>
      <c r="T18" s="12">
        <v>6.4909081063113702E-2</v>
      </c>
      <c r="U18" s="1"/>
      <c r="V18" s="1"/>
      <c r="W18" s="1"/>
    </row>
    <row r="19" spans="1:23" x14ac:dyDescent="0.35">
      <c r="A19" s="9">
        <v>2024</v>
      </c>
      <c r="B19" s="10" t="s">
        <v>13</v>
      </c>
      <c r="C19" s="10" t="s">
        <v>30</v>
      </c>
      <c r="D19" s="11">
        <v>17.259615384615383</v>
      </c>
      <c r="E19" s="11">
        <v>12.193732193732195</v>
      </c>
      <c r="F19" s="11">
        <v>12.193143515551073</v>
      </c>
      <c r="G19" s="11">
        <v>18.55</v>
      </c>
      <c r="H19" s="11">
        <f>T_raw.KPI.SK[[#This Row],[TTSA Price]]-T_raw.KPI.SK[[#This Row],[Act. PPDS, THB/kg]]</f>
        <v>6.3568564844489277</v>
      </c>
      <c r="I19" s="11">
        <v>4.9000000000000004</v>
      </c>
      <c r="J19" s="7">
        <v>0.97</v>
      </c>
      <c r="K19" s="11">
        <v>0.983318025447667</v>
      </c>
      <c r="L19" s="11">
        <v>0.20799999999999999</v>
      </c>
      <c r="M19" s="11">
        <v>0.17549999999999999</v>
      </c>
      <c r="N19" s="11">
        <v>0.175470464141777</v>
      </c>
      <c r="O19" s="11">
        <v>3.59</v>
      </c>
      <c r="P19" s="11">
        <v>2.14</v>
      </c>
      <c r="Q19" s="11">
        <v>2.1395365520210414</v>
      </c>
      <c r="R19" s="11">
        <v>0.62</v>
      </c>
      <c r="S19" s="12">
        <v>6.7699999999999996E-2</v>
      </c>
      <c r="T19" s="12">
        <v>5.91471993427014E-2</v>
      </c>
      <c r="U19" s="1"/>
      <c r="V19" s="1"/>
      <c r="W19" s="1"/>
    </row>
    <row r="20" spans="1:23" x14ac:dyDescent="0.35">
      <c r="A20" s="9">
        <v>2024</v>
      </c>
      <c r="B20" s="10" t="s">
        <v>14</v>
      </c>
      <c r="C20" s="10" t="s">
        <v>30</v>
      </c>
      <c r="D20" s="11">
        <v>16.261261261261261</v>
      </c>
      <c r="E20" s="11">
        <v>11.34892981582877</v>
      </c>
      <c r="F20" s="11">
        <v>11.35126150924131</v>
      </c>
      <c r="G20" s="11">
        <v>18.100000000000001</v>
      </c>
      <c r="H20" s="11">
        <f>T_raw.KPI.SK[[#This Row],[TTSA Price]]-T_raw.KPI.SK[[#This Row],[Act. PPDS, THB/kg]]</f>
        <v>6.7487384907586918</v>
      </c>
      <c r="I20" s="11">
        <v>4.9000000000000004</v>
      </c>
      <c r="J20" s="7">
        <v>0.97</v>
      </c>
      <c r="K20" s="11">
        <v>0.938896733601432</v>
      </c>
      <c r="L20" s="11">
        <v>0.222</v>
      </c>
      <c r="M20" s="11">
        <v>0.2009</v>
      </c>
      <c r="N20" s="11">
        <v>0.200862488926667</v>
      </c>
      <c r="O20" s="11">
        <v>3.61</v>
      </c>
      <c r="P20" s="11">
        <v>2.2799999999999998</v>
      </c>
      <c r="Q20" s="11">
        <v>2.2800426392036859</v>
      </c>
      <c r="R20" s="11">
        <v>0.62</v>
      </c>
      <c r="S20" s="12">
        <v>6.7699999999999996E-2</v>
      </c>
      <c r="T20" s="12">
        <v>6.549125483720257E-2</v>
      </c>
      <c r="U20" s="1"/>
      <c r="V20" s="1"/>
      <c r="W20" s="1"/>
    </row>
    <row r="21" spans="1:23" x14ac:dyDescent="0.35">
      <c r="A21" s="9">
        <v>2024</v>
      </c>
      <c r="B21" s="10" t="s">
        <v>15</v>
      </c>
      <c r="C21" s="10" t="s">
        <v>30</v>
      </c>
      <c r="D21" s="11">
        <v>15.818965517241379</v>
      </c>
      <c r="E21" s="11">
        <v>9.9122807017543852</v>
      </c>
      <c r="F21" s="11">
        <v>9.8179439601777254</v>
      </c>
      <c r="G21" s="11">
        <v>17.725000000000001</v>
      </c>
      <c r="H21" s="11">
        <f>T_raw.KPI.SK[[#This Row],[TTSA Price]]-T_raw.KPI.SK[[#This Row],[Act. PPDS, THB/kg]]</f>
        <v>7.907056039822276</v>
      </c>
      <c r="I21" s="11">
        <v>4.9000000000000004</v>
      </c>
      <c r="J21" s="7">
        <v>0.97</v>
      </c>
      <c r="K21" s="11">
        <v>0.91670811953106701</v>
      </c>
      <c r="L21" s="11">
        <v>0.23200000000000001</v>
      </c>
      <c r="M21" s="11">
        <v>0.22800000000000001</v>
      </c>
      <c r="N21" s="11">
        <v>0.229716052275239</v>
      </c>
      <c r="O21" s="11">
        <v>3.67</v>
      </c>
      <c r="P21" s="11">
        <v>2.2599999999999998</v>
      </c>
      <c r="Q21" s="11">
        <v>2.2553393279915555</v>
      </c>
      <c r="R21" s="11">
        <v>0.62</v>
      </c>
      <c r="S21" s="12">
        <v>6.7699999999999996E-2</v>
      </c>
      <c r="T21" s="12">
        <v>6.8802592752608499E-2</v>
      </c>
      <c r="U21" s="1"/>
      <c r="V21" s="1"/>
      <c r="W21" s="1"/>
    </row>
    <row r="22" spans="1:23" x14ac:dyDescent="0.35">
      <c r="A22" s="9">
        <v>2024</v>
      </c>
      <c r="B22" s="10" t="s">
        <v>16</v>
      </c>
      <c r="C22" s="10" t="s">
        <v>30</v>
      </c>
      <c r="D22" s="11">
        <v>15.766738660907127</v>
      </c>
      <c r="E22" s="11">
        <v>9.8457047539616358</v>
      </c>
      <c r="F22" s="11">
        <v>9.8804640527021697</v>
      </c>
      <c r="G22" s="11">
        <v>17.087499999999999</v>
      </c>
      <c r="H22" s="11">
        <f>T_raw.KPI.SK[[#This Row],[TTSA Price]]-T_raw.KPI.SK[[#This Row],[Act. PPDS, THB/kg]]</f>
        <v>7.2070359472978289</v>
      </c>
      <c r="I22" s="11">
        <v>4.9000000000000004</v>
      </c>
      <c r="J22" s="7">
        <v>0.97</v>
      </c>
      <c r="K22" s="11">
        <v>0.96677730456968403</v>
      </c>
      <c r="L22" s="11">
        <v>0.23150000000000001</v>
      </c>
      <c r="M22" s="11">
        <v>0.23980000000000001</v>
      </c>
      <c r="N22" s="11">
        <v>0.24393694607480901</v>
      </c>
      <c r="O22" s="11">
        <v>3.65</v>
      </c>
      <c r="P22" s="11">
        <v>2.3610000000000002</v>
      </c>
      <c r="Q22" s="11">
        <v>2.4102102268180983</v>
      </c>
      <c r="R22" s="11">
        <v>0.62</v>
      </c>
      <c r="S22" s="12">
        <v>6.7699999999999996E-2</v>
      </c>
      <c r="T22" s="12">
        <v>7.29981426161979E-2</v>
      </c>
      <c r="U22" s="1"/>
      <c r="V22" s="1"/>
      <c r="W22" s="1"/>
    </row>
    <row r="23" spans="1:23" x14ac:dyDescent="0.35">
      <c r="A23" s="9">
        <v>2024</v>
      </c>
      <c r="B23" s="10" t="s">
        <v>17</v>
      </c>
      <c r="C23" s="10" t="s">
        <v>30</v>
      </c>
      <c r="D23" s="11">
        <v>15.536842105263158</v>
      </c>
      <c r="E23" s="11">
        <v>9.9466119096509242</v>
      </c>
      <c r="F23" s="11">
        <v>9.5955960326578023</v>
      </c>
      <c r="G23" s="11">
        <v>15.969999999999999</v>
      </c>
      <c r="H23" s="11">
        <f>T_raw.KPI.SK[[#This Row],[TTSA Price]]-T_raw.KPI.SK[[#This Row],[Act. PPDS, THB/kg]]</f>
        <v>6.3744039673421966</v>
      </c>
      <c r="I23" s="11">
        <v>4.9000000000000004</v>
      </c>
      <c r="J23" s="7">
        <v>0.97</v>
      </c>
      <c r="K23" s="11">
        <v>0.99954125340185396</v>
      </c>
      <c r="L23" s="11">
        <v>0.23749999999999999</v>
      </c>
      <c r="M23" s="11">
        <v>0.24349999999999999</v>
      </c>
      <c r="N23" s="11">
        <v>0.24929827293808199</v>
      </c>
      <c r="O23" s="11">
        <v>3.69</v>
      </c>
      <c r="P23" s="11">
        <v>2.4220000000000002</v>
      </c>
      <c r="Q23" s="11">
        <v>2.3921655187531004</v>
      </c>
      <c r="R23" s="11">
        <v>0.62</v>
      </c>
      <c r="S23" s="12">
        <v>6.7699999999999996E-2</v>
      </c>
      <c r="T23" s="12">
        <v>7.7290999030574903E-2</v>
      </c>
      <c r="U23" s="1"/>
      <c r="V23" s="1"/>
      <c r="W23" s="1"/>
    </row>
    <row r="24" spans="1:23" x14ac:dyDescent="0.35">
      <c r="A24" s="9">
        <v>2024</v>
      </c>
      <c r="B24" s="10" t="s">
        <v>18</v>
      </c>
      <c r="C24" s="10" t="s">
        <v>30</v>
      </c>
      <c r="D24" s="11">
        <v>15.621301775147929</v>
      </c>
      <c r="E24" s="11">
        <v>10.097847358121331</v>
      </c>
      <c r="F24" s="11">
        <v>11.11467829065057</v>
      </c>
      <c r="G24" s="11">
        <v>14.824999999999999</v>
      </c>
      <c r="H24" s="11">
        <f>T_raw.KPI.SK[[#This Row],[TTSA Price]]-T_raw.KPI.SK[[#This Row],[Act. PPDS, THB/kg]]</f>
        <v>3.7103217093494294</v>
      </c>
      <c r="I24" s="11">
        <v>4.9000000000000004</v>
      </c>
      <c r="J24" s="7">
        <v>0.97</v>
      </c>
      <c r="K24" s="11">
        <v>0.86584915401524798</v>
      </c>
      <c r="L24" s="11">
        <v>0.2535</v>
      </c>
      <c r="M24" s="11">
        <v>0.2555</v>
      </c>
      <c r="N24" s="11">
        <v>0.244749893738714</v>
      </c>
      <c r="O24" s="11">
        <v>3.96</v>
      </c>
      <c r="P24" s="11">
        <v>2.58</v>
      </c>
      <c r="Q24" s="11">
        <v>2.7203163305767206</v>
      </c>
      <c r="R24" s="11">
        <v>0.62</v>
      </c>
      <c r="S24" s="12">
        <v>6.7699999999999996E-2</v>
      </c>
      <c r="T24" s="12">
        <v>7.0931953540929293E-2</v>
      </c>
      <c r="U24" s="1"/>
      <c r="V24" s="1"/>
      <c r="W24" s="1"/>
    </row>
    <row r="25" spans="1:23" x14ac:dyDescent="0.35">
      <c r="A25" s="9">
        <v>2024</v>
      </c>
      <c r="B25" s="10" t="s">
        <v>19</v>
      </c>
      <c r="C25" s="10" t="s">
        <v>30</v>
      </c>
      <c r="D25" s="11">
        <v>15.019011406844106</v>
      </c>
      <c r="E25" s="11">
        <v>9.6666666666666661</v>
      </c>
      <c r="F25" s="11">
        <v>9.5229685710559586</v>
      </c>
      <c r="G25" s="11">
        <v>14.324999999999999</v>
      </c>
      <c r="H25" s="11">
        <f>T_raw.KPI.SK[[#This Row],[TTSA Price]]-T_raw.KPI.SK[[#This Row],[Act. PPDS, THB/kg]]</f>
        <v>4.8020314289440407</v>
      </c>
      <c r="I25" s="11">
        <v>4.9000000000000004</v>
      </c>
      <c r="J25" s="7">
        <v>0.97</v>
      </c>
      <c r="K25" s="11">
        <v>0.99197589281832899</v>
      </c>
      <c r="L25" s="11">
        <v>0.26300000000000001</v>
      </c>
      <c r="M25" s="11">
        <v>0.27</v>
      </c>
      <c r="N25" s="11">
        <v>0.26427034099951602</v>
      </c>
      <c r="O25" s="11">
        <v>3.95</v>
      </c>
      <c r="P25" s="11">
        <v>2.61</v>
      </c>
      <c r="Q25" s="11">
        <v>2.5166381516006298</v>
      </c>
      <c r="R25" s="11">
        <v>0.62</v>
      </c>
      <c r="S25" s="12">
        <v>6.7699999999999996E-2</v>
      </c>
      <c r="T25" s="12">
        <v>5.8138911043612997E-2</v>
      </c>
      <c r="U25" s="1"/>
      <c r="V25" s="1"/>
      <c r="W25" s="1"/>
    </row>
    <row r="26" spans="1:23" x14ac:dyDescent="0.35">
      <c r="A26" s="9">
        <v>2025</v>
      </c>
      <c r="B26" s="10" t="s">
        <v>8</v>
      </c>
      <c r="C26" s="10" t="s">
        <v>30</v>
      </c>
      <c r="D26" s="11">
        <v>9.4545454545454533</v>
      </c>
      <c r="E26" s="11">
        <v>8.9821428571428559</v>
      </c>
      <c r="F26" s="11">
        <v>8.9837623090279735</v>
      </c>
      <c r="G26" s="11">
        <v>13.95</v>
      </c>
      <c r="H26" s="11">
        <f>T_raw.KPI.SK[[#This Row],[TTSA Price]]-T_raw.KPI.SK[[#This Row],[Act. PPDS, THB/kg]]</f>
        <v>4.9662376909720258</v>
      </c>
      <c r="I26" s="11">
        <v>4.7</v>
      </c>
      <c r="J26" s="7">
        <v>0.97</v>
      </c>
      <c r="K26" s="11">
        <v>0.99285694639968602</v>
      </c>
      <c r="L26" s="11">
        <v>0.27500000000000002</v>
      </c>
      <c r="M26" s="11">
        <v>0.28000000000000003</v>
      </c>
      <c r="N26" s="11">
        <v>0.27998711016072497</v>
      </c>
      <c r="O26" s="11">
        <v>2.6</v>
      </c>
      <c r="P26" s="11">
        <v>2.5150000000000001</v>
      </c>
      <c r="Q26" s="11">
        <v>2.515337647275588</v>
      </c>
      <c r="R26" s="11">
        <v>0.71</v>
      </c>
      <c r="S26" s="17">
        <v>0.06</v>
      </c>
      <c r="T26" s="12">
        <v>5.5510389765331493E-2</v>
      </c>
      <c r="U26" s="1"/>
      <c r="V26" s="1"/>
      <c r="W26" s="1"/>
    </row>
    <row r="27" spans="1:23" x14ac:dyDescent="0.35">
      <c r="A27" s="9">
        <v>2025</v>
      </c>
      <c r="B27" s="10" t="s">
        <v>9</v>
      </c>
      <c r="C27" s="10" t="s">
        <v>30</v>
      </c>
      <c r="D27" s="11">
        <v>9.420289855072463</v>
      </c>
      <c r="E27" s="11">
        <v>8.753971055418285</v>
      </c>
      <c r="F27" s="11">
        <v>8.7660382617888626</v>
      </c>
      <c r="G27" s="11">
        <v>14</v>
      </c>
      <c r="H27" s="11">
        <f>T_raw.KPI.SK[[#This Row],[TTSA Price]]-T_raw.KPI.SK[[#This Row],[Act. PPDS, THB/kg]]</f>
        <v>5.2339617382111374</v>
      </c>
      <c r="I27" s="11">
        <v>4.7</v>
      </c>
      <c r="J27" s="7">
        <v>0.97</v>
      </c>
      <c r="K27" s="11">
        <v>0.93255726189243204</v>
      </c>
      <c r="L27" s="11">
        <v>0.27600000000000002</v>
      </c>
      <c r="M27" s="11">
        <v>0.2833</v>
      </c>
      <c r="N27" s="11">
        <v>0.28332371876225898</v>
      </c>
      <c r="O27" s="11">
        <v>2.6</v>
      </c>
      <c r="P27" s="11">
        <v>2.48</v>
      </c>
      <c r="Q27" s="11">
        <v>2.4836265591422659</v>
      </c>
      <c r="R27" s="11">
        <v>0.71</v>
      </c>
      <c r="S27" s="17">
        <v>0.06</v>
      </c>
      <c r="T27" s="12">
        <v>5.6674562225430457E-2</v>
      </c>
      <c r="U27" s="1"/>
      <c r="V27" s="1"/>
      <c r="W27" s="1"/>
    </row>
    <row r="28" spans="1:23" x14ac:dyDescent="0.35">
      <c r="A28" s="9">
        <v>2025</v>
      </c>
      <c r="B28" s="10" t="s">
        <v>10</v>
      </c>
      <c r="C28" s="10" t="s">
        <v>30</v>
      </c>
      <c r="D28" s="11">
        <v>9.615384615384615</v>
      </c>
      <c r="E28" s="11">
        <v>7.9985119047619051</v>
      </c>
      <c r="F28" s="11">
        <v>7.8539545699977165</v>
      </c>
      <c r="G28" s="11">
        <v>13.887499999999999</v>
      </c>
      <c r="H28" s="11">
        <f>T_raw.KPI.SK[[#This Row],[TTSA Price]]-T_raw.KPI.SK[[#This Row],[Act. PPDS, THB/kg]]</f>
        <v>6.0335454300022828</v>
      </c>
      <c r="I28" s="11">
        <v>4.7</v>
      </c>
      <c r="J28" s="7">
        <v>0.97</v>
      </c>
      <c r="K28" s="11">
        <v>0.94625958674671296</v>
      </c>
      <c r="L28" s="11">
        <v>0.26</v>
      </c>
      <c r="M28" s="11">
        <v>0.26879999999999998</v>
      </c>
      <c r="N28" s="11">
        <v>0.26571255159693602</v>
      </c>
      <c r="O28" s="11">
        <v>2.5</v>
      </c>
      <c r="P28" s="11">
        <v>2.15</v>
      </c>
      <c r="Q28" s="11">
        <v>2.0868943089205061</v>
      </c>
      <c r="R28" s="11">
        <v>0.71</v>
      </c>
      <c r="S28" s="17">
        <v>0.06</v>
      </c>
      <c r="T28" s="17">
        <v>4.24E-2</v>
      </c>
      <c r="U28" s="1"/>
      <c r="V28" s="1"/>
      <c r="W28" s="1"/>
    </row>
    <row r="29" spans="1:23" x14ac:dyDescent="0.35">
      <c r="A29" s="9">
        <v>2025</v>
      </c>
      <c r="B29" s="10" t="s">
        <v>11</v>
      </c>
      <c r="C29" s="10" t="s">
        <v>30</v>
      </c>
      <c r="D29" s="11">
        <v>10.555555555555555</v>
      </c>
      <c r="E29" s="11">
        <v>8.5185185185185173</v>
      </c>
      <c r="F29" s="11">
        <v>8.1076634011667004</v>
      </c>
      <c r="G29" s="11">
        <v>13.299999999999999</v>
      </c>
      <c r="H29" s="11">
        <f>T_raw.KPI.SK[[#This Row],[TTSA Price]]-T_raw.KPI.SK[[#This Row],[Act. PPDS, THB/kg]]</f>
        <v>5.1923365988332986</v>
      </c>
      <c r="I29" s="11">
        <v>4.7</v>
      </c>
      <c r="J29" s="7">
        <v>0.97</v>
      </c>
      <c r="K29" s="11">
        <v>0.96981619631180604</v>
      </c>
      <c r="L29" s="11">
        <v>0.23400000000000001</v>
      </c>
      <c r="M29" s="11">
        <v>0.24299999999999999</v>
      </c>
      <c r="N29" s="11">
        <v>0.23546041186995401</v>
      </c>
      <c r="O29" s="7">
        <v>2.4700000000000002</v>
      </c>
      <c r="P29" s="11">
        <v>2.0699999999999998</v>
      </c>
      <c r="Q29" s="11">
        <v>1.9090337637416701</v>
      </c>
      <c r="R29" s="11">
        <v>0.71</v>
      </c>
      <c r="S29" s="17">
        <v>0.06</v>
      </c>
      <c r="T29" s="17">
        <v>5.3065153468307931E-2</v>
      </c>
      <c r="U29" s="1"/>
      <c r="V29" s="1"/>
      <c r="W29" s="1"/>
    </row>
    <row r="30" spans="1:23" x14ac:dyDescent="0.35">
      <c r="A30" s="9">
        <v>2025</v>
      </c>
      <c r="B30" s="10" t="s">
        <v>12</v>
      </c>
      <c r="C30" s="10" t="s">
        <v>30</v>
      </c>
      <c r="D30" s="11">
        <v>11.310679611650487</v>
      </c>
      <c r="E30" s="11">
        <v>9.0909090909090917</v>
      </c>
      <c r="F30" s="11">
        <v>8.2725715431077091</v>
      </c>
      <c r="G30" s="11">
        <v>13.137499999999999</v>
      </c>
      <c r="H30" s="11">
        <f>T_raw.KPI.SK[[#This Row],[TTSA Price]]-T_raw.KPI.SK[[#This Row],[Act. PPDS, THB/kg]]</f>
        <v>4.8649284568922901</v>
      </c>
      <c r="I30" s="11">
        <v>4.7</v>
      </c>
      <c r="J30" s="7">
        <v>0.97</v>
      </c>
      <c r="K30" s="11">
        <v>0.96192692361717502</v>
      </c>
      <c r="L30" s="11">
        <v>0.20599999999999999</v>
      </c>
      <c r="M30" s="11">
        <v>0.22</v>
      </c>
      <c r="N30" s="11">
        <v>0.206541641691389</v>
      </c>
      <c r="O30" s="7">
        <v>2.33</v>
      </c>
      <c r="P30" s="11">
        <v>2</v>
      </c>
      <c r="Q30" s="11">
        <v>1.70863050752293</v>
      </c>
      <c r="R30" s="11">
        <v>0.71</v>
      </c>
      <c r="S30" s="17">
        <v>0.06</v>
      </c>
      <c r="T30" s="17">
        <v>4.1506824889792598E-2</v>
      </c>
      <c r="U30" s="1"/>
      <c r="V30" s="1"/>
      <c r="W30" s="1"/>
    </row>
    <row r="31" spans="1:23" x14ac:dyDescent="0.35">
      <c r="A31" s="9">
        <v>2025</v>
      </c>
      <c r="B31" s="10" t="s">
        <v>13</v>
      </c>
      <c r="C31" s="10" t="s">
        <v>30</v>
      </c>
      <c r="D31" s="11">
        <v>11.435643564356436</v>
      </c>
      <c r="E31" s="11">
        <v>9.2857142857142865</v>
      </c>
      <c r="F31" s="11">
        <v>8.5500333800499089</v>
      </c>
      <c r="G31" s="11">
        <v>13.383333333333333</v>
      </c>
      <c r="H31" s="11">
        <f>T_raw.KPI.SK[[#This Row],[TTSA Price]]-T_raw.KPI.SK[[#This Row],[Act. PPDS, THB/kg]]</f>
        <v>4.833299953283424</v>
      </c>
      <c r="I31" s="11">
        <v>4.7</v>
      </c>
      <c r="J31" s="7">
        <v>0.97</v>
      </c>
      <c r="K31" s="11">
        <v>0.98844316532368903</v>
      </c>
      <c r="L31" s="11">
        <v>0.20200000000000001</v>
      </c>
      <c r="M31" s="18">
        <v>0.21</v>
      </c>
      <c r="N31" s="11">
        <v>0.206039233317725</v>
      </c>
      <c r="O31" s="7">
        <v>2.31</v>
      </c>
      <c r="P31" s="11">
        <v>1.95</v>
      </c>
      <c r="Q31" s="11">
        <v>1.7616423224664399</v>
      </c>
      <c r="R31" s="11">
        <v>0.71</v>
      </c>
      <c r="S31" s="17">
        <v>0.06</v>
      </c>
      <c r="T31" s="17">
        <v>7.7856067480091037E-2</v>
      </c>
      <c r="U31" s="1"/>
      <c r="V31" s="1"/>
      <c r="W31" s="1"/>
    </row>
    <row r="32" spans="1:23" x14ac:dyDescent="0.35">
      <c r="A32" s="9">
        <v>2025</v>
      </c>
      <c r="B32" s="10" t="s">
        <v>14</v>
      </c>
      <c r="C32" s="10" t="s">
        <v>30</v>
      </c>
      <c r="D32" s="11">
        <v>10.681818181818182</v>
      </c>
      <c r="E32" s="11">
        <v>9.7799999999999994</v>
      </c>
      <c r="F32" s="11">
        <v>8.8182592632605292</v>
      </c>
      <c r="G32" s="11">
        <v>13.569999999999999</v>
      </c>
      <c r="H32" s="11">
        <f>T_raw.KPI.SK[[#This Row],[TTSA Price]]-T_raw.KPI.SK[[#This Row],[Act. PPDS, THB/kg]]</f>
        <v>4.7517407367394693</v>
      </c>
      <c r="I32" s="11">
        <v>4.7</v>
      </c>
      <c r="J32" s="7">
        <v>0.97</v>
      </c>
      <c r="K32" s="11">
        <v>0.96250215150709295</v>
      </c>
      <c r="L32" s="11">
        <v>0.22</v>
      </c>
      <c r="M32" s="18">
        <v>0.21959999999999999</v>
      </c>
      <c r="N32" s="11">
        <v>0.22594806461472999</v>
      </c>
      <c r="O32" s="7">
        <v>2.35</v>
      </c>
      <c r="P32" s="11">
        <v>2.15</v>
      </c>
      <c r="Q32" s="11">
        <v>1.9924686138046304</v>
      </c>
      <c r="R32" s="11">
        <v>0.71</v>
      </c>
      <c r="S32" s="17">
        <v>0.06</v>
      </c>
      <c r="T32" s="17">
        <v>8.0679435578709019E-2</v>
      </c>
      <c r="U32" s="1"/>
      <c r="V32" s="1"/>
      <c r="W32" s="1"/>
    </row>
    <row r="33" spans="1:23" x14ac:dyDescent="0.35">
      <c r="A33" s="9">
        <v>2025</v>
      </c>
      <c r="B33" s="10" t="s">
        <v>15</v>
      </c>
      <c r="C33" s="10" t="s">
        <v>30</v>
      </c>
      <c r="D33" s="11">
        <v>10.425531914893618</v>
      </c>
      <c r="E33" s="11">
        <v>8.6434829818248815</v>
      </c>
      <c r="F33" s="11">
        <v>8.6293209401226747</v>
      </c>
      <c r="G33" s="11">
        <v>13.5</v>
      </c>
      <c r="H33" s="11">
        <f>T_raw.KPI.SK[[#This Row],[TTSA Price]]-T_raw.KPI.SK[[#This Row],[Act. PPDS, THB/kg]]</f>
        <v>4.8706790598773253</v>
      </c>
      <c r="I33" s="11">
        <v>4.7</v>
      </c>
      <c r="J33" s="7">
        <v>0.97</v>
      </c>
      <c r="K33" s="11">
        <v>0.95328019823764099</v>
      </c>
      <c r="L33" s="11">
        <v>0.23499999999999999</v>
      </c>
      <c r="M33" s="18">
        <v>0.24328746174010299</v>
      </c>
      <c r="N33" s="11">
        <v>0.244020365442216</v>
      </c>
      <c r="O33" s="7">
        <v>2.4500000000000002</v>
      </c>
      <c r="P33" s="11">
        <v>2.1028510352419518</v>
      </c>
      <c r="Q33" s="11">
        <v>2.1057300493269047</v>
      </c>
      <c r="R33" s="11">
        <v>0.71</v>
      </c>
      <c r="S33" s="17">
        <v>0.06</v>
      </c>
      <c r="T33" s="17">
        <v>7.1841503609247445E-2</v>
      </c>
      <c r="U33" s="1"/>
      <c r="V33" s="1"/>
      <c r="W33" s="1"/>
    </row>
    <row r="34" spans="1:23" x14ac:dyDescent="0.35">
      <c r="A34" s="9">
        <v>2025</v>
      </c>
      <c r="B34" s="10" t="s">
        <v>16</v>
      </c>
      <c r="C34" s="10" t="s">
        <v>30</v>
      </c>
      <c r="D34" s="11">
        <v>10.208333333333334</v>
      </c>
      <c r="E34" s="11">
        <v>8.9186566454190839</v>
      </c>
      <c r="F34" s="11">
        <v>8.7649616781331243</v>
      </c>
      <c r="G34" s="11">
        <v>13.4</v>
      </c>
      <c r="H34" s="11">
        <f>T_raw.KPI.SK[[#This Row],[TTSA Price]]-T_raw.KPI.SK[[#This Row],[Act. PPDS, THB/kg]]</f>
        <v>4.635038321866876</v>
      </c>
      <c r="I34" s="11">
        <v>4.7</v>
      </c>
      <c r="J34" s="7">
        <v>0.97</v>
      </c>
      <c r="K34" s="11">
        <v>0.98233739082856797</v>
      </c>
      <c r="L34" s="11">
        <v>0.24</v>
      </c>
      <c r="M34" s="18">
        <v>0.24218894009216599</v>
      </c>
      <c r="N34" s="11">
        <v>0.24325976082898801</v>
      </c>
      <c r="O34" s="7">
        <v>2.4500000000000002</v>
      </c>
      <c r="P34" s="11">
        <v>2.16</v>
      </c>
      <c r="Q34" s="11">
        <v>2.1321624814979083</v>
      </c>
      <c r="R34" s="11">
        <v>0.71</v>
      </c>
      <c r="S34" s="17">
        <v>0.06</v>
      </c>
      <c r="T34" s="17">
        <v>8.9594804703942002E-2</v>
      </c>
      <c r="U34" s="1"/>
      <c r="V34" s="1"/>
      <c r="W34" s="1"/>
    </row>
    <row r="35" spans="1:23" x14ac:dyDescent="0.35">
      <c r="A35" s="9">
        <v>2025</v>
      </c>
      <c r="B35" s="10" t="s">
        <v>17</v>
      </c>
      <c r="C35" s="10" t="s">
        <v>30</v>
      </c>
      <c r="D35" s="11">
        <v>9.9590163934426243</v>
      </c>
      <c r="E35" s="11">
        <v>8.9</v>
      </c>
      <c r="F35" s="11">
        <v>9.3423812397525197</v>
      </c>
      <c r="G35" s="11">
        <v>13.475</v>
      </c>
      <c r="H35" s="11">
        <f>T_raw.KPI.SK[[#This Row],[TTSA Price]]-T_raw.KPI.SK[[#This Row],[Act. PPDS, THB/kg]]</f>
        <v>4.13261876024748</v>
      </c>
      <c r="I35" s="11">
        <v>4.7</v>
      </c>
      <c r="J35" s="7">
        <v>0.97</v>
      </c>
      <c r="K35" s="11">
        <v>0.94999178263233897</v>
      </c>
      <c r="L35" s="11">
        <v>0.24399999999999999</v>
      </c>
      <c r="M35" s="18">
        <v>0.25</v>
      </c>
      <c r="N35" s="11">
        <v>0.243185429729363</v>
      </c>
      <c r="O35" s="7">
        <v>2.4300000000000002</v>
      </c>
      <c r="P35" s="11">
        <v>2.2250000000000001</v>
      </c>
      <c r="Q35" s="11">
        <v>2.2719309964847603</v>
      </c>
      <c r="R35" s="11">
        <v>0.71</v>
      </c>
      <c r="S35" s="17">
        <v>0.06</v>
      </c>
      <c r="T35" s="17">
        <v>8.4106390856694205E-2</v>
      </c>
      <c r="U35" s="1"/>
      <c r="V35" s="1"/>
      <c r="W35" s="1"/>
    </row>
    <row r="36" spans="1:23" x14ac:dyDescent="0.35">
      <c r="A36" s="9">
        <v>2025</v>
      </c>
      <c r="B36" s="10" t="s">
        <v>18</v>
      </c>
      <c r="C36" s="10" t="s">
        <v>30</v>
      </c>
      <c r="D36" s="11">
        <v>10.314960629921259</v>
      </c>
      <c r="E36" s="11">
        <v>10.199870185160629</v>
      </c>
      <c r="F36" s="11">
        <v>10.297842624619305</v>
      </c>
      <c r="G36" s="11">
        <v>13.600000000000001</v>
      </c>
      <c r="H36" s="11">
        <f>T_raw.KPI.SK[[#This Row],[TTSA Price]]-T_raw.KPI.SK[[#This Row],[Act. PPDS, THB/kg]]</f>
        <v>3.3021573753806965</v>
      </c>
      <c r="I36" s="11">
        <v>4.7</v>
      </c>
      <c r="J36" s="7">
        <v>0.97</v>
      </c>
      <c r="K36" s="11">
        <v>0.99039473663094102</v>
      </c>
      <c r="L36" s="11">
        <v>0.254</v>
      </c>
      <c r="M36" s="18">
        <v>0.25048750518224</v>
      </c>
      <c r="N36" s="11">
        <v>0.25291087447547</v>
      </c>
      <c r="O36" s="7">
        <v>2.62</v>
      </c>
      <c r="P36" s="11">
        <v>2.5549400358635985</v>
      </c>
      <c r="Q36" s="11">
        <v>2.6044363834032422</v>
      </c>
      <c r="R36" s="11">
        <v>0.71</v>
      </c>
      <c r="S36" s="17">
        <v>0.06</v>
      </c>
      <c r="T36" s="17">
        <v>9.0915970336837501E-2</v>
      </c>
      <c r="U36" s="1"/>
      <c r="V36" s="1"/>
      <c r="W36" s="1"/>
    </row>
    <row r="37" spans="1:23" x14ac:dyDescent="0.35">
      <c r="A37" s="9">
        <v>2025</v>
      </c>
      <c r="B37" s="10" t="s">
        <v>19</v>
      </c>
      <c r="C37" s="10" t="s">
        <v>30</v>
      </c>
      <c r="D37" s="11">
        <v>9.6678966789667893</v>
      </c>
      <c r="E37" s="7">
        <v>9.9700000000000006</v>
      </c>
      <c r="F37" s="11">
        <v>10.10304457516318</v>
      </c>
      <c r="G37" s="11">
        <v>13.925000000000001</v>
      </c>
      <c r="H37" s="11">
        <f>T_raw.KPI.SK[[#This Row],[TTSA Price]]-T_raw.KPI.SK[[#This Row],[Act. PPDS, THB/kg]]</f>
        <v>3.8219554248368208</v>
      </c>
      <c r="I37" s="11">
        <v>4.7</v>
      </c>
      <c r="J37" s="7">
        <v>0.97</v>
      </c>
      <c r="K37" s="11">
        <v>0.98665550901071397</v>
      </c>
      <c r="L37" s="11">
        <v>0.27100000000000002</v>
      </c>
      <c r="M37" s="18">
        <v>0.26440000000000002</v>
      </c>
      <c r="N37" s="11">
        <v>0.26884980208813902</v>
      </c>
      <c r="O37" s="7">
        <v>2.62</v>
      </c>
      <c r="P37" s="11">
        <v>2.64</v>
      </c>
      <c r="Q37" s="11">
        <v>2.7162015345202626</v>
      </c>
      <c r="R37" s="11">
        <v>0.71</v>
      </c>
      <c r="S37" s="17">
        <v>0.06</v>
      </c>
      <c r="T37" s="17">
        <v>6.6567078965392823E-2</v>
      </c>
      <c r="U37" s="1"/>
      <c r="V37" s="1"/>
      <c r="W37" s="1"/>
    </row>
    <row r="38" spans="1:23" s="26" customFormat="1" x14ac:dyDescent="0.35">
      <c r="A38" s="19">
        <v>2026</v>
      </c>
      <c r="B38" s="20" t="s">
        <v>8</v>
      </c>
      <c r="C38" s="20" t="s">
        <v>30</v>
      </c>
      <c r="D38" s="21">
        <v>10.074410163339381</v>
      </c>
      <c r="E38" s="21">
        <v>10.63608812853573</v>
      </c>
      <c r="F38" s="21">
        <v>10.63608812853573</v>
      </c>
      <c r="G38" s="21">
        <v>14.1875</v>
      </c>
      <c r="H38" s="21">
        <f>T_raw.KPI.SK[[#This Row],[TTSA Price]]-T_raw.KPI.SK[[#This Row],[Act. PPDS, THB/kg]]</f>
        <v>3.5514118714642695</v>
      </c>
      <c r="I38" s="21">
        <v>4.5999999999999996</v>
      </c>
      <c r="J38" s="22">
        <v>0.97</v>
      </c>
      <c r="K38" s="21">
        <v>0.94378469428642198</v>
      </c>
      <c r="L38" s="21">
        <v>0.27550000000000002</v>
      </c>
      <c r="M38" s="21">
        <v>0.2746403234054558</v>
      </c>
      <c r="N38" s="21">
        <v>0.27464032340545602</v>
      </c>
      <c r="O38" s="21">
        <v>2.7754999999999996</v>
      </c>
      <c r="P38" s="21">
        <v>2.9210986833899821</v>
      </c>
      <c r="Q38" s="21">
        <v>2.9210986833899821</v>
      </c>
      <c r="R38" s="21">
        <v>0.5</v>
      </c>
      <c r="S38" s="23">
        <v>0.06</v>
      </c>
      <c r="T38" s="23">
        <v>6.7020483688274402E-2</v>
      </c>
      <c r="U38" s="24"/>
      <c r="V38" s="25"/>
      <c r="W38" s="25"/>
    </row>
    <row r="39" spans="1:23" x14ac:dyDescent="0.35">
      <c r="A39" s="9">
        <v>2026</v>
      </c>
      <c r="B39" s="10" t="s">
        <v>9</v>
      </c>
      <c r="C39" s="10" t="s">
        <v>30</v>
      </c>
      <c r="D39" s="11">
        <v>9.8214285714285712</v>
      </c>
      <c r="E39" s="11">
        <v>10.736585365853658</v>
      </c>
      <c r="F39" s="11">
        <v>10.670788241401016</v>
      </c>
      <c r="G39" s="11">
        <v>14.4</v>
      </c>
      <c r="H39" s="11">
        <f>T_raw.KPI.SK[[#This Row],[TTSA Price]]-T_raw.KPI.SK[[#This Row],[Act. PPDS, THB/kg]]</f>
        <v>3.7292117585989839</v>
      </c>
      <c r="I39" s="11">
        <v>4.5999999999999996</v>
      </c>
      <c r="J39" s="7">
        <v>0.97</v>
      </c>
      <c r="K39" s="11">
        <v>0.99387168990786401</v>
      </c>
      <c r="L39" s="11">
        <v>0.28000000000000003</v>
      </c>
      <c r="M39" s="11">
        <v>0.27333333333333337</v>
      </c>
      <c r="N39" s="11">
        <v>0.27605269710241398</v>
      </c>
      <c r="O39" s="11">
        <v>2.75</v>
      </c>
      <c r="P39" s="11">
        <v>2.9346666666666668</v>
      </c>
      <c r="Q39" s="11">
        <v>2.9456998742474774</v>
      </c>
      <c r="R39" s="11">
        <v>0.5</v>
      </c>
      <c r="S39" s="17">
        <v>0.06</v>
      </c>
      <c r="T39" s="17">
        <v>4.6321863935472898E-2</v>
      </c>
    </row>
    <row r="40" spans="1:23" x14ac:dyDescent="0.35">
      <c r="A40" s="9">
        <v>2026</v>
      </c>
      <c r="B40" s="10" t="s">
        <v>10</v>
      </c>
      <c r="C40" s="10" t="s">
        <v>30</v>
      </c>
      <c r="D40" s="11">
        <v>9.9245283018867934</v>
      </c>
      <c r="E40" s="11">
        <v>10.940493468795355</v>
      </c>
      <c r="F40" s="11">
        <v>11.38</v>
      </c>
      <c r="G40" s="11">
        <v>15.34</v>
      </c>
      <c r="H40" s="11">
        <f>T_raw.KPI.SK[[#This Row],[TTSA Price]]-T_raw.KPI.SK[[#This Row],[Act. PPDS, THB/kg]]</f>
        <v>3.9599999999999991</v>
      </c>
      <c r="I40" s="11">
        <v>4.5999999999999996</v>
      </c>
      <c r="J40" s="7">
        <v>0.97</v>
      </c>
      <c r="K40" s="11">
        <v>0.96006500399464101</v>
      </c>
      <c r="L40" s="11">
        <v>0.26500000000000001</v>
      </c>
      <c r="M40" s="11">
        <v>0.26500000000000001</v>
      </c>
      <c r="N40" s="11">
        <v>0.25430969888730298</v>
      </c>
      <c r="O40" s="11">
        <v>2.6300000000000003</v>
      </c>
      <c r="P40" s="11">
        <v>2.8992307692307691</v>
      </c>
      <c r="Q40" s="11">
        <v>2.8933836848188021</v>
      </c>
      <c r="R40" s="11">
        <v>0.5</v>
      </c>
      <c r="S40" s="17">
        <v>0.06</v>
      </c>
      <c r="T40" s="17">
        <v>5.5178997588908943E-2</v>
      </c>
    </row>
    <row r="41" spans="1:23" x14ac:dyDescent="0.35">
      <c r="A41" s="9">
        <v>2026</v>
      </c>
      <c r="B41" s="10" t="s">
        <v>11</v>
      </c>
      <c r="C41" s="10" t="s">
        <v>30</v>
      </c>
      <c r="D41" s="11">
        <v>10</v>
      </c>
      <c r="E41" s="11">
        <v>13.472049689440993</v>
      </c>
      <c r="F41" s="11">
        <v>14.525232277278194</v>
      </c>
      <c r="G41" s="11">
        <v>16.8</v>
      </c>
      <c r="H41" s="11">
        <f>T_raw.KPI.SK[[#This Row],[TTSA Price]]-T_raw.KPI.SK[[#This Row],[Act. PPDS, THB/kg]]</f>
        <v>2.2747677227218066</v>
      </c>
      <c r="I41" s="11">
        <v>4.5999999999999996</v>
      </c>
      <c r="J41" s="7">
        <v>0.97</v>
      </c>
      <c r="K41" s="11">
        <v>0.92182462118866304</v>
      </c>
      <c r="L41" s="11">
        <v>0.23800000000000002</v>
      </c>
      <c r="M41" s="11">
        <v>0.23</v>
      </c>
      <c r="N41" s="11">
        <v>0.222275074838752</v>
      </c>
      <c r="O41" s="11">
        <v>2.38</v>
      </c>
      <c r="P41" s="11">
        <v>3.0985714285714283</v>
      </c>
      <c r="Q41" s="11">
        <v>3.2285970914822673</v>
      </c>
      <c r="R41" s="11">
        <v>0.5</v>
      </c>
      <c r="S41" s="17">
        <v>0.06</v>
      </c>
      <c r="T41" s="17">
        <v>6.0197601302927103E-2</v>
      </c>
    </row>
    <row r="42" spans="1:23" x14ac:dyDescent="0.35">
      <c r="A42" s="9">
        <v>2026</v>
      </c>
      <c r="B42" s="10" t="s">
        <v>12</v>
      </c>
      <c r="C42" s="10" t="s">
        <v>30</v>
      </c>
      <c r="D42" s="11">
        <v>10.116009280742459</v>
      </c>
      <c r="E42" s="11">
        <v>17.137860082304528</v>
      </c>
      <c r="F42" s="11">
        <v>16.935768546945777</v>
      </c>
      <c r="G42" s="11">
        <v>18.975000000000001</v>
      </c>
      <c r="H42" s="11">
        <f>T_raw.KPI.SK[[#This Row],[TTSA Price]]-T_raw.KPI.SK[[#This Row],[Act. PPDS, THB/kg]]</f>
        <v>2.0392314530542244</v>
      </c>
      <c r="I42" s="11">
        <v>4.5999999999999996</v>
      </c>
      <c r="J42" s="7">
        <v>0.97</v>
      </c>
      <c r="K42" s="29">
        <v>0.98820788976055296</v>
      </c>
      <c r="L42" s="11">
        <v>0.2155</v>
      </c>
      <c r="M42" s="11">
        <v>0.19440000000000002</v>
      </c>
      <c r="N42" s="11">
        <v>0.19327258692253499</v>
      </c>
      <c r="O42" s="11">
        <v>2.1799999999999997</v>
      </c>
      <c r="P42" s="11">
        <v>3.3316000000000003</v>
      </c>
      <c r="Q42" s="11">
        <v>3.2732197985895115</v>
      </c>
      <c r="R42" s="11">
        <v>0.5</v>
      </c>
      <c r="S42" s="17">
        <v>0.06</v>
      </c>
      <c r="T42" s="17">
        <v>7.1116209472010819E-2</v>
      </c>
    </row>
    <row r="43" spans="1:23" x14ac:dyDescent="0.35">
      <c r="A43" s="9">
        <v>2026</v>
      </c>
      <c r="B43" s="10" t="s">
        <v>13</v>
      </c>
      <c r="C43" s="10" t="s">
        <v>30</v>
      </c>
      <c r="D43" s="11">
        <v>10.372093023255815</v>
      </c>
      <c r="E43" s="11">
        <v>17.564479268690828</v>
      </c>
      <c r="F43" s="11">
        <v>0.01</v>
      </c>
      <c r="G43" s="11">
        <v>0.01</v>
      </c>
      <c r="H43" s="11">
        <f>T_raw.KPI.SK[[#This Row],[TTSA Price]]-T_raw.KPI.SK[[#This Row],[Act. PPDS, THB/kg]]</f>
        <v>0</v>
      </c>
      <c r="I43" s="11">
        <v>4.5999999999999996</v>
      </c>
      <c r="J43" s="7">
        <v>0.97</v>
      </c>
      <c r="K43" s="7">
        <v>0.01</v>
      </c>
      <c r="L43" s="11">
        <v>0.215</v>
      </c>
      <c r="M43" s="11">
        <v>0.19143750000000001</v>
      </c>
      <c r="N43" s="11">
        <v>0.01</v>
      </c>
      <c r="O43" s="11">
        <v>2.23</v>
      </c>
      <c r="P43" s="11">
        <v>3.3625000000000003</v>
      </c>
      <c r="Q43" s="11">
        <v>0.01</v>
      </c>
      <c r="R43" s="11">
        <v>0.5</v>
      </c>
      <c r="S43" s="17">
        <v>0.06</v>
      </c>
      <c r="T43" s="11">
        <v>0.01</v>
      </c>
    </row>
    <row r="44" spans="1:23" x14ac:dyDescent="0.35">
      <c r="A44" s="9">
        <v>2026</v>
      </c>
      <c r="B44" s="10" t="s">
        <v>14</v>
      </c>
      <c r="C44" s="10" t="s">
        <v>30</v>
      </c>
      <c r="D44" s="11">
        <v>10</v>
      </c>
      <c r="E44" s="11">
        <v>14.999999999999996</v>
      </c>
      <c r="F44" s="11">
        <v>0.01</v>
      </c>
      <c r="G44" s="11">
        <v>0.01</v>
      </c>
      <c r="H44" s="11">
        <f>T_raw.KPI.SK[[#This Row],[TTSA Price]]-T_raw.KPI.SK[[#This Row],[Act. PPDS, THB/kg]]</f>
        <v>0</v>
      </c>
      <c r="I44" s="11">
        <v>4.5999999999999996</v>
      </c>
      <c r="J44" s="7">
        <v>0.97</v>
      </c>
      <c r="K44" s="7">
        <v>0.01</v>
      </c>
      <c r="L44" s="11">
        <v>0.22</v>
      </c>
      <c r="M44" s="11">
        <v>0.21</v>
      </c>
      <c r="N44" s="11">
        <v>0.01</v>
      </c>
      <c r="O44" s="11">
        <v>2.2000000000000002</v>
      </c>
      <c r="P44" s="11">
        <v>3.1499999999999995</v>
      </c>
      <c r="Q44" s="11">
        <v>0.01</v>
      </c>
      <c r="R44" s="11">
        <v>0.5</v>
      </c>
      <c r="S44" s="17">
        <v>0.06</v>
      </c>
      <c r="T44" s="11">
        <v>0.01</v>
      </c>
    </row>
    <row r="45" spans="1:23" x14ac:dyDescent="0.35">
      <c r="A45" s="9">
        <v>2026</v>
      </c>
      <c r="B45" s="10" t="s">
        <v>15</v>
      </c>
      <c r="C45" s="10" t="s">
        <v>30</v>
      </c>
      <c r="D45" s="11">
        <v>9.7021276595744688</v>
      </c>
      <c r="E45" s="11">
        <v>14.133333333333331</v>
      </c>
      <c r="F45" s="11">
        <v>0.01</v>
      </c>
      <c r="G45" s="11">
        <v>0.01</v>
      </c>
      <c r="H45" s="11">
        <f>T_raw.KPI.SK[[#This Row],[TTSA Price]]-T_raw.KPI.SK[[#This Row],[Act. PPDS, THB/kg]]</f>
        <v>0</v>
      </c>
      <c r="I45" s="11">
        <v>4.5999999999999996</v>
      </c>
      <c r="J45" s="7">
        <v>0.97</v>
      </c>
      <c r="K45" s="7">
        <v>0.01</v>
      </c>
      <c r="L45" s="11">
        <v>0.23499999999999999</v>
      </c>
      <c r="M45" s="11">
        <v>0.22500000000000001</v>
      </c>
      <c r="N45" s="11">
        <v>0.01</v>
      </c>
      <c r="O45" s="11">
        <v>2.2799999999999998</v>
      </c>
      <c r="P45" s="11">
        <v>3.1799999999999997</v>
      </c>
      <c r="Q45" s="11">
        <v>0.01</v>
      </c>
      <c r="R45" s="11">
        <v>0.5</v>
      </c>
      <c r="S45" s="17">
        <v>0.06</v>
      </c>
      <c r="T45" s="11">
        <v>0.01</v>
      </c>
    </row>
    <row r="46" spans="1:23" x14ac:dyDescent="0.35">
      <c r="A46" s="9">
        <v>2026</v>
      </c>
      <c r="B46" s="10" t="s">
        <v>16</v>
      </c>
      <c r="C46" s="10" t="s">
        <v>30</v>
      </c>
      <c r="D46" s="11">
        <v>8.8934426229508201</v>
      </c>
      <c r="E46" s="11">
        <v>13.299959013993789</v>
      </c>
      <c r="F46" s="11">
        <v>0.01</v>
      </c>
      <c r="G46" s="11">
        <v>0.01</v>
      </c>
      <c r="H46" s="11">
        <f>T_raw.KPI.SK[[#This Row],[TTSA Price]]-T_raw.KPI.SK[[#This Row],[Act. PPDS, THB/kg]]</f>
        <v>0</v>
      </c>
      <c r="I46" s="11">
        <v>4.5999999999999996</v>
      </c>
      <c r="J46" s="7">
        <v>0.97</v>
      </c>
      <c r="K46" s="7">
        <v>0.01</v>
      </c>
      <c r="L46" s="11">
        <v>0.24399999999999999</v>
      </c>
      <c r="M46" s="11">
        <v>0.243985714285714</v>
      </c>
      <c r="N46" s="11">
        <v>0.01</v>
      </c>
      <c r="O46" s="11">
        <v>2.17</v>
      </c>
      <c r="P46" s="11">
        <v>3.2449999999999992</v>
      </c>
      <c r="Q46" s="11">
        <v>0.01</v>
      </c>
      <c r="R46" s="11">
        <v>0.5</v>
      </c>
      <c r="S46" s="17">
        <v>0.06</v>
      </c>
      <c r="T46" s="11">
        <v>0.01</v>
      </c>
    </row>
    <row r="47" spans="1:23" x14ac:dyDescent="0.35">
      <c r="A47" s="9">
        <v>2026</v>
      </c>
      <c r="B47" s="10" t="s">
        <v>17</v>
      </c>
      <c r="C47" s="10" t="s">
        <v>30</v>
      </c>
      <c r="D47" s="11">
        <v>9.9603174603174605</v>
      </c>
      <c r="E47" s="11">
        <v>13.08956916099773</v>
      </c>
      <c r="F47" s="11">
        <v>0.01</v>
      </c>
      <c r="G47" s="11">
        <v>0.01</v>
      </c>
      <c r="H47" s="11">
        <f>T_raw.KPI.SK[[#This Row],[TTSA Price]]-T_raw.KPI.SK[[#This Row],[Act. PPDS, THB/kg]]</f>
        <v>0</v>
      </c>
      <c r="I47" s="11">
        <v>4.5999999999999996</v>
      </c>
      <c r="J47" s="7">
        <v>0.97</v>
      </c>
      <c r="K47" s="7">
        <v>0.01</v>
      </c>
      <c r="L47" s="11">
        <v>0.252</v>
      </c>
      <c r="M47" s="11">
        <v>0.252</v>
      </c>
      <c r="N47" s="11">
        <v>0.01</v>
      </c>
      <c r="O47" s="11">
        <v>2.5099999999999998</v>
      </c>
      <c r="P47" s="11">
        <v>3.298571428571428</v>
      </c>
      <c r="Q47" s="11">
        <v>0.01</v>
      </c>
      <c r="R47" s="11">
        <v>0.5</v>
      </c>
      <c r="S47" s="17">
        <v>0.06</v>
      </c>
      <c r="T47" s="11">
        <v>0.01</v>
      </c>
    </row>
    <row r="48" spans="1:23" x14ac:dyDescent="0.35">
      <c r="A48" s="9">
        <v>2026</v>
      </c>
      <c r="B48" s="10" t="s">
        <v>18</v>
      </c>
      <c r="C48" s="10" t="s">
        <v>30</v>
      </c>
      <c r="D48" s="11">
        <v>10.038910505836576</v>
      </c>
      <c r="E48" s="11">
        <v>14.024458032240137</v>
      </c>
      <c r="F48" s="11">
        <v>0.01</v>
      </c>
      <c r="G48" s="11">
        <v>0.01</v>
      </c>
      <c r="H48" s="11">
        <f>T_raw.KPI.SK[[#This Row],[TTSA Price]]-T_raw.KPI.SK[[#This Row],[Act. PPDS, THB/kg]]</f>
        <v>0</v>
      </c>
      <c r="I48" s="11">
        <v>4.5999999999999996</v>
      </c>
      <c r="J48" s="7">
        <v>0.97</v>
      </c>
      <c r="K48" s="7">
        <v>0.01</v>
      </c>
      <c r="L48" s="11">
        <v>0.25700000000000001</v>
      </c>
      <c r="M48" s="11">
        <v>0.25700000000000001</v>
      </c>
      <c r="N48" s="11">
        <v>0.01</v>
      </c>
      <c r="O48" s="11">
        <v>2.58</v>
      </c>
      <c r="P48" s="11">
        <v>3.604285714285715</v>
      </c>
      <c r="Q48" s="11">
        <v>0.01</v>
      </c>
      <c r="R48" s="11">
        <v>0.5</v>
      </c>
      <c r="S48" s="17">
        <v>0.06</v>
      </c>
      <c r="T48" s="11">
        <v>0.01</v>
      </c>
    </row>
    <row r="49" spans="1:20" x14ac:dyDescent="0.35">
      <c r="A49" s="9">
        <v>2026</v>
      </c>
      <c r="B49" s="10" t="s">
        <v>19</v>
      </c>
      <c r="C49" s="10" t="s">
        <v>30</v>
      </c>
      <c r="D49" s="11">
        <v>9.5636363636363626</v>
      </c>
      <c r="E49" s="11">
        <v>13.703703703703704</v>
      </c>
      <c r="F49" s="11">
        <v>0.01</v>
      </c>
      <c r="G49" s="11">
        <v>0.01</v>
      </c>
      <c r="H49" s="11">
        <f>T_raw.KPI.SK[[#This Row],[TTSA Price]]-T_raw.KPI.SK[[#This Row],[Act. PPDS, THB/kg]]</f>
        <v>0</v>
      </c>
      <c r="I49" s="11">
        <v>4.5999999999999996</v>
      </c>
      <c r="J49" s="7">
        <v>0.97</v>
      </c>
      <c r="K49" s="7">
        <v>0.01</v>
      </c>
      <c r="L49" s="11">
        <v>0.27500000000000002</v>
      </c>
      <c r="M49" s="11">
        <v>0.27</v>
      </c>
      <c r="N49" s="11">
        <v>0.01</v>
      </c>
      <c r="O49" s="11">
        <v>2.63</v>
      </c>
      <c r="P49" s="11">
        <v>3.6999999999999997</v>
      </c>
      <c r="Q49" s="11">
        <v>0.01</v>
      </c>
      <c r="R49" s="11">
        <v>0.5</v>
      </c>
      <c r="S49" s="17">
        <v>0.06</v>
      </c>
      <c r="T49" s="11">
        <v>0.01</v>
      </c>
    </row>
    <row r="50" spans="1:20" x14ac:dyDescent="0.35">
      <c r="M50" s="28"/>
    </row>
    <row r="51" spans="1:20" x14ac:dyDescent="0.35">
      <c r="M51" s="28"/>
      <c r="N51" s="3"/>
      <c r="O51" s="3"/>
    </row>
    <row r="52" spans="1:20" x14ac:dyDescent="0.35">
      <c r="M52" s="28"/>
      <c r="N52" s="3"/>
      <c r="O52" s="3"/>
    </row>
    <row r="53" spans="1:20" ht="16.5" x14ac:dyDescent="0.5">
      <c r="L53" s="27"/>
      <c r="M53" s="28"/>
      <c r="N53" s="27"/>
      <c r="O53" s="27"/>
    </row>
    <row r="54" spans="1:20" ht="16.5" x14ac:dyDescent="0.5">
      <c r="L54" s="27"/>
      <c r="M54" s="28"/>
      <c r="N54" s="27"/>
      <c r="O54" s="27"/>
    </row>
    <row r="55" spans="1:20" ht="16.5" x14ac:dyDescent="0.5">
      <c r="L55" s="27"/>
      <c r="M55" s="28"/>
      <c r="N55" s="27"/>
      <c r="O55" s="27"/>
    </row>
    <row r="56" spans="1:20" ht="16.5" x14ac:dyDescent="0.5">
      <c r="L56" s="27"/>
      <c r="M56" s="28"/>
      <c r="N56" s="27"/>
      <c r="O56" s="27"/>
    </row>
    <row r="57" spans="1:20" ht="16.5" x14ac:dyDescent="0.5">
      <c r="L57" s="27"/>
      <c r="M57" s="28"/>
      <c r="N57" s="27"/>
      <c r="O57" s="27"/>
    </row>
    <row r="58" spans="1:20" ht="16.5" x14ac:dyDescent="0.5">
      <c r="L58" s="27"/>
      <c r="M58" s="28"/>
      <c r="N58" s="27"/>
      <c r="O58" s="27"/>
    </row>
    <row r="59" spans="1:20" ht="16.5" x14ac:dyDescent="0.5">
      <c r="L59" s="27"/>
      <c r="M59" s="28"/>
      <c r="N59" s="27"/>
      <c r="O59" s="27"/>
    </row>
    <row r="60" spans="1:20" ht="16.5" x14ac:dyDescent="0.5">
      <c r="L60" s="27"/>
      <c r="M60" s="28"/>
      <c r="N60" s="27"/>
      <c r="O60" s="27"/>
    </row>
    <row r="61" spans="1:20" ht="16.5" x14ac:dyDescent="0.5">
      <c r="L61" s="27"/>
      <c r="M61" s="27"/>
      <c r="N61" s="27"/>
      <c r="O61" s="27"/>
    </row>
    <row r="62" spans="1:20" ht="16.5" x14ac:dyDescent="0.5">
      <c r="L62" s="27"/>
      <c r="M62" s="27"/>
      <c r="N62" s="27"/>
      <c r="O62" s="27"/>
    </row>
    <row r="63" spans="1:20" ht="16.5" x14ac:dyDescent="0.5">
      <c r="L63" s="27"/>
      <c r="M63" s="28"/>
    </row>
    <row r="64" spans="1:20" ht="16.5" x14ac:dyDescent="0.5">
      <c r="L64" s="27"/>
      <c r="M64" s="28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5BEC-459A-4DC7-9275-5E105E928FD0}">
  <dimension ref="A1:E49"/>
  <sheetViews>
    <sheetView topLeftCell="A4" zoomScale="90" zoomScaleNormal="90" workbookViewId="0">
      <selection activeCell="H19" sqref="H19"/>
    </sheetView>
  </sheetViews>
  <sheetFormatPr defaultColWidth="8.7265625" defaultRowHeight="14.5" x14ac:dyDescent="0.35"/>
  <cols>
    <col min="1" max="1" width="13.54296875" style="48" customWidth="1"/>
    <col min="2" max="2" width="13.54296875" style="44" customWidth="1"/>
    <col min="3" max="3" width="25.26953125" style="44" customWidth="1"/>
    <col min="4" max="4" width="25.26953125" style="49" customWidth="1"/>
    <col min="5" max="5" width="25.26953125" style="44" customWidth="1"/>
    <col min="6" max="16384" width="8.7265625" style="44"/>
  </cols>
  <sheetData>
    <row r="1" spans="1:5" x14ac:dyDescent="0.35">
      <c r="A1" s="41" t="s">
        <v>0</v>
      </c>
      <c r="B1" s="42" t="s">
        <v>1</v>
      </c>
      <c r="C1" s="42" t="s">
        <v>797</v>
      </c>
      <c r="D1" s="43" t="s">
        <v>798</v>
      </c>
      <c r="E1" s="43" t="s">
        <v>799</v>
      </c>
    </row>
    <row r="2" spans="1:5" x14ac:dyDescent="0.35">
      <c r="A2" s="45">
        <v>2023</v>
      </c>
      <c r="B2" s="46" t="s">
        <v>8</v>
      </c>
      <c r="C2" s="47">
        <v>4804.6000000000004</v>
      </c>
      <c r="D2" s="47">
        <v>10274.129999999999</v>
      </c>
      <c r="E2" s="47">
        <f>T_raw.vol.SK6[[#This Row],[Broker volume, tons]]+T_raw.vol.SK6[[#This Row],[Farmer volume, tons]]</f>
        <v>15078.73</v>
      </c>
    </row>
    <row r="3" spans="1:5" x14ac:dyDescent="0.35">
      <c r="A3" s="45">
        <v>2023</v>
      </c>
      <c r="B3" s="46" t="s">
        <v>9</v>
      </c>
      <c r="C3" s="47">
        <v>2640.5</v>
      </c>
      <c r="D3" s="47">
        <v>9157.19</v>
      </c>
      <c r="E3" s="47">
        <f>T_raw.vol.SK6[[#This Row],[Broker volume, tons]]+T_raw.vol.SK6[[#This Row],[Farmer volume, tons]]</f>
        <v>11797.69</v>
      </c>
    </row>
    <row r="4" spans="1:5" x14ac:dyDescent="0.35">
      <c r="A4" s="45">
        <v>2023</v>
      </c>
      <c r="B4" s="46" t="s">
        <v>10</v>
      </c>
      <c r="C4" s="47">
        <v>8018.24</v>
      </c>
      <c r="D4" s="47">
        <v>6003.38</v>
      </c>
      <c r="E4" s="47">
        <f>T_raw.vol.SK6[[#This Row],[Broker volume, tons]]+T_raw.vol.SK6[[#This Row],[Farmer volume, tons]]</f>
        <v>14021.619999999999</v>
      </c>
    </row>
    <row r="5" spans="1:5" x14ac:dyDescent="0.35">
      <c r="A5" s="45">
        <v>2023</v>
      </c>
      <c r="B5" s="46" t="s">
        <v>11</v>
      </c>
      <c r="C5" s="47">
        <v>9221.1</v>
      </c>
      <c r="D5" s="47">
        <v>3760.88</v>
      </c>
      <c r="E5" s="47">
        <f>T_raw.vol.SK6[[#This Row],[Broker volume, tons]]+T_raw.vol.SK6[[#This Row],[Farmer volume, tons]]</f>
        <v>12981.98</v>
      </c>
    </row>
    <row r="6" spans="1:5" x14ac:dyDescent="0.35">
      <c r="A6" s="45">
        <v>2023</v>
      </c>
      <c r="B6" s="46" t="s">
        <v>12</v>
      </c>
      <c r="C6" s="47">
        <v>7702.79</v>
      </c>
      <c r="D6" s="47">
        <v>9633.86</v>
      </c>
      <c r="E6" s="47">
        <f>T_raw.vol.SK6[[#This Row],[Broker volume, tons]]+T_raw.vol.SK6[[#This Row],[Farmer volume, tons]]</f>
        <v>17336.650000000001</v>
      </c>
    </row>
    <row r="7" spans="1:5" x14ac:dyDescent="0.35">
      <c r="A7" s="45">
        <v>2023</v>
      </c>
      <c r="B7" s="46" t="s">
        <v>13</v>
      </c>
      <c r="C7" s="47">
        <v>5578.19</v>
      </c>
      <c r="D7" s="47">
        <v>8101.1</v>
      </c>
      <c r="E7" s="47">
        <f>T_raw.vol.SK6[[#This Row],[Broker volume, tons]]+T_raw.vol.SK6[[#This Row],[Farmer volume, tons]]</f>
        <v>13679.29</v>
      </c>
    </row>
    <row r="8" spans="1:5" x14ac:dyDescent="0.35">
      <c r="A8" s="45">
        <v>2023</v>
      </c>
      <c r="B8" s="46" t="s">
        <v>14</v>
      </c>
      <c r="C8" s="47">
        <v>3548.08</v>
      </c>
      <c r="D8" s="47">
        <v>16428.05</v>
      </c>
      <c r="E8" s="47">
        <f>T_raw.vol.SK6[[#This Row],[Broker volume, tons]]+T_raw.vol.SK6[[#This Row],[Farmer volume, tons]]</f>
        <v>19976.129999999997</v>
      </c>
    </row>
    <row r="9" spans="1:5" x14ac:dyDescent="0.35">
      <c r="A9" s="45">
        <v>2023</v>
      </c>
      <c r="B9" s="46" t="s">
        <v>15</v>
      </c>
      <c r="C9" s="47">
        <v>2506.02</v>
      </c>
      <c r="D9" s="47">
        <v>18052.189999999999</v>
      </c>
      <c r="E9" s="47">
        <f>T_raw.vol.SK6[[#This Row],[Broker volume, tons]]+T_raw.vol.SK6[[#This Row],[Farmer volume, tons]]</f>
        <v>20558.21</v>
      </c>
    </row>
    <row r="10" spans="1:5" x14ac:dyDescent="0.35">
      <c r="A10" s="45">
        <v>2023</v>
      </c>
      <c r="B10" s="46" t="s">
        <v>16</v>
      </c>
      <c r="C10" s="47">
        <v>3520.43</v>
      </c>
      <c r="D10" s="47">
        <v>15420.86</v>
      </c>
      <c r="E10" s="47">
        <f>T_raw.vol.SK6[[#This Row],[Broker volume, tons]]+T_raw.vol.SK6[[#This Row],[Farmer volume, tons]]</f>
        <v>18941.29</v>
      </c>
    </row>
    <row r="11" spans="1:5" x14ac:dyDescent="0.35">
      <c r="A11" s="45">
        <v>2023</v>
      </c>
      <c r="B11" s="46" t="s">
        <v>17</v>
      </c>
      <c r="C11" s="47">
        <v>11094.08</v>
      </c>
      <c r="D11" s="47">
        <v>9593.27</v>
      </c>
      <c r="E11" s="47">
        <f>T_raw.vol.SK6[[#This Row],[Broker volume, tons]]+T_raw.vol.SK6[[#This Row],[Farmer volume, tons]]</f>
        <v>20687.349999999999</v>
      </c>
    </row>
    <row r="12" spans="1:5" x14ac:dyDescent="0.35">
      <c r="A12" s="45">
        <v>2023</v>
      </c>
      <c r="B12" s="46" t="s">
        <v>18</v>
      </c>
      <c r="C12" s="47">
        <v>16434.21</v>
      </c>
      <c r="D12" s="47">
        <v>4362.5</v>
      </c>
      <c r="E12" s="47">
        <f>T_raw.vol.SK6[[#This Row],[Broker volume, tons]]+T_raw.vol.SK6[[#This Row],[Farmer volume, tons]]</f>
        <v>20796.71</v>
      </c>
    </row>
    <row r="13" spans="1:5" x14ac:dyDescent="0.35">
      <c r="A13" s="45">
        <v>2023</v>
      </c>
      <c r="B13" s="46" t="s">
        <v>19</v>
      </c>
      <c r="C13" s="47">
        <v>7325.32</v>
      </c>
      <c r="D13" s="47">
        <v>6907.6</v>
      </c>
      <c r="E13" s="47">
        <f>T_raw.vol.SK6[[#This Row],[Broker volume, tons]]+T_raw.vol.SK6[[#This Row],[Farmer volume, tons]]</f>
        <v>14232.92</v>
      </c>
    </row>
    <row r="14" spans="1:5" x14ac:dyDescent="0.35">
      <c r="A14" s="45">
        <v>2024</v>
      </c>
      <c r="B14" s="46" t="s">
        <v>8</v>
      </c>
      <c r="C14" s="47">
        <v>4234.08</v>
      </c>
      <c r="D14" s="47">
        <v>9575.65</v>
      </c>
      <c r="E14" s="47">
        <f>T_raw.vol.SK6[[#This Row],[Broker volume, tons]]+T_raw.vol.SK6[[#This Row],[Farmer volume, tons]]</f>
        <v>13809.73</v>
      </c>
    </row>
    <row r="15" spans="1:5" x14ac:dyDescent="0.35">
      <c r="A15" s="45">
        <v>2024</v>
      </c>
      <c r="B15" s="46" t="s">
        <v>9</v>
      </c>
      <c r="C15" s="47">
        <v>3245.03</v>
      </c>
      <c r="D15" s="47">
        <v>10546.3</v>
      </c>
      <c r="E15" s="47">
        <f>T_raw.vol.SK6[[#This Row],[Broker volume, tons]]+T_raw.vol.SK6[[#This Row],[Farmer volume, tons]]</f>
        <v>13791.33</v>
      </c>
    </row>
    <row r="16" spans="1:5" x14ac:dyDescent="0.35">
      <c r="A16" s="45">
        <v>2024</v>
      </c>
      <c r="B16" s="46" t="s">
        <v>10</v>
      </c>
      <c r="C16" s="47">
        <v>1338.08</v>
      </c>
      <c r="D16" s="47">
        <v>13492.02</v>
      </c>
      <c r="E16" s="47">
        <f>T_raw.vol.SK6[[#This Row],[Broker volume, tons]]+T_raw.vol.SK6[[#This Row],[Farmer volume, tons]]</f>
        <v>14830.1</v>
      </c>
    </row>
    <row r="17" spans="1:5" x14ac:dyDescent="0.35">
      <c r="A17" s="45">
        <v>2024</v>
      </c>
      <c r="B17" s="46" t="s">
        <v>11</v>
      </c>
      <c r="C17" s="47">
        <v>2640.81</v>
      </c>
      <c r="D17" s="47">
        <v>10200.57</v>
      </c>
      <c r="E17" s="47">
        <f>T_raw.vol.SK6[[#This Row],[Broker volume, tons]]+T_raw.vol.SK6[[#This Row],[Farmer volume, tons]]</f>
        <v>12841.38</v>
      </c>
    </row>
    <row r="18" spans="1:5" x14ac:dyDescent="0.35">
      <c r="A18" s="45">
        <v>2024</v>
      </c>
      <c r="B18" s="46" t="s">
        <v>12</v>
      </c>
      <c r="C18" s="47">
        <v>8986.26</v>
      </c>
      <c r="D18" s="47">
        <v>13518.02</v>
      </c>
      <c r="E18" s="47">
        <f>T_raw.vol.SK6[[#This Row],[Broker volume, tons]]+T_raw.vol.SK6[[#This Row],[Farmer volume, tons]]</f>
        <v>22504.28</v>
      </c>
    </row>
    <row r="19" spans="1:5" x14ac:dyDescent="0.35">
      <c r="A19" s="45">
        <v>2024</v>
      </c>
      <c r="B19" s="46" t="s">
        <v>13</v>
      </c>
      <c r="C19" s="47">
        <v>14170.48</v>
      </c>
      <c r="D19" s="47">
        <v>8314.4599999999991</v>
      </c>
      <c r="E19" s="47">
        <f>T_raw.vol.SK6[[#This Row],[Broker volume, tons]]+T_raw.vol.SK6[[#This Row],[Farmer volume, tons]]</f>
        <v>22484.94</v>
      </c>
    </row>
    <row r="20" spans="1:5" x14ac:dyDescent="0.35">
      <c r="A20" s="45">
        <v>2024</v>
      </c>
      <c r="B20" s="46" t="s">
        <v>14</v>
      </c>
      <c r="C20" s="47">
        <v>6892.07</v>
      </c>
      <c r="D20" s="47">
        <v>14025.3</v>
      </c>
      <c r="E20" s="47">
        <f>T_raw.vol.SK6[[#This Row],[Broker volume, tons]]+T_raw.vol.SK6[[#This Row],[Farmer volume, tons]]</f>
        <v>20917.37</v>
      </c>
    </row>
    <row r="21" spans="1:5" x14ac:dyDescent="0.35">
      <c r="A21" s="45">
        <v>2024</v>
      </c>
      <c r="B21" s="46" t="s">
        <v>15</v>
      </c>
      <c r="C21" s="47">
        <v>0</v>
      </c>
      <c r="D21" s="47">
        <v>19932.189999999999</v>
      </c>
      <c r="E21" s="47">
        <f>T_raw.vol.SK6[[#This Row],[Broker volume, tons]]+T_raw.vol.SK6[[#This Row],[Farmer volume, tons]]</f>
        <v>19932.189999999999</v>
      </c>
    </row>
    <row r="22" spans="1:5" x14ac:dyDescent="0.35">
      <c r="A22" s="45">
        <v>2024</v>
      </c>
      <c r="B22" s="46" t="s">
        <v>16</v>
      </c>
      <c r="C22" s="47">
        <v>234.47</v>
      </c>
      <c r="D22" s="47">
        <v>16762.41</v>
      </c>
      <c r="E22" s="47">
        <f>T_raw.vol.SK6[[#This Row],[Broker volume, tons]]+T_raw.vol.SK6[[#This Row],[Farmer volume, tons]]</f>
        <v>16996.88</v>
      </c>
    </row>
    <row r="23" spans="1:5" x14ac:dyDescent="0.35">
      <c r="A23" s="45">
        <v>2024</v>
      </c>
      <c r="B23" s="46" t="s">
        <v>17</v>
      </c>
      <c r="C23" s="47">
        <v>4387.25</v>
      </c>
      <c r="D23" s="47">
        <v>12948.55</v>
      </c>
      <c r="E23" s="47">
        <f>T_raw.vol.SK6[[#This Row],[Broker volume, tons]]+T_raw.vol.SK6[[#This Row],[Farmer volume, tons]]</f>
        <v>17335.8</v>
      </c>
    </row>
    <row r="24" spans="1:5" x14ac:dyDescent="0.35">
      <c r="A24" s="45">
        <v>2024</v>
      </c>
      <c r="B24" s="46" t="s">
        <v>18</v>
      </c>
      <c r="C24" s="47">
        <v>15117.52</v>
      </c>
      <c r="D24" s="47">
        <v>2410.0300000000002</v>
      </c>
      <c r="E24" s="47">
        <f>T_raw.vol.SK6[[#This Row],[Broker volume, tons]]+T_raw.vol.SK6[[#This Row],[Farmer volume, tons]]</f>
        <v>17527.55</v>
      </c>
    </row>
    <row r="25" spans="1:5" x14ac:dyDescent="0.35">
      <c r="A25" s="45">
        <v>2024</v>
      </c>
      <c r="B25" s="46" t="s">
        <v>19</v>
      </c>
      <c r="C25" s="47">
        <v>11345.16</v>
      </c>
      <c r="D25" s="47">
        <v>4061.9</v>
      </c>
      <c r="E25" s="47">
        <f>T_raw.vol.SK6[[#This Row],[Broker volume, tons]]+T_raw.vol.SK6[[#This Row],[Farmer volume, tons]]</f>
        <v>15407.06</v>
      </c>
    </row>
    <row r="26" spans="1:5" x14ac:dyDescent="0.35">
      <c r="A26" s="45">
        <v>2025</v>
      </c>
      <c r="B26" s="46" t="s">
        <v>8</v>
      </c>
      <c r="C26" s="47">
        <v>9676.56</v>
      </c>
      <c r="D26" s="47">
        <v>3403.51</v>
      </c>
      <c r="E26" s="47">
        <f>T_raw.vol.SK6[[#This Row],[Broker volume, tons]]+T_raw.vol.SK6[[#This Row],[Farmer volume, tons]]</f>
        <v>13080.07</v>
      </c>
    </row>
    <row r="27" spans="1:5" x14ac:dyDescent="0.35">
      <c r="A27" s="45">
        <v>2025</v>
      </c>
      <c r="B27" s="46" t="s">
        <v>9</v>
      </c>
      <c r="C27" s="47">
        <v>5930.81</v>
      </c>
      <c r="D27" s="47">
        <v>7503.66</v>
      </c>
      <c r="E27" s="47">
        <f>T_raw.vol.SK6[[#This Row],[Broker volume, tons]]+T_raw.vol.SK6[[#This Row],[Farmer volume, tons]]</f>
        <v>13434.470000000001</v>
      </c>
    </row>
    <row r="28" spans="1:5" x14ac:dyDescent="0.35">
      <c r="A28" s="45">
        <v>2025</v>
      </c>
      <c r="B28" s="46" t="s">
        <v>10</v>
      </c>
      <c r="C28" s="47">
        <v>3267.41</v>
      </c>
      <c r="D28" s="47">
        <v>11132.67</v>
      </c>
      <c r="E28" s="47">
        <f>T_raw.vol.SK6[[#This Row],[Broker volume, tons]]+T_raw.vol.SK6[[#This Row],[Farmer volume, tons]]</f>
        <v>14400.08</v>
      </c>
    </row>
    <row r="29" spans="1:5" x14ac:dyDescent="0.35">
      <c r="A29" s="45">
        <v>2025</v>
      </c>
      <c r="B29" s="46" t="s">
        <v>11</v>
      </c>
      <c r="C29" s="47">
        <v>7069.06</v>
      </c>
      <c r="D29" s="47">
        <v>7272.36</v>
      </c>
      <c r="E29" s="47">
        <f>T_raw.vol.SK6[[#This Row],[Broker volume, tons]]+T_raw.vol.SK6[[#This Row],[Farmer volume, tons]]</f>
        <v>14341.42</v>
      </c>
    </row>
    <row r="30" spans="1:5" x14ac:dyDescent="0.35">
      <c r="A30" s="45">
        <v>2025</v>
      </c>
      <c r="B30" s="46" t="s">
        <v>12</v>
      </c>
      <c r="C30" s="47">
        <v>12334.76</v>
      </c>
      <c r="D30" s="47">
        <v>8752.76</v>
      </c>
      <c r="E30" s="47">
        <f>T_raw.vol.SK6[[#This Row],[Broker volume, tons]]+T_raw.vol.SK6[[#This Row],[Farmer volume, tons]]</f>
        <v>21087.52</v>
      </c>
    </row>
    <row r="31" spans="1:5" x14ac:dyDescent="0.35">
      <c r="A31" s="45">
        <v>2025</v>
      </c>
      <c r="B31" s="46" t="s">
        <v>13</v>
      </c>
      <c r="C31" s="47">
        <v>12229.01</v>
      </c>
      <c r="D31" s="47">
        <v>7610.76</v>
      </c>
      <c r="E31" s="47">
        <f>T_raw.vol.SK6[[#This Row],[Broker volume, tons]]+T_raw.vol.SK6[[#This Row],[Farmer volume, tons]]</f>
        <v>19839.77</v>
      </c>
    </row>
    <row r="32" spans="1:5" x14ac:dyDescent="0.35">
      <c r="A32" s="45">
        <v>2025</v>
      </c>
      <c r="B32" s="46" t="s">
        <v>14</v>
      </c>
      <c r="C32" s="47">
        <v>8406.65</v>
      </c>
      <c r="D32" s="47">
        <v>13120.33</v>
      </c>
      <c r="E32" s="47">
        <f>T_raw.vol.SK6[[#This Row],[Broker volume, tons]]+T_raw.vol.SK6[[#This Row],[Farmer volume, tons]]</f>
        <v>21526.98</v>
      </c>
    </row>
    <row r="33" spans="1:5" x14ac:dyDescent="0.35">
      <c r="A33" s="45">
        <v>2025</v>
      </c>
      <c r="B33" s="46" t="s">
        <v>15</v>
      </c>
      <c r="C33" s="47">
        <v>4467.04</v>
      </c>
      <c r="D33" s="47">
        <v>13494.76</v>
      </c>
      <c r="E33" s="47">
        <f>T_raw.vol.SK6[[#This Row],[Broker volume, tons]]+T_raw.vol.SK6[[#This Row],[Farmer volume, tons]]</f>
        <v>17961.8</v>
      </c>
    </row>
    <row r="34" spans="1:5" x14ac:dyDescent="0.35">
      <c r="A34" s="45">
        <v>2025</v>
      </c>
      <c r="B34" s="46" t="s">
        <v>16</v>
      </c>
      <c r="C34" s="47">
        <v>4044.1</v>
      </c>
      <c r="D34" s="47">
        <v>12933.71</v>
      </c>
      <c r="E34" s="47">
        <f>T_raw.vol.SK6[[#This Row],[Broker volume, tons]]+T_raw.vol.SK6[[#This Row],[Farmer volume, tons]]</f>
        <v>16977.809999999998</v>
      </c>
    </row>
    <row r="35" spans="1:5" x14ac:dyDescent="0.35">
      <c r="A35" s="45">
        <v>2025</v>
      </c>
      <c r="B35" s="46" t="s">
        <v>17</v>
      </c>
      <c r="C35" s="47">
        <v>12841.05</v>
      </c>
      <c r="D35" s="47">
        <v>5018.33</v>
      </c>
      <c r="E35" s="47">
        <f>T_raw.vol.SK6[[#This Row],[Broker volume, tons]]+T_raw.vol.SK6[[#This Row],[Farmer volume, tons]]</f>
        <v>17859.379999999997</v>
      </c>
    </row>
    <row r="36" spans="1:5" x14ac:dyDescent="0.35">
      <c r="A36" s="45">
        <v>2025</v>
      </c>
      <c r="B36" s="46" t="s">
        <v>18</v>
      </c>
      <c r="C36" s="47">
        <v>16879.28</v>
      </c>
      <c r="D36" s="47">
        <v>913.56899999999996</v>
      </c>
      <c r="E36" s="47">
        <f>T_raw.vol.SK6[[#This Row],[Broker volume, tons]]+T_raw.vol.SK6[[#This Row],[Farmer volume, tons]]</f>
        <v>17792.848999999998</v>
      </c>
    </row>
    <row r="37" spans="1:5" x14ac:dyDescent="0.35">
      <c r="A37" s="45">
        <v>2025</v>
      </c>
      <c r="B37" s="46" t="s">
        <v>19</v>
      </c>
      <c r="C37" s="47">
        <v>11504.19</v>
      </c>
      <c r="D37" s="47">
        <v>1842.913</v>
      </c>
      <c r="E37" s="47">
        <f>T_raw.vol.SK6[[#This Row],[Broker volume, tons]]+T_raw.vol.SK6[[#This Row],[Farmer volume, tons]]</f>
        <v>13347.103000000001</v>
      </c>
    </row>
    <row r="38" spans="1:5" x14ac:dyDescent="0.35">
      <c r="A38" s="45">
        <v>2026</v>
      </c>
      <c r="B38" s="46" t="s">
        <v>8</v>
      </c>
      <c r="C38" s="47">
        <v>13961.18</v>
      </c>
      <c r="D38" s="47">
        <v>1649.441</v>
      </c>
      <c r="E38" s="47">
        <f>T_raw.vol.SK6[[#This Row],[Broker volume, tons]]+T_raw.vol.SK6[[#This Row],[Farmer volume, tons]]</f>
        <v>15610.621000000001</v>
      </c>
    </row>
    <row r="39" spans="1:5" x14ac:dyDescent="0.35">
      <c r="A39" s="45">
        <v>2026</v>
      </c>
      <c r="B39" s="46" t="s">
        <v>9</v>
      </c>
      <c r="C39" s="47">
        <v>11867.5</v>
      </c>
      <c r="D39" s="47">
        <v>2759.6419999999998</v>
      </c>
      <c r="E39" s="47">
        <f>T_raw.vol.SK6[[#This Row],[Broker volume, tons]]+T_raw.vol.SK6[[#This Row],[Farmer volume, tons]]</f>
        <v>14627.142</v>
      </c>
    </row>
    <row r="40" spans="1:5" x14ac:dyDescent="0.35">
      <c r="A40" s="45">
        <v>2026</v>
      </c>
      <c r="B40" s="46" t="s">
        <v>10</v>
      </c>
      <c r="C40" s="47">
        <v>9256.1</v>
      </c>
      <c r="D40" s="47">
        <v>4837.2280000000001</v>
      </c>
      <c r="E40" s="47">
        <f>T_raw.vol.SK6[[#This Row],[Broker volume, tons]]+T_raw.vol.SK6[[#This Row],[Farmer volume, tons]]</f>
        <v>14093.328000000001</v>
      </c>
    </row>
    <row r="41" spans="1:5" x14ac:dyDescent="0.35">
      <c r="A41" s="45">
        <v>2026</v>
      </c>
      <c r="B41" s="46" t="s">
        <v>11</v>
      </c>
      <c r="C41" s="47">
        <v>10871.59</v>
      </c>
      <c r="D41" s="47">
        <v>1184.998</v>
      </c>
      <c r="E41" s="47">
        <f>T_raw.vol.SK6[[#This Row],[Broker volume, tons]]+T_raw.vol.SK6[[#This Row],[Farmer volume, tons]]</f>
        <v>12056.588</v>
      </c>
    </row>
    <row r="42" spans="1:5" x14ac:dyDescent="0.35">
      <c r="A42" s="45">
        <v>2026</v>
      </c>
      <c r="B42" s="46" t="s">
        <v>12</v>
      </c>
      <c r="C42" s="47">
        <v>20050.11</v>
      </c>
      <c r="D42" s="47">
        <v>2212.3850000000002</v>
      </c>
      <c r="E42" s="47">
        <f>T_raw.vol.SK6[[#This Row],[Broker volume, tons]]+T_raw.vol.SK6[[#This Row],[Farmer volume, tons]]</f>
        <v>22262.495000000003</v>
      </c>
    </row>
    <row r="43" spans="1:5" x14ac:dyDescent="0.35">
      <c r="A43" s="45">
        <v>2026</v>
      </c>
      <c r="B43" s="46" t="s">
        <v>13</v>
      </c>
      <c r="C43" s="47"/>
      <c r="D43" s="47"/>
      <c r="E43" s="47">
        <f>T_raw.vol.SK6[[#This Row],[Broker volume, tons]]+T_raw.vol.SK6[[#This Row],[Farmer volume, tons]]</f>
        <v>0</v>
      </c>
    </row>
    <row r="44" spans="1:5" x14ac:dyDescent="0.35">
      <c r="A44" s="45">
        <v>2026</v>
      </c>
      <c r="B44" s="46" t="s">
        <v>14</v>
      </c>
      <c r="C44" s="47"/>
      <c r="D44" s="47"/>
      <c r="E44" s="47">
        <f>T_raw.vol.SK6[[#This Row],[Broker volume, tons]]+T_raw.vol.SK6[[#This Row],[Farmer volume, tons]]</f>
        <v>0</v>
      </c>
    </row>
    <row r="45" spans="1:5" x14ac:dyDescent="0.35">
      <c r="A45" s="45">
        <v>2026</v>
      </c>
      <c r="B45" s="46" t="s">
        <v>15</v>
      </c>
      <c r="C45" s="47"/>
      <c r="D45" s="47"/>
      <c r="E45" s="47">
        <f>T_raw.vol.SK6[[#This Row],[Broker volume, tons]]+T_raw.vol.SK6[[#This Row],[Farmer volume, tons]]</f>
        <v>0</v>
      </c>
    </row>
    <row r="46" spans="1:5" x14ac:dyDescent="0.35">
      <c r="A46" s="45">
        <v>2026</v>
      </c>
      <c r="B46" s="46" t="s">
        <v>16</v>
      </c>
      <c r="C46" s="47"/>
      <c r="D46" s="47"/>
      <c r="E46" s="47">
        <f>T_raw.vol.SK6[[#This Row],[Broker volume, tons]]+T_raw.vol.SK6[[#This Row],[Farmer volume, tons]]</f>
        <v>0</v>
      </c>
    </row>
    <row r="47" spans="1:5" x14ac:dyDescent="0.35">
      <c r="A47" s="45">
        <v>2026</v>
      </c>
      <c r="B47" s="46" t="s">
        <v>17</v>
      </c>
      <c r="C47" s="47"/>
      <c r="D47" s="47"/>
      <c r="E47" s="47">
        <f>T_raw.vol.SK6[[#This Row],[Broker volume, tons]]+T_raw.vol.SK6[[#This Row],[Farmer volume, tons]]</f>
        <v>0</v>
      </c>
    </row>
    <row r="48" spans="1:5" x14ac:dyDescent="0.35">
      <c r="A48" s="45">
        <v>2026</v>
      </c>
      <c r="B48" s="46" t="s">
        <v>18</v>
      </c>
      <c r="C48" s="47"/>
      <c r="D48" s="47"/>
      <c r="E48" s="47">
        <f>T_raw.vol.SK6[[#This Row],[Broker volume, tons]]+T_raw.vol.SK6[[#This Row],[Farmer volume, tons]]</f>
        <v>0</v>
      </c>
    </row>
    <row r="49" spans="1:5" x14ac:dyDescent="0.35">
      <c r="A49" s="45">
        <v>2026</v>
      </c>
      <c r="B49" s="46" t="s">
        <v>19</v>
      </c>
      <c r="C49" s="47"/>
      <c r="D49" s="47"/>
      <c r="E49" s="47">
        <f>T_raw.vol.SK6[[#This Row],[Broker volume, tons]]+T_raw.vol.SK6[[#This Row],[Farmer volume, tons]]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A4D0-FEE1-4337-AF84-9CABCA13DB98}">
  <dimension ref="A2:N7286"/>
  <sheetViews>
    <sheetView topLeftCell="A7025" zoomScale="60" zoomScaleNormal="60" workbookViewId="0">
      <selection activeCell="H680" sqref="H680"/>
    </sheetView>
  </sheetViews>
  <sheetFormatPr defaultRowHeight="16.5" x14ac:dyDescent="0.45"/>
  <cols>
    <col min="1" max="2" width="8.7265625" style="30"/>
    <col min="3" max="4" width="13.90625" style="30" customWidth="1"/>
    <col min="5" max="5" width="30.90625" style="31" customWidth="1"/>
    <col min="6" max="6" width="24.08984375" style="31" customWidth="1"/>
    <col min="7" max="7" width="24.08984375" style="32" customWidth="1"/>
    <col min="8" max="8" width="11.36328125" style="32" customWidth="1"/>
    <col min="9" max="9" width="13.90625" style="33" customWidth="1"/>
    <col min="10" max="10" width="13.90625" style="34" customWidth="1"/>
    <col min="11" max="11" width="16.08984375" style="34" customWidth="1"/>
    <col min="12" max="12" width="15.1796875" style="34" customWidth="1"/>
    <col min="13" max="13" width="13.90625" style="34" customWidth="1"/>
    <col min="14" max="14" width="18.81640625" style="34" customWidth="1"/>
    <col min="15" max="16384" width="8.7265625" style="32"/>
  </cols>
  <sheetData>
    <row r="2" spans="1:14" x14ac:dyDescent="0.45">
      <c r="A2" s="30" t="s">
        <v>0</v>
      </c>
      <c r="B2" s="30" t="s">
        <v>1</v>
      </c>
      <c r="C2" s="30" t="s">
        <v>34</v>
      </c>
      <c r="D2" s="30" t="s">
        <v>35</v>
      </c>
      <c r="E2" s="30" t="s">
        <v>36</v>
      </c>
      <c r="F2" s="35" t="s">
        <v>37</v>
      </c>
      <c r="G2" s="35" t="s">
        <v>38</v>
      </c>
      <c r="H2" s="36" t="s">
        <v>39</v>
      </c>
      <c r="I2" s="35" t="s">
        <v>40</v>
      </c>
      <c r="J2" s="35" t="s">
        <v>41</v>
      </c>
      <c r="K2" s="35" t="s">
        <v>42</v>
      </c>
      <c r="L2" s="35" t="s">
        <v>43</v>
      </c>
      <c r="M2" s="35" t="s">
        <v>44</v>
      </c>
      <c r="N2" s="35" t="s">
        <v>45</v>
      </c>
    </row>
    <row r="3" spans="1:14" x14ac:dyDescent="0.45">
      <c r="A3" s="30">
        <v>2023</v>
      </c>
      <c r="B3" s="30" t="s">
        <v>8</v>
      </c>
      <c r="C3" s="30" t="s">
        <v>46</v>
      </c>
      <c r="D3" s="30" t="s">
        <v>47</v>
      </c>
      <c r="E3" s="31" t="s">
        <v>48</v>
      </c>
      <c r="F3" s="32" t="s">
        <v>49</v>
      </c>
      <c r="G3" s="32" t="s">
        <v>50</v>
      </c>
      <c r="H3" s="33">
        <v>15020</v>
      </c>
      <c r="I3" s="34">
        <f>Table3[[#This Row],[Volume, kg.]]/1000</f>
        <v>15.02</v>
      </c>
      <c r="J3" s="34">
        <v>0.29549999999999998</v>
      </c>
      <c r="K3" s="34">
        <f t="shared" ref="K3:K66" si="0">H3*J3</f>
        <v>4438.41</v>
      </c>
      <c r="L3" s="34">
        <v>3.28</v>
      </c>
      <c r="M3" s="34">
        <v>49263</v>
      </c>
      <c r="N3" s="34">
        <f>L3/J3</f>
        <v>11.099830795262267</v>
      </c>
    </row>
    <row r="4" spans="1:14" x14ac:dyDescent="0.45">
      <c r="A4" s="30">
        <v>2023</v>
      </c>
      <c r="B4" s="30" t="s">
        <v>8</v>
      </c>
      <c r="C4" s="30" t="s">
        <v>46</v>
      </c>
      <c r="D4" s="30" t="s">
        <v>47</v>
      </c>
      <c r="E4" s="31" t="s">
        <v>51</v>
      </c>
      <c r="F4" s="32" t="s">
        <v>49</v>
      </c>
      <c r="G4" s="32" t="s">
        <v>50</v>
      </c>
      <c r="H4" s="33">
        <v>43660</v>
      </c>
      <c r="I4" s="34">
        <f>Table3[[#This Row],[Volume, kg.]]/1000</f>
        <v>43.66</v>
      </c>
      <c r="J4" s="34">
        <v>0.30760000000000004</v>
      </c>
      <c r="K4" s="34">
        <f t="shared" si="0"/>
        <v>13429.816000000003</v>
      </c>
      <c r="L4" s="34">
        <v>3.3</v>
      </c>
      <c r="M4" s="34">
        <v>143920</v>
      </c>
      <c r="N4" s="34">
        <f t="shared" ref="N4:N67" si="1">L4/J4</f>
        <v>10.72821846553966</v>
      </c>
    </row>
    <row r="5" spans="1:14" x14ac:dyDescent="0.45">
      <c r="A5" s="30">
        <v>2023</v>
      </c>
      <c r="B5" s="30" t="s">
        <v>8</v>
      </c>
      <c r="C5" s="30" t="s">
        <v>46</v>
      </c>
      <c r="D5" s="30" t="s">
        <v>47</v>
      </c>
      <c r="E5" s="31" t="s">
        <v>52</v>
      </c>
      <c r="F5" s="32" t="s">
        <v>49</v>
      </c>
      <c r="G5" s="32" t="s">
        <v>50</v>
      </c>
      <c r="H5" s="33">
        <v>37330</v>
      </c>
      <c r="I5" s="34">
        <f>Table3[[#This Row],[Volume, kg.]]/1000</f>
        <v>37.33</v>
      </c>
      <c r="J5" s="34">
        <v>0.29010000000000002</v>
      </c>
      <c r="K5" s="34">
        <f t="shared" si="0"/>
        <v>10829.433000000001</v>
      </c>
      <c r="L5" s="34">
        <v>3.21</v>
      </c>
      <c r="M5" s="34">
        <v>119953.5</v>
      </c>
      <c r="N5" s="34">
        <f t="shared" si="1"/>
        <v>11.065149948293691</v>
      </c>
    </row>
    <row r="6" spans="1:14" x14ac:dyDescent="0.45">
      <c r="A6" s="30">
        <v>2023</v>
      </c>
      <c r="B6" s="30" t="s">
        <v>8</v>
      </c>
      <c r="C6" s="30" t="s">
        <v>46</v>
      </c>
      <c r="D6" s="30" t="s">
        <v>47</v>
      </c>
      <c r="E6" s="31" t="s">
        <v>53</v>
      </c>
      <c r="F6" s="32" t="s">
        <v>54</v>
      </c>
      <c r="G6" s="32" t="s">
        <v>50</v>
      </c>
      <c r="H6" s="33">
        <v>264860</v>
      </c>
      <c r="I6" s="34">
        <f>Table3[[#This Row],[Volume, kg.]]/1000</f>
        <v>264.86</v>
      </c>
      <c r="J6" s="34">
        <v>0.27229999999999999</v>
      </c>
      <c r="K6" s="34">
        <f t="shared" si="0"/>
        <v>72121.377999999997</v>
      </c>
      <c r="L6" s="34">
        <v>3.13</v>
      </c>
      <c r="M6" s="34">
        <v>827710.5</v>
      </c>
      <c r="N6" s="34">
        <f t="shared" si="1"/>
        <v>11.49467499081895</v>
      </c>
    </row>
    <row r="7" spans="1:14" x14ac:dyDescent="0.45">
      <c r="A7" s="30">
        <v>2023</v>
      </c>
      <c r="B7" s="30" t="s">
        <v>8</v>
      </c>
      <c r="C7" s="30" t="s">
        <v>46</v>
      </c>
      <c r="D7" s="30" t="s">
        <v>47</v>
      </c>
      <c r="E7" s="31" t="s">
        <v>55</v>
      </c>
      <c r="F7" s="32" t="s">
        <v>49</v>
      </c>
      <c r="G7" s="32" t="s">
        <v>50</v>
      </c>
      <c r="H7" s="33">
        <v>5480</v>
      </c>
      <c r="I7" s="34">
        <f>Table3[[#This Row],[Volume, kg.]]/1000</f>
        <v>5.48</v>
      </c>
      <c r="J7" s="34">
        <v>0.26200000000000001</v>
      </c>
      <c r="K7" s="34">
        <f t="shared" si="0"/>
        <v>1435.76</v>
      </c>
      <c r="L7" s="34">
        <v>3.05</v>
      </c>
      <c r="M7" s="34">
        <v>16714</v>
      </c>
      <c r="N7" s="34">
        <f t="shared" si="1"/>
        <v>11.6412213740458</v>
      </c>
    </row>
    <row r="8" spans="1:14" x14ac:dyDescent="0.45">
      <c r="A8" s="30">
        <v>2023</v>
      </c>
      <c r="B8" s="30" t="s">
        <v>8</v>
      </c>
      <c r="C8" s="30" t="s">
        <v>46</v>
      </c>
      <c r="D8" s="30" t="s">
        <v>47</v>
      </c>
      <c r="E8" s="31" t="s">
        <v>56</v>
      </c>
      <c r="F8" s="32" t="s">
        <v>57</v>
      </c>
      <c r="G8" s="32" t="s">
        <v>50</v>
      </c>
      <c r="H8" s="33">
        <v>43190</v>
      </c>
      <c r="I8" s="34">
        <f>Table3[[#This Row],[Volume, kg.]]/1000</f>
        <v>43.19</v>
      </c>
      <c r="J8" s="34">
        <v>0.30820000000000003</v>
      </c>
      <c r="K8" s="34">
        <f t="shared" si="0"/>
        <v>13311.158000000001</v>
      </c>
      <c r="L8" s="34">
        <v>3.33</v>
      </c>
      <c r="M8" s="34">
        <v>143794.5</v>
      </c>
      <c r="N8" s="34">
        <f t="shared" si="1"/>
        <v>10.80467229072031</v>
      </c>
    </row>
    <row r="9" spans="1:14" x14ac:dyDescent="0.45">
      <c r="A9" s="30">
        <v>2023</v>
      </c>
      <c r="B9" s="30" t="s">
        <v>8</v>
      </c>
      <c r="C9" s="30" t="s">
        <v>46</v>
      </c>
      <c r="D9" s="30" t="s">
        <v>47</v>
      </c>
      <c r="E9" s="31" t="s">
        <v>58</v>
      </c>
      <c r="F9" s="32" t="s">
        <v>49</v>
      </c>
      <c r="G9" s="32" t="s">
        <v>50</v>
      </c>
      <c r="H9" s="33">
        <v>18740</v>
      </c>
      <c r="I9" s="34">
        <f>Table3[[#This Row],[Volume, kg.]]/1000</f>
        <v>18.739999999999998</v>
      </c>
      <c r="J9" s="34">
        <v>0.27649999999999997</v>
      </c>
      <c r="K9" s="34">
        <f t="shared" si="0"/>
        <v>5181.6099999999997</v>
      </c>
      <c r="L9" s="34">
        <v>3.12</v>
      </c>
      <c r="M9" s="34">
        <v>58409.5</v>
      </c>
      <c r="N9" s="34">
        <f t="shared" si="1"/>
        <v>11.283905967450274</v>
      </c>
    </row>
    <row r="10" spans="1:14" x14ac:dyDescent="0.45">
      <c r="A10" s="30">
        <v>2023</v>
      </c>
      <c r="B10" s="30" t="s">
        <v>8</v>
      </c>
      <c r="C10" s="30" t="s">
        <v>46</v>
      </c>
      <c r="D10" s="30" t="s">
        <v>47</v>
      </c>
      <c r="E10" s="31" t="s">
        <v>59</v>
      </c>
      <c r="F10" s="32" t="s">
        <v>60</v>
      </c>
      <c r="G10" s="32" t="s">
        <v>50</v>
      </c>
      <c r="H10" s="33">
        <v>49960</v>
      </c>
      <c r="I10" s="34">
        <f>Table3[[#This Row],[Volume, kg.]]/1000</f>
        <v>49.96</v>
      </c>
      <c r="J10" s="34">
        <v>0.31290000000000001</v>
      </c>
      <c r="K10" s="34">
        <f t="shared" si="0"/>
        <v>15632.484</v>
      </c>
      <c r="L10" s="34">
        <v>3.35</v>
      </c>
      <c r="M10" s="34">
        <v>167553</v>
      </c>
      <c r="N10" s="34">
        <f t="shared" si="1"/>
        <v>10.70629594119527</v>
      </c>
    </row>
    <row r="11" spans="1:14" x14ac:dyDescent="0.45">
      <c r="A11" s="30">
        <v>2023</v>
      </c>
      <c r="B11" s="30" t="s">
        <v>8</v>
      </c>
      <c r="C11" s="30" t="s">
        <v>46</v>
      </c>
      <c r="D11" s="30" t="s">
        <v>47</v>
      </c>
      <c r="E11" s="31" t="s">
        <v>61</v>
      </c>
      <c r="F11" s="32" t="s">
        <v>57</v>
      </c>
      <c r="G11" s="32" t="s">
        <v>50</v>
      </c>
      <c r="H11" s="33">
        <v>12770</v>
      </c>
      <c r="I11" s="34">
        <f>Table3[[#This Row],[Volume, kg.]]/1000</f>
        <v>12.77</v>
      </c>
      <c r="J11" s="34">
        <v>0.28239999999999998</v>
      </c>
      <c r="K11" s="34">
        <f t="shared" si="0"/>
        <v>3606.2479999999996</v>
      </c>
      <c r="L11" s="34">
        <v>3.16</v>
      </c>
      <c r="M11" s="34">
        <v>40302.5</v>
      </c>
      <c r="N11" s="34">
        <f t="shared" si="1"/>
        <v>11.189801699716716</v>
      </c>
    </row>
    <row r="12" spans="1:14" x14ac:dyDescent="0.45">
      <c r="A12" s="30">
        <v>2023</v>
      </c>
      <c r="B12" s="30" t="s">
        <v>8</v>
      </c>
      <c r="C12" s="30" t="s">
        <v>46</v>
      </c>
      <c r="D12" s="30" t="s">
        <v>47</v>
      </c>
      <c r="E12" s="31" t="s">
        <v>62</v>
      </c>
      <c r="F12" s="32" t="s">
        <v>57</v>
      </c>
      <c r="G12" s="32" t="s">
        <v>50</v>
      </c>
      <c r="H12" s="33">
        <v>7560</v>
      </c>
      <c r="I12" s="34">
        <f>Table3[[#This Row],[Volume, kg.]]/1000</f>
        <v>7.56</v>
      </c>
      <c r="J12" s="34">
        <v>0.30249999999999999</v>
      </c>
      <c r="K12" s="34">
        <f t="shared" si="0"/>
        <v>2286.9</v>
      </c>
      <c r="L12" s="34">
        <v>3.25</v>
      </c>
      <c r="M12" s="34">
        <v>24570</v>
      </c>
      <c r="N12" s="34">
        <f t="shared" si="1"/>
        <v>10.743801652892563</v>
      </c>
    </row>
    <row r="13" spans="1:14" x14ac:dyDescent="0.45">
      <c r="A13" s="30">
        <v>2023</v>
      </c>
      <c r="B13" s="30" t="s">
        <v>8</v>
      </c>
      <c r="C13" s="30" t="s">
        <v>46</v>
      </c>
      <c r="D13" s="30" t="s">
        <v>47</v>
      </c>
      <c r="E13" s="31" t="s">
        <v>63</v>
      </c>
      <c r="F13" s="32" t="s">
        <v>64</v>
      </c>
      <c r="G13" s="32" t="s">
        <v>50</v>
      </c>
      <c r="H13" s="33">
        <v>30480</v>
      </c>
      <c r="I13" s="34">
        <f>Table3[[#This Row],[Volume, kg.]]/1000</f>
        <v>30.48</v>
      </c>
      <c r="J13" s="34">
        <v>0.27910000000000001</v>
      </c>
      <c r="K13" s="34">
        <f t="shared" si="0"/>
        <v>8506.9680000000008</v>
      </c>
      <c r="L13" s="34">
        <v>3.15</v>
      </c>
      <c r="M13" s="34">
        <v>96018</v>
      </c>
      <c r="N13" s="34">
        <f t="shared" si="1"/>
        <v>11.286277319957003</v>
      </c>
    </row>
    <row r="14" spans="1:14" x14ac:dyDescent="0.45">
      <c r="A14" s="30">
        <v>2023</v>
      </c>
      <c r="B14" s="30" t="s">
        <v>8</v>
      </c>
      <c r="C14" s="30" t="s">
        <v>46</v>
      </c>
      <c r="D14" s="30" t="s">
        <v>47</v>
      </c>
      <c r="E14" s="31" t="s">
        <v>65</v>
      </c>
      <c r="F14" s="32" t="s">
        <v>49</v>
      </c>
      <c r="G14" s="32" t="s">
        <v>50</v>
      </c>
      <c r="H14" s="33">
        <v>17830</v>
      </c>
      <c r="I14" s="34">
        <f>Table3[[#This Row],[Volume, kg.]]/1000</f>
        <v>17.829999999999998</v>
      </c>
      <c r="J14" s="34">
        <v>0.29870000000000002</v>
      </c>
      <c r="K14" s="34">
        <f t="shared" si="0"/>
        <v>5325.8210000000008</v>
      </c>
      <c r="L14" s="34">
        <v>3.22</v>
      </c>
      <c r="M14" s="34">
        <v>57498.5</v>
      </c>
      <c r="N14" s="34">
        <f t="shared" si="1"/>
        <v>10.780046869768999</v>
      </c>
    </row>
    <row r="15" spans="1:14" x14ac:dyDescent="0.45">
      <c r="A15" s="30">
        <v>2023</v>
      </c>
      <c r="B15" s="30" t="s">
        <v>8</v>
      </c>
      <c r="C15" s="30" t="s">
        <v>46</v>
      </c>
      <c r="D15" s="30" t="s">
        <v>47</v>
      </c>
      <c r="E15" s="31" t="s">
        <v>66</v>
      </c>
      <c r="F15" s="32" t="s">
        <v>49</v>
      </c>
      <c r="G15" s="32" t="s">
        <v>50</v>
      </c>
      <c r="H15" s="33">
        <v>13930</v>
      </c>
      <c r="I15" s="34">
        <f>Table3[[#This Row],[Volume, kg.]]/1000</f>
        <v>13.93</v>
      </c>
      <c r="J15" s="34">
        <v>0.2928</v>
      </c>
      <c r="K15" s="34">
        <f t="shared" si="0"/>
        <v>4078.7040000000002</v>
      </c>
      <c r="L15" s="34">
        <v>3.22</v>
      </c>
      <c r="M15" s="34">
        <v>44845.5</v>
      </c>
      <c r="N15" s="34">
        <f t="shared" si="1"/>
        <v>10.997267759562842</v>
      </c>
    </row>
    <row r="16" spans="1:14" x14ac:dyDescent="0.45">
      <c r="A16" s="30">
        <v>2023</v>
      </c>
      <c r="B16" s="30" t="s">
        <v>8</v>
      </c>
      <c r="C16" s="30" t="s">
        <v>46</v>
      </c>
      <c r="D16" s="30" t="s">
        <v>47</v>
      </c>
      <c r="E16" s="31" t="s">
        <v>67</v>
      </c>
      <c r="F16" s="32" t="s">
        <v>49</v>
      </c>
      <c r="G16" s="32" t="s">
        <v>50</v>
      </c>
      <c r="H16" s="33">
        <v>31610</v>
      </c>
      <c r="I16" s="34">
        <f>Table3[[#This Row],[Volume, kg.]]/1000</f>
        <v>31.61</v>
      </c>
      <c r="J16" s="34">
        <v>0.2979</v>
      </c>
      <c r="K16" s="34">
        <f t="shared" si="0"/>
        <v>9416.6190000000006</v>
      </c>
      <c r="L16" s="34">
        <v>3.26</v>
      </c>
      <c r="M16" s="34">
        <v>102980</v>
      </c>
      <c r="N16" s="34">
        <f t="shared" si="1"/>
        <v>10.943269553541457</v>
      </c>
    </row>
    <row r="17" spans="1:14" x14ac:dyDescent="0.45">
      <c r="A17" s="30">
        <v>2023</v>
      </c>
      <c r="B17" s="30" t="s">
        <v>8</v>
      </c>
      <c r="C17" s="30" t="s">
        <v>46</v>
      </c>
      <c r="D17" s="30" t="s">
        <v>47</v>
      </c>
      <c r="E17" s="31" t="s">
        <v>68</v>
      </c>
      <c r="F17" s="32" t="s">
        <v>49</v>
      </c>
      <c r="G17" s="32" t="s">
        <v>50</v>
      </c>
      <c r="H17" s="33">
        <v>6380</v>
      </c>
      <c r="I17" s="34">
        <f>Table3[[#This Row],[Volume, kg.]]/1000</f>
        <v>6.38</v>
      </c>
      <c r="J17" s="34">
        <v>0.35499999999999998</v>
      </c>
      <c r="K17" s="34">
        <f t="shared" si="0"/>
        <v>2264.9</v>
      </c>
      <c r="L17" s="34">
        <v>3.5</v>
      </c>
      <c r="M17" s="34">
        <v>22330</v>
      </c>
      <c r="N17" s="34">
        <f t="shared" si="1"/>
        <v>9.8591549295774659</v>
      </c>
    </row>
    <row r="18" spans="1:14" x14ac:dyDescent="0.45">
      <c r="A18" s="30">
        <v>2023</v>
      </c>
      <c r="B18" s="30" t="s">
        <v>8</v>
      </c>
      <c r="C18" s="30" t="s">
        <v>46</v>
      </c>
      <c r="D18" s="30" t="s">
        <v>47</v>
      </c>
      <c r="E18" s="31" t="s">
        <v>69</v>
      </c>
      <c r="F18" s="32" t="s">
        <v>49</v>
      </c>
      <c r="G18" s="32" t="s">
        <v>50</v>
      </c>
      <c r="H18" s="33">
        <v>8520</v>
      </c>
      <c r="I18" s="34">
        <f>Table3[[#This Row],[Volume, kg.]]/1000</f>
        <v>8.52</v>
      </c>
      <c r="J18" s="34">
        <v>0.27449999999999997</v>
      </c>
      <c r="K18" s="34">
        <f t="shared" si="0"/>
        <v>2338.7399999999998</v>
      </c>
      <c r="L18" s="34">
        <v>3.15</v>
      </c>
      <c r="M18" s="34">
        <v>26838</v>
      </c>
      <c r="N18" s="34">
        <f t="shared" si="1"/>
        <v>11.475409836065575</v>
      </c>
    </row>
    <row r="19" spans="1:14" x14ac:dyDescent="0.45">
      <c r="A19" s="30">
        <v>2023</v>
      </c>
      <c r="B19" s="30" t="s">
        <v>8</v>
      </c>
      <c r="C19" s="30" t="s">
        <v>46</v>
      </c>
      <c r="D19" s="30" t="s">
        <v>47</v>
      </c>
      <c r="E19" s="31" t="s">
        <v>70</v>
      </c>
      <c r="F19" s="32" t="s">
        <v>49</v>
      </c>
      <c r="G19" s="32" t="s">
        <v>50</v>
      </c>
      <c r="H19" s="33">
        <v>58170</v>
      </c>
      <c r="I19" s="34">
        <f>Table3[[#This Row],[Volume, kg.]]/1000</f>
        <v>58.17</v>
      </c>
      <c r="J19" s="34">
        <v>0.31530000000000002</v>
      </c>
      <c r="K19" s="34">
        <f t="shared" si="0"/>
        <v>18341.001</v>
      </c>
      <c r="L19" s="34">
        <v>3.32</v>
      </c>
      <c r="M19" s="34">
        <v>193189</v>
      </c>
      <c r="N19" s="34">
        <f t="shared" si="1"/>
        <v>10.529654297494448</v>
      </c>
    </row>
    <row r="20" spans="1:14" x14ac:dyDescent="0.45">
      <c r="A20" s="30">
        <v>2023</v>
      </c>
      <c r="B20" s="30" t="s">
        <v>8</v>
      </c>
      <c r="C20" s="30" t="s">
        <v>46</v>
      </c>
      <c r="D20" s="30" t="s">
        <v>47</v>
      </c>
      <c r="E20" s="31" t="s">
        <v>71</v>
      </c>
      <c r="F20" s="32" t="s">
        <v>49</v>
      </c>
      <c r="G20" s="32" t="s">
        <v>50</v>
      </c>
      <c r="H20" s="33">
        <v>15940</v>
      </c>
      <c r="I20" s="34">
        <f>Table3[[#This Row],[Volume, kg.]]/1000</f>
        <v>15.94</v>
      </c>
      <c r="J20" s="34">
        <v>0.28850000000000003</v>
      </c>
      <c r="K20" s="34">
        <f t="shared" si="0"/>
        <v>4598.6900000000005</v>
      </c>
      <c r="L20" s="34">
        <v>3.2</v>
      </c>
      <c r="M20" s="34">
        <v>51008</v>
      </c>
      <c r="N20" s="34">
        <f t="shared" si="1"/>
        <v>11.091854419410744</v>
      </c>
    </row>
    <row r="21" spans="1:14" x14ac:dyDescent="0.45">
      <c r="A21" s="30">
        <v>2023</v>
      </c>
      <c r="B21" s="30" t="s">
        <v>8</v>
      </c>
      <c r="C21" s="30" t="s">
        <v>46</v>
      </c>
      <c r="D21" s="30" t="s">
        <v>47</v>
      </c>
      <c r="E21" s="31" t="s">
        <v>72</v>
      </c>
      <c r="F21" s="32" t="s">
        <v>49</v>
      </c>
      <c r="G21" s="32" t="s">
        <v>50</v>
      </c>
      <c r="H21" s="33">
        <v>31250</v>
      </c>
      <c r="I21" s="34">
        <f>Table3[[#This Row],[Volume, kg.]]/1000</f>
        <v>31.25</v>
      </c>
      <c r="J21" s="34">
        <v>0.2707</v>
      </c>
      <c r="K21" s="34">
        <f t="shared" si="0"/>
        <v>8459.375</v>
      </c>
      <c r="L21" s="34">
        <v>3.12</v>
      </c>
      <c r="M21" s="34">
        <v>97517</v>
      </c>
      <c r="N21" s="34">
        <f t="shared" si="1"/>
        <v>11.525674178056891</v>
      </c>
    </row>
    <row r="22" spans="1:14" x14ac:dyDescent="0.45">
      <c r="A22" s="30">
        <v>2023</v>
      </c>
      <c r="B22" s="30" t="s">
        <v>8</v>
      </c>
      <c r="C22" s="30" t="s">
        <v>46</v>
      </c>
      <c r="D22" s="30" t="s">
        <v>47</v>
      </c>
      <c r="E22" s="31" t="s">
        <v>73</v>
      </c>
      <c r="F22" s="32" t="s">
        <v>49</v>
      </c>
      <c r="G22" s="32" t="s">
        <v>50</v>
      </c>
      <c r="H22" s="33">
        <v>65210</v>
      </c>
      <c r="I22" s="34">
        <f>Table3[[#This Row],[Volume, kg.]]/1000</f>
        <v>65.209999999999994</v>
      </c>
      <c r="J22" s="34">
        <v>0.30120000000000002</v>
      </c>
      <c r="K22" s="34">
        <f t="shared" si="0"/>
        <v>19641.252</v>
      </c>
      <c r="L22" s="34">
        <v>3.27</v>
      </c>
      <c r="M22" s="34">
        <v>213031</v>
      </c>
      <c r="N22" s="34">
        <f t="shared" si="1"/>
        <v>10.856573705179281</v>
      </c>
    </row>
    <row r="23" spans="1:14" x14ac:dyDescent="0.45">
      <c r="A23" s="30">
        <v>2023</v>
      </c>
      <c r="B23" s="30" t="s">
        <v>8</v>
      </c>
      <c r="C23" s="30" t="s">
        <v>46</v>
      </c>
      <c r="D23" s="30" t="s">
        <v>47</v>
      </c>
      <c r="E23" s="31" t="s">
        <v>74</v>
      </c>
      <c r="F23" s="32" t="s">
        <v>49</v>
      </c>
      <c r="G23" s="32" t="s">
        <v>50</v>
      </c>
      <c r="H23" s="33">
        <v>30720</v>
      </c>
      <c r="I23" s="34">
        <f>Table3[[#This Row],[Volume, kg.]]/1000</f>
        <v>30.72</v>
      </c>
      <c r="J23" s="34">
        <v>0.2979</v>
      </c>
      <c r="K23" s="34">
        <f t="shared" si="0"/>
        <v>9151.4879999999994</v>
      </c>
      <c r="L23" s="34">
        <v>3.25</v>
      </c>
      <c r="M23" s="34">
        <v>99840</v>
      </c>
      <c r="N23" s="34">
        <f t="shared" si="1"/>
        <v>10.909701242027525</v>
      </c>
    </row>
    <row r="24" spans="1:14" x14ac:dyDescent="0.45">
      <c r="A24" s="30">
        <v>2023</v>
      </c>
      <c r="B24" s="30" t="s">
        <v>8</v>
      </c>
      <c r="C24" s="30" t="s">
        <v>46</v>
      </c>
      <c r="D24" s="30" t="s">
        <v>47</v>
      </c>
      <c r="E24" s="31" t="s">
        <v>75</v>
      </c>
      <c r="F24" s="32" t="s">
        <v>49</v>
      </c>
      <c r="G24" s="32" t="s">
        <v>50</v>
      </c>
      <c r="H24" s="33">
        <v>16700</v>
      </c>
      <c r="I24" s="34">
        <f>Table3[[#This Row],[Volume, kg.]]/1000</f>
        <v>16.7</v>
      </c>
      <c r="J24" s="34">
        <v>0.2974</v>
      </c>
      <c r="K24" s="34">
        <f t="shared" si="0"/>
        <v>4966.58</v>
      </c>
      <c r="L24" s="34">
        <v>3.23</v>
      </c>
      <c r="M24" s="34">
        <v>53948</v>
      </c>
      <c r="N24" s="34">
        <f t="shared" si="1"/>
        <v>10.86079354404842</v>
      </c>
    </row>
    <row r="25" spans="1:14" x14ac:dyDescent="0.45">
      <c r="A25" s="30">
        <v>2023</v>
      </c>
      <c r="B25" s="30" t="s">
        <v>8</v>
      </c>
      <c r="C25" s="30" t="s">
        <v>46</v>
      </c>
      <c r="D25" s="30" t="s">
        <v>47</v>
      </c>
      <c r="E25" s="31" t="s">
        <v>76</v>
      </c>
      <c r="F25" s="32" t="s">
        <v>60</v>
      </c>
      <c r="G25" s="32" t="s">
        <v>50</v>
      </c>
      <c r="H25" s="33">
        <v>35330</v>
      </c>
      <c r="I25" s="34">
        <f>Table3[[#This Row],[Volume, kg.]]/1000</f>
        <v>35.33</v>
      </c>
      <c r="J25" s="34">
        <v>0.30570000000000003</v>
      </c>
      <c r="K25" s="34">
        <f t="shared" si="0"/>
        <v>10800.381000000001</v>
      </c>
      <c r="L25" s="34">
        <v>3.3</v>
      </c>
      <c r="M25" s="34">
        <v>116451.5</v>
      </c>
      <c r="N25" s="34">
        <f t="shared" si="1"/>
        <v>10.794896957801765</v>
      </c>
    </row>
    <row r="26" spans="1:14" x14ac:dyDescent="0.45">
      <c r="A26" s="30">
        <v>2023</v>
      </c>
      <c r="B26" s="30" t="s">
        <v>8</v>
      </c>
      <c r="C26" s="30" t="s">
        <v>46</v>
      </c>
      <c r="D26" s="30" t="s">
        <v>47</v>
      </c>
      <c r="E26" s="31" t="s">
        <v>77</v>
      </c>
      <c r="F26" s="32" t="s">
        <v>49</v>
      </c>
      <c r="G26" s="32" t="s">
        <v>50</v>
      </c>
      <c r="H26" s="33">
        <v>130090</v>
      </c>
      <c r="I26" s="34">
        <f>Table3[[#This Row],[Volume, kg.]]/1000</f>
        <v>130.09</v>
      </c>
      <c r="J26" s="34">
        <v>0.30480000000000002</v>
      </c>
      <c r="K26" s="34">
        <f t="shared" si="0"/>
        <v>39651.432000000001</v>
      </c>
      <c r="L26" s="34">
        <v>3.28</v>
      </c>
      <c r="M26" s="34">
        <v>427293</v>
      </c>
      <c r="N26" s="34">
        <f t="shared" si="1"/>
        <v>10.761154855643044</v>
      </c>
    </row>
    <row r="27" spans="1:14" x14ac:dyDescent="0.45">
      <c r="A27" s="30">
        <v>2023</v>
      </c>
      <c r="B27" s="30" t="s">
        <v>8</v>
      </c>
      <c r="C27" s="30" t="s">
        <v>46</v>
      </c>
      <c r="D27" s="30" t="s">
        <v>47</v>
      </c>
      <c r="E27" s="31" t="s">
        <v>78</v>
      </c>
      <c r="F27" s="32" t="s">
        <v>49</v>
      </c>
      <c r="G27" s="32" t="s">
        <v>50</v>
      </c>
      <c r="H27" s="33">
        <v>21670</v>
      </c>
      <c r="I27" s="34">
        <f>Table3[[#This Row],[Volume, kg.]]/1000</f>
        <v>21.67</v>
      </c>
      <c r="J27" s="34">
        <v>0.30890000000000001</v>
      </c>
      <c r="K27" s="34">
        <f t="shared" si="0"/>
        <v>6693.8630000000003</v>
      </c>
      <c r="L27" s="34">
        <v>3.35</v>
      </c>
      <c r="M27" s="34">
        <v>72626.5</v>
      </c>
      <c r="N27" s="34">
        <f t="shared" si="1"/>
        <v>10.844933635480738</v>
      </c>
    </row>
    <row r="28" spans="1:14" x14ac:dyDescent="0.45">
      <c r="A28" s="30">
        <v>2023</v>
      </c>
      <c r="B28" s="30" t="s">
        <v>8</v>
      </c>
      <c r="C28" s="30" t="s">
        <v>46</v>
      </c>
      <c r="D28" s="30" t="s">
        <v>47</v>
      </c>
      <c r="E28" s="31" t="s">
        <v>79</v>
      </c>
      <c r="F28" s="32" t="s">
        <v>49</v>
      </c>
      <c r="G28" s="32" t="s">
        <v>50</v>
      </c>
      <c r="H28" s="33">
        <v>16390</v>
      </c>
      <c r="I28" s="34">
        <f>Table3[[#This Row],[Volume, kg.]]/1000</f>
        <v>16.39</v>
      </c>
      <c r="J28" s="34">
        <v>0.28770000000000001</v>
      </c>
      <c r="K28" s="34">
        <f t="shared" si="0"/>
        <v>4715.4030000000002</v>
      </c>
      <c r="L28" s="34">
        <v>3.23</v>
      </c>
      <c r="M28" s="34">
        <v>52957</v>
      </c>
      <c r="N28" s="34">
        <f t="shared" si="1"/>
        <v>11.226972540841153</v>
      </c>
    </row>
    <row r="29" spans="1:14" x14ac:dyDescent="0.45">
      <c r="A29" s="30">
        <v>2023</v>
      </c>
      <c r="B29" s="30" t="s">
        <v>8</v>
      </c>
      <c r="C29" s="30" t="s">
        <v>46</v>
      </c>
      <c r="D29" s="30" t="s">
        <v>47</v>
      </c>
      <c r="E29" s="31" t="s">
        <v>80</v>
      </c>
      <c r="F29" s="32" t="s">
        <v>81</v>
      </c>
      <c r="G29" s="32" t="s">
        <v>50</v>
      </c>
      <c r="H29" s="33">
        <v>227530</v>
      </c>
      <c r="I29" s="34">
        <f>Table3[[#This Row],[Volume, kg.]]/1000</f>
        <v>227.53</v>
      </c>
      <c r="J29" s="34">
        <v>0.29389999999999999</v>
      </c>
      <c r="K29" s="34">
        <f t="shared" si="0"/>
        <v>66871.066999999995</v>
      </c>
      <c r="L29" s="34">
        <v>3.24</v>
      </c>
      <c r="M29" s="34">
        <v>736566</v>
      </c>
      <c r="N29" s="34">
        <f t="shared" si="1"/>
        <v>11.024157876828854</v>
      </c>
    </row>
    <row r="30" spans="1:14" x14ac:dyDescent="0.45">
      <c r="A30" s="30">
        <v>2023</v>
      </c>
      <c r="B30" s="30" t="s">
        <v>8</v>
      </c>
      <c r="C30" s="30" t="s">
        <v>46</v>
      </c>
      <c r="D30" s="30" t="s">
        <v>47</v>
      </c>
      <c r="E30" s="31" t="s">
        <v>82</v>
      </c>
      <c r="F30" s="32" t="s">
        <v>57</v>
      </c>
      <c r="G30" s="32" t="s">
        <v>50</v>
      </c>
      <c r="H30" s="33">
        <v>13720</v>
      </c>
      <c r="I30" s="34">
        <f>Table3[[#This Row],[Volume, kg.]]/1000</f>
        <v>13.72</v>
      </c>
      <c r="J30" s="34">
        <v>0.28059999999999996</v>
      </c>
      <c r="K30" s="34">
        <f t="shared" si="0"/>
        <v>3849.8319999999994</v>
      </c>
      <c r="L30" s="34">
        <v>3.16</v>
      </c>
      <c r="M30" s="34">
        <v>43405</v>
      </c>
      <c r="N30" s="34">
        <f t="shared" si="1"/>
        <v>11.261582323592304</v>
      </c>
    </row>
    <row r="31" spans="1:14" x14ac:dyDescent="0.45">
      <c r="A31" s="30">
        <v>2023</v>
      </c>
      <c r="B31" s="30" t="s">
        <v>8</v>
      </c>
      <c r="C31" s="30" t="s">
        <v>46</v>
      </c>
      <c r="D31" s="30" t="s">
        <v>47</v>
      </c>
      <c r="E31" s="31" t="s">
        <v>83</v>
      </c>
      <c r="F31" s="32" t="s">
        <v>64</v>
      </c>
      <c r="G31" s="32" t="s">
        <v>50</v>
      </c>
      <c r="H31" s="33">
        <v>10530</v>
      </c>
      <c r="I31" s="34">
        <f>Table3[[#This Row],[Volume, kg.]]/1000</f>
        <v>10.53</v>
      </c>
      <c r="J31" s="34">
        <v>0.25950000000000001</v>
      </c>
      <c r="K31" s="34">
        <f t="shared" si="0"/>
        <v>2732.5350000000003</v>
      </c>
      <c r="L31" s="34">
        <v>3.05</v>
      </c>
      <c r="M31" s="34">
        <v>32116.5</v>
      </c>
      <c r="N31" s="34">
        <f t="shared" si="1"/>
        <v>11.753371868978805</v>
      </c>
    </row>
    <row r="32" spans="1:14" x14ac:dyDescent="0.45">
      <c r="A32" s="30">
        <v>2023</v>
      </c>
      <c r="B32" s="30" t="s">
        <v>8</v>
      </c>
      <c r="C32" s="30" t="s">
        <v>46</v>
      </c>
      <c r="D32" s="30" t="s">
        <v>47</v>
      </c>
      <c r="E32" s="31" t="s">
        <v>84</v>
      </c>
      <c r="F32" s="32" t="s">
        <v>57</v>
      </c>
      <c r="G32" s="32" t="s">
        <v>50</v>
      </c>
      <c r="H32" s="33">
        <v>16080</v>
      </c>
      <c r="I32" s="34">
        <f>Table3[[#This Row],[Volume, kg.]]/1000</f>
        <v>16.079999999999998</v>
      </c>
      <c r="J32" s="34">
        <v>0.3</v>
      </c>
      <c r="K32" s="34">
        <f t="shared" si="0"/>
        <v>4824</v>
      </c>
      <c r="L32" s="34">
        <v>3.25</v>
      </c>
      <c r="M32" s="34">
        <v>52260</v>
      </c>
      <c r="N32" s="34">
        <f t="shared" si="1"/>
        <v>10.833333333333334</v>
      </c>
    </row>
    <row r="33" spans="1:14" x14ac:dyDescent="0.45">
      <c r="A33" s="30">
        <v>2023</v>
      </c>
      <c r="B33" s="30" t="s">
        <v>8</v>
      </c>
      <c r="C33" s="30" t="s">
        <v>46</v>
      </c>
      <c r="D33" s="30" t="s">
        <v>47</v>
      </c>
      <c r="E33" s="31" t="s">
        <v>85</v>
      </c>
      <c r="F33" s="32" t="s">
        <v>49</v>
      </c>
      <c r="G33" s="32" t="s">
        <v>50</v>
      </c>
      <c r="H33" s="33">
        <v>23370</v>
      </c>
      <c r="I33" s="34">
        <f>Table3[[#This Row],[Volume, kg.]]/1000</f>
        <v>23.37</v>
      </c>
      <c r="J33" s="34">
        <v>0.3019</v>
      </c>
      <c r="K33" s="34">
        <f t="shared" si="0"/>
        <v>7055.4030000000002</v>
      </c>
      <c r="L33" s="34">
        <v>3.29</v>
      </c>
      <c r="M33" s="34">
        <v>76772.5</v>
      </c>
      <c r="N33" s="34">
        <f t="shared" si="1"/>
        <v>10.897648227890031</v>
      </c>
    </row>
    <row r="34" spans="1:14" x14ac:dyDescent="0.45">
      <c r="A34" s="30">
        <v>2023</v>
      </c>
      <c r="B34" s="30" t="s">
        <v>8</v>
      </c>
      <c r="C34" s="30" t="s">
        <v>46</v>
      </c>
      <c r="D34" s="30" t="s">
        <v>47</v>
      </c>
      <c r="E34" s="31" t="s">
        <v>86</v>
      </c>
      <c r="F34" s="32" t="s">
        <v>49</v>
      </c>
      <c r="G34" s="32" t="s">
        <v>50</v>
      </c>
      <c r="H34" s="33">
        <v>147160</v>
      </c>
      <c r="I34" s="34">
        <f>Table3[[#This Row],[Volume, kg.]]/1000</f>
        <v>147.16</v>
      </c>
      <c r="J34" s="34">
        <v>0.28300000000000003</v>
      </c>
      <c r="K34" s="34">
        <f t="shared" si="0"/>
        <v>41646.280000000006</v>
      </c>
      <c r="L34" s="34">
        <v>3.17</v>
      </c>
      <c r="M34" s="34">
        <v>466532.5</v>
      </c>
      <c r="N34" s="34">
        <f t="shared" si="1"/>
        <v>11.201413427561835</v>
      </c>
    </row>
    <row r="35" spans="1:14" x14ac:dyDescent="0.45">
      <c r="A35" s="30">
        <v>2023</v>
      </c>
      <c r="B35" s="30" t="s">
        <v>8</v>
      </c>
      <c r="C35" s="30" t="s">
        <v>46</v>
      </c>
      <c r="D35" s="30" t="s">
        <v>47</v>
      </c>
      <c r="E35" s="31" t="s">
        <v>87</v>
      </c>
      <c r="F35" s="32" t="s">
        <v>49</v>
      </c>
      <c r="G35" s="32" t="s">
        <v>50</v>
      </c>
      <c r="H35" s="33">
        <v>42420</v>
      </c>
      <c r="I35" s="34">
        <f>Table3[[#This Row],[Volume, kg.]]/1000</f>
        <v>42.42</v>
      </c>
      <c r="J35" s="34">
        <v>0.26950000000000002</v>
      </c>
      <c r="K35" s="34">
        <f t="shared" si="0"/>
        <v>11432.19</v>
      </c>
      <c r="L35" s="34">
        <v>3.11</v>
      </c>
      <c r="M35" s="34">
        <v>131812</v>
      </c>
      <c r="N35" s="34">
        <f t="shared" si="1"/>
        <v>11.539888682745824</v>
      </c>
    </row>
    <row r="36" spans="1:14" x14ac:dyDescent="0.45">
      <c r="A36" s="30">
        <v>2023</v>
      </c>
      <c r="B36" s="30" t="s">
        <v>8</v>
      </c>
      <c r="C36" s="30" t="s">
        <v>46</v>
      </c>
      <c r="D36" s="30" t="s">
        <v>47</v>
      </c>
      <c r="E36" s="31" t="s">
        <v>88</v>
      </c>
      <c r="F36" s="32" t="s">
        <v>49</v>
      </c>
      <c r="G36" s="32" t="s">
        <v>50</v>
      </c>
      <c r="H36" s="33">
        <v>57750</v>
      </c>
      <c r="I36" s="34">
        <f>Table3[[#This Row],[Volume, kg.]]/1000</f>
        <v>57.75</v>
      </c>
      <c r="J36" s="34">
        <v>0.2893</v>
      </c>
      <c r="K36" s="34">
        <f t="shared" si="0"/>
        <v>16707.075000000001</v>
      </c>
      <c r="L36" s="34">
        <v>3.19</v>
      </c>
      <c r="M36" s="34">
        <v>184250</v>
      </c>
      <c r="N36" s="34">
        <f t="shared" si="1"/>
        <v>11.02661596958175</v>
      </c>
    </row>
    <row r="37" spans="1:14" x14ac:dyDescent="0.45">
      <c r="A37" s="30">
        <v>2023</v>
      </c>
      <c r="B37" s="30" t="s">
        <v>8</v>
      </c>
      <c r="C37" s="30" t="s">
        <v>46</v>
      </c>
      <c r="D37" s="30" t="s">
        <v>47</v>
      </c>
      <c r="E37" s="31" t="s">
        <v>89</v>
      </c>
      <c r="F37" s="32" t="s">
        <v>81</v>
      </c>
      <c r="G37" s="32" t="s">
        <v>50</v>
      </c>
      <c r="H37" s="33">
        <v>5590</v>
      </c>
      <c r="I37" s="34">
        <f>Table3[[#This Row],[Volume, kg.]]/1000</f>
        <v>5.59</v>
      </c>
      <c r="J37" s="34">
        <v>0.29149999999999998</v>
      </c>
      <c r="K37" s="34">
        <f t="shared" si="0"/>
        <v>1629.4849999999999</v>
      </c>
      <c r="L37" s="34">
        <v>3.2</v>
      </c>
      <c r="M37" s="34">
        <v>17888</v>
      </c>
      <c r="N37" s="34">
        <f t="shared" si="1"/>
        <v>10.977701543739281</v>
      </c>
    </row>
    <row r="38" spans="1:14" x14ac:dyDescent="0.45">
      <c r="A38" s="30">
        <v>2023</v>
      </c>
      <c r="B38" s="30" t="s">
        <v>8</v>
      </c>
      <c r="C38" s="30" t="s">
        <v>46</v>
      </c>
      <c r="D38" s="30" t="s">
        <v>47</v>
      </c>
      <c r="E38" s="31" t="s">
        <v>90</v>
      </c>
      <c r="F38" s="32" t="s">
        <v>49</v>
      </c>
      <c r="G38" s="32" t="s">
        <v>50</v>
      </c>
      <c r="H38" s="33">
        <v>36690</v>
      </c>
      <c r="I38" s="34">
        <f>Table3[[#This Row],[Volume, kg.]]/1000</f>
        <v>36.69</v>
      </c>
      <c r="J38" s="34">
        <v>0.29760000000000003</v>
      </c>
      <c r="K38" s="34">
        <f t="shared" si="0"/>
        <v>10918.944000000001</v>
      </c>
      <c r="L38" s="34">
        <v>3.24</v>
      </c>
      <c r="M38" s="34">
        <v>119056</v>
      </c>
      <c r="N38" s="34">
        <f t="shared" si="1"/>
        <v>10.887096774193548</v>
      </c>
    </row>
    <row r="39" spans="1:14" x14ac:dyDescent="0.45">
      <c r="A39" s="30">
        <v>2023</v>
      </c>
      <c r="B39" s="30" t="s">
        <v>8</v>
      </c>
      <c r="C39" s="30" t="s">
        <v>46</v>
      </c>
      <c r="D39" s="30" t="s">
        <v>47</v>
      </c>
      <c r="E39" s="31" t="s">
        <v>91</v>
      </c>
      <c r="F39" s="32" t="s">
        <v>60</v>
      </c>
      <c r="G39" s="32" t="s">
        <v>50</v>
      </c>
      <c r="H39" s="33">
        <v>192740</v>
      </c>
      <c r="I39" s="34">
        <f>Table3[[#This Row],[Volume, kg.]]/1000</f>
        <v>192.74</v>
      </c>
      <c r="J39" s="34">
        <v>0.30879999999999996</v>
      </c>
      <c r="K39" s="34">
        <f t="shared" si="0"/>
        <v>59518.111999999994</v>
      </c>
      <c r="L39" s="34">
        <v>3.32</v>
      </c>
      <c r="M39" s="34">
        <v>639696</v>
      </c>
      <c r="N39" s="34">
        <f t="shared" si="1"/>
        <v>10.751295336787566</v>
      </c>
    </row>
    <row r="40" spans="1:14" x14ac:dyDescent="0.45">
      <c r="A40" s="30">
        <v>2023</v>
      </c>
      <c r="B40" s="30" t="s">
        <v>8</v>
      </c>
      <c r="C40" s="30" t="s">
        <v>46</v>
      </c>
      <c r="D40" s="30" t="s">
        <v>47</v>
      </c>
      <c r="E40" s="31" t="s">
        <v>92</v>
      </c>
      <c r="F40" s="32" t="s">
        <v>81</v>
      </c>
      <c r="G40" s="32" t="s">
        <v>50</v>
      </c>
      <c r="H40" s="33">
        <v>241940</v>
      </c>
      <c r="I40" s="34">
        <f>Table3[[#This Row],[Volume, kg.]]/1000</f>
        <v>241.94</v>
      </c>
      <c r="J40" s="34">
        <v>0.28000000000000003</v>
      </c>
      <c r="K40" s="34">
        <f t="shared" si="0"/>
        <v>67743.200000000012</v>
      </c>
      <c r="L40" s="34">
        <v>3.16</v>
      </c>
      <c r="M40" s="34">
        <v>765031.5</v>
      </c>
      <c r="N40" s="34">
        <f t="shared" si="1"/>
        <v>11.285714285714285</v>
      </c>
    </row>
    <row r="41" spans="1:14" x14ac:dyDescent="0.45">
      <c r="A41" s="30">
        <v>2023</v>
      </c>
      <c r="B41" s="30" t="s">
        <v>8</v>
      </c>
      <c r="C41" s="30" t="s">
        <v>46</v>
      </c>
      <c r="D41" s="30" t="s">
        <v>47</v>
      </c>
      <c r="E41" s="31" t="s">
        <v>93</v>
      </c>
      <c r="F41" s="32" t="s">
        <v>64</v>
      </c>
      <c r="G41" s="32" t="s">
        <v>50</v>
      </c>
      <c r="H41" s="33">
        <v>10380</v>
      </c>
      <c r="I41" s="34">
        <f>Table3[[#This Row],[Volume, kg.]]/1000</f>
        <v>10.38</v>
      </c>
      <c r="J41" s="34">
        <v>0.249</v>
      </c>
      <c r="K41" s="34">
        <f t="shared" si="0"/>
        <v>2584.62</v>
      </c>
      <c r="L41" s="34">
        <v>3.05</v>
      </c>
      <c r="M41" s="34">
        <v>31659</v>
      </c>
      <c r="N41" s="34">
        <f t="shared" si="1"/>
        <v>12.248995983935743</v>
      </c>
    </row>
    <row r="42" spans="1:14" x14ac:dyDescent="0.45">
      <c r="A42" s="30">
        <v>2023</v>
      </c>
      <c r="B42" s="30" t="s">
        <v>8</v>
      </c>
      <c r="C42" s="30" t="s">
        <v>46</v>
      </c>
      <c r="D42" s="30" t="s">
        <v>47</v>
      </c>
      <c r="E42" s="31" t="s">
        <v>94</v>
      </c>
      <c r="F42" s="32" t="s">
        <v>64</v>
      </c>
      <c r="G42" s="32" t="s">
        <v>50</v>
      </c>
      <c r="H42" s="33">
        <v>41230</v>
      </c>
      <c r="I42" s="34">
        <f>Table3[[#This Row],[Volume, kg.]]/1000</f>
        <v>41.23</v>
      </c>
      <c r="J42" s="34">
        <v>0.28360000000000002</v>
      </c>
      <c r="K42" s="34">
        <f t="shared" si="0"/>
        <v>11692.828000000001</v>
      </c>
      <c r="L42" s="34">
        <v>3.18</v>
      </c>
      <c r="M42" s="34">
        <v>131019.5</v>
      </c>
      <c r="N42" s="34">
        <f t="shared" si="1"/>
        <v>11.212976022566995</v>
      </c>
    </row>
    <row r="43" spans="1:14" x14ac:dyDescent="0.45">
      <c r="A43" s="30">
        <v>2023</v>
      </c>
      <c r="B43" s="30" t="s">
        <v>8</v>
      </c>
      <c r="C43" s="30" t="s">
        <v>46</v>
      </c>
      <c r="D43" s="30" t="s">
        <v>47</v>
      </c>
      <c r="E43" s="31" t="s">
        <v>95</v>
      </c>
      <c r="F43" s="32" t="s">
        <v>49</v>
      </c>
      <c r="G43" s="32" t="s">
        <v>50</v>
      </c>
      <c r="H43" s="33">
        <v>11980</v>
      </c>
      <c r="I43" s="34">
        <f>Table3[[#This Row],[Volume, kg.]]/1000</f>
        <v>11.98</v>
      </c>
      <c r="J43" s="34">
        <v>0.30329999999999996</v>
      </c>
      <c r="K43" s="34">
        <f t="shared" si="0"/>
        <v>3633.5339999999997</v>
      </c>
      <c r="L43" s="34">
        <v>3.28</v>
      </c>
      <c r="M43" s="34">
        <v>39304</v>
      </c>
      <c r="N43" s="34">
        <f t="shared" si="1"/>
        <v>10.814375206066602</v>
      </c>
    </row>
    <row r="44" spans="1:14" x14ac:dyDescent="0.45">
      <c r="A44" s="30">
        <v>2023</v>
      </c>
      <c r="B44" s="30" t="s">
        <v>8</v>
      </c>
      <c r="C44" s="30" t="s">
        <v>46</v>
      </c>
      <c r="D44" s="30" t="s">
        <v>47</v>
      </c>
      <c r="E44" s="31" t="s">
        <v>96</v>
      </c>
      <c r="F44" s="32" t="s">
        <v>49</v>
      </c>
      <c r="G44" s="32" t="s">
        <v>50</v>
      </c>
      <c r="H44" s="33">
        <v>54420</v>
      </c>
      <c r="I44" s="34">
        <f>Table3[[#This Row],[Volume, kg.]]/1000</f>
        <v>54.42</v>
      </c>
      <c r="J44" s="34">
        <v>0.29309999999999997</v>
      </c>
      <c r="K44" s="34">
        <f t="shared" si="0"/>
        <v>15950.501999999999</v>
      </c>
      <c r="L44" s="34">
        <v>3.23</v>
      </c>
      <c r="M44" s="34">
        <v>176020.5</v>
      </c>
      <c r="N44" s="34">
        <f t="shared" si="1"/>
        <v>11.020129648584103</v>
      </c>
    </row>
    <row r="45" spans="1:14" x14ac:dyDescent="0.45">
      <c r="A45" s="30">
        <v>2023</v>
      </c>
      <c r="B45" s="30" t="s">
        <v>8</v>
      </c>
      <c r="C45" s="30" t="s">
        <v>46</v>
      </c>
      <c r="D45" s="30" t="s">
        <v>47</v>
      </c>
      <c r="E45" s="31" t="s">
        <v>97</v>
      </c>
      <c r="F45" s="32" t="s">
        <v>49</v>
      </c>
      <c r="G45" s="32" t="s">
        <v>50</v>
      </c>
      <c r="H45" s="33">
        <v>5810</v>
      </c>
      <c r="I45" s="34">
        <f>Table3[[#This Row],[Volume, kg.]]/1000</f>
        <v>5.81</v>
      </c>
      <c r="J45" s="34">
        <v>0.27500000000000002</v>
      </c>
      <c r="K45" s="34">
        <f t="shared" si="0"/>
        <v>1597.7500000000002</v>
      </c>
      <c r="L45" s="34">
        <v>3.2</v>
      </c>
      <c r="M45" s="34">
        <v>18592</v>
      </c>
      <c r="N45" s="34">
        <f t="shared" si="1"/>
        <v>11.636363636363637</v>
      </c>
    </row>
    <row r="46" spans="1:14" x14ac:dyDescent="0.45">
      <c r="A46" s="30">
        <v>2023</v>
      </c>
      <c r="B46" s="30" t="s">
        <v>8</v>
      </c>
      <c r="C46" s="30" t="s">
        <v>46</v>
      </c>
      <c r="D46" s="30" t="s">
        <v>47</v>
      </c>
      <c r="E46" s="31" t="s">
        <v>98</v>
      </c>
      <c r="F46" s="32" t="s">
        <v>49</v>
      </c>
      <c r="G46" s="32" t="s">
        <v>50</v>
      </c>
      <c r="H46" s="33">
        <v>187510</v>
      </c>
      <c r="I46" s="34">
        <f>Table3[[#This Row],[Volume, kg.]]/1000</f>
        <v>187.51</v>
      </c>
      <c r="J46" s="34">
        <v>0.30210000000000004</v>
      </c>
      <c r="K46" s="34">
        <f t="shared" si="0"/>
        <v>56646.771000000008</v>
      </c>
      <c r="L46" s="34">
        <v>3.27</v>
      </c>
      <c r="M46" s="34">
        <v>613877</v>
      </c>
      <c r="N46" s="34">
        <f t="shared" si="1"/>
        <v>10.824230387288976</v>
      </c>
    </row>
    <row r="47" spans="1:14" x14ac:dyDescent="0.45">
      <c r="A47" s="30">
        <v>2023</v>
      </c>
      <c r="B47" s="30" t="s">
        <v>8</v>
      </c>
      <c r="C47" s="30" t="s">
        <v>46</v>
      </c>
      <c r="D47" s="30" t="s">
        <v>47</v>
      </c>
      <c r="E47" s="31" t="s">
        <v>99</v>
      </c>
      <c r="F47" s="32" t="s">
        <v>49</v>
      </c>
      <c r="G47" s="32" t="s">
        <v>50</v>
      </c>
      <c r="H47" s="33">
        <v>47800</v>
      </c>
      <c r="I47" s="34">
        <f>Table3[[#This Row],[Volume, kg.]]/1000</f>
        <v>47.8</v>
      </c>
      <c r="J47" s="34">
        <v>0.2782</v>
      </c>
      <c r="K47" s="34">
        <f t="shared" si="0"/>
        <v>13297.960000000001</v>
      </c>
      <c r="L47" s="34">
        <v>3.14</v>
      </c>
      <c r="M47" s="34">
        <v>150188.5</v>
      </c>
      <c r="N47" s="34">
        <f t="shared" si="1"/>
        <v>11.286843997124372</v>
      </c>
    </row>
    <row r="48" spans="1:14" x14ac:dyDescent="0.45">
      <c r="A48" s="30">
        <v>2023</v>
      </c>
      <c r="B48" s="30" t="s">
        <v>8</v>
      </c>
      <c r="C48" s="30" t="s">
        <v>46</v>
      </c>
      <c r="D48" s="30" t="s">
        <v>47</v>
      </c>
      <c r="E48" s="31" t="s">
        <v>100</v>
      </c>
      <c r="F48" s="32" t="s">
        <v>60</v>
      </c>
      <c r="G48" s="32" t="s">
        <v>50</v>
      </c>
      <c r="H48" s="33">
        <v>39000</v>
      </c>
      <c r="I48" s="34">
        <f>Table3[[#This Row],[Volume, kg.]]/1000</f>
        <v>39</v>
      </c>
      <c r="J48" s="34">
        <v>0.29649999999999999</v>
      </c>
      <c r="K48" s="34">
        <f t="shared" si="0"/>
        <v>11563.5</v>
      </c>
      <c r="L48" s="34">
        <v>3.25</v>
      </c>
      <c r="M48" s="34">
        <v>126588.5</v>
      </c>
      <c r="N48" s="34">
        <f t="shared" si="1"/>
        <v>10.961214165261383</v>
      </c>
    </row>
    <row r="49" spans="1:14" x14ac:dyDescent="0.45">
      <c r="A49" s="30">
        <v>2023</v>
      </c>
      <c r="B49" s="30" t="s">
        <v>8</v>
      </c>
      <c r="C49" s="30" t="s">
        <v>46</v>
      </c>
      <c r="D49" s="30" t="s">
        <v>47</v>
      </c>
      <c r="E49" s="31" t="s">
        <v>101</v>
      </c>
      <c r="F49" s="32" t="s">
        <v>64</v>
      </c>
      <c r="G49" s="32" t="s">
        <v>50</v>
      </c>
      <c r="H49" s="33">
        <v>39440</v>
      </c>
      <c r="I49" s="34">
        <f>Table3[[#This Row],[Volume, kg.]]/1000</f>
        <v>39.44</v>
      </c>
      <c r="J49" s="34">
        <v>0.25890000000000002</v>
      </c>
      <c r="K49" s="34">
        <f t="shared" si="0"/>
        <v>10211.016000000001</v>
      </c>
      <c r="L49" s="34">
        <v>3.05</v>
      </c>
      <c r="M49" s="34">
        <v>120353</v>
      </c>
      <c r="N49" s="34">
        <f t="shared" si="1"/>
        <v>11.780610274237155</v>
      </c>
    </row>
    <row r="50" spans="1:14" x14ac:dyDescent="0.45">
      <c r="A50" s="30">
        <v>2023</v>
      </c>
      <c r="B50" s="30" t="s">
        <v>8</v>
      </c>
      <c r="C50" s="30" t="s">
        <v>46</v>
      </c>
      <c r="D50" s="30" t="s">
        <v>102</v>
      </c>
      <c r="E50" s="31" t="s">
        <v>103</v>
      </c>
      <c r="F50" s="32" t="s">
        <v>104</v>
      </c>
      <c r="G50" s="32" t="s">
        <v>105</v>
      </c>
      <c r="H50" s="33">
        <v>2220</v>
      </c>
      <c r="I50" s="34">
        <f>Table3[[#This Row],[Volume, kg.]]/1000</f>
        <v>2.2200000000000002</v>
      </c>
      <c r="J50" s="34">
        <v>0.251</v>
      </c>
      <c r="K50" s="34">
        <f t="shared" si="0"/>
        <v>557.22</v>
      </c>
      <c r="L50" s="34">
        <v>3.2</v>
      </c>
      <c r="M50" s="34">
        <v>7104</v>
      </c>
      <c r="N50" s="34">
        <f t="shared" si="1"/>
        <v>12.749003984063746</v>
      </c>
    </row>
    <row r="51" spans="1:14" x14ac:dyDescent="0.45">
      <c r="A51" s="30">
        <v>2023</v>
      </c>
      <c r="B51" s="30" t="s">
        <v>8</v>
      </c>
      <c r="C51" s="30" t="s">
        <v>46</v>
      </c>
      <c r="D51" s="30" t="s">
        <v>102</v>
      </c>
      <c r="E51" s="31" t="s">
        <v>106</v>
      </c>
      <c r="F51" s="32" t="s">
        <v>107</v>
      </c>
      <c r="G51" s="32" t="s">
        <v>108</v>
      </c>
      <c r="H51" s="33">
        <v>508800</v>
      </c>
      <c r="I51" s="34">
        <f>Table3[[#This Row],[Volume, kg.]]/1000</f>
        <v>508.8</v>
      </c>
      <c r="J51" s="34">
        <v>0.28710000000000002</v>
      </c>
      <c r="K51" s="34">
        <f t="shared" si="0"/>
        <v>146076.48000000001</v>
      </c>
      <c r="L51" s="34">
        <v>3.24</v>
      </c>
      <c r="M51" s="34">
        <v>1647259.5</v>
      </c>
      <c r="N51" s="34">
        <f t="shared" si="1"/>
        <v>11.285266457680251</v>
      </c>
    </row>
    <row r="52" spans="1:14" x14ac:dyDescent="0.45">
      <c r="A52" s="30">
        <v>2023</v>
      </c>
      <c r="B52" s="30" t="s">
        <v>8</v>
      </c>
      <c r="C52" s="30" t="s">
        <v>46</v>
      </c>
      <c r="D52" s="30" t="s">
        <v>47</v>
      </c>
      <c r="E52" s="31" t="s">
        <v>109</v>
      </c>
      <c r="F52" s="32" t="s">
        <v>60</v>
      </c>
      <c r="G52" s="32" t="s">
        <v>50</v>
      </c>
      <c r="H52" s="33">
        <v>131460</v>
      </c>
      <c r="I52" s="34">
        <f>Table3[[#This Row],[Volume, kg.]]/1000</f>
        <v>131.46</v>
      </c>
      <c r="J52" s="34">
        <v>0.31109999999999999</v>
      </c>
      <c r="K52" s="34">
        <f t="shared" si="0"/>
        <v>40897.205999999998</v>
      </c>
      <c r="L52" s="34">
        <v>3.33</v>
      </c>
      <c r="M52" s="34">
        <v>437780.5</v>
      </c>
      <c r="N52" s="34">
        <f t="shared" si="1"/>
        <v>10.703953712632595</v>
      </c>
    </row>
    <row r="53" spans="1:14" x14ac:dyDescent="0.45">
      <c r="A53" s="30">
        <v>2023</v>
      </c>
      <c r="B53" s="30" t="s">
        <v>8</v>
      </c>
      <c r="C53" s="30" t="s">
        <v>46</v>
      </c>
      <c r="D53" s="30" t="s">
        <v>47</v>
      </c>
      <c r="E53" s="31" t="s">
        <v>110</v>
      </c>
      <c r="F53" s="32" t="s">
        <v>57</v>
      </c>
      <c r="G53" s="32" t="s">
        <v>50</v>
      </c>
      <c r="H53" s="33">
        <v>84700</v>
      </c>
      <c r="I53" s="34">
        <f>Table3[[#This Row],[Volume, kg.]]/1000</f>
        <v>84.7</v>
      </c>
      <c r="J53" s="34">
        <v>0.28550000000000003</v>
      </c>
      <c r="K53" s="34">
        <f t="shared" si="0"/>
        <v>24181.850000000002</v>
      </c>
      <c r="L53" s="34">
        <v>3.2</v>
      </c>
      <c r="M53" s="34">
        <v>270894</v>
      </c>
      <c r="N53" s="34">
        <f t="shared" si="1"/>
        <v>11.208406304728546</v>
      </c>
    </row>
    <row r="54" spans="1:14" x14ac:dyDescent="0.45">
      <c r="A54" s="30">
        <v>2023</v>
      </c>
      <c r="B54" s="30" t="s">
        <v>8</v>
      </c>
      <c r="C54" s="30" t="s">
        <v>46</v>
      </c>
      <c r="D54" s="30" t="s">
        <v>47</v>
      </c>
      <c r="E54" s="31" t="s">
        <v>111</v>
      </c>
      <c r="F54" s="32" t="s">
        <v>60</v>
      </c>
      <c r="G54" s="32" t="s">
        <v>50</v>
      </c>
      <c r="H54" s="33">
        <v>55730</v>
      </c>
      <c r="I54" s="34">
        <f>Table3[[#This Row],[Volume, kg.]]/1000</f>
        <v>55.73</v>
      </c>
      <c r="J54" s="34">
        <v>0.30680000000000002</v>
      </c>
      <c r="K54" s="34">
        <f t="shared" si="0"/>
        <v>17097.964</v>
      </c>
      <c r="L54" s="34">
        <v>3.29</v>
      </c>
      <c r="M54" s="34">
        <v>183450.5</v>
      </c>
      <c r="N54" s="34">
        <f t="shared" si="1"/>
        <v>10.723598435462842</v>
      </c>
    </row>
    <row r="55" spans="1:14" x14ac:dyDescent="0.45">
      <c r="A55" s="30">
        <v>2023</v>
      </c>
      <c r="B55" s="30" t="s">
        <v>8</v>
      </c>
      <c r="C55" s="30" t="s">
        <v>46</v>
      </c>
      <c r="D55" s="30" t="s">
        <v>47</v>
      </c>
      <c r="E55" s="31" t="s">
        <v>112</v>
      </c>
      <c r="F55" s="32" t="s">
        <v>49</v>
      </c>
      <c r="G55" s="32" t="s">
        <v>50</v>
      </c>
      <c r="H55" s="33">
        <v>18210</v>
      </c>
      <c r="I55" s="34">
        <f>Table3[[#This Row],[Volume, kg.]]/1000</f>
        <v>18.21</v>
      </c>
      <c r="J55" s="34">
        <v>0.30149999999999999</v>
      </c>
      <c r="K55" s="34">
        <f t="shared" si="0"/>
        <v>5490.3149999999996</v>
      </c>
      <c r="L55" s="34">
        <v>3.26</v>
      </c>
      <c r="M55" s="34">
        <v>59445</v>
      </c>
      <c r="N55" s="34">
        <f t="shared" si="1"/>
        <v>10.812603648424544</v>
      </c>
    </row>
    <row r="56" spans="1:14" x14ac:dyDescent="0.45">
      <c r="A56" s="30">
        <v>2023</v>
      </c>
      <c r="B56" s="30" t="s">
        <v>8</v>
      </c>
      <c r="C56" s="30" t="s">
        <v>46</v>
      </c>
      <c r="D56" s="30" t="s">
        <v>102</v>
      </c>
      <c r="E56" s="31" t="s">
        <v>113</v>
      </c>
      <c r="F56" s="32" t="s">
        <v>114</v>
      </c>
      <c r="G56" s="32" t="s">
        <v>108</v>
      </c>
      <c r="H56" s="33">
        <v>126080</v>
      </c>
      <c r="I56" s="34">
        <f>Table3[[#This Row],[Volume, kg.]]/1000</f>
        <v>126.08</v>
      </c>
      <c r="J56" s="34">
        <v>0.30030000000000001</v>
      </c>
      <c r="K56" s="34">
        <f t="shared" si="0"/>
        <v>37861.824000000001</v>
      </c>
      <c r="L56" s="34">
        <v>3.33</v>
      </c>
      <c r="M56" s="34">
        <v>419810.5</v>
      </c>
      <c r="N56" s="34">
        <f t="shared" si="1"/>
        <v>11.08891108891109</v>
      </c>
    </row>
    <row r="57" spans="1:14" x14ac:dyDescent="0.45">
      <c r="A57" s="30">
        <v>2023</v>
      </c>
      <c r="B57" s="30" t="s">
        <v>8</v>
      </c>
      <c r="C57" s="30" t="s">
        <v>46</v>
      </c>
      <c r="D57" s="30" t="s">
        <v>47</v>
      </c>
      <c r="E57" s="31" t="s">
        <v>115</v>
      </c>
      <c r="F57" s="32" t="s">
        <v>49</v>
      </c>
      <c r="G57" s="32" t="s">
        <v>50</v>
      </c>
      <c r="H57" s="33">
        <v>15700</v>
      </c>
      <c r="I57" s="34">
        <f>Table3[[#This Row],[Volume, kg.]]/1000</f>
        <v>15.7</v>
      </c>
      <c r="J57" s="34">
        <v>0.28489999999999999</v>
      </c>
      <c r="K57" s="34">
        <f t="shared" si="0"/>
        <v>4472.9299999999994</v>
      </c>
      <c r="L57" s="34">
        <v>3.18</v>
      </c>
      <c r="M57" s="34">
        <v>49859.5</v>
      </c>
      <c r="N57" s="34">
        <f t="shared" si="1"/>
        <v>11.161811161811164</v>
      </c>
    </row>
    <row r="58" spans="1:14" x14ac:dyDescent="0.45">
      <c r="A58" s="30">
        <v>2023</v>
      </c>
      <c r="B58" s="30" t="s">
        <v>8</v>
      </c>
      <c r="C58" s="30" t="s">
        <v>46</v>
      </c>
      <c r="D58" s="30" t="s">
        <v>47</v>
      </c>
      <c r="E58" s="31" t="s">
        <v>116</v>
      </c>
      <c r="F58" s="32" t="s">
        <v>81</v>
      </c>
      <c r="G58" s="32" t="s">
        <v>50</v>
      </c>
      <c r="H58" s="33">
        <v>10870</v>
      </c>
      <c r="I58" s="34">
        <f>Table3[[#This Row],[Volume, kg.]]/1000</f>
        <v>10.87</v>
      </c>
      <c r="J58" s="34">
        <v>0.28699999999999998</v>
      </c>
      <c r="K58" s="34">
        <f t="shared" si="0"/>
        <v>3119.6899999999996</v>
      </c>
      <c r="L58" s="34">
        <v>3.2</v>
      </c>
      <c r="M58" s="34">
        <v>34784</v>
      </c>
      <c r="N58" s="34">
        <f t="shared" si="1"/>
        <v>11.149825783972126</v>
      </c>
    </row>
    <row r="59" spans="1:14" x14ac:dyDescent="0.45">
      <c r="A59" s="30">
        <v>2023</v>
      </c>
      <c r="B59" s="30" t="s">
        <v>8</v>
      </c>
      <c r="C59" s="30" t="s">
        <v>46</v>
      </c>
      <c r="D59" s="30" t="s">
        <v>102</v>
      </c>
      <c r="E59" s="31" t="s">
        <v>117</v>
      </c>
      <c r="F59" s="32" t="s">
        <v>118</v>
      </c>
      <c r="G59" s="32" t="s">
        <v>119</v>
      </c>
      <c r="H59" s="33">
        <v>411140</v>
      </c>
      <c r="I59" s="34">
        <f>Table3[[#This Row],[Volume, kg.]]/1000</f>
        <v>411.14</v>
      </c>
      <c r="J59" s="34">
        <v>0.27979999999999999</v>
      </c>
      <c r="K59" s="34">
        <f t="shared" si="0"/>
        <v>115036.97199999999</v>
      </c>
      <c r="L59" s="34">
        <v>3.3</v>
      </c>
      <c r="M59" s="34">
        <v>1355528.5</v>
      </c>
      <c r="N59" s="34">
        <f t="shared" si="1"/>
        <v>11.794138670478914</v>
      </c>
    </row>
    <row r="60" spans="1:14" x14ac:dyDescent="0.45">
      <c r="A60" s="30">
        <v>2023</v>
      </c>
      <c r="B60" s="30" t="s">
        <v>8</v>
      </c>
      <c r="C60" s="30" t="s">
        <v>46</v>
      </c>
      <c r="D60" s="30" t="s">
        <v>47</v>
      </c>
      <c r="E60" s="31" t="s">
        <v>120</v>
      </c>
      <c r="F60" s="32" t="s">
        <v>49</v>
      </c>
      <c r="G60" s="32" t="s">
        <v>50</v>
      </c>
      <c r="H60" s="33">
        <v>77070</v>
      </c>
      <c r="I60" s="34">
        <f>Table3[[#This Row],[Volume, kg.]]/1000</f>
        <v>77.069999999999993</v>
      </c>
      <c r="J60" s="34">
        <v>0.28499999999999998</v>
      </c>
      <c r="K60" s="34">
        <f t="shared" si="0"/>
        <v>21964.949999999997</v>
      </c>
      <c r="L60" s="34">
        <v>3.17</v>
      </c>
      <c r="M60" s="34">
        <v>244582.5</v>
      </c>
      <c r="N60" s="34">
        <f t="shared" si="1"/>
        <v>11.12280701754386</v>
      </c>
    </row>
    <row r="61" spans="1:14" x14ac:dyDescent="0.45">
      <c r="A61" s="30">
        <v>2023</v>
      </c>
      <c r="B61" s="30" t="s">
        <v>8</v>
      </c>
      <c r="C61" s="30" t="s">
        <v>46</v>
      </c>
      <c r="D61" s="30" t="s">
        <v>47</v>
      </c>
      <c r="E61" s="31" t="s">
        <v>121</v>
      </c>
      <c r="F61" s="32" t="s">
        <v>60</v>
      </c>
      <c r="G61" s="32" t="s">
        <v>50</v>
      </c>
      <c r="H61" s="33">
        <v>51740</v>
      </c>
      <c r="I61" s="34">
        <f>Table3[[#This Row],[Volume, kg.]]/1000</f>
        <v>51.74</v>
      </c>
      <c r="J61" s="34">
        <v>0.2787</v>
      </c>
      <c r="K61" s="34">
        <f t="shared" si="0"/>
        <v>14419.938</v>
      </c>
      <c r="L61" s="34">
        <v>3.16</v>
      </c>
      <c r="M61" s="34">
        <v>163478.5</v>
      </c>
      <c r="N61" s="34">
        <f t="shared" si="1"/>
        <v>11.338356655902404</v>
      </c>
    </row>
    <row r="62" spans="1:14" x14ac:dyDescent="0.45">
      <c r="A62" s="30">
        <v>2023</v>
      </c>
      <c r="B62" s="30" t="s">
        <v>8</v>
      </c>
      <c r="C62" s="30" t="s">
        <v>46</v>
      </c>
      <c r="D62" s="30" t="s">
        <v>47</v>
      </c>
      <c r="E62" s="31" t="s">
        <v>122</v>
      </c>
      <c r="F62" s="32" t="s">
        <v>49</v>
      </c>
      <c r="G62" s="32" t="s">
        <v>50</v>
      </c>
      <c r="H62" s="33">
        <v>33350</v>
      </c>
      <c r="I62" s="34">
        <f>Table3[[#This Row],[Volume, kg.]]/1000</f>
        <v>33.35</v>
      </c>
      <c r="J62" s="34">
        <v>0.27339999999999998</v>
      </c>
      <c r="K62" s="34">
        <f t="shared" si="0"/>
        <v>9117.89</v>
      </c>
      <c r="L62" s="34">
        <v>3.12</v>
      </c>
      <c r="M62" s="34">
        <v>104175</v>
      </c>
      <c r="N62" s="34">
        <f t="shared" si="1"/>
        <v>11.411850768105342</v>
      </c>
    </row>
    <row r="63" spans="1:14" x14ac:dyDescent="0.45">
      <c r="A63" s="30">
        <v>2023</v>
      </c>
      <c r="B63" s="30" t="s">
        <v>8</v>
      </c>
      <c r="C63" s="30" t="s">
        <v>46</v>
      </c>
      <c r="D63" s="30" t="s">
        <v>47</v>
      </c>
      <c r="E63" s="31" t="s">
        <v>123</v>
      </c>
      <c r="F63" s="32" t="s">
        <v>49</v>
      </c>
      <c r="G63" s="32" t="s">
        <v>50</v>
      </c>
      <c r="H63" s="33">
        <v>18140</v>
      </c>
      <c r="I63" s="34">
        <f>Table3[[#This Row],[Volume, kg.]]/1000</f>
        <v>18.14</v>
      </c>
      <c r="J63" s="34">
        <v>0.2989</v>
      </c>
      <c r="K63" s="34">
        <f t="shared" si="0"/>
        <v>5422.0460000000003</v>
      </c>
      <c r="L63" s="34">
        <v>3.28</v>
      </c>
      <c r="M63" s="34">
        <v>59553</v>
      </c>
      <c r="N63" s="34">
        <f t="shared" si="1"/>
        <v>10.973569755771161</v>
      </c>
    </row>
    <row r="64" spans="1:14" x14ac:dyDescent="0.45">
      <c r="A64" s="30">
        <v>2023</v>
      </c>
      <c r="B64" s="30" t="s">
        <v>8</v>
      </c>
      <c r="C64" s="30" t="s">
        <v>46</v>
      </c>
      <c r="D64" s="30" t="s">
        <v>47</v>
      </c>
      <c r="E64" s="31" t="s">
        <v>124</v>
      </c>
      <c r="F64" s="32" t="s">
        <v>49</v>
      </c>
      <c r="G64" s="32" t="s">
        <v>50</v>
      </c>
      <c r="H64" s="33">
        <v>26160</v>
      </c>
      <c r="I64" s="34">
        <f>Table3[[#This Row],[Volume, kg.]]/1000</f>
        <v>26.16</v>
      </c>
      <c r="J64" s="34">
        <v>0.30519999999999997</v>
      </c>
      <c r="K64" s="34">
        <f t="shared" si="0"/>
        <v>7984.0319999999992</v>
      </c>
      <c r="L64" s="34">
        <v>3.27</v>
      </c>
      <c r="M64" s="34">
        <v>85557</v>
      </c>
      <c r="N64" s="34">
        <f t="shared" si="1"/>
        <v>10.714285714285715</v>
      </c>
    </row>
    <row r="65" spans="1:14" x14ac:dyDescent="0.45">
      <c r="A65" s="30">
        <v>2023</v>
      </c>
      <c r="B65" s="30" t="s">
        <v>8</v>
      </c>
      <c r="C65" s="30" t="s">
        <v>46</v>
      </c>
      <c r="D65" s="30" t="s">
        <v>47</v>
      </c>
      <c r="E65" s="31" t="s">
        <v>125</v>
      </c>
      <c r="F65" s="32" t="s">
        <v>60</v>
      </c>
      <c r="G65" s="32" t="s">
        <v>50</v>
      </c>
      <c r="H65" s="33">
        <v>25800</v>
      </c>
      <c r="I65" s="34">
        <f>Table3[[#This Row],[Volume, kg.]]/1000</f>
        <v>25.8</v>
      </c>
      <c r="J65" s="34">
        <v>0.2596</v>
      </c>
      <c r="K65" s="34">
        <f t="shared" si="0"/>
        <v>6697.68</v>
      </c>
      <c r="L65" s="34">
        <v>3.05</v>
      </c>
      <c r="M65" s="34">
        <v>78763.5</v>
      </c>
      <c r="N65" s="34">
        <f t="shared" si="1"/>
        <v>11.748844375963019</v>
      </c>
    </row>
    <row r="66" spans="1:14" x14ac:dyDescent="0.45">
      <c r="A66" s="30">
        <v>2023</v>
      </c>
      <c r="B66" s="30" t="s">
        <v>8</v>
      </c>
      <c r="C66" s="30" t="s">
        <v>46</v>
      </c>
      <c r="D66" s="30" t="s">
        <v>102</v>
      </c>
      <c r="E66" s="31" t="s">
        <v>126</v>
      </c>
      <c r="F66" s="32" t="s">
        <v>127</v>
      </c>
      <c r="G66" s="32" t="s">
        <v>128</v>
      </c>
      <c r="H66" s="33">
        <v>923540</v>
      </c>
      <c r="I66" s="34">
        <f>Table3[[#This Row],[Volume, kg.]]/1000</f>
        <v>923.54</v>
      </c>
      <c r="J66" s="34">
        <v>0.28149999999999997</v>
      </c>
      <c r="K66" s="34">
        <f t="shared" si="0"/>
        <v>259976.50999999998</v>
      </c>
      <c r="L66" s="34">
        <v>3.32</v>
      </c>
      <c r="M66" s="34">
        <v>3067322.5</v>
      </c>
      <c r="N66" s="34">
        <f t="shared" si="1"/>
        <v>11.793960923623446</v>
      </c>
    </row>
    <row r="67" spans="1:14" x14ac:dyDescent="0.45">
      <c r="A67" s="30">
        <v>2023</v>
      </c>
      <c r="B67" s="30" t="s">
        <v>8</v>
      </c>
      <c r="C67" s="30" t="s">
        <v>46</v>
      </c>
      <c r="D67" s="30" t="s">
        <v>47</v>
      </c>
      <c r="E67" s="31" t="s">
        <v>129</v>
      </c>
      <c r="F67" s="32" t="s">
        <v>57</v>
      </c>
      <c r="G67" s="32" t="s">
        <v>50</v>
      </c>
      <c r="H67" s="33">
        <v>77360</v>
      </c>
      <c r="I67" s="34">
        <f>Table3[[#This Row],[Volume, kg.]]/1000</f>
        <v>77.36</v>
      </c>
      <c r="J67" s="34">
        <v>0.29380000000000001</v>
      </c>
      <c r="K67" s="34">
        <f t="shared" ref="K67:K130" si="2">H67*J67</f>
        <v>22728.368000000002</v>
      </c>
      <c r="L67" s="34">
        <v>3.23</v>
      </c>
      <c r="M67" s="34">
        <v>249585</v>
      </c>
      <c r="N67" s="34">
        <f t="shared" si="1"/>
        <v>10.993873383253915</v>
      </c>
    </row>
    <row r="68" spans="1:14" x14ac:dyDescent="0.45">
      <c r="A68" s="30">
        <v>2023</v>
      </c>
      <c r="B68" s="30" t="s">
        <v>8</v>
      </c>
      <c r="C68" s="30" t="s">
        <v>46</v>
      </c>
      <c r="D68" s="30" t="s">
        <v>47</v>
      </c>
      <c r="E68" s="31" t="s">
        <v>130</v>
      </c>
      <c r="F68" s="32" t="s">
        <v>64</v>
      </c>
      <c r="G68" s="32" t="s">
        <v>50</v>
      </c>
      <c r="H68" s="33">
        <v>19510</v>
      </c>
      <c r="I68" s="34">
        <f>Table3[[#This Row],[Volume, kg.]]/1000</f>
        <v>19.510000000000002</v>
      </c>
      <c r="J68" s="34">
        <v>0.2823</v>
      </c>
      <c r="K68" s="34">
        <f t="shared" si="2"/>
        <v>5507.6729999999998</v>
      </c>
      <c r="L68" s="34">
        <v>3.17</v>
      </c>
      <c r="M68" s="34">
        <v>61758</v>
      </c>
      <c r="N68" s="34">
        <f t="shared" ref="N68:N131" si="3">L68/J68</f>
        <v>11.229188806234502</v>
      </c>
    </row>
    <row r="69" spans="1:14" x14ac:dyDescent="0.45">
      <c r="A69" s="30">
        <v>2023</v>
      </c>
      <c r="B69" s="30" t="s">
        <v>8</v>
      </c>
      <c r="C69" s="30" t="s">
        <v>46</v>
      </c>
      <c r="D69" s="30" t="s">
        <v>47</v>
      </c>
      <c r="E69" s="31" t="s">
        <v>131</v>
      </c>
      <c r="F69" s="32" t="s">
        <v>64</v>
      </c>
      <c r="G69" s="32" t="s">
        <v>50</v>
      </c>
      <c r="H69" s="33">
        <v>54730</v>
      </c>
      <c r="I69" s="34">
        <f>Table3[[#This Row],[Volume, kg.]]/1000</f>
        <v>54.73</v>
      </c>
      <c r="J69" s="34">
        <v>0.27479999999999999</v>
      </c>
      <c r="K69" s="34">
        <f t="shared" si="2"/>
        <v>15039.804</v>
      </c>
      <c r="L69" s="34">
        <v>3.14</v>
      </c>
      <c r="M69" s="34">
        <v>171609.5</v>
      </c>
      <c r="N69" s="34">
        <f t="shared" si="3"/>
        <v>11.426491994177585</v>
      </c>
    </row>
    <row r="70" spans="1:14" x14ac:dyDescent="0.45">
      <c r="A70" s="30">
        <v>2023</v>
      </c>
      <c r="B70" s="30" t="s">
        <v>8</v>
      </c>
      <c r="C70" s="30" t="s">
        <v>46</v>
      </c>
      <c r="D70" s="30" t="s">
        <v>47</v>
      </c>
      <c r="E70" s="31" t="s">
        <v>132</v>
      </c>
      <c r="F70" s="32" t="s">
        <v>49</v>
      </c>
      <c r="G70" s="32" t="s">
        <v>50</v>
      </c>
      <c r="H70" s="33">
        <v>19670</v>
      </c>
      <c r="I70" s="34">
        <f>Table3[[#This Row],[Volume, kg.]]/1000</f>
        <v>19.670000000000002</v>
      </c>
      <c r="J70" s="34">
        <v>0.29170000000000001</v>
      </c>
      <c r="K70" s="34">
        <f t="shared" si="2"/>
        <v>5737.7390000000005</v>
      </c>
      <c r="L70" s="34">
        <v>3.21</v>
      </c>
      <c r="M70" s="34">
        <v>63173.5</v>
      </c>
      <c r="N70" s="34">
        <f t="shared" si="3"/>
        <v>11.004456633527596</v>
      </c>
    </row>
    <row r="71" spans="1:14" x14ac:dyDescent="0.45">
      <c r="A71" s="30">
        <v>2023</v>
      </c>
      <c r="B71" s="30" t="s">
        <v>8</v>
      </c>
      <c r="C71" s="30" t="s">
        <v>46</v>
      </c>
      <c r="D71" s="30" t="s">
        <v>47</v>
      </c>
      <c r="E71" s="31" t="s">
        <v>133</v>
      </c>
      <c r="F71" s="32" t="s">
        <v>134</v>
      </c>
      <c r="G71" s="32" t="s">
        <v>50</v>
      </c>
      <c r="H71" s="33">
        <v>242090</v>
      </c>
      <c r="I71" s="34">
        <f>Table3[[#This Row],[Volume, kg.]]/1000</f>
        <v>242.09</v>
      </c>
      <c r="J71" s="34">
        <v>0.30210000000000004</v>
      </c>
      <c r="K71" s="34">
        <f t="shared" si="2"/>
        <v>73135.38900000001</v>
      </c>
      <c r="L71" s="34">
        <v>3.27</v>
      </c>
      <c r="M71" s="34">
        <v>790546.5</v>
      </c>
      <c r="N71" s="34">
        <f t="shared" si="3"/>
        <v>10.824230387288976</v>
      </c>
    </row>
    <row r="72" spans="1:14" x14ac:dyDescent="0.45">
      <c r="A72" s="30">
        <v>2023</v>
      </c>
      <c r="B72" s="30" t="s">
        <v>8</v>
      </c>
      <c r="C72" s="30" t="s">
        <v>46</v>
      </c>
      <c r="D72" s="30" t="s">
        <v>47</v>
      </c>
      <c r="E72" s="31" t="s">
        <v>135</v>
      </c>
      <c r="F72" s="32" t="s">
        <v>49</v>
      </c>
      <c r="G72" s="32" t="s">
        <v>50</v>
      </c>
      <c r="H72" s="33">
        <v>20980</v>
      </c>
      <c r="I72" s="34">
        <f>Table3[[#This Row],[Volume, kg.]]/1000</f>
        <v>20.98</v>
      </c>
      <c r="J72" s="34">
        <v>0.28859999999999997</v>
      </c>
      <c r="K72" s="34">
        <f t="shared" si="2"/>
        <v>6054.8279999999995</v>
      </c>
      <c r="L72" s="34">
        <v>3.2</v>
      </c>
      <c r="M72" s="34">
        <v>67236</v>
      </c>
      <c r="N72" s="34">
        <f t="shared" si="3"/>
        <v>11.08801108801109</v>
      </c>
    </row>
    <row r="73" spans="1:14" x14ac:dyDescent="0.45">
      <c r="A73" s="30">
        <v>2023</v>
      </c>
      <c r="B73" s="30" t="s">
        <v>8</v>
      </c>
      <c r="C73" s="30" t="s">
        <v>46</v>
      </c>
      <c r="D73" s="30" t="s">
        <v>47</v>
      </c>
      <c r="E73" s="31" t="s">
        <v>136</v>
      </c>
      <c r="F73" s="32" t="s">
        <v>49</v>
      </c>
      <c r="G73" s="32" t="s">
        <v>50</v>
      </c>
      <c r="H73" s="33">
        <v>3440</v>
      </c>
      <c r="I73" s="34">
        <f>Table3[[#This Row],[Volume, kg.]]/1000</f>
        <v>3.44</v>
      </c>
      <c r="J73" s="34">
        <v>0.20699999999999999</v>
      </c>
      <c r="K73" s="34">
        <f t="shared" si="2"/>
        <v>712.07999999999993</v>
      </c>
      <c r="L73" s="34">
        <v>2.8</v>
      </c>
      <c r="M73" s="34">
        <v>9632</v>
      </c>
      <c r="N73" s="34">
        <f t="shared" si="3"/>
        <v>13.526570048309178</v>
      </c>
    </row>
    <row r="74" spans="1:14" x14ac:dyDescent="0.45">
      <c r="A74" s="30">
        <v>2023</v>
      </c>
      <c r="B74" s="30" t="s">
        <v>8</v>
      </c>
      <c r="C74" s="30" t="s">
        <v>46</v>
      </c>
      <c r="D74" s="30" t="s">
        <v>47</v>
      </c>
      <c r="E74" s="31" t="s">
        <v>137</v>
      </c>
      <c r="F74" s="32" t="s">
        <v>49</v>
      </c>
      <c r="G74" s="32" t="s">
        <v>50</v>
      </c>
      <c r="H74" s="33">
        <v>5960</v>
      </c>
      <c r="I74" s="34">
        <f>Table3[[#This Row],[Volume, kg.]]/1000</f>
        <v>5.96</v>
      </c>
      <c r="J74" s="34">
        <v>0.25700000000000001</v>
      </c>
      <c r="K74" s="34">
        <f t="shared" si="2"/>
        <v>1531.72</v>
      </c>
      <c r="L74" s="34">
        <v>3.05</v>
      </c>
      <c r="M74" s="34">
        <v>18178</v>
      </c>
      <c r="N74" s="34">
        <f t="shared" si="3"/>
        <v>11.867704280155641</v>
      </c>
    </row>
    <row r="75" spans="1:14" x14ac:dyDescent="0.45">
      <c r="A75" s="30">
        <v>2023</v>
      </c>
      <c r="B75" s="30" t="s">
        <v>8</v>
      </c>
      <c r="C75" s="30" t="s">
        <v>46</v>
      </c>
      <c r="D75" s="30" t="s">
        <v>47</v>
      </c>
      <c r="E75" s="31" t="s">
        <v>138</v>
      </c>
      <c r="F75" s="32" t="s">
        <v>49</v>
      </c>
      <c r="G75" s="32" t="s">
        <v>50</v>
      </c>
      <c r="H75" s="33">
        <v>26190</v>
      </c>
      <c r="I75" s="34">
        <f>Table3[[#This Row],[Volume, kg.]]/1000</f>
        <v>26.19</v>
      </c>
      <c r="J75" s="34">
        <v>0.32600000000000001</v>
      </c>
      <c r="K75" s="34">
        <f t="shared" si="2"/>
        <v>8537.94</v>
      </c>
      <c r="L75" s="34">
        <v>3.39</v>
      </c>
      <c r="M75" s="34">
        <v>88788</v>
      </c>
      <c r="N75" s="34">
        <f t="shared" si="3"/>
        <v>10.39877300613497</v>
      </c>
    </row>
    <row r="76" spans="1:14" x14ac:dyDescent="0.45">
      <c r="A76" s="30">
        <v>2023</v>
      </c>
      <c r="B76" s="30" t="s">
        <v>8</v>
      </c>
      <c r="C76" s="30" t="s">
        <v>46</v>
      </c>
      <c r="D76" s="30" t="s">
        <v>47</v>
      </c>
      <c r="E76" s="31" t="s">
        <v>139</v>
      </c>
      <c r="F76" s="32" t="s">
        <v>57</v>
      </c>
      <c r="G76" s="32" t="s">
        <v>50</v>
      </c>
      <c r="H76" s="33">
        <v>19240</v>
      </c>
      <c r="I76" s="34">
        <f>Table3[[#This Row],[Volume, kg.]]/1000</f>
        <v>19.239999999999998</v>
      </c>
      <c r="J76" s="34">
        <v>0.2999</v>
      </c>
      <c r="K76" s="34">
        <f t="shared" si="2"/>
        <v>5770.076</v>
      </c>
      <c r="L76" s="34">
        <v>3.25</v>
      </c>
      <c r="M76" s="34">
        <v>62530</v>
      </c>
      <c r="N76" s="34">
        <f t="shared" si="3"/>
        <v>10.836945648549516</v>
      </c>
    </row>
    <row r="77" spans="1:14" x14ac:dyDescent="0.45">
      <c r="A77" s="30">
        <v>2023</v>
      </c>
      <c r="B77" s="30" t="s">
        <v>8</v>
      </c>
      <c r="C77" s="30" t="s">
        <v>46</v>
      </c>
      <c r="D77" s="30" t="s">
        <v>47</v>
      </c>
      <c r="E77" s="31" t="s">
        <v>140</v>
      </c>
      <c r="F77" s="32" t="s">
        <v>49</v>
      </c>
      <c r="G77" s="32" t="s">
        <v>50</v>
      </c>
      <c r="H77" s="33">
        <v>4770</v>
      </c>
      <c r="I77" s="34">
        <f>Table3[[#This Row],[Volume, kg.]]/1000</f>
        <v>4.7699999999999996</v>
      </c>
      <c r="J77" s="34">
        <v>0.27050000000000002</v>
      </c>
      <c r="K77" s="34">
        <f t="shared" si="2"/>
        <v>1290.2850000000001</v>
      </c>
      <c r="L77" s="34">
        <v>3.1</v>
      </c>
      <c r="M77" s="34">
        <v>14787</v>
      </c>
      <c r="N77" s="34">
        <f t="shared" si="3"/>
        <v>11.460258780036968</v>
      </c>
    </row>
    <row r="78" spans="1:14" x14ac:dyDescent="0.45">
      <c r="A78" s="30">
        <v>2023</v>
      </c>
      <c r="B78" s="30" t="s">
        <v>8</v>
      </c>
      <c r="C78" s="30" t="s">
        <v>46</v>
      </c>
      <c r="D78" s="30" t="s">
        <v>47</v>
      </c>
      <c r="E78" s="31" t="s">
        <v>141</v>
      </c>
      <c r="F78" s="32" t="s">
        <v>49</v>
      </c>
      <c r="G78" s="32" t="s">
        <v>50</v>
      </c>
      <c r="H78" s="33">
        <v>13700</v>
      </c>
      <c r="I78" s="34">
        <f>Table3[[#This Row],[Volume, kg.]]/1000</f>
        <v>13.7</v>
      </c>
      <c r="J78" s="34">
        <v>0.27</v>
      </c>
      <c r="K78" s="34">
        <f t="shared" si="2"/>
        <v>3699.0000000000005</v>
      </c>
      <c r="L78" s="34">
        <v>3.1</v>
      </c>
      <c r="M78" s="34">
        <v>42470</v>
      </c>
      <c r="N78" s="34">
        <f t="shared" si="3"/>
        <v>11.481481481481481</v>
      </c>
    </row>
    <row r="79" spans="1:14" x14ac:dyDescent="0.45">
      <c r="A79" s="30">
        <v>2023</v>
      </c>
      <c r="B79" s="30" t="s">
        <v>8</v>
      </c>
      <c r="C79" s="30" t="s">
        <v>46</v>
      </c>
      <c r="D79" s="30" t="s">
        <v>47</v>
      </c>
      <c r="E79" s="31" t="s">
        <v>142</v>
      </c>
      <c r="F79" s="32" t="s">
        <v>57</v>
      </c>
      <c r="G79" s="32" t="s">
        <v>50</v>
      </c>
      <c r="H79" s="33">
        <v>16040</v>
      </c>
      <c r="I79" s="34">
        <f>Table3[[#This Row],[Volume, kg.]]/1000</f>
        <v>16.04</v>
      </c>
      <c r="J79" s="34">
        <v>0.21309999999999998</v>
      </c>
      <c r="K79" s="34">
        <f t="shared" si="2"/>
        <v>3418.1239999999998</v>
      </c>
      <c r="L79" s="34">
        <v>2.82</v>
      </c>
      <c r="M79" s="34">
        <v>45288</v>
      </c>
      <c r="N79" s="34">
        <f t="shared" si="3"/>
        <v>13.233223838573441</v>
      </c>
    </row>
    <row r="80" spans="1:14" x14ac:dyDescent="0.45">
      <c r="A80" s="30">
        <v>2023</v>
      </c>
      <c r="B80" s="30" t="s">
        <v>8</v>
      </c>
      <c r="C80" s="30" t="s">
        <v>46</v>
      </c>
      <c r="D80" s="30" t="s">
        <v>47</v>
      </c>
      <c r="E80" s="31" t="s">
        <v>143</v>
      </c>
      <c r="F80" s="32" t="s">
        <v>49</v>
      </c>
      <c r="G80" s="32" t="s">
        <v>50</v>
      </c>
      <c r="H80" s="33">
        <v>11940</v>
      </c>
      <c r="I80" s="34">
        <f>Table3[[#This Row],[Volume, kg.]]/1000</f>
        <v>11.94</v>
      </c>
      <c r="J80" s="34">
        <v>0.27050000000000002</v>
      </c>
      <c r="K80" s="34">
        <f t="shared" si="2"/>
        <v>3229.7700000000004</v>
      </c>
      <c r="L80" s="34">
        <v>3.1</v>
      </c>
      <c r="M80" s="34">
        <v>37014</v>
      </c>
      <c r="N80" s="34">
        <f t="shared" si="3"/>
        <v>11.460258780036968</v>
      </c>
    </row>
    <row r="81" spans="1:14" x14ac:dyDescent="0.45">
      <c r="A81" s="30">
        <v>2023</v>
      </c>
      <c r="B81" s="30" t="s">
        <v>8</v>
      </c>
      <c r="C81" s="30" t="s">
        <v>46</v>
      </c>
      <c r="D81" s="30" t="s">
        <v>47</v>
      </c>
      <c r="E81" s="31" t="s">
        <v>144</v>
      </c>
      <c r="F81" s="32" t="s">
        <v>49</v>
      </c>
      <c r="G81" s="32" t="s">
        <v>50</v>
      </c>
      <c r="H81" s="33">
        <v>34460</v>
      </c>
      <c r="I81" s="34">
        <f>Table3[[#This Row],[Volume, kg.]]/1000</f>
        <v>34.46</v>
      </c>
      <c r="J81" s="34">
        <v>0.29039999999999999</v>
      </c>
      <c r="K81" s="34">
        <f t="shared" si="2"/>
        <v>10007.183999999999</v>
      </c>
      <c r="L81" s="34">
        <v>3.22</v>
      </c>
      <c r="M81" s="34">
        <v>110909</v>
      </c>
      <c r="N81" s="34">
        <f t="shared" si="3"/>
        <v>11.088154269972453</v>
      </c>
    </row>
    <row r="82" spans="1:14" x14ac:dyDescent="0.45">
      <c r="A82" s="30">
        <v>2023</v>
      </c>
      <c r="B82" s="30" t="s">
        <v>8</v>
      </c>
      <c r="C82" s="30" t="s">
        <v>46</v>
      </c>
      <c r="D82" s="30" t="s">
        <v>47</v>
      </c>
      <c r="E82" s="31" t="s">
        <v>145</v>
      </c>
      <c r="F82" s="32" t="s">
        <v>60</v>
      </c>
      <c r="G82" s="32" t="s">
        <v>50</v>
      </c>
      <c r="H82" s="33">
        <v>11820</v>
      </c>
      <c r="I82" s="34">
        <f>Table3[[#This Row],[Volume, kg.]]/1000</f>
        <v>11.82</v>
      </c>
      <c r="J82" s="34">
        <v>0.29600000000000004</v>
      </c>
      <c r="K82" s="34">
        <f t="shared" si="2"/>
        <v>3498.7200000000007</v>
      </c>
      <c r="L82" s="34">
        <v>3.3</v>
      </c>
      <c r="M82" s="34">
        <v>39006</v>
      </c>
      <c r="N82" s="34">
        <f t="shared" si="3"/>
        <v>11.148648648648647</v>
      </c>
    </row>
    <row r="83" spans="1:14" x14ac:dyDescent="0.45">
      <c r="A83" s="30">
        <v>2023</v>
      </c>
      <c r="B83" s="30" t="s">
        <v>8</v>
      </c>
      <c r="C83" s="30" t="s">
        <v>46</v>
      </c>
      <c r="D83" s="30" t="s">
        <v>47</v>
      </c>
      <c r="E83" s="31" t="s">
        <v>146</v>
      </c>
      <c r="F83" s="32" t="s">
        <v>64</v>
      </c>
      <c r="G83" s="32" t="s">
        <v>50</v>
      </c>
      <c r="H83" s="33">
        <v>221900</v>
      </c>
      <c r="I83" s="34">
        <f>Table3[[#This Row],[Volume, kg.]]/1000</f>
        <v>221.9</v>
      </c>
      <c r="J83" s="34">
        <v>0.28149999999999997</v>
      </c>
      <c r="K83" s="34">
        <f t="shared" si="2"/>
        <v>62464.849999999991</v>
      </c>
      <c r="L83" s="34">
        <v>3.17</v>
      </c>
      <c r="M83" s="34">
        <v>702700.5</v>
      </c>
      <c r="N83" s="34">
        <f t="shared" si="3"/>
        <v>11.261101243339255</v>
      </c>
    </row>
    <row r="84" spans="1:14" x14ac:dyDescent="0.45">
      <c r="A84" s="30">
        <v>2023</v>
      </c>
      <c r="B84" s="30" t="s">
        <v>8</v>
      </c>
      <c r="C84" s="30" t="s">
        <v>46</v>
      </c>
      <c r="D84" s="30" t="s">
        <v>47</v>
      </c>
      <c r="E84" s="31" t="s">
        <v>147</v>
      </c>
      <c r="F84" s="32" t="s">
        <v>57</v>
      </c>
      <c r="G84" s="32" t="s">
        <v>50</v>
      </c>
      <c r="H84" s="33">
        <v>18780</v>
      </c>
      <c r="I84" s="34">
        <f>Table3[[#This Row],[Volume, kg.]]/1000</f>
        <v>18.78</v>
      </c>
      <c r="J84" s="34">
        <v>0.28160000000000002</v>
      </c>
      <c r="K84" s="34">
        <f t="shared" si="2"/>
        <v>5288.4480000000003</v>
      </c>
      <c r="L84" s="34">
        <v>3.19</v>
      </c>
      <c r="M84" s="34">
        <v>59983.5</v>
      </c>
      <c r="N84" s="34">
        <f t="shared" si="3"/>
        <v>11.328125</v>
      </c>
    </row>
    <row r="85" spans="1:14" x14ac:dyDescent="0.45">
      <c r="A85" s="30">
        <v>2023</v>
      </c>
      <c r="B85" s="30" t="s">
        <v>8</v>
      </c>
      <c r="C85" s="30" t="s">
        <v>46</v>
      </c>
      <c r="D85" s="30" t="s">
        <v>47</v>
      </c>
      <c r="E85" s="31" t="s">
        <v>148</v>
      </c>
      <c r="F85" s="32" t="s">
        <v>49</v>
      </c>
      <c r="G85" s="32" t="s">
        <v>50</v>
      </c>
      <c r="H85" s="33">
        <v>50950</v>
      </c>
      <c r="I85" s="34">
        <f>Table3[[#This Row],[Volume, kg.]]/1000</f>
        <v>50.95</v>
      </c>
      <c r="J85" s="34">
        <v>0.29199999999999998</v>
      </c>
      <c r="K85" s="34">
        <f t="shared" si="2"/>
        <v>14877.4</v>
      </c>
      <c r="L85" s="34">
        <v>3.24</v>
      </c>
      <c r="M85" s="34">
        <v>165009</v>
      </c>
      <c r="N85" s="34">
        <f t="shared" si="3"/>
        <v>11.095890410958905</v>
      </c>
    </row>
    <row r="86" spans="1:14" x14ac:dyDescent="0.45">
      <c r="A86" s="30">
        <v>2023</v>
      </c>
      <c r="B86" s="30" t="s">
        <v>8</v>
      </c>
      <c r="C86" s="30" t="s">
        <v>46</v>
      </c>
      <c r="D86" s="30" t="s">
        <v>47</v>
      </c>
      <c r="E86" s="31" t="s">
        <v>149</v>
      </c>
      <c r="F86" s="32" t="s">
        <v>49</v>
      </c>
      <c r="G86" s="32" t="s">
        <v>50</v>
      </c>
      <c r="H86" s="33">
        <v>22630</v>
      </c>
      <c r="I86" s="34">
        <f>Table3[[#This Row],[Volume, kg.]]/1000</f>
        <v>22.63</v>
      </c>
      <c r="J86" s="34">
        <v>0.2732</v>
      </c>
      <c r="K86" s="34">
        <f t="shared" si="2"/>
        <v>6182.5159999999996</v>
      </c>
      <c r="L86" s="34">
        <v>3.17</v>
      </c>
      <c r="M86" s="34">
        <v>71843</v>
      </c>
      <c r="N86" s="34">
        <f t="shared" si="3"/>
        <v>11.603221083455344</v>
      </c>
    </row>
    <row r="87" spans="1:14" x14ac:dyDescent="0.45">
      <c r="A87" s="30">
        <v>2023</v>
      </c>
      <c r="B87" s="30" t="s">
        <v>8</v>
      </c>
      <c r="C87" s="30" t="s">
        <v>46</v>
      </c>
      <c r="D87" s="30" t="s">
        <v>47</v>
      </c>
      <c r="E87" s="31" t="s">
        <v>150</v>
      </c>
      <c r="F87" s="32" t="s">
        <v>49</v>
      </c>
      <c r="G87" s="32" t="s">
        <v>50</v>
      </c>
      <c r="H87" s="33">
        <v>15680</v>
      </c>
      <c r="I87" s="34">
        <f>Table3[[#This Row],[Volume, kg.]]/1000</f>
        <v>15.68</v>
      </c>
      <c r="J87" s="34">
        <v>0.30690000000000001</v>
      </c>
      <c r="K87" s="34">
        <f t="shared" si="2"/>
        <v>4812.192</v>
      </c>
      <c r="L87" s="34">
        <v>3.3</v>
      </c>
      <c r="M87" s="34">
        <v>51754.5</v>
      </c>
      <c r="N87" s="34">
        <f t="shared" si="3"/>
        <v>10.75268817204301</v>
      </c>
    </row>
    <row r="88" spans="1:14" x14ac:dyDescent="0.45">
      <c r="A88" s="30">
        <v>2023</v>
      </c>
      <c r="B88" s="30" t="s">
        <v>8</v>
      </c>
      <c r="C88" s="30" t="s">
        <v>46</v>
      </c>
      <c r="D88" s="30" t="s">
        <v>47</v>
      </c>
      <c r="E88" s="31" t="s">
        <v>151</v>
      </c>
      <c r="F88" s="32" t="s">
        <v>60</v>
      </c>
      <c r="G88" s="32" t="s">
        <v>50</v>
      </c>
      <c r="H88" s="33">
        <v>87150</v>
      </c>
      <c r="I88" s="34">
        <f>Table3[[#This Row],[Volume, kg.]]/1000</f>
        <v>87.15</v>
      </c>
      <c r="J88" s="34">
        <v>0.28439999999999999</v>
      </c>
      <c r="K88" s="34">
        <f t="shared" si="2"/>
        <v>24785.46</v>
      </c>
      <c r="L88" s="34">
        <v>3.17</v>
      </c>
      <c r="M88" s="34">
        <v>276679</v>
      </c>
      <c r="N88" s="34">
        <f t="shared" si="3"/>
        <v>11.146272855133615</v>
      </c>
    </row>
    <row r="89" spans="1:14" x14ac:dyDescent="0.45">
      <c r="A89" s="30">
        <v>2023</v>
      </c>
      <c r="B89" s="30" t="s">
        <v>8</v>
      </c>
      <c r="C89" s="30" t="s">
        <v>46</v>
      </c>
      <c r="D89" s="30" t="s">
        <v>47</v>
      </c>
      <c r="E89" s="31" t="s">
        <v>152</v>
      </c>
      <c r="F89" s="32" t="s">
        <v>60</v>
      </c>
      <c r="G89" s="32" t="s">
        <v>50</v>
      </c>
      <c r="H89" s="33">
        <v>7790</v>
      </c>
      <c r="I89" s="34">
        <f>Table3[[#This Row],[Volume, kg.]]/1000</f>
        <v>7.79</v>
      </c>
      <c r="J89" s="34">
        <v>0.28739999999999999</v>
      </c>
      <c r="K89" s="34">
        <f t="shared" si="2"/>
        <v>2238.846</v>
      </c>
      <c r="L89" s="34">
        <v>3.19</v>
      </c>
      <c r="M89" s="34">
        <v>24841.5</v>
      </c>
      <c r="N89" s="34">
        <f t="shared" si="3"/>
        <v>11.099512874043146</v>
      </c>
    </row>
    <row r="90" spans="1:14" x14ac:dyDescent="0.45">
      <c r="A90" s="30">
        <v>2023</v>
      </c>
      <c r="B90" s="30" t="s">
        <v>8</v>
      </c>
      <c r="C90" s="30" t="s">
        <v>46</v>
      </c>
      <c r="D90" s="30" t="s">
        <v>47</v>
      </c>
      <c r="E90" s="31" t="s">
        <v>153</v>
      </c>
      <c r="F90" s="32" t="s">
        <v>57</v>
      </c>
      <c r="G90" s="32" t="s">
        <v>50</v>
      </c>
      <c r="H90" s="33">
        <v>3230</v>
      </c>
      <c r="I90" s="34">
        <f>Table3[[#This Row],[Volume, kg.]]/1000</f>
        <v>3.23</v>
      </c>
      <c r="J90" s="34">
        <v>0.20749999999999999</v>
      </c>
      <c r="K90" s="34">
        <f t="shared" si="2"/>
        <v>670.22500000000002</v>
      </c>
      <c r="L90" s="34">
        <v>2.8</v>
      </c>
      <c r="M90" s="34">
        <v>9044</v>
      </c>
      <c r="N90" s="34">
        <f t="shared" si="3"/>
        <v>13.493975903614457</v>
      </c>
    </row>
    <row r="91" spans="1:14" x14ac:dyDescent="0.45">
      <c r="A91" s="30">
        <v>2023</v>
      </c>
      <c r="B91" s="30" t="s">
        <v>8</v>
      </c>
      <c r="C91" s="30" t="s">
        <v>46</v>
      </c>
      <c r="D91" s="30" t="s">
        <v>47</v>
      </c>
      <c r="E91" s="31" t="s">
        <v>154</v>
      </c>
      <c r="F91" s="32" t="s">
        <v>60</v>
      </c>
      <c r="G91" s="32" t="s">
        <v>50</v>
      </c>
      <c r="H91" s="33">
        <v>31700</v>
      </c>
      <c r="I91" s="34">
        <f>Table3[[#This Row],[Volume, kg.]]/1000</f>
        <v>31.7</v>
      </c>
      <c r="J91" s="34">
        <v>0.29530000000000001</v>
      </c>
      <c r="K91" s="34">
        <f t="shared" si="2"/>
        <v>9361.01</v>
      </c>
      <c r="L91" s="34">
        <v>3.24</v>
      </c>
      <c r="M91" s="34">
        <v>102788.5</v>
      </c>
      <c r="N91" s="34">
        <f t="shared" si="3"/>
        <v>10.971892990179478</v>
      </c>
    </row>
    <row r="92" spans="1:14" x14ac:dyDescent="0.45">
      <c r="A92" s="30">
        <v>2023</v>
      </c>
      <c r="B92" s="30" t="s">
        <v>8</v>
      </c>
      <c r="C92" s="30" t="s">
        <v>46</v>
      </c>
      <c r="D92" s="30" t="s">
        <v>47</v>
      </c>
      <c r="E92" s="31" t="s">
        <v>155</v>
      </c>
      <c r="F92" s="32" t="s">
        <v>64</v>
      </c>
      <c r="G92" s="32" t="s">
        <v>50</v>
      </c>
      <c r="H92" s="33">
        <v>77750</v>
      </c>
      <c r="I92" s="34">
        <f>Table3[[#This Row],[Volume, kg.]]/1000</f>
        <v>77.75</v>
      </c>
      <c r="J92" s="34">
        <v>0.27229999999999999</v>
      </c>
      <c r="K92" s="34">
        <f t="shared" si="2"/>
        <v>21171.325000000001</v>
      </c>
      <c r="L92" s="34">
        <v>3.11</v>
      </c>
      <c r="M92" s="34">
        <v>241910.5</v>
      </c>
      <c r="N92" s="34">
        <f t="shared" si="3"/>
        <v>11.421226588321703</v>
      </c>
    </row>
    <row r="93" spans="1:14" x14ac:dyDescent="0.45">
      <c r="A93" s="30">
        <v>2023</v>
      </c>
      <c r="B93" s="30" t="s">
        <v>8</v>
      </c>
      <c r="C93" s="30" t="s">
        <v>46</v>
      </c>
      <c r="D93" s="30" t="s">
        <v>47</v>
      </c>
      <c r="E93" s="31" t="s">
        <v>156</v>
      </c>
      <c r="F93" s="32" t="s">
        <v>49</v>
      </c>
      <c r="G93" s="32" t="s">
        <v>50</v>
      </c>
      <c r="H93" s="33">
        <v>78250</v>
      </c>
      <c r="I93" s="34">
        <f>Table3[[#This Row],[Volume, kg.]]/1000</f>
        <v>78.25</v>
      </c>
      <c r="J93" s="34">
        <v>0.32439999999999997</v>
      </c>
      <c r="K93" s="34">
        <f t="shared" si="2"/>
        <v>25384.299999999996</v>
      </c>
      <c r="L93" s="34">
        <v>3.39</v>
      </c>
      <c r="M93" s="34">
        <v>265101.5</v>
      </c>
      <c r="N93" s="34">
        <f t="shared" si="3"/>
        <v>10.450061652281136</v>
      </c>
    </row>
    <row r="94" spans="1:14" x14ac:dyDescent="0.45">
      <c r="A94" s="30">
        <v>2023</v>
      </c>
      <c r="B94" s="30" t="s">
        <v>8</v>
      </c>
      <c r="C94" s="30" t="s">
        <v>46</v>
      </c>
      <c r="D94" s="30" t="s">
        <v>102</v>
      </c>
      <c r="E94" s="31" t="s">
        <v>157</v>
      </c>
      <c r="F94" s="32" t="s">
        <v>127</v>
      </c>
      <c r="G94" s="32" t="s">
        <v>128</v>
      </c>
      <c r="H94" s="33">
        <v>137700</v>
      </c>
      <c r="I94" s="34">
        <f>Table3[[#This Row],[Volume, kg.]]/1000</f>
        <v>137.69999999999999</v>
      </c>
      <c r="J94" s="34">
        <v>0.27500000000000002</v>
      </c>
      <c r="K94" s="34">
        <f t="shared" si="2"/>
        <v>37867.5</v>
      </c>
      <c r="L94" s="34">
        <v>3.3</v>
      </c>
      <c r="M94" s="34">
        <v>454644</v>
      </c>
      <c r="N94" s="34">
        <f t="shared" si="3"/>
        <v>11.999999999999998</v>
      </c>
    </row>
    <row r="95" spans="1:14" x14ac:dyDescent="0.45">
      <c r="A95" s="30">
        <v>2023</v>
      </c>
      <c r="B95" s="30" t="s">
        <v>8</v>
      </c>
      <c r="C95" s="30" t="s">
        <v>46</v>
      </c>
      <c r="D95" s="30" t="s">
        <v>47</v>
      </c>
      <c r="E95" s="31" t="s">
        <v>158</v>
      </c>
      <c r="F95" s="32" t="s">
        <v>57</v>
      </c>
      <c r="G95" s="32" t="s">
        <v>50</v>
      </c>
      <c r="H95" s="33">
        <v>27730</v>
      </c>
      <c r="I95" s="34">
        <f>Table3[[#This Row],[Volume, kg.]]/1000</f>
        <v>27.73</v>
      </c>
      <c r="J95" s="34">
        <v>0.29010000000000002</v>
      </c>
      <c r="K95" s="34">
        <f t="shared" si="2"/>
        <v>8044.4730000000009</v>
      </c>
      <c r="L95" s="34">
        <v>3.21</v>
      </c>
      <c r="M95" s="34">
        <v>89045.5</v>
      </c>
      <c r="N95" s="34">
        <f t="shared" si="3"/>
        <v>11.065149948293691</v>
      </c>
    </row>
    <row r="96" spans="1:14" x14ac:dyDescent="0.45">
      <c r="A96" s="30">
        <v>2023</v>
      </c>
      <c r="B96" s="30" t="s">
        <v>8</v>
      </c>
      <c r="C96" s="30" t="s">
        <v>46</v>
      </c>
      <c r="D96" s="30" t="s">
        <v>47</v>
      </c>
      <c r="E96" s="31" t="s">
        <v>159</v>
      </c>
      <c r="F96" s="32" t="s">
        <v>81</v>
      </c>
      <c r="G96" s="32" t="s">
        <v>50</v>
      </c>
      <c r="H96" s="33">
        <v>230270</v>
      </c>
      <c r="I96" s="34">
        <f>Table3[[#This Row],[Volume, kg.]]/1000</f>
        <v>230.27</v>
      </c>
      <c r="J96" s="34">
        <v>0.27699999999999997</v>
      </c>
      <c r="K96" s="34">
        <f t="shared" si="2"/>
        <v>63784.789999999994</v>
      </c>
      <c r="L96" s="34">
        <v>3.14</v>
      </c>
      <c r="M96" s="34">
        <v>723928.5</v>
      </c>
      <c r="N96" s="34">
        <f t="shared" si="3"/>
        <v>11.335740072202167</v>
      </c>
    </row>
    <row r="97" spans="1:14" x14ac:dyDescent="0.45">
      <c r="A97" s="30">
        <v>2023</v>
      </c>
      <c r="B97" s="30" t="s">
        <v>8</v>
      </c>
      <c r="C97" s="30" t="s">
        <v>46</v>
      </c>
      <c r="D97" s="30" t="s">
        <v>47</v>
      </c>
      <c r="E97" s="31" t="s">
        <v>160</v>
      </c>
      <c r="F97" s="32" t="s">
        <v>49</v>
      </c>
      <c r="G97" s="32" t="s">
        <v>50</v>
      </c>
      <c r="H97" s="33">
        <v>19510</v>
      </c>
      <c r="I97" s="34">
        <f>Table3[[#This Row],[Volume, kg.]]/1000</f>
        <v>19.510000000000002</v>
      </c>
      <c r="J97" s="34">
        <v>0.32189999999999996</v>
      </c>
      <c r="K97" s="34">
        <f t="shared" si="2"/>
        <v>6280.2689999999993</v>
      </c>
      <c r="L97" s="34">
        <v>3.37</v>
      </c>
      <c r="M97" s="34">
        <v>65838</v>
      </c>
      <c r="N97" s="34">
        <f t="shared" si="3"/>
        <v>10.469089779434608</v>
      </c>
    </row>
    <row r="98" spans="1:14" x14ac:dyDescent="0.45">
      <c r="A98" s="30">
        <v>2023</v>
      </c>
      <c r="B98" s="30" t="s">
        <v>8</v>
      </c>
      <c r="C98" s="30" t="s">
        <v>46</v>
      </c>
      <c r="D98" s="30" t="s">
        <v>47</v>
      </c>
      <c r="E98" s="31" t="s">
        <v>161</v>
      </c>
      <c r="F98" s="32" t="s">
        <v>57</v>
      </c>
      <c r="G98" s="32" t="s">
        <v>50</v>
      </c>
      <c r="H98" s="33">
        <v>25160</v>
      </c>
      <c r="I98" s="34">
        <f>Table3[[#This Row],[Volume, kg.]]/1000</f>
        <v>25.16</v>
      </c>
      <c r="J98" s="34">
        <v>0.29760000000000003</v>
      </c>
      <c r="K98" s="34">
        <f t="shared" si="2"/>
        <v>7487.6160000000009</v>
      </c>
      <c r="L98" s="34">
        <v>3.24</v>
      </c>
      <c r="M98" s="34">
        <v>81503</v>
      </c>
      <c r="N98" s="34">
        <f t="shared" si="3"/>
        <v>10.887096774193548</v>
      </c>
    </row>
    <row r="99" spans="1:14" x14ac:dyDescent="0.45">
      <c r="A99" s="30">
        <v>2023</v>
      </c>
      <c r="B99" s="30" t="s">
        <v>8</v>
      </c>
      <c r="C99" s="30" t="s">
        <v>46</v>
      </c>
      <c r="D99" s="30" t="s">
        <v>47</v>
      </c>
      <c r="E99" s="31" t="s">
        <v>162</v>
      </c>
      <c r="F99" s="32" t="s">
        <v>49</v>
      </c>
      <c r="G99" s="32" t="s">
        <v>50</v>
      </c>
      <c r="H99" s="33">
        <v>51510</v>
      </c>
      <c r="I99" s="34">
        <f>Table3[[#This Row],[Volume, kg.]]/1000</f>
        <v>51.51</v>
      </c>
      <c r="J99" s="34">
        <v>0.26579999999999998</v>
      </c>
      <c r="K99" s="34">
        <f t="shared" si="2"/>
        <v>13691.357999999998</v>
      </c>
      <c r="L99" s="34">
        <v>3.11</v>
      </c>
      <c r="M99" s="34">
        <v>159998</v>
      </c>
      <c r="N99" s="34">
        <f t="shared" si="3"/>
        <v>11.700526711813394</v>
      </c>
    </row>
    <row r="100" spans="1:14" x14ac:dyDescent="0.45">
      <c r="A100" s="30">
        <v>2023</v>
      </c>
      <c r="B100" s="30" t="s">
        <v>8</v>
      </c>
      <c r="C100" s="30" t="s">
        <v>46</v>
      </c>
      <c r="D100" s="30" t="s">
        <v>47</v>
      </c>
      <c r="E100" s="31" t="s">
        <v>163</v>
      </c>
      <c r="F100" s="32" t="s">
        <v>60</v>
      </c>
      <c r="G100" s="32" t="s">
        <v>50</v>
      </c>
      <c r="H100" s="33">
        <v>8180</v>
      </c>
      <c r="I100" s="34">
        <f>Table3[[#This Row],[Volume, kg.]]/1000</f>
        <v>8.18</v>
      </c>
      <c r="J100" s="34">
        <v>0.29600000000000004</v>
      </c>
      <c r="K100" s="34">
        <f t="shared" si="2"/>
        <v>2421.2800000000002</v>
      </c>
      <c r="L100" s="34">
        <v>3.25</v>
      </c>
      <c r="M100" s="34">
        <v>26585</v>
      </c>
      <c r="N100" s="34">
        <f t="shared" si="3"/>
        <v>10.979729729729728</v>
      </c>
    </row>
    <row r="101" spans="1:14" x14ac:dyDescent="0.45">
      <c r="A101" s="30">
        <v>2023</v>
      </c>
      <c r="B101" s="30" t="s">
        <v>8</v>
      </c>
      <c r="C101" s="30" t="s">
        <v>46</v>
      </c>
      <c r="D101" s="30" t="s">
        <v>47</v>
      </c>
      <c r="E101" s="31" t="s">
        <v>164</v>
      </c>
      <c r="F101" s="32" t="s">
        <v>49</v>
      </c>
      <c r="G101" s="32" t="s">
        <v>50</v>
      </c>
      <c r="H101" s="33">
        <v>11850</v>
      </c>
      <c r="I101" s="34">
        <f>Table3[[#This Row],[Volume, kg.]]/1000</f>
        <v>11.85</v>
      </c>
      <c r="J101" s="34">
        <v>0.31290000000000001</v>
      </c>
      <c r="K101" s="34">
        <f t="shared" si="2"/>
        <v>3707.8650000000002</v>
      </c>
      <c r="L101" s="34">
        <v>3.32</v>
      </c>
      <c r="M101" s="34">
        <v>39313</v>
      </c>
      <c r="N101" s="34">
        <f t="shared" si="3"/>
        <v>10.610418664109938</v>
      </c>
    </row>
    <row r="102" spans="1:14" x14ac:dyDescent="0.45">
      <c r="A102" s="30">
        <v>2023</v>
      </c>
      <c r="B102" s="30" t="s">
        <v>8</v>
      </c>
      <c r="C102" s="30" t="s">
        <v>46</v>
      </c>
      <c r="D102" s="30" t="s">
        <v>47</v>
      </c>
      <c r="E102" s="31" t="s">
        <v>165</v>
      </c>
      <c r="F102" s="32" t="s">
        <v>57</v>
      </c>
      <c r="G102" s="32" t="s">
        <v>50</v>
      </c>
      <c r="H102" s="33">
        <v>80080</v>
      </c>
      <c r="I102" s="34">
        <f>Table3[[#This Row],[Volume, kg.]]/1000</f>
        <v>80.08</v>
      </c>
      <c r="J102" s="34">
        <v>0.31620000000000004</v>
      </c>
      <c r="K102" s="34">
        <f t="shared" si="2"/>
        <v>25321.296000000002</v>
      </c>
      <c r="L102" s="34">
        <v>3.35</v>
      </c>
      <c r="M102" s="34">
        <v>268029</v>
      </c>
      <c r="N102" s="34">
        <f t="shared" si="3"/>
        <v>10.594560404807083</v>
      </c>
    </row>
    <row r="103" spans="1:14" x14ac:dyDescent="0.45">
      <c r="A103" s="30">
        <v>2023</v>
      </c>
      <c r="B103" s="30" t="s">
        <v>8</v>
      </c>
      <c r="C103" s="30" t="s">
        <v>46</v>
      </c>
      <c r="D103" s="30" t="s">
        <v>47</v>
      </c>
      <c r="E103" s="31" t="s">
        <v>166</v>
      </c>
      <c r="F103" s="32" t="s">
        <v>49</v>
      </c>
      <c r="G103" s="32" t="s">
        <v>50</v>
      </c>
      <c r="H103" s="33">
        <v>20060</v>
      </c>
      <c r="I103" s="34">
        <f>Table3[[#This Row],[Volume, kg.]]/1000</f>
        <v>20.059999999999999</v>
      </c>
      <c r="J103" s="34">
        <v>0.29909999999999998</v>
      </c>
      <c r="K103" s="34">
        <f t="shared" si="2"/>
        <v>5999.9459999999999</v>
      </c>
      <c r="L103" s="34">
        <v>3.26</v>
      </c>
      <c r="M103" s="34">
        <v>65351</v>
      </c>
      <c r="N103" s="34">
        <f t="shared" si="3"/>
        <v>10.899364760949515</v>
      </c>
    </row>
    <row r="104" spans="1:14" x14ac:dyDescent="0.45">
      <c r="A104" s="30">
        <v>2023</v>
      </c>
      <c r="B104" s="30" t="s">
        <v>8</v>
      </c>
      <c r="C104" s="30" t="s">
        <v>46</v>
      </c>
      <c r="D104" s="30" t="s">
        <v>47</v>
      </c>
      <c r="E104" s="31" t="s">
        <v>167</v>
      </c>
      <c r="F104" s="32" t="s">
        <v>49</v>
      </c>
      <c r="G104" s="32" t="s">
        <v>50</v>
      </c>
      <c r="H104" s="33">
        <v>156460</v>
      </c>
      <c r="I104" s="34">
        <f>Table3[[#This Row],[Volume, kg.]]/1000</f>
        <v>156.46</v>
      </c>
      <c r="J104" s="34">
        <v>0.27550000000000002</v>
      </c>
      <c r="K104" s="34">
        <f t="shared" si="2"/>
        <v>43104.73</v>
      </c>
      <c r="L104" s="34">
        <v>3.14</v>
      </c>
      <c r="M104" s="34">
        <v>491741</v>
      </c>
      <c r="N104" s="34">
        <f t="shared" si="3"/>
        <v>11.397459165154265</v>
      </c>
    </row>
    <row r="105" spans="1:14" x14ac:dyDescent="0.45">
      <c r="A105" s="30">
        <v>2023</v>
      </c>
      <c r="B105" s="30" t="s">
        <v>8</v>
      </c>
      <c r="C105" s="30" t="s">
        <v>46</v>
      </c>
      <c r="D105" s="30" t="s">
        <v>47</v>
      </c>
      <c r="E105" s="31" t="s">
        <v>168</v>
      </c>
      <c r="F105" s="32" t="s">
        <v>60</v>
      </c>
      <c r="G105" s="32" t="s">
        <v>50</v>
      </c>
      <c r="H105" s="33">
        <v>9910</v>
      </c>
      <c r="I105" s="34">
        <f>Table3[[#This Row],[Volume, kg.]]/1000</f>
        <v>9.91</v>
      </c>
      <c r="J105" s="34">
        <v>0.28350000000000003</v>
      </c>
      <c r="K105" s="34">
        <f t="shared" si="2"/>
        <v>2809.4850000000001</v>
      </c>
      <c r="L105" s="34">
        <v>3.15</v>
      </c>
      <c r="M105" s="34">
        <v>31216.5</v>
      </c>
      <c r="N105" s="34">
        <f t="shared" si="3"/>
        <v>11.111111111111109</v>
      </c>
    </row>
    <row r="106" spans="1:14" x14ac:dyDescent="0.45">
      <c r="A106" s="30">
        <v>2023</v>
      </c>
      <c r="B106" s="30" t="s">
        <v>8</v>
      </c>
      <c r="C106" s="30" t="s">
        <v>46</v>
      </c>
      <c r="D106" s="30" t="s">
        <v>47</v>
      </c>
      <c r="E106" s="31" t="s">
        <v>169</v>
      </c>
      <c r="F106" s="32" t="s">
        <v>49</v>
      </c>
      <c r="G106" s="32" t="s">
        <v>50</v>
      </c>
      <c r="H106" s="33">
        <v>5310</v>
      </c>
      <c r="I106" s="34">
        <f>Table3[[#This Row],[Volume, kg.]]/1000</f>
        <v>5.31</v>
      </c>
      <c r="J106" s="34">
        <v>0.32150000000000001</v>
      </c>
      <c r="K106" s="34">
        <f t="shared" si="2"/>
        <v>1707.165</v>
      </c>
      <c r="L106" s="34">
        <v>3.35</v>
      </c>
      <c r="M106" s="34">
        <v>17788.5</v>
      </c>
      <c r="N106" s="34">
        <f t="shared" si="3"/>
        <v>10.419906687402799</v>
      </c>
    </row>
    <row r="107" spans="1:14" x14ac:dyDescent="0.45">
      <c r="A107" s="30">
        <v>2023</v>
      </c>
      <c r="B107" s="30" t="s">
        <v>8</v>
      </c>
      <c r="C107" s="30" t="s">
        <v>46</v>
      </c>
      <c r="D107" s="30" t="s">
        <v>47</v>
      </c>
      <c r="E107" s="31" t="s">
        <v>170</v>
      </c>
      <c r="F107" s="32" t="s">
        <v>49</v>
      </c>
      <c r="G107" s="32" t="s">
        <v>50</v>
      </c>
      <c r="H107" s="33">
        <v>95430</v>
      </c>
      <c r="I107" s="34">
        <f>Table3[[#This Row],[Volume, kg.]]/1000</f>
        <v>95.43</v>
      </c>
      <c r="J107" s="34">
        <v>0.26</v>
      </c>
      <c r="K107" s="34">
        <f t="shared" si="2"/>
        <v>24811.8</v>
      </c>
      <c r="L107" s="34">
        <v>3.06</v>
      </c>
      <c r="M107" s="34">
        <v>291589.5</v>
      </c>
      <c r="N107" s="34">
        <f t="shared" si="3"/>
        <v>11.769230769230768</v>
      </c>
    </row>
    <row r="108" spans="1:14" x14ac:dyDescent="0.45">
      <c r="A108" s="30">
        <v>2023</v>
      </c>
      <c r="B108" s="30" t="s">
        <v>8</v>
      </c>
      <c r="C108" s="30" t="s">
        <v>46</v>
      </c>
      <c r="D108" s="30" t="s">
        <v>47</v>
      </c>
      <c r="E108" s="31" t="s">
        <v>171</v>
      </c>
      <c r="F108" s="32" t="s">
        <v>49</v>
      </c>
      <c r="G108" s="32" t="s">
        <v>50</v>
      </c>
      <c r="H108" s="33">
        <v>28100</v>
      </c>
      <c r="I108" s="34">
        <f>Table3[[#This Row],[Volume, kg.]]/1000</f>
        <v>28.1</v>
      </c>
      <c r="J108" s="34">
        <v>0.29359999999999997</v>
      </c>
      <c r="K108" s="34">
        <f t="shared" si="2"/>
        <v>8250.16</v>
      </c>
      <c r="L108" s="34">
        <v>3.27</v>
      </c>
      <c r="M108" s="34">
        <v>91816</v>
      </c>
      <c r="N108" s="34">
        <f t="shared" si="3"/>
        <v>11.137602179836513</v>
      </c>
    </row>
    <row r="109" spans="1:14" x14ac:dyDescent="0.45">
      <c r="A109" s="30">
        <v>2023</v>
      </c>
      <c r="B109" s="30" t="s">
        <v>8</v>
      </c>
      <c r="C109" s="30" t="s">
        <v>46</v>
      </c>
      <c r="D109" s="30" t="s">
        <v>47</v>
      </c>
      <c r="E109" s="31" t="s">
        <v>172</v>
      </c>
      <c r="F109" s="32" t="s">
        <v>57</v>
      </c>
      <c r="G109" s="32" t="s">
        <v>50</v>
      </c>
      <c r="H109" s="33">
        <v>83390</v>
      </c>
      <c r="I109" s="34">
        <f>Table3[[#This Row],[Volume, kg.]]/1000</f>
        <v>83.39</v>
      </c>
      <c r="J109" s="34">
        <v>0.25659999999999999</v>
      </c>
      <c r="K109" s="34">
        <f t="shared" si="2"/>
        <v>21397.874</v>
      </c>
      <c r="L109" s="34">
        <v>3.04</v>
      </c>
      <c r="M109" s="34">
        <v>253619</v>
      </c>
      <c r="N109" s="34">
        <f t="shared" si="3"/>
        <v>11.847233047544817</v>
      </c>
    </row>
    <row r="110" spans="1:14" x14ac:dyDescent="0.45">
      <c r="A110" s="30">
        <v>2023</v>
      </c>
      <c r="B110" s="30" t="s">
        <v>8</v>
      </c>
      <c r="C110" s="30" t="s">
        <v>46</v>
      </c>
      <c r="D110" s="30" t="s">
        <v>47</v>
      </c>
      <c r="E110" s="31" t="s">
        <v>173</v>
      </c>
      <c r="F110" s="32" t="s">
        <v>57</v>
      </c>
      <c r="G110" s="32" t="s">
        <v>50</v>
      </c>
      <c r="H110" s="33">
        <v>32650</v>
      </c>
      <c r="I110" s="34">
        <f>Table3[[#This Row],[Volume, kg.]]/1000</f>
        <v>32.65</v>
      </c>
      <c r="J110" s="34">
        <v>0.31569999999999998</v>
      </c>
      <c r="K110" s="34">
        <f t="shared" si="2"/>
        <v>10307.605</v>
      </c>
      <c r="L110" s="34">
        <v>3.33</v>
      </c>
      <c r="M110" s="34">
        <v>108632</v>
      </c>
      <c r="N110" s="34">
        <f t="shared" si="3"/>
        <v>10.547988596769086</v>
      </c>
    </row>
    <row r="111" spans="1:14" x14ac:dyDescent="0.45">
      <c r="A111" s="30">
        <v>2023</v>
      </c>
      <c r="B111" s="30" t="s">
        <v>8</v>
      </c>
      <c r="C111" s="30" t="s">
        <v>46</v>
      </c>
      <c r="D111" s="30" t="s">
        <v>47</v>
      </c>
      <c r="E111" s="31" t="s">
        <v>174</v>
      </c>
      <c r="F111" s="32" t="s">
        <v>57</v>
      </c>
      <c r="G111" s="32" t="s">
        <v>50</v>
      </c>
      <c r="H111" s="33">
        <v>47880</v>
      </c>
      <c r="I111" s="34">
        <f>Table3[[#This Row],[Volume, kg.]]/1000</f>
        <v>47.88</v>
      </c>
      <c r="J111" s="34">
        <v>0.29880000000000001</v>
      </c>
      <c r="K111" s="34">
        <f t="shared" si="2"/>
        <v>14306.544</v>
      </c>
      <c r="L111" s="34">
        <v>3.24</v>
      </c>
      <c r="M111" s="34">
        <v>155279.5</v>
      </c>
      <c r="N111" s="34">
        <f t="shared" si="3"/>
        <v>10.843373493975903</v>
      </c>
    </row>
    <row r="112" spans="1:14" x14ac:dyDescent="0.45">
      <c r="A112" s="30">
        <v>2023</v>
      </c>
      <c r="B112" s="30" t="s">
        <v>8</v>
      </c>
      <c r="C112" s="30" t="s">
        <v>46</v>
      </c>
      <c r="D112" s="30" t="s">
        <v>47</v>
      </c>
      <c r="E112" s="31" t="s">
        <v>175</v>
      </c>
      <c r="F112" s="32" t="s">
        <v>64</v>
      </c>
      <c r="G112" s="32" t="s">
        <v>50</v>
      </c>
      <c r="H112" s="33">
        <v>10910</v>
      </c>
      <c r="I112" s="34">
        <f>Table3[[#This Row],[Volume, kg.]]/1000</f>
        <v>10.91</v>
      </c>
      <c r="J112" s="34">
        <v>0.315</v>
      </c>
      <c r="K112" s="34">
        <f t="shared" si="2"/>
        <v>3436.65</v>
      </c>
      <c r="L112" s="34">
        <v>3.4</v>
      </c>
      <c r="M112" s="34">
        <v>37094</v>
      </c>
      <c r="N112" s="34">
        <f t="shared" si="3"/>
        <v>10.793650793650793</v>
      </c>
    </row>
    <row r="113" spans="1:14" x14ac:dyDescent="0.45">
      <c r="A113" s="30">
        <v>2023</v>
      </c>
      <c r="B113" s="30" t="s">
        <v>8</v>
      </c>
      <c r="C113" s="30" t="s">
        <v>46</v>
      </c>
      <c r="D113" s="30" t="s">
        <v>47</v>
      </c>
      <c r="E113" s="31" t="s">
        <v>176</v>
      </c>
      <c r="F113" s="32" t="s">
        <v>49</v>
      </c>
      <c r="G113" s="32" t="s">
        <v>50</v>
      </c>
      <c r="H113" s="33">
        <v>64380</v>
      </c>
      <c r="I113" s="34">
        <f>Table3[[#This Row],[Volume, kg.]]/1000</f>
        <v>64.38</v>
      </c>
      <c r="J113" s="34">
        <v>0.30010000000000003</v>
      </c>
      <c r="K113" s="34">
        <f t="shared" si="2"/>
        <v>19320.438000000002</v>
      </c>
      <c r="L113" s="34">
        <v>3.28</v>
      </c>
      <c r="M113" s="34">
        <v>210951.5</v>
      </c>
      <c r="N113" s="34">
        <f t="shared" si="3"/>
        <v>10.929690103298899</v>
      </c>
    </row>
    <row r="114" spans="1:14" x14ac:dyDescent="0.45">
      <c r="A114" s="30">
        <v>2023</v>
      </c>
      <c r="B114" s="30" t="s">
        <v>8</v>
      </c>
      <c r="C114" s="30" t="s">
        <v>46</v>
      </c>
      <c r="D114" s="30" t="s">
        <v>47</v>
      </c>
      <c r="E114" s="31" t="s">
        <v>177</v>
      </c>
      <c r="F114" s="32" t="s">
        <v>49</v>
      </c>
      <c r="G114" s="32" t="s">
        <v>50</v>
      </c>
      <c r="H114" s="33">
        <v>148550</v>
      </c>
      <c r="I114" s="34">
        <f>Table3[[#This Row],[Volume, kg.]]/1000</f>
        <v>148.55000000000001</v>
      </c>
      <c r="J114" s="34">
        <v>0.27360000000000001</v>
      </c>
      <c r="K114" s="34">
        <f t="shared" si="2"/>
        <v>40643.279999999999</v>
      </c>
      <c r="L114" s="34">
        <v>3.12</v>
      </c>
      <c r="M114" s="34">
        <v>463807.5</v>
      </c>
      <c r="N114" s="34">
        <f t="shared" si="3"/>
        <v>11.403508771929825</v>
      </c>
    </row>
    <row r="115" spans="1:14" x14ac:dyDescent="0.45">
      <c r="A115" s="30">
        <v>2023</v>
      </c>
      <c r="B115" s="30" t="s">
        <v>8</v>
      </c>
      <c r="C115" s="30" t="s">
        <v>46</v>
      </c>
      <c r="D115" s="30" t="s">
        <v>47</v>
      </c>
      <c r="E115" s="31" t="s">
        <v>178</v>
      </c>
      <c r="F115" s="32" t="s">
        <v>49</v>
      </c>
      <c r="G115" s="32" t="s">
        <v>50</v>
      </c>
      <c r="H115" s="33">
        <v>14140</v>
      </c>
      <c r="I115" s="34">
        <f>Table3[[#This Row],[Volume, kg.]]/1000</f>
        <v>14.14</v>
      </c>
      <c r="J115" s="34">
        <v>0.27779999999999999</v>
      </c>
      <c r="K115" s="34">
        <f t="shared" si="2"/>
        <v>3928.0920000000001</v>
      </c>
      <c r="L115" s="34">
        <v>3.14</v>
      </c>
      <c r="M115" s="34">
        <v>44335</v>
      </c>
      <c r="N115" s="34">
        <f t="shared" si="3"/>
        <v>11.303095752339814</v>
      </c>
    </row>
    <row r="116" spans="1:14" x14ac:dyDescent="0.45">
      <c r="A116" s="30">
        <v>2023</v>
      </c>
      <c r="B116" s="30" t="s">
        <v>8</v>
      </c>
      <c r="C116" s="30" t="s">
        <v>46</v>
      </c>
      <c r="D116" s="30" t="s">
        <v>47</v>
      </c>
      <c r="E116" s="31" t="s">
        <v>179</v>
      </c>
      <c r="F116" s="32" t="s">
        <v>60</v>
      </c>
      <c r="G116" s="32" t="s">
        <v>50</v>
      </c>
      <c r="H116" s="33">
        <v>12300</v>
      </c>
      <c r="I116" s="34">
        <f>Table3[[#This Row],[Volume, kg.]]/1000</f>
        <v>12.3</v>
      </c>
      <c r="J116" s="34">
        <v>0.31230000000000002</v>
      </c>
      <c r="K116" s="34">
        <f t="shared" si="2"/>
        <v>3841.2900000000004</v>
      </c>
      <c r="L116" s="34">
        <v>3.33</v>
      </c>
      <c r="M116" s="34">
        <v>40973</v>
      </c>
      <c r="N116" s="34">
        <f t="shared" si="3"/>
        <v>10.662824207492795</v>
      </c>
    </row>
    <row r="117" spans="1:14" x14ac:dyDescent="0.45">
      <c r="A117" s="30">
        <v>2023</v>
      </c>
      <c r="B117" s="30" t="s">
        <v>8</v>
      </c>
      <c r="C117" s="30" t="s">
        <v>46</v>
      </c>
      <c r="D117" s="30" t="s">
        <v>47</v>
      </c>
      <c r="E117" s="31" t="s">
        <v>180</v>
      </c>
      <c r="F117" s="32" t="s">
        <v>64</v>
      </c>
      <c r="G117" s="32" t="s">
        <v>50</v>
      </c>
      <c r="H117" s="33">
        <v>23390</v>
      </c>
      <c r="I117" s="34">
        <f>Table3[[#This Row],[Volume, kg.]]/1000</f>
        <v>23.39</v>
      </c>
      <c r="J117" s="34">
        <v>0.29089999999999999</v>
      </c>
      <c r="K117" s="34">
        <f t="shared" si="2"/>
        <v>6804.1509999999998</v>
      </c>
      <c r="L117" s="34">
        <v>3.3</v>
      </c>
      <c r="M117" s="34">
        <v>77146.5</v>
      </c>
      <c r="N117" s="34">
        <f t="shared" si="3"/>
        <v>11.344104503265728</v>
      </c>
    </row>
    <row r="118" spans="1:14" x14ac:dyDescent="0.45">
      <c r="A118" s="30">
        <v>2023</v>
      </c>
      <c r="B118" s="30" t="s">
        <v>8</v>
      </c>
      <c r="C118" s="30" t="s">
        <v>46</v>
      </c>
      <c r="D118" s="30" t="s">
        <v>47</v>
      </c>
      <c r="E118" s="31" t="s">
        <v>181</v>
      </c>
      <c r="F118" s="32" t="s">
        <v>57</v>
      </c>
      <c r="G118" s="32" t="s">
        <v>50</v>
      </c>
      <c r="H118" s="33">
        <v>18800</v>
      </c>
      <c r="I118" s="34">
        <f>Table3[[#This Row],[Volume, kg.]]/1000</f>
        <v>18.8</v>
      </c>
      <c r="J118" s="34">
        <v>0.2954</v>
      </c>
      <c r="K118" s="34">
        <f t="shared" si="2"/>
        <v>5553.5199999999995</v>
      </c>
      <c r="L118" s="34">
        <v>3.21</v>
      </c>
      <c r="M118" s="34">
        <v>60422</v>
      </c>
      <c r="N118" s="34">
        <f t="shared" si="3"/>
        <v>10.86662153012864</v>
      </c>
    </row>
    <row r="119" spans="1:14" x14ac:dyDescent="0.45">
      <c r="A119" s="30">
        <v>2023</v>
      </c>
      <c r="B119" s="30" t="s">
        <v>8</v>
      </c>
      <c r="C119" s="30" t="s">
        <v>46</v>
      </c>
      <c r="D119" s="30" t="s">
        <v>47</v>
      </c>
      <c r="E119" s="31" t="s">
        <v>182</v>
      </c>
      <c r="F119" s="32" t="s">
        <v>81</v>
      </c>
      <c r="G119" s="32" t="s">
        <v>50</v>
      </c>
      <c r="H119" s="33">
        <v>54480</v>
      </c>
      <c r="I119" s="34">
        <f>Table3[[#This Row],[Volume, kg.]]/1000</f>
        <v>54.48</v>
      </c>
      <c r="J119" s="34">
        <v>0.28809999999999997</v>
      </c>
      <c r="K119" s="34">
        <f t="shared" si="2"/>
        <v>15695.687999999998</v>
      </c>
      <c r="L119" s="34">
        <v>3.24</v>
      </c>
      <c r="M119" s="34">
        <v>176449</v>
      </c>
      <c r="N119" s="34">
        <f t="shared" si="3"/>
        <v>11.24609510586602</v>
      </c>
    </row>
    <row r="120" spans="1:14" x14ac:dyDescent="0.45">
      <c r="A120" s="30">
        <v>2023</v>
      </c>
      <c r="B120" s="30" t="s">
        <v>8</v>
      </c>
      <c r="C120" s="30" t="s">
        <v>46</v>
      </c>
      <c r="D120" s="30" t="s">
        <v>47</v>
      </c>
      <c r="E120" s="31" t="s">
        <v>183</v>
      </c>
      <c r="F120" s="32" t="s">
        <v>49</v>
      </c>
      <c r="G120" s="32" t="s">
        <v>50</v>
      </c>
      <c r="H120" s="33">
        <v>15210</v>
      </c>
      <c r="I120" s="34">
        <f>Table3[[#This Row],[Volume, kg.]]/1000</f>
        <v>15.21</v>
      </c>
      <c r="J120" s="34">
        <v>0.28999999999999998</v>
      </c>
      <c r="K120" s="34">
        <f t="shared" si="2"/>
        <v>4410.8999999999996</v>
      </c>
      <c r="L120" s="34">
        <v>3.2</v>
      </c>
      <c r="M120" s="34">
        <v>48738</v>
      </c>
      <c r="N120" s="34">
        <f t="shared" si="3"/>
        <v>11.03448275862069</v>
      </c>
    </row>
    <row r="121" spans="1:14" x14ac:dyDescent="0.45">
      <c r="A121" s="30">
        <v>2023</v>
      </c>
      <c r="B121" s="30" t="s">
        <v>8</v>
      </c>
      <c r="C121" s="30" t="s">
        <v>46</v>
      </c>
      <c r="D121" s="30" t="s">
        <v>47</v>
      </c>
      <c r="E121" s="31" t="s">
        <v>184</v>
      </c>
      <c r="F121" s="32" t="s">
        <v>57</v>
      </c>
      <c r="G121" s="32" t="s">
        <v>50</v>
      </c>
      <c r="H121" s="33">
        <v>131290</v>
      </c>
      <c r="I121" s="34">
        <f>Table3[[#This Row],[Volume, kg.]]/1000</f>
        <v>131.29</v>
      </c>
      <c r="J121" s="34">
        <v>0.31739999999999996</v>
      </c>
      <c r="K121" s="34">
        <f t="shared" si="2"/>
        <v>41671.445999999996</v>
      </c>
      <c r="L121" s="34">
        <v>3.34</v>
      </c>
      <c r="M121" s="34">
        <v>438072</v>
      </c>
      <c r="N121" s="34">
        <f t="shared" si="3"/>
        <v>10.522999369880278</v>
      </c>
    </row>
    <row r="122" spans="1:14" x14ac:dyDescent="0.45">
      <c r="A122" s="30">
        <v>2023</v>
      </c>
      <c r="B122" s="30" t="s">
        <v>8</v>
      </c>
      <c r="C122" s="30" t="s">
        <v>46</v>
      </c>
      <c r="D122" s="30" t="s">
        <v>47</v>
      </c>
      <c r="E122" s="31" t="s">
        <v>185</v>
      </c>
      <c r="F122" s="32" t="s">
        <v>57</v>
      </c>
      <c r="G122" s="32" t="s">
        <v>50</v>
      </c>
      <c r="H122" s="33">
        <v>24160</v>
      </c>
      <c r="I122" s="34">
        <f>Table3[[#This Row],[Volume, kg.]]/1000</f>
        <v>24.16</v>
      </c>
      <c r="J122" s="34">
        <v>0.26739999999999997</v>
      </c>
      <c r="K122" s="34">
        <f t="shared" si="2"/>
        <v>6460.3839999999991</v>
      </c>
      <c r="L122" s="34">
        <v>3.08</v>
      </c>
      <c r="M122" s="34">
        <v>74404</v>
      </c>
      <c r="N122" s="34">
        <f t="shared" si="3"/>
        <v>11.518324607329845</v>
      </c>
    </row>
    <row r="123" spans="1:14" x14ac:dyDescent="0.45">
      <c r="A123" s="30">
        <v>2023</v>
      </c>
      <c r="B123" s="30" t="s">
        <v>8</v>
      </c>
      <c r="C123" s="30" t="s">
        <v>46</v>
      </c>
      <c r="D123" s="30" t="s">
        <v>47</v>
      </c>
      <c r="E123" s="31" t="s">
        <v>186</v>
      </c>
      <c r="F123" s="32" t="s">
        <v>64</v>
      </c>
      <c r="G123" s="32" t="s">
        <v>50</v>
      </c>
      <c r="H123" s="33">
        <v>52260</v>
      </c>
      <c r="I123" s="34">
        <f>Table3[[#This Row],[Volume, kg.]]/1000</f>
        <v>52.26</v>
      </c>
      <c r="J123" s="34">
        <v>0.29920000000000002</v>
      </c>
      <c r="K123" s="34">
        <f t="shared" si="2"/>
        <v>15636.192000000001</v>
      </c>
      <c r="L123" s="34">
        <v>3.25</v>
      </c>
      <c r="M123" s="34">
        <v>169911.5</v>
      </c>
      <c r="N123" s="34">
        <f t="shared" si="3"/>
        <v>10.862299465240641</v>
      </c>
    </row>
    <row r="124" spans="1:14" x14ac:dyDescent="0.45">
      <c r="A124" s="30">
        <v>2023</v>
      </c>
      <c r="B124" s="30" t="s">
        <v>8</v>
      </c>
      <c r="C124" s="30" t="s">
        <v>46</v>
      </c>
      <c r="D124" s="30" t="s">
        <v>47</v>
      </c>
      <c r="E124" s="31" t="s">
        <v>187</v>
      </c>
      <c r="F124" s="32" t="s">
        <v>54</v>
      </c>
      <c r="G124" s="32" t="s">
        <v>50</v>
      </c>
      <c r="H124" s="33">
        <v>119340</v>
      </c>
      <c r="I124" s="34">
        <f>Table3[[#This Row],[Volume, kg.]]/1000</f>
        <v>119.34</v>
      </c>
      <c r="J124" s="34">
        <v>0.309</v>
      </c>
      <c r="K124" s="34">
        <f t="shared" si="2"/>
        <v>36876.06</v>
      </c>
      <c r="L124" s="34">
        <v>3.31</v>
      </c>
      <c r="M124" s="34">
        <v>395051</v>
      </c>
      <c r="N124" s="34">
        <f t="shared" si="3"/>
        <v>10.711974110032363</v>
      </c>
    </row>
    <row r="125" spans="1:14" x14ac:dyDescent="0.45">
      <c r="A125" s="30">
        <v>2023</v>
      </c>
      <c r="B125" s="30" t="s">
        <v>8</v>
      </c>
      <c r="C125" s="30" t="s">
        <v>46</v>
      </c>
      <c r="D125" s="30" t="s">
        <v>102</v>
      </c>
      <c r="E125" s="31" t="s">
        <v>188</v>
      </c>
      <c r="F125" s="32" t="s">
        <v>189</v>
      </c>
      <c r="G125" s="32" t="s">
        <v>128</v>
      </c>
      <c r="H125" s="33">
        <v>512440</v>
      </c>
      <c r="I125" s="34">
        <f>Table3[[#This Row],[Volume, kg.]]/1000</f>
        <v>512.44000000000005</v>
      </c>
      <c r="J125" s="34">
        <v>0.29549999999999998</v>
      </c>
      <c r="K125" s="34">
        <f t="shared" si="2"/>
        <v>151426.01999999999</v>
      </c>
      <c r="L125" s="34">
        <v>3.29</v>
      </c>
      <c r="M125" s="34">
        <v>1683710</v>
      </c>
      <c r="N125" s="34">
        <f t="shared" si="3"/>
        <v>11.133671742808799</v>
      </c>
    </row>
    <row r="126" spans="1:14" x14ac:dyDescent="0.45">
      <c r="A126" s="30">
        <v>2023</v>
      </c>
      <c r="B126" s="30" t="s">
        <v>8</v>
      </c>
      <c r="C126" s="30" t="s">
        <v>46</v>
      </c>
      <c r="D126" s="30" t="s">
        <v>47</v>
      </c>
      <c r="E126" s="31" t="s">
        <v>190</v>
      </c>
      <c r="F126" s="32" t="s">
        <v>81</v>
      </c>
      <c r="G126" s="32" t="s">
        <v>50</v>
      </c>
      <c r="H126" s="33">
        <v>118060</v>
      </c>
      <c r="I126" s="34">
        <f>Table3[[#This Row],[Volume, kg.]]/1000</f>
        <v>118.06</v>
      </c>
      <c r="J126" s="34">
        <v>0.29170000000000001</v>
      </c>
      <c r="K126" s="34">
        <f t="shared" si="2"/>
        <v>34438.101999999999</v>
      </c>
      <c r="L126" s="34">
        <v>3.21</v>
      </c>
      <c r="M126" s="34">
        <v>379491</v>
      </c>
      <c r="N126" s="34">
        <f t="shared" si="3"/>
        <v>11.004456633527596</v>
      </c>
    </row>
    <row r="127" spans="1:14" x14ac:dyDescent="0.45">
      <c r="A127" s="30">
        <v>2023</v>
      </c>
      <c r="B127" s="30" t="s">
        <v>8</v>
      </c>
      <c r="C127" s="30" t="s">
        <v>46</v>
      </c>
      <c r="D127" s="30" t="s">
        <v>47</v>
      </c>
      <c r="E127" s="31" t="s">
        <v>191</v>
      </c>
      <c r="F127" s="32" t="s">
        <v>49</v>
      </c>
      <c r="G127" s="32" t="s">
        <v>50</v>
      </c>
      <c r="H127" s="33">
        <v>14150</v>
      </c>
      <c r="I127" s="34">
        <f>Table3[[#This Row],[Volume, kg.]]/1000</f>
        <v>14.15</v>
      </c>
      <c r="J127" s="34">
        <v>0.32350000000000001</v>
      </c>
      <c r="K127" s="34">
        <f t="shared" si="2"/>
        <v>4577.5250000000005</v>
      </c>
      <c r="L127" s="34">
        <v>3.4</v>
      </c>
      <c r="M127" s="34">
        <v>48110</v>
      </c>
      <c r="N127" s="34">
        <f t="shared" si="3"/>
        <v>10.510046367851622</v>
      </c>
    </row>
    <row r="128" spans="1:14" x14ac:dyDescent="0.45">
      <c r="A128" s="30">
        <v>2023</v>
      </c>
      <c r="B128" s="30" t="s">
        <v>8</v>
      </c>
      <c r="C128" s="30" t="s">
        <v>46</v>
      </c>
      <c r="D128" s="30" t="s">
        <v>47</v>
      </c>
      <c r="E128" s="31" t="s">
        <v>192</v>
      </c>
      <c r="F128" s="32" t="s">
        <v>49</v>
      </c>
      <c r="G128" s="32" t="s">
        <v>50</v>
      </c>
      <c r="H128" s="33">
        <v>8330</v>
      </c>
      <c r="I128" s="34">
        <f>Table3[[#This Row],[Volume, kg.]]/1000</f>
        <v>8.33</v>
      </c>
      <c r="J128" s="34">
        <v>0.29170000000000001</v>
      </c>
      <c r="K128" s="34">
        <f t="shared" si="2"/>
        <v>2429.8610000000003</v>
      </c>
      <c r="L128" s="34">
        <v>3.2</v>
      </c>
      <c r="M128" s="34">
        <v>26656</v>
      </c>
      <c r="N128" s="34">
        <f t="shared" si="3"/>
        <v>10.970174837161467</v>
      </c>
    </row>
    <row r="129" spans="1:14" x14ac:dyDescent="0.45">
      <c r="A129" s="30">
        <v>2023</v>
      </c>
      <c r="B129" s="30" t="s">
        <v>8</v>
      </c>
      <c r="C129" s="30" t="s">
        <v>46</v>
      </c>
      <c r="D129" s="30" t="s">
        <v>47</v>
      </c>
      <c r="E129" s="31" t="s">
        <v>193</v>
      </c>
      <c r="F129" s="32" t="s">
        <v>81</v>
      </c>
      <c r="G129" s="32" t="s">
        <v>50</v>
      </c>
      <c r="H129" s="33">
        <v>21510</v>
      </c>
      <c r="I129" s="34">
        <f>Table3[[#This Row],[Volume, kg.]]/1000</f>
        <v>21.51</v>
      </c>
      <c r="J129" s="34">
        <v>0.32380000000000003</v>
      </c>
      <c r="K129" s="34">
        <f t="shared" si="2"/>
        <v>6964.938000000001</v>
      </c>
      <c r="L129" s="34">
        <v>3.38</v>
      </c>
      <c r="M129" s="34">
        <v>72670</v>
      </c>
      <c r="N129" s="34">
        <f t="shared" si="3"/>
        <v>10.438542310067941</v>
      </c>
    </row>
    <row r="130" spans="1:14" x14ac:dyDescent="0.45">
      <c r="A130" s="30">
        <v>2023</v>
      </c>
      <c r="B130" s="30" t="s">
        <v>8</v>
      </c>
      <c r="C130" s="30" t="s">
        <v>46</v>
      </c>
      <c r="D130" s="30" t="s">
        <v>47</v>
      </c>
      <c r="E130" s="31" t="s">
        <v>194</v>
      </c>
      <c r="F130" s="32" t="s">
        <v>49</v>
      </c>
      <c r="G130" s="32" t="s">
        <v>50</v>
      </c>
      <c r="H130" s="33">
        <v>64610</v>
      </c>
      <c r="I130" s="34">
        <f>Table3[[#This Row],[Volume, kg.]]/1000</f>
        <v>64.61</v>
      </c>
      <c r="J130" s="34">
        <v>0.2878</v>
      </c>
      <c r="K130" s="34">
        <f t="shared" si="2"/>
        <v>18594.758000000002</v>
      </c>
      <c r="L130" s="34">
        <v>3.19</v>
      </c>
      <c r="M130" s="34">
        <v>206292</v>
      </c>
      <c r="N130" s="34">
        <f t="shared" si="3"/>
        <v>11.08408617095205</v>
      </c>
    </row>
    <row r="131" spans="1:14" x14ac:dyDescent="0.45">
      <c r="A131" s="30">
        <v>2023</v>
      </c>
      <c r="B131" s="30" t="s">
        <v>8</v>
      </c>
      <c r="C131" s="30" t="s">
        <v>46</v>
      </c>
      <c r="D131" s="30" t="s">
        <v>47</v>
      </c>
      <c r="E131" s="31" t="s">
        <v>195</v>
      </c>
      <c r="F131" s="32" t="s">
        <v>57</v>
      </c>
      <c r="G131" s="32" t="s">
        <v>50</v>
      </c>
      <c r="H131" s="33">
        <v>46730</v>
      </c>
      <c r="I131" s="34">
        <f>Table3[[#This Row],[Volume, kg.]]/1000</f>
        <v>46.73</v>
      </c>
      <c r="J131" s="34">
        <v>0.30820000000000003</v>
      </c>
      <c r="K131" s="34">
        <f t="shared" ref="K131:K194" si="4">H131*J131</f>
        <v>14402.186000000002</v>
      </c>
      <c r="L131" s="34">
        <v>3.32</v>
      </c>
      <c r="M131" s="34">
        <v>155049.5</v>
      </c>
      <c r="N131" s="34">
        <f t="shared" si="3"/>
        <v>10.772225827384814</v>
      </c>
    </row>
    <row r="132" spans="1:14" x14ac:dyDescent="0.45">
      <c r="A132" s="30">
        <v>2023</v>
      </c>
      <c r="B132" s="30" t="s">
        <v>8</v>
      </c>
      <c r="C132" s="30" t="s">
        <v>46</v>
      </c>
      <c r="D132" s="30" t="s">
        <v>47</v>
      </c>
      <c r="E132" s="31" t="s">
        <v>196</v>
      </c>
      <c r="F132" s="32" t="s">
        <v>57</v>
      </c>
      <c r="G132" s="32" t="s">
        <v>50</v>
      </c>
      <c r="H132" s="33">
        <v>15730</v>
      </c>
      <c r="I132" s="34">
        <f>Table3[[#This Row],[Volume, kg.]]/1000</f>
        <v>15.73</v>
      </c>
      <c r="J132" s="34">
        <v>0.3</v>
      </c>
      <c r="K132" s="34">
        <f t="shared" si="4"/>
        <v>4719</v>
      </c>
      <c r="L132" s="34">
        <v>3.24</v>
      </c>
      <c r="M132" s="34">
        <v>50909</v>
      </c>
      <c r="N132" s="34">
        <f t="shared" ref="N132:N195" si="5">L132/J132</f>
        <v>10.8</v>
      </c>
    </row>
    <row r="133" spans="1:14" x14ac:dyDescent="0.45">
      <c r="A133" s="30">
        <v>2023</v>
      </c>
      <c r="B133" s="30" t="s">
        <v>8</v>
      </c>
      <c r="C133" s="30" t="s">
        <v>46</v>
      </c>
      <c r="D133" s="30" t="s">
        <v>47</v>
      </c>
      <c r="E133" s="31" t="s">
        <v>197</v>
      </c>
      <c r="F133" s="32" t="s">
        <v>57</v>
      </c>
      <c r="G133" s="32" t="s">
        <v>50</v>
      </c>
      <c r="H133" s="33">
        <v>16600</v>
      </c>
      <c r="I133" s="34">
        <f>Table3[[#This Row],[Volume, kg.]]/1000</f>
        <v>16.600000000000001</v>
      </c>
      <c r="J133" s="34">
        <v>0.29719999999999996</v>
      </c>
      <c r="K133" s="34">
        <f t="shared" si="4"/>
        <v>4933.5199999999995</v>
      </c>
      <c r="L133" s="34">
        <v>3.23</v>
      </c>
      <c r="M133" s="34">
        <v>53577</v>
      </c>
      <c r="N133" s="34">
        <f t="shared" si="5"/>
        <v>10.868102288021536</v>
      </c>
    </row>
    <row r="134" spans="1:14" x14ac:dyDescent="0.45">
      <c r="A134" s="30">
        <v>2023</v>
      </c>
      <c r="B134" s="30" t="s">
        <v>8</v>
      </c>
      <c r="C134" s="30" t="s">
        <v>46</v>
      </c>
      <c r="D134" s="30" t="s">
        <v>47</v>
      </c>
      <c r="E134" s="31" t="s">
        <v>198</v>
      </c>
      <c r="F134" s="32" t="s">
        <v>49</v>
      </c>
      <c r="G134" s="32" t="s">
        <v>50</v>
      </c>
      <c r="H134" s="33">
        <v>48690</v>
      </c>
      <c r="I134" s="34">
        <f>Table3[[#This Row],[Volume, kg.]]/1000</f>
        <v>48.69</v>
      </c>
      <c r="J134" s="34">
        <v>0.25920000000000004</v>
      </c>
      <c r="K134" s="34">
        <f t="shared" si="4"/>
        <v>12620.448000000002</v>
      </c>
      <c r="L134" s="34">
        <v>3.08</v>
      </c>
      <c r="M134" s="34">
        <v>149891</v>
      </c>
      <c r="N134" s="34">
        <f t="shared" si="5"/>
        <v>11.882716049382715</v>
      </c>
    </row>
    <row r="135" spans="1:14" x14ac:dyDescent="0.45">
      <c r="A135" s="30">
        <v>2023</v>
      </c>
      <c r="B135" s="30" t="s">
        <v>8</v>
      </c>
      <c r="C135" s="30" t="s">
        <v>46</v>
      </c>
      <c r="D135" s="30" t="s">
        <v>47</v>
      </c>
      <c r="E135" s="31" t="s">
        <v>199</v>
      </c>
      <c r="F135" s="32" t="s">
        <v>60</v>
      </c>
      <c r="G135" s="32" t="s">
        <v>50</v>
      </c>
      <c r="H135" s="33">
        <v>40250</v>
      </c>
      <c r="I135" s="34">
        <f>Table3[[#This Row],[Volume, kg.]]/1000</f>
        <v>40.25</v>
      </c>
      <c r="J135" s="34">
        <v>0.29770000000000002</v>
      </c>
      <c r="K135" s="34">
        <f t="shared" si="4"/>
        <v>11982.425000000001</v>
      </c>
      <c r="L135" s="34">
        <v>3.26</v>
      </c>
      <c r="M135" s="34">
        <v>131412.5</v>
      </c>
      <c r="N135" s="34">
        <f t="shared" si="5"/>
        <v>10.950621430970774</v>
      </c>
    </row>
    <row r="136" spans="1:14" x14ac:dyDescent="0.45">
      <c r="A136" s="30">
        <v>2023</v>
      </c>
      <c r="B136" s="30" t="s">
        <v>8</v>
      </c>
      <c r="C136" s="30" t="s">
        <v>46</v>
      </c>
      <c r="D136" s="30" t="s">
        <v>47</v>
      </c>
      <c r="E136" s="31" t="s">
        <v>200</v>
      </c>
      <c r="F136" s="32" t="s">
        <v>64</v>
      </c>
      <c r="G136" s="32" t="s">
        <v>50</v>
      </c>
      <c r="H136" s="33">
        <v>92860</v>
      </c>
      <c r="I136" s="34">
        <f>Table3[[#This Row],[Volume, kg.]]/1000</f>
        <v>92.86</v>
      </c>
      <c r="J136" s="34">
        <v>0.2828</v>
      </c>
      <c r="K136" s="34">
        <f t="shared" si="4"/>
        <v>26260.808000000001</v>
      </c>
      <c r="L136" s="34">
        <v>3.17</v>
      </c>
      <c r="M136" s="34">
        <v>294335.5</v>
      </c>
      <c r="N136" s="34">
        <f t="shared" si="5"/>
        <v>11.209335219236209</v>
      </c>
    </row>
    <row r="137" spans="1:14" x14ac:dyDescent="0.45">
      <c r="A137" s="30">
        <v>2023</v>
      </c>
      <c r="B137" s="30" t="s">
        <v>8</v>
      </c>
      <c r="C137" s="30" t="s">
        <v>46</v>
      </c>
      <c r="D137" s="30" t="s">
        <v>47</v>
      </c>
      <c r="E137" s="31" t="s">
        <v>201</v>
      </c>
      <c r="F137" s="32" t="s">
        <v>49</v>
      </c>
      <c r="G137" s="32" t="s">
        <v>50</v>
      </c>
      <c r="H137" s="33">
        <v>11790</v>
      </c>
      <c r="I137" s="34">
        <f>Table3[[#This Row],[Volume, kg.]]/1000</f>
        <v>11.79</v>
      </c>
      <c r="J137" s="34">
        <v>0.29849999999999999</v>
      </c>
      <c r="K137" s="34">
        <f t="shared" si="4"/>
        <v>3519.3150000000001</v>
      </c>
      <c r="L137" s="34">
        <v>3.25</v>
      </c>
      <c r="M137" s="34">
        <v>38317.5</v>
      </c>
      <c r="N137" s="34">
        <f t="shared" si="5"/>
        <v>10.887772194304858</v>
      </c>
    </row>
    <row r="138" spans="1:14" x14ac:dyDescent="0.45">
      <c r="A138" s="30">
        <v>2023</v>
      </c>
      <c r="B138" s="30" t="s">
        <v>8</v>
      </c>
      <c r="C138" s="30" t="s">
        <v>46</v>
      </c>
      <c r="D138" s="30" t="s">
        <v>47</v>
      </c>
      <c r="E138" s="31" t="s">
        <v>202</v>
      </c>
      <c r="F138" s="32" t="s">
        <v>57</v>
      </c>
      <c r="G138" s="32" t="s">
        <v>50</v>
      </c>
      <c r="H138" s="33">
        <v>84200</v>
      </c>
      <c r="I138" s="34">
        <f>Table3[[#This Row],[Volume, kg.]]/1000</f>
        <v>84.2</v>
      </c>
      <c r="J138" s="34">
        <v>0.29249999999999998</v>
      </c>
      <c r="K138" s="34">
        <f t="shared" si="4"/>
        <v>24628.5</v>
      </c>
      <c r="L138" s="34">
        <v>3.22</v>
      </c>
      <c r="M138" s="34">
        <v>271215</v>
      </c>
      <c r="N138" s="34">
        <f t="shared" si="5"/>
        <v>11.00854700854701</v>
      </c>
    </row>
    <row r="139" spans="1:14" x14ac:dyDescent="0.45">
      <c r="A139" s="30">
        <v>2023</v>
      </c>
      <c r="B139" s="30" t="s">
        <v>8</v>
      </c>
      <c r="C139" s="30" t="s">
        <v>46</v>
      </c>
      <c r="D139" s="30" t="s">
        <v>47</v>
      </c>
      <c r="E139" s="31" t="s">
        <v>203</v>
      </c>
      <c r="F139" s="32" t="s">
        <v>57</v>
      </c>
      <c r="G139" s="32" t="s">
        <v>50</v>
      </c>
      <c r="H139" s="33">
        <v>70160</v>
      </c>
      <c r="I139" s="34">
        <f>Table3[[#This Row],[Volume, kg.]]/1000</f>
        <v>70.16</v>
      </c>
      <c r="J139" s="34">
        <v>0.29430000000000001</v>
      </c>
      <c r="K139" s="34">
        <f t="shared" si="4"/>
        <v>20648.088</v>
      </c>
      <c r="L139" s="34">
        <v>3.23</v>
      </c>
      <c r="M139" s="34">
        <v>226558.5</v>
      </c>
      <c r="N139" s="34">
        <f t="shared" si="5"/>
        <v>10.975195378865104</v>
      </c>
    </row>
    <row r="140" spans="1:14" x14ac:dyDescent="0.45">
      <c r="A140" s="30">
        <v>2023</v>
      </c>
      <c r="B140" s="30" t="s">
        <v>8</v>
      </c>
      <c r="C140" s="30" t="s">
        <v>46</v>
      </c>
      <c r="D140" s="30" t="s">
        <v>47</v>
      </c>
      <c r="E140" s="31" t="s">
        <v>204</v>
      </c>
      <c r="F140" s="32" t="s">
        <v>49</v>
      </c>
      <c r="G140" s="32" t="s">
        <v>50</v>
      </c>
      <c r="H140" s="33">
        <v>164340</v>
      </c>
      <c r="I140" s="34">
        <f>Table3[[#This Row],[Volume, kg.]]/1000</f>
        <v>164.34</v>
      </c>
      <c r="J140" s="34">
        <v>0.30519999999999997</v>
      </c>
      <c r="K140" s="34">
        <f t="shared" si="4"/>
        <v>50156.567999999992</v>
      </c>
      <c r="L140" s="34">
        <v>3.29</v>
      </c>
      <c r="M140" s="34">
        <v>539994</v>
      </c>
      <c r="N140" s="34">
        <f t="shared" si="5"/>
        <v>10.779816513761469</v>
      </c>
    </row>
    <row r="141" spans="1:14" x14ac:dyDescent="0.45">
      <c r="A141" s="30">
        <v>2023</v>
      </c>
      <c r="B141" s="30" t="s">
        <v>8</v>
      </c>
      <c r="C141" s="30" t="s">
        <v>46</v>
      </c>
      <c r="D141" s="30" t="s">
        <v>47</v>
      </c>
      <c r="E141" s="31" t="s">
        <v>205</v>
      </c>
      <c r="F141" s="32" t="s">
        <v>49</v>
      </c>
      <c r="G141" s="32" t="s">
        <v>50</v>
      </c>
      <c r="H141" s="33">
        <v>54920</v>
      </c>
      <c r="I141" s="34">
        <f>Table3[[#This Row],[Volume, kg.]]/1000</f>
        <v>54.92</v>
      </c>
      <c r="J141" s="34">
        <v>0.27179999999999999</v>
      </c>
      <c r="K141" s="34">
        <f t="shared" si="4"/>
        <v>14927.255999999999</v>
      </c>
      <c r="L141" s="34">
        <v>3.12</v>
      </c>
      <c r="M141" s="34">
        <v>171575.5</v>
      </c>
      <c r="N141" s="34">
        <f t="shared" si="5"/>
        <v>11.479028697571746</v>
      </c>
    </row>
    <row r="142" spans="1:14" x14ac:dyDescent="0.45">
      <c r="A142" s="30">
        <v>2023</v>
      </c>
      <c r="B142" s="30" t="s">
        <v>8</v>
      </c>
      <c r="C142" s="30" t="s">
        <v>46</v>
      </c>
      <c r="D142" s="30" t="s">
        <v>47</v>
      </c>
      <c r="E142" s="31" t="s">
        <v>206</v>
      </c>
      <c r="F142" s="32" t="s">
        <v>81</v>
      </c>
      <c r="G142" s="32" t="s">
        <v>50</v>
      </c>
      <c r="H142" s="33">
        <v>361110</v>
      </c>
      <c r="I142" s="34">
        <f>Table3[[#This Row],[Volume, kg.]]/1000</f>
        <v>361.11</v>
      </c>
      <c r="J142" s="34">
        <v>0.27789999999999998</v>
      </c>
      <c r="K142" s="34">
        <f t="shared" si="4"/>
        <v>100352.469</v>
      </c>
      <c r="L142" s="34">
        <v>3.15</v>
      </c>
      <c r="M142" s="34">
        <v>1138661.5</v>
      </c>
      <c r="N142" s="34">
        <f t="shared" si="5"/>
        <v>11.335012594458439</v>
      </c>
    </row>
    <row r="143" spans="1:14" x14ac:dyDescent="0.45">
      <c r="A143" s="30">
        <v>2023</v>
      </c>
      <c r="B143" s="30" t="s">
        <v>8</v>
      </c>
      <c r="C143" s="30" t="s">
        <v>46</v>
      </c>
      <c r="D143" s="30" t="s">
        <v>47</v>
      </c>
      <c r="E143" s="31" t="s">
        <v>207</v>
      </c>
      <c r="F143" s="32" t="s">
        <v>64</v>
      </c>
      <c r="G143" s="32" t="s">
        <v>50</v>
      </c>
      <c r="H143" s="33">
        <v>80930</v>
      </c>
      <c r="I143" s="34">
        <f>Table3[[#This Row],[Volume, kg.]]/1000</f>
        <v>80.930000000000007</v>
      </c>
      <c r="J143" s="34">
        <v>0.2772</v>
      </c>
      <c r="K143" s="34">
        <f t="shared" si="4"/>
        <v>22433.795999999998</v>
      </c>
      <c r="L143" s="34">
        <v>3.15</v>
      </c>
      <c r="M143" s="34">
        <v>255305.5</v>
      </c>
      <c r="N143" s="34">
        <f t="shared" si="5"/>
        <v>11.363636363636363</v>
      </c>
    </row>
    <row r="144" spans="1:14" x14ac:dyDescent="0.45">
      <c r="A144" s="30">
        <v>2023</v>
      </c>
      <c r="B144" s="30" t="s">
        <v>8</v>
      </c>
      <c r="C144" s="30" t="s">
        <v>46</v>
      </c>
      <c r="D144" s="30" t="s">
        <v>47</v>
      </c>
      <c r="E144" s="31" t="s">
        <v>208</v>
      </c>
      <c r="F144" s="32" t="s">
        <v>49</v>
      </c>
      <c r="G144" s="32" t="s">
        <v>50</v>
      </c>
      <c r="H144" s="33">
        <v>129060</v>
      </c>
      <c r="I144" s="34">
        <f>Table3[[#This Row],[Volume, kg.]]/1000</f>
        <v>129.06</v>
      </c>
      <c r="J144" s="34">
        <v>0.29370000000000002</v>
      </c>
      <c r="K144" s="34">
        <f t="shared" si="4"/>
        <v>37904.921999999999</v>
      </c>
      <c r="L144" s="34">
        <v>3.23</v>
      </c>
      <c r="M144" s="34">
        <v>416458</v>
      </c>
      <c r="N144" s="34">
        <f t="shared" si="5"/>
        <v>10.997616615594143</v>
      </c>
    </row>
    <row r="145" spans="1:14" x14ac:dyDescent="0.45">
      <c r="A145" s="30">
        <v>2023</v>
      </c>
      <c r="B145" s="30" t="s">
        <v>8</v>
      </c>
      <c r="C145" s="30" t="s">
        <v>46</v>
      </c>
      <c r="D145" s="30" t="s">
        <v>47</v>
      </c>
      <c r="E145" s="31" t="s">
        <v>209</v>
      </c>
      <c r="F145" s="32" t="s">
        <v>49</v>
      </c>
      <c r="G145" s="32" t="s">
        <v>50</v>
      </c>
      <c r="H145" s="33">
        <v>30840</v>
      </c>
      <c r="I145" s="34">
        <f>Table3[[#This Row],[Volume, kg.]]/1000</f>
        <v>30.84</v>
      </c>
      <c r="J145" s="34">
        <v>0.30530000000000002</v>
      </c>
      <c r="K145" s="34">
        <f t="shared" si="4"/>
        <v>9415.4520000000011</v>
      </c>
      <c r="L145" s="34">
        <v>3.28</v>
      </c>
      <c r="M145" s="34">
        <v>101151</v>
      </c>
      <c r="N145" s="34">
        <f t="shared" si="5"/>
        <v>10.743530953160825</v>
      </c>
    </row>
    <row r="146" spans="1:14" x14ac:dyDescent="0.45">
      <c r="A146" s="30">
        <v>2023</v>
      </c>
      <c r="B146" s="30" t="s">
        <v>8</v>
      </c>
      <c r="C146" s="30" t="s">
        <v>46</v>
      </c>
      <c r="D146" s="30" t="s">
        <v>47</v>
      </c>
      <c r="E146" s="31" t="s">
        <v>210</v>
      </c>
      <c r="F146" s="32" t="s">
        <v>60</v>
      </c>
      <c r="G146" s="32" t="s">
        <v>50</v>
      </c>
      <c r="H146" s="33">
        <v>66000</v>
      </c>
      <c r="I146" s="34">
        <f>Table3[[#This Row],[Volume, kg.]]/1000</f>
        <v>66</v>
      </c>
      <c r="J146" s="34">
        <v>0.29260000000000003</v>
      </c>
      <c r="K146" s="34">
        <f t="shared" si="4"/>
        <v>19311.600000000002</v>
      </c>
      <c r="L146" s="34">
        <v>3.21</v>
      </c>
      <c r="M146" s="34">
        <v>211850.5</v>
      </c>
      <c r="N146" s="34">
        <f t="shared" si="5"/>
        <v>10.97060833902939</v>
      </c>
    </row>
    <row r="147" spans="1:14" x14ac:dyDescent="0.45">
      <c r="A147" s="30">
        <v>2023</v>
      </c>
      <c r="B147" s="30" t="s">
        <v>8</v>
      </c>
      <c r="C147" s="30" t="s">
        <v>46</v>
      </c>
      <c r="D147" s="30" t="s">
        <v>47</v>
      </c>
      <c r="E147" s="31" t="s">
        <v>211</v>
      </c>
      <c r="F147" s="32" t="s">
        <v>57</v>
      </c>
      <c r="G147" s="32" t="s">
        <v>50</v>
      </c>
      <c r="H147" s="33">
        <v>15310</v>
      </c>
      <c r="I147" s="34">
        <f>Table3[[#This Row],[Volume, kg.]]/1000</f>
        <v>15.31</v>
      </c>
      <c r="J147" s="34">
        <v>0.2868</v>
      </c>
      <c r="K147" s="34">
        <f t="shared" si="4"/>
        <v>4390.9080000000004</v>
      </c>
      <c r="L147" s="34">
        <v>3.17</v>
      </c>
      <c r="M147" s="34">
        <v>48587</v>
      </c>
      <c r="N147" s="34">
        <f t="shared" si="5"/>
        <v>11.052998605299861</v>
      </c>
    </row>
    <row r="148" spans="1:14" x14ac:dyDescent="0.45">
      <c r="A148" s="30">
        <v>2023</v>
      </c>
      <c r="B148" s="30" t="s">
        <v>8</v>
      </c>
      <c r="C148" s="30" t="s">
        <v>46</v>
      </c>
      <c r="D148" s="30" t="s">
        <v>47</v>
      </c>
      <c r="E148" s="31" t="s">
        <v>212</v>
      </c>
      <c r="F148" s="32" t="s">
        <v>60</v>
      </c>
      <c r="G148" s="32" t="s">
        <v>50</v>
      </c>
      <c r="H148" s="33">
        <v>15080</v>
      </c>
      <c r="I148" s="34">
        <f>Table3[[#This Row],[Volume, kg.]]/1000</f>
        <v>15.08</v>
      </c>
      <c r="J148" s="34">
        <v>0.30149999999999999</v>
      </c>
      <c r="K148" s="34">
        <f t="shared" si="4"/>
        <v>4546.62</v>
      </c>
      <c r="L148" s="34">
        <v>3.25</v>
      </c>
      <c r="M148" s="34">
        <v>49010</v>
      </c>
      <c r="N148" s="34">
        <f t="shared" si="5"/>
        <v>10.779436152570481</v>
      </c>
    </row>
    <row r="149" spans="1:14" x14ac:dyDescent="0.45">
      <c r="A149" s="30">
        <v>2023</v>
      </c>
      <c r="B149" s="30" t="s">
        <v>8</v>
      </c>
      <c r="C149" s="30" t="s">
        <v>46</v>
      </c>
      <c r="D149" s="30" t="s">
        <v>47</v>
      </c>
      <c r="E149" s="31" t="s">
        <v>213</v>
      </c>
      <c r="F149" s="32" t="s">
        <v>49</v>
      </c>
      <c r="G149" s="32" t="s">
        <v>50</v>
      </c>
      <c r="H149" s="33">
        <v>161010</v>
      </c>
      <c r="I149" s="34">
        <f>Table3[[#This Row],[Volume, kg.]]/1000</f>
        <v>161.01</v>
      </c>
      <c r="J149" s="34">
        <v>0.29530000000000001</v>
      </c>
      <c r="K149" s="34">
        <f t="shared" si="4"/>
        <v>47546.253000000004</v>
      </c>
      <c r="L149" s="34">
        <v>3.24</v>
      </c>
      <c r="M149" s="34">
        <v>522339</v>
      </c>
      <c r="N149" s="34">
        <f t="shared" si="5"/>
        <v>10.971892990179478</v>
      </c>
    </row>
    <row r="150" spans="1:14" x14ac:dyDescent="0.45">
      <c r="A150" s="30">
        <v>2023</v>
      </c>
      <c r="B150" s="30" t="s">
        <v>8</v>
      </c>
      <c r="C150" s="30" t="s">
        <v>46</v>
      </c>
      <c r="D150" s="30" t="s">
        <v>47</v>
      </c>
      <c r="E150" s="31" t="s">
        <v>214</v>
      </c>
      <c r="F150" s="32" t="s">
        <v>64</v>
      </c>
      <c r="G150" s="32" t="s">
        <v>50</v>
      </c>
      <c r="H150" s="33">
        <v>141670</v>
      </c>
      <c r="I150" s="34">
        <f>Table3[[#This Row],[Volume, kg.]]/1000</f>
        <v>141.66999999999999</v>
      </c>
      <c r="J150" s="34">
        <v>0.30599999999999999</v>
      </c>
      <c r="K150" s="34">
        <f t="shared" si="4"/>
        <v>43351.02</v>
      </c>
      <c r="L150" s="34">
        <v>3.29</v>
      </c>
      <c r="M150" s="34">
        <v>466462</v>
      </c>
      <c r="N150" s="34">
        <f t="shared" si="5"/>
        <v>10.751633986928105</v>
      </c>
    </row>
    <row r="151" spans="1:14" x14ac:dyDescent="0.45">
      <c r="A151" s="30">
        <v>2023</v>
      </c>
      <c r="B151" s="30" t="s">
        <v>8</v>
      </c>
      <c r="C151" s="30" t="s">
        <v>46</v>
      </c>
      <c r="D151" s="30" t="s">
        <v>47</v>
      </c>
      <c r="E151" s="31" t="s">
        <v>215</v>
      </c>
      <c r="F151" s="32" t="s">
        <v>57</v>
      </c>
      <c r="G151" s="32" t="s">
        <v>50</v>
      </c>
      <c r="H151" s="33">
        <v>7320</v>
      </c>
      <c r="I151" s="34">
        <f>Table3[[#This Row],[Volume, kg.]]/1000</f>
        <v>7.32</v>
      </c>
      <c r="J151" s="34">
        <v>0.30260000000000004</v>
      </c>
      <c r="K151" s="34">
        <f t="shared" si="4"/>
        <v>2215.0320000000002</v>
      </c>
      <c r="L151" s="34">
        <v>3.3</v>
      </c>
      <c r="M151" s="34">
        <v>24156</v>
      </c>
      <c r="N151" s="34">
        <f t="shared" si="5"/>
        <v>10.905485789821546</v>
      </c>
    </row>
    <row r="152" spans="1:14" x14ac:dyDescent="0.45">
      <c r="A152" s="30">
        <v>2023</v>
      </c>
      <c r="B152" s="30" t="s">
        <v>8</v>
      </c>
      <c r="C152" s="30" t="s">
        <v>46</v>
      </c>
      <c r="D152" s="30" t="s">
        <v>47</v>
      </c>
      <c r="E152" s="31" t="s">
        <v>216</v>
      </c>
      <c r="F152" s="32" t="s">
        <v>64</v>
      </c>
      <c r="G152" s="32" t="s">
        <v>50</v>
      </c>
      <c r="H152" s="33">
        <v>98960</v>
      </c>
      <c r="I152" s="34">
        <f>Table3[[#This Row],[Volume, kg.]]/1000</f>
        <v>98.96</v>
      </c>
      <c r="J152" s="34">
        <v>0.26350000000000001</v>
      </c>
      <c r="K152" s="34">
        <f t="shared" si="4"/>
        <v>26075.960000000003</v>
      </c>
      <c r="L152" s="34">
        <v>3.07</v>
      </c>
      <c r="M152" s="34">
        <v>304079</v>
      </c>
      <c r="N152" s="34">
        <f t="shared" si="5"/>
        <v>11.650853889943074</v>
      </c>
    </row>
    <row r="153" spans="1:14" x14ac:dyDescent="0.45">
      <c r="A153" s="30">
        <v>2023</v>
      </c>
      <c r="B153" s="30" t="s">
        <v>8</v>
      </c>
      <c r="C153" s="30" t="s">
        <v>46</v>
      </c>
      <c r="D153" s="30" t="s">
        <v>47</v>
      </c>
      <c r="E153" s="31" t="s">
        <v>217</v>
      </c>
      <c r="F153" s="32" t="s">
        <v>49</v>
      </c>
      <c r="G153" s="32" t="s">
        <v>50</v>
      </c>
      <c r="H153" s="33">
        <v>75680</v>
      </c>
      <c r="I153" s="34">
        <f>Table3[[#This Row],[Volume, kg.]]/1000</f>
        <v>75.680000000000007</v>
      </c>
      <c r="J153" s="34">
        <v>0.29469999999999996</v>
      </c>
      <c r="K153" s="34">
        <f t="shared" si="4"/>
        <v>22302.895999999997</v>
      </c>
      <c r="L153" s="34">
        <v>3.22</v>
      </c>
      <c r="M153" s="34">
        <v>243947.5</v>
      </c>
      <c r="N153" s="34">
        <f t="shared" si="5"/>
        <v>10.926365795724468</v>
      </c>
    </row>
    <row r="154" spans="1:14" x14ac:dyDescent="0.45">
      <c r="A154" s="30">
        <v>2023</v>
      </c>
      <c r="B154" s="30" t="s">
        <v>8</v>
      </c>
      <c r="C154" s="30" t="s">
        <v>46</v>
      </c>
      <c r="D154" s="30" t="s">
        <v>47</v>
      </c>
      <c r="E154" s="31" t="s">
        <v>218</v>
      </c>
      <c r="F154" s="32" t="s">
        <v>49</v>
      </c>
      <c r="G154" s="32" t="s">
        <v>50</v>
      </c>
      <c r="H154" s="33">
        <v>43890</v>
      </c>
      <c r="I154" s="34">
        <f>Table3[[#This Row],[Volume, kg.]]/1000</f>
        <v>43.89</v>
      </c>
      <c r="J154" s="34">
        <v>0.27200000000000002</v>
      </c>
      <c r="K154" s="34">
        <f t="shared" si="4"/>
        <v>11938.080000000002</v>
      </c>
      <c r="L154" s="34">
        <v>3.11</v>
      </c>
      <c r="M154" s="34">
        <v>136525</v>
      </c>
      <c r="N154" s="34">
        <f t="shared" si="5"/>
        <v>11.433823529411763</v>
      </c>
    </row>
    <row r="155" spans="1:14" x14ac:dyDescent="0.45">
      <c r="A155" s="30">
        <v>2023</v>
      </c>
      <c r="B155" s="30" t="s">
        <v>8</v>
      </c>
      <c r="C155" s="30" t="s">
        <v>46</v>
      </c>
      <c r="D155" s="30" t="s">
        <v>47</v>
      </c>
      <c r="E155" s="31" t="s">
        <v>219</v>
      </c>
      <c r="F155" s="32" t="s">
        <v>57</v>
      </c>
      <c r="G155" s="32" t="s">
        <v>50</v>
      </c>
      <c r="H155" s="33">
        <v>23850</v>
      </c>
      <c r="I155" s="34">
        <f>Table3[[#This Row],[Volume, kg.]]/1000</f>
        <v>23.85</v>
      </c>
      <c r="J155" s="34">
        <v>0.30159999999999998</v>
      </c>
      <c r="K155" s="34">
        <f t="shared" si="4"/>
        <v>7193.16</v>
      </c>
      <c r="L155" s="34">
        <v>3.25</v>
      </c>
      <c r="M155" s="34">
        <v>77465.5</v>
      </c>
      <c r="N155" s="34">
        <f t="shared" si="5"/>
        <v>10.775862068965518</v>
      </c>
    </row>
    <row r="156" spans="1:14" x14ac:dyDescent="0.45">
      <c r="A156" s="30">
        <v>2023</v>
      </c>
      <c r="B156" s="30" t="s">
        <v>8</v>
      </c>
      <c r="C156" s="30" t="s">
        <v>46</v>
      </c>
      <c r="D156" s="30" t="s">
        <v>47</v>
      </c>
      <c r="E156" s="31" t="s">
        <v>220</v>
      </c>
      <c r="F156" s="32" t="s">
        <v>49</v>
      </c>
      <c r="G156" s="32" t="s">
        <v>50</v>
      </c>
      <c r="H156" s="33">
        <v>124810</v>
      </c>
      <c r="I156" s="34">
        <f>Table3[[#This Row],[Volume, kg.]]/1000</f>
        <v>124.81</v>
      </c>
      <c r="J156" s="34">
        <v>0.30099999999999999</v>
      </c>
      <c r="K156" s="34">
        <f t="shared" si="4"/>
        <v>37567.81</v>
      </c>
      <c r="L156" s="34">
        <v>3.26</v>
      </c>
      <c r="M156" s="34">
        <v>407250</v>
      </c>
      <c r="N156" s="34">
        <f t="shared" si="5"/>
        <v>10.830564784053156</v>
      </c>
    </row>
    <row r="157" spans="1:14" x14ac:dyDescent="0.45">
      <c r="A157" s="30">
        <v>2023</v>
      </c>
      <c r="B157" s="30" t="s">
        <v>8</v>
      </c>
      <c r="C157" s="30" t="s">
        <v>46</v>
      </c>
      <c r="D157" s="30" t="s">
        <v>47</v>
      </c>
      <c r="E157" s="31" t="s">
        <v>221</v>
      </c>
      <c r="F157" s="32" t="s">
        <v>64</v>
      </c>
      <c r="G157" s="32" t="s">
        <v>50</v>
      </c>
      <c r="H157" s="33">
        <v>39500</v>
      </c>
      <c r="I157" s="34">
        <f>Table3[[#This Row],[Volume, kg.]]/1000</f>
        <v>39.5</v>
      </c>
      <c r="J157" s="34">
        <v>0.25739999999999996</v>
      </c>
      <c r="K157" s="34">
        <f t="shared" si="4"/>
        <v>10167.299999999999</v>
      </c>
      <c r="L157" s="34">
        <v>3.03</v>
      </c>
      <c r="M157" s="34">
        <v>119572</v>
      </c>
      <c r="N157" s="34">
        <f t="shared" si="5"/>
        <v>11.771561771561773</v>
      </c>
    </row>
    <row r="158" spans="1:14" x14ac:dyDescent="0.45">
      <c r="A158" s="30">
        <v>2023</v>
      </c>
      <c r="B158" s="30" t="s">
        <v>8</v>
      </c>
      <c r="C158" s="30" t="s">
        <v>46</v>
      </c>
      <c r="D158" s="30" t="s">
        <v>102</v>
      </c>
      <c r="E158" s="31" t="s">
        <v>222</v>
      </c>
      <c r="F158" s="32" t="s">
        <v>223</v>
      </c>
      <c r="G158" s="32" t="s">
        <v>50</v>
      </c>
      <c r="H158" s="33">
        <v>484870</v>
      </c>
      <c r="I158" s="34">
        <f>Table3[[#This Row],[Volume, kg.]]/1000</f>
        <v>484.87</v>
      </c>
      <c r="J158" s="34">
        <v>0.30049999999999999</v>
      </c>
      <c r="K158" s="34">
        <f t="shared" si="4"/>
        <v>145703.435</v>
      </c>
      <c r="L158" s="34">
        <v>3.26</v>
      </c>
      <c r="M158" s="34">
        <v>1580026</v>
      </c>
      <c r="N158" s="34">
        <f t="shared" si="5"/>
        <v>10.848585690515806</v>
      </c>
    </row>
    <row r="159" spans="1:14" x14ac:dyDescent="0.45">
      <c r="A159" s="30">
        <v>2023</v>
      </c>
      <c r="B159" s="30" t="s">
        <v>8</v>
      </c>
      <c r="C159" s="30" t="s">
        <v>46</v>
      </c>
      <c r="D159" s="30" t="s">
        <v>47</v>
      </c>
      <c r="E159" s="31" t="s">
        <v>224</v>
      </c>
      <c r="F159" s="32" t="s">
        <v>57</v>
      </c>
      <c r="G159" s="32" t="s">
        <v>50</v>
      </c>
      <c r="H159" s="33">
        <v>21660</v>
      </c>
      <c r="I159" s="34">
        <f>Table3[[#This Row],[Volume, kg.]]/1000</f>
        <v>21.66</v>
      </c>
      <c r="J159" s="34">
        <v>0.24710000000000001</v>
      </c>
      <c r="K159" s="34">
        <f t="shared" si="4"/>
        <v>5352.1860000000006</v>
      </c>
      <c r="L159" s="34">
        <v>2.99</v>
      </c>
      <c r="M159" s="34">
        <v>64773</v>
      </c>
      <c r="N159" s="34">
        <f t="shared" si="5"/>
        <v>12.100364225010118</v>
      </c>
    </row>
    <row r="160" spans="1:14" x14ac:dyDescent="0.45">
      <c r="A160" s="30">
        <v>2023</v>
      </c>
      <c r="B160" s="30" t="s">
        <v>8</v>
      </c>
      <c r="C160" s="30" t="s">
        <v>46</v>
      </c>
      <c r="D160" s="30" t="s">
        <v>47</v>
      </c>
      <c r="E160" s="31" t="s">
        <v>225</v>
      </c>
      <c r="F160" s="32" t="s">
        <v>64</v>
      </c>
      <c r="G160" s="32" t="s">
        <v>50</v>
      </c>
      <c r="H160" s="33">
        <v>14090</v>
      </c>
      <c r="I160" s="34">
        <f>Table3[[#This Row],[Volume, kg.]]/1000</f>
        <v>14.09</v>
      </c>
      <c r="J160" s="34">
        <v>0.23399999999999999</v>
      </c>
      <c r="K160" s="34">
        <f t="shared" si="4"/>
        <v>3297.06</v>
      </c>
      <c r="L160" s="34">
        <v>2.9</v>
      </c>
      <c r="M160" s="34">
        <v>40861</v>
      </c>
      <c r="N160" s="34">
        <f t="shared" si="5"/>
        <v>12.393162393162394</v>
      </c>
    </row>
    <row r="161" spans="1:14" x14ac:dyDescent="0.45">
      <c r="A161" s="30">
        <v>2023</v>
      </c>
      <c r="B161" s="30" t="s">
        <v>8</v>
      </c>
      <c r="C161" s="30" t="s">
        <v>46</v>
      </c>
      <c r="D161" s="30" t="s">
        <v>47</v>
      </c>
      <c r="E161" s="31" t="s">
        <v>226</v>
      </c>
      <c r="F161" s="32" t="s">
        <v>60</v>
      </c>
      <c r="G161" s="32" t="s">
        <v>50</v>
      </c>
      <c r="H161" s="33">
        <v>55920</v>
      </c>
      <c r="I161" s="34">
        <f>Table3[[#This Row],[Volume, kg.]]/1000</f>
        <v>55.92</v>
      </c>
      <c r="J161" s="34">
        <v>0.29199999999999998</v>
      </c>
      <c r="K161" s="34">
        <f t="shared" si="4"/>
        <v>16328.64</v>
      </c>
      <c r="L161" s="34">
        <v>3.21</v>
      </c>
      <c r="M161" s="34">
        <v>179670</v>
      </c>
      <c r="N161" s="34">
        <f t="shared" si="5"/>
        <v>10.993150684931507</v>
      </c>
    </row>
    <row r="162" spans="1:14" x14ac:dyDescent="0.45">
      <c r="A162" s="30">
        <v>2023</v>
      </c>
      <c r="B162" s="30" t="s">
        <v>8</v>
      </c>
      <c r="C162" s="30" t="s">
        <v>46</v>
      </c>
      <c r="D162" s="30" t="s">
        <v>47</v>
      </c>
      <c r="E162" s="31" t="s">
        <v>227</v>
      </c>
      <c r="F162" s="32" t="s">
        <v>57</v>
      </c>
      <c r="G162" s="32" t="s">
        <v>50</v>
      </c>
      <c r="H162" s="33">
        <v>35520</v>
      </c>
      <c r="I162" s="34">
        <f>Table3[[#This Row],[Volume, kg.]]/1000</f>
        <v>35.520000000000003</v>
      </c>
      <c r="J162" s="34">
        <v>0.2954</v>
      </c>
      <c r="K162" s="34">
        <f t="shared" si="4"/>
        <v>10492.608</v>
      </c>
      <c r="L162" s="34">
        <v>3.24</v>
      </c>
      <c r="M162" s="34">
        <v>115124</v>
      </c>
      <c r="N162" s="34">
        <f t="shared" si="5"/>
        <v>10.96817874069059</v>
      </c>
    </row>
    <row r="163" spans="1:14" x14ac:dyDescent="0.45">
      <c r="A163" s="30">
        <v>2023</v>
      </c>
      <c r="B163" s="30" t="s">
        <v>8</v>
      </c>
      <c r="C163" s="30" t="s">
        <v>46</v>
      </c>
      <c r="D163" s="30" t="s">
        <v>47</v>
      </c>
      <c r="E163" s="31" t="s">
        <v>228</v>
      </c>
      <c r="F163" s="32" t="s">
        <v>64</v>
      </c>
      <c r="G163" s="32" t="s">
        <v>50</v>
      </c>
      <c r="H163" s="33">
        <v>56290</v>
      </c>
      <c r="I163" s="34">
        <f>Table3[[#This Row],[Volume, kg.]]/1000</f>
        <v>56.29</v>
      </c>
      <c r="J163" s="34">
        <v>0.28859999999999997</v>
      </c>
      <c r="K163" s="34">
        <f t="shared" si="4"/>
        <v>16245.293999999998</v>
      </c>
      <c r="L163" s="34">
        <v>3.21</v>
      </c>
      <c r="M163" s="34">
        <v>180528</v>
      </c>
      <c r="N163" s="34">
        <f t="shared" si="5"/>
        <v>11.122661122661123</v>
      </c>
    </row>
    <row r="164" spans="1:14" x14ac:dyDescent="0.45">
      <c r="A164" s="30">
        <v>2023</v>
      </c>
      <c r="B164" s="30" t="s">
        <v>8</v>
      </c>
      <c r="C164" s="30" t="s">
        <v>46</v>
      </c>
      <c r="D164" s="30" t="s">
        <v>47</v>
      </c>
      <c r="E164" s="31" t="s">
        <v>229</v>
      </c>
      <c r="F164" s="32" t="s">
        <v>57</v>
      </c>
      <c r="G164" s="32" t="s">
        <v>50</v>
      </c>
      <c r="H164" s="33">
        <v>17790</v>
      </c>
      <c r="I164" s="34">
        <f>Table3[[#This Row],[Volume, kg.]]/1000</f>
        <v>17.79</v>
      </c>
      <c r="J164" s="34">
        <v>0.29270000000000002</v>
      </c>
      <c r="K164" s="34">
        <f t="shared" si="4"/>
        <v>5207.1330000000007</v>
      </c>
      <c r="L164" s="34">
        <v>3.24</v>
      </c>
      <c r="M164" s="34">
        <v>57599.5</v>
      </c>
      <c r="N164" s="34">
        <f t="shared" si="5"/>
        <v>11.069354287666552</v>
      </c>
    </row>
    <row r="165" spans="1:14" x14ac:dyDescent="0.45">
      <c r="A165" s="30">
        <v>2023</v>
      </c>
      <c r="B165" s="30" t="s">
        <v>8</v>
      </c>
      <c r="C165" s="30" t="s">
        <v>46</v>
      </c>
      <c r="D165" s="30" t="s">
        <v>47</v>
      </c>
      <c r="E165" s="31" t="s">
        <v>230</v>
      </c>
      <c r="F165" s="32" t="s">
        <v>49</v>
      </c>
      <c r="G165" s="32" t="s">
        <v>50</v>
      </c>
      <c r="H165" s="33">
        <v>21340</v>
      </c>
      <c r="I165" s="34">
        <f>Table3[[#This Row],[Volume, kg.]]/1000</f>
        <v>21.34</v>
      </c>
      <c r="J165" s="34">
        <v>0.2823</v>
      </c>
      <c r="K165" s="34">
        <f t="shared" si="4"/>
        <v>6024.2820000000002</v>
      </c>
      <c r="L165" s="34">
        <v>3.17</v>
      </c>
      <c r="M165" s="34">
        <v>67544</v>
      </c>
      <c r="N165" s="34">
        <f t="shared" si="5"/>
        <v>11.229188806234502</v>
      </c>
    </row>
    <row r="166" spans="1:14" x14ac:dyDescent="0.45">
      <c r="A166" s="30">
        <v>2023</v>
      </c>
      <c r="B166" s="30" t="s">
        <v>8</v>
      </c>
      <c r="C166" s="30" t="s">
        <v>46</v>
      </c>
      <c r="D166" s="30" t="s">
        <v>47</v>
      </c>
      <c r="E166" s="31" t="s">
        <v>231</v>
      </c>
      <c r="F166" s="32" t="s">
        <v>49</v>
      </c>
      <c r="G166" s="32" t="s">
        <v>50</v>
      </c>
      <c r="H166" s="33">
        <v>8830</v>
      </c>
      <c r="I166" s="34">
        <f>Table3[[#This Row],[Volume, kg.]]/1000</f>
        <v>8.83</v>
      </c>
      <c r="J166" s="34">
        <v>0.31900000000000001</v>
      </c>
      <c r="K166" s="34">
        <f t="shared" si="4"/>
        <v>2816.77</v>
      </c>
      <c r="L166" s="34">
        <v>3.35</v>
      </c>
      <c r="M166" s="34">
        <v>29580.5</v>
      </c>
      <c r="N166" s="34">
        <f t="shared" si="5"/>
        <v>10.501567398119123</v>
      </c>
    </row>
    <row r="167" spans="1:14" x14ac:dyDescent="0.45">
      <c r="A167" s="30">
        <v>2023</v>
      </c>
      <c r="B167" s="30" t="s">
        <v>8</v>
      </c>
      <c r="C167" s="30" t="s">
        <v>46</v>
      </c>
      <c r="D167" s="30" t="s">
        <v>47</v>
      </c>
      <c r="E167" s="31" t="s">
        <v>232</v>
      </c>
      <c r="F167" s="32" t="s">
        <v>49</v>
      </c>
      <c r="G167" s="32" t="s">
        <v>50</v>
      </c>
      <c r="H167" s="33">
        <v>16620</v>
      </c>
      <c r="I167" s="34">
        <f>Table3[[#This Row],[Volume, kg.]]/1000</f>
        <v>16.62</v>
      </c>
      <c r="J167" s="34">
        <v>0.32240000000000002</v>
      </c>
      <c r="K167" s="34">
        <f t="shared" si="4"/>
        <v>5358.2880000000005</v>
      </c>
      <c r="L167" s="34">
        <v>3.35</v>
      </c>
      <c r="M167" s="34">
        <v>55677</v>
      </c>
      <c r="N167" s="34">
        <f t="shared" si="5"/>
        <v>10.390818858560793</v>
      </c>
    </row>
    <row r="168" spans="1:14" x14ac:dyDescent="0.45">
      <c r="A168" s="30">
        <v>2023</v>
      </c>
      <c r="B168" s="30" t="s">
        <v>8</v>
      </c>
      <c r="C168" s="30" t="s">
        <v>46</v>
      </c>
      <c r="D168" s="30" t="s">
        <v>47</v>
      </c>
      <c r="E168" s="31" t="s">
        <v>233</v>
      </c>
      <c r="F168" s="32" t="s">
        <v>57</v>
      </c>
      <c r="G168" s="32" t="s">
        <v>50</v>
      </c>
      <c r="H168" s="33">
        <v>31770</v>
      </c>
      <c r="I168" s="34">
        <f>Table3[[#This Row],[Volume, kg.]]/1000</f>
        <v>31.77</v>
      </c>
      <c r="J168" s="34">
        <v>0.32090000000000002</v>
      </c>
      <c r="K168" s="34">
        <f t="shared" si="4"/>
        <v>10194.993</v>
      </c>
      <c r="L168" s="34">
        <v>3.36</v>
      </c>
      <c r="M168" s="34">
        <v>106711.5</v>
      </c>
      <c r="N168" s="34">
        <f t="shared" si="5"/>
        <v>10.470551573698971</v>
      </c>
    </row>
    <row r="169" spans="1:14" x14ac:dyDescent="0.45">
      <c r="A169" s="30">
        <v>2023</v>
      </c>
      <c r="B169" s="30" t="s">
        <v>8</v>
      </c>
      <c r="C169" s="30" t="s">
        <v>46</v>
      </c>
      <c r="D169" s="30" t="s">
        <v>47</v>
      </c>
      <c r="E169" s="31" t="s">
        <v>234</v>
      </c>
      <c r="F169" s="32" t="s">
        <v>49</v>
      </c>
      <c r="G169" s="32" t="s">
        <v>50</v>
      </c>
      <c r="H169" s="33">
        <v>59440</v>
      </c>
      <c r="I169" s="34">
        <f>Table3[[#This Row],[Volume, kg.]]/1000</f>
        <v>59.44</v>
      </c>
      <c r="J169" s="34">
        <v>0.3054</v>
      </c>
      <c r="K169" s="34">
        <f t="shared" si="4"/>
        <v>18152.975999999999</v>
      </c>
      <c r="L169" s="34">
        <v>3.28</v>
      </c>
      <c r="M169" s="34">
        <v>194875.5</v>
      </c>
      <c r="N169" s="34">
        <f t="shared" si="5"/>
        <v>10.740013097576947</v>
      </c>
    </row>
    <row r="170" spans="1:14" x14ac:dyDescent="0.45">
      <c r="A170" s="30">
        <v>2023</v>
      </c>
      <c r="B170" s="30" t="s">
        <v>8</v>
      </c>
      <c r="C170" s="30" t="s">
        <v>46</v>
      </c>
      <c r="D170" s="30" t="s">
        <v>47</v>
      </c>
      <c r="E170" s="31" t="s">
        <v>235</v>
      </c>
      <c r="F170" s="32" t="s">
        <v>57</v>
      </c>
      <c r="G170" s="32" t="s">
        <v>50</v>
      </c>
      <c r="H170" s="33">
        <v>16750</v>
      </c>
      <c r="I170" s="34">
        <f>Table3[[#This Row],[Volume, kg.]]/1000</f>
        <v>16.75</v>
      </c>
      <c r="J170" s="34">
        <v>0.27800000000000002</v>
      </c>
      <c r="K170" s="34">
        <f t="shared" si="4"/>
        <v>4656.5</v>
      </c>
      <c r="L170" s="34">
        <v>3.15</v>
      </c>
      <c r="M170" s="34">
        <v>52748.5</v>
      </c>
      <c r="N170" s="34">
        <f t="shared" si="5"/>
        <v>11.330935251798559</v>
      </c>
    </row>
    <row r="171" spans="1:14" x14ac:dyDescent="0.45">
      <c r="A171" s="30">
        <v>2023</v>
      </c>
      <c r="B171" s="30" t="s">
        <v>8</v>
      </c>
      <c r="C171" s="30" t="s">
        <v>46</v>
      </c>
      <c r="D171" s="30" t="s">
        <v>47</v>
      </c>
      <c r="E171" s="31" t="s">
        <v>236</v>
      </c>
      <c r="F171" s="32" t="s">
        <v>49</v>
      </c>
      <c r="G171" s="32" t="s">
        <v>50</v>
      </c>
      <c r="H171" s="33">
        <v>87960</v>
      </c>
      <c r="I171" s="34">
        <f>Table3[[#This Row],[Volume, kg.]]/1000</f>
        <v>87.96</v>
      </c>
      <c r="J171" s="34">
        <v>0.30070000000000002</v>
      </c>
      <c r="K171" s="34">
        <f t="shared" si="4"/>
        <v>26449.572000000004</v>
      </c>
      <c r="L171" s="34">
        <v>3.27</v>
      </c>
      <c r="M171" s="34">
        <v>288033</v>
      </c>
      <c r="N171" s="34">
        <f t="shared" si="5"/>
        <v>10.874625872963085</v>
      </c>
    </row>
    <row r="172" spans="1:14" x14ac:dyDescent="0.45">
      <c r="A172" s="30">
        <v>2023</v>
      </c>
      <c r="B172" s="30" t="s">
        <v>8</v>
      </c>
      <c r="C172" s="30" t="s">
        <v>46</v>
      </c>
      <c r="D172" s="30" t="s">
        <v>47</v>
      </c>
      <c r="E172" s="31" t="s">
        <v>237</v>
      </c>
      <c r="F172" s="32" t="s">
        <v>238</v>
      </c>
      <c r="G172" s="32" t="s">
        <v>50</v>
      </c>
      <c r="H172" s="33">
        <v>6730</v>
      </c>
      <c r="I172" s="34">
        <f>Table3[[#This Row],[Volume, kg.]]/1000</f>
        <v>6.73</v>
      </c>
      <c r="J172" s="34">
        <v>0.25800000000000001</v>
      </c>
      <c r="K172" s="34">
        <f t="shared" si="4"/>
        <v>1736.3400000000001</v>
      </c>
      <c r="L172" s="34">
        <v>3.05</v>
      </c>
      <c r="M172" s="34">
        <v>20526.5</v>
      </c>
      <c r="N172" s="34">
        <f t="shared" si="5"/>
        <v>11.821705426356589</v>
      </c>
    </row>
    <row r="173" spans="1:14" x14ac:dyDescent="0.45">
      <c r="A173" s="30">
        <v>2023</v>
      </c>
      <c r="B173" s="30" t="s">
        <v>8</v>
      </c>
      <c r="C173" s="30" t="s">
        <v>46</v>
      </c>
      <c r="D173" s="30" t="s">
        <v>102</v>
      </c>
      <c r="E173" s="31" t="s">
        <v>239</v>
      </c>
      <c r="F173" s="32" t="s">
        <v>240</v>
      </c>
      <c r="G173" s="32" t="s">
        <v>50</v>
      </c>
      <c r="H173" s="33">
        <v>98670</v>
      </c>
      <c r="I173" s="34">
        <f>Table3[[#This Row],[Volume, kg.]]/1000</f>
        <v>98.67</v>
      </c>
      <c r="J173" s="34">
        <v>0.27929999999999999</v>
      </c>
      <c r="K173" s="34">
        <f t="shared" si="4"/>
        <v>27558.530999999999</v>
      </c>
      <c r="L173" s="34">
        <v>3.16</v>
      </c>
      <c r="M173" s="34">
        <v>312281.5</v>
      </c>
      <c r="N173" s="34">
        <f t="shared" si="5"/>
        <v>11.313999283924097</v>
      </c>
    </row>
    <row r="174" spans="1:14" x14ac:dyDescent="0.45">
      <c r="A174" s="30">
        <v>2023</v>
      </c>
      <c r="B174" s="30" t="s">
        <v>8</v>
      </c>
      <c r="C174" s="30" t="s">
        <v>46</v>
      </c>
      <c r="D174" s="30" t="s">
        <v>47</v>
      </c>
      <c r="E174" s="31" t="s">
        <v>241</v>
      </c>
      <c r="F174" s="32" t="s">
        <v>57</v>
      </c>
      <c r="G174" s="32" t="s">
        <v>50</v>
      </c>
      <c r="H174" s="33">
        <v>13960</v>
      </c>
      <c r="I174" s="34">
        <f>Table3[[#This Row],[Volume, kg.]]/1000</f>
        <v>13.96</v>
      </c>
      <c r="J174" s="34">
        <v>0.31280000000000002</v>
      </c>
      <c r="K174" s="34">
        <f t="shared" si="4"/>
        <v>4366.6880000000001</v>
      </c>
      <c r="L174" s="34">
        <v>3.33</v>
      </c>
      <c r="M174" s="34">
        <v>46477.5</v>
      </c>
      <c r="N174" s="34">
        <f t="shared" si="5"/>
        <v>10.645780051150895</v>
      </c>
    </row>
    <row r="175" spans="1:14" x14ac:dyDescent="0.45">
      <c r="A175" s="30">
        <v>2023</v>
      </c>
      <c r="B175" s="30" t="s">
        <v>8</v>
      </c>
      <c r="C175" s="30" t="s">
        <v>46</v>
      </c>
      <c r="D175" s="30" t="s">
        <v>47</v>
      </c>
      <c r="E175" s="31" t="s">
        <v>242</v>
      </c>
      <c r="F175" s="32" t="s">
        <v>60</v>
      </c>
      <c r="G175" s="32" t="s">
        <v>50</v>
      </c>
      <c r="H175" s="33">
        <v>5350</v>
      </c>
      <c r="I175" s="34">
        <f>Table3[[#This Row],[Volume, kg.]]/1000</f>
        <v>5.35</v>
      </c>
      <c r="J175" s="34">
        <v>0.31950000000000001</v>
      </c>
      <c r="K175" s="34">
        <f t="shared" si="4"/>
        <v>1709.325</v>
      </c>
      <c r="L175" s="34">
        <v>3.4</v>
      </c>
      <c r="M175" s="34">
        <v>18190</v>
      </c>
      <c r="N175" s="34">
        <f t="shared" si="5"/>
        <v>10.641627543035993</v>
      </c>
    </row>
    <row r="176" spans="1:14" x14ac:dyDescent="0.45">
      <c r="A176" s="30">
        <v>2023</v>
      </c>
      <c r="B176" s="30" t="s">
        <v>8</v>
      </c>
      <c r="C176" s="30" t="s">
        <v>46</v>
      </c>
      <c r="D176" s="30" t="s">
        <v>47</v>
      </c>
      <c r="E176" s="31" t="s">
        <v>243</v>
      </c>
      <c r="F176" s="32" t="s">
        <v>60</v>
      </c>
      <c r="G176" s="32" t="s">
        <v>50</v>
      </c>
      <c r="H176" s="33">
        <v>15430</v>
      </c>
      <c r="I176" s="34">
        <f>Table3[[#This Row],[Volume, kg.]]/1000</f>
        <v>15.43</v>
      </c>
      <c r="J176" s="34">
        <v>0.33</v>
      </c>
      <c r="K176" s="34">
        <f t="shared" si="4"/>
        <v>5091.9000000000005</v>
      </c>
      <c r="L176" s="34">
        <v>3.4</v>
      </c>
      <c r="M176" s="34">
        <v>52392.5</v>
      </c>
      <c r="N176" s="34">
        <f t="shared" si="5"/>
        <v>10.303030303030303</v>
      </c>
    </row>
    <row r="177" spans="1:14" x14ac:dyDescent="0.45">
      <c r="A177" s="30">
        <v>2023</v>
      </c>
      <c r="B177" s="30" t="s">
        <v>8</v>
      </c>
      <c r="C177" s="30" t="s">
        <v>46</v>
      </c>
      <c r="D177" s="30" t="s">
        <v>47</v>
      </c>
      <c r="E177" s="31" t="s">
        <v>244</v>
      </c>
      <c r="F177" s="32" t="s">
        <v>60</v>
      </c>
      <c r="G177" s="32" t="s">
        <v>50</v>
      </c>
      <c r="H177" s="33">
        <v>39330</v>
      </c>
      <c r="I177" s="34">
        <f>Table3[[#This Row],[Volume, kg.]]/1000</f>
        <v>39.33</v>
      </c>
      <c r="J177" s="34">
        <v>0.27589999999999998</v>
      </c>
      <c r="K177" s="34">
        <f t="shared" si="4"/>
        <v>10851.146999999999</v>
      </c>
      <c r="L177" s="34">
        <v>3.13</v>
      </c>
      <c r="M177" s="34">
        <v>123234</v>
      </c>
      <c r="N177" s="34">
        <f t="shared" si="5"/>
        <v>11.344690105110548</v>
      </c>
    </row>
    <row r="178" spans="1:14" x14ac:dyDescent="0.45">
      <c r="A178" s="30">
        <v>2023</v>
      </c>
      <c r="B178" s="30" t="s">
        <v>8</v>
      </c>
      <c r="C178" s="30" t="s">
        <v>46</v>
      </c>
      <c r="D178" s="30" t="s">
        <v>47</v>
      </c>
      <c r="E178" s="31" t="s">
        <v>245</v>
      </c>
      <c r="F178" s="32" t="s">
        <v>57</v>
      </c>
      <c r="G178" s="32" t="s">
        <v>50</v>
      </c>
      <c r="H178" s="33">
        <v>59150</v>
      </c>
      <c r="I178" s="34">
        <f>Table3[[#This Row],[Volume, kg.]]/1000</f>
        <v>59.15</v>
      </c>
      <c r="J178" s="34">
        <v>0.30159999999999998</v>
      </c>
      <c r="K178" s="34">
        <f t="shared" si="4"/>
        <v>17839.64</v>
      </c>
      <c r="L178" s="34">
        <v>3.28</v>
      </c>
      <c r="M178" s="34">
        <v>194009</v>
      </c>
      <c r="N178" s="34">
        <f t="shared" si="5"/>
        <v>10.875331564986737</v>
      </c>
    </row>
    <row r="179" spans="1:14" x14ac:dyDescent="0.45">
      <c r="A179" s="30">
        <v>2023</v>
      </c>
      <c r="B179" s="30" t="s">
        <v>8</v>
      </c>
      <c r="C179" s="30" t="s">
        <v>46</v>
      </c>
      <c r="D179" s="30" t="s">
        <v>47</v>
      </c>
      <c r="E179" s="31" t="s">
        <v>246</v>
      </c>
      <c r="F179" s="32" t="s">
        <v>49</v>
      </c>
      <c r="G179" s="32" t="s">
        <v>50</v>
      </c>
      <c r="H179" s="33">
        <v>13650</v>
      </c>
      <c r="I179" s="34">
        <f>Table3[[#This Row],[Volume, kg.]]/1000</f>
        <v>13.65</v>
      </c>
      <c r="J179" s="34">
        <v>0.28800000000000003</v>
      </c>
      <c r="K179" s="34">
        <f t="shared" si="4"/>
        <v>3931.2000000000003</v>
      </c>
      <c r="L179" s="34">
        <v>3.2</v>
      </c>
      <c r="M179" s="34">
        <v>43680</v>
      </c>
      <c r="N179" s="34">
        <f t="shared" si="5"/>
        <v>11.111111111111111</v>
      </c>
    </row>
    <row r="180" spans="1:14" x14ac:dyDescent="0.45">
      <c r="A180" s="30">
        <v>2023</v>
      </c>
      <c r="B180" s="30" t="s">
        <v>8</v>
      </c>
      <c r="C180" s="30" t="s">
        <v>46</v>
      </c>
      <c r="D180" s="30" t="s">
        <v>47</v>
      </c>
      <c r="E180" s="31" t="s">
        <v>247</v>
      </c>
      <c r="F180" s="32" t="s">
        <v>134</v>
      </c>
      <c r="G180" s="32" t="s">
        <v>50</v>
      </c>
      <c r="H180" s="33">
        <v>23420</v>
      </c>
      <c r="I180" s="34">
        <f>Table3[[#This Row],[Volume, kg.]]/1000</f>
        <v>23.42</v>
      </c>
      <c r="J180" s="34">
        <v>0.3034</v>
      </c>
      <c r="K180" s="34">
        <f t="shared" si="4"/>
        <v>7105.6279999999997</v>
      </c>
      <c r="L180" s="34">
        <v>3.3</v>
      </c>
      <c r="M180" s="34">
        <v>77245</v>
      </c>
      <c r="N180" s="34">
        <f t="shared" si="5"/>
        <v>10.876730388925511</v>
      </c>
    </row>
    <row r="181" spans="1:14" x14ac:dyDescent="0.45">
      <c r="A181" s="30">
        <v>2023</v>
      </c>
      <c r="B181" s="30" t="s">
        <v>8</v>
      </c>
      <c r="C181" s="30" t="s">
        <v>46</v>
      </c>
      <c r="D181" s="30" t="s">
        <v>47</v>
      </c>
      <c r="E181" s="31" t="s">
        <v>248</v>
      </c>
      <c r="F181" s="32" t="s">
        <v>64</v>
      </c>
      <c r="G181" s="32" t="s">
        <v>50</v>
      </c>
      <c r="H181" s="33">
        <v>32280</v>
      </c>
      <c r="I181" s="34">
        <f>Table3[[#This Row],[Volume, kg.]]/1000</f>
        <v>32.28</v>
      </c>
      <c r="J181" s="34">
        <v>0.2412</v>
      </c>
      <c r="K181" s="34">
        <f t="shared" si="4"/>
        <v>7785.9359999999997</v>
      </c>
      <c r="L181" s="34">
        <v>2.95</v>
      </c>
      <c r="M181" s="34">
        <v>95228</v>
      </c>
      <c r="N181" s="34">
        <f t="shared" si="5"/>
        <v>12.23051409618574</v>
      </c>
    </row>
    <row r="182" spans="1:14" x14ac:dyDescent="0.45">
      <c r="A182" s="30">
        <v>2023</v>
      </c>
      <c r="B182" s="30" t="s">
        <v>8</v>
      </c>
      <c r="C182" s="30" t="s">
        <v>46</v>
      </c>
      <c r="D182" s="30" t="s">
        <v>102</v>
      </c>
      <c r="E182" s="31" t="s">
        <v>249</v>
      </c>
      <c r="F182" s="32" t="s">
        <v>118</v>
      </c>
      <c r="G182" s="32" t="s">
        <v>119</v>
      </c>
      <c r="H182" s="33">
        <v>29530</v>
      </c>
      <c r="I182" s="34">
        <f>Table3[[#This Row],[Volume, kg.]]/1000</f>
        <v>29.53</v>
      </c>
      <c r="J182" s="34">
        <v>0.23800000000000002</v>
      </c>
      <c r="K182" s="34">
        <f t="shared" si="4"/>
        <v>7028.14</v>
      </c>
      <c r="L182" s="34">
        <v>2.95</v>
      </c>
      <c r="M182" s="34">
        <v>87113.5</v>
      </c>
      <c r="N182" s="34">
        <f t="shared" si="5"/>
        <v>12.394957983193278</v>
      </c>
    </row>
    <row r="183" spans="1:14" x14ac:dyDescent="0.45">
      <c r="A183" s="30">
        <v>2023</v>
      </c>
      <c r="B183" s="30" t="s">
        <v>8</v>
      </c>
      <c r="C183" s="30" t="s">
        <v>46</v>
      </c>
      <c r="D183" s="30" t="s">
        <v>102</v>
      </c>
      <c r="E183" s="31" t="s">
        <v>250</v>
      </c>
      <c r="F183" s="32" t="s">
        <v>49</v>
      </c>
      <c r="G183" s="32" t="s">
        <v>50</v>
      </c>
      <c r="H183" s="33">
        <v>1569610</v>
      </c>
      <c r="I183" s="34">
        <f>Table3[[#This Row],[Volume, kg.]]/1000</f>
        <v>1569.61</v>
      </c>
      <c r="J183" s="34">
        <v>0.29659999999999997</v>
      </c>
      <c r="K183" s="34">
        <f t="shared" si="4"/>
        <v>465546.32599999994</v>
      </c>
      <c r="L183" s="34">
        <v>3.27</v>
      </c>
      <c r="M183" s="34">
        <v>5133898</v>
      </c>
      <c r="N183" s="34">
        <f t="shared" si="5"/>
        <v>11.024949426837493</v>
      </c>
    </row>
    <row r="184" spans="1:14" x14ac:dyDescent="0.45">
      <c r="A184" s="30">
        <v>2023</v>
      </c>
      <c r="B184" s="30" t="s">
        <v>8</v>
      </c>
      <c r="C184" s="30" t="s">
        <v>46</v>
      </c>
      <c r="D184" s="30" t="s">
        <v>47</v>
      </c>
      <c r="E184" s="31" t="s">
        <v>251</v>
      </c>
      <c r="F184" s="32" t="s">
        <v>49</v>
      </c>
      <c r="G184" s="32" t="s">
        <v>50</v>
      </c>
      <c r="H184" s="33">
        <v>12890</v>
      </c>
      <c r="I184" s="34">
        <f>Table3[[#This Row],[Volume, kg.]]/1000</f>
        <v>12.89</v>
      </c>
      <c r="J184" s="34">
        <v>0.27949999999999997</v>
      </c>
      <c r="K184" s="34">
        <f t="shared" si="4"/>
        <v>3602.7549999999997</v>
      </c>
      <c r="L184" s="34">
        <v>3.2</v>
      </c>
      <c r="M184" s="34">
        <v>41248</v>
      </c>
      <c r="N184" s="34">
        <f t="shared" si="5"/>
        <v>11.449016100178893</v>
      </c>
    </row>
    <row r="185" spans="1:14" x14ac:dyDescent="0.45">
      <c r="A185" s="30">
        <v>2023</v>
      </c>
      <c r="B185" s="30" t="s">
        <v>8</v>
      </c>
      <c r="C185" s="30" t="s">
        <v>46</v>
      </c>
      <c r="D185" s="30" t="s">
        <v>47</v>
      </c>
      <c r="E185" s="31" t="s">
        <v>252</v>
      </c>
      <c r="F185" s="32" t="s">
        <v>49</v>
      </c>
      <c r="G185" s="32" t="s">
        <v>50</v>
      </c>
      <c r="H185" s="33">
        <v>37860</v>
      </c>
      <c r="I185" s="34">
        <f>Table3[[#This Row],[Volume, kg.]]/1000</f>
        <v>37.86</v>
      </c>
      <c r="J185" s="34">
        <v>0.30499999999999999</v>
      </c>
      <c r="K185" s="34">
        <f t="shared" si="4"/>
        <v>11547.3</v>
      </c>
      <c r="L185" s="34">
        <v>3.29</v>
      </c>
      <c r="M185" s="34">
        <v>124634.5</v>
      </c>
      <c r="N185" s="34">
        <f t="shared" si="5"/>
        <v>10.78688524590164</v>
      </c>
    </row>
    <row r="186" spans="1:14" x14ac:dyDescent="0.45">
      <c r="A186" s="30">
        <v>2023</v>
      </c>
      <c r="B186" s="30" t="s">
        <v>8</v>
      </c>
      <c r="C186" s="30" t="s">
        <v>46</v>
      </c>
      <c r="D186" s="30" t="s">
        <v>47</v>
      </c>
      <c r="E186" s="31" t="s">
        <v>253</v>
      </c>
      <c r="F186" s="32" t="s">
        <v>57</v>
      </c>
      <c r="G186" s="32" t="s">
        <v>50</v>
      </c>
      <c r="H186" s="33">
        <v>44940</v>
      </c>
      <c r="I186" s="34">
        <f>Table3[[#This Row],[Volume, kg.]]/1000</f>
        <v>44.94</v>
      </c>
      <c r="J186" s="34">
        <v>0.32469999999999999</v>
      </c>
      <c r="K186" s="34">
        <f t="shared" si="4"/>
        <v>14592.018</v>
      </c>
      <c r="L186" s="34">
        <v>3.39</v>
      </c>
      <c r="M186" s="34">
        <v>152490.5</v>
      </c>
      <c r="N186" s="34">
        <f t="shared" si="5"/>
        <v>10.44040652910379</v>
      </c>
    </row>
    <row r="187" spans="1:14" x14ac:dyDescent="0.45">
      <c r="A187" s="30">
        <v>2023</v>
      </c>
      <c r="B187" s="30" t="s">
        <v>8</v>
      </c>
      <c r="C187" s="30" t="s">
        <v>46</v>
      </c>
      <c r="D187" s="30" t="s">
        <v>47</v>
      </c>
      <c r="E187" s="31" t="s">
        <v>254</v>
      </c>
      <c r="F187" s="32" t="s">
        <v>49</v>
      </c>
      <c r="G187" s="32" t="s">
        <v>50</v>
      </c>
      <c r="H187" s="33">
        <v>74580</v>
      </c>
      <c r="I187" s="34">
        <f>Table3[[#This Row],[Volume, kg.]]/1000</f>
        <v>74.58</v>
      </c>
      <c r="J187" s="34">
        <v>0.2828</v>
      </c>
      <c r="K187" s="34">
        <f t="shared" si="4"/>
        <v>21091.223999999998</v>
      </c>
      <c r="L187" s="34">
        <v>3.18</v>
      </c>
      <c r="M187" s="34">
        <v>237520</v>
      </c>
      <c r="N187" s="34">
        <f t="shared" si="5"/>
        <v>11.244695898161245</v>
      </c>
    </row>
    <row r="188" spans="1:14" x14ac:dyDescent="0.45">
      <c r="A188" s="30">
        <v>2023</v>
      </c>
      <c r="B188" s="30" t="s">
        <v>8</v>
      </c>
      <c r="C188" s="30" t="s">
        <v>46</v>
      </c>
      <c r="D188" s="30" t="s">
        <v>47</v>
      </c>
      <c r="E188" s="31" t="s">
        <v>255</v>
      </c>
      <c r="F188" s="32" t="s">
        <v>60</v>
      </c>
      <c r="G188" s="32" t="s">
        <v>50</v>
      </c>
      <c r="H188" s="33">
        <v>8140</v>
      </c>
      <c r="I188" s="34">
        <f>Table3[[#This Row],[Volume, kg.]]/1000</f>
        <v>8.14</v>
      </c>
      <c r="J188" s="34">
        <v>0.27350000000000002</v>
      </c>
      <c r="K188" s="34">
        <f t="shared" si="4"/>
        <v>2226.29</v>
      </c>
      <c r="L188" s="34">
        <v>3.14</v>
      </c>
      <c r="M188" s="34">
        <v>25526.5</v>
      </c>
      <c r="N188" s="34">
        <f t="shared" si="5"/>
        <v>11.480804387568556</v>
      </c>
    </row>
    <row r="189" spans="1:14" x14ac:dyDescent="0.45">
      <c r="A189" s="30">
        <v>2023</v>
      </c>
      <c r="B189" s="30" t="s">
        <v>8</v>
      </c>
      <c r="C189" s="30" t="s">
        <v>46</v>
      </c>
      <c r="D189" s="30" t="s">
        <v>47</v>
      </c>
      <c r="E189" s="31" t="s">
        <v>256</v>
      </c>
      <c r="F189" s="32" t="s">
        <v>81</v>
      </c>
      <c r="G189" s="32" t="s">
        <v>50</v>
      </c>
      <c r="H189" s="33">
        <v>109730</v>
      </c>
      <c r="I189" s="34">
        <f>Table3[[#This Row],[Volume, kg.]]/1000</f>
        <v>109.73</v>
      </c>
      <c r="J189" s="34">
        <v>0.2969</v>
      </c>
      <c r="K189" s="34">
        <f t="shared" si="4"/>
        <v>32578.837</v>
      </c>
      <c r="L189" s="34">
        <v>3.23</v>
      </c>
      <c r="M189" s="34">
        <v>354694</v>
      </c>
      <c r="N189" s="34">
        <f t="shared" si="5"/>
        <v>10.879083866621759</v>
      </c>
    </row>
    <row r="190" spans="1:14" x14ac:dyDescent="0.45">
      <c r="A190" s="30">
        <v>2023</v>
      </c>
      <c r="B190" s="30" t="s">
        <v>8</v>
      </c>
      <c r="C190" s="30" t="s">
        <v>46</v>
      </c>
      <c r="D190" s="30" t="s">
        <v>47</v>
      </c>
      <c r="E190" s="31" t="s">
        <v>257</v>
      </c>
      <c r="F190" s="32" t="s">
        <v>64</v>
      </c>
      <c r="G190" s="32" t="s">
        <v>50</v>
      </c>
      <c r="H190" s="33">
        <v>599950</v>
      </c>
      <c r="I190" s="34">
        <f>Table3[[#This Row],[Volume, kg.]]/1000</f>
        <v>599.95000000000005</v>
      </c>
      <c r="J190" s="34">
        <v>0.26869999999999999</v>
      </c>
      <c r="K190" s="34">
        <f t="shared" si="4"/>
        <v>161206.565</v>
      </c>
      <c r="L190" s="34">
        <v>3.2</v>
      </c>
      <c r="M190" s="34">
        <v>1920383</v>
      </c>
      <c r="N190" s="34">
        <f t="shared" si="5"/>
        <v>11.90919240788984</v>
      </c>
    </row>
    <row r="191" spans="1:14" x14ac:dyDescent="0.45">
      <c r="A191" s="30">
        <v>2023</v>
      </c>
      <c r="B191" s="30" t="s">
        <v>8</v>
      </c>
      <c r="C191" s="30" t="s">
        <v>46</v>
      </c>
      <c r="D191" s="30" t="s">
        <v>47</v>
      </c>
      <c r="E191" s="31" t="s">
        <v>258</v>
      </c>
      <c r="F191" s="32" t="s">
        <v>49</v>
      </c>
      <c r="G191" s="32" t="s">
        <v>50</v>
      </c>
      <c r="H191" s="33">
        <v>593600</v>
      </c>
      <c r="I191" s="34">
        <f>Table3[[#This Row],[Volume, kg.]]/1000</f>
        <v>593.6</v>
      </c>
      <c r="J191" s="34">
        <v>0.27350000000000002</v>
      </c>
      <c r="K191" s="34">
        <f t="shared" si="4"/>
        <v>162349.6</v>
      </c>
      <c r="L191" s="34">
        <v>3.12</v>
      </c>
      <c r="M191" s="34">
        <v>1854988.5</v>
      </c>
      <c r="N191" s="34">
        <f t="shared" si="5"/>
        <v>11.407678244972578</v>
      </c>
    </row>
    <row r="192" spans="1:14" x14ac:dyDescent="0.45">
      <c r="A192" s="30">
        <v>2023</v>
      </c>
      <c r="B192" s="30" t="s">
        <v>9</v>
      </c>
      <c r="C192" s="30" t="s">
        <v>46</v>
      </c>
      <c r="D192" s="30" t="s">
        <v>47</v>
      </c>
      <c r="E192" s="31" t="s">
        <v>259</v>
      </c>
      <c r="F192" s="32" t="s">
        <v>54</v>
      </c>
      <c r="G192" s="32" t="s">
        <v>50</v>
      </c>
      <c r="H192" s="33">
        <v>11690</v>
      </c>
      <c r="I192" s="34">
        <f>Table3[[#This Row],[Volume, kg.]]/1000</f>
        <v>11.69</v>
      </c>
      <c r="J192" s="34">
        <v>0.27250000000000002</v>
      </c>
      <c r="K192" s="34">
        <f t="shared" si="4"/>
        <v>3185.5250000000001</v>
      </c>
      <c r="L192" s="34">
        <v>3.15</v>
      </c>
      <c r="M192" s="34">
        <v>36823.5</v>
      </c>
      <c r="N192" s="34">
        <f t="shared" si="5"/>
        <v>11.559633027522935</v>
      </c>
    </row>
    <row r="193" spans="1:14" x14ac:dyDescent="0.45">
      <c r="A193" s="30">
        <v>2023</v>
      </c>
      <c r="B193" s="30" t="s">
        <v>9</v>
      </c>
      <c r="C193" s="30" t="s">
        <v>46</v>
      </c>
      <c r="D193" s="30" t="s">
        <v>47</v>
      </c>
      <c r="E193" s="31" t="s">
        <v>260</v>
      </c>
      <c r="F193" s="32" t="s">
        <v>49</v>
      </c>
      <c r="G193" s="32" t="s">
        <v>50</v>
      </c>
      <c r="H193" s="33">
        <v>19020</v>
      </c>
      <c r="I193" s="34">
        <f>Table3[[#This Row],[Volume, kg.]]/1000</f>
        <v>19.02</v>
      </c>
      <c r="J193" s="34">
        <v>0.2697</v>
      </c>
      <c r="K193" s="34">
        <f t="shared" si="4"/>
        <v>5129.6939999999995</v>
      </c>
      <c r="L193" s="34">
        <v>3.2</v>
      </c>
      <c r="M193" s="34">
        <v>60821</v>
      </c>
      <c r="N193" s="34">
        <f t="shared" si="5"/>
        <v>11.865035224323323</v>
      </c>
    </row>
    <row r="194" spans="1:14" x14ac:dyDescent="0.45">
      <c r="A194" s="30">
        <v>2023</v>
      </c>
      <c r="B194" s="30" t="s">
        <v>9</v>
      </c>
      <c r="C194" s="30" t="s">
        <v>46</v>
      </c>
      <c r="D194" s="30" t="s">
        <v>47</v>
      </c>
      <c r="E194" s="31" t="s">
        <v>48</v>
      </c>
      <c r="F194" s="32" t="s">
        <v>49</v>
      </c>
      <c r="G194" s="32" t="s">
        <v>50</v>
      </c>
      <c r="H194" s="33">
        <v>48890</v>
      </c>
      <c r="I194" s="34">
        <f>Table3[[#This Row],[Volume, kg.]]/1000</f>
        <v>48.89</v>
      </c>
      <c r="J194" s="34">
        <v>0.29799999999999999</v>
      </c>
      <c r="K194" s="34">
        <f t="shared" si="4"/>
        <v>14569.22</v>
      </c>
      <c r="L194" s="34">
        <v>3.31</v>
      </c>
      <c r="M194" s="34">
        <v>161727</v>
      </c>
      <c r="N194" s="34">
        <f t="shared" si="5"/>
        <v>11.10738255033557</v>
      </c>
    </row>
    <row r="195" spans="1:14" x14ac:dyDescent="0.45">
      <c r="A195" s="30">
        <v>2023</v>
      </c>
      <c r="B195" s="30" t="s">
        <v>9</v>
      </c>
      <c r="C195" s="30" t="s">
        <v>46</v>
      </c>
      <c r="D195" s="30" t="s">
        <v>47</v>
      </c>
      <c r="E195" s="31" t="s">
        <v>51</v>
      </c>
      <c r="F195" s="32" t="s">
        <v>49</v>
      </c>
      <c r="G195" s="32" t="s">
        <v>50</v>
      </c>
      <c r="H195" s="33">
        <v>44070</v>
      </c>
      <c r="I195" s="34">
        <f>Table3[[#This Row],[Volume, kg.]]/1000</f>
        <v>44.07</v>
      </c>
      <c r="J195" s="34">
        <v>0.2944</v>
      </c>
      <c r="K195" s="34">
        <f t="shared" ref="K195:K258" si="6">H195*J195</f>
        <v>12974.208000000001</v>
      </c>
      <c r="L195" s="34">
        <v>3.32</v>
      </c>
      <c r="M195" s="34">
        <v>146191.5</v>
      </c>
      <c r="N195" s="34">
        <f t="shared" si="5"/>
        <v>11.277173913043478</v>
      </c>
    </row>
    <row r="196" spans="1:14" x14ac:dyDescent="0.45">
      <c r="A196" s="30">
        <v>2023</v>
      </c>
      <c r="B196" s="30" t="s">
        <v>9</v>
      </c>
      <c r="C196" s="30" t="s">
        <v>46</v>
      </c>
      <c r="D196" s="30" t="s">
        <v>47</v>
      </c>
      <c r="E196" s="31" t="s">
        <v>52</v>
      </c>
      <c r="F196" s="32" t="s">
        <v>49</v>
      </c>
      <c r="G196" s="32" t="s">
        <v>50</v>
      </c>
      <c r="H196" s="33">
        <v>17280</v>
      </c>
      <c r="I196" s="34">
        <f>Table3[[#This Row],[Volume, kg.]]/1000</f>
        <v>17.28</v>
      </c>
      <c r="J196" s="34">
        <v>0.29549999999999998</v>
      </c>
      <c r="K196" s="34">
        <f t="shared" si="6"/>
        <v>5106.24</v>
      </c>
      <c r="L196" s="34">
        <v>3.27</v>
      </c>
      <c r="M196" s="34">
        <v>56506.5</v>
      </c>
      <c r="N196" s="34">
        <f t="shared" ref="N196:N259" si="7">L196/J196</f>
        <v>11.065989847715736</v>
      </c>
    </row>
    <row r="197" spans="1:14" x14ac:dyDescent="0.45">
      <c r="A197" s="30">
        <v>2023</v>
      </c>
      <c r="B197" s="30" t="s">
        <v>9</v>
      </c>
      <c r="C197" s="30" t="s">
        <v>46</v>
      </c>
      <c r="D197" s="30" t="s">
        <v>47</v>
      </c>
      <c r="E197" s="31" t="s">
        <v>53</v>
      </c>
      <c r="F197" s="32" t="s">
        <v>54</v>
      </c>
      <c r="G197" s="32" t="s">
        <v>50</v>
      </c>
      <c r="H197" s="33">
        <v>199010</v>
      </c>
      <c r="I197" s="34">
        <f>Table3[[#This Row],[Volume, kg.]]/1000</f>
        <v>199.01</v>
      </c>
      <c r="J197" s="34">
        <v>0.2898</v>
      </c>
      <c r="K197" s="34">
        <f t="shared" si="6"/>
        <v>57673.097999999998</v>
      </c>
      <c r="L197" s="34">
        <v>3.28</v>
      </c>
      <c r="M197" s="34">
        <v>652423.5</v>
      </c>
      <c r="N197" s="34">
        <f t="shared" si="7"/>
        <v>11.31815044858523</v>
      </c>
    </row>
    <row r="198" spans="1:14" x14ac:dyDescent="0.45">
      <c r="A198" s="30">
        <v>2023</v>
      </c>
      <c r="B198" s="30" t="s">
        <v>9</v>
      </c>
      <c r="C198" s="30" t="s">
        <v>46</v>
      </c>
      <c r="D198" s="30" t="s">
        <v>47</v>
      </c>
      <c r="E198" s="31" t="s">
        <v>56</v>
      </c>
      <c r="F198" s="32" t="s">
        <v>57</v>
      </c>
      <c r="G198" s="32" t="s">
        <v>50</v>
      </c>
      <c r="H198" s="33">
        <v>27330</v>
      </c>
      <c r="I198" s="34">
        <f>Table3[[#This Row],[Volume, kg.]]/1000</f>
        <v>27.33</v>
      </c>
      <c r="J198" s="34">
        <v>0.30020000000000002</v>
      </c>
      <c r="K198" s="34">
        <f t="shared" si="6"/>
        <v>8204.4660000000003</v>
      </c>
      <c r="L198" s="34">
        <v>3.36</v>
      </c>
      <c r="M198" s="34">
        <v>91694</v>
      </c>
      <c r="N198" s="34">
        <f t="shared" si="7"/>
        <v>11.192538307794802</v>
      </c>
    </row>
    <row r="199" spans="1:14" x14ac:dyDescent="0.45">
      <c r="A199" s="30">
        <v>2023</v>
      </c>
      <c r="B199" s="30" t="s">
        <v>9</v>
      </c>
      <c r="C199" s="30" t="s">
        <v>46</v>
      </c>
      <c r="D199" s="30" t="s">
        <v>47</v>
      </c>
      <c r="E199" s="31" t="s">
        <v>59</v>
      </c>
      <c r="F199" s="32" t="s">
        <v>60</v>
      </c>
      <c r="G199" s="32" t="s">
        <v>50</v>
      </c>
      <c r="H199" s="33">
        <v>48460</v>
      </c>
      <c r="I199" s="34">
        <f>Table3[[#This Row],[Volume, kg.]]/1000</f>
        <v>48.46</v>
      </c>
      <c r="J199" s="34">
        <v>0.3004</v>
      </c>
      <c r="K199" s="34">
        <f t="shared" si="6"/>
        <v>14557.384</v>
      </c>
      <c r="L199" s="34">
        <v>3.31</v>
      </c>
      <c r="M199" s="34">
        <v>160395</v>
      </c>
      <c r="N199" s="34">
        <f t="shared" si="7"/>
        <v>11.018641810918774</v>
      </c>
    </row>
    <row r="200" spans="1:14" x14ac:dyDescent="0.45">
      <c r="A200" s="30">
        <v>2023</v>
      </c>
      <c r="B200" s="30" t="s">
        <v>9</v>
      </c>
      <c r="C200" s="30" t="s">
        <v>46</v>
      </c>
      <c r="D200" s="30" t="s">
        <v>47</v>
      </c>
      <c r="E200" s="31" t="s">
        <v>261</v>
      </c>
      <c r="F200" s="32" t="s">
        <v>81</v>
      </c>
      <c r="G200" s="32" t="s">
        <v>50</v>
      </c>
      <c r="H200" s="33">
        <v>101710</v>
      </c>
      <c r="I200" s="34">
        <f>Table3[[#This Row],[Volume, kg.]]/1000</f>
        <v>101.71</v>
      </c>
      <c r="J200" s="34">
        <v>0.248</v>
      </c>
      <c r="K200" s="34">
        <f t="shared" si="6"/>
        <v>25224.079999999998</v>
      </c>
      <c r="L200" s="34">
        <v>3.07</v>
      </c>
      <c r="M200" s="34">
        <v>312535</v>
      </c>
      <c r="N200" s="34">
        <f t="shared" si="7"/>
        <v>12.379032258064516</v>
      </c>
    </row>
    <row r="201" spans="1:14" x14ac:dyDescent="0.45">
      <c r="A201" s="30">
        <v>2023</v>
      </c>
      <c r="B201" s="30" t="s">
        <v>9</v>
      </c>
      <c r="C201" s="30" t="s">
        <v>46</v>
      </c>
      <c r="D201" s="30" t="s">
        <v>47</v>
      </c>
      <c r="E201" s="31" t="s">
        <v>65</v>
      </c>
      <c r="F201" s="32" t="s">
        <v>49</v>
      </c>
      <c r="G201" s="32" t="s">
        <v>50</v>
      </c>
      <c r="H201" s="33">
        <v>12960</v>
      </c>
      <c r="I201" s="34">
        <f>Table3[[#This Row],[Volume, kg.]]/1000</f>
        <v>12.96</v>
      </c>
      <c r="J201" s="34">
        <v>0.28660000000000002</v>
      </c>
      <c r="K201" s="34">
        <f t="shared" si="6"/>
        <v>3714.3360000000002</v>
      </c>
      <c r="L201" s="34">
        <v>3.3</v>
      </c>
      <c r="M201" s="34">
        <v>42768</v>
      </c>
      <c r="N201" s="34">
        <f t="shared" si="7"/>
        <v>11.514305652477319</v>
      </c>
    </row>
    <row r="202" spans="1:14" x14ac:dyDescent="0.45">
      <c r="A202" s="30">
        <v>2023</v>
      </c>
      <c r="B202" s="30" t="s">
        <v>9</v>
      </c>
      <c r="C202" s="30" t="s">
        <v>46</v>
      </c>
      <c r="D202" s="30" t="s">
        <v>47</v>
      </c>
      <c r="E202" s="31" t="s">
        <v>262</v>
      </c>
      <c r="F202" s="32" t="s">
        <v>81</v>
      </c>
      <c r="G202" s="32" t="s">
        <v>50</v>
      </c>
      <c r="H202" s="33">
        <v>84310</v>
      </c>
      <c r="I202" s="34">
        <f>Table3[[#This Row],[Volume, kg.]]/1000</f>
        <v>84.31</v>
      </c>
      <c r="J202" s="34">
        <v>0.27339999999999998</v>
      </c>
      <c r="K202" s="34">
        <f t="shared" si="6"/>
        <v>23050.353999999999</v>
      </c>
      <c r="L202" s="34">
        <v>3.19</v>
      </c>
      <c r="M202" s="34">
        <v>269020.5</v>
      </c>
      <c r="N202" s="34">
        <f t="shared" si="7"/>
        <v>11.667885881492319</v>
      </c>
    </row>
    <row r="203" spans="1:14" x14ac:dyDescent="0.45">
      <c r="A203" s="30">
        <v>2023</v>
      </c>
      <c r="B203" s="30" t="s">
        <v>9</v>
      </c>
      <c r="C203" s="30" t="s">
        <v>46</v>
      </c>
      <c r="D203" s="30" t="s">
        <v>47</v>
      </c>
      <c r="E203" s="31" t="s">
        <v>263</v>
      </c>
      <c r="F203" s="32" t="s">
        <v>81</v>
      </c>
      <c r="G203" s="32" t="s">
        <v>50</v>
      </c>
      <c r="H203" s="33">
        <v>14470</v>
      </c>
      <c r="I203" s="34">
        <f>Table3[[#This Row],[Volume, kg.]]/1000</f>
        <v>14.47</v>
      </c>
      <c r="J203" s="34">
        <v>0.28449999999999998</v>
      </c>
      <c r="K203" s="34">
        <f t="shared" si="6"/>
        <v>4116.7149999999992</v>
      </c>
      <c r="L203" s="34">
        <v>3.2</v>
      </c>
      <c r="M203" s="34">
        <v>46304</v>
      </c>
      <c r="N203" s="34">
        <f t="shared" si="7"/>
        <v>11.247803163444642</v>
      </c>
    </row>
    <row r="204" spans="1:14" x14ac:dyDescent="0.45">
      <c r="A204" s="30">
        <v>2023</v>
      </c>
      <c r="B204" s="30" t="s">
        <v>9</v>
      </c>
      <c r="C204" s="30" t="s">
        <v>46</v>
      </c>
      <c r="D204" s="30" t="s">
        <v>47</v>
      </c>
      <c r="E204" s="31" t="s">
        <v>264</v>
      </c>
      <c r="F204" s="32" t="s">
        <v>49</v>
      </c>
      <c r="G204" s="32" t="s">
        <v>50</v>
      </c>
      <c r="H204" s="33">
        <v>5150</v>
      </c>
      <c r="I204" s="34">
        <f>Table3[[#This Row],[Volume, kg.]]/1000</f>
        <v>5.15</v>
      </c>
      <c r="J204" s="34">
        <v>0.28399999999999997</v>
      </c>
      <c r="K204" s="34">
        <f t="shared" si="6"/>
        <v>1462.6</v>
      </c>
      <c r="L204" s="34">
        <v>3.25</v>
      </c>
      <c r="M204" s="34">
        <v>16737.5</v>
      </c>
      <c r="N204" s="34">
        <f t="shared" si="7"/>
        <v>11.443661971830988</v>
      </c>
    </row>
    <row r="205" spans="1:14" x14ac:dyDescent="0.45">
      <c r="A205" s="30">
        <v>2023</v>
      </c>
      <c r="B205" s="30" t="s">
        <v>9</v>
      </c>
      <c r="C205" s="30" t="s">
        <v>46</v>
      </c>
      <c r="D205" s="30" t="s">
        <v>47</v>
      </c>
      <c r="E205" s="31" t="s">
        <v>69</v>
      </c>
      <c r="F205" s="32" t="s">
        <v>49</v>
      </c>
      <c r="G205" s="32" t="s">
        <v>50</v>
      </c>
      <c r="H205" s="33">
        <v>121520</v>
      </c>
      <c r="I205" s="34">
        <f>Table3[[#This Row],[Volume, kg.]]/1000</f>
        <v>121.52</v>
      </c>
      <c r="J205" s="34">
        <v>0.28420000000000001</v>
      </c>
      <c r="K205" s="34">
        <f t="shared" si="6"/>
        <v>34535.984000000004</v>
      </c>
      <c r="L205" s="34">
        <v>3.25</v>
      </c>
      <c r="M205" s="34">
        <v>394888.5</v>
      </c>
      <c r="N205" s="34">
        <f t="shared" si="7"/>
        <v>11.43560872624912</v>
      </c>
    </row>
    <row r="206" spans="1:14" x14ac:dyDescent="0.45">
      <c r="A206" s="30">
        <v>2023</v>
      </c>
      <c r="B206" s="30" t="s">
        <v>9</v>
      </c>
      <c r="C206" s="30" t="s">
        <v>46</v>
      </c>
      <c r="D206" s="30" t="s">
        <v>47</v>
      </c>
      <c r="E206" s="31" t="s">
        <v>70</v>
      </c>
      <c r="F206" s="32" t="s">
        <v>49</v>
      </c>
      <c r="G206" s="32" t="s">
        <v>50</v>
      </c>
      <c r="H206" s="33">
        <v>319910</v>
      </c>
      <c r="I206" s="34">
        <f>Table3[[#This Row],[Volume, kg.]]/1000</f>
        <v>319.91000000000003</v>
      </c>
      <c r="J206" s="34">
        <v>0.28550000000000003</v>
      </c>
      <c r="K206" s="34">
        <f t="shared" si="6"/>
        <v>91334.305000000008</v>
      </c>
      <c r="L206" s="34">
        <v>3.26</v>
      </c>
      <c r="M206" s="34">
        <v>1041864.5</v>
      </c>
      <c r="N206" s="34">
        <f t="shared" si="7"/>
        <v>11.418563922942205</v>
      </c>
    </row>
    <row r="207" spans="1:14" x14ac:dyDescent="0.45">
      <c r="A207" s="30">
        <v>2023</v>
      </c>
      <c r="B207" s="30" t="s">
        <v>9</v>
      </c>
      <c r="C207" s="30" t="s">
        <v>46</v>
      </c>
      <c r="D207" s="30" t="s">
        <v>47</v>
      </c>
      <c r="E207" s="31" t="s">
        <v>71</v>
      </c>
      <c r="F207" s="32" t="s">
        <v>49</v>
      </c>
      <c r="G207" s="32" t="s">
        <v>50</v>
      </c>
      <c r="H207" s="33">
        <v>14120</v>
      </c>
      <c r="I207" s="34">
        <f>Table3[[#This Row],[Volume, kg.]]/1000</f>
        <v>14.12</v>
      </c>
      <c r="J207" s="34">
        <v>0.29749999999999999</v>
      </c>
      <c r="K207" s="34">
        <f t="shared" si="6"/>
        <v>4200.7</v>
      </c>
      <c r="L207" s="34">
        <v>3.35</v>
      </c>
      <c r="M207" s="34">
        <v>47302</v>
      </c>
      <c r="N207" s="34">
        <f t="shared" si="7"/>
        <v>11.260504201680673</v>
      </c>
    </row>
    <row r="208" spans="1:14" x14ac:dyDescent="0.45">
      <c r="A208" s="30">
        <v>2023</v>
      </c>
      <c r="B208" s="30" t="s">
        <v>9</v>
      </c>
      <c r="C208" s="30" t="s">
        <v>46</v>
      </c>
      <c r="D208" s="30" t="s">
        <v>47</v>
      </c>
      <c r="E208" s="31" t="s">
        <v>72</v>
      </c>
      <c r="F208" s="32" t="s">
        <v>49</v>
      </c>
      <c r="G208" s="32" t="s">
        <v>50</v>
      </c>
      <c r="H208" s="33">
        <v>21660</v>
      </c>
      <c r="I208" s="34">
        <f>Table3[[#This Row],[Volume, kg.]]/1000</f>
        <v>21.66</v>
      </c>
      <c r="J208" s="34">
        <v>0.25840000000000002</v>
      </c>
      <c r="K208" s="34">
        <f t="shared" si="6"/>
        <v>5596.9440000000004</v>
      </c>
      <c r="L208" s="34">
        <v>3.11</v>
      </c>
      <c r="M208" s="34">
        <v>67335.5</v>
      </c>
      <c r="N208" s="34">
        <f t="shared" si="7"/>
        <v>12.035603715170277</v>
      </c>
    </row>
    <row r="209" spans="1:14" x14ac:dyDescent="0.45">
      <c r="A209" s="30">
        <v>2023</v>
      </c>
      <c r="B209" s="30" t="s">
        <v>9</v>
      </c>
      <c r="C209" s="30" t="s">
        <v>46</v>
      </c>
      <c r="D209" s="30" t="s">
        <v>47</v>
      </c>
      <c r="E209" s="31" t="s">
        <v>73</v>
      </c>
      <c r="F209" s="32" t="s">
        <v>49</v>
      </c>
      <c r="G209" s="32" t="s">
        <v>50</v>
      </c>
      <c r="H209" s="33">
        <v>33130</v>
      </c>
      <c r="I209" s="34">
        <f>Table3[[#This Row],[Volume, kg.]]/1000</f>
        <v>33.130000000000003</v>
      </c>
      <c r="J209" s="34">
        <v>0.27610000000000001</v>
      </c>
      <c r="K209" s="34">
        <f t="shared" si="6"/>
        <v>9147.1930000000011</v>
      </c>
      <c r="L209" s="34">
        <v>3.2</v>
      </c>
      <c r="M209" s="34">
        <v>106097.5</v>
      </c>
      <c r="N209" s="34">
        <f t="shared" si="7"/>
        <v>11.590003621876132</v>
      </c>
    </row>
    <row r="210" spans="1:14" x14ac:dyDescent="0.45">
      <c r="A210" s="30">
        <v>2023</v>
      </c>
      <c r="B210" s="30" t="s">
        <v>9</v>
      </c>
      <c r="C210" s="30" t="s">
        <v>46</v>
      </c>
      <c r="D210" s="30" t="s">
        <v>47</v>
      </c>
      <c r="E210" s="31" t="s">
        <v>74</v>
      </c>
      <c r="F210" s="32" t="s">
        <v>49</v>
      </c>
      <c r="G210" s="32" t="s">
        <v>50</v>
      </c>
      <c r="H210" s="33">
        <v>40320</v>
      </c>
      <c r="I210" s="34">
        <f>Table3[[#This Row],[Volume, kg.]]/1000</f>
        <v>40.32</v>
      </c>
      <c r="J210" s="34">
        <v>0.29149999999999998</v>
      </c>
      <c r="K210" s="34">
        <f t="shared" si="6"/>
        <v>11753.279999999999</v>
      </c>
      <c r="L210" s="34">
        <v>3.29</v>
      </c>
      <c r="M210" s="34">
        <v>132785</v>
      </c>
      <c r="N210" s="34">
        <f t="shared" si="7"/>
        <v>11.286449399656947</v>
      </c>
    </row>
    <row r="211" spans="1:14" x14ac:dyDescent="0.45">
      <c r="A211" s="30">
        <v>2023</v>
      </c>
      <c r="B211" s="30" t="s">
        <v>9</v>
      </c>
      <c r="C211" s="30" t="s">
        <v>46</v>
      </c>
      <c r="D211" s="30" t="s">
        <v>47</v>
      </c>
      <c r="E211" s="31" t="s">
        <v>75</v>
      </c>
      <c r="F211" s="32" t="s">
        <v>49</v>
      </c>
      <c r="G211" s="32" t="s">
        <v>50</v>
      </c>
      <c r="H211" s="33">
        <v>56580</v>
      </c>
      <c r="I211" s="34">
        <f>Table3[[#This Row],[Volume, kg.]]/1000</f>
        <v>56.58</v>
      </c>
      <c r="J211" s="34">
        <v>0.2707</v>
      </c>
      <c r="K211" s="34">
        <f t="shared" si="6"/>
        <v>15316.206</v>
      </c>
      <c r="L211" s="34">
        <v>3.18</v>
      </c>
      <c r="M211" s="34">
        <v>179908</v>
      </c>
      <c r="N211" s="34">
        <f t="shared" si="7"/>
        <v>11.747321758404139</v>
      </c>
    </row>
    <row r="212" spans="1:14" x14ac:dyDescent="0.45">
      <c r="A212" s="30">
        <v>2023</v>
      </c>
      <c r="B212" s="30" t="s">
        <v>9</v>
      </c>
      <c r="C212" s="30" t="s">
        <v>46</v>
      </c>
      <c r="D212" s="30" t="s">
        <v>47</v>
      </c>
      <c r="E212" s="31" t="s">
        <v>76</v>
      </c>
      <c r="F212" s="32" t="s">
        <v>60</v>
      </c>
      <c r="G212" s="32" t="s">
        <v>50</v>
      </c>
      <c r="H212" s="33">
        <v>15230</v>
      </c>
      <c r="I212" s="34">
        <f>Table3[[#This Row],[Volume, kg.]]/1000</f>
        <v>15.23</v>
      </c>
      <c r="J212" s="34">
        <v>0.32439999999999997</v>
      </c>
      <c r="K212" s="34">
        <f t="shared" si="6"/>
        <v>4940.6119999999992</v>
      </c>
      <c r="L212" s="34">
        <v>3.43</v>
      </c>
      <c r="M212" s="34">
        <v>52174</v>
      </c>
      <c r="N212" s="34">
        <f t="shared" si="7"/>
        <v>10.573366214549941</v>
      </c>
    </row>
    <row r="213" spans="1:14" x14ac:dyDescent="0.45">
      <c r="A213" s="30">
        <v>2023</v>
      </c>
      <c r="B213" s="30" t="s">
        <v>9</v>
      </c>
      <c r="C213" s="30" t="s">
        <v>46</v>
      </c>
      <c r="D213" s="30" t="s">
        <v>47</v>
      </c>
      <c r="E213" s="31" t="s">
        <v>265</v>
      </c>
      <c r="F213" s="32" t="s">
        <v>49</v>
      </c>
      <c r="G213" s="32" t="s">
        <v>50</v>
      </c>
      <c r="H213" s="33">
        <v>98220</v>
      </c>
      <c r="I213" s="34">
        <f>Table3[[#This Row],[Volume, kg.]]/1000</f>
        <v>98.22</v>
      </c>
      <c r="J213" s="34">
        <v>0.2979</v>
      </c>
      <c r="K213" s="34">
        <f t="shared" si="6"/>
        <v>29259.738000000001</v>
      </c>
      <c r="L213" s="34">
        <v>3.31</v>
      </c>
      <c r="M213" s="34">
        <v>325007</v>
      </c>
      <c r="N213" s="34">
        <f t="shared" si="7"/>
        <v>11.111111111111111</v>
      </c>
    </row>
    <row r="214" spans="1:14" x14ac:dyDescent="0.45">
      <c r="A214" s="30">
        <v>2023</v>
      </c>
      <c r="B214" s="30" t="s">
        <v>9</v>
      </c>
      <c r="C214" s="30" t="s">
        <v>46</v>
      </c>
      <c r="D214" s="30" t="s">
        <v>47</v>
      </c>
      <c r="E214" s="31" t="s">
        <v>266</v>
      </c>
      <c r="F214" s="32" t="s">
        <v>49</v>
      </c>
      <c r="G214" s="32" t="s">
        <v>50</v>
      </c>
      <c r="H214" s="33">
        <v>27850</v>
      </c>
      <c r="I214" s="34">
        <f>Table3[[#This Row],[Volume, kg.]]/1000</f>
        <v>27.85</v>
      </c>
      <c r="J214" s="34">
        <v>0.30420000000000003</v>
      </c>
      <c r="K214" s="34">
        <f t="shared" si="6"/>
        <v>8471.9700000000012</v>
      </c>
      <c r="L214" s="34">
        <v>3.36</v>
      </c>
      <c r="M214" s="34">
        <v>93576</v>
      </c>
      <c r="N214" s="34">
        <f t="shared" si="7"/>
        <v>11.045364891518735</v>
      </c>
    </row>
    <row r="215" spans="1:14" x14ac:dyDescent="0.45">
      <c r="A215" s="30">
        <v>2023</v>
      </c>
      <c r="B215" s="30" t="s">
        <v>9</v>
      </c>
      <c r="C215" s="30" t="s">
        <v>46</v>
      </c>
      <c r="D215" s="30" t="s">
        <v>47</v>
      </c>
      <c r="E215" s="31" t="s">
        <v>77</v>
      </c>
      <c r="F215" s="32" t="s">
        <v>49</v>
      </c>
      <c r="G215" s="32" t="s">
        <v>50</v>
      </c>
      <c r="H215" s="33">
        <v>71220</v>
      </c>
      <c r="I215" s="34">
        <f>Table3[[#This Row],[Volume, kg.]]/1000</f>
        <v>71.22</v>
      </c>
      <c r="J215" s="34">
        <v>0.2727</v>
      </c>
      <c r="K215" s="34">
        <f t="shared" si="6"/>
        <v>19421.694</v>
      </c>
      <c r="L215" s="34">
        <v>3.2</v>
      </c>
      <c r="M215" s="34">
        <v>228088</v>
      </c>
      <c r="N215" s="34">
        <f t="shared" si="7"/>
        <v>11.734506784011735</v>
      </c>
    </row>
    <row r="216" spans="1:14" x14ac:dyDescent="0.45">
      <c r="A216" s="30">
        <v>2023</v>
      </c>
      <c r="B216" s="30" t="s">
        <v>9</v>
      </c>
      <c r="C216" s="30" t="s">
        <v>46</v>
      </c>
      <c r="D216" s="30" t="s">
        <v>47</v>
      </c>
      <c r="E216" s="31" t="s">
        <v>80</v>
      </c>
      <c r="F216" s="32" t="s">
        <v>81</v>
      </c>
      <c r="G216" s="32" t="s">
        <v>50</v>
      </c>
      <c r="H216" s="33">
        <v>88690</v>
      </c>
      <c r="I216" s="34">
        <f>Table3[[#This Row],[Volume, kg.]]/1000</f>
        <v>88.69</v>
      </c>
      <c r="J216" s="34">
        <v>0.3085</v>
      </c>
      <c r="K216" s="34">
        <f t="shared" si="6"/>
        <v>27360.864999999998</v>
      </c>
      <c r="L216" s="34">
        <v>3.37</v>
      </c>
      <c r="M216" s="34">
        <v>299050</v>
      </c>
      <c r="N216" s="34">
        <f t="shared" si="7"/>
        <v>10.923824959481362</v>
      </c>
    </row>
    <row r="217" spans="1:14" x14ac:dyDescent="0.45">
      <c r="A217" s="30">
        <v>2023</v>
      </c>
      <c r="B217" s="30" t="s">
        <v>9</v>
      </c>
      <c r="C217" s="30" t="s">
        <v>46</v>
      </c>
      <c r="D217" s="30" t="s">
        <v>47</v>
      </c>
      <c r="E217" s="31" t="s">
        <v>267</v>
      </c>
      <c r="F217" s="32" t="s">
        <v>57</v>
      </c>
      <c r="G217" s="32" t="s">
        <v>50</v>
      </c>
      <c r="H217" s="33">
        <v>7260</v>
      </c>
      <c r="I217" s="34">
        <f>Table3[[#This Row],[Volume, kg.]]/1000</f>
        <v>7.26</v>
      </c>
      <c r="J217" s="34">
        <v>0.28589999999999999</v>
      </c>
      <c r="K217" s="34">
        <f t="shared" si="6"/>
        <v>2075.634</v>
      </c>
      <c r="L217" s="34">
        <v>3.27</v>
      </c>
      <c r="M217" s="34">
        <v>23728</v>
      </c>
      <c r="N217" s="34">
        <f t="shared" si="7"/>
        <v>11.437565582371459</v>
      </c>
    </row>
    <row r="218" spans="1:14" x14ac:dyDescent="0.45">
      <c r="A218" s="30">
        <v>2023</v>
      </c>
      <c r="B218" s="30" t="s">
        <v>9</v>
      </c>
      <c r="C218" s="30" t="s">
        <v>46</v>
      </c>
      <c r="D218" s="30" t="s">
        <v>47</v>
      </c>
      <c r="E218" s="31" t="s">
        <v>268</v>
      </c>
      <c r="F218" s="32" t="s">
        <v>57</v>
      </c>
      <c r="G218" s="32" t="s">
        <v>50</v>
      </c>
      <c r="H218" s="33">
        <v>18270</v>
      </c>
      <c r="I218" s="34">
        <f>Table3[[#This Row],[Volume, kg.]]/1000</f>
        <v>18.27</v>
      </c>
      <c r="J218" s="34">
        <v>0.28949999999999998</v>
      </c>
      <c r="K218" s="34">
        <f t="shared" si="6"/>
        <v>5289.165</v>
      </c>
      <c r="L218" s="34">
        <v>3.3</v>
      </c>
      <c r="M218" s="34">
        <v>60291</v>
      </c>
      <c r="N218" s="34">
        <f t="shared" si="7"/>
        <v>11.398963730569948</v>
      </c>
    </row>
    <row r="219" spans="1:14" x14ac:dyDescent="0.45">
      <c r="A219" s="30">
        <v>2023</v>
      </c>
      <c r="B219" s="30" t="s">
        <v>9</v>
      </c>
      <c r="C219" s="30" t="s">
        <v>46</v>
      </c>
      <c r="D219" s="30" t="s">
        <v>47</v>
      </c>
      <c r="E219" s="31" t="s">
        <v>269</v>
      </c>
      <c r="F219" s="32" t="s">
        <v>60</v>
      </c>
      <c r="G219" s="32" t="s">
        <v>50</v>
      </c>
      <c r="H219" s="33">
        <v>14300</v>
      </c>
      <c r="I219" s="34">
        <f>Table3[[#This Row],[Volume, kg.]]/1000</f>
        <v>14.3</v>
      </c>
      <c r="J219" s="34">
        <v>0.311</v>
      </c>
      <c r="K219" s="34">
        <f t="shared" si="6"/>
        <v>4447.3</v>
      </c>
      <c r="L219" s="34">
        <v>3.4</v>
      </c>
      <c r="M219" s="34">
        <v>48620</v>
      </c>
      <c r="N219" s="34">
        <f t="shared" si="7"/>
        <v>10.932475884244372</v>
      </c>
    </row>
    <row r="220" spans="1:14" x14ac:dyDescent="0.45">
      <c r="A220" s="30">
        <v>2023</v>
      </c>
      <c r="B220" s="30" t="s">
        <v>9</v>
      </c>
      <c r="C220" s="30" t="s">
        <v>46</v>
      </c>
      <c r="D220" s="30" t="s">
        <v>47</v>
      </c>
      <c r="E220" s="31" t="s">
        <v>84</v>
      </c>
      <c r="F220" s="32" t="s">
        <v>57</v>
      </c>
      <c r="G220" s="32" t="s">
        <v>50</v>
      </c>
      <c r="H220" s="33">
        <v>15370</v>
      </c>
      <c r="I220" s="34">
        <f>Table3[[#This Row],[Volume, kg.]]/1000</f>
        <v>15.37</v>
      </c>
      <c r="J220" s="34">
        <v>0.29420000000000002</v>
      </c>
      <c r="K220" s="34">
        <f t="shared" si="6"/>
        <v>4521.8540000000003</v>
      </c>
      <c r="L220" s="34">
        <v>3.28</v>
      </c>
      <c r="M220" s="34">
        <v>50444.5</v>
      </c>
      <c r="N220" s="34">
        <f t="shared" si="7"/>
        <v>11.148878314072059</v>
      </c>
    </row>
    <row r="221" spans="1:14" x14ac:dyDescent="0.45">
      <c r="A221" s="30">
        <v>2023</v>
      </c>
      <c r="B221" s="30" t="s">
        <v>9</v>
      </c>
      <c r="C221" s="30" t="s">
        <v>46</v>
      </c>
      <c r="D221" s="30" t="s">
        <v>47</v>
      </c>
      <c r="E221" s="31" t="s">
        <v>85</v>
      </c>
      <c r="F221" s="32" t="s">
        <v>49</v>
      </c>
      <c r="G221" s="32" t="s">
        <v>50</v>
      </c>
      <c r="H221" s="33">
        <v>46600</v>
      </c>
      <c r="I221" s="34">
        <f>Table3[[#This Row],[Volume, kg.]]/1000</f>
        <v>46.6</v>
      </c>
      <c r="J221" s="34">
        <v>0.30020000000000002</v>
      </c>
      <c r="K221" s="34">
        <f t="shared" si="6"/>
        <v>13989.320000000002</v>
      </c>
      <c r="L221" s="34">
        <v>3.35</v>
      </c>
      <c r="M221" s="34">
        <v>155879</v>
      </c>
      <c r="N221" s="34">
        <f t="shared" si="7"/>
        <v>11.159227181878746</v>
      </c>
    </row>
    <row r="222" spans="1:14" x14ac:dyDescent="0.45">
      <c r="A222" s="30">
        <v>2023</v>
      </c>
      <c r="B222" s="30" t="s">
        <v>9</v>
      </c>
      <c r="C222" s="30" t="s">
        <v>46</v>
      </c>
      <c r="D222" s="30" t="s">
        <v>47</v>
      </c>
      <c r="E222" s="31" t="s">
        <v>86</v>
      </c>
      <c r="F222" s="32" t="s">
        <v>49</v>
      </c>
      <c r="G222" s="32" t="s">
        <v>50</v>
      </c>
      <c r="H222" s="33">
        <v>176540</v>
      </c>
      <c r="I222" s="34">
        <f>Table3[[#This Row],[Volume, kg.]]/1000</f>
        <v>176.54</v>
      </c>
      <c r="J222" s="34">
        <v>0.2772</v>
      </c>
      <c r="K222" s="34">
        <f t="shared" si="6"/>
        <v>48936.887999999999</v>
      </c>
      <c r="L222" s="34">
        <v>3.21</v>
      </c>
      <c r="M222" s="34">
        <v>567178</v>
      </c>
      <c r="N222" s="34">
        <f t="shared" si="7"/>
        <v>11.580086580086579</v>
      </c>
    </row>
    <row r="223" spans="1:14" x14ac:dyDescent="0.45">
      <c r="A223" s="30">
        <v>2023</v>
      </c>
      <c r="B223" s="30" t="s">
        <v>9</v>
      </c>
      <c r="C223" s="30" t="s">
        <v>46</v>
      </c>
      <c r="D223" s="30" t="s">
        <v>47</v>
      </c>
      <c r="E223" s="31" t="s">
        <v>270</v>
      </c>
      <c r="F223" s="32" t="s">
        <v>49</v>
      </c>
      <c r="G223" s="32" t="s">
        <v>50</v>
      </c>
      <c r="H223" s="33">
        <v>36010</v>
      </c>
      <c r="I223" s="34">
        <f>Table3[[#This Row],[Volume, kg.]]/1000</f>
        <v>36.01</v>
      </c>
      <c r="J223" s="34">
        <v>0.29880000000000001</v>
      </c>
      <c r="K223" s="34">
        <f t="shared" si="6"/>
        <v>10759.788</v>
      </c>
      <c r="L223" s="34">
        <v>3.32</v>
      </c>
      <c r="M223" s="34">
        <v>119594.5</v>
      </c>
      <c r="N223" s="34">
        <f t="shared" si="7"/>
        <v>11.111111111111111</v>
      </c>
    </row>
    <row r="224" spans="1:14" x14ac:dyDescent="0.45">
      <c r="A224" s="30">
        <v>2023</v>
      </c>
      <c r="B224" s="30" t="s">
        <v>9</v>
      </c>
      <c r="C224" s="30" t="s">
        <v>46</v>
      </c>
      <c r="D224" s="30" t="s">
        <v>47</v>
      </c>
      <c r="E224" s="31" t="s">
        <v>271</v>
      </c>
      <c r="F224" s="32" t="s">
        <v>49</v>
      </c>
      <c r="G224" s="32" t="s">
        <v>50</v>
      </c>
      <c r="H224" s="33">
        <v>10450</v>
      </c>
      <c r="I224" s="34">
        <f>Table3[[#This Row],[Volume, kg.]]/1000</f>
        <v>10.45</v>
      </c>
      <c r="J224" s="34">
        <v>0.2792</v>
      </c>
      <c r="K224" s="34">
        <f t="shared" si="6"/>
        <v>2917.64</v>
      </c>
      <c r="L224" s="34">
        <v>3.27</v>
      </c>
      <c r="M224" s="34">
        <v>34163</v>
      </c>
      <c r="N224" s="34">
        <f t="shared" si="7"/>
        <v>11.712034383954155</v>
      </c>
    </row>
    <row r="225" spans="1:14" x14ac:dyDescent="0.45">
      <c r="A225" s="30">
        <v>2023</v>
      </c>
      <c r="B225" s="30" t="s">
        <v>9</v>
      </c>
      <c r="C225" s="30" t="s">
        <v>46</v>
      </c>
      <c r="D225" s="30" t="s">
        <v>47</v>
      </c>
      <c r="E225" s="31" t="s">
        <v>89</v>
      </c>
      <c r="F225" s="32" t="s">
        <v>81</v>
      </c>
      <c r="G225" s="32" t="s">
        <v>50</v>
      </c>
      <c r="H225" s="33">
        <v>4070</v>
      </c>
      <c r="I225" s="34">
        <f>Table3[[#This Row],[Volume, kg.]]/1000</f>
        <v>4.07</v>
      </c>
      <c r="J225" s="34">
        <v>0.29849999999999999</v>
      </c>
      <c r="K225" s="34">
        <f t="shared" si="6"/>
        <v>1214.895</v>
      </c>
      <c r="L225" s="34">
        <v>3.4</v>
      </c>
      <c r="M225" s="34">
        <v>13838</v>
      </c>
      <c r="N225" s="34">
        <f t="shared" si="7"/>
        <v>11.390284757118929</v>
      </c>
    </row>
    <row r="226" spans="1:14" x14ac:dyDescent="0.45">
      <c r="A226" s="30">
        <v>2023</v>
      </c>
      <c r="B226" s="30" t="s">
        <v>9</v>
      </c>
      <c r="C226" s="30" t="s">
        <v>46</v>
      </c>
      <c r="D226" s="30" t="s">
        <v>47</v>
      </c>
      <c r="E226" s="31" t="s">
        <v>90</v>
      </c>
      <c r="F226" s="32" t="s">
        <v>49</v>
      </c>
      <c r="G226" s="32" t="s">
        <v>50</v>
      </c>
      <c r="H226" s="33">
        <v>47460</v>
      </c>
      <c r="I226" s="34">
        <f>Table3[[#This Row],[Volume, kg.]]/1000</f>
        <v>47.46</v>
      </c>
      <c r="J226" s="34">
        <v>0.29710000000000003</v>
      </c>
      <c r="K226" s="34">
        <f t="shared" si="6"/>
        <v>14100.366000000002</v>
      </c>
      <c r="L226" s="34">
        <v>3.32</v>
      </c>
      <c r="M226" s="34">
        <v>157636.5</v>
      </c>
      <c r="N226" s="34">
        <f t="shared" si="7"/>
        <v>11.174688657017837</v>
      </c>
    </row>
    <row r="227" spans="1:14" x14ac:dyDescent="0.45">
      <c r="A227" s="30">
        <v>2023</v>
      </c>
      <c r="B227" s="30" t="s">
        <v>9</v>
      </c>
      <c r="C227" s="30" t="s">
        <v>46</v>
      </c>
      <c r="D227" s="30" t="s">
        <v>47</v>
      </c>
      <c r="E227" s="31" t="s">
        <v>272</v>
      </c>
      <c r="F227" s="32" t="s">
        <v>60</v>
      </c>
      <c r="G227" s="32" t="s">
        <v>50</v>
      </c>
      <c r="H227" s="33">
        <v>29380</v>
      </c>
      <c r="I227" s="34">
        <f>Table3[[#This Row],[Volume, kg.]]/1000</f>
        <v>29.38</v>
      </c>
      <c r="J227" s="34">
        <v>0.29220000000000002</v>
      </c>
      <c r="K227" s="34">
        <f t="shared" si="6"/>
        <v>8584.8360000000011</v>
      </c>
      <c r="L227" s="34">
        <v>3.27</v>
      </c>
      <c r="M227" s="34">
        <v>96200.5</v>
      </c>
      <c r="N227" s="34">
        <f t="shared" si="7"/>
        <v>11.190965092402463</v>
      </c>
    </row>
    <row r="228" spans="1:14" x14ac:dyDescent="0.45">
      <c r="A228" s="30">
        <v>2023</v>
      </c>
      <c r="B228" s="30" t="s">
        <v>9</v>
      </c>
      <c r="C228" s="30" t="s">
        <v>46</v>
      </c>
      <c r="D228" s="30" t="s">
        <v>47</v>
      </c>
      <c r="E228" s="31" t="s">
        <v>273</v>
      </c>
      <c r="F228" s="32" t="s">
        <v>49</v>
      </c>
      <c r="G228" s="32" t="s">
        <v>50</v>
      </c>
      <c r="H228" s="33">
        <v>28070</v>
      </c>
      <c r="I228" s="34">
        <f>Table3[[#This Row],[Volume, kg.]]/1000</f>
        <v>28.07</v>
      </c>
      <c r="J228" s="34">
        <v>0.31920000000000004</v>
      </c>
      <c r="K228" s="34">
        <f t="shared" si="6"/>
        <v>8959.9440000000013</v>
      </c>
      <c r="L228" s="34">
        <v>3.44</v>
      </c>
      <c r="M228" s="34">
        <v>96569.5</v>
      </c>
      <c r="N228" s="34">
        <f t="shared" si="7"/>
        <v>10.776942355889723</v>
      </c>
    </row>
    <row r="229" spans="1:14" x14ac:dyDescent="0.45">
      <c r="A229" s="30">
        <v>2023</v>
      </c>
      <c r="B229" s="30" t="s">
        <v>9</v>
      </c>
      <c r="C229" s="30" t="s">
        <v>46</v>
      </c>
      <c r="D229" s="30" t="s">
        <v>47</v>
      </c>
      <c r="E229" s="31" t="s">
        <v>91</v>
      </c>
      <c r="F229" s="32" t="s">
        <v>60</v>
      </c>
      <c r="G229" s="32" t="s">
        <v>50</v>
      </c>
      <c r="H229" s="33">
        <v>138320</v>
      </c>
      <c r="I229" s="34">
        <f>Table3[[#This Row],[Volume, kg.]]/1000</f>
        <v>138.32</v>
      </c>
      <c r="J229" s="34">
        <v>0.3075</v>
      </c>
      <c r="K229" s="34">
        <f t="shared" si="6"/>
        <v>42533.4</v>
      </c>
      <c r="L229" s="34">
        <v>3.37</v>
      </c>
      <c r="M229" s="34">
        <v>466199</v>
      </c>
      <c r="N229" s="34">
        <f t="shared" si="7"/>
        <v>10.959349593495935</v>
      </c>
    </row>
    <row r="230" spans="1:14" x14ac:dyDescent="0.45">
      <c r="A230" s="30">
        <v>2023</v>
      </c>
      <c r="B230" s="30" t="s">
        <v>9</v>
      </c>
      <c r="C230" s="30" t="s">
        <v>46</v>
      </c>
      <c r="D230" s="30" t="s">
        <v>47</v>
      </c>
      <c r="E230" s="31" t="s">
        <v>92</v>
      </c>
      <c r="F230" s="32" t="s">
        <v>81</v>
      </c>
      <c r="G230" s="32" t="s">
        <v>50</v>
      </c>
      <c r="H230" s="33">
        <v>129270</v>
      </c>
      <c r="I230" s="34">
        <f>Table3[[#This Row],[Volume, kg.]]/1000</f>
        <v>129.27000000000001</v>
      </c>
      <c r="J230" s="34">
        <v>0.28660000000000002</v>
      </c>
      <c r="K230" s="34">
        <f t="shared" si="6"/>
        <v>37048.781999999999</v>
      </c>
      <c r="L230" s="34">
        <v>3.26</v>
      </c>
      <c r="M230" s="34">
        <v>421855</v>
      </c>
      <c r="N230" s="34">
        <f t="shared" si="7"/>
        <v>11.37473831123517</v>
      </c>
    </row>
    <row r="231" spans="1:14" x14ac:dyDescent="0.45">
      <c r="A231" s="30">
        <v>2023</v>
      </c>
      <c r="B231" s="30" t="s">
        <v>9</v>
      </c>
      <c r="C231" s="30" t="s">
        <v>46</v>
      </c>
      <c r="D231" s="30" t="s">
        <v>47</v>
      </c>
      <c r="E231" s="31" t="s">
        <v>93</v>
      </c>
      <c r="F231" s="32" t="s">
        <v>64</v>
      </c>
      <c r="G231" s="32" t="s">
        <v>50</v>
      </c>
      <c r="H231" s="33">
        <v>11010</v>
      </c>
      <c r="I231" s="34">
        <f>Table3[[#This Row],[Volume, kg.]]/1000</f>
        <v>11.01</v>
      </c>
      <c r="J231" s="34">
        <v>0.21249999999999999</v>
      </c>
      <c r="K231" s="34">
        <f t="shared" si="6"/>
        <v>2339.625</v>
      </c>
      <c r="L231" s="34">
        <v>2.9</v>
      </c>
      <c r="M231" s="34">
        <v>31929</v>
      </c>
      <c r="N231" s="34">
        <f t="shared" si="7"/>
        <v>13.647058823529411</v>
      </c>
    </row>
    <row r="232" spans="1:14" x14ac:dyDescent="0.45">
      <c r="A232" s="30">
        <v>2023</v>
      </c>
      <c r="B232" s="30" t="s">
        <v>9</v>
      </c>
      <c r="C232" s="30" t="s">
        <v>46</v>
      </c>
      <c r="D232" s="30" t="s">
        <v>47</v>
      </c>
      <c r="E232" s="31" t="s">
        <v>274</v>
      </c>
      <c r="F232" s="32" t="s">
        <v>49</v>
      </c>
      <c r="G232" s="32" t="s">
        <v>50</v>
      </c>
      <c r="H232" s="33">
        <v>10020</v>
      </c>
      <c r="I232" s="34">
        <f>Table3[[#This Row],[Volume, kg.]]/1000</f>
        <v>10.02</v>
      </c>
      <c r="J232" s="34">
        <v>0.30320000000000003</v>
      </c>
      <c r="K232" s="34">
        <f t="shared" si="6"/>
        <v>3038.0640000000003</v>
      </c>
      <c r="L232" s="34">
        <v>3.45</v>
      </c>
      <c r="M232" s="34">
        <v>34569</v>
      </c>
      <c r="N232" s="34">
        <f t="shared" si="7"/>
        <v>11.37862796833773</v>
      </c>
    </row>
    <row r="233" spans="1:14" x14ac:dyDescent="0.45">
      <c r="A233" s="30">
        <v>2023</v>
      </c>
      <c r="B233" s="30" t="s">
        <v>9</v>
      </c>
      <c r="C233" s="30" t="s">
        <v>46</v>
      </c>
      <c r="D233" s="30" t="s">
        <v>47</v>
      </c>
      <c r="E233" s="31" t="s">
        <v>275</v>
      </c>
      <c r="F233" s="32" t="s">
        <v>54</v>
      </c>
      <c r="G233" s="32" t="s">
        <v>50</v>
      </c>
      <c r="H233" s="33">
        <v>27790</v>
      </c>
      <c r="I233" s="34">
        <f>Table3[[#This Row],[Volume, kg.]]/1000</f>
        <v>27.79</v>
      </c>
      <c r="J233" s="34">
        <v>0.31459999999999999</v>
      </c>
      <c r="K233" s="34">
        <f t="shared" si="6"/>
        <v>8742.7340000000004</v>
      </c>
      <c r="L233" s="34">
        <v>3.38</v>
      </c>
      <c r="M233" s="34">
        <v>93805</v>
      </c>
      <c r="N233" s="34">
        <f t="shared" si="7"/>
        <v>10.743801652892563</v>
      </c>
    </row>
    <row r="234" spans="1:14" x14ac:dyDescent="0.45">
      <c r="A234" s="30">
        <v>2023</v>
      </c>
      <c r="B234" s="30" t="s">
        <v>9</v>
      </c>
      <c r="C234" s="30" t="s">
        <v>46</v>
      </c>
      <c r="D234" s="30" t="s">
        <v>47</v>
      </c>
      <c r="E234" s="31" t="s">
        <v>276</v>
      </c>
      <c r="F234" s="32" t="s">
        <v>49</v>
      </c>
      <c r="G234" s="32" t="s">
        <v>50</v>
      </c>
      <c r="H234" s="33">
        <v>13900</v>
      </c>
      <c r="I234" s="34">
        <f>Table3[[#This Row],[Volume, kg.]]/1000</f>
        <v>13.9</v>
      </c>
      <c r="J234" s="34">
        <v>0.31280000000000002</v>
      </c>
      <c r="K234" s="34">
        <f t="shared" si="6"/>
        <v>4347.92</v>
      </c>
      <c r="L234" s="34">
        <v>3.41</v>
      </c>
      <c r="M234" s="34">
        <v>47339</v>
      </c>
      <c r="N234" s="34">
        <f t="shared" si="7"/>
        <v>10.901534526854219</v>
      </c>
    </row>
    <row r="235" spans="1:14" x14ac:dyDescent="0.45">
      <c r="A235" s="30">
        <v>2023</v>
      </c>
      <c r="B235" s="30" t="s">
        <v>9</v>
      </c>
      <c r="C235" s="30" t="s">
        <v>46</v>
      </c>
      <c r="D235" s="30" t="s">
        <v>47</v>
      </c>
      <c r="E235" s="31" t="s">
        <v>95</v>
      </c>
      <c r="F235" s="32" t="s">
        <v>49</v>
      </c>
      <c r="G235" s="32" t="s">
        <v>50</v>
      </c>
      <c r="H235" s="33">
        <v>1900</v>
      </c>
      <c r="I235" s="34">
        <f>Table3[[#This Row],[Volume, kg.]]/1000</f>
        <v>1.9</v>
      </c>
      <c r="J235" s="34">
        <v>0.27600000000000002</v>
      </c>
      <c r="K235" s="34">
        <f t="shared" si="6"/>
        <v>524.40000000000009</v>
      </c>
      <c r="L235" s="34">
        <v>3.25</v>
      </c>
      <c r="M235" s="34">
        <v>6175</v>
      </c>
      <c r="N235" s="34">
        <f t="shared" si="7"/>
        <v>11.775362318840578</v>
      </c>
    </row>
    <row r="236" spans="1:14" x14ac:dyDescent="0.45">
      <c r="A236" s="30">
        <v>2023</v>
      </c>
      <c r="B236" s="30" t="s">
        <v>9</v>
      </c>
      <c r="C236" s="30" t="s">
        <v>46</v>
      </c>
      <c r="D236" s="30" t="s">
        <v>47</v>
      </c>
      <c r="E236" s="31" t="s">
        <v>96</v>
      </c>
      <c r="F236" s="32" t="s">
        <v>49</v>
      </c>
      <c r="G236" s="32" t="s">
        <v>50</v>
      </c>
      <c r="H236" s="33">
        <v>56030</v>
      </c>
      <c r="I236" s="34">
        <f>Table3[[#This Row],[Volume, kg.]]/1000</f>
        <v>56.03</v>
      </c>
      <c r="J236" s="34">
        <v>0.29680000000000001</v>
      </c>
      <c r="K236" s="34">
        <f t="shared" si="6"/>
        <v>16629.704000000002</v>
      </c>
      <c r="L236" s="34">
        <v>3.32</v>
      </c>
      <c r="M236" s="34">
        <v>185933</v>
      </c>
      <c r="N236" s="34">
        <f t="shared" si="7"/>
        <v>11.18598382749326</v>
      </c>
    </row>
    <row r="237" spans="1:14" x14ac:dyDescent="0.45">
      <c r="A237" s="30">
        <v>2023</v>
      </c>
      <c r="B237" s="30" t="s">
        <v>9</v>
      </c>
      <c r="C237" s="30" t="s">
        <v>46</v>
      </c>
      <c r="D237" s="30" t="s">
        <v>47</v>
      </c>
      <c r="E237" s="31" t="s">
        <v>97</v>
      </c>
      <c r="F237" s="32" t="s">
        <v>49</v>
      </c>
      <c r="G237" s="32" t="s">
        <v>50</v>
      </c>
      <c r="H237" s="33">
        <v>26340</v>
      </c>
      <c r="I237" s="34">
        <f>Table3[[#This Row],[Volume, kg.]]/1000</f>
        <v>26.34</v>
      </c>
      <c r="J237" s="34">
        <v>0.253</v>
      </c>
      <c r="K237" s="34">
        <f t="shared" si="6"/>
        <v>6664.02</v>
      </c>
      <c r="L237" s="34">
        <v>3.08</v>
      </c>
      <c r="M237" s="34">
        <v>81229</v>
      </c>
      <c r="N237" s="34">
        <f t="shared" si="7"/>
        <v>12.173913043478262</v>
      </c>
    </row>
    <row r="238" spans="1:14" x14ac:dyDescent="0.45">
      <c r="A238" s="30">
        <v>2023</v>
      </c>
      <c r="B238" s="30" t="s">
        <v>9</v>
      </c>
      <c r="C238" s="30" t="s">
        <v>46</v>
      </c>
      <c r="D238" s="30" t="s">
        <v>47</v>
      </c>
      <c r="E238" s="31" t="s">
        <v>98</v>
      </c>
      <c r="F238" s="32" t="s">
        <v>49</v>
      </c>
      <c r="G238" s="32" t="s">
        <v>50</v>
      </c>
      <c r="H238" s="33">
        <v>125620</v>
      </c>
      <c r="I238" s="34">
        <f>Table3[[#This Row],[Volume, kg.]]/1000</f>
        <v>125.62</v>
      </c>
      <c r="J238" s="34">
        <v>0.29160000000000003</v>
      </c>
      <c r="K238" s="34">
        <f t="shared" si="6"/>
        <v>36630.792000000001</v>
      </c>
      <c r="L238" s="34">
        <v>3.29</v>
      </c>
      <c r="M238" s="34">
        <v>413120</v>
      </c>
      <c r="N238" s="34">
        <f t="shared" si="7"/>
        <v>11.282578875171467</v>
      </c>
    </row>
    <row r="239" spans="1:14" x14ac:dyDescent="0.45">
      <c r="A239" s="30">
        <v>2023</v>
      </c>
      <c r="B239" s="30" t="s">
        <v>9</v>
      </c>
      <c r="C239" s="30" t="s">
        <v>46</v>
      </c>
      <c r="D239" s="30" t="s">
        <v>47</v>
      </c>
      <c r="E239" s="31" t="s">
        <v>100</v>
      </c>
      <c r="F239" s="32" t="s">
        <v>60</v>
      </c>
      <c r="G239" s="32" t="s">
        <v>50</v>
      </c>
      <c r="H239" s="33">
        <v>83190</v>
      </c>
      <c r="I239" s="34">
        <f>Table3[[#This Row],[Volume, kg.]]/1000</f>
        <v>83.19</v>
      </c>
      <c r="J239" s="34">
        <v>0.3014</v>
      </c>
      <c r="K239" s="34">
        <f t="shared" si="6"/>
        <v>25073.466</v>
      </c>
      <c r="L239" s="34">
        <v>3.34</v>
      </c>
      <c r="M239" s="34">
        <v>277554</v>
      </c>
      <c r="N239" s="34">
        <f t="shared" si="7"/>
        <v>11.08161911081619</v>
      </c>
    </row>
    <row r="240" spans="1:14" x14ac:dyDescent="0.45">
      <c r="A240" s="30">
        <v>2023</v>
      </c>
      <c r="B240" s="30" t="s">
        <v>9</v>
      </c>
      <c r="C240" s="30" t="s">
        <v>46</v>
      </c>
      <c r="D240" s="30" t="s">
        <v>102</v>
      </c>
      <c r="E240" s="31" t="s">
        <v>106</v>
      </c>
      <c r="F240" s="32" t="s">
        <v>107</v>
      </c>
      <c r="G240" s="32" t="s">
        <v>108</v>
      </c>
      <c r="H240" s="33">
        <v>149440</v>
      </c>
      <c r="I240" s="34">
        <f>Table3[[#This Row],[Volume, kg.]]/1000</f>
        <v>149.44</v>
      </c>
      <c r="J240" s="34">
        <v>0.29389999999999999</v>
      </c>
      <c r="K240" s="34">
        <f t="shared" si="6"/>
        <v>43920.415999999997</v>
      </c>
      <c r="L240" s="34">
        <v>3.43</v>
      </c>
      <c r="M240" s="34">
        <v>511976</v>
      </c>
      <c r="N240" s="34">
        <f t="shared" si="7"/>
        <v>11.670636270840422</v>
      </c>
    </row>
    <row r="241" spans="1:14" x14ac:dyDescent="0.45">
      <c r="A241" s="30">
        <v>2023</v>
      </c>
      <c r="B241" s="30" t="s">
        <v>9</v>
      </c>
      <c r="C241" s="30" t="s">
        <v>46</v>
      </c>
      <c r="D241" s="30" t="s">
        <v>47</v>
      </c>
      <c r="E241" s="31" t="s">
        <v>109</v>
      </c>
      <c r="F241" s="32" t="s">
        <v>60</v>
      </c>
      <c r="G241" s="32" t="s">
        <v>50</v>
      </c>
      <c r="H241" s="33">
        <v>15380</v>
      </c>
      <c r="I241" s="34">
        <f>Table3[[#This Row],[Volume, kg.]]/1000</f>
        <v>15.38</v>
      </c>
      <c r="J241" s="34">
        <v>0.29730000000000001</v>
      </c>
      <c r="K241" s="34">
        <f t="shared" si="6"/>
        <v>4572.4740000000002</v>
      </c>
      <c r="L241" s="34">
        <v>3.32</v>
      </c>
      <c r="M241" s="34">
        <v>51105</v>
      </c>
      <c r="N241" s="34">
        <f t="shared" si="7"/>
        <v>11.167171207534476</v>
      </c>
    </row>
    <row r="242" spans="1:14" x14ac:dyDescent="0.45">
      <c r="A242" s="30">
        <v>2023</v>
      </c>
      <c r="B242" s="30" t="s">
        <v>9</v>
      </c>
      <c r="C242" s="30" t="s">
        <v>46</v>
      </c>
      <c r="D242" s="30" t="s">
        <v>47</v>
      </c>
      <c r="E242" s="31" t="s">
        <v>110</v>
      </c>
      <c r="F242" s="32" t="s">
        <v>57</v>
      </c>
      <c r="G242" s="32" t="s">
        <v>50</v>
      </c>
      <c r="H242" s="33">
        <v>29820</v>
      </c>
      <c r="I242" s="34">
        <f>Table3[[#This Row],[Volume, kg.]]/1000</f>
        <v>29.82</v>
      </c>
      <c r="J242" s="34">
        <v>0.27829999999999999</v>
      </c>
      <c r="K242" s="34">
        <f t="shared" si="6"/>
        <v>8298.905999999999</v>
      </c>
      <c r="L242" s="34">
        <v>3.2</v>
      </c>
      <c r="M242" s="34">
        <v>95356.5</v>
      </c>
      <c r="N242" s="34">
        <f t="shared" si="7"/>
        <v>11.498383039885017</v>
      </c>
    </row>
    <row r="243" spans="1:14" x14ac:dyDescent="0.45">
      <c r="A243" s="30">
        <v>2023</v>
      </c>
      <c r="B243" s="30" t="s">
        <v>9</v>
      </c>
      <c r="C243" s="30" t="s">
        <v>46</v>
      </c>
      <c r="D243" s="30" t="s">
        <v>47</v>
      </c>
      <c r="E243" s="31" t="s">
        <v>277</v>
      </c>
      <c r="F243" s="32" t="s">
        <v>60</v>
      </c>
      <c r="G243" s="32" t="s">
        <v>50</v>
      </c>
      <c r="H243" s="33">
        <v>20160</v>
      </c>
      <c r="I243" s="34">
        <f>Table3[[#This Row],[Volume, kg.]]/1000</f>
        <v>20.16</v>
      </c>
      <c r="J243" s="34">
        <v>0.2407</v>
      </c>
      <c r="K243" s="34">
        <f t="shared" si="6"/>
        <v>4852.5119999999997</v>
      </c>
      <c r="L243" s="34">
        <v>3.03</v>
      </c>
      <c r="M243" s="34">
        <v>61114.5</v>
      </c>
      <c r="N243" s="34">
        <f t="shared" si="7"/>
        <v>12.588284171167428</v>
      </c>
    </row>
    <row r="244" spans="1:14" x14ac:dyDescent="0.45">
      <c r="A244" s="30">
        <v>2023</v>
      </c>
      <c r="B244" s="30" t="s">
        <v>9</v>
      </c>
      <c r="C244" s="30" t="s">
        <v>46</v>
      </c>
      <c r="D244" s="30" t="s">
        <v>47</v>
      </c>
      <c r="E244" s="31" t="s">
        <v>111</v>
      </c>
      <c r="F244" s="32" t="s">
        <v>60</v>
      </c>
      <c r="G244" s="32" t="s">
        <v>50</v>
      </c>
      <c r="H244" s="33">
        <v>73300</v>
      </c>
      <c r="I244" s="34">
        <f>Table3[[#This Row],[Volume, kg.]]/1000</f>
        <v>73.3</v>
      </c>
      <c r="J244" s="34">
        <v>0.30249999999999999</v>
      </c>
      <c r="K244" s="34">
        <f t="shared" si="6"/>
        <v>22173.25</v>
      </c>
      <c r="L244" s="34">
        <v>3.34</v>
      </c>
      <c r="M244" s="34">
        <v>244468</v>
      </c>
      <c r="N244" s="34">
        <f t="shared" si="7"/>
        <v>11.041322314049587</v>
      </c>
    </row>
    <row r="245" spans="1:14" x14ac:dyDescent="0.45">
      <c r="A245" s="30">
        <v>2023</v>
      </c>
      <c r="B245" s="30" t="s">
        <v>9</v>
      </c>
      <c r="C245" s="30" t="s">
        <v>46</v>
      </c>
      <c r="D245" s="30" t="s">
        <v>47</v>
      </c>
      <c r="E245" s="31" t="s">
        <v>278</v>
      </c>
      <c r="F245" s="32" t="s">
        <v>49</v>
      </c>
      <c r="G245" s="32" t="s">
        <v>50</v>
      </c>
      <c r="H245" s="33">
        <v>7300</v>
      </c>
      <c r="I245" s="34">
        <f>Table3[[#This Row],[Volume, kg.]]/1000</f>
        <v>7.3</v>
      </c>
      <c r="J245" s="34">
        <v>0.27350000000000002</v>
      </c>
      <c r="K245" s="34">
        <f t="shared" si="6"/>
        <v>1996.5500000000002</v>
      </c>
      <c r="L245" s="34">
        <v>3.2</v>
      </c>
      <c r="M245" s="34">
        <v>23360</v>
      </c>
      <c r="N245" s="34">
        <f t="shared" si="7"/>
        <v>11.70018281535649</v>
      </c>
    </row>
    <row r="246" spans="1:14" x14ac:dyDescent="0.45">
      <c r="A246" s="30">
        <v>2023</v>
      </c>
      <c r="B246" s="30" t="s">
        <v>9</v>
      </c>
      <c r="C246" s="30" t="s">
        <v>46</v>
      </c>
      <c r="D246" s="30" t="s">
        <v>47</v>
      </c>
      <c r="E246" s="31" t="s">
        <v>115</v>
      </c>
      <c r="F246" s="32" t="s">
        <v>49</v>
      </c>
      <c r="G246" s="32" t="s">
        <v>50</v>
      </c>
      <c r="H246" s="33">
        <v>4150</v>
      </c>
      <c r="I246" s="34">
        <f>Table3[[#This Row],[Volume, kg.]]/1000</f>
        <v>4.1500000000000004</v>
      </c>
      <c r="J246" s="34">
        <v>0.28199999999999997</v>
      </c>
      <c r="K246" s="34">
        <f t="shared" si="6"/>
        <v>1170.3</v>
      </c>
      <c r="L246" s="34">
        <v>3.25</v>
      </c>
      <c r="M246" s="34">
        <v>13487.5</v>
      </c>
      <c r="N246" s="34">
        <f t="shared" si="7"/>
        <v>11.524822695035462</v>
      </c>
    </row>
    <row r="247" spans="1:14" x14ac:dyDescent="0.45">
      <c r="A247" s="30">
        <v>2023</v>
      </c>
      <c r="B247" s="30" t="s">
        <v>9</v>
      </c>
      <c r="C247" s="30" t="s">
        <v>46</v>
      </c>
      <c r="D247" s="30" t="s">
        <v>47</v>
      </c>
      <c r="E247" s="31" t="s">
        <v>120</v>
      </c>
      <c r="F247" s="32" t="s">
        <v>49</v>
      </c>
      <c r="G247" s="32" t="s">
        <v>50</v>
      </c>
      <c r="H247" s="33">
        <v>15050</v>
      </c>
      <c r="I247" s="34">
        <f>Table3[[#This Row],[Volume, kg.]]/1000</f>
        <v>15.05</v>
      </c>
      <c r="J247" s="34">
        <v>0.27350000000000002</v>
      </c>
      <c r="K247" s="34">
        <f t="shared" si="6"/>
        <v>4116.1750000000002</v>
      </c>
      <c r="L247" s="34">
        <v>3.18</v>
      </c>
      <c r="M247" s="34">
        <v>47906</v>
      </c>
      <c r="N247" s="34">
        <f t="shared" si="7"/>
        <v>11.627056672760512</v>
      </c>
    </row>
    <row r="248" spans="1:14" x14ac:dyDescent="0.45">
      <c r="A248" s="30">
        <v>2023</v>
      </c>
      <c r="B248" s="30" t="s">
        <v>9</v>
      </c>
      <c r="C248" s="30" t="s">
        <v>46</v>
      </c>
      <c r="D248" s="30" t="s">
        <v>47</v>
      </c>
      <c r="E248" s="31" t="s">
        <v>121</v>
      </c>
      <c r="F248" s="32" t="s">
        <v>60</v>
      </c>
      <c r="G248" s="32" t="s">
        <v>50</v>
      </c>
      <c r="H248" s="33">
        <v>32340</v>
      </c>
      <c r="I248" s="34">
        <f>Table3[[#This Row],[Volume, kg.]]/1000</f>
        <v>32.340000000000003</v>
      </c>
      <c r="J248" s="34">
        <v>0.30879999999999996</v>
      </c>
      <c r="K248" s="34">
        <f t="shared" si="6"/>
        <v>9986.5919999999987</v>
      </c>
      <c r="L248" s="34">
        <v>3.4</v>
      </c>
      <c r="M248" s="34">
        <v>110018</v>
      </c>
      <c r="N248" s="34">
        <f t="shared" si="7"/>
        <v>11.01036269430052</v>
      </c>
    </row>
    <row r="249" spans="1:14" x14ac:dyDescent="0.45">
      <c r="A249" s="30">
        <v>2023</v>
      </c>
      <c r="B249" s="30" t="s">
        <v>9</v>
      </c>
      <c r="C249" s="30" t="s">
        <v>46</v>
      </c>
      <c r="D249" s="30" t="s">
        <v>47</v>
      </c>
      <c r="E249" s="31" t="s">
        <v>129</v>
      </c>
      <c r="F249" s="32" t="s">
        <v>57</v>
      </c>
      <c r="G249" s="32" t="s">
        <v>50</v>
      </c>
      <c r="H249" s="33">
        <v>36230</v>
      </c>
      <c r="I249" s="34">
        <f>Table3[[#This Row],[Volume, kg.]]/1000</f>
        <v>36.229999999999997</v>
      </c>
      <c r="J249" s="34">
        <v>0.28600000000000003</v>
      </c>
      <c r="K249" s="34">
        <f t="shared" si="6"/>
        <v>10361.780000000001</v>
      </c>
      <c r="L249" s="34">
        <v>3.23</v>
      </c>
      <c r="M249" s="34">
        <v>116899</v>
      </c>
      <c r="N249" s="34">
        <f t="shared" si="7"/>
        <v>11.293706293706292</v>
      </c>
    </row>
    <row r="250" spans="1:14" x14ac:dyDescent="0.45">
      <c r="A250" s="30">
        <v>2023</v>
      </c>
      <c r="B250" s="30" t="s">
        <v>9</v>
      </c>
      <c r="C250" s="30" t="s">
        <v>46</v>
      </c>
      <c r="D250" s="30" t="s">
        <v>47</v>
      </c>
      <c r="E250" s="31" t="s">
        <v>279</v>
      </c>
      <c r="F250" s="32" t="s">
        <v>49</v>
      </c>
      <c r="G250" s="32" t="s">
        <v>50</v>
      </c>
      <c r="H250" s="33">
        <v>11580</v>
      </c>
      <c r="I250" s="34">
        <f>Table3[[#This Row],[Volume, kg.]]/1000</f>
        <v>11.58</v>
      </c>
      <c r="J250" s="34">
        <v>0.26700000000000002</v>
      </c>
      <c r="K250" s="34">
        <f t="shared" si="6"/>
        <v>3091.86</v>
      </c>
      <c r="L250" s="34">
        <v>3.17</v>
      </c>
      <c r="M250" s="34">
        <v>36722.5</v>
      </c>
      <c r="N250" s="34">
        <f t="shared" si="7"/>
        <v>11.872659176029961</v>
      </c>
    </row>
    <row r="251" spans="1:14" x14ac:dyDescent="0.45">
      <c r="A251" s="30">
        <v>2023</v>
      </c>
      <c r="B251" s="30" t="s">
        <v>9</v>
      </c>
      <c r="C251" s="30" t="s">
        <v>46</v>
      </c>
      <c r="D251" s="30" t="s">
        <v>47</v>
      </c>
      <c r="E251" s="31" t="s">
        <v>133</v>
      </c>
      <c r="F251" s="32" t="s">
        <v>134</v>
      </c>
      <c r="G251" s="32" t="s">
        <v>50</v>
      </c>
      <c r="H251" s="33">
        <v>236830</v>
      </c>
      <c r="I251" s="34">
        <f>Table3[[#This Row],[Volume, kg.]]/1000</f>
        <v>236.83</v>
      </c>
      <c r="J251" s="34">
        <v>0.29980000000000001</v>
      </c>
      <c r="K251" s="34">
        <f t="shared" si="6"/>
        <v>71001.634000000005</v>
      </c>
      <c r="L251" s="34">
        <v>3.33</v>
      </c>
      <c r="M251" s="34">
        <v>787561</v>
      </c>
      <c r="N251" s="34">
        <f t="shared" si="7"/>
        <v>11.107404936624416</v>
      </c>
    </row>
    <row r="252" spans="1:14" x14ac:dyDescent="0.45">
      <c r="A252" s="30">
        <v>2023</v>
      </c>
      <c r="B252" s="30" t="s">
        <v>9</v>
      </c>
      <c r="C252" s="30" t="s">
        <v>46</v>
      </c>
      <c r="D252" s="30" t="s">
        <v>47</v>
      </c>
      <c r="E252" s="31" t="s">
        <v>280</v>
      </c>
      <c r="F252" s="32" t="s">
        <v>281</v>
      </c>
      <c r="G252" s="32" t="s">
        <v>50</v>
      </c>
      <c r="H252" s="33">
        <v>12190</v>
      </c>
      <c r="I252" s="34">
        <f>Table3[[#This Row],[Volume, kg.]]/1000</f>
        <v>12.19</v>
      </c>
      <c r="J252" s="34">
        <v>0.33399999999999996</v>
      </c>
      <c r="K252" s="34">
        <f t="shared" si="6"/>
        <v>4071.4599999999996</v>
      </c>
      <c r="L252" s="34">
        <v>3.45</v>
      </c>
      <c r="M252" s="34">
        <v>42055.5</v>
      </c>
      <c r="N252" s="34">
        <f t="shared" si="7"/>
        <v>10.329341317365271</v>
      </c>
    </row>
    <row r="253" spans="1:14" x14ac:dyDescent="0.45">
      <c r="A253" s="30">
        <v>2023</v>
      </c>
      <c r="B253" s="30" t="s">
        <v>9</v>
      </c>
      <c r="C253" s="30" t="s">
        <v>46</v>
      </c>
      <c r="D253" s="30" t="s">
        <v>47</v>
      </c>
      <c r="E253" s="31" t="s">
        <v>135</v>
      </c>
      <c r="F253" s="32" t="s">
        <v>49</v>
      </c>
      <c r="G253" s="32" t="s">
        <v>50</v>
      </c>
      <c r="H253" s="33">
        <v>29030</v>
      </c>
      <c r="I253" s="34">
        <f>Table3[[#This Row],[Volume, kg.]]/1000</f>
        <v>29.03</v>
      </c>
      <c r="J253" s="34">
        <v>0.28249999999999997</v>
      </c>
      <c r="K253" s="34">
        <f t="shared" si="6"/>
        <v>8200.9749999999985</v>
      </c>
      <c r="L253" s="34">
        <v>3.22</v>
      </c>
      <c r="M253" s="34">
        <v>93447</v>
      </c>
      <c r="N253" s="34">
        <f t="shared" si="7"/>
        <v>11.398230088495577</v>
      </c>
    </row>
    <row r="254" spans="1:14" x14ac:dyDescent="0.45">
      <c r="A254" s="30">
        <v>2023</v>
      </c>
      <c r="B254" s="30" t="s">
        <v>9</v>
      </c>
      <c r="C254" s="30" t="s">
        <v>46</v>
      </c>
      <c r="D254" s="30" t="s">
        <v>47</v>
      </c>
      <c r="E254" s="31" t="s">
        <v>282</v>
      </c>
      <c r="F254" s="32" t="s">
        <v>49</v>
      </c>
      <c r="G254" s="32" t="s">
        <v>50</v>
      </c>
      <c r="H254" s="33">
        <v>46340</v>
      </c>
      <c r="I254" s="34">
        <f>Table3[[#This Row],[Volume, kg.]]/1000</f>
        <v>46.34</v>
      </c>
      <c r="J254" s="34">
        <v>0.2762</v>
      </c>
      <c r="K254" s="34">
        <f t="shared" si="6"/>
        <v>12799.108</v>
      </c>
      <c r="L254" s="34">
        <v>3.21</v>
      </c>
      <c r="M254" s="34">
        <v>148877.5</v>
      </c>
      <c r="N254" s="34">
        <f t="shared" si="7"/>
        <v>11.622013034033309</v>
      </c>
    </row>
    <row r="255" spans="1:14" x14ac:dyDescent="0.45">
      <c r="A255" s="30">
        <v>2023</v>
      </c>
      <c r="B255" s="30" t="s">
        <v>9</v>
      </c>
      <c r="C255" s="30" t="s">
        <v>46</v>
      </c>
      <c r="D255" s="30" t="s">
        <v>47</v>
      </c>
      <c r="E255" s="31" t="s">
        <v>283</v>
      </c>
      <c r="F255" s="32" t="s">
        <v>49</v>
      </c>
      <c r="G255" s="32" t="s">
        <v>50</v>
      </c>
      <c r="H255" s="33">
        <v>145440</v>
      </c>
      <c r="I255" s="34">
        <f>Table3[[#This Row],[Volume, kg.]]/1000</f>
        <v>145.44</v>
      </c>
      <c r="J255" s="34">
        <v>0.29350000000000004</v>
      </c>
      <c r="K255" s="34">
        <f t="shared" si="6"/>
        <v>42686.640000000007</v>
      </c>
      <c r="L255" s="34">
        <v>3.3</v>
      </c>
      <c r="M255" s="34">
        <v>480302.5</v>
      </c>
      <c r="N255" s="34">
        <f t="shared" si="7"/>
        <v>11.243611584327084</v>
      </c>
    </row>
    <row r="256" spans="1:14" x14ac:dyDescent="0.45">
      <c r="A256" s="30">
        <v>2023</v>
      </c>
      <c r="B256" s="30" t="s">
        <v>9</v>
      </c>
      <c r="C256" s="30" t="s">
        <v>46</v>
      </c>
      <c r="D256" s="30" t="s">
        <v>47</v>
      </c>
      <c r="E256" s="31" t="s">
        <v>284</v>
      </c>
      <c r="F256" s="32" t="s">
        <v>49</v>
      </c>
      <c r="G256" s="32" t="s">
        <v>50</v>
      </c>
      <c r="H256" s="33">
        <v>2120</v>
      </c>
      <c r="I256" s="34">
        <f>Table3[[#This Row],[Volume, kg.]]/1000</f>
        <v>2.12</v>
      </c>
      <c r="J256" s="34">
        <v>0.31</v>
      </c>
      <c r="K256" s="34">
        <f t="shared" si="6"/>
        <v>657.2</v>
      </c>
      <c r="L256" s="34">
        <v>3.4</v>
      </c>
      <c r="M256" s="34">
        <v>7208</v>
      </c>
      <c r="N256" s="34">
        <f t="shared" si="7"/>
        <v>10.96774193548387</v>
      </c>
    </row>
    <row r="257" spans="1:14" x14ac:dyDescent="0.45">
      <c r="A257" s="30">
        <v>2023</v>
      </c>
      <c r="B257" s="30" t="s">
        <v>9</v>
      </c>
      <c r="C257" s="30" t="s">
        <v>46</v>
      </c>
      <c r="D257" s="30" t="s">
        <v>47</v>
      </c>
      <c r="E257" s="31" t="s">
        <v>138</v>
      </c>
      <c r="F257" s="32" t="s">
        <v>49</v>
      </c>
      <c r="G257" s="32" t="s">
        <v>50</v>
      </c>
      <c r="H257" s="33">
        <v>11800</v>
      </c>
      <c r="I257" s="34">
        <f>Table3[[#This Row],[Volume, kg.]]/1000</f>
        <v>11.8</v>
      </c>
      <c r="J257" s="34">
        <v>0.29699999999999999</v>
      </c>
      <c r="K257" s="34">
        <f t="shared" si="6"/>
        <v>3504.6</v>
      </c>
      <c r="L257" s="34">
        <v>3.3</v>
      </c>
      <c r="M257" s="34">
        <v>38940</v>
      </c>
      <c r="N257" s="34">
        <f t="shared" si="7"/>
        <v>11.111111111111111</v>
      </c>
    </row>
    <row r="258" spans="1:14" x14ac:dyDescent="0.45">
      <c r="A258" s="30">
        <v>2023</v>
      </c>
      <c r="B258" s="30" t="s">
        <v>9</v>
      </c>
      <c r="C258" s="30" t="s">
        <v>46</v>
      </c>
      <c r="D258" s="30" t="s">
        <v>47</v>
      </c>
      <c r="E258" s="31" t="s">
        <v>285</v>
      </c>
      <c r="F258" s="32" t="s">
        <v>49</v>
      </c>
      <c r="G258" s="32" t="s">
        <v>50</v>
      </c>
      <c r="H258" s="33">
        <v>7040</v>
      </c>
      <c r="I258" s="34">
        <f>Table3[[#This Row],[Volume, kg.]]/1000</f>
        <v>7.04</v>
      </c>
      <c r="J258" s="34">
        <v>0.23850000000000002</v>
      </c>
      <c r="K258" s="34">
        <f t="shared" si="6"/>
        <v>1679.0400000000002</v>
      </c>
      <c r="L258" s="34">
        <v>3.05</v>
      </c>
      <c r="M258" s="34">
        <v>21472</v>
      </c>
      <c r="N258" s="34">
        <f t="shared" si="7"/>
        <v>12.788259958071277</v>
      </c>
    </row>
    <row r="259" spans="1:14" x14ac:dyDescent="0.45">
      <c r="A259" s="30">
        <v>2023</v>
      </c>
      <c r="B259" s="30" t="s">
        <v>9</v>
      </c>
      <c r="C259" s="30" t="s">
        <v>46</v>
      </c>
      <c r="D259" s="30" t="s">
        <v>47</v>
      </c>
      <c r="E259" s="31" t="s">
        <v>286</v>
      </c>
      <c r="F259" s="32" t="s">
        <v>49</v>
      </c>
      <c r="G259" s="32" t="s">
        <v>50</v>
      </c>
      <c r="H259" s="33">
        <v>12040</v>
      </c>
      <c r="I259" s="34">
        <f>Table3[[#This Row],[Volume, kg.]]/1000</f>
        <v>12.04</v>
      </c>
      <c r="J259" s="34">
        <v>0.30180000000000001</v>
      </c>
      <c r="K259" s="34">
        <f t="shared" ref="K259:K322" si="8">H259*J259</f>
        <v>3633.672</v>
      </c>
      <c r="L259" s="34">
        <v>3.33</v>
      </c>
      <c r="M259" s="34">
        <v>40053</v>
      </c>
      <c r="N259" s="34">
        <f t="shared" si="7"/>
        <v>11.033797216699801</v>
      </c>
    </row>
    <row r="260" spans="1:14" x14ac:dyDescent="0.45">
      <c r="A260" s="30">
        <v>2023</v>
      </c>
      <c r="B260" s="30" t="s">
        <v>9</v>
      </c>
      <c r="C260" s="30" t="s">
        <v>46</v>
      </c>
      <c r="D260" s="30" t="s">
        <v>47</v>
      </c>
      <c r="E260" s="31" t="s">
        <v>287</v>
      </c>
      <c r="F260" s="32" t="s">
        <v>60</v>
      </c>
      <c r="G260" s="32" t="s">
        <v>50</v>
      </c>
      <c r="H260" s="33">
        <v>7240</v>
      </c>
      <c r="I260" s="34">
        <f>Table3[[#This Row],[Volume, kg.]]/1000</f>
        <v>7.24</v>
      </c>
      <c r="J260" s="34">
        <v>0.29799999999999999</v>
      </c>
      <c r="K260" s="34">
        <f t="shared" si="8"/>
        <v>2157.52</v>
      </c>
      <c r="L260" s="34">
        <v>3.35</v>
      </c>
      <c r="M260" s="34">
        <v>24254</v>
      </c>
      <c r="N260" s="34">
        <f t="shared" ref="N260:N323" si="9">L260/J260</f>
        <v>11.241610738255034</v>
      </c>
    </row>
    <row r="261" spans="1:14" x14ac:dyDescent="0.45">
      <c r="A261" s="30">
        <v>2023</v>
      </c>
      <c r="B261" s="30" t="s">
        <v>9</v>
      </c>
      <c r="C261" s="30" t="s">
        <v>46</v>
      </c>
      <c r="D261" s="30" t="s">
        <v>47</v>
      </c>
      <c r="E261" s="31" t="s">
        <v>288</v>
      </c>
      <c r="F261" s="32" t="s">
        <v>49</v>
      </c>
      <c r="G261" s="32" t="s">
        <v>50</v>
      </c>
      <c r="H261" s="33">
        <v>146220</v>
      </c>
      <c r="I261" s="34">
        <f>Table3[[#This Row],[Volume, kg.]]/1000</f>
        <v>146.22</v>
      </c>
      <c r="J261" s="34">
        <v>0.29609999999999997</v>
      </c>
      <c r="K261" s="34">
        <f t="shared" si="8"/>
        <v>43295.741999999998</v>
      </c>
      <c r="L261" s="34">
        <v>3.33</v>
      </c>
      <c r="M261" s="34">
        <v>487312.5</v>
      </c>
      <c r="N261" s="34">
        <f t="shared" si="9"/>
        <v>11.246200607902736</v>
      </c>
    </row>
    <row r="262" spans="1:14" x14ac:dyDescent="0.45">
      <c r="A262" s="30">
        <v>2023</v>
      </c>
      <c r="B262" s="30" t="s">
        <v>9</v>
      </c>
      <c r="C262" s="30" t="s">
        <v>46</v>
      </c>
      <c r="D262" s="30" t="s">
        <v>47</v>
      </c>
      <c r="E262" s="31" t="s">
        <v>141</v>
      </c>
      <c r="F262" s="32" t="s">
        <v>49</v>
      </c>
      <c r="G262" s="32" t="s">
        <v>50</v>
      </c>
      <c r="H262" s="33">
        <v>18480</v>
      </c>
      <c r="I262" s="34">
        <f>Table3[[#This Row],[Volume, kg.]]/1000</f>
        <v>18.48</v>
      </c>
      <c r="J262" s="34">
        <v>0.28600000000000003</v>
      </c>
      <c r="K262" s="34">
        <f t="shared" si="8"/>
        <v>5285.2800000000007</v>
      </c>
      <c r="L262" s="34">
        <v>3.27</v>
      </c>
      <c r="M262" s="34">
        <v>60398</v>
      </c>
      <c r="N262" s="34">
        <f t="shared" si="9"/>
        <v>11.433566433566432</v>
      </c>
    </row>
    <row r="263" spans="1:14" x14ac:dyDescent="0.45">
      <c r="A263" s="30">
        <v>2023</v>
      </c>
      <c r="B263" s="30" t="s">
        <v>9</v>
      </c>
      <c r="C263" s="30" t="s">
        <v>46</v>
      </c>
      <c r="D263" s="30" t="s">
        <v>47</v>
      </c>
      <c r="E263" s="31" t="s">
        <v>142</v>
      </c>
      <c r="F263" s="32" t="s">
        <v>57</v>
      </c>
      <c r="G263" s="32" t="s">
        <v>50</v>
      </c>
      <c r="H263" s="33">
        <v>47080</v>
      </c>
      <c r="I263" s="34">
        <f>Table3[[#This Row],[Volume, kg.]]/1000</f>
        <v>47.08</v>
      </c>
      <c r="J263" s="34">
        <v>0.28249999999999997</v>
      </c>
      <c r="K263" s="34">
        <f t="shared" si="8"/>
        <v>13300.099999999999</v>
      </c>
      <c r="L263" s="34">
        <v>3.26</v>
      </c>
      <c r="M263" s="34">
        <v>153316.5</v>
      </c>
      <c r="N263" s="34">
        <f t="shared" si="9"/>
        <v>11.539823008849558</v>
      </c>
    </row>
    <row r="264" spans="1:14" x14ac:dyDescent="0.45">
      <c r="A264" s="30">
        <v>2023</v>
      </c>
      <c r="B264" s="30" t="s">
        <v>9</v>
      </c>
      <c r="C264" s="30" t="s">
        <v>46</v>
      </c>
      <c r="D264" s="30" t="s">
        <v>47</v>
      </c>
      <c r="E264" s="31" t="s">
        <v>289</v>
      </c>
      <c r="F264" s="32" t="s">
        <v>238</v>
      </c>
      <c r="G264" s="32" t="s">
        <v>50</v>
      </c>
      <c r="H264" s="33">
        <v>16080</v>
      </c>
      <c r="I264" s="34">
        <f>Table3[[#This Row],[Volume, kg.]]/1000</f>
        <v>16.079999999999998</v>
      </c>
      <c r="J264" s="34">
        <v>0.24199999999999999</v>
      </c>
      <c r="K264" s="34">
        <f t="shared" si="8"/>
        <v>3891.3599999999997</v>
      </c>
      <c r="L264" s="34">
        <v>3</v>
      </c>
      <c r="M264" s="34">
        <v>48240</v>
      </c>
      <c r="N264" s="34">
        <f t="shared" si="9"/>
        <v>12.396694214876034</v>
      </c>
    </row>
    <row r="265" spans="1:14" x14ac:dyDescent="0.45">
      <c r="A265" s="30">
        <v>2023</v>
      </c>
      <c r="B265" s="30" t="s">
        <v>9</v>
      </c>
      <c r="C265" s="30" t="s">
        <v>46</v>
      </c>
      <c r="D265" s="30" t="s">
        <v>47</v>
      </c>
      <c r="E265" s="31" t="s">
        <v>145</v>
      </c>
      <c r="F265" s="32" t="s">
        <v>60</v>
      </c>
      <c r="G265" s="32" t="s">
        <v>50</v>
      </c>
      <c r="H265" s="33">
        <v>10320</v>
      </c>
      <c r="I265" s="34">
        <f>Table3[[#This Row],[Volume, kg.]]/1000</f>
        <v>10.32</v>
      </c>
      <c r="J265" s="34">
        <v>0.30499999999999999</v>
      </c>
      <c r="K265" s="34">
        <f t="shared" si="8"/>
        <v>3147.6</v>
      </c>
      <c r="L265" s="34">
        <v>3.4</v>
      </c>
      <c r="M265" s="34">
        <v>35088</v>
      </c>
      <c r="N265" s="34">
        <f t="shared" si="9"/>
        <v>11.147540983606557</v>
      </c>
    </row>
    <row r="266" spans="1:14" x14ac:dyDescent="0.45">
      <c r="A266" s="30">
        <v>2023</v>
      </c>
      <c r="B266" s="30" t="s">
        <v>9</v>
      </c>
      <c r="C266" s="30" t="s">
        <v>46</v>
      </c>
      <c r="D266" s="30" t="s">
        <v>47</v>
      </c>
      <c r="E266" s="31" t="s">
        <v>290</v>
      </c>
      <c r="F266" s="32" t="s">
        <v>49</v>
      </c>
      <c r="G266" s="32" t="s">
        <v>50</v>
      </c>
      <c r="H266" s="33">
        <v>19440</v>
      </c>
      <c r="I266" s="34">
        <f>Table3[[#This Row],[Volume, kg.]]/1000</f>
        <v>19.440000000000001</v>
      </c>
      <c r="J266" s="34">
        <v>0.30459999999999998</v>
      </c>
      <c r="K266" s="34">
        <f t="shared" si="8"/>
        <v>5921.424</v>
      </c>
      <c r="L266" s="34">
        <v>3.38</v>
      </c>
      <c r="M266" s="34">
        <v>65669.5</v>
      </c>
      <c r="N266" s="34">
        <f t="shared" si="9"/>
        <v>11.096520026263953</v>
      </c>
    </row>
    <row r="267" spans="1:14" x14ac:dyDescent="0.45">
      <c r="A267" s="30">
        <v>2023</v>
      </c>
      <c r="B267" s="30" t="s">
        <v>9</v>
      </c>
      <c r="C267" s="30" t="s">
        <v>46</v>
      </c>
      <c r="D267" s="30" t="s">
        <v>47</v>
      </c>
      <c r="E267" s="31" t="s">
        <v>291</v>
      </c>
      <c r="F267" s="32" t="s">
        <v>57</v>
      </c>
      <c r="G267" s="32" t="s">
        <v>50</v>
      </c>
      <c r="H267" s="33">
        <v>48870</v>
      </c>
      <c r="I267" s="34">
        <f>Table3[[#This Row],[Volume, kg.]]/1000</f>
        <v>48.87</v>
      </c>
      <c r="J267" s="34">
        <v>0.25509999999999999</v>
      </c>
      <c r="K267" s="34">
        <f t="shared" si="8"/>
        <v>12466.736999999999</v>
      </c>
      <c r="L267" s="34">
        <v>3.11</v>
      </c>
      <c r="M267" s="34">
        <v>152216</v>
      </c>
      <c r="N267" s="34">
        <f t="shared" si="9"/>
        <v>12.191297530380243</v>
      </c>
    </row>
    <row r="268" spans="1:14" x14ac:dyDescent="0.45">
      <c r="A268" s="30">
        <v>2023</v>
      </c>
      <c r="B268" s="30" t="s">
        <v>9</v>
      </c>
      <c r="C268" s="30" t="s">
        <v>46</v>
      </c>
      <c r="D268" s="30" t="s">
        <v>47</v>
      </c>
      <c r="E268" s="31" t="s">
        <v>147</v>
      </c>
      <c r="F268" s="32" t="s">
        <v>57</v>
      </c>
      <c r="G268" s="32" t="s">
        <v>50</v>
      </c>
      <c r="H268" s="33">
        <v>44010</v>
      </c>
      <c r="I268" s="34">
        <f>Table3[[#This Row],[Volume, kg.]]/1000</f>
        <v>44.01</v>
      </c>
      <c r="J268" s="34">
        <v>0.31280000000000002</v>
      </c>
      <c r="K268" s="34">
        <f t="shared" si="8"/>
        <v>13766.328000000001</v>
      </c>
      <c r="L268" s="34">
        <v>3.4</v>
      </c>
      <c r="M268" s="34">
        <v>149466.5</v>
      </c>
      <c r="N268" s="34">
        <f t="shared" si="9"/>
        <v>10.869565217391303</v>
      </c>
    </row>
    <row r="269" spans="1:14" x14ac:dyDescent="0.45">
      <c r="A269" s="30">
        <v>2023</v>
      </c>
      <c r="B269" s="30" t="s">
        <v>9</v>
      </c>
      <c r="C269" s="30" t="s">
        <v>46</v>
      </c>
      <c r="D269" s="30" t="s">
        <v>47</v>
      </c>
      <c r="E269" s="31" t="s">
        <v>148</v>
      </c>
      <c r="F269" s="32" t="s">
        <v>49</v>
      </c>
      <c r="G269" s="32" t="s">
        <v>50</v>
      </c>
      <c r="H269" s="33">
        <v>32490</v>
      </c>
      <c r="I269" s="34">
        <f>Table3[[#This Row],[Volume, kg.]]/1000</f>
        <v>32.49</v>
      </c>
      <c r="J269" s="34">
        <v>0.28210000000000002</v>
      </c>
      <c r="K269" s="34">
        <f t="shared" si="8"/>
        <v>9165.4290000000001</v>
      </c>
      <c r="L269" s="34">
        <v>3.27</v>
      </c>
      <c r="M269" s="34">
        <v>106239</v>
      </c>
      <c r="N269" s="34">
        <f t="shared" si="9"/>
        <v>11.591634172279333</v>
      </c>
    </row>
    <row r="270" spans="1:14" x14ac:dyDescent="0.45">
      <c r="A270" s="30">
        <v>2023</v>
      </c>
      <c r="B270" s="30" t="s">
        <v>9</v>
      </c>
      <c r="C270" s="30" t="s">
        <v>46</v>
      </c>
      <c r="D270" s="30" t="s">
        <v>47</v>
      </c>
      <c r="E270" s="31" t="s">
        <v>149</v>
      </c>
      <c r="F270" s="32" t="s">
        <v>49</v>
      </c>
      <c r="G270" s="32" t="s">
        <v>50</v>
      </c>
      <c r="H270" s="33">
        <v>139870</v>
      </c>
      <c r="I270" s="34">
        <f>Table3[[#This Row],[Volume, kg.]]/1000</f>
        <v>139.87</v>
      </c>
      <c r="J270" s="34">
        <v>0.29510000000000003</v>
      </c>
      <c r="K270" s="34">
        <f t="shared" si="8"/>
        <v>41275.637000000002</v>
      </c>
      <c r="L270" s="34">
        <v>3.29</v>
      </c>
      <c r="M270" s="34">
        <v>460660</v>
      </c>
      <c r="N270" s="34">
        <f t="shared" si="9"/>
        <v>11.148763131141985</v>
      </c>
    </row>
    <row r="271" spans="1:14" x14ac:dyDescent="0.45">
      <c r="A271" s="30">
        <v>2023</v>
      </c>
      <c r="B271" s="30" t="s">
        <v>9</v>
      </c>
      <c r="C271" s="30" t="s">
        <v>46</v>
      </c>
      <c r="D271" s="30" t="s">
        <v>47</v>
      </c>
      <c r="E271" s="31" t="s">
        <v>151</v>
      </c>
      <c r="F271" s="32" t="s">
        <v>60</v>
      </c>
      <c r="G271" s="32" t="s">
        <v>50</v>
      </c>
      <c r="H271" s="33">
        <v>22310</v>
      </c>
      <c r="I271" s="34">
        <f>Table3[[#This Row],[Volume, kg.]]/1000</f>
        <v>22.31</v>
      </c>
      <c r="J271" s="34">
        <v>0.2757</v>
      </c>
      <c r="K271" s="34">
        <f t="shared" si="8"/>
        <v>6150.8670000000002</v>
      </c>
      <c r="L271" s="34">
        <v>3.22</v>
      </c>
      <c r="M271" s="34">
        <v>71758.5</v>
      </c>
      <c r="N271" s="34">
        <f t="shared" si="9"/>
        <v>11.679361624954662</v>
      </c>
    </row>
    <row r="272" spans="1:14" x14ac:dyDescent="0.45">
      <c r="A272" s="30">
        <v>2023</v>
      </c>
      <c r="B272" s="30" t="s">
        <v>9</v>
      </c>
      <c r="C272" s="30" t="s">
        <v>46</v>
      </c>
      <c r="D272" s="30" t="s">
        <v>47</v>
      </c>
      <c r="E272" s="31" t="s">
        <v>152</v>
      </c>
      <c r="F272" s="32" t="s">
        <v>60</v>
      </c>
      <c r="G272" s="32" t="s">
        <v>50</v>
      </c>
      <c r="H272" s="33">
        <v>13050</v>
      </c>
      <c r="I272" s="34">
        <f>Table3[[#This Row],[Volume, kg.]]/1000</f>
        <v>13.05</v>
      </c>
      <c r="J272" s="34">
        <v>0.27679999999999999</v>
      </c>
      <c r="K272" s="34">
        <f t="shared" si="8"/>
        <v>3612.24</v>
      </c>
      <c r="L272" s="34">
        <v>3.2</v>
      </c>
      <c r="M272" s="34">
        <v>41711</v>
      </c>
      <c r="N272" s="34">
        <f t="shared" si="9"/>
        <v>11.560693641618498</v>
      </c>
    </row>
    <row r="273" spans="1:14" x14ac:dyDescent="0.45">
      <c r="A273" s="30">
        <v>2023</v>
      </c>
      <c r="B273" s="30" t="s">
        <v>9</v>
      </c>
      <c r="C273" s="30" t="s">
        <v>46</v>
      </c>
      <c r="D273" s="30" t="s">
        <v>47</v>
      </c>
      <c r="E273" s="31" t="s">
        <v>292</v>
      </c>
      <c r="F273" s="32" t="s">
        <v>60</v>
      </c>
      <c r="G273" s="32" t="s">
        <v>50</v>
      </c>
      <c r="H273" s="33">
        <v>14330</v>
      </c>
      <c r="I273" s="34">
        <f>Table3[[#This Row],[Volume, kg.]]/1000</f>
        <v>14.33</v>
      </c>
      <c r="J273" s="34">
        <v>0.28260000000000002</v>
      </c>
      <c r="K273" s="34">
        <f t="shared" si="8"/>
        <v>4049.6580000000004</v>
      </c>
      <c r="L273" s="34">
        <v>3.2</v>
      </c>
      <c r="M273" s="34">
        <v>45841.5</v>
      </c>
      <c r="N273" s="34">
        <f t="shared" si="9"/>
        <v>11.32342533616419</v>
      </c>
    </row>
    <row r="274" spans="1:14" x14ac:dyDescent="0.45">
      <c r="A274" s="30">
        <v>2023</v>
      </c>
      <c r="B274" s="30" t="s">
        <v>9</v>
      </c>
      <c r="C274" s="30" t="s">
        <v>46</v>
      </c>
      <c r="D274" s="30" t="s">
        <v>47</v>
      </c>
      <c r="E274" s="31" t="s">
        <v>154</v>
      </c>
      <c r="F274" s="32" t="s">
        <v>60</v>
      </c>
      <c r="G274" s="32" t="s">
        <v>50</v>
      </c>
      <c r="H274" s="33">
        <v>47790</v>
      </c>
      <c r="I274" s="34">
        <f>Table3[[#This Row],[Volume, kg.]]/1000</f>
        <v>47.79</v>
      </c>
      <c r="J274" s="34">
        <v>0.28710000000000002</v>
      </c>
      <c r="K274" s="34">
        <f t="shared" si="8"/>
        <v>13720.509000000002</v>
      </c>
      <c r="L274" s="34">
        <v>3.25</v>
      </c>
      <c r="M274" s="34">
        <v>155384.5</v>
      </c>
      <c r="N274" s="34">
        <f t="shared" si="9"/>
        <v>11.320097526994077</v>
      </c>
    </row>
    <row r="275" spans="1:14" x14ac:dyDescent="0.45">
      <c r="A275" s="30">
        <v>2023</v>
      </c>
      <c r="B275" s="30" t="s">
        <v>9</v>
      </c>
      <c r="C275" s="30" t="s">
        <v>46</v>
      </c>
      <c r="D275" s="30" t="s">
        <v>47</v>
      </c>
      <c r="E275" s="31" t="s">
        <v>293</v>
      </c>
      <c r="F275" s="32" t="s">
        <v>60</v>
      </c>
      <c r="G275" s="32" t="s">
        <v>50</v>
      </c>
      <c r="H275" s="33">
        <v>4620</v>
      </c>
      <c r="I275" s="34">
        <f>Table3[[#This Row],[Volume, kg.]]/1000</f>
        <v>4.62</v>
      </c>
      <c r="J275" s="34">
        <v>0.29449999999999998</v>
      </c>
      <c r="K275" s="34">
        <f t="shared" si="8"/>
        <v>1360.59</v>
      </c>
      <c r="L275" s="34">
        <v>3.3</v>
      </c>
      <c r="M275" s="34">
        <v>15246</v>
      </c>
      <c r="N275" s="34">
        <f t="shared" si="9"/>
        <v>11.205432937181664</v>
      </c>
    </row>
    <row r="276" spans="1:14" x14ac:dyDescent="0.45">
      <c r="A276" s="30">
        <v>2023</v>
      </c>
      <c r="B276" s="30" t="s">
        <v>9</v>
      </c>
      <c r="C276" s="30" t="s">
        <v>46</v>
      </c>
      <c r="D276" s="30" t="s">
        <v>47</v>
      </c>
      <c r="E276" s="31" t="s">
        <v>156</v>
      </c>
      <c r="F276" s="32" t="s">
        <v>49</v>
      </c>
      <c r="G276" s="32" t="s">
        <v>50</v>
      </c>
      <c r="H276" s="33">
        <v>49350</v>
      </c>
      <c r="I276" s="34">
        <f>Table3[[#This Row],[Volume, kg.]]/1000</f>
        <v>49.35</v>
      </c>
      <c r="J276" s="34">
        <v>0.28420000000000001</v>
      </c>
      <c r="K276" s="34">
        <f t="shared" si="8"/>
        <v>14025.27</v>
      </c>
      <c r="L276" s="34">
        <v>3.26</v>
      </c>
      <c r="M276" s="34">
        <v>160749</v>
      </c>
      <c r="N276" s="34">
        <f t="shared" si="9"/>
        <v>11.470795214637578</v>
      </c>
    </row>
    <row r="277" spans="1:14" x14ac:dyDescent="0.45">
      <c r="A277" s="30">
        <v>2023</v>
      </c>
      <c r="B277" s="30" t="s">
        <v>9</v>
      </c>
      <c r="C277" s="30" t="s">
        <v>46</v>
      </c>
      <c r="D277" s="30" t="s">
        <v>47</v>
      </c>
      <c r="E277" s="31" t="s">
        <v>294</v>
      </c>
      <c r="F277" s="32" t="s">
        <v>81</v>
      </c>
      <c r="G277" s="32" t="s">
        <v>50</v>
      </c>
      <c r="H277" s="33">
        <v>2850</v>
      </c>
      <c r="I277" s="34">
        <f>Table3[[#This Row],[Volume, kg.]]/1000</f>
        <v>2.85</v>
      </c>
      <c r="J277" s="34">
        <v>0.27</v>
      </c>
      <c r="K277" s="34">
        <f t="shared" si="8"/>
        <v>769.5</v>
      </c>
      <c r="L277" s="34">
        <v>3.15</v>
      </c>
      <c r="M277" s="34">
        <v>8977.5</v>
      </c>
      <c r="N277" s="34">
        <f t="shared" si="9"/>
        <v>11.666666666666666</v>
      </c>
    </row>
    <row r="278" spans="1:14" x14ac:dyDescent="0.45">
      <c r="A278" s="30">
        <v>2023</v>
      </c>
      <c r="B278" s="30" t="s">
        <v>9</v>
      </c>
      <c r="C278" s="30" t="s">
        <v>46</v>
      </c>
      <c r="D278" s="30" t="s">
        <v>102</v>
      </c>
      <c r="E278" s="31" t="s">
        <v>295</v>
      </c>
      <c r="F278" s="32" t="s">
        <v>127</v>
      </c>
      <c r="G278" s="32" t="s">
        <v>128</v>
      </c>
      <c r="H278" s="33">
        <v>2340</v>
      </c>
      <c r="I278" s="34">
        <f>Table3[[#This Row],[Volume, kg.]]/1000</f>
        <v>2.34</v>
      </c>
      <c r="J278" s="34">
        <v>0.28300000000000003</v>
      </c>
      <c r="K278" s="34">
        <f t="shared" si="8"/>
        <v>662.22</v>
      </c>
      <c r="L278" s="34">
        <v>3.25</v>
      </c>
      <c r="M278" s="34">
        <v>7605</v>
      </c>
      <c r="N278" s="34">
        <f t="shared" si="9"/>
        <v>11.484098939929327</v>
      </c>
    </row>
    <row r="279" spans="1:14" x14ac:dyDescent="0.45">
      <c r="A279" s="30">
        <v>2023</v>
      </c>
      <c r="B279" s="30" t="s">
        <v>9</v>
      </c>
      <c r="C279" s="30" t="s">
        <v>46</v>
      </c>
      <c r="D279" s="30" t="s">
        <v>47</v>
      </c>
      <c r="E279" s="31" t="s">
        <v>296</v>
      </c>
      <c r="F279" s="32" t="s">
        <v>60</v>
      </c>
      <c r="G279" s="32" t="s">
        <v>50</v>
      </c>
      <c r="H279" s="33">
        <v>23540</v>
      </c>
      <c r="I279" s="34">
        <f>Table3[[#This Row],[Volume, kg.]]/1000</f>
        <v>23.54</v>
      </c>
      <c r="J279" s="34">
        <v>0.28589999999999999</v>
      </c>
      <c r="K279" s="34">
        <f t="shared" si="8"/>
        <v>6730.0859999999993</v>
      </c>
      <c r="L279" s="34">
        <v>3.32</v>
      </c>
      <c r="M279" s="34">
        <v>78112</v>
      </c>
      <c r="N279" s="34">
        <f t="shared" si="9"/>
        <v>11.612451906260929</v>
      </c>
    </row>
    <row r="280" spans="1:14" x14ac:dyDescent="0.45">
      <c r="A280" s="30">
        <v>2023</v>
      </c>
      <c r="B280" s="30" t="s">
        <v>9</v>
      </c>
      <c r="C280" s="30" t="s">
        <v>46</v>
      </c>
      <c r="D280" s="30" t="s">
        <v>47</v>
      </c>
      <c r="E280" s="31" t="s">
        <v>159</v>
      </c>
      <c r="F280" s="32" t="s">
        <v>81</v>
      </c>
      <c r="G280" s="32" t="s">
        <v>50</v>
      </c>
      <c r="H280" s="33">
        <v>197290</v>
      </c>
      <c r="I280" s="34">
        <f>Table3[[#This Row],[Volume, kg.]]/1000</f>
        <v>197.29</v>
      </c>
      <c r="J280" s="34">
        <v>0.2752</v>
      </c>
      <c r="K280" s="34">
        <f t="shared" si="8"/>
        <v>54294.207999999999</v>
      </c>
      <c r="L280" s="34">
        <v>3.23</v>
      </c>
      <c r="M280" s="34">
        <v>637388.5</v>
      </c>
      <c r="N280" s="34">
        <f t="shared" si="9"/>
        <v>11.736918604651162</v>
      </c>
    </row>
    <row r="281" spans="1:14" x14ac:dyDescent="0.45">
      <c r="A281" s="30">
        <v>2023</v>
      </c>
      <c r="B281" s="30" t="s">
        <v>9</v>
      </c>
      <c r="C281" s="30" t="s">
        <v>46</v>
      </c>
      <c r="D281" s="30" t="s">
        <v>47</v>
      </c>
      <c r="E281" s="31" t="s">
        <v>160</v>
      </c>
      <c r="F281" s="32" t="s">
        <v>49</v>
      </c>
      <c r="G281" s="32" t="s">
        <v>50</v>
      </c>
      <c r="H281" s="33">
        <v>87980</v>
      </c>
      <c r="I281" s="34">
        <f>Table3[[#This Row],[Volume, kg.]]/1000</f>
        <v>87.98</v>
      </c>
      <c r="J281" s="34">
        <v>0.28859999999999997</v>
      </c>
      <c r="K281" s="34">
        <f t="shared" si="8"/>
        <v>25391.027999999998</v>
      </c>
      <c r="L281" s="34">
        <v>3.29</v>
      </c>
      <c r="M281" s="34">
        <v>289435</v>
      </c>
      <c r="N281" s="34">
        <f t="shared" si="9"/>
        <v>11.3998613998614</v>
      </c>
    </row>
    <row r="282" spans="1:14" x14ac:dyDescent="0.45">
      <c r="A282" s="30">
        <v>2023</v>
      </c>
      <c r="B282" s="30" t="s">
        <v>9</v>
      </c>
      <c r="C282" s="30" t="s">
        <v>46</v>
      </c>
      <c r="D282" s="30" t="s">
        <v>47</v>
      </c>
      <c r="E282" s="31" t="s">
        <v>162</v>
      </c>
      <c r="F282" s="32" t="s">
        <v>49</v>
      </c>
      <c r="G282" s="32" t="s">
        <v>50</v>
      </c>
      <c r="H282" s="33">
        <v>2910</v>
      </c>
      <c r="I282" s="34">
        <f>Table3[[#This Row],[Volume, kg.]]/1000</f>
        <v>2.91</v>
      </c>
      <c r="J282" s="34">
        <v>0.28300000000000003</v>
      </c>
      <c r="K282" s="34">
        <f t="shared" si="8"/>
        <v>823.53000000000009</v>
      </c>
      <c r="L282" s="34">
        <v>3.2</v>
      </c>
      <c r="M282" s="34">
        <v>9312</v>
      </c>
      <c r="N282" s="34">
        <f t="shared" si="9"/>
        <v>11.307420494699645</v>
      </c>
    </row>
    <row r="283" spans="1:14" x14ac:dyDescent="0.45">
      <c r="A283" s="30">
        <v>2023</v>
      </c>
      <c r="B283" s="30" t="s">
        <v>9</v>
      </c>
      <c r="C283" s="30" t="s">
        <v>46</v>
      </c>
      <c r="D283" s="30" t="s">
        <v>47</v>
      </c>
      <c r="E283" s="31" t="s">
        <v>297</v>
      </c>
      <c r="F283" s="32" t="s">
        <v>57</v>
      </c>
      <c r="G283" s="32" t="s">
        <v>50</v>
      </c>
      <c r="H283" s="33">
        <v>48420</v>
      </c>
      <c r="I283" s="34">
        <f>Table3[[#This Row],[Volume, kg.]]/1000</f>
        <v>48.42</v>
      </c>
      <c r="J283" s="34">
        <v>0.31159999999999999</v>
      </c>
      <c r="K283" s="34">
        <f t="shared" si="8"/>
        <v>15087.671999999999</v>
      </c>
      <c r="L283" s="34">
        <v>3.37</v>
      </c>
      <c r="M283" s="34">
        <v>162982.5</v>
      </c>
      <c r="N283" s="34">
        <f t="shared" si="9"/>
        <v>10.815147625160463</v>
      </c>
    </row>
    <row r="284" spans="1:14" x14ac:dyDescent="0.45">
      <c r="A284" s="30">
        <v>2023</v>
      </c>
      <c r="B284" s="30" t="s">
        <v>9</v>
      </c>
      <c r="C284" s="30" t="s">
        <v>46</v>
      </c>
      <c r="D284" s="30" t="s">
        <v>47</v>
      </c>
      <c r="E284" s="31" t="s">
        <v>164</v>
      </c>
      <c r="F284" s="32" t="s">
        <v>49</v>
      </c>
      <c r="G284" s="32" t="s">
        <v>50</v>
      </c>
      <c r="H284" s="33">
        <v>10220</v>
      </c>
      <c r="I284" s="34">
        <f>Table3[[#This Row],[Volume, kg.]]/1000</f>
        <v>10.220000000000001</v>
      </c>
      <c r="J284" s="34">
        <v>0.2802</v>
      </c>
      <c r="K284" s="34">
        <f t="shared" si="8"/>
        <v>2863.6440000000002</v>
      </c>
      <c r="L284" s="34">
        <v>3.25</v>
      </c>
      <c r="M284" s="34">
        <v>33198</v>
      </c>
      <c r="N284" s="34">
        <f t="shared" si="9"/>
        <v>11.598857958600998</v>
      </c>
    </row>
    <row r="285" spans="1:14" x14ac:dyDescent="0.45">
      <c r="A285" s="30">
        <v>2023</v>
      </c>
      <c r="B285" s="30" t="s">
        <v>9</v>
      </c>
      <c r="C285" s="30" t="s">
        <v>46</v>
      </c>
      <c r="D285" s="30" t="s">
        <v>47</v>
      </c>
      <c r="E285" s="31" t="s">
        <v>166</v>
      </c>
      <c r="F285" s="32" t="s">
        <v>49</v>
      </c>
      <c r="G285" s="32" t="s">
        <v>50</v>
      </c>
      <c r="H285" s="33">
        <v>13620</v>
      </c>
      <c r="I285" s="34">
        <f>Table3[[#This Row],[Volume, kg.]]/1000</f>
        <v>13.62</v>
      </c>
      <c r="J285" s="34">
        <v>0.26700000000000002</v>
      </c>
      <c r="K285" s="34">
        <f t="shared" si="8"/>
        <v>3636.5400000000004</v>
      </c>
      <c r="L285" s="34">
        <v>3.2</v>
      </c>
      <c r="M285" s="34">
        <v>43584</v>
      </c>
      <c r="N285" s="34">
        <f t="shared" si="9"/>
        <v>11.985018726591761</v>
      </c>
    </row>
    <row r="286" spans="1:14" x14ac:dyDescent="0.45">
      <c r="A286" s="30">
        <v>2023</v>
      </c>
      <c r="B286" s="30" t="s">
        <v>9</v>
      </c>
      <c r="C286" s="30" t="s">
        <v>46</v>
      </c>
      <c r="D286" s="30" t="s">
        <v>47</v>
      </c>
      <c r="E286" s="31" t="s">
        <v>167</v>
      </c>
      <c r="F286" s="32" t="s">
        <v>49</v>
      </c>
      <c r="G286" s="32" t="s">
        <v>50</v>
      </c>
      <c r="H286" s="33">
        <v>118230</v>
      </c>
      <c r="I286" s="34">
        <f>Table3[[#This Row],[Volume, kg.]]/1000</f>
        <v>118.23</v>
      </c>
      <c r="J286" s="34">
        <v>0.25929999999999997</v>
      </c>
      <c r="K286" s="34">
        <f t="shared" si="8"/>
        <v>30657.038999999997</v>
      </c>
      <c r="L286" s="34">
        <v>3.13</v>
      </c>
      <c r="M286" s="34">
        <v>370401</v>
      </c>
      <c r="N286" s="34">
        <f t="shared" si="9"/>
        <v>12.070960277670652</v>
      </c>
    </row>
    <row r="287" spans="1:14" x14ac:dyDescent="0.45">
      <c r="A287" s="30">
        <v>2023</v>
      </c>
      <c r="B287" s="30" t="s">
        <v>9</v>
      </c>
      <c r="C287" s="30" t="s">
        <v>46</v>
      </c>
      <c r="D287" s="30" t="s">
        <v>47</v>
      </c>
      <c r="E287" s="31" t="s">
        <v>170</v>
      </c>
      <c r="F287" s="32" t="s">
        <v>49</v>
      </c>
      <c r="G287" s="32" t="s">
        <v>50</v>
      </c>
      <c r="H287" s="33">
        <v>15420</v>
      </c>
      <c r="I287" s="34">
        <f>Table3[[#This Row],[Volume, kg.]]/1000</f>
        <v>15.42</v>
      </c>
      <c r="J287" s="34">
        <v>0.26769999999999999</v>
      </c>
      <c r="K287" s="34">
        <f t="shared" si="8"/>
        <v>4127.9340000000002</v>
      </c>
      <c r="L287" s="34">
        <v>3.15</v>
      </c>
      <c r="M287" s="34">
        <v>48573</v>
      </c>
      <c r="N287" s="34">
        <f t="shared" si="9"/>
        <v>11.766903249906612</v>
      </c>
    </row>
    <row r="288" spans="1:14" x14ac:dyDescent="0.45">
      <c r="A288" s="30">
        <v>2023</v>
      </c>
      <c r="B288" s="30" t="s">
        <v>9</v>
      </c>
      <c r="C288" s="30" t="s">
        <v>46</v>
      </c>
      <c r="D288" s="30" t="s">
        <v>47</v>
      </c>
      <c r="E288" s="31" t="s">
        <v>171</v>
      </c>
      <c r="F288" s="32" t="s">
        <v>49</v>
      </c>
      <c r="G288" s="32" t="s">
        <v>50</v>
      </c>
      <c r="H288" s="33">
        <v>21120</v>
      </c>
      <c r="I288" s="34">
        <f>Table3[[#This Row],[Volume, kg.]]/1000</f>
        <v>21.12</v>
      </c>
      <c r="J288" s="34">
        <v>0.28670000000000001</v>
      </c>
      <c r="K288" s="34">
        <f t="shared" si="8"/>
        <v>6055.1040000000003</v>
      </c>
      <c r="L288" s="34">
        <v>3.23</v>
      </c>
      <c r="M288" s="34">
        <v>68248.5</v>
      </c>
      <c r="N288" s="34">
        <f t="shared" si="9"/>
        <v>11.266131845134286</v>
      </c>
    </row>
    <row r="289" spans="1:14" x14ac:dyDescent="0.45">
      <c r="A289" s="30">
        <v>2023</v>
      </c>
      <c r="B289" s="30" t="s">
        <v>9</v>
      </c>
      <c r="C289" s="30" t="s">
        <v>46</v>
      </c>
      <c r="D289" s="30" t="s">
        <v>47</v>
      </c>
      <c r="E289" s="31" t="s">
        <v>172</v>
      </c>
      <c r="F289" s="32" t="s">
        <v>57</v>
      </c>
      <c r="G289" s="32" t="s">
        <v>50</v>
      </c>
      <c r="H289" s="33">
        <v>97500</v>
      </c>
      <c r="I289" s="34">
        <f>Table3[[#This Row],[Volume, kg.]]/1000</f>
        <v>97.5</v>
      </c>
      <c r="J289" s="34">
        <v>0.30249999999999999</v>
      </c>
      <c r="K289" s="34">
        <f t="shared" si="8"/>
        <v>29493.75</v>
      </c>
      <c r="L289" s="34">
        <v>3.35</v>
      </c>
      <c r="M289" s="34">
        <v>326289</v>
      </c>
      <c r="N289" s="34">
        <f t="shared" si="9"/>
        <v>11.074380165289258</v>
      </c>
    </row>
    <row r="290" spans="1:14" x14ac:dyDescent="0.45">
      <c r="A290" s="30">
        <v>2023</v>
      </c>
      <c r="B290" s="30" t="s">
        <v>9</v>
      </c>
      <c r="C290" s="30" t="s">
        <v>46</v>
      </c>
      <c r="D290" s="30" t="s">
        <v>47</v>
      </c>
      <c r="E290" s="31" t="s">
        <v>174</v>
      </c>
      <c r="F290" s="32" t="s">
        <v>57</v>
      </c>
      <c r="G290" s="32" t="s">
        <v>50</v>
      </c>
      <c r="H290" s="33">
        <v>26290</v>
      </c>
      <c r="I290" s="34">
        <f>Table3[[#This Row],[Volume, kg.]]/1000</f>
        <v>26.29</v>
      </c>
      <c r="J290" s="34">
        <v>0.28749999999999998</v>
      </c>
      <c r="K290" s="34">
        <f t="shared" si="8"/>
        <v>7558.3749999999991</v>
      </c>
      <c r="L290" s="34">
        <v>3.28</v>
      </c>
      <c r="M290" s="34">
        <v>86354</v>
      </c>
      <c r="N290" s="34">
        <f t="shared" si="9"/>
        <v>11.408695652173913</v>
      </c>
    </row>
    <row r="291" spans="1:14" x14ac:dyDescent="0.45">
      <c r="A291" s="30">
        <v>2023</v>
      </c>
      <c r="B291" s="30" t="s">
        <v>9</v>
      </c>
      <c r="C291" s="30" t="s">
        <v>46</v>
      </c>
      <c r="D291" s="30" t="s">
        <v>47</v>
      </c>
      <c r="E291" s="31" t="s">
        <v>176</v>
      </c>
      <c r="F291" s="32" t="s">
        <v>49</v>
      </c>
      <c r="G291" s="32" t="s">
        <v>50</v>
      </c>
      <c r="H291" s="33">
        <v>35920</v>
      </c>
      <c r="I291" s="34">
        <f>Table3[[#This Row],[Volume, kg.]]/1000</f>
        <v>35.92</v>
      </c>
      <c r="J291" s="34">
        <v>0.30099999999999999</v>
      </c>
      <c r="K291" s="34">
        <f t="shared" si="8"/>
        <v>10811.92</v>
      </c>
      <c r="L291" s="34">
        <v>3.31</v>
      </c>
      <c r="M291" s="34">
        <v>118905.5</v>
      </c>
      <c r="N291" s="34">
        <f t="shared" si="9"/>
        <v>10.996677740863788</v>
      </c>
    </row>
    <row r="292" spans="1:14" x14ac:dyDescent="0.45">
      <c r="A292" s="30">
        <v>2023</v>
      </c>
      <c r="B292" s="30" t="s">
        <v>9</v>
      </c>
      <c r="C292" s="30" t="s">
        <v>46</v>
      </c>
      <c r="D292" s="30" t="s">
        <v>47</v>
      </c>
      <c r="E292" s="31" t="s">
        <v>177</v>
      </c>
      <c r="F292" s="32" t="s">
        <v>49</v>
      </c>
      <c r="G292" s="32" t="s">
        <v>50</v>
      </c>
      <c r="H292" s="33">
        <v>32300</v>
      </c>
      <c r="I292" s="34">
        <f>Table3[[#This Row],[Volume, kg.]]/1000</f>
        <v>32.299999999999997</v>
      </c>
      <c r="J292" s="34">
        <v>0.28850000000000003</v>
      </c>
      <c r="K292" s="34">
        <f t="shared" si="8"/>
        <v>9318.5500000000011</v>
      </c>
      <c r="L292" s="34">
        <v>3.31</v>
      </c>
      <c r="M292" s="34">
        <v>106830</v>
      </c>
      <c r="N292" s="34">
        <f t="shared" si="9"/>
        <v>11.473136915077989</v>
      </c>
    </row>
    <row r="293" spans="1:14" x14ac:dyDescent="0.45">
      <c r="A293" s="30">
        <v>2023</v>
      </c>
      <c r="B293" s="30" t="s">
        <v>9</v>
      </c>
      <c r="C293" s="30" t="s">
        <v>46</v>
      </c>
      <c r="D293" s="30" t="s">
        <v>47</v>
      </c>
      <c r="E293" s="31" t="s">
        <v>179</v>
      </c>
      <c r="F293" s="32" t="s">
        <v>60</v>
      </c>
      <c r="G293" s="32" t="s">
        <v>50</v>
      </c>
      <c r="H293" s="33">
        <v>18120</v>
      </c>
      <c r="I293" s="34">
        <f>Table3[[#This Row],[Volume, kg.]]/1000</f>
        <v>18.12</v>
      </c>
      <c r="J293" s="34">
        <v>0.31280000000000002</v>
      </c>
      <c r="K293" s="34">
        <f t="shared" si="8"/>
        <v>5667.9360000000006</v>
      </c>
      <c r="L293" s="34">
        <v>3.36</v>
      </c>
      <c r="M293" s="34">
        <v>60800</v>
      </c>
      <c r="N293" s="34">
        <f t="shared" si="9"/>
        <v>10.741687979539641</v>
      </c>
    </row>
    <row r="294" spans="1:14" x14ac:dyDescent="0.45">
      <c r="A294" s="30">
        <v>2023</v>
      </c>
      <c r="B294" s="30" t="s">
        <v>9</v>
      </c>
      <c r="C294" s="30" t="s">
        <v>46</v>
      </c>
      <c r="D294" s="30" t="s">
        <v>47</v>
      </c>
      <c r="E294" s="31" t="s">
        <v>298</v>
      </c>
      <c r="F294" s="32" t="s">
        <v>49</v>
      </c>
      <c r="G294" s="32" t="s">
        <v>50</v>
      </c>
      <c r="H294" s="33">
        <v>2430</v>
      </c>
      <c r="I294" s="34">
        <f>Table3[[#This Row],[Volume, kg.]]/1000</f>
        <v>2.4300000000000002</v>
      </c>
      <c r="J294" s="34">
        <v>0.25700000000000001</v>
      </c>
      <c r="K294" s="34">
        <f t="shared" si="8"/>
        <v>624.51</v>
      </c>
      <c r="L294" s="34">
        <v>3.1</v>
      </c>
      <c r="M294" s="34">
        <v>7533</v>
      </c>
      <c r="N294" s="34">
        <f t="shared" si="9"/>
        <v>12.062256809338521</v>
      </c>
    </row>
    <row r="295" spans="1:14" x14ac:dyDescent="0.45">
      <c r="A295" s="30">
        <v>2023</v>
      </c>
      <c r="B295" s="30" t="s">
        <v>9</v>
      </c>
      <c r="C295" s="30" t="s">
        <v>46</v>
      </c>
      <c r="D295" s="30" t="s">
        <v>47</v>
      </c>
      <c r="E295" s="31" t="s">
        <v>182</v>
      </c>
      <c r="F295" s="32" t="s">
        <v>81</v>
      </c>
      <c r="G295" s="32" t="s">
        <v>50</v>
      </c>
      <c r="H295" s="33">
        <v>182970</v>
      </c>
      <c r="I295" s="34">
        <f>Table3[[#This Row],[Volume, kg.]]/1000</f>
        <v>182.97</v>
      </c>
      <c r="J295" s="34">
        <v>0.28470000000000001</v>
      </c>
      <c r="K295" s="34">
        <f t="shared" si="8"/>
        <v>52091.559000000001</v>
      </c>
      <c r="L295" s="34">
        <v>3.25</v>
      </c>
      <c r="M295" s="34">
        <v>594163</v>
      </c>
      <c r="N295" s="34">
        <f t="shared" si="9"/>
        <v>11.415525114155251</v>
      </c>
    </row>
    <row r="296" spans="1:14" x14ac:dyDescent="0.45">
      <c r="A296" s="30">
        <v>2023</v>
      </c>
      <c r="B296" s="30" t="s">
        <v>9</v>
      </c>
      <c r="C296" s="30" t="s">
        <v>46</v>
      </c>
      <c r="D296" s="30" t="s">
        <v>47</v>
      </c>
      <c r="E296" s="31" t="s">
        <v>299</v>
      </c>
      <c r="F296" s="32" t="s">
        <v>49</v>
      </c>
      <c r="G296" s="32" t="s">
        <v>50</v>
      </c>
      <c r="H296" s="33">
        <v>8270</v>
      </c>
      <c r="I296" s="34">
        <f>Table3[[#This Row],[Volume, kg.]]/1000</f>
        <v>8.27</v>
      </c>
      <c r="J296" s="34">
        <v>0.22239999999999999</v>
      </c>
      <c r="K296" s="34">
        <f t="shared" si="8"/>
        <v>1839.2479999999998</v>
      </c>
      <c r="L296" s="34">
        <v>2.98</v>
      </c>
      <c r="M296" s="34">
        <v>24667.5</v>
      </c>
      <c r="N296" s="34">
        <f t="shared" si="9"/>
        <v>13.399280575539569</v>
      </c>
    </row>
    <row r="297" spans="1:14" x14ac:dyDescent="0.45">
      <c r="A297" s="30">
        <v>2023</v>
      </c>
      <c r="B297" s="30" t="s">
        <v>9</v>
      </c>
      <c r="C297" s="30" t="s">
        <v>46</v>
      </c>
      <c r="D297" s="30" t="s">
        <v>47</v>
      </c>
      <c r="E297" s="31" t="s">
        <v>300</v>
      </c>
      <c r="F297" s="32" t="s">
        <v>57</v>
      </c>
      <c r="G297" s="32" t="s">
        <v>50</v>
      </c>
      <c r="H297" s="33">
        <v>31900</v>
      </c>
      <c r="I297" s="34">
        <f>Table3[[#This Row],[Volume, kg.]]/1000</f>
        <v>31.9</v>
      </c>
      <c r="J297" s="34">
        <v>0.27949999999999997</v>
      </c>
      <c r="K297" s="34">
        <f t="shared" si="8"/>
        <v>8916.0499999999993</v>
      </c>
      <c r="L297" s="34">
        <v>3.19</v>
      </c>
      <c r="M297" s="34">
        <v>101887.5</v>
      </c>
      <c r="N297" s="34">
        <f t="shared" si="9"/>
        <v>11.413237924865832</v>
      </c>
    </row>
    <row r="298" spans="1:14" x14ac:dyDescent="0.45">
      <c r="A298" s="30">
        <v>2023</v>
      </c>
      <c r="B298" s="30" t="s">
        <v>9</v>
      </c>
      <c r="C298" s="30" t="s">
        <v>46</v>
      </c>
      <c r="D298" s="30" t="s">
        <v>47</v>
      </c>
      <c r="E298" s="31" t="s">
        <v>301</v>
      </c>
      <c r="F298" s="32" t="s">
        <v>60</v>
      </c>
      <c r="G298" s="32" t="s">
        <v>50</v>
      </c>
      <c r="H298" s="33">
        <v>16420</v>
      </c>
      <c r="I298" s="34">
        <f>Table3[[#This Row],[Volume, kg.]]/1000</f>
        <v>16.420000000000002</v>
      </c>
      <c r="J298" s="34">
        <v>0.31390000000000001</v>
      </c>
      <c r="K298" s="34">
        <f t="shared" si="8"/>
        <v>5154.2380000000003</v>
      </c>
      <c r="L298" s="34">
        <v>3.47</v>
      </c>
      <c r="M298" s="34">
        <v>56948</v>
      </c>
      <c r="N298" s="34">
        <f t="shared" si="9"/>
        <v>11.054475947754062</v>
      </c>
    </row>
    <row r="299" spans="1:14" x14ac:dyDescent="0.45">
      <c r="A299" s="30">
        <v>2023</v>
      </c>
      <c r="B299" s="30" t="s">
        <v>9</v>
      </c>
      <c r="C299" s="30" t="s">
        <v>46</v>
      </c>
      <c r="D299" s="30" t="s">
        <v>47</v>
      </c>
      <c r="E299" s="31" t="s">
        <v>184</v>
      </c>
      <c r="F299" s="32" t="s">
        <v>57</v>
      </c>
      <c r="G299" s="32" t="s">
        <v>50</v>
      </c>
      <c r="H299" s="33">
        <v>18480</v>
      </c>
      <c r="I299" s="34">
        <f>Table3[[#This Row],[Volume, kg.]]/1000</f>
        <v>18.48</v>
      </c>
      <c r="J299" s="34">
        <v>0.31840000000000002</v>
      </c>
      <c r="K299" s="34">
        <f t="shared" si="8"/>
        <v>5884.0320000000002</v>
      </c>
      <c r="L299" s="34">
        <v>3.45</v>
      </c>
      <c r="M299" s="34">
        <v>63756</v>
      </c>
      <c r="N299" s="34">
        <f t="shared" si="9"/>
        <v>10.835427135678392</v>
      </c>
    </row>
    <row r="300" spans="1:14" x14ac:dyDescent="0.45">
      <c r="A300" s="30">
        <v>2023</v>
      </c>
      <c r="B300" s="30" t="s">
        <v>9</v>
      </c>
      <c r="C300" s="30" t="s">
        <v>46</v>
      </c>
      <c r="D300" s="30" t="s">
        <v>47</v>
      </c>
      <c r="E300" s="31" t="s">
        <v>186</v>
      </c>
      <c r="F300" s="32" t="s">
        <v>64</v>
      </c>
      <c r="G300" s="32" t="s">
        <v>50</v>
      </c>
      <c r="H300" s="33">
        <v>11270</v>
      </c>
      <c r="I300" s="34">
        <f>Table3[[#This Row],[Volume, kg.]]/1000</f>
        <v>11.27</v>
      </c>
      <c r="J300" s="34">
        <v>0.247</v>
      </c>
      <c r="K300" s="34">
        <f t="shared" si="8"/>
        <v>2783.69</v>
      </c>
      <c r="L300" s="34">
        <v>3.05</v>
      </c>
      <c r="M300" s="34">
        <v>34373.5</v>
      </c>
      <c r="N300" s="34">
        <f t="shared" si="9"/>
        <v>12.348178137651821</v>
      </c>
    </row>
    <row r="301" spans="1:14" x14ac:dyDescent="0.45">
      <c r="A301" s="30">
        <v>2023</v>
      </c>
      <c r="B301" s="30" t="s">
        <v>9</v>
      </c>
      <c r="C301" s="30" t="s">
        <v>46</v>
      </c>
      <c r="D301" s="30" t="s">
        <v>102</v>
      </c>
      <c r="E301" s="31" t="s">
        <v>188</v>
      </c>
      <c r="F301" s="32" t="s">
        <v>189</v>
      </c>
      <c r="G301" s="32" t="s">
        <v>128</v>
      </c>
      <c r="H301" s="33">
        <v>520480</v>
      </c>
      <c r="I301" s="34">
        <f>Table3[[#This Row],[Volume, kg.]]/1000</f>
        <v>520.48</v>
      </c>
      <c r="J301" s="34">
        <v>0.29160000000000003</v>
      </c>
      <c r="K301" s="34">
        <f t="shared" si="8"/>
        <v>151771.96800000002</v>
      </c>
      <c r="L301" s="34">
        <v>3.36</v>
      </c>
      <c r="M301" s="34">
        <v>1749339</v>
      </c>
      <c r="N301" s="34">
        <f t="shared" si="9"/>
        <v>11.522633744855966</v>
      </c>
    </row>
    <row r="302" spans="1:14" x14ac:dyDescent="0.45">
      <c r="A302" s="30">
        <v>2023</v>
      </c>
      <c r="B302" s="30" t="s">
        <v>9</v>
      </c>
      <c r="C302" s="30" t="s">
        <v>46</v>
      </c>
      <c r="D302" s="30" t="s">
        <v>47</v>
      </c>
      <c r="E302" s="31" t="s">
        <v>190</v>
      </c>
      <c r="F302" s="32" t="s">
        <v>81</v>
      </c>
      <c r="G302" s="32" t="s">
        <v>50</v>
      </c>
      <c r="H302" s="33">
        <v>136000</v>
      </c>
      <c r="I302" s="34">
        <f>Table3[[#This Row],[Volume, kg.]]/1000</f>
        <v>136</v>
      </c>
      <c r="J302" s="34">
        <v>0.2641</v>
      </c>
      <c r="K302" s="34">
        <f t="shared" si="8"/>
        <v>35917.599999999999</v>
      </c>
      <c r="L302" s="34">
        <v>3.16</v>
      </c>
      <c r="M302" s="34">
        <v>429532</v>
      </c>
      <c r="N302" s="34">
        <f t="shared" si="9"/>
        <v>11.965164710336994</v>
      </c>
    </row>
    <row r="303" spans="1:14" x14ac:dyDescent="0.45">
      <c r="A303" s="30">
        <v>2023</v>
      </c>
      <c r="B303" s="30" t="s">
        <v>9</v>
      </c>
      <c r="C303" s="30" t="s">
        <v>46</v>
      </c>
      <c r="D303" s="30" t="s">
        <v>47</v>
      </c>
      <c r="E303" s="31" t="s">
        <v>191</v>
      </c>
      <c r="F303" s="32" t="s">
        <v>49</v>
      </c>
      <c r="G303" s="32" t="s">
        <v>50</v>
      </c>
      <c r="H303" s="33">
        <v>191580</v>
      </c>
      <c r="I303" s="34">
        <f>Table3[[#This Row],[Volume, kg.]]/1000</f>
        <v>191.58</v>
      </c>
      <c r="J303" s="34">
        <v>0.30070000000000002</v>
      </c>
      <c r="K303" s="34">
        <f t="shared" si="8"/>
        <v>57608.106000000007</v>
      </c>
      <c r="L303" s="34">
        <v>3.32</v>
      </c>
      <c r="M303" s="34">
        <v>636822</v>
      </c>
      <c r="N303" s="34">
        <f t="shared" si="9"/>
        <v>11.040904556035915</v>
      </c>
    </row>
    <row r="304" spans="1:14" x14ac:dyDescent="0.45">
      <c r="A304" s="30">
        <v>2023</v>
      </c>
      <c r="B304" s="30" t="s">
        <v>9</v>
      </c>
      <c r="C304" s="30" t="s">
        <v>46</v>
      </c>
      <c r="D304" s="30" t="s">
        <v>47</v>
      </c>
      <c r="E304" s="31" t="s">
        <v>192</v>
      </c>
      <c r="F304" s="32" t="s">
        <v>49</v>
      </c>
      <c r="G304" s="32" t="s">
        <v>50</v>
      </c>
      <c r="H304" s="33">
        <v>1190</v>
      </c>
      <c r="I304" s="34">
        <f>Table3[[#This Row],[Volume, kg.]]/1000</f>
        <v>1.19</v>
      </c>
      <c r="J304" s="34">
        <v>0.26600000000000001</v>
      </c>
      <c r="K304" s="34">
        <f t="shared" si="8"/>
        <v>316.54000000000002</v>
      </c>
      <c r="L304" s="34">
        <v>3.2</v>
      </c>
      <c r="M304" s="34">
        <v>3808</v>
      </c>
      <c r="N304" s="34">
        <f t="shared" si="9"/>
        <v>12.030075187969924</v>
      </c>
    </row>
    <row r="305" spans="1:14" x14ac:dyDescent="0.45">
      <c r="A305" s="30">
        <v>2023</v>
      </c>
      <c r="B305" s="30" t="s">
        <v>9</v>
      </c>
      <c r="C305" s="30" t="s">
        <v>46</v>
      </c>
      <c r="D305" s="30" t="s">
        <v>47</v>
      </c>
      <c r="E305" s="31" t="s">
        <v>302</v>
      </c>
      <c r="F305" s="32" t="s">
        <v>49</v>
      </c>
      <c r="G305" s="32" t="s">
        <v>50</v>
      </c>
      <c r="H305" s="33">
        <v>65410</v>
      </c>
      <c r="I305" s="34">
        <f>Table3[[#This Row],[Volume, kg.]]/1000</f>
        <v>65.41</v>
      </c>
      <c r="J305" s="34">
        <v>0.29620000000000002</v>
      </c>
      <c r="K305" s="34">
        <f t="shared" si="8"/>
        <v>19374.442000000003</v>
      </c>
      <c r="L305" s="34">
        <v>3.31</v>
      </c>
      <c r="M305" s="34">
        <v>216323.5</v>
      </c>
      <c r="N305" s="34">
        <f t="shared" si="9"/>
        <v>11.174881836596894</v>
      </c>
    </row>
    <row r="306" spans="1:14" x14ac:dyDescent="0.45">
      <c r="A306" s="30">
        <v>2023</v>
      </c>
      <c r="B306" s="30" t="s">
        <v>9</v>
      </c>
      <c r="C306" s="30" t="s">
        <v>46</v>
      </c>
      <c r="D306" s="30" t="s">
        <v>47</v>
      </c>
      <c r="E306" s="31" t="s">
        <v>303</v>
      </c>
      <c r="F306" s="32" t="s">
        <v>57</v>
      </c>
      <c r="G306" s="32" t="s">
        <v>50</v>
      </c>
      <c r="H306" s="33">
        <v>31660</v>
      </c>
      <c r="I306" s="34">
        <f>Table3[[#This Row],[Volume, kg.]]/1000</f>
        <v>31.66</v>
      </c>
      <c r="J306" s="34">
        <v>0.29109999999999997</v>
      </c>
      <c r="K306" s="34">
        <f t="shared" si="8"/>
        <v>9216.2259999999987</v>
      </c>
      <c r="L306" s="34">
        <v>3.27</v>
      </c>
      <c r="M306" s="34">
        <v>103676.5</v>
      </c>
      <c r="N306" s="34">
        <f t="shared" si="9"/>
        <v>11.233253177602199</v>
      </c>
    </row>
    <row r="307" spans="1:14" x14ac:dyDescent="0.45">
      <c r="A307" s="30">
        <v>2023</v>
      </c>
      <c r="B307" s="30" t="s">
        <v>9</v>
      </c>
      <c r="C307" s="30" t="s">
        <v>46</v>
      </c>
      <c r="D307" s="30" t="s">
        <v>47</v>
      </c>
      <c r="E307" s="31" t="s">
        <v>194</v>
      </c>
      <c r="F307" s="32" t="s">
        <v>49</v>
      </c>
      <c r="G307" s="32" t="s">
        <v>50</v>
      </c>
      <c r="H307" s="33">
        <v>23500</v>
      </c>
      <c r="I307" s="34">
        <f>Table3[[#This Row],[Volume, kg.]]/1000</f>
        <v>23.5</v>
      </c>
      <c r="J307" s="34">
        <v>0.2712</v>
      </c>
      <c r="K307" s="34">
        <f t="shared" si="8"/>
        <v>6373.2</v>
      </c>
      <c r="L307" s="34">
        <v>3.21</v>
      </c>
      <c r="M307" s="34">
        <v>75460</v>
      </c>
      <c r="N307" s="34">
        <f t="shared" si="9"/>
        <v>11.836283185840708</v>
      </c>
    </row>
    <row r="308" spans="1:14" x14ac:dyDescent="0.45">
      <c r="A308" s="30">
        <v>2023</v>
      </c>
      <c r="B308" s="30" t="s">
        <v>9</v>
      </c>
      <c r="C308" s="30" t="s">
        <v>46</v>
      </c>
      <c r="D308" s="30" t="s">
        <v>47</v>
      </c>
      <c r="E308" s="31" t="s">
        <v>304</v>
      </c>
      <c r="F308" s="32" t="s">
        <v>64</v>
      </c>
      <c r="G308" s="32" t="s">
        <v>50</v>
      </c>
      <c r="H308" s="33">
        <v>26010</v>
      </c>
      <c r="I308" s="34">
        <f>Table3[[#This Row],[Volume, kg.]]/1000</f>
        <v>26.01</v>
      </c>
      <c r="J308" s="34">
        <v>0.31319999999999998</v>
      </c>
      <c r="K308" s="34">
        <f t="shared" si="8"/>
        <v>8146.3319999999994</v>
      </c>
      <c r="L308" s="34">
        <v>3.37</v>
      </c>
      <c r="M308" s="34">
        <v>87574</v>
      </c>
      <c r="N308" s="34">
        <f t="shared" si="9"/>
        <v>10.759897828863346</v>
      </c>
    </row>
    <row r="309" spans="1:14" x14ac:dyDescent="0.45">
      <c r="A309" s="30">
        <v>2023</v>
      </c>
      <c r="B309" s="30" t="s">
        <v>9</v>
      </c>
      <c r="C309" s="30" t="s">
        <v>46</v>
      </c>
      <c r="D309" s="30" t="s">
        <v>47</v>
      </c>
      <c r="E309" s="31" t="s">
        <v>197</v>
      </c>
      <c r="F309" s="32" t="s">
        <v>57</v>
      </c>
      <c r="G309" s="32" t="s">
        <v>50</v>
      </c>
      <c r="H309" s="33">
        <v>105430</v>
      </c>
      <c r="I309" s="34">
        <f>Table3[[#This Row],[Volume, kg.]]/1000</f>
        <v>105.43</v>
      </c>
      <c r="J309" s="34">
        <v>0.29239999999999999</v>
      </c>
      <c r="K309" s="34">
        <f t="shared" si="8"/>
        <v>30827.732</v>
      </c>
      <c r="L309" s="34">
        <v>3.31</v>
      </c>
      <c r="M309" s="34">
        <v>348889.5</v>
      </c>
      <c r="N309" s="34">
        <f t="shared" si="9"/>
        <v>11.320109439124488</v>
      </c>
    </row>
    <row r="310" spans="1:14" x14ac:dyDescent="0.45">
      <c r="A310" s="30">
        <v>2023</v>
      </c>
      <c r="B310" s="30" t="s">
        <v>9</v>
      </c>
      <c r="C310" s="30" t="s">
        <v>46</v>
      </c>
      <c r="D310" s="30" t="s">
        <v>47</v>
      </c>
      <c r="E310" s="31" t="s">
        <v>305</v>
      </c>
      <c r="F310" s="32" t="s">
        <v>64</v>
      </c>
      <c r="G310" s="32" t="s">
        <v>50</v>
      </c>
      <c r="H310" s="33">
        <v>9470</v>
      </c>
      <c r="I310" s="34">
        <f>Table3[[#This Row],[Volume, kg.]]/1000</f>
        <v>9.4700000000000006</v>
      </c>
      <c r="J310" s="34">
        <v>0.29649999999999999</v>
      </c>
      <c r="K310" s="34">
        <f t="shared" si="8"/>
        <v>2807.855</v>
      </c>
      <c r="L310" s="34">
        <v>3.3</v>
      </c>
      <c r="M310" s="34">
        <v>31251</v>
      </c>
      <c r="N310" s="34">
        <f t="shared" si="9"/>
        <v>11.129848229342327</v>
      </c>
    </row>
    <row r="311" spans="1:14" x14ac:dyDescent="0.45">
      <c r="A311" s="30">
        <v>2023</v>
      </c>
      <c r="B311" s="30" t="s">
        <v>9</v>
      </c>
      <c r="C311" s="30" t="s">
        <v>46</v>
      </c>
      <c r="D311" s="30" t="s">
        <v>47</v>
      </c>
      <c r="E311" s="31" t="s">
        <v>306</v>
      </c>
      <c r="F311" s="32" t="s">
        <v>60</v>
      </c>
      <c r="G311" s="32" t="s">
        <v>50</v>
      </c>
      <c r="H311" s="33">
        <v>27800</v>
      </c>
      <c r="I311" s="34">
        <f>Table3[[#This Row],[Volume, kg.]]/1000</f>
        <v>27.8</v>
      </c>
      <c r="J311" s="34">
        <v>0.29760000000000003</v>
      </c>
      <c r="K311" s="34">
        <f t="shared" si="8"/>
        <v>8273.2800000000007</v>
      </c>
      <c r="L311" s="34">
        <v>3.31</v>
      </c>
      <c r="M311" s="34">
        <v>91955</v>
      </c>
      <c r="N311" s="34">
        <f t="shared" si="9"/>
        <v>11.122311827956988</v>
      </c>
    </row>
    <row r="312" spans="1:14" x14ac:dyDescent="0.45">
      <c r="A312" s="30">
        <v>2023</v>
      </c>
      <c r="B312" s="30" t="s">
        <v>9</v>
      </c>
      <c r="C312" s="30" t="s">
        <v>46</v>
      </c>
      <c r="D312" s="30" t="s">
        <v>47</v>
      </c>
      <c r="E312" s="31" t="s">
        <v>307</v>
      </c>
      <c r="F312" s="32" t="s">
        <v>81</v>
      </c>
      <c r="G312" s="32" t="s">
        <v>50</v>
      </c>
      <c r="H312" s="33">
        <v>10340</v>
      </c>
      <c r="I312" s="34">
        <f>Table3[[#This Row],[Volume, kg.]]/1000</f>
        <v>10.34</v>
      </c>
      <c r="J312" s="34">
        <v>0.29730000000000001</v>
      </c>
      <c r="K312" s="34">
        <f t="shared" si="8"/>
        <v>3074.0819999999999</v>
      </c>
      <c r="L312" s="34">
        <v>3.34</v>
      </c>
      <c r="M312" s="34">
        <v>34523</v>
      </c>
      <c r="N312" s="34">
        <f t="shared" si="9"/>
        <v>11.234443323242516</v>
      </c>
    </row>
    <row r="313" spans="1:14" x14ac:dyDescent="0.45">
      <c r="A313" s="30">
        <v>2023</v>
      </c>
      <c r="B313" s="30" t="s">
        <v>9</v>
      </c>
      <c r="C313" s="30" t="s">
        <v>46</v>
      </c>
      <c r="D313" s="30" t="s">
        <v>47</v>
      </c>
      <c r="E313" s="31" t="s">
        <v>308</v>
      </c>
      <c r="F313" s="32" t="s">
        <v>81</v>
      </c>
      <c r="G313" s="32" t="s">
        <v>50</v>
      </c>
      <c r="H313" s="33">
        <v>182810</v>
      </c>
      <c r="I313" s="34">
        <f>Table3[[#This Row],[Volume, kg.]]/1000</f>
        <v>182.81</v>
      </c>
      <c r="J313" s="34">
        <v>0.29239999999999999</v>
      </c>
      <c r="K313" s="34">
        <f t="shared" si="8"/>
        <v>53453.644</v>
      </c>
      <c r="L313" s="34">
        <v>3.31</v>
      </c>
      <c r="M313" s="34">
        <v>604264</v>
      </c>
      <c r="N313" s="34">
        <f t="shared" si="9"/>
        <v>11.320109439124488</v>
      </c>
    </row>
    <row r="314" spans="1:14" x14ac:dyDescent="0.45">
      <c r="A314" s="30">
        <v>2023</v>
      </c>
      <c r="B314" s="30" t="s">
        <v>9</v>
      </c>
      <c r="C314" s="30" t="s">
        <v>46</v>
      </c>
      <c r="D314" s="30" t="s">
        <v>47</v>
      </c>
      <c r="E314" s="31" t="s">
        <v>199</v>
      </c>
      <c r="F314" s="32" t="s">
        <v>60</v>
      </c>
      <c r="G314" s="32" t="s">
        <v>50</v>
      </c>
      <c r="H314" s="33">
        <v>28130</v>
      </c>
      <c r="I314" s="34">
        <f>Table3[[#This Row],[Volume, kg.]]/1000</f>
        <v>28.13</v>
      </c>
      <c r="J314" s="34">
        <v>0.30329999999999996</v>
      </c>
      <c r="K314" s="34">
        <f t="shared" si="8"/>
        <v>8531.8289999999997</v>
      </c>
      <c r="L314" s="34">
        <v>3.36</v>
      </c>
      <c r="M314" s="34">
        <v>94493</v>
      </c>
      <c r="N314" s="34">
        <f t="shared" si="9"/>
        <v>11.078140454995056</v>
      </c>
    </row>
    <row r="315" spans="1:14" x14ac:dyDescent="0.45">
      <c r="A315" s="30">
        <v>2023</v>
      </c>
      <c r="B315" s="30" t="s">
        <v>9</v>
      </c>
      <c r="C315" s="30" t="s">
        <v>46</v>
      </c>
      <c r="D315" s="30" t="s">
        <v>47</v>
      </c>
      <c r="E315" s="31" t="s">
        <v>309</v>
      </c>
      <c r="F315" s="32" t="s">
        <v>81</v>
      </c>
      <c r="G315" s="32" t="s">
        <v>50</v>
      </c>
      <c r="H315" s="33">
        <v>135440</v>
      </c>
      <c r="I315" s="34">
        <f>Table3[[#This Row],[Volume, kg.]]/1000</f>
        <v>135.44</v>
      </c>
      <c r="J315" s="34">
        <v>0.2928</v>
      </c>
      <c r="K315" s="34">
        <f t="shared" si="8"/>
        <v>39656.832000000002</v>
      </c>
      <c r="L315" s="34">
        <v>3.3</v>
      </c>
      <c r="M315" s="34">
        <v>447376.5</v>
      </c>
      <c r="N315" s="34">
        <f t="shared" si="9"/>
        <v>11.270491803278688</v>
      </c>
    </row>
    <row r="316" spans="1:14" x14ac:dyDescent="0.45">
      <c r="A316" s="30">
        <v>2023</v>
      </c>
      <c r="B316" s="30" t="s">
        <v>9</v>
      </c>
      <c r="C316" s="30" t="s">
        <v>46</v>
      </c>
      <c r="D316" s="30" t="s">
        <v>47</v>
      </c>
      <c r="E316" s="31" t="s">
        <v>310</v>
      </c>
      <c r="F316" s="32" t="s">
        <v>54</v>
      </c>
      <c r="G316" s="32" t="s">
        <v>50</v>
      </c>
      <c r="H316" s="33">
        <v>30360</v>
      </c>
      <c r="I316" s="34">
        <f>Table3[[#This Row],[Volume, kg.]]/1000</f>
        <v>30.36</v>
      </c>
      <c r="J316" s="34">
        <v>0.30930000000000002</v>
      </c>
      <c r="K316" s="34">
        <f t="shared" si="8"/>
        <v>9390.348</v>
      </c>
      <c r="L316" s="34">
        <v>3.4</v>
      </c>
      <c r="M316" s="34">
        <v>103326</v>
      </c>
      <c r="N316" s="34">
        <f t="shared" si="9"/>
        <v>10.992563853863562</v>
      </c>
    </row>
    <row r="317" spans="1:14" x14ac:dyDescent="0.45">
      <c r="A317" s="30">
        <v>2023</v>
      </c>
      <c r="B317" s="30" t="s">
        <v>9</v>
      </c>
      <c r="C317" s="30" t="s">
        <v>46</v>
      </c>
      <c r="D317" s="30" t="s">
        <v>47</v>
      </c>
      <c r="E317" s="31" t="s">
        <v>311</v>
      </c>
      <c r="F317" s="32" t="s">
        <v>57</v>
      </c>
      <c r="G317" s="32" t="s">
        <v>50</v>
      </c>
      <c r="H317" s="33">
        <v>35290</v>
      </c>
      <c r="I317" s="34">
        <f>Table3[[#This Row],[Volume, kg.]]/1000</f>
        <v>35.29</v>
      </c>
      <c r="J317" s="34">
        <v>0.28949999999999998</v>
      </c>
      <c r="K317" s="34">
        <f t="shared" si="8"/>
        <v>10216.455</v>
      </c>
      <c r="L317" s="34">
        <v>3.3</v>
      </c>
      <c r="M317" s="34">
        <v>116550</v>
      </c>
      <c r="N317" s="34">
        <f t="shared" si="9"/>
        <v>11.398963730569948</v>
      </c>
    </row>
    <row r="318" spans="1:14" x14ac:dyDescent="0.45">
      <c r="A318" s="30">
        <v>2023</v>
      </c>
      <c r="B318" s="30" t="s">
        <v>9</v>
      </c>
      <c r="C318" s="30" t="s">
        <v>46</v>
      </c>
      <c r="D318" s="30" t="s">
        <v>47</v>
      </c>
      <c r="E318" s="31" t="s">
        <v>202</v>
      </c>
      <c r="F318" s="32" t="s">
        <v>57</v>
      </c>
      <c r="G318" s="32" t="s">
        <v>50</v>
      </c>
      <c r="H318" s="33">
        <v>25900</v>
      </c>
      <c r="I318" s="34">
        <f>Table3[[#This Row],[Volume, kg.]]/1000</f>
        <v>25.9</v>
      </c>
      <c r="J318" s="34">
        <v>0.28589999999999999</v>
      </c>
      <c r="K318" s="34">
        <f t="shared" si="8"/>
        <v>7404.8099999999995</v>
      </c>
      <c r="L318" s="34">
        <v>3.26</v>
      </c>
      <c r="M318" s="34">
        <v>84492</v>
      </c>
      <c r="N318" s="34">
        <f t="shared" si="9"/>
        <v>11.402588317593564</v>
      </c>
    </row>
    <row r="319" spans="1:14" x14ac:dyDescent="0.45">
      <c r="A319" s="30">
        <v>2023</v>
      </c>
      <c r="B319" s="30" t="s">
        <v>9</v>
      </c>
      <c r="C319" s="30" t="s">
        <v>46</v>
      </c>
      <c r="D319" s="30" t="s">
        <v>47</v>
      </c>
      <c r="E319" s="31" t="s">
        <v>203</v>
      </c>
      <c r="F319" s="32" t="s">
        <v>57</v>
      </c>
      <c r="G319" s="32" t="s">
        <v>50</v>
      </c>
      <c r="H319" s="33">
        <v>12590</v>
      </c>
      <c r="I319" s="34">
        <f>Table3[[#This Row],[Volume, kg.]]/1000</f>
        <v>12.59</v>
      </c>
      <c r="J319" s="34">
        <v>0.25509999999999999</v>
      </c>
      <c r="K319" s="34">
        <f t="shared" si="8"/>
        <v>3211.7089999999998</v>
      </c>
      <c r="L319" s="34">
        <v>3.12</v>
      </c>
      <c r="M319" s="34">
        <v>39290.5</v>
      </c>
      <c r="N319" s="34">
        <f t="shared" si="9"/>
        <v>12.230497843982752</v>
      </c>
    </row>
    <row r="320" spans="1:14" x14ac:dyDescent="0.45">
      <c r="A320" s="30">
        <v>2023</v>
      </c>
      <c r="B320" s="30" t="s">
        <v>9</v>
      </c>
      <c r="C320" s="30" t="s">
        <v>46</v>
      </c>
      <c r="D320" s="30" t="s">
        <v>47</v>
      </c>
      <c r="E320" s="31" t="s">
        <v>204</v>
      </c>
      <c r="F320" s="32" t="s">
        <v>49</v>
      </c>
      <c r="G320" s="32" t="s">
        <v>50</v>
      </c>
      <c r="H320" s="33">
        <v>64260</v>
      </c>
      <c r="I320" s="34">
        <f>Table3[[#This Row],[Volume, kg.]]/1000</f>
        <v>64.260000000000005</v>
      </c>
      <c r="J320" s="34">
        <v>0.28039999999999998</v>
      </c>
      <c r="K320" s="34">
        <f t="shared" si="8"/>
        <v>18018.503999999997</v>
      </c>
      <c r="L320" s="34">
        <v>3.26</v>
      </c>
      <c r="M320" s="34">
        <v>209436</v>
      </c>
      <c r="N320" s="34">
        <f t="shared" si="9"/>
        <v>11.626248216833096</v>
      </c>
    </row>
    <row r="321" spans="1:14" x14ac:dyDescent="0.45">
      <c r="A321" s="30">
        <v>2023</v>
      </c>
      <c r="B321" s="30" t="s">
        <v>9</v>
      </c>
      <c r="C321" s="30" t="s">
        <v>46</v>
      </c>
      <c r="D321" s="30" t="s">
        <v>47</v>
      </c>
      <c r="E321" s="31" t="s">
        <v>205</v>
      </c>
      <c r="F321" s="32" t="s">
        <v>49</v>
      </c>
      <c r="G321" s="32" t="s">
        <v>50</v>
      </c>
      <c r="H321" s="33">
        <v>116360</v>
      </c>
      <c r="I321" s="34">
        <f>Table3[[#This Row],[Volume, kg.]]/1000</f>
        <v>116.36</v>
      </c>
      <c r="J321" s="34">
        <v>0.26550000000000001</v>
      </c>
      <c r="K321" s="34">
        <f t="shared" si="8"/>
        <v>30893.58</v>
      </c>
      <c r="L321" s="34">
        <v>3.16</v>
      </c>
      <c r="M321" s="34">
        <v>367506</v>
      </c>
      <c r="N321" s="34">
        <f t="shared" si="9"/>
        <v>11.902071563088512</v>
      </c>
    </row>
    <row r="322" spans="1:14" x14ac:dyDescent="0.45">
      <c r="A322" s="30">
        <v>2023</v>
      </c>
      <c r="B322" s="30" t="s">
        <v>9</v>
      </c>
      <c r="C322" s="30" t="s">
        <v>46</v>
      </c>
      <c r="D322" s="30" t="s">
        <v>47</v>
      </c>
      <c r="E322" s="31" t="s">
        <v>206</v>
      </c>
      <c r="F322" s="32" t="s">
        <v>81</v>
      </c>
      <c r="G322" s="32" t="s">
        <v>50</v>
      </c>
      <c r="H322" s="33">
        <v>187770</v>
      </c>
      <c r="I322" s="34">
        <f>Table3[[#This Row],[Volume, kg.]]/1000</f>
        <v>187.77</v>
      </c>
      <c r="J322" s="34">
        <v>0.27800000000000002</v>
      </c>
      <c r="K322" s="34">
        <f t="shared" si="8"/>
        <v>52200.060000000005</v>
      </c>
      <c r="L322" s="34">
        <v>3.23</v>
      </c>
      <c r="M322" s="34">
        <v>606255</v>
      </c>
      <c r="N322" s="34">
        <f t="shared" si="9"/>
        <v>11.618705035971223</v>
      </c>
    </row>
    <row r="323" spans="1:14" x14ac:dyDescent="0.45">
      <c r="A323" s="30">
        <v>2023</v>
      </c>
      <c r="B323" s="30" t="s">
        <v>9</v>
      </c>
      <c r="C323" s="30" t="s">
        <v>46</v>
      </c>
      <c r="D323" s="30" t="s">
        <v>47</v>
      </c>
      <c r="E323" s="31" t="s">
        <v>207</v>
      </c>
      <c r="F323" s="32" t="s">
        <v>64</v>
      </c>
      <c r="G323" s="32" t="s">
        <v>50</v>
      </c>
      <c r="H323" s="33">
        <v>9150</v>
      </c>
      <c r="I323" s="34">
        <f>Table3[[#This Row],[Volume, kg.]]/1000</f>
        <v>9.15</v>
      </c>
      <c r="J323" s="34">
        <v>0.29100000000000004</v>
      </c>
      <c r="K323" s="34">
        <f t="shared" ref="K323:K386" si="10">H323*J323</f>
        <v>2662.6500000000005</v>
      </c>
      <c r="L323" s="34">
        <v>3.3</v>
      </c>
      <c r="M323" s="34">
        <v>30195</v>
      </c>
      <c r="N323" s="34">
        <f t="shared" si="9"/>
        <v>11.340206185567009</v>
      </c>
    </row>
    <row r="324" spans="1:14" x14ac:dyDescent="0.45">
      <c r="A324" s="30">
        <v>2023</v>
      </c>
      <c r="B324" s="30" t="s">
        <v>9</v>
      </c>
      <c r="C324" s="30" t="s">
        <v>46</v>
      </c>
      <c r="D324" s="30" t="s">
        <v>47</v>
      </c>
      <c r="E324" s="31" t="s">
        <v>208</v>
      </c>
      <c r="F324" s="32" t="s">
        <v>49</v>
      </c>
      <c r="G324" s="32" t="s">
        <v>50</v>
      </c>
      <c r="H324" s="33">
        <v>73040</v>
      </c>
      <c r="I324" s="34">
        <f>Table3[[#This Row],[Volume, kg.]]/1000</f>
        <v>73.040000000000006</v>
      </c>
      <c r="J324" s="34">
        <v>0.3039</v>
      </c>
      <c r="K324" s="34">
        <f t="shared" si="10"/>
        <v>22196.856</v>
      </c>
      <c r="L324" s="34">
        <v>3.37</v>
      </c>
      <c r="M324" s="34">
        <v>246379.5</v>
      </c>
      <c r="N324" s="34">
        <f t="shared" ref="N324:N387" si="11">L324/J324</f>
        <v>11.089174070417901</v>
      </c>
    </row>
    <row r="325" spans="1:14" x14ac:dyDescent="0.45">
      <c r="A325" s="30">
        <v>2023</v>
      </c>
      <c r="B325" s="30" t="s">
        <v>9</v>
      </c>
      <c r="C325" s="30" t="s">
        <v>46</v>
      </c>
      <c r="D325" s="30" t="s">
        <v>47</v>
      </c>
      <c r="E325" s="31" t="s">
        <v>312</v>
      </c>
      <c r="F325" s="32" t="s">
        <v>60</v>
      </c>
      <c r="G325" s="32" t="s">
        <v>50</v>
      </c>
      <c r="H325" s="33">
        <v>12950</v>
      </c>
      <c r="I325" s="34">
        <f>Table3[[#This Row],[Volume, kg.]]/1000</f>
        <v>12.95</v>
      </c>
      <c r="J325" s="34">
        <v>0.28360000000000002</v>
      </c>
      <c r="K325" s="34">
        <f t="shared" si="10"/>
        <v>3672.6200000000003</v>
      </c>
      <c r="L325" s="34">
        <v>3.26</v>
      </c>
      <c r="M325" s="34">
        <v>42183.5</v>
      </c>
      <c r="N325" s="34">
        <f t="shared" si="11"/>
        <v>11.495063469675598</v>
      </c>
    </row>
    <row r="326" spans="1:14" x14ac:dyDescent="0.45">
      <c r="A326" s="30">
        <v>2023</v>
      </c>
      <c r="B326" s="30" t="s">
        <v>9</v>
      </c>
      <c r="C326" s="30" t="s">
        <v>46</v>
      </c>
      <c r="D326" s="30" t="s">
        <v>47</v>
      </c>
      <c r="E326" s="31" t="s">
        <v>210</v>
      </c>
      <c r="F326" s="32" t="s">
        <v>60</v>
      </c>
      <c r="G326" s="32" t="s">
        <v>50</v>
      </c>
      <c r="H326" s="33">
        <v>64960</v>
      </c>
      <c r="I326" s="34">
        <f>Table3[[#This Row],[Volume, kg.]]/1000</f>
        <v>64.959999999999994</v>
      </c>
      <c r="J326" s="34">
        <v>0.29039999999999999</v>
      </c>
      <c r="K326" s="34">
        <f t="shared" si="10"/>
        <v>18864.383999999998</v>
      </c>
      <c r="L326" s="34">
        <v>3.27</v>
      </c>
      <c r="M326" s="34">
        <v>212452.5</v>
      </c>
      <c r="N326" s="34">
        <f t="shared" si="11"/>
        <v>11.260330578512397</v>
      </c>
    </row>
    <row r="327" spans="1:14" x14ac:dyDescent="0.45">
      <c r="A327" s="30">
        <v>2023</v>
      </c>
      <c r="B327" s="30" t="s">
        <v>9</v>
      </c>
      <c r="C327" s="30" t="s">
        <v>46</v>
      </c>
      <c r="D327" s="30" t="s">
        <v>47</v>
      </c>
      <c r="E327" s="31" t="s">
        <v>211</v>
      </c>
      <c r="F327" s="32" t="s">
        <v>57</v>
      </c>
      <c r="G327" s="32" t="s">
        <v>50</v>
      </c>
      <c r="H327" s="33">
        <v>29590</v>
      </c>
      <c r="I327" s="34">
        <f>Table3[[#This Row],[Volume, kg.]]/1000</f>
        <v>29.59</v>
      </c>
      <c r="J327" s="34">
        <v>0.2923</v>
      </c>
      <c r="K327" s="34">
        <f t="shared" si="10"/>
        <v>8649.1569999999992</v>
      </c>
      <c r="L327" s="34">
        <v>3.32</v>
      </c>
      <c r="M327" s="34">
        <v>98133.5</v>
      </c>
      <c r="N327" s="34">
        <f t="shared" si="11"/>
        <v>11.358193636674649</v>
      </c>
    </row>
    <row r="328" spans="1:14" x14ac:dyDescent="0.45">
      <c r="A328" s="30">
        <v>2023</v>
      </c>
      <c r="B328" s="30" t="s">
        <v>9</v>
      </c>
      <c r="C328" s="30" t="s">
        <v>46</v>
      </c>
      <c r="D328" s="30" t="s">
        <v>47</v>
      </c>
      <c r="E328" s="31" t="s">
        <v>313</v>
      </c>
      <c r="F328" s="32" t="s">
        <v>60</v>
      </c>
      <c r="G328" s="32" t="s">
        <v>50</v>
      </c>
      <c r="H328" s="33">
        <v>22780</v>
      </c>
      <c r="I328" s="34">
        <f>Table3[[#This Row],[Volume, kg.]]/1000</f>
        <v>22.78</v>
      </c>
      <c r="J328" s="34">
        <v>0.30159999999999998</v>
      </c>
      <c r="K328" s="34">
        <f t="shared" si="10"/>
        <v>6870.4479999999994</v>
      </c>
      <c r="L328" s="34">
        <v>3.39</v>
      </c>
      <c r="M328" s="34">
        <v>77208.5</v>
      </c>
      <c r="N328" s="34">
        <f t="shared" si="11"/>
        <v>11.240053050397879</v>
      </c>
    </row>
    <row r="329" spans="1:14" x14ac:dyDescent="0.45">
      <c r="A329" s="30">
        <v>2023</v>
      </c>
      <c r="B329" s="30" t="s">
        <v>9</v>
      </c>
      <c r="C329" s="30" t="s">
        <v>46</v>
      </c>
      <c r="D329" s="30" t="s">
        <v>47</v>
      </c>
      <c r="E329" s="31" t="s">
        <v>213</v>
      </c>
      <c r="F329" s="32" t="s">
        <v>49</v>
      </c>
      <c r="G329" s="32" t="s">
        <v>50</v>
      </c>
      <c r="H329" s="33">
        <v>226130</v>
      </c>
      <c r="I329" s="34">
        <f>Table3[[#This Row],[Volume, kg.]]/1000</f>
        <v>226.13</v>
      </c>
      <c r="J329" s="34">
        <v>0.29070000000000001</v>
      </c>
      <c r="K329" s="34">
        <f t="shared" si="10"/>
        <v>65735.991000000009</v>
      </c>
      <c r="L329" s="34">
        <v>3.29</v>
      </c>
      <c r="M329" s="34">
        <v>743804</v>
      </c>
      <c r="N329" s="34">
        <f t="shared" si="11"/>
        <v>11.31750945992432</v>
      </c>
    </row>
    <row r="330" spans="1:14" x14ac:dyDescent="0.45">
      <c r="A330" s="30">
        <v>2023</v>
      </c>
      <c r="B330" s="30" t="s">
        <v>9</v>
      </c>
      <c r="C330" s="30" t="s">
        <v>46</v>
      </c>
      <c r="D330" s="30" t="s">
        <v>47</v>
      </c>
      <c r="E330" s="31" t="s">
        <v>214</v>
      </c>
      <c r="F330" s="32" t="s">
        <v>64</v>
      </c>
      <c r="G330" s="32" t="s">
        <v>50</v>
      </c>
      <c r="H330" s="33">
        <v>137760</v>
      </c>
      <c r="I330" s="34">
        <f>Table3[[#This Row],[Volume, kg.]]/1000</f>
        <v>137.76</v>
      </c>
      <c r="J330" s="34">
        <v>0.2833</v>
      </c>
      <c r="K330" s="34">
        <f t="shared" si="10"/>
        <v>39027.408000000003</v>
      </c>
      <c r="L330" s="34">
        <v>3.24</v>
      </c>
      <c r="M330" s="34">
        <v>446911.5</v>
      </c>
      <c r="N330" s="34">
        <f t="shared" si="11"/>
        <v>11.436639604659373</v>
      </c>
    </row>
    <row r="331" spans="1:14" x14ac:dyDescent="0.45">
      <c r="A331" s="30">
        <v>2023</v>
      </c>
      <c r="B331" s="30" t="s">
        <v>9</v>
      </c>
      <c r="C331" s="30" t="s">
        <v>46</v>
      </c>
      <c r="D331" s="30" t="s">
        <v>47</v>
      </c>
      <c r="E331" s="31" t="s">
        <v>217</v>
      </c>
      <c r="F331" s="32" t="s">
        <v>49</v>
      </c>
      <c r="G331" s="32" t="s">
        <v>50</v>
      </c>
      <c r="H331" s="33">
        <v>14830</v>
      </c>
      <c r="I331" s="34">
        <f>Table3[[#This Row],[Volume, kg.]]/1000</f>
        <v>14.83</v>
      </c>
      <c r="J331" s="34">
        <v>0.27629999999999999</v>
      </c>
      <c r="K331" s="34">
        <f t="shared" si="10"/>
        <v>4097.5289999999995</v>
      </c>
      <c r="L331" s="34">
        <v>3.25</v>
      </c>
      <c r="M331" s="34">
        <v>48140.5</v>
      </c>
      <c r="N331" s="34">
        <f t="shared" si="11"/>
        <v>11.762576909156714</v>
      </c>
    </row>
    <row r="332" spans="1:14" x14ac:dyDescent="0.45">
      <c r="A332" s="30">
        <v>2023</v>
      </c>
      <c r="B332" s="30" t="s">
        <v>9</v>
      </c>
      <c r="C332" s="30" t="s">
        <v>46</v>
      </c>
      <c r="D332" s="30" t="s">
        <v>47</v>
      </c>
      <c r="E332" s="31" t="s">
        <v>314</v>
      </c>
      <c r="F332" s="32" t="s">
        <v>57</v>
      </c>
      <c r="G332" s="32" t="s">
        <v>50</v>
      </c>
      <c r="H332" s="33">
        <v>91930</v>
      </c>
      <c r="I332" s="34">
        <f>Table3[[#This Row],[Volume, kg.]]/1000</f>
        <v>91.93</v>
      </c>
      <c r="J332" s="34">
        <v>0.27589999999999998</v>
      </c>
      <c r="K332" s="34">
        <f t="shared" si="10"/>
        <v>25363.486999999997</v>
      </c>
      <c r="L332" s="34">
        <v>3.23</v>
      </c>
      <c r="M332" s="34">
        <v>296684.5</v>
      </c>
      <c r="N332" s="34">
        <f t="shared" si="11"/>
        <v>11.707140268213122</v>
      </c>
    </row>
    <row r="333" spans="1:14" x14ac:dyDescent="0.45">
      <c r="A333" s="30">
        <v>2023</v>
      </c>
      <c r="B333" s="30" t="s">
        <v>9</v>
      </c>
      <c r="C333" s="30" t="s">
        <v>46</v>
      </c>
      <c r="D333" s="30" t="s">
        <v>47</v>
      </c>
      <c r="E333" s="31" t="s">
        <v>218</v>
      </c>
      <c r="F333" s="32" t="s">
        <v>49</v>
      </c>
      <c r="G333" s="32" t="s">
        <v>50</v>
      </c>
      <c r="H333" s="33">
        <v>15610</v>
      </c>
      <c r="I333" s="34">
        <f>Table3[[#This Row],[Volume, kg.]]/1000</f>
        <v>15.61</v>
      </c>
      <c r="J333" s="34">
        <v>0.28800000000000003</v>
      </c>
      <c r="K333" s="34">
        <f t="shared" si="10"/>
        <v>4495.68</v>
      </c>
      <c r="L333" s="34">
        <v>3.25</v>
      </c>
      <c r="M333" s="34">
        <v>50732.5</v>
      </c>
      <c r="N333" s="34">
        <f t="shared" si="11"/>
        <v>11.284722222222221</v>
      </c>
    </row>
    <row r="334" spans="1:14" x14ac:dyDescent="0.45">
      <c r="A334" s="30">
        <v>2023</v>
      </c>
      <c r="B334" s="30" t="s">
        <v>9</v>
      </c>
      <c r="C334" s="30" t="s">
        <v>46</v>
      </c>
      <c r="D334" s="30" t="s">
        <v>47</v>
      </c>
      <c r="E334" s="31" t="s">
        <v>220</v>
      </c>
      <c r="F334" s="32" t="s">
        <v>49</v>
      </c>
      <c r="G334" s="32" t="s">
        <v>50</v>
      </c>
      <c r="H334" s="33">
        <v>54810</v>
      </c>
      <c r="I334" s="34">
        <f>Table3[[#This Row],[Volume, kg.]]/1000</f>
        <v>54.81</v>
      </c>
      <c r="J334" s="34">
        <v>0.29399999999999998</v>
      </c>
      <c r="K334" s="34">
        <f t="shared" si="10"/>
        <v>16114.14</v>
      </c>
      <c r="L334" s="34">
        <v>3.29</v>
      </c>
      <c r="M334" s="34">
        <v>180269.5</v>
      </c>
      <c r="N334" s="34">
        <f t="shared" si="11"/>
        <v>11.190476190476192</v>
      </c>
    </row>
    <row r="335" spans="1:14" x14ac:dyDescent="0.45">
      <c r="A335" s="30">
        <v>2023</v>
      </c>
      <c r="B335" s="30" t="s">
        <v>9</v>
      </c>
      <c r="C335" s="30" t="s">
        <v>46</v>
      </c>
      <c r="D335" s="30" t="s">
        <v>102</v>
      </c>
      <c r="E335" s="31" t="s">
        <v>222</v>
      </c>
      <c r="F335" s="32" t="s">
        <v>223</v>
      </c>
      <c r="G335" s="32" t="s">
        <v>50</v>
      </c>
      <c r="H335" s="33">
        <v>104500</v>
      </c>
      <c r="I335" s="34">
        <f>Table3[[#This Row],[Volume, kg.]]/1000</f>
        <v>104.5</v>
      </c>
      <c r="J335" s="34">
        <v>0.29559999999999997</v>
      </c>
      <c r="K335" s="34">
        <f t="shared" si="10"/>
        <v>30890.199999999997</v>
      </c>
      <c r="L335" s="34">
        <v>3.31</v>
      </c>
      <c r="M335" s="34">
        <v>345743.5</v>
      </c>
      <c r="N335" s="34">
        <f t="shared" si="11"/>
        <v>11.197564276048716</v>
      </c>
    </row>
    <row r="336" spans="1:14" x14ac:dyDescent="0.45">
      <c r="A336" s="30">
        <v>2023</v>
      </c>
      <c r="B336" s="30" t="s">
        <v>9</v>
      </c>
      <c r="C336" s="30" t="s">
        <v>46</v>
      </c>
      <c r="D336" s="30" t="s">
        <v>47</v>
      </c>
      <c r="E336" s="31" t="s">
        <v>315</v>
      </c>
      <c r="F336" s="32" t="s">
        <v>134</v>
      </c>
      <c r="G336" s="32" t="s">
        <v>50</v>
      </c>
      <c r="H336" s="33">
        <v>58480</v>
      </c>
      <c r="I336" s="34">
        <f>Table3[[#This Row],[Volume, kg.]]/1000</f>
        <v>58.48</v>
      </c>
      <c r="J336" s="34">
        <v>0.30269999999999997</v>
      </c>
      <c r="K336" s="34">
        <f t="shared" si="10"/>
        <v>17701.895999999997</v>
      </c>
      <c r="L336" s="34">
        <v>3.36</v>
      </c>
      <c r="M336" s="34">
        <v>196739</v>
      </c>
      <c r="N336" s="34">
        <f t="shared" si="11"/>
        <v>11.10009910802775</v>
      </c>
    </row>
    <row r="337" spans="1:14" x14ac:dyDescent="0.45">
      <c r="A337" s="30">
        <v>2023</v>
      </c>
      <c r="B337" s="30" t="s">
        <v>9</v>
      </c>
      <c r="C337" s="30" t="s">
        <v>46</v>
      </c>
      <c r="D337" s="30" t="s">
        <v>47</v>
      </c>
      <c r="E337" s="31" t="s">
        <v>224</v>
      </c>
      <c r="F337" s="32" t="s">
        <v>57</v>
      </c>
      <c r="G337" s="32" t="s">
        <v>50</v>
      </c>
      <c r="H337" s="33">
        <v>7200</v>
      </c>
      <c r="I337" s="34">
        <f>Table3[[#This Row],[Volume, kg.]]/1000</f>
        <v>7.2</v>
      </c>
      <c r="J337" s="34">
        <v>0.3145</v>
      </c>
      <c r="K337" s="34">
        <f t="shared" si="10"/>
        <v>2264.4</v>
      </c>
      <c r="L337" s="34">
        <v>3.4</v>
      </c>
      <c r="M337" s="34">
        <v>24480</v>
      </c>
      <c r="N337" s="34">
        <f t="shared" si="11"/>
        <v>10.810810810810811</v>
      </c>
    </row>
    <row r="338" spans="1:14" x14ac:dyDescent="0.45">
      <c r="A338" s="30">
        <v>2023</v>
      </c>
      <c r="B338" s="30" t="s">
        <v>9</v>
      </c>
      <c r="C338" s="30" t="s">
        <v>46</v>
      </c>
      <c r="D338" s="30" t="s">
        <v>47</v>
      </c>
      <c r="E338" s="31" t="s">
        <v>225</v>
      </c>
      <c r="F338" s="32" t="s">
        <v>64</v>
      </c>
      <c r="G338" s="32" t="s">
        <v>50</v>
      </c>
      <c r="H338" s="33">
        <v>13380</v>
      </c>
      <c r="I338" s="34">
        <f>Table3[[#This Row],[Volume, kg.]]/1000</f>
        <v>13.38</v>
      </c>
      <c r="J338" s="34">
        <v>0.30449999999999999</v>
      </c>
      <c r="K338" s="34">
        <f t="shared" si="10"/>
        <v>4074.21</v>
      </c>
      <c r="L338" s="34">
        <v>3.3</v>
      </c>
      <c r="M338" s="34">
        <v>44154</v>
      </c>
      <c r="N338" s="34">
        <f t="shared" si="11"/>
        <v>10.83743842364532</v>
      </c>
    </row>
    <row r="339" spans="1:14" x14ac:dyDescent="0.45">
      <c r="A339" s="30">
        <v>2023</v>
      </c>
      <c r="B339" s="30" t="s">
        <v>9</v>
      </c>
      <c r="C339" s="30" t="s">
        <v>46</v>
      </c>
      <c r="D339" s="30" t="s">
        <v>47</v>
      </c>
      <c r="E339" s="31" t="s">
        <v>316</v>
      </c>
      <c r="F339" s="32" t="s">
        <v>57</v>
      </c>
      <c r="G339" s="32" t="s">
        <v>50</v>
      </c>
      <c r="H339" s="33">
        <v>6180</v>
      </c>
      <c r="I339" s="34">
        <f>Table3[[#This Row],[Volume, kg.]]/1000</f>
        <v>6.18</v>
      </c>
      <c r="J339" s="34">
        <v>0.247</v>
      </c>
      <c r="K339" s="34">
        <f t="shared" si="10"/>
        <v>1526.46</v>
      </c>
      <c r="L339" s="34">
        <v>3.05</v>
      </c>
      <c r="M339" s="34">
        <v>18849</v>
      </c>
      <c r="N339" s="34">
        <f t="shared" si="11"/>
        <v>12.348178137651821</v>
      </c>
    </row>
    <row r="340" spans="1:14" x14ac:dyDescent="0.45">
      <c r="A340" s="30">
        <v>2023</v>
      </c>
      <c r="B340" s="30" t="s">
        <v>9</v>
      </c>
      <c r="C340" s="30" t="s">
        <v>46</v>
      </c>
      <c r="D340" s="30" t="s">
        <v>47</v>
      </c>
      <c r="E340" s="31" t="s">
        <v>227</v>
      </c>
      <c r="F340" s="32" t="s">
        <v>57</v>
      </c>
      <c r="G340" s="32" t="s">
        <v>50</v>
      </c>
      <c r="H340" s="33">
        <v>13740</v>
      </c>
      <c r="I340" s="34">
        <f>Table3[[#This Row],[Volume, kg.]]/1000</f>
        <v>13.74</v>
      </c>
      <c r="J340" s="34">
        <v>0.27760000000000001</v>
      </c>
      <c r="K340" s="34">
        <f t="shared" si="10"/>
        <v>3814.2240000000002</v>
      </c>
      <c r="L340" s="34">
        <v>3.23</v>
      </c>
      <c r="M340" s="34">
        <v>44319</v>
      </c>
      <c r="N340" s="34">
        <f t="shared" si="11"/>
        <v>11.635446685878962</v>
      </c>
    </row>
    <row r="341" spans="1:14" x14ac:dyDescent="0.45">
      <c r="A341" s="30">
        <v>2023</v>
      </c>
      <c r="B341" s="30" t="s">
        <v>9</v>
      </c>
      <c r="C341" s="30" t="s">
        <v>46</v>
      </c>
      <c r="D341" s="30" t="s">
        <v>47</v>
      </c>
      <c r="E341" s="31" t="s">
        <v>317</v>
      </c>
      <c r="F341" s="32" t="s">
        <v>60</v>
      </c>
      <c r="G341" s="32" t="s">
        <v>50</v>
      </c>
      <c r="H341" s="33">
        <v>28450</v>
      </c>
      <c r="I341" s="34">
        <f>Table3[[#This Row],[Volume, kg.]]/1000</f>
        <v>28.45</v>
      </c>
      <c r="J341" s="34">
        <v>0.27489999999999998</v>
      </c>
      <c r="K341" s="34">
        <f t="shared" si="10"/>
        <v>7820.9049999999997</v>
      </c>
      <c r="L341" s="34">
        <v>3.21</v>
      </c>
      <c r="M341" s="34">
        <v>91312</v>
      </c>
      <c r="N341" s="34">
        <f t="shared" si="11"/>
        <v>11.676973444889052</v>
      </c>
    </row>
    <row r="342" spans="1:14" x14ac:dyDescent="0.45">
      <c r="A342" s="30">
        <v>2023</v>
      </c>
      <c r="B342" s="30" t="s">
        <v>9</v>
      </c>
      <c r="C342" s="30" t="s">
        <v>46</v>
      </c>
      <c r="D342" s="30" t="s">
        <v>47</v>
      </c>
      <c r="E342" s="31" t="s">
        <v>230</v>
      </c>
      <c r="F342" s="32" t="s">
        <v>49</v>
      </c>
      <c r="G342" s="32" t="s">
        <v>50</v>
      </c>
      <c r="H342" s="33">
        <v>32550</v>
      </c>
      <c r="I342" s="34">
        <f>Table3[[#This Row],[Volume, kg.]]/1000</f>
        <v>32.549999999999997</v>
      </c>
      <c r="J342" s="34">
        <v>0.27960000000000002</v>
      </c>
      <c r="K342" s="34">
        <f t="shared" si="10"/>
        <v>9100.9800000000014</v>
      </c>
      <c r="L342" s="34">
        <v>3.24</v>
      </c>
      <c r="M342" s="34">
        <v>105501.5</v>
      </c>
      <c r="N342" s="34">
        <f t="shared" si="11"/>
        <v>11.587982832618026</v>
      </c>
    </row>
    <row r="343" spans="1:14" x14ac:dyDescent="0.45">
      <c r="A343" s="30">
        <v>2023</v>
      </c>
      <c r="B343" s="30" t="s">
        <v>9</v>
      </c>
      <c r="C343" s="30" t="s">
        <v>46</v>
      </c>
      <c r="D343" s="30" t="s">
        <v>47</v>
      </c>
      <c r="E343" s="31" t="s">
        <v>231</v>
      </c>
      <c r="F343" s="32" t="s">
        <v>49</v>
      </c>
      <c r="G343" s="32" t="s">
        <v>50</v>
      </c>
      <c r="H343" s="33">
        <v>16340</v>
      </c>
      <c r="I343" s="34">
        <f>Table3[[#This Row],[Volume, kg.]]/1000</f>
        <v>16.34</v>
      </c>
      <c r="J343" s="34">
        <v>0.29649999999999999</v>
      </c>
      <c r="K343" s="34">
        <f t="shared" si="10"/>
        <v>4844.8099999999995</v>
      </c>
      <c r="L343" s="34">
        <v>3.3</v>
      </c>
      <c r="M343" s="34">
        <v>53922.5</v>
      </c>
      <c r="N343" s="34">
        <f t="shared" si="11"/>
        <v>11.129848229342327</v>
      </c>
    </row>
    <row r="344" spans="1:14" x14ac:dyDescent="0.45">
      <c r="A344" s="30">
        <v>2023</v>
      </c>
      <c r="B344" s="30" t="s">
        <v>9</v>
      </c>
      <c r="C344" s="30" t="s">
        <v>46</v>
      </c>
      <c r="D344" s="30" t="s">
        <v>47</v>
      </c>
      <c r="E344" s="31" t="s">
        <v>232</v>
      </c>
      <c r="F344" s="32" t="s">
        <v>49</v>
      </c>
      <c r="G344" s="32" t="s">
        <v>50</v>
      </c>
      <c r="H344" s="33">
        <v>22160</v>
      </c>
      <c r="I344" s="34">
        <f>Table3[[#This Row],[Volume, kg.]]/1000</f>
        <v>22.16</v>
      </c>
      <c r="J344" s="34">
        <v>0.30210000000000004</v>
      </c>
      <c r="K344" s="34">
        <f t="shared" si="10"/>
        <v>6694.536000000001</v>
      </c>
      <c r="L344" s="34">
        <v>3.37</v>
      </c>
      <c r="M344" s="34">
        <v>74616</v>
      </c>
      <c r="N344" s="34">
        <f t="shared" si="11"/>
        <v>11.155246607083747</v>
      </c>
    </row>
    <row r="345" spans="1:14" x14ac:dyDescent="0.45">
      <c r="A345" s="30">
        <v>2023</v>
      </c>
      <c r="B345" s="30" t="s">
        <v>9</v>
      </c>
      <c r="C345" s="30" t="s">
        <v>46</v>
      </c>
      <c r="D345" s="30" t="s">
        <v>47</v>
      </c>
      <c r="E345" s="31" t="s">
        <v>318</v>
      </c>
      <c r="F345" s="32" t="s">
        <v>60</v>
      </c>
      <c r="G345" s="32" t="s">
        <v>50</v>
      </c>
      <c r="H345" s="33">
        <v>117550</v>
      </c>
      <c r="I345" s="34">
        <f>Table3[[#This Row],[Volume, kg.]]/1000</f>
        <v>117.55</v>
      </c>
      <c r="J345" s="34">
        <v>0.30940000000000001</v>
      </c>
      <c r="K345" s="34">
        <f t="shared" si="10"/>
        <v>36369.97</v>
      </c>
      <c r="L345" s="34">
        <v>3.36</v>
      </c>
      <c r="M345" s="34">
        <v>395372</v>
      </c>
      <c r="N345" s="34">
        <f t="shared" si="11"/>
        <v>10.859728506787329</v>
      </c>
    </row>
    <row r="346" spans="1:14" x14ac:dyDescent="0.45">
      <c r="A346" s="30">
        <v>2023</v>
      </c>
      <c r="B346" s="30" t="s">
        <v>9</v>
      </c>
      <c r="C346" s="30" t="s">
        <v>46</v>
      </c>
      <c r="D346" s="30" t="s">
        <v>47</v>
      </c>
      <c r="E346" s="31" t="s">
        <v>233</v>
      </c>
      <c r="F346" s="32" t="s">
        <v>57</v>
      </c>
      <c r="G346" s="32" t="s">
        <v>50</v>
      </c>
      <c r="H346" s="33">
        <v>38950</v>
      </c>
      <c r="I346" s="34">
        <f>Table3[[#This Row],[Volume, kg.]]/1000</f>
        <v>38.950000000000003</v>
      </c>
      <c r="J346" s="34">
        <v>0.31659999999999999</v>
      </c>
      <c r="K346" s="34">
        <f t="shared" si="10"/>
        <v>12331.57</v>
      </c>
      <c r="L346" s="34">
        <v>3.38</v>
      </c>
      <c r="M346" s="34">
        <v>131510.5</v>
      </c>
      <c r="N346" s="34">
        <f t="shared" si="11"/>
        <v>10.67593177511055</v>
      </c>
    </row>
    <row r="347" spans="1:14" x14ac:dyDescent="0.45">
      <c r="A347" s="30">
        <v>2023</v>
      </c>
      <c r="B347" s="30" t="s">
        <v>9</v>
      </c>
      <c r="C347" s="30" t="s">
        <v>46</v>
      </c>
      <c r="D347" s="30" t="s">
        <v>47</v>
      </c>
      <c r="E347" s="31" t="s">
        <v>235</v>
      </c>
      <c r="F347" s="32" t="s">
        <v>57</v>
      </c>
      <c r="G347" s="32" t="s">
        <v>50</v>
      </c>
      <c r="H347" s="33">
        <v>20970</v>
      </c>
      <c r="I347" s="34">
        <f>Table3[[#This Row],[Volume, kg.]]/1000</f>
        <v>20.97</v>
      </c>
      <c r="J347" s="34">
        <v>0.28600000000000003</v>
      </c>
      <c r="K347" s="34">
        <f t="shared" si="10"/>
        <v>5997.420000000001</v>
      </c>
      <c r="L347" s="34">
        <v>3.28</v>
      </c>
      <c r="M347" s="34">
        <v>68728.5</v>
      </c>
      <c r="N347" s="34">
        <f t="shared" si="11"/>
        <v>11.468531468531467</v>
      </c>
    </row>
    <row r="348" spans="1:14" x14ac:dyDescent="0.45">
      <c r="A348" s="30">
        <v>2023</v>
      </c>
      <c r="B348" s="30" t="s">
        <v>9</v>
      </c>
      <c r="C348" s="30" t="s">
        <v>46</v>
      </c>
      <c r="D348" s="30" t="s">
        <v>47</v>
      </c>
      <c r="E348" s="31" t="s">
        <v>237</v>
      </c>
      <c r="F348" s="32" t="s">
        <v>238</v>
      </c>
      <c r="G348" s="32" t="s">
        <v>50</v>
      </c>
      <c r="H348" s="33">
        <v>34630</v>
      </c>
      <c r="I348" s="34">
        <f>Table3[[#This Row],[Volume, kg.]]/1000</f>
        <v>34.630000000000003</v>
      </c>
      <c r="J348" s="34">
        <v>0.2487</v>
      </c>
      <c r="K348" s="34">
        <f t="shared" si="10"/>
        <v>8612.4809999999998</v>
      </c>
      <c r="L348" s="34">
        <v>3.05</v>
      </c>
      <c r="M348" s="34">
        <v>105509.5</v>
      </c>
      <c r="N348" s="34">
        <f t="shared" si="11"/>
        <v>12.263771612384398</v>
      </c>
    </row>
    <row r="349" spans="1:14" x14ac:dyDescent="0.45">
      <c r="A349" s="30">
        <v>2023</v>
      </c>
      <c r="B349" s="30" t="s">
        <v>9</v>
      </c>
      <c r="C349" s="30" t="s">
        <v>46</v>
      </c>
      <c r="D349" s="30" t="s">
        <v>47</v>
      </c>
      <c r="E349" s="31" t="s">
        <v>319</v>
      </c>
      <c r="F349" s="32" t="s">
        <v>81</v>
      </c>
      <c r="G349" s="32" t="s">
        <v>50</v>
      </c>
      <c r="H349" s="33">
        <v>17530</v>
      </c>
      <c r="I349" s="34">
        <f>Table3[[#This Row],[Volume, kg.]]/1000</f>
        <v>17.53</v>
      </c>
      <c r="J349" s="34">
        <v>0.318</v>
      </c>
      <c r="K349" s="34">
        <f t="shared" si="10"/>
        <v>5574.54</v>
      </c>
      <c r="L349" s="34">
        <v>3.43</v>
      </c>
      <c r="M349" s="34">
        <v>60076</v>
      </c>
      <c r="N349" s="34">
        <f t="shared" si="11"/>
        <v>10.786163522012579</v>
      </c>
    </row>
    <row r="350" spans="1:14" x14ac:dyDescent="0.45">
      <c r="A350" s="30">
        <v>2023</v>
      </c>
      <c r="B350" s="30" t="s">
        <v>9</v>
      </c>
      <c r="C350" s="30" t="s">
        <v>46</v>
      </c>
      <c r="D350" s="30" t="s">
        <v>47</v>
      </c>
      <c r="E350" s="31" t="s">
        <v>320</v>
      </c>
      <c r="F350" s="32" t="s">
        <v>49</v>
      </c>
      <c r="G350" s="32" t="s">
        <v>50</v>
      </c>
      <c r="H350" s="33">
        <v>48410</v>
      </c>
      <c r="I350" s="34">
        <f>Table3[[#This Row],[Volume, kg.]]/1000</f>
        <v>48.41</v>
      </c>
      <c r="J350" s="34">
        <v>0.2908</v>
      </c>
      <c r="K350" s="34">
        <f t="shared" si="10"/>
        <v>14077.628000000001</v>
      </c>
      <c r="L350" s="34">
        <v>3.34</v>
      </c>
      <c r="M350" s="34">
        <v>161489.5</v>
      </c>
      <c r="N350" s="34">
        <f t="shared" si="11"/>
        <v>11.485557083906464</v>
      </c>
    </row>
    <row r="351" spans="1:14" x14ac:dyDescent="0.45">
      <c r="A351" s="30">
        <v>2023</v>
      </c>
      <c r="B351" s="30" t="s">
        <v>9</v>
      </c>
      <c r="C351" s="30" t="s">
        <v>46</v>
      </c>
      <c r="D351" s="30" t="s">
        <v>47</v>
      </c>
      <c r="E351" s="31" t="s">
        <v>241</v>
      </c>
      <c r="F351" s="32" t="s">
        <v>57</v>
      </c>
      <c r="G351" s="32" t="s">
        <v>50</v>
      </c>
      <c r="H351" s="33">
        <v>48920</v>
      </c>
      <c r="I351" s="34">
        <f>Table3[[#This Row],[Volume, kg.]]/1000</f>
        <v>48.92</v>
      </c>
      <c r="J351" s="34">
        <v>0.29710000000000003</v>
      </c>
      <c r="K351" s="34">
        <f t="shared" si="10"/>
        <v>14534.132000000001</v>
      </c>
      <c r="L351" s="34">
        <v>3.34</v>
      </c>
      <c r="M351" s="34">
        <v>163396</v>
      </c>
      <c r="N351" s="34">
        <f t="shared" si="11"/>
        <v>11.242006058566139</v>
      </c>
    </row>
    <row r="352" spans="1:14" x14ac:dyDescent="0.45">
      <c r="A352" s="30">
        <v>2023</v>
      </c>
      <c r="B352" s="30" t="s">
        <v>9</v>
      </c>
      <c r="C352" s="30" t="s">
        <v>46</v>
      </c>
      <c r="D352" s="30" t="s">
        <v>47</v>
      </c>
      <c r="E352" s="31" t="s">
        <v>321</v>
      </c>
      <c r="F352" s="32" t="s">
        <v>49</v>
      </c>
      <c r="G352" s="32" t="s">
        <v>50</v>
      </c>
      <c r="H352" s="33">
        <v>5760</v>
      </c>
      <c r="I352" s="34">
        <f>Table3[[#This Row],[Volume, kg.]]/1000</f>
        <v>5.76</v>
      </c>
      <c r="J352" s="34">
        <v>0.26649999999999996</v>
      </c>
      <c r="K352" s="34">
        <f t="shared" si="10"/>
        <v>1535.0399999999997</v>
      </c>
      <c r="L352" s="34">
        <v>3.2</v>
      </c>
      <c r="M352" s="34">
        <v>18432</v>
      </c>
      <c r="N352" s="34">
        <f t="shared" si="11"/>
        <v>12.007504690431523</v>
      </c>
    </row>
    <row r="353" spans="1:14" x14ac:dyDescent="0.45">
      <c r="A353" s="30">
        <v>2023</v>
      </c>
      <c r="B353" s="30" t="s">
        <v>9</v>
      </c>
      <c r="C353" s="30" t="s">
        <v>46</v>
      </c>
      <c r="D353" s="30" t="s">
        <v>47</v>
      </c>
      <c r="E353" s="31" t="s">
        <v>242</v>
      </c>
      <c r="F353" s="32" t="s">
        <v>60</v>
      </c>
      <c r="G353" s="32" t="s">
        <v>50</v>
      </c>
      <c r="H353" s="33">
        <v>26380</v>
      </c>
      <c r="I353" s="34">
        <f>Table3[[#This Row],[Volume, kg.]]/1000</f>
        <v>26.38</v>
      </c>
      <c r="J353" s="34">
        <v>0.30969999999999998</v>
      </c>
      <c r="K353" s="34">
        <f t="shared" si="10"/>
        <v>8169.8859999999995</v>
      </c>
      <c r="L353" s="34">
        <v>3.4</v>
      </c>
      <c r="M353" s="34">
        <v>89692</v>
      </c>
      <c r="N353" s="34">
        <f t="shared" si="11"/>
        <v>10.978366160800775</v>
      </c>
    </row>
    <row r="354" spans="1:14" x14ac:dyDescent="0.45">
      <c r="A354" s="30">
        <v>2023</v>
      </c>
      <c r="B354" s="30" t="s">
        <v>9</v>
      </c>
      <c r="C354" s="30" t="s">
        <v>46</v>
      </c>
      <c r="D354" s="30" t="s">
        <v>47</v>
      </c>
      <c r="E354" s="31" t="s">
        <v>243</v>
      </c>
      <c r="F354" s="32" t="s">
        <v>60</v>
      </c>
      <c r="G354" s="32" t="s">
        <v>50</v>
      </c>
      <c r="H354" s="33">
        <v>30190</v>
      </c>
      <c r="I354" s="34">
        <f>Table3[[#This Row],[Volume, kg.]]/1000</f>
        <v>30.19</v>
      </c>
      <c r="J354" s="34">
        <v>0.3024</v>
      </c>
      <c r="K354" s="34">
        <f t="shared" si="10"/>
        <v>9129.4560000000001</v>
      </c>
      <c r="L354" s="34">
        <v>3.33</v>
      </c>
      <c r="M354" s="34">
        <v>100600.5</v>
      </c>
      <c r="N354" s="34">
        <f t="shared" si="11"/>
        <v>11.011904761904763</v>
      </c>
    </row>
    <row r="355" spans="1:14" x14ac:dyDescent="0.45">
      <c r="A355" s="30">
        <v>2023</v>
      </c>
      <c r="B355" s="30" t="s">
        <v>9</v>
      </c>
      <c r="C355" s="30" t="s">
        <v>46</v>
      </c>
      <c r="D355" s="30" t="s">
        <v>47</v>
      </c>
      <c r="E355" s="31" t="s">
        <v>322</v>
      </c>
      <c r="F355" s="32" t="s">
        <v>57</v>
      </c>
      <c r="G355" s="32" t="s">
        <v>50</v>
      </c>
      <c r="H355" s="33">
        <v>6600</v>
      </c>
      <c r="I355" s="34">
        <f>Table3[[#This Row],[Volume, kg.]]/1000</f>
        <v>6.6</v>
      </c>
      <c r="J355" s="34">
        <v>0.29899999999999999</v>
      </c>
      <c r="K355" s="34">
        <f t="shared" si="10"/>
        <v>1973.3999999999999</v>
      </c>
      <c r="L355" s="34">
        <v>3.35</v>
      </c>
      <c r="M355" s="34">
        <v>22110</v>
      </c>
      <c r="N355" s="34">
        <f t="shared" si="11"/>
        <v>11.204013377926422</v>
      </c>
    </row>
    <row r="356" spans="1:14" x14ac:dyDescent="0.45">
      <c r="A356" s="30">
        <v>2023</v>
      </c>
      <c r="B356" s="30" t="s">
        <v>9</v>
      </c>
      <c r="C356" s="30" t="s">
        <v>46</v>
      </c>
      <c r="D356" s="30" t="s">
        <v>47</v>
      </c>
      <c r="E356" s="31" t="s">
        <v>323</v>
      </c>
      <c r="F356" s="32" t="s">
        <v>49</v>
      </c>
      <c r="G356" s="32" t="s">
        <v>50</v>
      </c>
      <c r="H356" s="33">
        <v>35450</v>
      </c>
      <c r="I356" s="34">
        <f>Table3[[#This Row],[Volume, kg.]]/1000</f>
        <v>35.450000000000003</v>
      </c>
      <c r="J356" s="34">
        <v>0.29699999999999999</v>
      </c>
      <c r="K356" s="34">
        <f t="shared" si="10"/>
        <v>10528.65</v>
      </c>
      <c r="L356" s="34">
        <v>3.31</v>
      </c>
      <c r="M356" s="34">
        <v>117238</v>
      </c>
      <c r="N356" s="34">
        <f t="shared" si="11"/>
        <v>11.144781144781145</v>
      </c>
    </row>
    <row r="357" spans="1:14" x14ac:dyDescent="0.45">
      <c r="A357" s="30">
        <v>2023</v>
      </c>
      <c r="B357" s="30" t="s">
        <v>9</v>
      </c>
      <c r="C357" s="30" t="s">
        <v>46</v>
      </c>
      <c r="D357" s="30" t="s">
        <v>47</v>
      </c>
      <c r="E357" s="31" t="s">
        <v>324</v>
      </c>
      <c r="F357" s="32" t="s">
        <v>81</v>
      </c>
      <c r="G357" s="32" t="s">
        <v>50</v>
      </c>
      <c r="H357" s="33">
        <v>16690</v>
      </c>
      <c r="I357" s="34">
        <f>Table3[[#This Row],[Volume, kg.]]/1000</f>
        <v>16.690000000000001</v>
      </c>
      <c r="J357" s="34">
        <v>0.30420000000000003</v>
      </c>
      <c r="K357" s="34">
        <f t="shared" si="10"/>
        <v>5077.0980000000009</v>
      </c>
      <c r="L357" s="34">
        <v>3.31</v>
      </c>
      <c r="M357" s="34">
        <v>55170.5</v>
      </c>
      <c r="N357" s="34">
        <f t="shared" si="11"/>
        <v>10.880999342537804</v>
      </c>
    </row>
    <row r="358" spans="1:14" x14ac:dyDescent="0.45">
      <c r="A358" s="30">
        <v>2023</v>
      </c>
      <c r="B358" s="30" t="s">
        <v>9</v>
      </c>
      <c r="C358" s="30" t="s">
        <v>46</v>
      </c>
      <c r="D358" s="30" t="s">
        <v>47</v>
      </c>
      <c r="E358" s="31" t="s">
        <v>244</v>
      </c>
      <c r="F358" s="32" t="s">
        <v>60</v>
      </c>
      <c r="G358" s="32" t="s">
        <v>50</v>
      </c>
      <c r="H358" s="33">
        <v>2980</v>
      </c>
      <c r="I358" s="34">
        <f>Table3[[#This Row],[Volume, kg.]]/1000</f>
        <v>2.98</v>
      </c>
      <c r="J358" s="34">
        <v>0.32</v>
      </c>
      <c r="K358" s="34">
        <f t="shared" si="10"/>
        <v>953.6</v>
      </c>
      <c r="L358" s="34">
        <v>3.45</v>
      </c>
      <c r="M358" s="34">
        <v>10281</v>
      </c>
      <c r="N358" s="34">
        <f t="shared" si="11"/>
        <v>10.78125</v>
      </c>
    </row>
    <row r="359" spans="1:14" x14ac:dyDescent="0.45">
      <c r="A359" s="30">
        <v>2023</v>
      </c>
      <c r="B359" s="30" t="s">
        <v>9</v>
      </c>
      <c r="C359" s="30" t="s">
        <v>46</v>
      </c>
      <c r="D359" s="30" t="s">
        <v>47</v>
      </c>
      <c r="E359" s="31" t="s">
        <v>245</v>
      </c>
      <c r="F359" s="32" t="s">
        <v>57</v>
      </c>
      <c r="G359" s="32" t="s">
        <v>50</v>
      </c>
      <c r="H359" s="33">
        <v>40270</v>
      </c>
      <c r="I359" s="34">
        <f>Table3[[#This Row],[Volume, kg.]]/1000</f>
        <v>40.270000000000003</v>
      </c>
      <c r="J359" s="34">
        <v>0.30159999999999998</v>
      </c>
      <c r="K359" s="34">
        <f t="shared" si="10"/>
        <v>12145.431999999999</v>
      </c>
      <c r="L359" s="34">
        <v>3.33</v>
      </c>
      <c r="M359" s="34">
        <v>134038.5</v>
      </c>
      <c r="N359" s="34">
        <f t="shared" si="11"/>
        <v>11.041114058355438</v>
      </c>
    </row>
    <row r="360" spans="1:14" x14ac:dyDescent="0.45">
      <c r="A360" s="30">
        <v>2023</v>
      </c>
      <c r="B360" s="30" t="s">
        <v>9</v>
      </c>
      <c r="C360" s="30" t="s">
        <v>46</v>
      </c>
      <c r="D360" s="30" t="s">
        <v>47</v>
      </c>
      <c r="E360" s="31" t="s">
        <v>246</v>
      </c>
      <c r="F360" s="32" t="s">
        <v>49</v>
      </c>
      <c r="G360" s="32" t="s">
        <v>50</v>
      </c>
      <c r="H360" s="33">
        <v>6460</v>
      </c>
      <c r="I360" s="34">
        <f>Table3[[#This Row],[Volume, kg.]]/1000</f>
        <v>6.46</v>
      </c>
      <c r="J360" s="34">
        <v>0.29559999999999997</v>
      </c>
      <c r="K360" s="34">
        <f t="shared" si="10"/>
        <v>1909.5759999999998</v>
      </c>
      <c r="L360" s="34">
        <v>3.3</v>
      </c>
      <c r="M360" s="34">
        <v>21327</v>
      </c>
      <c r="N360" s="34">
        <f t="shared" si="11"/>
        <v>11.163734776725304</v>
      </c>
    </row>
    <row r="361" spans="1:14" x14ac:dyDescent="0.45">
      <c r="A361" s="30">
        <v>2023</v>
      </c>
      <c r="B361" s="30" t="s">
        <v>9</v>
      </c>
      <c r="C361" s="30" t="s">
        <v>46</v>
      </c>
      <c r="D361" s="30" t="s">
        <v>47</v>
      </c>
      <c r="E361" s="31" t="s">
        <v>325</v>
      </c>
      <c r="F361" s="32" t="s">
        <v>60</v>
      </c>
      <c r="G361" s="32" t="s">
        <v>50</v>
      </c>
      <c r="H361" s="33">
        <v>31100</v>
      </c>
      <c r="I361" s="34">
        <f>Table3[[#This Row],[Volume, kg.]]/1000</f>
        <v>31.1</v>
      </c>
      <c r="J361" s="34">
        <v>0.32450000000000001</v>
      </c>
      <c r="K361" s="34">
        <f t="shared" si="10"/>
        <v>10091.950000000001</v>
      </c>
      <c r="L361" s="34">
        <v>3.47</v>
      </c>
      <c r="M361" s="34">
        <v>107785</v>
      </c>
      <c r="N361" s="34">
        <f t="shared" si="11"/>
        <v>10.693374422187981</v>
      </c>
    </row>
    <row r="362" spans="1:14" x14ac:dyDescent="0.45">
      <c r="A362" s="30">
        <v>2023</v>
      </c>
      <c r="B362" s="30" t="s">
        <v>9</v>
      </c>
      <c r="C362" s="30" t="s">
        <v>46</v>
      </c>
      <c r="D362" s="30" t="s">
        <v>102</v>
      </c>
      <c r="E362" s="31" t="s">
        <v>250</v>
      </c>
      <c r="F362" s="32" t="s">
        <v>49</v>
      </c>
      <c r="G362" s="32" t="s">
        <v>50</v>
      </c>
      <c r="H362" s="33">
        <v>1863740</v>
      </c>
      <c r="I362" s="34">
        <f>Table3[[#This Row],[Volume, kg.]]/1000</f>
        <v>1863.74</v>
      </c>
      <c r="J362" s="34">
        <v>0.29630000000000001</v>
      </c>
      <c r="K362" s="34">
        <f t="shared" si="10"/>
        <v>552226.16200000001</v>
      </c>
      <c r="L362" s="34">
        <v>3.47</v>
      </c>
      <c r="M362" s="34">
        <v>6458095</v>
      </c>
      <c r="N362" s="34">
        <f t="shared" si="11"/>
        <v>11.711103611204861</v>
      </c>
    </row>
    <row r="363" spans="1:14" x14ac:dyDescent="0.45">
      <c r="A363" s="30">
        <v>2023</v>
      </c>
      <c r="B363" s="30" t="s">
        <v>9</v>
      </c>
      <c r="C363" s="30" t="s">
        <v>46</v>
      </c>
      <c r="D363" s="30" t="s">
        <v>47</v>
      </c>
      <c r="E363" s="31" t="s">
        <v>251</v>
      </c>
      <c r="F363" s="32" t="s">
        <v>49</v>
      </c>
      <c r="G363" s="32" t="s">
        <v>50</v>
      </c>
      <c r="H363" s="33">
        <v>46520</v>
      </c>
      <c r="I363" s="34">
        <f>Table3[[#This Row],[Volume, kg.]]/1000</f>
        <v>46.52</v>
      </c>
      <c r="J363" s="34">
        <v>0.28899999999999998</v>
      </c>
      <c r="K363" s="34">
        <f t="shared" si="10"/>
        <v>13444.279999999999</v>
      </c>
      <c r="L363" s="34">
        <v>3.23</v>
      </c>
      <c r="M363" s="34">
        <v>150296.5</v>
      </c>
      <c r="N363" s="34">
        <f t="shared" si="11"/>
        <v>11.176470588235295</v>
      </c>
    </row>
    <row r="364" spans="1:14" x14ac:dyDescent="0.45">
      <c r="A364" s="30">
        <v>2023</v>
      </c>
      <c r="B364" s="30" t="s">
        <v>9</v>
      </c>
      <c r="C364" s="30" t="s">
        <v>46</v>
      </c>
      <c r="D364" s="30" t="s">
        <v>47</v>
      </c>
      <c r="E364" s="31" t="s">
        <v>252</v>
      </c>
      <c r="F364" s="32" t="s">
        <v>49</v>
      </c>
      <c r="G364" s="32" t="s">
        <v>50</v>
      </c>
      <c r="H364" s="33">
        <v>8660</v>
      </c>
      <c r="I364" s="34">
        <f>Table3[[#This Row],[Volume, kg.]]/1000</f>
        <v>8.66</v>
      </c>
      <c r="J364" s="34">
        <v>0.28110000000000002</v>
      </c>
      <c r="K364" s="34">
        <f t="shared" si="10"/>
        <v>2434.326</v>
      </c>
      <c r="L364" s="34">
        <v>3.31</v>
      </c>
      <c r="M364" s="34">
        <v>28653.5</v>
      </c>
      <c r="N364" s="34">
        <f t="shared" si="11"/>
        <v>11.775168979011028</v>
      </c>
    </row>
    <row r="365" spans="1:14" x14ac:dyDescent="0.45">
      <c r="A365" s="30">
        <v>2023</v>
      </c>
      <c r="B365" s="30" t="s">
        <v>9</v>
      </c>
      <c r="C365" s="30" t="s">
        <v>46</v>
      </c>
      <c r="D365" s="30" t="s">
        <v>47</v>
      </c>
      <c r="E365" s="31" t="s">
        <v>254</v>
      </c>
      <c r="F365" s="32" t="s">
        <v>49</v>
      </c>
      <c r="G365" s="32" t="s">
        <v>50</v>
      </c>
      <c r="H365" s="33">
        <v>55000</v>
      </c>
      <c r="I365" s="34">
        <f>Table3[[#This Row],[Volume, kg.]]/1000</f>
        <v>55</v>
      </c>
      <c r="J365" s="34">
        <v>0.26690000000000003</v>
      </c>
      <c r="K365" s="34">
        <f t="shared" si="10"/>
        <v>14679.500000000002</v>
      </c>
      <c r="L365" s="34">
        <v>3.14</v>
      </c>
      <c r="M365" s="34">
        <v>172549</v>
      </c>
      <c r="N365" s="34">
        <f t="shared" si="11"/>
        <v>11.76470588235294</v>
      </c>
    </row>
    <row r="366" spans="1:14" x14ac:dyDescent="0.45">
      <c r="A366" s="30">
        <v>2023</v>
      </c>
      <c r="B366" s="30" t="s">
        <v>9</v>
      </c>
      <c r="C366" s="30" t="s">
        <v>46</v>
      </c>
      <c r="D366" s="30" t="s">
        <v>47</v>
      </c>
      <c r="E366" s="31" t="s">
        <v>326</v>
      </c>
      <c r="F366" s="32" t="s">
        <v>57</v>
      </c>
      <c r="G366" s="32" t="s">
        <v>50</v>
      </c>
      <c r="H366" s="33">
        <v>15830</v>
      </c>
      <c r="I366" s="34">
        <f>Table3[[#This Row],[Volume, kg.]]/1000</f>
        <v>15.83</v>
      </c>
      <c r="J366" s="34">
        <v>0.26550000000000001</v>
      </c>
      <c r="K366" s="34">
        <f t="shared" si="10"/>
        <v>4202.8649999999998</v>
      </c>
      <c r="L366" s="34">
        <v>3.2</v>
      </c>
      <c r="M366" s="34">
        <v>50656</v>
      </c>
      <c r="N366" s="34">
        <f t="shared" si="11"/>
        <v>12.052730696798493</v>
      </c>
    </row>
    <row r="367" spans="1:14" x14ac:dyDescent="0.45">
      <c r="A367" s="30">
        <v>2023</v>
      </c>
      <c r="B367" s="30" t="s">
        <v>9</v>
      </c>
      <c r="C367" s="30" t="s">
        <v>46</v>
      </c>
      <c r="D367" s="30" t="s">
        <v>47</v>
      </c>
      <c r="E367" s="31" t="s">
        <v>327</v>
      </c>
      <c r="F367" s="32" t="s">
        <v>49</v>
      </c>
      <c r="G367" s="32" t="s">
        <v>50</v>
      </c>
      <c r="H367" s="33">
        <v>6080</v>
      </c>
      <c r="I367" s="34">
        <f>Table3[[#This Row],[Volume, kg.]]/1000</f>
        <v>6.08</v>
      </c>
      <c r="J367" s="34">
        <v>0.28600000000000003</v>
      </c>
      <c r="K367" s="34">
        <f t="shared" si="10"/>
        <v>1738.88</v>
      </c>
      <c r="L367" s="34">
        <v>3.3</v>
      </c>
      <c r="M367" s="34">
        <v>20064</v>
      </c>
      <c r="N367" s="34">
        <f t="shared" si="11"/>
        <v>11.538461538461537</v>
      </c>
    </row>
    <row r="368" spans="1:14" x14ac:dyDescent="0.45">
      <c r="A368" s="30">
        <v>2023</v>
      </c>
      <c r="B368" s="30" t="s">
        <v>9</v>
      </c>
      <c r="C368" s="30" t="s">
        <v>46</v>
      </c>
      <c r="D368" s="30" t="s">
        <v>47</v>
      </c>
      <c r="E368" s="31" t="s">
        <v>257</v>
      </c>
      <c r="F368" s="32" t="s">
        <v>64</v>
      </c>
      <c r="G368" s="32" t="s">
        <v>50</v>
      </c>
      <c r="H368" s="33">
        <v>556690</v>
      </c>
      <c r="I368" s="34">
        <f>Table3[[#This Row],[Volume, kg.]]/1000</f>
        <v>556.69000000000005</v>
      </c>
      <c r="J368" s="34">
        <v>0.27910000000000001</v>
      </c>
      <c r="K368" s="34">
        <f t="shared" si="10"/>
        <v>155372.179</v>
      </c>
      <c r="L368" s="34">
        <v>3.4</v>
      </c>
      <c r="M368" s="34">
        <v>1892769</v>
      </c>
      <c r="N368" s="34">
        <f t="shared" si="11"/>
        <v>12.182013615191687</v>
      </c>
    </row>
    <row r="369" spans="1:14" x14ac:dyDescent="0.45">
      <c r="A369" s="30">
        <v>2023</v>
      </c>
      <c r="B369" s="30" t="s">
        <v>9</v>
      </c>
      <c r="C369" s="30" t="s">
        <v>46</v>
      </c>
      <c r="D369" s="30" t="s">
        <v>47</v>
      </c>
      <c r="E369" s="31" t="s">
        <v>258</v>
      </c>
      <c r="F369" s="32" t="s">
        <v>49</v>
      </c>
      <c r="G369" s="32" t="s">
        <v>50</v>
      </c>
      <c r="H369" s="33">
        <v>487120</v>
      </c>
      <c r="I369" s="34">
        <f>Table3[[#This Row],[Volume, kg.]]/1000</f>
        <v>487.12</v>
      </c>
      <c r="J369" s="34">
        <v>0.28899999999999998</v>
      </c>
      <c r="K369" s="34">
        <f t="shared" si="10"/>
        <v>140777.68</v>
      </c>
      <c r="L369" s="34">
        <v>3.28</v>
      </c>
      <c r="M369" s="34">
        <v>1599586</v>
      </c>
      <c r="N369" s="34">
        <f t="shared" si="11"/>
        <v>11.349480968858131</v>
      </c>
    </row>
    <row r="370" spans="1:14" x14ac:dyDescent="0.45">
      <c r="A370" s="30">
        <v>2023</v>
      </c>
      <c r="B370" s="30" t="s">
        <v>10</v>
      </c>
      <c r="C370" s="30" t="s">
        <v>46</v>
      </c>
      <c r="D370" s="30" t="s">
        <v>47</v>
      </c>
      <c r="E370" s="31" t="s">
        <v>328</v>
      </c>
      <c r="F370" s="32" t="s">
        <v>49</v>
      </c>
      <c r="G370" s="32" t="s">
        <v>50</v>
      </c>
      <c r="H370" s="33">
        <v>1850</v>
      </c>
      <c r="I370" s="34">
        <f>Table3[[#This Row],[Volume, kg.]]/1000</f>
        <v>1.85</v>
      </c>
      <c r="J370" s="34">
        <v>0.2515</v>
      </c>
      <c r="K370" s="34">
        <f t="shared" si="10"/>
        <v>465.27499999999998</v>
      </c>
      <c r="L370" s="34">
        <v>3.4</v>
      </c>
      <c r="M370" s="34">
        <v>6290</v>
      </c>
      <c r="N370" s="34">
        <f t="shared" si="11"/>
        <v>13.518886679920477</v>
      </c>
    </row>
    <row r="371" spans="1:14" x14ac:dyDescent="0.45">
      <c r="A371" s="30">
        <v>2023</v>
      </c>
      <c r="B371" s="30" t="s">
        <v>10</v>
      </c>
      <c r="C371" s="30" t="s">
        <v>46</v>
      </c>
      <c r="D371" s="30" t="s">
        <v>47</v>
      </c>
      <c r="E371" s="31" t="s">
        <v>48</v>
      </c>
      <c r="F371" s="32" t="s">
        <v>49</v>
      </c>
      <c r="G371" s="32" t="s">
        <v>50</v>
      </c>
      <c r="H371" s="33">
        <v>23150</v>
      </c>
      <c r="I371" s="34">
        <f>Table3[[#This Row],[Volume, kg.]]/1000</f>
        <v>23.15</v>
      </c>
      <c r="J371" s="34">
        <v>0.27649999999999997</v>
      </c>
      <c r="K371" s="34">
        <f t="shared" si="10"/>
        <v>6400.9749999999995</v>
      </c>
      <c r="L371" s="34">
        <v>3.54</v>
      </c>
      <c r="M371" s="34">
        <v>81923.5</v>
      </c>
      <c r="N371" s="34">
        <f t="shared" si="11"/>
        <v>12.802893309222425</v>
      </c>
    </row>
    <row r="372" spans="1:14" x14ac:dyDescent="0.45">
      <c r="A372" s="30">
        <v>2023</v>
      </c>
      <c r="B372" s="30" t="s">
        <v>10</v>
      </c>
      <c r="C372" s="30" t="s">
        <v>46</v>
      </c>
      <c r="D372" s="30" t="s">
        <v>47</v>
      </c>
      <c r="E372" s="31" t="s">
        <v>51</v>
      </c>
      <c r="F372" s="32" t="s">
        <v>49</v>
      </c>
      <c r="G372" s="32" t="s">
        <v>50</v>
      </c>
      <c r="H372" s="33">
        <v>11800</v>
      </c>
      <c r="I372" s="34">
        <f>Table3[[#This Row],[Volume, kg.]]/1000</f>
        <v>11.8</v>
      </c>
      <c r="J372" s="34">
        <v>0.26890000000000003</v>
      </c>
      <c r="K372" s="34">
        <f t="shared" si="10"/>
        <v>3173.0200000000004</v>
      </c>
      <c r="L372" s="34">
        <v>3.52</v>
      </c>
      <c r="M372" s="34">
        <v>41587</v>
      </c>
      <c r="N372" s="34">
        <f t="shared" si="11"/>
        <v>13.090368166604684</v>
      </c>
    </row>
    <row r="373" spans="1:14" x14ac:dyDescent="0.45">
      <c r="A373" s="30">
        <v>2023</v>
      </c>
      <c r="B373" s="30" t="s">
        <v>10</v>
      </c>
      <c r="C373" s="30" t="s">
        <v>46</v>
      </c>
      <c r="D373" s="30" t="s">
        <v>47</v>
      </c>
      <c r="E373" s="31" t="s">
        <v>52</v>
      </c>
      <c r="F373" s="32" t="s">
        <v>49</v>
      </c>
      <c r="G373" s="32" t="s">
        <v>50</v>
      </c>
      <c r="H373" s="33">
        <v>15190</v>
      </c>
      <c r="I373" s="34">
        <f>Table3[[#This Row],[Volume, kg.]]/1000</f>
        <v>15.19</v>
      </c>
      <c r="J373" s="34">
        <v>0.25159999999999999</v>
      </c>
      <c r="K373" s="34">
        <f t="shared" si="10"/>
        <v>3821.8039999999996</v>
      </c>
      <c r="L373" s="34">
        <v>3.49</v>
      </c>
      <c r="M373" s="34">
        <v>52957.5</v>
      </c>
      <c r="N373" s="34">
        <f t="shared" si="11"/>
        <v>13.871224165341813</v>
      </c>
    </row>
    <row r="374" spans="1:14" x14ac:dyDescent="0.45">
      <c r="A374" s="30">
        <v>2023</v>
      </c>
      <c r="B374" s="30" t="s">
        <v>10</v>
      </c>
      <c r="C374" s="30" t="s">
        <v>46</v>
      </c>
      <c r="D374" s="30" t="s">
        <v>47</v>
      </c>
      <c r="E374" s="31" t="s">
        <v>53</v>
      </c>
      <c r="F374" s="32" t="s">
        <v>54</v>
      </c>
      <c r="G374" s="32" t="s">
        <v>50</v>
      </c>
      <c r="H374" s="33">
        <v>17100</v>
      </c>
      <c r="I374" s="34">
        <f>Table3[[#This Row],[Volume, kg.]]/1000</f>
        <v>17.100000000000001</v>
      </c>
      <c r="J374" s="34">
        <v>0.27460000000000001</v>
      </c>
      <c r="K374" s="34">
        <f t="shared" si="10"/>
        <v>4695.66</v>
      </c>
      <c r="L374" s="34">
        <v>3.61</v>
      </c>
      <c r="M374" s="34">
        <v>61779</v>
      </c>
      <c r="N374" s="34">
        <f t="shared" si="11"/>
        <v>13.146394756008739</v>
      </c>
    </row>
    <row r="375" spans="1:14" x14ac:dyDescent="0.45">
      <c r="A375" s="30">
        <v>2023</v>
      </c>
      <c r="B375" s="30" t="s">
        <v>10</v>
      </c>
      <c r="C375" s="30" t="s">
        <v>46</v>
      </c>
      <c r="D375" s="30" t="s">
        <v>47</v>
      </c>
      <c r="E375" s="31" t="s">
        <v>329</v>
      </c>
      <c r="F375" s="32" t="s">
        <v>49</v>
      </c>
      <c r="G375" s="32" t="s">
        <v>50</v>
      </c>
      <c r="H375" s="33">
        <v>5140</v>
      </c>
      <c r="I375" s="34">
        <f>Table3[[#This Row],[Volume, kg.]]/1000</f>
        <v>5.14</v>
      </c>
      <c r="J375" s="34">
        <v>0.28449999999999998</v>
      </c>
      <c r="K375" s="34">
        <f t="shared" si="10"/>
        <v>1462.33</v>
      </c>
      <c r="L375" s="34">
        <v>3.55</v>
      </c>
      <c r="M375" s="34">
        <v>18247</v>
      </c>
      <c r="N375" s="34">
        <f t="shared" si="11"/>
        <v>12.478031634446397</v>
      </c>
    </row>
    <row r="376" spans="1:14" x14ac:dyDescent="0.45">
      <c r="A376" s="30">
        <v>2023</v>
      </c>
      <c r="B376" s="30" t="s">
        <v>10</v>
      </c>
      <c r="C376" s="30" t="s">
        <v>46</v>
      </c>
      <c r="D376" s="30" t="s">
        <v>102</v>
      </c>
      <c r="E376" s="31" t="s">
        <v>330</v>
      </c>
      <c r="F376" s="32" t="s">
        <v>331</v>
      </c>
      <c r="G376" s="32" t="s">
        <v>105</v>
      </c>
      <c r="H376" s="33">
        <v>272350</v>
      </c>
      <c r="I376" s="34">
        <f>Table3[[#This Row],[Volume, kg.]]/1000</f>
        <v>272.35000000000002</v>
      </c>
      <c r="J376" s="34">
        <v>0.27289999999999998</v>
      </c>
      <c r="K376" s="34">
        <f t="shared" si="10"/>
        <v>74324.314999999988</v>
      </c>
      <c r="L376" s="34">
        <v>3.85</v>
      </c>
      <c r="M376" s="34">
        <v>1048554.5</v>
      </c>
      <c r="N376" s="34">
        <f t="shared" si="11"/>
        <v>14.107731769879079</v>
      </c>
    </row>
    <row r="377" spans="1:14" x14ac:dyDescent="0.45">
      <c r="A377" s="30">
        <v>2023</v>
      </c>
      <c r="B377" s="30" t="s">
        <v>10</v>
      </c>
      <c r="C377" s="30" t="s">
        <v>46</v>
      </c>
      <c r="D377" s="30" t="s">
        <v>47</v>
      </c>
      <c r="E377" s="31" t="s">
        <v>65</v>
      </c>
      <c r="F377" s="32" t="s">
        <v>49</v>
      </c>
      <c r="G377" s="32" t="s">
        <v>50</v>
      </c>
      <c r="H377" s="33">
        <v>11760</v>
      </c>
      <c r="I377" s="34">
        <f>Table3[[#This Row],[Volume, kg.]]/1000</f>
        <v>11.76</v>
      </c>
      <c r="J377" s="34">
        <v>0.26829999999999998</v>
      </c>
      <c r="K377" s="34">
        <f t="shared" si="10"/>
        <v>3155.2079999999996</v>
      </c>
      <c r="L377" s="34">
        <v>3.49</v>
      </c>
      <c r="M377" s="34">
        <v>41055</v>
      </c>
      <c r="N377" s="34">
        <f t="shared" si="11"/>
        <v>13.007827059262022</v>
      </c>
    </row>
    <row r="378" spans="1:14" x14ac:dyDescent="0.45">
      <c r="A378" s="30">
        <v>2023</v>
      </c>
      <c r="B378" s="30" t="s">
        <v>10</v>
      </c>
      <c r="C378" s="30" t="s">
        <v>46</v>
      </c>
      <c r="D378" s="30" t="s">
        <v>47</v>
      </c>
      <c r="E378" s="31" t="s">
        <v>262</v>
      </c>
      <c r="F378" s="32" t="s">
        <v>81</v>
      </c>
      <c r="G378" s="32" t="s">
        <v>50</v>
      </c>
      <c r="H378" s="33">
        <v>35460</v>
      </c>
      <c r="I378" s="34">
        <f>Table3[[#This Row],[Volume, kg.]]/1000</f>
        <v>35.46</v>
      </c>
      <c r="J378" s="34">
        <v>0.25890000000000002</v>
      </c>
      <c r="K378" s="34">
        <f t="shared" si="10"/>
        <v>9180.594000000001</v>
      </c>
      <c r="L378" s="34">
        <v>3.45</v>
      </c>
      <c r="M378" s="34">
        <v>122171</v>
      </c>
      <c r="N378" s="34">
        <f t="shared" si="11"/>
        <v>13.325608342989572</v>
      </c>
    </row>
    <row r="379" spans="1:14" x14ac:dyDescent="0.45">
      <c r="A379" s="30">
        <v>2023</v>
      </c>
      <c r="B379" s="30" t="s">
        <v>10</v>
      </c>
      <c r="C379" s="30" t="s">
        <v>46</v>
      </c>
      <c r="D379" s="30" t="s">
        <v>47</v>
      </c>
      <c r="E379" s="31" t="s">
        <v>332</v>
      </c>
      <c r="F379" s="32" t="s">
        <v>49</v>
      </c>
      <c r="G379" s="32" t="s">
        <v>50</v>
      </c>
      <c r="H379" s="33">
        <v>3590</v>
      </c>
      <c r="I379" s="34">
        <f>Table3[[#This Row],[Volume, kg.]]/1000</f>
        <v>3.59</v>
      </c>
      <c r="J379" s="34">
        <v>0.30020000000000002</v>
      </c>
      <c r="K379" s="34">
        <f t="shared" si="10"/>
        <v>1077.7180000000001</v>
      </c>
      <c r="L379" s="34">
        <v>3.76</v>
      </c>
      <c r="M379" s="34">
        <v>13497.5</v>
      </c>
      <c r="N379" s="34">
        <f t="shared" si="11"/>
        <v>12.52498334443704</v>
      </c>
    </row>
    <row r="380" spans="1:14" x14ac:dyDescent="0.45">
      <c r="A380" s="30">
        <v>2023</v>
      </c>
      <c r="B380" s="30" t="s">
        <v>10</v>
      </c>
      <c r="C380" s="30" t="s">
        <v>46</v>
      </c>
      <c r="D380" s="30" t="s">
        <v>47</v>
      </c>
      <c r="E380" s="31" t="s">
        <v>333</v>
      </c>
      <c r="F380" s="32" t="s">
        <v>57</v>
      </c>
      <c r="G380" s="32" t="s">
        <v>50</v>
      </c>
      <c r="H380" s="33">
        <v>28590</v>
      </c>
      <c r="I380" s="34">
        <f>Table3[[#This Row],[Volume, kg.]]/1000</f>
        <v>28.59</v>
      </c>
      <c r="J380" s="34">
        <v>0.27679999999999999</v>
      </c>
      <c r="K380" s="34">
        <f t="shared" si="10"/>
        <v>7913.7119999999995</v>
      </c>
      <c r="L380" s="34">
        <v>3.54</v>
      </c>
      <c r="M380" s="34">
        <v>101243.5</v>
      </c>
      <c r="N380" s="34">
        <f t="shared" si="11"/>
        <v>12.789017341040463</v>
      </c>
    </row>
    <row r="381" spans="1:14" x14ac:dyDescent="0.45">
      <c r="A381" s="30">
        <v>2023</v>
      </c>
      <c r="B381" s="30" t="s">
        <v>10</v>
      </c>
      <c r="C381" s="30" t="s">
        <v>46</v>
      </c>
      <c r="D381" s="30" t="s">
        <v>47</v>
      </c>
      <c r="E381" s="31" t="s">
        <v>263</v>
      </c>
      <c r="F381" s="32" t="s">
        <v>81</v>
      </c>
      <c r="G381" s="32" t="s">
        <v>50</v>
      </c>
      <c r="H381" s="33">
        <v>51370</v>
      </c>
      <c r="I381" s="34">
        <f>Table3[[#This Row],[Volume, kg.]]/1000</f>
        <v>51.37</v>
      </c>
      <c r="J381" s="34">
        <v>0.24829999999999999</v>
      </c>
      <c r="K381" s="34">
        <f t="shared" si="10"/>
        <v>12755.171</v>
      </c>
      <c r="L381" s="34">
        <v>3.38</v>
      </c>
      <c r="M381" s="34">
        <v>173829</v>
      </c>
      <c r="N381" s="34">
        <f t="shared" si="11"/>
        <v>13.612565445026178</v>
      </c>
    </row>
    <row r="382" spans="1:14" x14ac:dyDescent="0.45">
      <c r="A382" s="30">
        <v>2023</v>
      </c>
      <c r="B382" s="30" t="s">
        <v>10</v>
      </c>
      <c r="C382" s="30" t="s">
        <v>46</v>
      </c>
      <c r="D382" s="30" t="s">
        <v>47</v>
      </c>
      <c r="E382" s="31" t="s">
        <v>69</v>
      </c>
      <c r="F382" s="32" t="s">
        <v>49</v>
      </c>
      <c r="G382" s="32" t="s">
        <v>50</v>
      </c>
      <c r="H382" s="33">
        <v>50510</v>
      </c>
      <c r="I382" s="34">
        <f>Table3[[#This Row],[Volume, kg.]]/1000</f>
        <v>50.51</v>
      </c>
      <c r="J382" s="34">
        <v>0.27039999999999997</v>
      </c>
      <c r="K382" s="34">
        <f t="shared" si="10"/>
        <v>13657.903999999999</v>
      </c>
      <c r="L382" s="34">
        <v>3.5</v>
      </c>
      <c r="M382" s="34">
        <v>176676</v>
      </c>
      <c r="N382" s="34">
        <f t="shared" si="11"/>
        <v>12.943786982248522</v>
      </c>
    </row>
    <row r="383" spans="1:14" x14ac:dyDescent="0.45">
      <c r="A383" s="30">
        <v>2023</v>
      </c>
      <c r="B383" s="30" t="s">
        <v>10</v>
      </c>
      <c r="C383" s="30" t="s">
        <v>46</v>
      </c>
      <c r="D383" s="30" t="s">
        <v>47</v>
      </c>
      <c r="E383" s="31" t="s">
        <v>70</v>
      </c>
      <c r="F383" s="32" t="s">
        <v>49</v>
      </c>
      <c r="G383" s="32" t="s">
        <v>50</v>
      </c>
      <c r="H383" s="33">
        <v>104390</v>
      </c>
      <c r="I383" s="34">
        <f>Table3[[#This Row],[Volume, kg.]]/1000</f>
        <v>104.39</v>
      </c>
      <c r="J383" s="34">
        <v>0.2843</v>
      </c>
      <c r="K383" s="34">
        <f t="shared" si="10"/>
        <v>29678.077000000001</v>
      </c>
      <c r="L383" s="34">
        <v>3.64</v>
      </c>
      <c r="M383" s="34">
        <v>379974.5</v>
      </c>
      <c r="N383" s="34">
        <f t="shared" si="11"/>
        <v>12.803376714737954</v>
      </c>
    </row>
    <row r="384" spans="1:14" x14ac:dyDescent="0.45">
      <c r="A384" s="30">
        <v>2023</v>
      </c>
      <c r="B384" s="30" t="s">
        <v>10</v>
      </c>
      <c r="C384" s="30" t="s">
        <v>46</v>
      </c>
      <c r="D384" s="30" t="s">
        <v>47</v>
      </c>
      <c r="E384" s="31" t="s">
        <v>72</v>
      </c>
      <c r="F384" s="32" t="s">
        <v>49</v>
      </c>
      <c r="G384" s="32" t="s">
        <v>50</v>
      </c>
      <c r="H384" s="33">
        <v>17990</v>
      </c>
      <c r="I384" s="34">
        <f>Table3[[#This Row],[Volume, kg.]]/1000</f>
        <v>17.989999999999998</v>
      </c>
      <c r="J384" s="34">
        <v>0.25230000000000002</v>
      </c>
      <c r="K384" s="34">
        <f t="shared" si="10"/>
        <v>4538.8770000000004</v>
      </c>
      <c r="L384" s="34">
        <v>3.38</v>
      </c>
      <c r="M384" s="34">
        <v>60847.5</v>
      </c>
      <c r="N384" s="34">
        <f t="shared" si="11"/>
        <v>13.396749900911612</v>
      </c>
    </row>
    <row r="385" spans="1:14" x14ac:dyDescent="0.45">
      <c r="A385" s="30">
        <v>2023</v>
      </c>
      <c r="B385" s="30" t="s">
        <v>10</v>
      </c>
      <c r="C385" s="30" t="s">
        <v>46</v>
      </c>
      <c r="D385" s="30" t="s">
        <v>47</v>
      </c>
      <c r="E385" s="31" t="s">
        <v>74</v>
      </c>
      <c r="F385" s="32" t="s">
        <v>49</v>
      </c>
      <c r="G385" s="32" t="s">
        <v>50</v>
      </c>
      <c r="H385" s="33">
        <v>33750</v>
      </c>
      <c r="I385" s="34">
        <f>Table3[[#This Row],[Volume, kg.]]/1000</f>
        <v>33.75</v>
      </c>
      <c r="J385" s="34">
        <v>0.26050000000000001</v>
      </c>
      <c r="K385" s="34">
        <f t="shared" si="10"/>
        <v>8791.875</v>
      </c>
      <c r="L385" s="34">
        <v>3.49</v>
      </c>
      <c r="M385" s="34">
        <v>117631</v>
      </c>
      <c r="N385" s="34">
        <f t="shared" si="11"/>
        <v>13.397312859884837</v>
      </c>
    </row>
    <row r="386" spans="1:14" x14ac:dyDescent="0.45">
      <c r="A386" s="30">
        <v>2023</v>
      </c>
      <c r="B386" s="30" t="s">
        <v>10</v>
      </c>
      <c r="C386" s="30" t="s">
        <v>46</v>
      </c>
      <c r="D386" s="30" t="s">
        <v>47</v>
      </c>
      <c r="E386" s="31" t="s">
        <v>334</v>
      </c>
      <c r="F386" s="32" t="s">
        <v>81</v>
      </c>
      <c r="G386" s="32" t="s">
        <v>50</v>
      </c>
      <c r="H386" s="33">
        <v>42160</v>
      </c>
      <c r="I386" s="34">
        <f>Table3[[#This Row],[Volume, kg.]]/1000</f>
        <v>42.16</v>
      </c>
      <c r="J386" s="34">
        <v>0.29109999999999997</v>
      </c>
      <c r="K386" s="34">
        <f t="shared" si="10"/>
        <v>12272.775999999998</v>
      </c>
      <c r="L386" s="34">
        <v>3.67</v>
      </c>
      <c r="M386" s="34">
        <v>154783</v>
      </c>
      <c r="N386" s="34">
        <f t="shared" si="11"/>
        <v>12.607351425626934</v>
      </c>
    </row>
    <row r="387" spans="1:14" x14ac:dyDescent="0.45">
      <c r="A387" s="30">
        <v>2023</v>
      </c>
      <c r="B387" s="30" t="s">
        <v>10</v>
      </c>
      <c r="C387" s="30" t="s">
        <v>46</v>
      </c>
      <c r="D387" s="30" t="s">
        <v>47</v>
      </c>
      <c r="E387" s="31" t="s">
        <v>335</v>
      </c>
      <c r="F387" s="32" t="s">
        <v>54</v>
      </c>
      <c r="G387" s="32" t="s">
        <v>50</v>
      </c>
      <c r="H387" s="33">
        <v>110330</v>
      </c>
      <c r="I387" s="34">
        <f>Table3[[#This Row],[Volume, kg.]]/1000</f>
        <v>110.33</v>
      </c>
      <c r="J387" s="34">
        <v>0.28559999999999997</v>
      </c>
      <c r="K387" s="34">
        <f t="shared" ref="K387:K450" si="12">H387*J387</f>
        <v>31510.247999999996</v>
      </c>
      <c r="L387" s="34">
        <v>3.57</v>
      </c>
      <c r="M387" s="34">
        <v>393919.5</v>
      </c>
      <c r="N387" s="34">
        <f t="shared" si="11"/>
        <v>12.500000000000002</v>
      </c>
    </row>
    <row r="388" spans="1:14" x14ac:dyDescent="0.45">
      <c r="A388" s="30">
        <v>2023</v>
      </c>
      <c r="B388" s="30" t="s">
        <v>10</v>
      </c>
      <c r="C388" s="30" t="s">
        <v>46</v>
      </c>
      <c r="D388" s="30" t="s">
        <v>47</v>
      </c>
      <c r="E388" s="31" t="s">
        <v>75</v>
      </c>
      <c r="F388" s="32" t="s">
        <v>49</v>
      </c>
      <c r="G388" s="32" t="s">
        <v>50</v>
      </c>
      <c r="H388" s="33">
        <v>7620</v>
      </c>
      <c r="I388" s="34">
        <f>Table3[[#This Row],[Volume, kg.]]/1000</f>
        <v>7.62</v>
      </c>
      <c r="J388" s="34">
        <v>0.26550000000000001</v>
      </c>
      <c r="K388" s="34">
        <f t="shared" si="12"/>
        <v>2023.1100000000001</v>
      </c>
      <c r="L388" s="34">
        <v>3.55</v>
      </c>
      <c r="M388" s="34">
        <v>27051</v>
      </c>
      <c r="N388" s="34">
        <f t="shared" ref="N388:N451" si="13">L388/J388</f>
        <v>13.370998116760827</v>
      </c>
    </row>
    <row r="389" spans="1:14" x14ac:dyDescent="0.45">
      <c r="A389" s="30">
        <v>2023</v>
      </c>
      <c r="B389" s="30" t="s">
        <v>10</v>
      </c>
      <c r="C389" s="30" t="s">
        <v>46</v>
      </c>
      <c r="D389" s="30" t="s">
        <v>47</v>
      </c>
      <c r="E389" s="31" t="s">
        <v>76</v>
      </c>
      <c r="F389" s="32" t="s">
        <v>60</v>
      </c>
      <c r="G389" s="32" t="s">
        <v>50</v>
      </c>
      <c r="H389" s="33">
        <v>16300</v>
      </c>
      <c r="I389" s="34">
        <f>Table3[[#This Row],[Volume, kg.]]/1000</f>
        <v>16.3</v>
      </c>
      <c r="J389" s="34">
        <v>0.28899999999999998</v>
      </c>
      <c r="K389" s="34">
        <f t="shared" si="12"/>
        <v>4710.7</v>
      </c>
      <c r="L389" s="34">
        <v>3.58</v>
      </c>
      <c r="M389" s="34">
        <v>58275</v>
      </c>
      <c r="N389" s="34">
        <f t="shared" si="13"/>
        <v>12.387543252595156</v>
      </c>
    </row>
    <row r="390" spans="1:14" x14ac:dyDescent="0.45">
      <c r="A390" s="30">
        <v>2023</v>
      </c>
      <c r="B390" s="30" t="s">
        <v>10</v>
      </c>
      <c r="C390" s="30" t="s">
        <v>46</v>
      </c>
      <c r="D390" s="30" t="s">
        <v>47</v>
      </c>
      <c r="E390" s="31" t="s">
        <v>77</v>
      </c>
      <c r="F390" s="32" t="s">
        <v>49</v>
      </c>
      <c r="G390" s="32" t="s">
        <v>50</v>
      </c>
      <c r="H390" s="33">
        <v>53780</v>
      </c>
      <c r="I390" s="34">
        <f>Table3[[#This Row],[Volume, kg.]]/1000</f>
        <v>53.78</v>
      </c>
      <c r="J390" s="34">
        <v>0.26769999999999999</v>
      </c>
      <c r="K390" s="34">
        <f t="shared" si="12"/>
        <v>14396.905999999999</v>
      </c>
      <c r="L390" s="34">
        <v>3.45</v>
      </c>
      <c r="M390" s="34">
        <v>185519</v>
      </c>
      <c r="N390" s="34">
        <f t="shared" si="13"/>
        <v>12.887560702278671</v>
      </c>
    </row>
    <row r="391" spans="1:14" x14ac:dyDescent="0.45">
      <c r="A391" s="30">
        <v>2023</v>
      </c>
      <c r="B391" s="30" t="s">
        <v>10</v>
      </c>
      <c r="C391" s="30" t="s">
        <v>46</v>
      </c>
      <c r="D391" s="30" t="s">
        <v>102</v>
      </c>
      <c r="E391" s="31" t="s">
        <v>336</v>
      </c>
      <c r="F391" s="32" t="s">
        <v>114</v>
      </c>
      <c r="G391" s="32" t="s">
        <v>108</v>
      </c>
      <c r="H391" s="33">
        <v>30710</v>
      </c>
      <c r="I391" s="34">
        <f>Table3[[#This Row],[Volume, kg.]]/1000</f>
        <v>30.71</v>
      </c>
      <c r="J391" s="34">
        <v>0.22020000000000001</v>
      </c>
      <c r="K391" s="34">
        <f t="shared" si="12"/>
        <v>6762.3420000000006</v>
      </c>
      <c r="L391" s="34">
        <v>3.64</v>
      </c>
      <c r="M391" s="34">
        <v>111817</v>
      </c>
      <c r="N391" s="34">
        <f t="shared" si="13"/>
        <v>16.530426884650318</v>
      </c>
    </row>
    <row r="392" spans="1:14" x14ac:dyDescent="0.45">
      <c r="A392" s="30">
        <v>2023</v>
      </c>
      <c r="B392" s="30" t="s">
        <v>10</v>
      </c>
      <c r="C392" s="30" t="s">
        <v>46</v>
      </c>
      <c r="D392" s="30" t="s">
        <v>47</v>
      </c>
      <c r="E392" s="31" t="s">
        <v>80</v>
      </c>
      <c r="F392" s="32" t="s">
        <v>81</v>
      </c>
      <c r="G392" s="32" t="s">
        <v>50</v>
      </c>
      <c r="H392" s="33">
        <v>85970</v>
      </c>
      <c r="I392" s="34">
        <f>Table3[[#This Row],[Volume, kg.]]/1000</f>
        <v>85.97</v>
      </c>
      <c r="J392" s="34">
        <v>0.30519999999999997</v>
      </c>
      <c r="K392" s="34">
        <f t="shared" si="12"/>
        <v>26238.043999999998</v>
      </c>
      <c r="L392" s="34">
        <v>3.63</v>
      </c>
      <c r="M392" s="34">
        <v>311777.5</v>
      </c>
      <c r="N392" s="34">
        <f t="shared" si="13"/>
        <v>11.89384010484928</v>
      </c>
    </row>
    <row r="393" spans="1:14" x14ac:dyDescent="0.45">
      <c r="A393" s="30">
        <v>2023</v>
      </c>
      <c r="B393" s="30" t="s">
        <v>10</v>
      </c>
      <c r="C393" s="30" t="s">
        <v>46</v>
      </c>
      <c r="D393" s="30" t="s">
        <v>102</v>
      </c>
      <c r="E393" s="31" t="s">
        <v>337</v>
      </c>
      <c r="F393" s="32" t="s">
        <v>338</v>
      </c>
      <c r="G393" s="32" t="s">
        <v>105</v>
      </c>
      <c r="H393" s="33">
        <v>43300</v>
      </c>
      <c r="I393" s="34">
        <f>Table3[[#This Row],[Volume, kg.]]/1000</f>
        <v>43.3</v>
      </c>
      <c r="J393" s="34">
        <v>0.248</v>
      </c>
      <c r="K393" s="34">
        <f t="shared" si="12"/>
        <v>10738.4</v>
      </c>
      <c r="L393" s="34">
        <v>3.4</v>
      </c>
      <c r="M393" s="34">
        <v>147220</v>
      </c>
      <c r="N393" s="34">
        <f t="shared" si="13"/>
        <v>13.709677419354838</v>
      </c>
    </row>
    <row r="394" spans="1:14" x14ac:dyDescent="0.45">
      <c r="A394" s="30">
        <v>2023</v>
      </c>
      <c r="B394" s="30" t="s">
        <v>10</v>
      </c>
      <c r="C394" s="30" t="s">
        <v>46</v>
      </c>
      <c r="D394" s="30" t="s">
        <v>47</v>
      </c>
      <c r="E394" s="31" t="s">
        <v>85</v>
      </c>
      <c r="F394" s="32" t="s">
        <v>49</v>
      </c>
      <c r="G394" s="32" t="s">
        <v>50</v>
      </c>
      <c r="H394" s="33">
        <v>19780</v>
      </c>
      <c r="I394" s="34">
        <f>Table3[[#This Row],[Volume, kg.]]/1000</f>
        <v>19.78</v>
      </c>
      <c r="J394" s="34">
        <v>0.26919999999999999</v>
      </c>
      <c r="K394" s="34">
        <f t="shared" si="12"/>
        <v>5324.7759999999998</v>
      </c>
      <c r="L394" s="34">
        <v>3.39</v>
      </c>
      <c r="M394" s="34">
        <v>67043.5</v>
      </c>
      <c r="N394" s="34">
        <f t="shared" si="13"/>
        <v>12.592867756315009</v>
      </c>
    </row>
    <row r="395" spans="1:14" x14ac:dyDescent="0.45">
      <c r="A395" s="30">
        <v>2023</v>
      </c>
      <c r="B395" s="30" t="s">
        <v>10</v>
      </c>
      <c r="C395" s="30" t="s">
        <v>46</v>
      </c>
      <c r="D395" s="30" t="s">
        <v>47</v>
      </c>
      <c r="E395" s="31" t="s">
        <v>86</v>
      </c>
      <c r="F395" s="32" t="s">
        <v>49</v>
      </c>
      <c r="G395" s="32" t="s">
        <v>50</v>
      </c>
      <c r="H395" s="33">
        <v>65870</v>
      </c>
      <c r="I395" s="34">
        <f>Table3[[#This Row],[Volume, kg.]]/1000</f>
        <v>65.87</v>
      </c>
      <c r="J395" s="34">
        <v>0.27289999999999998</v>
      </c>
      <c r="K395" s="34">
        <f t="shared" si="12"/>
        <v>17975.922999999999</v>
      </c>
      <c r="L395" s="34">
        <v>3.58</v>
      </c>
      <c r="M395" s="34">
        <v>235754.5</v>
      </c>
      <c r="N395" s="34">
        <f t="shared" si="13"/>
        <v>13.118358373030416</v>
      </c>
    </row>
    <row r="396" spans="1:14" x14ac:dyDescent="0.45">
      <c r="A396" s="30">
        <v>2023</v>
      </c>
      <c r="B396" s="30" t="s">
        <v>10</v>
      </c>
      <c r="C396" s="30" t="s">
        <v>46</v>
      </c>
      <c r="D396" s="30" t="s">
        <v>47</v>
      </c>
      <c r="E396" s="31" t="s">
        <v>87</v>
      </c>
      <c r="F396" s="32" t="s">
        <v>49</v>
      </c>
      <c r="G396" s="32" t="s">
        <v>50</v>
      </c>
      <c r="H396" s="33">
        <v>1720</v>
      </c>
      <c r="I396" s="34">
        <f>Table3[[#This Row],[Volume, kg.]]/1000</f>
        <v>1.72</v>
      </c>
      <c r="J396" s="34">
        <v>0.26450000000000001</v>
      </c>
      <c r="K396" s="34">
        <f t="shared" si="12"/>
        <v>454.94</v>
      </c>
      <c r="L396" s="34">
        <v>3.5</v>
      </c>
      <c r="M396" s="34">
        <v>6020</v>
      </c>
      <c r="N396" s="34">
        <f t="shared" si="13"/>
        <v>13.232514177693762</v>
      </c>
    </row>
    <row r="397" spans="1:14" x14ac:dyDescent="0.45">
      <c r="A397" s="30">
        <v>2023</v>
      </c>
      <c r="B397" s="30" t="s">
        <v>10</v>
      </c>
      <c r="C397" s="30" t="s">
        <v>46</v>
      </c>
      <c r="D397" s="30" t="s">
        <v>47</v>
      </c>
      <c r="E397" s="31" t="s">
        <v>89</v>
      </c>
      <c r="F397" s="32" t="s">
        <v>81</v>
      </c>
      <c r="G397" s="32" t="s">
        <v>50</v>
      </c>
      <c r="H397" s="33">
        <v>8930</v>
      </c>
      <c r="I397" s="34">
        <f>Table3[[#This Row],[Volume, kg.]]/1000</f>
        <v>8.93</v>
      </c>
      <c r="J397" s="34">
        <v>0.28000000000000003</v>
      </c>
      <c r="K397" s="34">
        <f t="shared" si="12"/>
        <v>2500.4</v>
      </c>
      <c r="L397" s="34">
        <v>3.55</v>
      </c>
      <c r="M397" s="34">
        <v>31701.5</v>
      </c>
      <c r="N397" s="34">
        <f t="shared" si="13"/>
        <v>12.678571428571427</v>
      </c>
    </row>
    <row r="398" spans="1:14" x14ac:dyDescent="0.45">
      <c r="A398" s="30">
        <v>2023</v>
      </c>
      <c r="B398" s="30" t="s">
        <v>10</v>
      </c>
      <c r="C398" s="30" t="s">
        <v>46</v>
      </c>
      <c r="D398" s="30" t="s">
        <v>47</v>
      </c>
      <c r="E398" s="31" t="s">
        <v>90</v>
      </c>
      <c r="F398" s="32" t="s">
        <v>49</v>
      </c>
      <c r="G398" s="32" t="s">
        <v>50</v>
      </c>
      <c r="H398" s="33">
        <v>26650</v>
      </c>
      <c r="I398" s="34">
        <f>Table3[[#This Row],[Volume, kg.]]/1000</f>
        <v>26.65</v>
      </c>
      <c r="J398" s="34">
        <v>0.27589999999999998</v>
      </c>
      <c r="K398" s="34">
        <f t="shared" si="12"/>
        <v>7352.7349999999997</v>
      </c>
      <c r="L398" s="34">
        <v>3.6</v>
      </c>
      <c r="M398" s="34">
        <v>95832</v>
      </c>
      <c r="N398" s="34">
        <f t="shared" si="13"/>
        <v>13.048205871692643</v>
      </c>
    </row>
    <row r="399" spans="1:14" x14ac:dyDescent="0.45">
      <c r="A399" s="30">
        <v>2023</v>
      </c>
      <c r="B399" s="30" t="s">
        <v>10</v>
      </c>
      <c r="C399" s="30" t="s">
        <v>46</v>
      </c>
      <c r="D399" s="30" t="s">
        <v>47</v>
      </c>
      <c r="E399" s="31" t="s">
        <v>91</v>
      </c>
      <c r="F399" s="32" t="s">
        <v>60</v>
      </c>
      <c r="G399" s="32" t="s">
        <v>50</v>
      </c>
      <c r="H399" s="33">
        <v>6260</v>
      </c>
      <c r="I399" s="34">
        <f>Table3[[#This Row],[Volume, kg.]]/1000</f>
        <v>6.26</v>
      </c>
      <c r="J399" s="34">
        <v>0.28749999999999998</v>
      </c>
      <c r="K399" s="34">
        <f t="shared" si="12"/>
        <v>1799.7499999999998</v>
      </c>
      <c r="L399" s="34">
        <v>3.7</v>
      </c>
      <c r="M399" s="34">
        <v>23162</v>
      </c>
      <c r="N399" s="34">
        <f t="shared" si="13"/>
        <v>12.869565217391306</v>
      </c>
    </row>
    <row r="400" spans="1:14" x14ac:dyDescent="0.45">
      <c r="A400" s="30">
        <v>2023</v>
      </c>
      <c r="B400" s="30" t="s">
        <v>10</v>
      </c>
      <c r="C400" s="30" t="s">
        <v>46</v>
      </c>
      <c r="D400" s="30" t="s">
        <v>47</v>
      </c>
      <c r="E400" s="31" t="s">
        <v>275</v>
      </c>
      <c r="F400" s="32" t="s">
        <v>54</v>
      </c>
      <c r="G400" s="32" t="s">
        <v>50</v>
      </c>
      <c r="H400" s="33">
        <v>50060</v>
      </c>
      <c r="I400" s="34">
        <f>Table3[[#This Row],[Volume, kg.]]/1000</f>
        <v>50.06</v>
      </c>
      <c r="J400" s="34">
        <v>0.29830000000000001</v>
      </c>
      <c r="K400" s="34">
        <f t="shared" si="12"/>
        <v>14932.898000000001</v>
      </c>
      <c r="L400" s="34">
        <v>3.72</v>
      </c>
      <c r="M400" s="34">
        <v>186450.5</v>
      </c>
      <c r="N400" s="34">
        <f t="shared" si="13"/>
        <v>12.470667113643982</v>
      </c>
    </row>
    <row r="401" spans="1:14" x14ac:dyDescent="0.45">
      <c r="A401" s="30">
        <v>2023</v>
      </c>
      <c r="B401" s="30" t="s">
        <v>10</v>
      </c>
      <c r="C401" s="30" t="s">
        <v>46</v>
      </c>
      <c r="D401" s="30" t="s">
        <v>102</v>
      </c>
      <c r="E401" s="31" t="s">
        <v>339</v>
      </c>
      <c r="F401" s="32" t="s">
        <v>340</v>
      </c>
      <c r="G401" s="32" t="s">
        <v>341</v>
      </c>
      <c r="H401" s="33">
        <v>71360</v>
      </c>
      <c r="I401" s="34">
        <f>Table3[[#This Row],[Volume, kg.]]/1000</f>
        <v>71.36</v>
      </c>
      <c r="J401" s="34">
        <v>0.23190000000000002</v>
      </c>
      <c r="K401" s="34">
        <f t="shared" si="12"/>
        <v>16548.384000000002</v>
      </c>
      <c r="L401" s="34">
        <v>3.7</v>
      </c>
      <c r="M401" s="34">
        <v>263677</v>
      </c>
      <c r="N401" s="34">
        <f t="shared" si="13"/>
        <v>15.955153083225527</v>
      </c>
    </row>
    <row r="402" spans="1:14" x14ac:dyDescent="0.45">
      <c r="A402" s="30">
        <v>2023</v>
      </c>
      <c r="B402" s="30" t="s">
        <v>10</v>
      </c>
      <c r="C402" s="30" t="s">
        <v>46</v>
      </c>
      <c r="D402" s="30" t="s">
        <v>47</v>
      </c>
      <c r="E402" s="31" t="s">
        <v>96</v>
      </c>
      <c r="F402" s="32" t="s">
        <v>49</v>
      </c>
      <c r="G402" s="32" t="s">
        <v>50</v>
      </c>
      <c r="H402" s="33">
        <v>39790</v>
      </c>
      <c r="I402" s="34">
        <f>Table3[[#This Row],[Volume, kg.]]/1000</f>
        <v>39.79</v>
      </c>
      <c r="J402" s="34">
        <v>0.26280000000000003</v>
      </c>
      <c r="K402" s="34">
        <f t="shared" si="12"/>
        <v>10456.812000000002</v>
      </c>
      <c r="L402" s="34">
        <v>3.55</v>
      </c>
      <c r="M402" s="34">
        <v>141083</v>
      </c>
      <c r="N402" s="34">
        <f t="shared" si="13"/>
        <v>13.508371385083711</v>
      </c>
    </row>
    <row r="403" spans="1:14" x14ac:dyDescent="0.45">
      <c r="A403" s="30">
        <v>2023</v>
      </c>
      <c r="B403" s="30" t="s">
        <v>10</v>
      </c>
      <c r="C403" s="30" t="s">
        <v>46</v>
      </c>
      <c r="D403" s="30" t="s">
        <v>47</v>
      </c>
      <c r="E403" s="31" t="s">
        <v>97</v>
      </c>
      <c r="F403" s="32" t="s">
        <v>49</v>
      </c>
      <c r="G403" s="32" t="s">
        <v>50</v>
      </c>
      <c r="H403" s="33">
        <v>70130</v>
      </c>
      <c r="I403" s="34">
        <f>Table3[[#This Row],[Volume, kg.]]/1000</f>
        <v>70.13</v>
      </c>
      <c r="J403" s="34">
        <v>0.28600000000000003</v>
      </c>
      <c r="K403" s="34">
        <f t="shared" si="12"/>
        <v>20057.180000000004</v>
      </c>
      <c r="L403" s="34">
        <v>3.59</v>
      </c>
      <c r="M403" s="34">
        <v>251420</v>
      </c>
      <c r="N403" s="34">
        <f t="shared" si="13"/>
        <v>12.55244755244755</v>
      </c>
    </row>
    <row r="404" spans="1:14" x14ac:dyDescent="0.45">
      <c r="A404" s="30">
        <v>2023</v>
      </c>
      <c r="B404" s="30" t="s">
        <v>10</v>
      </c>
      <c r="C404" s="30" t="s">
        <v>46</v>
      </c>
      <c r="D404" s="30" t="s">
        <v>47</v>
      </c>
      <c r="E404" s="31" t="s">
        <v>98</v>
      </c>
      <c r="F404" s="32" t="s">
        <v>49</v>
      </c>
      <c r="G404" s="32" t="s">
        <v>50</v>
      </c>
      <c r="H404" s="33">
        <v>57370</v>
      </c>
      <c r="I404" s="34">
        <f>Table3[[#This Row],[Volume, kg.]]/1000</f>
        <v>57.37</v>
      </c>
      <c r="J404" s="34">
        <v>0.2903</v>
      </c>
      <c r="K404" s="34">
        <f t="shared" si="12"/>
        <v>16654.510999999999</v>
      </c>
      <c r="L404" s="34">
        <v>3.61</v>
      </c>
      <c r="M404" s="34">
        <v>207129.5</v>
      </c>
      <c r="N404" s="34">
        <f t="shared" si="13"/>
        <v>12.435411643127798</v>
      </c>
    </row>
    <row r="405" spans="1:14" x14ac:dyDescent="0.45">
      <c r="A405" s="30">
        <v>2023</v>
      </c>
      <c r="B405" s="30" t="s">
        <v>10</v>
      </c>
      <c r="C405" s="30" t="s">
        <v>46</v>
      </c>
      <c r="D405" s="30" t="s">
        <v>47</v>
      </c>
      <c r="E405" s="31" t="s">
        <v>99</v>
      </c>
      <c r="F405" s="32" t="s">
        <v>49</v>
      </c>
      <c r="G405" s="32" t="s">
        <v>50</v>
      </c>
      <c r="H405" s="33">
        <v>37890</v>
      </c>
      <c r="I405" s="34">
        <f>Table3[[#This Row],[Volume, kg.]]/1000</f>
        <v>37.89</v>
      </c>
      <c r="J405" s="34">
        <v>0.29710000000000003</v>
      </c>
      <c r="K405" s="34">
        <f t="shared" si="12"/>
        <v>11257.119000000001</v>
      </c>
      <c r="L405" s="34">
        <v>3.63</v>
      </c>
      <c r="M405" s="34">
        <v>137689.5</v>
      </c>
      <c r="N405" s="34">
        <f t="shared" si="13"/>
        <v>12.21810838101649</v>
      </c>
    </row>
    <row r="406" spans="1:14" x14ac:dyDescent="0.45">
      <c r="A406" s="30">
        <v>2023</v>
      </c>
      <c r="B406" s="30" t="s">
        <v>10</v>
      </c>
      <c r="C406" s="30" t="s">
        <v>46</v>
      </c>
      <c r="D406" s="30" t="s">
        <v>47</v>
      </c>
      <c r="E406" s="31" t="s">
        <v>100</v>
      </c>
      <c r="F406" s="32" t="s">
        <v>60</v>
      </c>
      <c r="G406" s="32" t="s">
        <v>50</v>
      </c>
      <c r="H406" s="33">
        <v>34610</v>
      </c>
      <c r="I406" s="34">
        <f>Table3[[#This Row],[Volume, kg.]]/1000</f>
        <v>34.61</v>
      </c>
      <c r="J406" s="34">
        <v>0.2928</v>
      </c>
      <c r="K406" s="34">
        <f t="shared" si="12"/>
        <v>10133.808000000001</v>
      </c>
      <c r="L406" s="34">
        <v>3.66</v>
      </c>
      <c r="M406" s="34">
        <v>126550.5</v>
      </c>
      <c r="N406" s="34">
        <f t="shared" si="13"/>
        <v>12.5</v>
      </c>
    </row>
    <row r="407" spans="1:14" x14ac:dyDescent="0.45">
      <c r="A407" s="30">
        <v>2023</v>
      </c>
      <c r="B407" s="30" t="s">
        <v>10</v>
      </c>
      <c r="C407" s="30" t="s">
        <v>46</v>
      </c>
      <c r="D407" s="30" t="s">
        <v>102</v>
      </c>
      <c r="E407" s="31" t="s">
        <v>103</v>
      </c>
      <c r="F407" s="32" t="s">
        <v>104</v>
      </c>
      <c r="G407" s="32" t="s">
        <v>105</v>
      </c>
      <c r="H407" s="33">
        <v>169970</v>
      </c>
      <c r="I407" s="34">
        <f>Table3[[#This Row],[Volume, kg.]]/1000</f>
        <v>169.97</v>
      </c>
      <c r="J407" s="34">
        <v>0.25850000000000001</v>
      </c>
      <c r="K407" s="34">
        <f t="shared" si="12"/>
        <v>43937.245000000003</v>
      </c>
      <c r="L407" s="34">
        <v>3.72</v>
      </c>
      <c r="M407" s="34">
        <v>632014</v>
      </c>
      <c r="N407" s="34">
        <f t="shared" si="13"/>
        <v>14.390715667311412</v>
      </c>
    </row>
    <row r="408" spans="1:14" x14ac:dyDescent="0.45">
      <c r="A408" s="30">
        <v>2023</v>
      </c>
      <c r="B408" s="30" t="s">
        <v>10</v>
      </c>
      <c r="C408" s="30" t="s">
        <v>46</v>
      </c>
      <c r="D408" s="30" t="s">
        <v>102</v>
      </c>
      <c r="E408" s="31" t="s">
        <v>106</v>
      </c>
      <c r="F408" s="32" t="s">
        <v>107</v>
      </c>
      <c r="G408" s="32" t="s">
        <v>108</v>
      </c>
      <c r="H408" s="33">
        <v>385490</v>
      </c>
      <c r="I408" s="34">
        <f>Table3[[#This Row],[Volume, kg.]]/1000</f>
        <v>385.49</v>
      </c>
      <c r="J408" s="34">
        <v>0.26679999999999998</v>
      </c>
      <c r="K408" s="34">
        <f t="shared" si="12"/>
        <v>102848.73199999999</v>
      </c>
      <c r="L408" s="34">
        <v>3.76</v>
      </c>
      <c r="M408" s="34">
        <v>1451121.5</v>
      </c>
      <c r="N408" s="34">
        <f t="shared" si="13"/>
        <v>14.09295352323838</v>
      </c>
    </row>
    <row r="409" spans="1:14" x14ac:dyDescent="0.45">
      <c r="A409" s="30">
        <v>2023</v>
      </c>
      <c r="B409" s="30" t="s">
        <v>10</v>
      </c>
      <c r="C409" s="30" t="s">
        <v>46</v>
      </c>
      <c r="D409" s="30" t="s">
        <v>47</v>
      </c>
      <c r="E409" s="31" t="s">
        <v>109</v>
      </c>
      <c r="F409" s="32" t="s">
        <v>60</v>
      </c>
      <c r="G409" s="32" t="s">
        <v>50</v>
      </c>
      <c r="H409" s="33">
        <v>17400</v>
      </c>
      <c r="I409" s="34">
        <f>Table3[[#This Row],[Volume, kg.]]/1000</f>
        <v>17.399999999999999</v>
      </c>
      <c r="J409" s="34">
        <v>0.32969999999999999</v>
      </c>
      <c r="K409" s="34">
        <f t="shared" si="12"/>
        <v>5736.78</v>
      </c>
      <c r="L409" s="34">
        <v>3.8</v>
      </c>
      <c r="M409" s="34">
        <v>66120</v>
      </c>
      <c r="N409" s="34">
        <f t="shared" si="13"/>
        <v>11.525629360024265</v>
      </c>
    </row>
    <row r="410" spans="1:14" x14ac:dyDescent="0.45">
      <c r="A410" s="30">
        <v>2023</v>
      </c>
      <c r="B410" s="30" t="s">
        <v>10</v>
      </c>
      <c r="C410" s="30" t="s">
        <v>46</v>
      </c>
      <c r="D410" s="30" t="s">
        <v>47</v>
      </c>
      <c r="E410" s="31" t="s">
        <v>110</v>
      </c>
      <c r="F410" s="32" t="s">
        <v>57</v>
      </c>
      <c r="G410" s="32" t="s">
        <v>50</v>
      </c>
      <c r="H410" s="33">
        <v>4140</v>
      </c>
      <c r="I410" s="34">
        <f>Table3[[#This Row],[Volume, kg.]]/1000</f>
        <v>4.1399999999999997</v>
      </c>
      <c r="J410" s="34">
        <v>0.28449999999999998</v>
      </c>
      <c r="K410" s="34">
        <f t="shared" si="12"/>
        <v>1177.83</v>
      </c>
      <c r="L410" s="34">
        <v>3.55</v>
      </c>
      <c r="M410" s="34">
        <v>14697</v>
      </c>
      <c r="N410" s="34">
        <f t="shared" si="13"/>
        <v>12.478031634446397</v>
      </c>
    </row>
    <row r="411" spans="1:14" x14ac:dyDescent="0.45">
      <c r="A411" s="30">
        <v>2023</v>
      </c>
      <c r="B411" s="30" t="s">
        <v>10</v>
      </c>
      <c r="C411" s="30" t="s">
        <v>46</v>
      </c>
      <c r="D411" s="30" t="s">
        <v>47</v>
      </c>
      <c r="E411" s="31" t="s">
        <v>277</v>
      </c>
      <c r="F411" s="32" t="s">
        <v>60</v>
      </c>
      <c r="G411" s="32" t="s">
        <v>50</v>
      </c>
      <c r="H411" s="33">
        <v>65220</v>
      </c>
      <c r="I411" s="34">
        <f>Table3[[#This Row],[Volume, kg.]]/1000</f>
        <v>65.22</v>
      </c>
      <c r="J411" s="34">
        <v>0.26539999999999997</v>
      </c>
      <c r="K411" s="34">
        <f t="shared" si="12"/>
        <v>17309.387999999999</v>
      </c>
      <c r="L411" s="34">
        <v>3.52</v>
      </c>
      <c r="M411" s="34">
        <v>229539</v>
      </c>
      <c r="N411" s="34">
        <f t="shared" si="13"/>
        <v>13.262999246420499</v>
      </c>
    </row>
    <row r="412" spans="1:14" x14ac:dyDescent="0.45">
      <c r="A412" s="30">
        <v>2023</v>
      </c>
      <c r="B412" s="30" t="s">
        <v>10</v>
      </c>
      <c r="C412" s="30" t="s">
        <v>46</v>
      </c>
      <c r="D412" s="30" t="s">
        <v>47</v>
      </c>
      <c r="E412" s="31" t="s">
        <v>111</v>
      </c>
      <c r="F412" s="32" t="s">
        <v>60</v>
      </c>
      <c r="G412" s="32" t="s">
        <v>50</v>
      </c>
      <c r="H412" s="33">
        <v>9100</v>
      </c>
      <c r="I412" s="34">
        <f>Table3[[#This Row],[Volume, kg.]]/1000</f>
        <v>9.1</v>
      </c>
      <c r="J412" s="34">
        <v>0.33149999999999996</v>
      </c>
      <c r="K412" s="34">
        <f t="shared" si="12"/>
        <v>3016.6499999999996</v>
      </c>
      <c r="L412" s="34">
        <v>3.8</v>
      </c>
      <c r="M412" s="34">
        <v>34580</v>
      </c>
      <c r="N412" s="34">
        <f t="shared" si="13"/>
        <v>11.463046757164404</v>
      </c>
    </row>
    <row r="413" spans="1:14" x14ac:dyDescent="0.45">
      <c r="A413" s="30">
        <v>2023</v>
      </c>
      <c r="B413" s="30" t="s">
        <v>10</v>
      </c>
      <c r="C413" s="30" t="s">
        <v>46</v>
      </c>
      <c r="D413" s="30" t="s">
        <v>47</v>
      </c>
      <c r="E413" s="31" t="s">
        <v>342</v>
      </c>
      <c r="F413" s="32" t="s">
        <v>81</v>
      </c>
      <c r="G413" s="32" t="s">
        <v>50</v>
      </c>
      <c r="H413" s="33">
        <v>126610</v>
      </c>
      <c r="I413" s="34">
        <f>Table3[[#This Row],[Volume, kg.]]/1000</f>
        <v>126.61</v>
      </c>
      <c r="J413" s="34">
        <v>0.27649999999999997</v>
      </c>
      <c r="K413" s="34">
        <f t="shared" si="12"/>
        <v>35007.664999999994</v>
      </c>
      <c r="L413" s="34">
        <v>3.56</v>
      </c>
      <c r="M413" s="34">
        <v>450971</v>
      </c>
      <c r="N413" s="34">
        <f t="shared" si="13"/>
        <v>12.875226039783003</v>
      </c>
    </row>
    <row r="414" spans="1:14" x14ac:dyDescent="0.45">
      <c r="A414" s="30">
        <v>2023</v>
      </c>
      <c r="B414" s="30" t="s">
        <v>10</v>
      </c>
      <c r="C414" s="30" t="s">
        <v>46</v>
      </c>
      <c r="D414" s="30" t="s">
        <v>47</v>
      </c>
      <c r="E414" s="31" t="s">
        <v>120</v>
      </c>
      <c r="F414" s="32" t="s">
        <v>49</v>
      </c>
      <c r="G414" s="32" t="s">
        <v>50</v>
      </c>
      <c r="H414" s="33">
        <v>2050</v>
      </c>
      <c r="I414" s="34">
        <f>Table3[[#This Row],[Volume, kg.]]/1000</f>
        <v>2.0499999999999998</v>
      </c>
      <c r="J414" s="34">
        <v>0.29049999999999998</v>
      </c>
      <c r="K414" s="34">
        <f t="shared" si="12"/>
        <v>595.52499999999998</v>
      </c>
      <c r="L414" s="34">
        <v>3.6</v>
      </c>
      <c r="M414" s="34">
        <v>7380</v>
      </c>
      <c r="N414" s="34">
        <f t="shared" si="13"/>
        <v>12.392426850258177</v>
      </c>
    </row>
    <row r="415" spans="1:14" x14ac:dyDescent="0.45">
      <c r="A415" s="30">
        <v>2023</v>
      </c>
      <c r="B415" s="30" t="s">
        <v>10</v>
      </c>
      <c r="C415" s="30" t="s">
        <v>46</v>
      </c>
      <c r="D415" s="30" t="s">
        <v>47</v>
      </c>
      <c r="E415" s="31" t="s">
        <v>121</v>
      </c>
      <c r="F415" s="32" t="s">
        <v>60</v>
      </c>
      <c r="G415" s="32" t="s">
        <v>50</v>
      </c>
      <c r="H415" s="33">
        <v>11900</v>
      </c>
      <c r="I415" s="34">
        <f>Table3[[#This Row],[Volume, kg.]]/1000</f>
        <v>11.9</v>
      </c>
      <c r="J415" s="34">
        <v>0.27250000000000002</v>
      </c>
      <c r="K415" s="34">
        <f t="shared" si="12"/>
        <v>3242.7500000000005</v>
      </c>
      <c r="L415" s="34">
        <v>3.55</v>
      </c>
      <c r="M415" s="34">
        <v>42245</v>
      </c>
      <c r="N415" s="34">
        <f t="shared" si="13"/>
        <v>13.027522935779816</v>
      </c>
    </row>
    <row r="416" spans="1:14" x14ac:dyDescent="0.45">
      <c r="A416" s="30">
        <v>2023</v>
      </c>
      <c r="B416" s="30" t="s">
        <v>10</v>
      </c>
      <c r="C416" s="30" t="s">
        <v>46</v>
      </c>
      <c r="D416" s="30" t="s">
        <v>47</v>
      </c>
      <c r="E416" s="31" t="s">
        <v>122</v>
      </c>
      <c r="F416" s="32" t="s">
        <v>49</v>
      </c>
      <c r="G416" s="32" t="s">
        <v>50</v>
      </c>
      <c r="H416" s="33">
        <v>13840</v>
      </c>
      <c r="I416" s="34">
        <f>Table3[[#This Row],[Volume, kg.]]/1000</f>
        <v>13.84</v>
      </c>
      <c r="J416" s="34">
        <v>0.29289999999999999</v>
      </c>
      <c r="K416" s="34">
        <f t="shared" si="12"/>
        <v>4053.7359999999999</v>
      </c>
      <c r="L416" s="34">
        <v>3.57</v>
      </c>
      <c r="M416" s="34">
        <v>49353</v>
      </c>
      <c r="N416" s="34">
        <f t="shared" si="13"/>
        <v>12.188460225332879</v>
      </c>
    </row>
    <row r="417" spans="1:14" x14ac:dyDescent="0.45">
      <c r="A417" s="30">
        <v>2023</v>
      </c>
      <c r="B417" s="30" t="s">
        <v>10</v>
      </c>
      <c r="C417" s="30" t="s">
        <v>46</v>
      </c>
      <c r="D417" s="30" t="s">
        <v>47</v>
      </c>
      <c r="E417" s="31" t="s">
        <v>343</v>
      </c>
      <c r="F417" s="32" t="s">
        <v>49</v>
      </c>
      <c r="G417" s="32" t="s">
        <v>50</v>
      </c>
      <c r="H417" s="33">
        <v>11890</v>
      </c>
      <c r="I417" s="34">
        <f>Table3[[#This Row],[Volume, kg.]]/1000</f>
        <v>11.89</v>
      </c>
      <c r="J417" s="34">
        <v>0.28079999999999999</v>
      </c>
      <c r="K417" s="34">
        <f t="shared" si="12"/>
        <v>3338.712</v>
      </c>
      <c r="L417" s="34">
        <v>3.55</v>
      </c>
      <c r="M417" s="34">
        <v>42209.5</v>
      </c>
      <c r="N417" s="34">
        <f t="shared" si="13"/>
        <v>12.642450142450143</v>
      </c>
    </row>
    <row r="418" spans="1:14" x14ac:dyDescent="0.45">
      <c r="A418" s="30">
        <v>2023</v>
      </c>
      <c r="B418" s="30" t="s">
        <v>10</v>
      </c>
      <c r="C418" s="30" t="s">
        <v>46</v>
      </c>
      <c r="D418" s="30" t="s">
        <v>47</v>
      </c>
      <c r="E418" s="31" t="s">
        <v>344</v>
      </c>
      <c r="F418" s="32" t="s">
        <v>60</v>
      </c>
      <c r="G418" s="32" t="s">
        <v>50</v>
      </c>
      <c r="H418" s="33">
        <v>9140</v>
      </c>
      <c r="I418" s="34">
        <f>Table3[[#This Row],[Volume, kg.]]/1000</f>
        <v>9.14</v>
      </c>
      <c r="J418" s="34">
        <v>0.29499999999999998</v>
      </c>
      <c r="K418" s="34">
        <f t="shared" si="12"/>
        <v>2696.2999999999997</v>
      </c>
      <c r="L418" s="34">
        <v>3.65</v>
      </c>
      <c r="M418" s="34">
        <v>33361</v>
      </c>
      <c r="N418" s="34">
        <f t="shared" si="13"/>
        <v>12.372881355932204</v>
      </c>
    </row>
    <row r="419" spans="1:14" x14ac:dyDescent="0.45">
      <c r="A419" s="30">
        <v>2023</v>
      </c>
      <c r="B419" s="30" t="s">
        <v>10</v>
      </c>
      <c r="C419" s="30" t="s">
        <v>46</v>
      </c>
      <c r="D419" s="30" t="s">
        <v>47</v>
      </c>
      <c r="E419" s="31" t="s">
        <v>345</v>
      </c>
      <c r="F419" s="32" t="s">
        <v>81</v>
      </c>
      <c r="G419" s="32" t="s">
        <v>50</v>
      </c>
      <c r="H419" s="33">
        <v>93810</v>
      </c>
      <c r="I419" s="34">
        <f>Table3[[#This Row],[Volume, kg.]]/1000</f>
        <v>93.81</v>
      </c>
      <c r="J419" s="34">
        <v>0.2621</v>
      </c>
      <c r="K419" s="34">
        <f t="shared" si="12"/>
        <v>24587.600999999999</v>
      </c>
      <c r="L419" s="34">
        <v>3.54</v>
      </c>
      <c r="M419" s="34">
        <v>331711</v>
      </c>
      <c r="N419" s="34">
        <f t="shared" si="13"/>
        <v>13.506295307134682</v>
      </c>
    </row>
    <row r="420" spans="1:14" x14ac:dyDescent="0.45">
      <c r="A420" s="30">
        <v>2023</v>
      </c>
      <c r="B420" s="30" t="s">
        <v>10</v>
      </c>
      <c r="C420" s="30" t="s">
        <v>46</v>
      </c>
      <c r="D420" s="30" t="s">
        <v>47</v>
      </c>
      <c r="E420" s="31" t="s">
        <v>346</v>
      </c>
      <c r="F420" s="32" t="s">
        <v>49</v>
      </c>
      <c r="G420" s="32" t="s">
        <v>50</v>
      </c>
      <c r="H420" s="33">
        <v>5020</v>
      </c>
      <c r="I420" s="34">
        <f>Table3[[#This Row],[Volume, kg.]]/1000</f>
        <v>5.0199999999999996</v>
      </c>
      <c r="J420" s="34">
        <v>0.28300000000000003</v>
      </c>
      <c r="K420" s="34">
        <f t="shared" si="12"/>
        <v>1420.66</v>
      </c>
      <c r="L420" s="34">
        <v>3.5</v>
      </c>
      <c r="M420" s="34">
        <v>17570</v>
      </c>
      <c r="N420" s="34">
        <f t="shared" si="13"/>
        <v>12.367491166077738</v>
      </c>
    </row>
    <row r="421" spans="1:14" x14ac:dyDescent="0.45">
      <c r="A421" s="30">
        <v>2023</v>
      </c>
      <c r="B421" s="30" t="s">
        <v>10</v>
      </c>
      <c r="C421" s="30" t="s">
        <v>46</v>
      </c>
      <c r="D421" s="30" t="s">
        <v>47</v>
      </c>
      <c r="E421" s="31" t="s">
        <v>129</v>
      </c>
      <c r="F421" s="32" t="s">
        <v>57</v>
      </c>
      <c r="G421" s="32" t="s">
        <v>50</v>
      </c>
      <c r="H421" s="33">
        <v>4190</v>
      </c>
      <c r="I421" s="34">
        <f>Table3[[#This Row],[Volume, kg.]]/1000</f>
        <v>4.1900000000000004</v>
      </c>
      <c r="J421" s="34">
        <v>0.21850000000000003</v>
      </c>
      <c r="K421" s="34">
        <f t="shared" si="12"/>
        <v>915.5150000000001</v>
      </c>
      <c r="L421" s="34">
        <v>3.1</v>
      </c>
      <c r="M421" s="34">
        <v>12989</v>
      </c>
      <c r="N421" s="34">
        <f t="shared" si="13"/>
        <v>14.187643020594964</v>
      </c>
    </row>
    <row r="422" spans="1:14" x14ac:dyDescent="0.45">
      <c r="A422" s="30">
        <v>2023</v>
      </c>
      <c r="B422" s="30" t="s">
        <v>10</v>
      </c>
      <c r="C422" s="30" t="s">
        <v>46</v>
      </c>
      <c r="D422" s="30" t="s">
        <v>47</v>
      </c>
      <c r="E422" s="31" t="s">
        <v>347</v>
      </c>
      <c r="F422" s="32" t="s">
        <v>49</v>
      </c>
      <c r="G422" s="32" t="s">
        <v>50</v>
      </c>
      <c r="H422" s="33">
        <v>49930</v>
      </c>
      <c r="I422" s="34">
        <f>Table3[[#This Row],[Volume, kg.]]/1000</f>
        <v>49.93</v>
      </c>
      <c r="J422" s="34">
        <v>0.2843</v>
      </c>
      <c r="K422" s="34">
        <f t="shared" si="12"/>
        <v>14195.099</v>
      </c>
      <c r="L422" s="34">
        <v>3.62</v>
      </c>
      <c r="M422" s="34">
        <v>180661</v>
      </c>
      <c r="N422" s="34">
        <f t="shared" si="13"/>
        <v>12.733028491030602</v>
      </c>
    </row>
    <row r="423" spans="1:14" x14ac:dyDescent="0.45">
      <c r="A423" s="30">
        <v>2023</v>
      </c>
      <c r="B423" s="30" t="s">
        <v>10</v>
      </c>
      <c r="C423" s="30" t="s">
        <v>46</v>
      </c>
      <c r="D423" s="30" t="s">
        <v>47</v>
      </c>
      <c r="E423" s="31" t="s">
        <v>279</v>
      </c>
      <c r="F423" s="32" t="s">
        <v>49</v>
      </c>
      <c r="G423" s="32" t="s">
        <v>50</v>
      </c>
      <c r="H423" s="33">
        <v>8560</v>
      </c>
      <c r="I423" s="34">
        <f>Table3[[#This Row],[Volume, kg.]]/1000</f>
        <v>8.56</v>
      </c>
      <c r="J423" s="34">
        <v>0.26469999999999999</v>
      </c>
      <c r="K423" s="34">
        <f t="shared" si="12"/>
        <v>2265.8319999999999</v>
      </c>
      <c r="L423" s="34">
        <v>3.47</v>
      </c>
      <c r="M423" s="34">
        <v>29703</v>
      </c>
      <c r="N423" s="34">
        <f t="shared" si="13"/>
        <v>13.109180204004534</v>
      </c>
    </row>
    <row r="424" spans="1:14" x14ac:dyDescent="0.45">
      <c r="A424" s="30">
        <v>2023</v>
      </c>
      <c r="B424" s="30" t="s">
        <v>10</v>
      </c>
      <c r="C424" s="30" t="s">
        <v>46</v>
      </c>
      <c r="D424" s="30" t="s">
        <v>47</v>
      </c>
      <c r="E424" s="31" t="s">
        <v>135</v>
      </c>
      <c r="F424" s="32" t="s">
        <v>49</v>
      </c>
      <c r="G424" s="32" t="s">
        <v>50</v>
      </c>
      <c r="H424" s="33">
        <v>32460</v>
      </c>
      <c r="I424" s="34">
        <f>Table3[[#This Row],[Volume, kg.]]/1000</f>
        <v>32.46</v>
      </c>
      <c r="J424" s="34">
        <v>0.28120000000000001</v>
      </c>
      <c r="K424" s="34">
        <f t="shared" si="12"/>
        <v>9127.7520000000004</v>
      </c>
      <c r="L424" s="34">
        <v>3.56</v>
      </c>
      <c r="M424" s="34">
        <v>115588</v>
      </c>
      <c r="N424" s="34">
        <f t="shared" si="13"/>
        <v>12.660028449502134</v>
      </c>
    </row>
    <row r="425" spans="1:14" x14ac:dyDescent="0.45">
      <c r="A425" s="30">
        <v>2023</v>
      </c>
      <c r="B425" s="30" t="s">
        <v>10</v>
      </c>
      <c r="C425" s="30" t="s">
        <v>46</v>
      </c>
      <c r="D425" s="30" t="s">
        <v>47</v>
      </c>
      <c r="E425" s="31" t="s">
        <v>136</v>
      </c>
      <c r="F425" s="32" t="s">
        <v>49</v>
      </c>
      <c r="G425" s="32" t="s">
        <v>50</v>
      </c>
      <c r="H425" s="33">
        <v>14630</v>
      </c>
      <c r="I425" s="34">
        <f>Table3[[#This Row],[Volume, kg.]]/1000</f>
        <v>14.63</v>
      </c>
      <c r="J425" s="34">
        <v>0.27560000000000001</v>
      </c>
      <c r="K425" s="34">
        <f t="shared" si="12"/>
        <v>4032.0280000000002</v>
      </c>
      <c r="L425" s="34">
        <v>3.56</v>
      </c>
      <c r="M425" s="34">
        <v>52075</v>
      </c>
      <c r="N425" s="34">
        <f t="shared" si="13"/>
        <v>12.917271407837445</v>
      </c>
    </row>
    <row r="426" spans="1:14" x14ac:dyDescent="0.45">
      <c r="A426" s="30">
        <v>2023</v>
      </c>
      <c r="B426" s="30" t="s">
        <v>10</v>
      </c>
      <c r="C426" s="30" t="s">
        <v>46</v>
      </c>
      <c r="D426" s="30" t="s">
        <v>47</v>
      </c>
      <c r="E426" s="31" t="s">
        <v>283</v>
      </c>
      <c r="F426" s="32" t="s">
        <v>49</v>
      </c>
      <c r="G426" s="32" t="s">
        <v>50</v>
      </c>
      <c r="H426" s="33">
        <v>112120</v>
      </c>
      <c r="I426" s="34">
        <f>Table3[[#This Row],[Volume, kg.]]/1000</f>
        <v>112.12</v>
      </c>
      <c r="J426" s="34">
        <v>0.27560000000000001</v>
      </c>
      <c r="K426" s="34">
        <f t="shared" si="12"/>
        <v>30900.272000000001</v>
      </c>
      <c r="L426" s="34">
        <v>3.49</v>
      </c>
      <c r="M426" s="34">
        <v>391244</v>
      </c>
      <c r="N426" s="34">
        <f t="shared" si="13"/>
        <v>12.663280116110306</v>
      </c>
    </row>
    <row r="427" spans="1:14" x14ac:dyDescent="0.45">
      <c r="A427" s="30">
        <v>2023</v>
      </c>
      <c r="B427" s="30" t="s">
        <v>10</v>
      </c>
      <c r="C427" s="30" t="s">
        <v>46</v>
      </c>
      <c r="D427" s="30" t="s">
        <v>47</v>
      </c>
      <c r="E427" s="31" t="s">
        <v>137</v>
      </c>
      <c r="F427" s="32" t="s">
        <v>49</v>
      </c>
      <c r="G427" s="32" t="s">
        <v>50</v>
      </c>
      <c r="H427" s="33">
        <v>10810</v>
      </c>
      <c r="I427" s="34">
        <f>Table3[[#This Row],[Volume, kg.]]/1000</f>
        <v>10.81</v>
      </c>
      <c r="J427" s="34">
        <v>0.27649999999999997</v>
      </c>
      <c r="K427" s="34">
        <f t="shared" si="12"/>
        <v>2988.9649999999997</v>
      </c>
      <c r="L427" s="34">
        <v>3.55</v>
      </c>
      <c r="M427" s="34">
        <v>38375.5</v>
      </c>
      <c r="N427" s="34">
        <f t="shared" si="13"/>
        <v>12.839059674502714</v>
      </c>
    </row>
    <row r="428" spans="1:14" x14ac:dyDescent="0.45">
      <c r="A428" s="30">
        <v>2023</v>
      </c>
      <c r="B428" s="30" t="s">
        <v>10</v>
      </c>
      <c r="C428" s="30" t="s">
        <v>46</v>
      </c>
      <c r="D428" s="30" t="s">
        <v>47</v>
      </c>
      <c r="E428" s="31" t="s">
        <v>287</v>
      </c>
      <c r="F428" s="32" t="s">
        <v>60</v>
      </c>
      <c r="G428" s="32" t="s">
        <v>50</v>
      </c>
      <c r="H428" s="33">
        <v>3070</v>
      </c>
      <c r="I428" s="34">
        <f>Table3[[#This Row],[Volume, kg.]]/1000</f>
        <v>3.07</v>
      </c>
      <c r="J428" s="34">
        <v>0.26950000000000002</v>
      </c>
      <c r="K428" s="34">
        <f t="shared" si="12"/>
        <v>827.36500000000001</v>
      </c>
      <c r="L428" s="34">
        <v>3.5</v>
      </c>
      <c r="M428" s="34">
        <v>10745</v>
      </c>
      <c r="N428" s="34">
        <f t="shared" si="13"/>
        <v>12.987012987012987</v>
      </c>
    </row>
    <row r="429" spans="1:14" x14ac:dyDescent="0.45">
      <c r="A429" s="30">
        <v>2023</v>
      </c>
      <c r="B429" s="30" t="s">
        <v>10</v>
      </c>
      <c r="C429" s="30" t="s">
        <v>46</v>
      </c>
      <c r="D429" s="30" t="s">
        <v>47</v>
      </c>
      <c r="E429" s="31" t="s">
        <v>288</v>
      </c>
      <c r="F429" s="32" t="s">
        <v>49</v>
      </c>
      <c r="G429" s="32" t="s">
        <v>50</v>
      </c>
      <c r="H429" s="33">
        <v>53730</v>
      </c>
      <c r="I429" s="34">
        <f>Table3[[#This Row],[Volume, kg.]]/1000</f>
        <v>53.73</v>
      </c>
      <c r="J429" s="34">
        <v>0.31129999999999997</v>
      </c>
      <c r="K429" s="34">
        <f t="shared" si="12"/>
        <v>16726.148999999998</v>
      </c>
      <c r="L429" s="34">
        <v>3.76</v>
      </c>
      <c r="M429" s="34">
        <v>202129</v>
      </c>
      <c r="N429" s="34">
        <f t="shared" si="13"/>
        <v>12.078380982974624</v>
      </c>
    </row>
    <row r="430" spans="1:14" x14ac:dyDescent="0.45">
      <c r="A430" s="30">
        <v>2023</v>
      </c>
      <c r="B430" s="30" t="s">
        <v>10</v>
      </c>
      <c r="C430" s="30" t="s">
        <v>46</v>
      </c>
      <c r="D430" s="30" t="s">
        <v>102</v>
      </c>
      <c r="E430" s="31" t="s">
        <v>348</v>
      </c>
      <c r="F430" s="32" t="s">
        <v>349</v>
      </c>
      <c r="G430" s="32" t="s">
        <v>105</v>
      </c>
      <c r="H430" s="33">
        <v>1804490</v>
      </c>
      <c r="I430" s="34">
        <f>Table3[[#This Row],[Volume, kg.]]/1000</f>
        <v>1804.49</v>
      </c>
      <c r="J430" s="34">
        <v>0.27500000000000002</v>
      </c>
      <c r="K430" s="34">
        <f t="shared" si="12"/>
        <v>496234.75000000006</v>
      </c>
      <c r="L430" s="34">
        <v>3.91</v>
      </c>
      <c r="M430" s="34">
        <v>7047789</v>
      </c>
      <c r="N430" s="34">
        <f t="shared" si="13"/>
        <v>14.218181818181817</v>
      </c>
    </row>
    <row r="431" spans="1:14" x14ac:dyDescent="0.45">
      <c r="A431" s="30">
        <v>2023</v>
      </c>
      <c r="B431" s="30" t="s">
        <v>10</v>
      </c>
      <c r="C431" s="30" t="s">
        <v>46</v>
      </c>
      <c r="D431" s="30" t="s">
        <v>47</v>
      </c>
      <c r="E431" s="31" t="s">
        <v>350</v>
      </c>
      <c r="F431" s="32" t="s">
        <v>49</v>
      </c>
      <c r="G431" s="32" t="s">
        <v>50</v>
      </c>
      <c r="H431" s="33">
        <v>1740</v>
      </c>
      <c r="I431" s="34">
        <f>Table3[[#This Row],[Volume, kg.]]/1000</f>
        <v>1.74</v>
      </c>
      <c r="J431" s="34">
        <v>0.28899999999999998</v>
      </c>
      <c r="K431" s="34">
        <f t="shared" si="12"/>
        <v>502.85999999999996</v>
      </c>
      <c r="L431" s="34">
        <v>3.6</v>
      </c>
      <c r="M431" s="34">
        <v>6264</v>
      </c>
      <c r="N431" s="34">
        <f t="shared" si="13"/>
        <v>12.456747404844291</v>
      </c>
    </row>
    <row r="432" spans="1:14" x14ac:dyDescent="0.45">
      <c r="A432" s="30">
        <v>2023</v>
      </c>
      <c r="B432" s="30" t="s">
        <v>10</v>
      </c>
      <c r="C432" s="30" t="s">
        <v>46</v>
      </c>
      <c r="D432" s="30" t="s">
        <v>47</v>
      </c>
      <c r="E432" s="31" t="s">
        <v>142</v>
      </c>
      <c r="F432" s="32" t="s">
        <v>57</v>
      </c>
      <c r="G432" s="32" t="s">
        <v>50</v>
      </c>
      <c r="H432" s="33">
        <v>27470</v>
      </c>
      <c r="I432" s="34">
        <f>Table3[[#This Row],[Volume, kg.]]/1000</f>
        <v>27.47</v>
      </c>
      <c r="J432" s="34">
        <v>0.24299999999999999</v>
      </c>
      <c r="K432" s="34">
        <f t="shared" si="12"/>
        <v>6675.21</v>
      </c>
      <c r="L432" s="34">
        <v>3.43</v>
      </c>
      <c r="M432" s="34">
        <v>94257</v>
      </c>
      <c r="N432" s="34">
        <f t="shared" si="13"/>
        <v>14.115226337448561</v>
      </c>
    </row>
    <row r="433" spans="1:14" x14ac:dyDescent="0.45">
      <c r="A433" s="30">
        <v>2023</v>
      </c>
      <c r="B433" s="30" t="s">
        <v>10</v>
      </c>
      <c r="C433" s="30" t="s">
        <v>46</v>
      </c>
      <c r="D433" s="30" t="s">
        <v>47</v>
      </c>
      <c r="E433" s="31" t="s">
        <v>144</v>
      </c>
      <c r="F433" s="32" t="s">
        <v>49</v>
      </c>
      <c r="G433" s="32" t="s">
        <v>50</v>
      </c>
      <c r="H433" s="33">
        <v>106330</v>
      </c>
      <c r="I433" s="34">
        <f>Table3[[#This Row],[Volume, kg.]]/1000</f>
        <v>106.33</v>
      </c>
      <c r="J433" s="34">
        <v>0.25920000000000004</v>
      </c>
      <c r="K433" s="34">
        <f t="shared" si="12"/>
        <v>27560.736000000004</v>
      </c>
      <c r="L433" s="34">
        <v>3.47</v>
      </c>
      <c r="M433" s="34">
        <v>369171.5</v>
      </c>
      <c r="N433" s="34">
        <f t="shared" si="13"/>
        <v>13.387345679012345</v>
      </c>
    </row>
    <row r="434" spans="1:14" x14ac:dyDescent="0.45">
      <c r="A434" s="30">
        <v>2023</v>
      </c>
      <c r="B434" s="30" t="s">
        <v>10</v>
      </c>
      <c r="C434" s="30" t="s">
        <v>46</v>
      </c>
      <c r="D434" s="30" t="s">
        <v>47</v>
      </c>
      <c r="E434" s="31" t="s">
        <v>351</v>
      </c>
      <c r="F434" s="32" t="s">
        <v>49</v>
      </c>
      <c r="G434" s="32" t="s">
        <v>50</v>
      </c>
      <c r="H434" s="33">
        <v>91610</v>
      </c>
      <c r="I434" s="34">
        <f>Table3[[#This Row],[Volume, kg.]]/1000</f>
        <v>91.61</v>
      </c>
      <c r="J434" s="34">
        <v>0.2898</v>
      </c>
      <c r="K434" s="34">
        <f t="shared" si="12"/>
        <v>26548.578000000001</v>
      </c>
      <c r="L434" s="34">
        <v>3.57</v>
      </c>
      <c r="M434" s="34">
        <v>326909.5</v>
      </c>
      <c r="N434" s="34">
        <f t="shared" si="13"/>
        <v>12.318840579710145</v>
      </c>
    </row>
    <row r="435" spans="1:14" x14ac:dyDescent="0.45">
      <c r="A435" s="30">
        <v>2023</v>
      </c>
      <c r="B435" s="30" t="s">
        <v>10</v>
      </c>
      <c r="C435" s="30" t="s">
        <v>46</v>
      </c>
      <c r="D435" s="30" t="s">
        <v>47</v>
      </c>
      <c r="E435" s="31" t="s">
        <v>291</v>
      </c>
      <c r="F435" s="32" t="s">
        <v>57</v>
      </c>
      <c r="G435" s="32" t="s">
        <v>50</v>
      </c>
      <c r="H435" s="33">
        <v>32640</v>
      </c>
      <c r="I435" s="34">
        <f>Table3[[#This Row],[Volume, kg.]]/1000</f>
        <v>32.64</v>
      </c>
      <c r="J435" s="34">
        <v>0.2293</v>
      </c>
      <c r="K435" s="34">
        <f t="shared" si="12"/>
        <v>7484.3519999999999</v>
      </c>
      <c r="L435" s="34">
        <v>3.38</v>
      </c>
      <c r="M435" s="34">
        <v>110450.5</v>
      </c>
      <c r="N435" s="34">
        <f t="shared" si="13"/>
        <v>14.74051460968164</v>
      </c>
    </row>
    <row r="436" spans="1:14" x14ac:dyDescent="0.45">
      <c r="A436" s="30">
        <v>2023</v>
      </c>
      <c r="B436" s="30" t="s">
        <v>10</v>
      </c>
      <c r="C436" s="30" t="s">
        <v>46</v>
      </c>
      <c r="D436" s="30" t="s">
        <v>47</v>
      </c>
      <c r="E436" s="31" t="s">
        <v>147</v>
      </c>
      <c r="F436" s="32" t="s">
        <v>57</v>
      </c>
      <c r="G436" s="32" t="s">
        <v>50</v>
      </c>
      <c r="H436" s="33">
        <v>10020</v>
      </c>
      <c r="I436" s="34">
        <f>Table3[[#This Row],[Volume, kg.]]/1000</f>
        <v>10.02</v>
      </c>
      <c r="J436" s="34">
        <v>0.2656</v>
      </c>
      <c r="K436" s="34">
        <f t="shared" si="12"/>
        <v>2661.3119999999999</v>
      </c>
      <c r="L436" s="34">
        <v>3.53</v>
      </c>
      <c r="M436" s="34">
        <v>35407</v>
      </c>
      <c r="N436" s="34">
        <f t="shared" si="13"/>
        <v>13.290662650602409</v>
      </c>
    </row>
    <row r="437" spans="1:14" x14ac:dyDescent="0.45">
      <c r="A437" s="30">
        <v>2023</v>
      </c>
      <c r="B437" s="30" t="s">
        <v>10</v>
      </c>
      <c r="C437" s="30" t="s">
        <v>46</v>
      </c>
      <c r="D437" s="30" t="s">
        <v>47</v>
      </c>
      <c r="E437" s="31" t="s">
        <v>148</v>
      </c>
      <c r="F437" s="32" t="s">
        <v>49</v>
      </c>
      <c r="G437" s="32" t="s">
        <v>50</v>
      </c>
      <c r="H437" s="33">
        <v>21970</v>
      </c>
      <c r="I437" s="34">
        <f>Table3[[#This Row],[Volume, kg.]]/1000</f>
        <v>21.97</v>
      </c>
      <c r="J437" s="34">
        <v>0.28199999999999997</v>
      </c>
      <c r="K437" s="34">
        <f t="shared" si="12"/>
        <v>6195.5399999999991</v>
      </c>
      <c r="L437" s="34">
        <v>3.45</v>
      </c>
      <c r="M437" s="34">
        <v>75840</v>
      </c>
      <c r="N437" s="34">
        <f t="shared" si="13"/>
        <v>12.234042553191491</v>
      </c>
    </row>
    <row r="438" spans="1:14" x14ac:dyDescent="0.45">
      <c r="A438" s="30">
        <v>2023</v>
      </c>
      <c r="B438" s="30" t="s">
        <v>10</v>
      </c>
      <c r="C438" s="30" t="s">
        <v>46</v>
      </c>
      <c r="D438" s="30" t="s">
        <v>47</v>
      </c>
      <c r="E438" s="31" t="s">
        <v>150</v>
      </c>
      <c r="F438" s="32" t="s">
        <v>49</v>
      </c>
      <c r="G438" s="32" t="s">
        <v>50</v>
      </c>
      <c r="H438" s="33">
        <v>5470</v>
      </c>
      <c r="I438" s="34">
        <f>Table3[[#This Row],[Volume, kg.]]/1000</f>
        <v>5.47</v>
      </c>
      <c r="J438" s="34">
        <v>0.30299999999999999</v>
      </c>
      <c r="K438" s="34">
        <f t="shared" si="12"/>
        <v>1657.4099999999999</v>
      </c>
      <c r="L438" s="34">
        <v>3.7</v>
      </c>
      <c r="M438" s="34">
        <v>20239</v>
      </c>
      <c r="N438" s="34">
        <f t="shared" si="13"/>
        <v>12.211221122112212</v>
      </c>
    </row>
    <row r="439" spans="1:14" x14ac:dyDescent="0.45">
      <c r="A439" s="30">
        <v>2023</v>
      </c>
      <c r="B439" s="30" t="s">
        <v>10</v>
      </c>
      <c r="C439" s="30" t="s">
        <v>46</v>
      </c>
      <c r="D439" s="30" t="s">
        <v>47</v>
      </c>
      <c r="E439" s="31" t="s">
        <v>151</v>
      </c>
      <c r="F439" s="32" t="s">
        <v>60</v>
      </c>
      <c r="G439" s="32" t="s">
        <v>50</v>
      </c>
      <c r="H439" s="33">
        <v>10150</v>
      </c>
      <c r="I439" s="34">
        <f>Table3[[#This Row],[Volume, kg.]]/1000</f>
        <v>10.15</v>
      </c>
      <c r="J439" s="34">
        <v>0.29149999999999998</v>
      </c>
      <c r="K439" s="34">
        <f t="shared" si="12"/>
        <v>2958.7249999999999</v>
      </c>
      <c r="L439" s="34">
        <v>3.6</v>
      </c>
      <c r="M439" s="34">
        <v>36540</v>
      </c>
      <c r="N439" s="34">
        <f t="shared" si="13"/>
        <v>12.34991423670669</v>
      </c>
    </row>
    <row r="440" spans="1:14" x14ac:dyDescent="0.45">
      <c r="A440" s="30">
        <v>2023</v>
      </c>
      <c r="B440" s="30" t="s">
        <v>10</v>
      </c>
      <c r="C440" s="30" t="s">
        <v>46</v>
      </c>
      <c r="D440" s="30" t="s">
        <v>47</v>
      </c>
      <c r="E440" s="31" t="s">
        <v>152</v>
      </c>
      <c r="F440" s="32" t="s">
        <v>60</v>
      </c>
      <c r="G440" s="32" t="s">
        <v>50</v>
      </c>
      <c r="H440" s="33">
        <v>2690</v>
      </c>
      <c r="I440" s="34">
        <f>Table3[[#This Row],[Volume, kg.]]/1000</f>
        <v>2.69</v>
      </c>
      <c r="J440" s="34">
        <v>0.28249999999999997</v>
      </c>
      <c r="K440" s="34">
        <f t="shared" si="12"/>
        <v>759.92499999999995</v>
      </c>
      <c r="L440" s="34">
        <v>3.55</v>
      </c>
      <c r="M440" s="34">
        <v>9549.5</v>
      </c>
      <c r="N440" s="34">
        <f t="shared" si="13"/>
        <v>12.56637168141593</v>
      </c>
    </row>
    <row r="441" spans="1:14" x14ac:dyDescent="0.45">
      <c r="A441" s="30">
        <v>2023</v>
      </c>
      <c r="B441" s="30" t="s">
        <v>10</v>
      </c>
      <c r="C441" s="30" t="s">
        <v>46</v>
      </c>
      <c r="D441" s="30" t="s">
        <v>47</v>
      </c>
      <c r="E441" s="31" t="s">
        <v>352</v>
      </c>
      <c r="F441" s="32" t="s">
        <v>54</v>
      </c>
      <c r="G441" s="32" t="s">
        <v>50</v>
      </c>
      <c r="H441" s="33">
        <v>198940</v>
      </c>
      <c r="I441" s="34">
        <f>Table3[[#This Row],[Volume, kg.]]/1000</f>
        <v>198.94</v>
      </c>
      <c r="J441" s="34">
        <v>0.26619999999999999</v>
      </c>
      <c r="K441" s="34">
        <f t="shared" si="12"/>
        <v>52957.828000000001</v>
      </c>
      <c r="L441" s="34">
        <v>3.52</v>
      </c>
      <c r="M441" s="34">
        <v>700668</v>
      </c>
      <c r="N441" s="34">
        <f t="shared" si="13"/>
        <v>13.223140495867769</v>
      </c>
    </row>
    <row r="442" spans="1:14" x14ac:dyDescent="0.45">
      <c r="A442" s="30">
        <v>2023</v>
      </c>
      <c r="B442" s="30" t="s">
        <v>10</v>
      </c>
      <c r="C442" s="30" t="s">
        <v>46</v>
      </c>
      <c r="D442" s="30" t="s">
        <v>47</v>
      </c>
      <c r="E442" s="31" t="s">
        <v>153</v>
      </c>
      <c r="F442" s="32" t="s">
        <v>57</v>
      </c>
      <c r="G442" s="32" t="s">
        <v>50</v>
      </c>
      <c r="H442" s="33">
        <v>10970</v>
      </c>
      <c r="I442" s="34">
        <f>Table3[[#This Row],[Volume, kg.]]/1000</f>
        <v>10.97</v>
      </c>
      <c r="J442" s="34">
        <v>0.2452</v>
      </c>
      <c r="K442" s="34">
        <f t="shared" si="12"/>
        <v>2689.8440000000001</v>
      </c>
      <c r="L442" s="34">
        <v>3.42</v>
      </c>
      <c r="M442" s="34">
        <v>37551</v>
      </c>
      <c r="N442" s="34">
        <f t="shared" si="13"/>
        <v>13.947797716150081</v>
      </c>
    </row>
    <row r="443" spans="1:14" x14ac:dyDescent="0.45">
      <c r="A443" s="30">
        <v>2023</v>
      </c>
      <c r="B443" s="30" t="s">
        <v>10</v>
      </c>
      <c r="C443" s="30" t="s">
        <v>46</v>
      </c>
      <c r="D443" s="30" t="s">
        <v>47</v>
      </c>
      <c r="E443" s="31" t="s">
        <v>154</v>
      </c>
      <c r="F443" s="32" t="s">
        <v>60</v>
      </c>
      <c r="G443" s="32" t="s">
        <v>50</v>
      </c>
      <c r="H443" s="33">
        <v>2290</v>
      </c>
      <c r="I443" s="34">
        <f>Table3[[#This Row],[Volume, kg.]]/1000</f>
        <v>2.29</v>
      </c>
      <c r="J443" s="34">
        <v>0.27350000000000002</v>
      </c>
      <c r="K443" s="34">
        <f t="shared" si="12"/>
        <v>626.31500000000005</v>
      </c>
      <c r="L443" s="34">
        <v>3.6</v>
      </c>
      <c r="M443" s="34">
        <v>8244</v>
      </c>
      <c r="N443" s="34">
        <f t="shared" si="13"/>
        <v>13.16270566727605</v>
      </c>
    </row>
    <row r="444" spans="1:14" x14ac:dyDescent="0.45">
      <c r="A444" s="30">
        <v>2023</v>
      </c>
      <c r="B444" s="30" t="s">
        <v>10</v>
      </c>
      <c r="C444" s="30" t="s">
        <v>46</v>
      </c>
      <c r="D444" s="30" t="s">
        <v>47</v>
      </c>
      <c r="E444" s="31" t="s">
        <v>293</v>
      </c>
      <c r="F444" s="32" t="s">
        <v>60</v>
      </c>
      <c r="G444" s="32" t="s">
        <v>50</v>
      </c>
      <c r="H444" s="33">
        <v>104830</v>
      </c>
      <c r="I444" s="34">
        <f>Table3[[#This Row],[Volume, kg.]]/1000</f>
        <v>104.83</v>
      </c>
      <c r="J444" s="34">
        <v>0.28850000000000003</v>
      </c>
      <c r="K444" s="34">
        <f t="shared" si="12"/>
        <v>30243.455000000005</v>
      </c>
      <c r="L444" s="34">
        <v>3.69</v>
      </c>
      <c r="M444" s="34">
        <v>387063.5</v>
      </c>
      <c r="N444" s="34">
        <f t="shared" si="13"/>
        <v>12.790294627383014</v>
      </c>
    </row>
    <row r="445" spans="1:14" x14ac:dyDescent="0.45">
      <c r="A445" s="30">
        <v>2023</v>
      </c>
      <c r="B445" s="30" t="s">
        <v>10</v>
      </c>
      <c r="C445" s="30" t="s">
        <v>46</v>
      </c>
      <c r="D445" s="30" t="s">
        <v>47</v>
      </c>
      <c r="E445" s="31" t="s">
        <v>156</v>
      </c>
      <c r="F445" s="32" t="s">
        <v>49</v>
      </c>
      <c r="G445" s="32" t="s">
        <v>50</v>
      </c>
      <c r="H445" s="33">
        <v>48390</v>
      </c>
      <c r="I445" s="34">
        <f>Table3[[#This Row],[Volume, kg.]]/1000</f>
        <v>48.39</v>
      </c>
      <c r="J445" s="34">
        <v>0.2883</v>
      </c>
      <c r="K445" s="34">
        <f t="shared" si="12"/>
        <v>13950.837</v>
      </c>
      <c r="L445" s="34">
        <v>3.55</v>
      </c>
      <c r="M445" s="34">
        <v>171628</v>
      </c>
      <c r="N445" s="34">
        <f t="shared" si="13"/>
        <v>12.313562261533125</v>
      </c>
    </row>
    <row r="446" spans="1:14" x14ac:dyDescent="0.45">
      <c r="A446" s="30">
        <v>2023</v>
      </c>
      <c r="B446" s="30" t="s">
        <v>10</v>
      </c>
      <c r="C446" s="30" t="s">
        <v>46</v>
      </c>
      <c r="D446" s="30" t="s">
        <v>47</v>
      </c>
      <c r="E446" s="31" t="s">
        <v>294</v>
      </c>
      <c r="F446" s="32" t="s">
        <v>81</v>
      </c>
      <c r="G446" s="32" t="s">
        <v>50</v>
      </c>
      <c r="H446" s="33">
        <v>15310</v>
      </c>
      <c r="I446" s="34">
        <f>Table3[[#This Row],[Volume, kg.]]/1000</f>
        <v>15.31</v>
      </c>
      <c r="J446" s="34">
        <v>0.28760000000000002</v>
      </c>
      <c r="K446" s="34">
        <f t="shared" si="12"/>
        <v>4403.1559999999999</v>
      </c>
      <c r="L446" s="34">
        <v>3.59</v>
      </c>
      <c r="M446" s="34">
        <v>54908</v>
      </c>
      <c r="N446" s="34">
        <f t="shared" si="13"/>
        <v>12.482614742698191</v>
      </c>
    </row>
    <row r="447" spans="1:14" x14ac:dyDescent="0.45">
      <c r="A447" s="30">
        <v>2023</v>
      </c>
      <c r="B447" s="30" t="s">
        <v>10</v>
      </c>
      <c r="C447" s="30" t="s">
        <v>46</v>
      </c>
      <c r="D447" s="30" t="s">
        <v>102</v>
      </c>
      <c r="E447" s="31" t="s">
        <v>295</v>
      </c>
      <c r="F447" s="32" t="s">
        <v>127</v>
      </c>
      <c r="G447" s="32" t="s">
        <v>128</v>
      </c>
      <c r="H447" s="33">
        <v>62540</v>
      </c>
      <c r="I447" s="34">
        <f>Table3[[#This Row],[Volume, kg.]]/1000</f>
        <v>62.54</v>
      </c>
      <c r="J447" s="34">
        <v>0.25619999999999998</v>
      </c>
      <c r="K447" s="34">
        <f t="shared" si="12"/>
        <v>16022.748</v>
      </c>
      <c r="L447" s="34">
        <v>3.54</v>
      </c>
      <c r="M447" s="34">
        <v>221627</v>
      </c>
      <c r="N447" s="34">
        <f t="shared" si="13"/>
        <v>13.817330210772834</v>
      </c>
    </row>
    <row r="448" spans="1:14" x14ac:dyDescent="0.45">
      <c r="A448" s="30">
        <v>2023</v>
      </c>
      <c r="B448" s="30" t="s">
        <v>10</v>
      </c>
      <c r="C448" s="30" t="s">
        <v>46</v>
      </c>
      <c r="D448" s="30" t="s">
        <v>47</v>
      </c>
      <c r="E448" s="31" t="s">
        <v>353</v>
      </c>
      <c r="F448" s="32" t="s">
        <v>57</v>
      </c>
      <c r="G448" s="32" t="s">
        <v>50</v>
      </c>
      <c r="H448" s="33">
        <v>15730</v>
      </c>
      <c r="I448" s="34">
        <f>Table3[[#This Row],[Volume, kg.]]/1000</f>
        <v>15.73</v>
      </c>
      <c r="J448" s="34">
        <v>0.28320000000000001</v>
      </c>
      <c r="K448" s="34">
        <f t="shared" si="12"/>
        <v>4454.7359999999999</v>
      </c>
      <c r="L448" s="34">
        <v>3.58</v>
      </c>
      <c r="M448" s="34">
        <v>56355</v>
      </c>
      <c r="N448" s="34">
        <f t="shared" si="13"/>
        <v>12.641242937853107</v>
      </c>
    </row>
    <row r="449" spans="1:14" x14ac:dyDescent="0.45">
      <c r="A449" s="30">
        <v>2023</v>
      </c>
      <c r="B449" s="30" t="s">
        <v>10</v>
      </c>
      <c r="C449" s="30" t="s">
        <v>46</v>
      </c>
      <c r="D449" s="30" t="s">
        <v>47</v>
      </c>
      <c r="E449" s="31" t="s">
        <v>296</v>
      </c>
      <c r="F449" s="32" t="s">
        <v>60</v>
      </c>
      <c r="G449" s="32" t="s">
        <v>50</v>
      </c>
      <c r="H449" s="33">
        <v>4050</v>
      </c>
      <c r="I449" s="34">
        <f>Table3[[#This Row],[Volume, kg.]]/1000</f>
        <v>4.05</v>
      </c>
      <c r="J449" s="34">
        <v>0.26899999999999996</v>
      </c>
      <c r="K449" s="34">
        <f t="shared" si="12"/>
        <v>1089.4499999999998</v>
      </c>
      <c r="L449" s="34">
        <v>3.5</v>
      </c>
      <c r="M449" s="34">
        <v>14175</v>
      </c>
      <c r="N449" s="34">
        <f t="shared" si="13"/>
        <v>13.011152416356879</v>
      </c>
    </row>
    <row r="450" spans="1:14" x14ac:dyDescent="0.45">
      <c r="A450" s="30">
        <v>2023</v>
      </c>
      <c r="B450" s="30" t="s">
        <v>10</v>
      </c>
      <c r="C450" s="30" t="s">
        <v>46</v>
      </c>
      <c r="D450" s="30" t="s">
        <v>102</v>
      </c>
      <c r="E450" s="31" t="s">
        <v>157</v>
      </c>
      <c r="F450" s="32" t="s">
        <v>127</v>
      </c>
      <c r="G450" s="32" t="s">
        <v>128</v>
      </c>
      <c r="H450" s="33">
        <v>180280</v>
      </c>
      <c r="I450" s="34">
        <f>Table3[[#This Row],[Volume, kg.]]/1000</f>
        <v>180.28</v>
      </c>
      <c r="J450" s="34">
        <v>0.25469999999999998</v>
      </c>
      <c r="K450" s="34">
        <f t="shared" si="12"/>
        <v>45917.315999999999</v>
      </c>
      <c r="L450" s="34">
        <v>3.78</v>
      </c>
      <c r="M450" s="34">
        <v>681158.5</v>
      </c>
      <c r="N450" s="34">
        <f t="shared" si="13"/>
        <v>14.840989399293287</v>
      </c>
    </row>
    <row r="451" spans="1:14" x14ac:dyDescent="0.45">
      <c r="A451" s="30">
        <v>2023</v>
      </c>
      <c r="B451" s="30" t="s">
        <v>10</v>
      </c>
      <c r="C451" s="30" t="s">
        <v>46</v>
      </c>
      <c r="D451" s="30" t="s">
        <v>47</v>
      </c>
      <c r="E451" s="31" t="s">
        <v>159</v>
      </c>
      <c r="F451" s="32" t="s">
        <v>81</v>
      </c>
      <c r="G451" s="32" t="s">
        <v>50</v>
      </c>
      <c r="H451" s="33">
        <v>6130</v>
      </c>
      <c r="I451" s="34">
        <f>Table3[[#This Row],[Volume, kg.]]/1000</f>
        <v>6.13</v>
      </c>
      <c r="J451" s="34">
        <v>0.31850000000000001</v>
      </c>
      <c r="K451" s="34">
        <f t="shared" ref="K451:K514" si="14">H451*J451</f>
        <v>1952.405</v>
      </c>
      <c r="L451" s="34">
        <v>3.6</v>
      </c>
      <c r="M451" s="34">
        <v>22068</v>
      </c>
      <c r="N451" s="34">
        <f t="shared" si="13"/>
        <v>11.30298273155416</v>
      </c>
    </row>
    <row r="452" spans="1:14" x14ac:dyDescent="0.45">
      <c r="A452" s="30">
        <v>2023</v>
      </c>
      <c r="B452" s="30" t="s">
        <v>10</v>
      </c>
      <c r="C452" s="30" t="s">
        <v>46</v>
      </c>
      <c r="D452" s="30" t="s">
        <v>47</v>
      </c>
      <c r="E452" s="31" t="s">
        <v>160</v>
      </c>
      <c r="F452" s="32" t="s">
        <v>49</v>
      </c>
      <c r="G452" s="32" t="s">
        <v>50</v>
      </c>
      <c r="H452" s="33">
        <v>45630</v>
      </c>
      <c r="I452" s="34">
        <f>Table3[[#This Row],[Volume, kg.]]/1000</f>
        <v>45.63</v>
      </c>
      <c r="J452" s="34">
        <v>0.28850000000000003</v>
      </c>
      <c r="K452" s="34">
        <f t="shared" si="14"/>
        <v>13164.255000000001</v>
      </c>
      <c r="L452" s="34">
        <v>3.62</v>
      </c>
      <c r="M452" s="34">
        <v>165294</v>
      </c>
      <c r="N452" s="34">
        <f t="shared" ref="N452:N515" si="15">L452/J452</f>
        <v>12.547660311958404</v>
      </c>
    </row>
    <row r="453" spans="1:14" x14ac:dyDescent="0.45">
      <c r="A453" s="30">
        <v>2023</v>
      </c>
      <c r="B453" s="30" t="s">
        <v>10</v>
      </c>
      <c r="C453" s="30" t="s">
        <v>46</v>
      </c>
      <c r="D453" s="30" t="s">
        <v>47</v>
      </c>
      <c r="E453" s="31" t="s">
        <v>162</v>
      </c>
      <c r="F453" s="32" t="s">
        <v>49</v>
      </c>
      <c r="G453" s="32" t="s">
        <v>50</v>
      </c>
      <c r="H453" s="33">
        <v>10050</v>
      </c>
      <c r="I453" s="34">
        <f>Table3[[#This Row],[Volume, kg.]]/1000</f>
        <v>10.050000000000001</v>
      </c>
      <c r="J453" s="34">
        <v>0.28600000000000003</v>
      </c>
      <c r="K453" s="34">
        <f t="shared" si="14"/>
        <v>2874.3</v>
      </c>
      <c r="L453" s="34">
        <v>3.65</v>
      </c>
      <c r="M453" s="34">
        <v>36682.5</v>
      </c>
      <c r="N453" s="34">
        <f t="shared" si="15"/>
        <v>12.76223776223776</v>
      </c>
    </row>
    <row r="454" spans="1:14" x14ac:dyDescent="0.45">
      <c r="A454" s="30">
        <v>2023</v>
      </c>
      <c r="B454" s="30" t="s">
        <v>10</v>
      </c>
      <c r="C454" s="30" t="s">
        <v>46</v>
      </c>
      <c r="D454" s="30" t="s">
        <v>47</v>
      </c>
      <c r="E454" s="31" t="s">
        <v>163</v>
      </c>
      <c r="F454" s="32" t="s">
        <v>60</v>
      </c>
      <c r="G454" s="32" t="s">
        <v>50</v>
      </c>
      <c r="H454" s="33">
        <v>27570</v>
      </c>
      <c r="I454" s="34">
        <f>Table3[[#This Row],[Volume, kg.]]/1000</f>
        <v>27.57</v>
      </c>
      <c r="J454" s="34">
        <v>0.30249999999999999</v>
      </c>
      <c r="K454" s="34">
        <f t="shared" si="14"/>
        <v>8339.9249999999993</v>
      </c>
      <c r="L454" s="34">
        <v>3.66</v>
      </c>
      <c r="M454" s="34">
        <v>100900</v>
      </c>
      <c r="N454" s="34">
        <f t="shared" si="15"/>
        <v>12.099173553719009</v>
      </c>
    </row>
    <row r="455" spans="1:14" x14ac:dyDescent="0.45">
      <c r="A455" s="30">
        <v>2023</v>
      </c>
      <c r="B455" s="30" t="s">
        <v>10</v>
      </c>
      <c r="C455" s="30" t="s">
        <v>46</v>
      </c>
      <c r="D455" s="30" t="s">
        <v>47</v>
      </c>
      <c r="E455" s="31" t="s">
        <v>354</v>
      </c>
      <c r="F455" s="32" t="s">
        <v>60</v>
      </c>
      <c r="G455" s="32" t="s">
        <v>50</v>
      </c>
      <c r="H455" s="33">
        <v>17220</v>
      </c>
      <c r="I455" s="34">
        <f>Table3[[#This Row],[Volume, kg.]]/1000</f>
        <v>17.22</v>
      </c>
      <c r="J455" s="34">
        <v>0.30510000000000004</v>
      </c>
      <c r="K455" s="34">
        <f t="shared" si="14"/>
        <v>5253.822000000001</v>
      </c>
      <c r="L455" s="34">
        <v>3.71</v>
      </c>
      <c r="M455" s="34">
        <v>63853</v>
      </c>
      <c r="N455" s="34">
        <f t="shared" si="15"/>
        <v>12.159947558177645</v>
      </c>
    </row>
    <row r="456" spans="1:14" x14ac:dyDescent="0.45">
      <c r="A456" s="30">
        <v>2023</v>
      </c>
      <c r="B456" s="30" t="s">
        <v>10</v>
      </c>
      <c r="C456" s="30" t="s">
        <v>46</v>
      </c>
      <c r="D456" s="30" t="s">
        <v>47</v>
      </c>
      <c r="E456" s="31" t="s">
        <v>164</v>
      </c>
      <c r="F456" s="32" t="s">
        <v>49</v>
      </c>
      <c r="G456" s="32" t="s">
        <v>50</v>
      </c>
      <c r="H456" s="33">
        <v>5890</v>
      </c>
      <c r="I456" s="34">
        <f>Table3[[#This Row],[Volume, kg.]]/1000</f>
        <v>5.89</v>
      </c>
      <c r="J456" s="34">
        <v>0.2475</v>
      </c>
      <c r="K456" s="34">
        <f t="shared" si="14"/>
        <v>1457.7750000000001</v>
      </c>
      <c r="L456" s="34">
        <v>3.4</v>
      </c>
      <c r="M456" s="34">
        <v>20026</v>
      </c>
      <c r="N456" s="34">
        <f t="shared" si="15"/>
        <v>13.737373737373737</v>
      </c>
    </row>
    <row r="457" spans="1:14" x14ac:dyDescent="0.45">
      <c r="A457" s="30">
        <v>2023</v>
      </c>
      <c r="B457" s="30" t="s">
        <v>10</v>
      </c>
      <c r="C457" s="30" t="s">
        <v>46</v>
      </c>
      <c r="D457" s="30" t="s">
        <v>47</v>
      </c>
      <c r="E457" s="31" t="s">
        <v>166</v>
      </c>
      <c r="F457" s="32" t="s">
        <v>49</v>
      </c>
      <c r="G457" s="32" t="s">
        <v>50</v>
      </c>
      <c r="H457" s="33">
        <v>5840</v>
      </c>
      <c r="I457" s="34">
        <f>Table3[[#This Row],[Volume, kg.]]/1000</f>
        <v>5.84</v>
      </c>
      <c r="J457" s="34">
        <v>0.255</v>
      </c>
      <c r="K457" s="34">
        <f t="shared" si="14"/>
        <v>1489.2</v>
      </c>
      <c r="L457" s="34">
        <v>3.45</v>
      </c>
      <c r="M457" s="34">
        <v>20148</v>
      </c>
      <c r="N457" s="34">
        <f t="shared" si="15"/>
        <v>13.529411764705882</v>
      </c>
    </row>
    <row r="458" spans="1:14" x14ac:dyDescent="0.45">
      <c r="A458" s="30">
        <v>2023</v>
      </c>
      <c r="B458" s="30" t="s">
        <v>10</v>
      </c>
      <c r="C458" s="30" t="s">
        <v>46</v>
      </c>
      <c r="D458" s="30" t="s">
        <v>47</v>
      </c>
      <c r="E458" s="31" t="s">
        <v>167</v>
      </c>
      <c r="F458" s="32" t="s">
        <v>49</v>
      </c>
      <c r="G458" s="32" t="s">
        <v>50</v>
      </c>
      <c r="H458" s="33">
        <v>59680</v>
      </c>
      <c r="I458" s="34">
        <f>Table3[[#This Row],[Volume, kg.]]/1000</f>
        <v>59.68</v>
      </c>
      <c r="J458" s="34">
        <v>0.2712</v>
      </c>
      <c r="K458" s="34">
        <f t="shared" si="14"/>
        <v>16185.216</v>
      </c>
      <c r="L458" s="34">
        <v>3.46</v>
      </c>
      <c r="M458" s="34">
        <v>206612</v>
      </c>
      <c r="N458" s="34">
        <f t="shared" si="15"/>
        <v>12.75811209439528</v>
      </c>
    </row>
    <row r="459" spans="1:14" x14ac:dyDescent="0.45">
      <c r="A459" s="30">
        <v>2023</v>
      </c>
      <c r="B459" s="30" t="s">
        <v>10</v>
      </c>
      <c r="C459" s="30" t="s">
        <v>46</v>
      </c>
      <c r="D459" s="30" t="s">
        <v>47</v>
      </c>
      <c r="E459" s="31" t="s">
        <v>176</v>
      </c>
      <c r="F459" s="32" t="s">
        <v>49</v>
      </c>
      <c r="G459" s="32" t="s">
        <v>50</v>
      </c>
      <c r="H459" s="33">
        <v>7870</v>
      </c>
      <c r="I459" s="34">
        <f>Table3[[#This Row],[Volume, kg.]]/1000</f>
        <v>7.87</v>
      </c>
      <c r="J459" s="34">
        <v>0.30990000000000001</v>
      </c>
      <c r="K459" s="34">
        <f t="shared" si="14"/>
        <v>2438.913</v>
      </c>
      <c r="L459" s="34">
        <v>3.78</v>
      </c>
      <c r="M459" s="34">
        <v>29777</v>
      </c>
      <c r="N459" s="34">
        <f t="shared" si="15"/>
        <v>12.197483059051306</v>
      </c>
    </row>
    <row r="460" spans="1:14" x14ac:dyDescent="0.45">
      <c r="A460" s="30">
        <v>2023</v>
      </c>
      <c r="B460" s="30" t="s">
        <v>10</v>
      </c>
      <c r="C460" s="30" t="s">
        <v>46</v>
      </c>
      <c r="D460" s="30" t="s">
        <v>47</v>
      </c>
      <c r="E460" s="31" t="s">
        <v>177</v>
      </c>
      <c r="F460" s="32" t="s">
        <v>49</v>
      </c>
      <c r="G460" s="32" t="s">
        <v>50</v>
      </c>
      <c r="H460" s="33">
        <v>18410</v>
      </c>
      <c r="I460" s="34">
        <f>Table3[[#This Row],[Volume, kg.]]/1000</f>
        <v>18.41</v>
      </c>
      <c r="J460" s="34">
        <v>0.25569999999999998</v>
      </c>
      <c r="K460" s="34">
        <f t="shared" si="14"/>
        <v>4707.4369999999999</v>
      </c>
      <c r="L460" s="34">
        <v>3.35</v>
      </c>
      <c r="M460" s="34">
        <v>61715</v>
      </c>
      <c r="N460" s="34">
        <f t="shared" si="15"/>
        <v>13.101290574892454</v>
      </c>
    </row>
    <row r="461" spans="1:14" x14ac:dyDescent="0.45">
      <c r="A461" s="30">
        <v>2023</v>
      </c>
      <c r="B461" s="30" t="s">
        <v>10</v>
      </c>
      <c r="C461" s="30" t="s">
        <v>46</v>
      </c>
      <c r="D461" s="30" t="s">
        <v>47</v>
      </c>
      <c r="E461" s="31" t="s">
        <v>178</v>
      </c>
      <c r="F461" s="32" t="s">
        <v>49</v>
      </c>
      <c r="G461" s="32" t="s">
        <v>50</v>
      </c>
      <c r="H461" s="33">
        <v>28090</v>
      </c>
      <c r="I461" s="34">
        <f>Table3[[#This Row],[Volume, kg.]]/1000</f>
        <v>28.09</v>
      </c>
      <c r="J461" s="34">
        <v>0.26929999999999998</v>
      </c>
      <c r="K461" s="34">
        <f t="shared" si="14"/>
        <v>7564.6369999999997</v>
      </c>
      <c r="L461" s="34">
        <v>3.41</v>
      </c>
      <c r="M461" s="34">
        <v>95883</v>
      </c>
      <c r="N461" s="34">
        <f t="shared" si="15"/>
        <v>12.662458225027851</v>
      </c>
    </row>
    <row r="462" spans="1:14" x14ac:dyDescent="0.45">
      <c r="A462" s="30">
        <v>2023</v>
      </c>
      <c r="B462" s="30" t="s">
        <v>10</v>
      </c>
      <c r="C462" s="30" t="s">
        <v>46</v>
      </c>
      <c r="D462" s="30" t="s">
        <v>47</v>
      </c>
      <c r="E462" s="31" t="s">
        <v>182</v>
      </c>
      <c r="F462" s="32" t="s">
        <v>81</v>
      </c>
      <c r="G462" s="32" t="s">
        <v>50</v>
      </c>
      <c r="H462" s="33">
        <v>26430</v>
      </c>
      <c r="I462" s="34">
        <f>Table3[[#This Row],[Volume, kg.]]/1000</f>
        <v>26.43</v>
      </c>
      <c r="J462" s="34">
        <v>0.30199999999999999</v>
      </c>
      <c r="K462" s="34">
        <f t="shared" si="14"/>
        <v>7981.86</v>
      </c>
      <c r="L462" s="34">
        <v>3.77</v>
      </c>
      <c r="M462" s="34">
        <v>99519.5</v>
      </c>
      <c r="N462" s="34">
        <f t="shared" si="15"/>
        <v>12.483443708609272</v>
      </c>
    </row>
    <row r="463" spans="1:14" x14ac:dyDescent="0.45">
      <c r="A463" s="30">
        <v>2023</v>
      </c>
      <c r="B463" s="30" t="s">
        <v>10</v>
      </c>
      <c r="C463" s="30" t="s">
        <v>46</v>
      </c>
      <c r="D463" s="30" t="s">
        <v>47</v>
      </c>
      <c r="E463" s="31" t="s">
        <v>299</v>
      </c>
      <c r="F463" s="32" t="s">
        <v>49</v>
      </c>
      <c r="G463" s="32" t="s">
        <v>50</v>
      </c>
      <c r="H463" s="33">
        <v>17870</v>
      </c>
      <c r="I463" s="34">
        <f>Table3[[#This Row],[Volume, kg.]]/1000</f>
        <v>17.87</v>
      </c>
      <c r="J463" s="34">
        <v>0.19399999999999998</v>
      </c>
      <c r="K463" s="34">
        <f t="shared" si="14"/>
        <v>3466.7799999999997</v>
      </c>
      <c r="L463" s="34">
        <v>3.14</v>
      </c>
      <c r="M463" s="34">
        <v>56104</v>
      </c>
      <c r="N463" s="34">
        <f t="shared" si="15"/>
        <v>16.185567010309281</v>
      </c>
    </row>
    <row r="464" spans="1:14" x14ac:dyDescent="0.45">
      <c r="A464" s="30">
        <v>2023</v>
      </c>
      <c r="B464" s="30" t="s">
        <v>10</v>
      </c>
      <c r="C464" s="30" t="s">
        <v>46</v>
      </c>
      <c r="D464" s="30" t="s">
        <v>47</v>
      </c>
      <c r="E464" s="31" t="s">
        <v>300</v>
      </c>
      <c r="F464" s="32" t="s">
        <v>57</v>
      </c>
      <c r="G464" s="32" t="s">
        <v>50</v>
      </c>
      <c r="H464" s="33">
        <v>2450</v>
      </c>
      <c r="I464" s="34">
        <f>Table3[[#This Row],[Volume, kg.]]/1000</f>
        <v>2.4500000000000002</v>
      </c>
      <c r="J464" s="34">
        <v>0.30649999999999999</v>
      </c>
      <c r="K464" s="34">
        <f t="shared" si="14"/>
        <v>750.92499999999995</v>
      </c>
      <c r="L464" s="34">
        <v>3.7</v>
      </c>
      <c r="M464" s="34">
        <v>9065</v>
      </c>
      <c r="N464" s="34">
        <f t="shared" si="15"/>
        <v>12.071778140293638</v>
      </c>
    </row>
    <row r="465" spans="1:14" x14ac:dyDescent="0.45">
      <c r="A465" s="30">
        <v>2023</v>
      </c>
      <c r="B465" s="30" t="s">
        <v>10</v>
      </c>
      <c r="C465" s="30" t="s">
        <v>46</v>
      </c>
      <c r="D465" s="30" t="s">
        <v>47</v>
      </c>
      <c r="E465" s="31" t="s">
        <v>301</v>
      </c>
      <c r="F465" s="32" t="s">
        <v>60</v>
      </c>
      <c r="G465" s="32" t="s">
        <v>50</v>
      </c>
      <c r="H465" s="33">
        <v>67290</v>
      </c>
      <c r="I465" s="34">
        <f>Table3[[#This Row],[Volume, kg.]]/1000</f>
        <v>67.290000000000006</v>
      </c>
      <c r="J465" s="34">
        <v>0.29480000000000001</v>
      </c>
      <c r="K465" s="34">
        <f t="shared" si="14"/>
        <v>19837.092000000001</v>
      </c>
      <c r="L465" s="34">
        <v>3.66</v>
      </c>
      <c r="M465" s="34">
        <v>246497.5</v>
      </c>
      <c r="N465" s="34">
        <f t="shared" si="15"/>
        <v>12.415196743554953</v>
      </c>
    </row>
    <row r="466" spans="1:14" x14ac:dyDescent="0.45">
      <c r="A466" s="30">
        <v>2023</v>
      </c>
      <c r="B466" s="30" t="s">
        <v>10</v>
      </c>
      <c r="C466" s="30" t="s">
        <v>46</v>
      </c>
      <c r="D466" s="30" t="s">
        <v>47</v>
      </c>
      <c r="E466" s="31" t="s">
        <v>185</v>
      </c>
      <c r="F466" s="32" t="s">
        <v>57</v>
      </c>
      <c r="G466" s="32" t="s">
        <v>50</v>
      </c>
      <c r="H466" s="33">
        <v>8740</v>
      </c>
      <c r="I466" s="34">
        <f>Table3[[#This Row],[Volume, kg.]]/1000</f>
        <v>8.74</v>
      </c>
      <c r="J466" s="34">
        <v>0.26690000000000003</v>
      </c>
      <c r="K466" s="34">
        <f t="shared" si="14"/>
        <v>2332.7060000000001</v>
      </c>
      <c r="L466" s="34">
        <v>3.45</v>
      </c>
      <c r="M466" s="34">
        <v>30181</v>
      </c>
      <c r="N466" s="34">
        <f t="shared" si="15"/>
        <v>12.926189584113899</v>
      </c>
    </row>
    <row r="467" spans="1:14" x14ac:dyDescent="0.45">
      <c r="A467" s="30">
        <v>2023</v>
      </c>
      <c r="B467" s="30" t="s">
        <v>10</v>
      </c>
      <c r="C467" s="30" t="s">
        <v>46</v>
      </c>
      <c r="D467" s="30" t="s">
        <v>47</v>
      </c>
      <c r="E467" s="31" t="s">
        <v>187</v>
      </c>
      <c r="F467" s="32" t="s">
        <v>54</v>
      </c>
      <c r="G467" s="32" t="s">
        <v>50</v>
      </c>
      <c r="H467" s="33">
        <v>28990</v>
      </c>
      <c r="I467" s="34">
        <f>Table3[[#This Row],[Volume, kg.]]/1000</f>
        <v>28.99</v>
      </c>
      <c r="J467" s="34">
        <v>0.32549999999999996</v>
      </c>
      <c r="K467" s="34">
        <f t="shared" si="14"/>
        <v>9436.244999999999</v>
      </c>
      <c r="L467" s="34">
        <v>3.88</v>
      </c>
      <c r="M467" s="34">
        <v>112340</v>
      </c>
      <c r="N467" s="34">
        <f t="shared" si="15"/>
        <v>11.920122887864824</v>
      </c>
    </row>
    <row r="468" spans="1:14" x14ac:dyDescent="0.45">
      <c r="A468" s="30">
        <v>2023</v>
      </c>
      <c r="B468" s="30" t="s">
        <v>10</v>
      </c>
      <c r="C468" s="30" t="s">
        <v>46</v>
      </c>
      <c r="D468" s="30" t="s">
        <v>47</v>
      </c>
      <c r="E468" s="31" t="s">
        <v>355</v>
      </c>
      <c r="F468" s="32" t="s">
        <v>60</v>
      </c>
      <c r="G468" s="32" t="s">
        <v>50</v>
      </c>
      <c r="H468" s="33">
        <v>73730</v>
      </c>
      <c r="I468" s="34">
        <f>Table3[[#This Row],[Volume, kg.]]/1000</f>
        <v>73.73</v>
      </c>
      <c r="J468" s="34">
        <v>0.27699999999999997</v>
      </c>
      <c r="K468" s="34">
        <f t="shared" si="14"/>
        <v>20423.21</v>
      </c>
      <c r="L468" s="34">
        <v>3.54</v>
      </c>
      <c r="M468" s="34">
        <v>261303</v>
      </c>
      <c r="N468" s="34">
        <f t="shared" si="15"/>
        <v>12.779783393501807</v>
      </c>
    </row>
    <row r="469" spans="1:14" x14ac:dyDescent="0.45">
      <c r="A469" s="30">
        <v>2023</v>
      </c>
      <c r="B469" s="30" t="s">
        <v>10</v>
      </c>
      <c r="C469" s="30" t="s">
        <v>46</v>
      </c>
      <c r="D469" s="30" t="s">
        <v>102</v>
      </c>
      <c r="E469" s="31" t="s">
        <v>188</v>
      </c>
      <c r="F469" s="32" t="s">
        <v>189</v>
      </c>
      <c r="G469" s="32" t="s">
        <v>128</v>
      </c>
      <c r="H469" s="33">
        <v>756520</v>
      </c>
      <c r="I469" s="34">
        <f>Table3[[#This Row],[Volume, kg.]]/1000</f>
        <v>756.52</v>
      </c>
      <c r="J469" s="34">
        <v>0.27390000000000003</v>
      </c>
      <c r="K469" s="34">
        <f t="shared" si="14"/>
        <v>207210.82800000004</v>
      </c>
      <c r="L469" s="34">
        <v>3.71</v>
      </c>
      <c r="M469" s="34">
        <v>2809500.5</v>
      </c>
      <c r="N469" s="34">
        <f t="shared" si="15"/>
        <v>13.545089448703905</v>
      </c>
    </row>
    <row r="470" spans="1:14" x14ac:dyDescent="0.45">
      <c r="A470" s="30">
        <v>2023</v>
      </c>
      <c r="B470" s="30" t="s">
        <v>10</v>
      </c>
      <c r="C470" s="30" t="s">
        <v>46</v>
      </c>
      <c r="D470" s="30" t="s">
        <v>47</v>
      </c>
      <c r="E470" s="31" t="s">
        <v>197</v>
      </c>
      <c r="F470" s="32" t="s">
        <v>57</v>
      </c>
      <c r="G470" s="32" t="s">
        <v>50</v>
      </c>
      <c r="H470" s="33">
        <v>84070</v>
      </c>
      <c r="I470" s="34">
        <f>Table3[[#This Row],[Volume, kg.]]/1000</f>
        <v>84.07</v>
      </c>
      <c r="J470" s="34">
        <v>0.24160000000000001</v>
      </c>
      <c r="K470" s="34">
        <f t="shared" si="14"/>
        <v>20311.312000000002</v>
      </c>
      <c r="L470" s="34">
        <v>3.4</v>
      </c>
      <c r="M470" s="34">
        <v>286250</v>
      </c>
      <c r="N470" s="34">
        <f t="shared" si="15"/>
        <v>14.072847682119205</v>
      </c>
    </row>
    <row r="471" spans="1:14" x14ac:dyDescent="0.45">
      <c r="A471" s="30">
        <v>2023</v>
      </c>
      <c r="B471" s="30" t="s">
        <v>10</v>
      </c>
      <c r="C471" s="30" t="s">
        <v>46</v>
      </c>
      <c r="D471" s="30" t="s">
        <v>47</v>
      </c>
      <c r="E471" s="31" t="s">
        <v>200</v>
      </c>
      <c r="F471" s="32" t="s">
        <v>64</v>
      </c>
      <c r="G471" s="32" t="s">
        <v>50</v>
      </c>
      <c r="H471" s="33">
        <v>11070</v>
      </c>
      <c r="I471" s="34">
        <f>Table3[[#This Row],[Volume, kg.]]/1000</f>
        <v>11.07</v>
      </c>
      <c r="J471" s="34">
        <v>0.26899999999999996</v>
      </c>
      <c r="K471" s="34">
        <f t="shared" si="14"/>
        <v>2977.8299999999995</v>
      </c>
      <c r="L471" s="34">
        <v>3.7</v>
      </c>
      <c r="M471" s="34">
        <v>40959</v>
      </c>
      <c r="N471" s="34">
        <f t="shared" si="15"/>
        <v>13.754646840148702</v>
      </c>
    </row>
    <row r="472" spans="1:14" x14ac:dyDescent="0.45">
      <c r="A472" s="30">
        <v>2023</v>
      </c>
      <c r="B472" s="30" t="s">
        <v>10</v>
      </c>
      <c r="C472" s="30" t="s">
        <v>46</v>
      </c>
      <c r="D472" s="30" t="s">
        <v>47</v>
      </c>
      <c r="E472" s="31" t="s">
        <v>309</v>
      </c>
      <c r="F472" s="32" t="s">
        <v>81</v>
      </c>
      <c r="G472" s="32" t="s">
        <v>50</v>
      </c>
      <c r="H472" s="33">
        <v>57500</v>
      </c>
      <c r="I472" s="34">
        <f>Table3[[#This Row],[Volume, kg.]]/1000</f>
        <v>57.5</v>
      </c>
      <c r="J472" s="34">
        <v>0.29480000000000001</v>
      </c>
      <c r="K472" s="34">
        <f t="shared" si="14"/>
        <v>16951</v>
      </c>
      <c r="L472" s="34">
        <v>3.63</v>
      </c>
      <c r="M472" s="34">
        <v>208991.5</v>
      </c>
      <c r="N472" s="34">
        <f t="shared" si="15"/>
        <v>12.313432835820896</v>
      </c>
    </row>
    <row r="473" spans="1:14" x14ac:dyDescent="0.45">
      <c r="A473" s="30">
        <v>2023</v>
      </c>
      <c r="B473" s="30" t="s">
        <v>10</v>
      </c>
      <c r="C473" s="30" t="s">
        <v>46</v>
      </c>
      <c r="D473" s="30" t="s">
        <v>47</v>
      </c>
      <c r="E473" s="31" t="s">
        <v>356</v>
      </c>
      <c r="F473" s="32" t="s">
        <v>49</v>
      </c>
      <c r="G473" s="32" t="s">
        <v>50</v>
      </c>
      <c r="H473" s="33">
        <v>8690</v>
      </c>
      <c r="I473" s="34">
        <f>Table3[[#This Row],[Volume, kg.]]/1000</f>
        <v>8.69</v>
      </c>
      <c r="J473" s="34">
        <v>0.28149999999999997</v>
      </c>
      <c r="K473" s="34">
        <f t="shared" si="14"/>
        <v>2446.2349999999997</v>
      </c>
      <c r="L473" s="34">
        <v>3.59</v>
      </c>
      <c r="M473" s="34">
        <v>31202.5</v>
      </c>
      <c r="N473" s="34">
        <f t="shared" si="15"/>
        <v>12.753108348134992</v>
      </c>
    </row>
    <row r="474" spans="1:14" x14ac:dyDescent="0.45">
      <c r="A474" s="30">
        <v>2023</v>
      </c>
      <c r="B474" s="30" t="s">
        <v>10</v>
      </c>
      <c r="C474" s="30" t="s">
        <v>46</v>
      </c>
      <c r="D474" s="30" t="s">
        <v>102</v>
      </c>
      <c r="E474" s="31" t="s">
        <v>357</v>
      </c>
      <c r="F474" s="32" t="s">
        <v>338</v>
      </c>
      <c r="G474" s="32" t="s">
        <v>105</v>
      </c>
      <c r="H474" s="33">
        <v>231450</v>
      </c>
      <c r="I474" s="34">
        <f>Table3[[#This Row],[Volume, kg.]]/1000</f>
        <v>231.45</v>
      </c>
      <c r="J474" s="34">
        <v>0.27789999999999998</v>
      </c>
      <c r="K474" s="34">
        <f t="shared" si="14"/>
        <v>64319.954999999994</v>
      </c>
      <c r="L474" s="34">
        <v>3.78</v>
      </c>
      <c r="M474" s="34">
        <v>874023.5</v>
      </c>
      <c r="N474" s="34">
        <f t="shared" si="15"/>
        <v>13.602015113350125</v>
      </c>
    </row>
    <row r="475" spans="1:14" x14ac:dyDescent="0.45">
      <c r="A475" s="30">
        <v>2023</v>
      </c>
      <c r="B475" s="30" t="s">
        <v>10</v>
      </c>
      <c r="C475" s="30" t="s">
        <v>46</v>
      </c>
      <c r="D475" s="30" t="s">
        <v>47</v>
      </c>
      <c r="E475" s="31" t="s">
        <v>358</v>
      </c>
      <c r="F475" s="32" t="s">
        <v>60</v>
      </c>
      <c r="G475" s="32" t="s">
        <v>50</v>
      </c>
      <c r="H475" s="33">
        <v>9260</v>
      </c>
      <c r="I475" s="34">
        <f>Table3[[#This Row],[Volume, kg.]]/1000</f>
        <v>9.26</v>
      </c>
      <c r="J475" s="34">
        <v>0.28499999999999998</v>
      </c>
      <c r="K475" s="34">
        <f t="shared" si="14"/>
        <v>2639.1</v>
      </c>
      <c r="L475" s="34">
        <v>3.6</v>
      </c>
      <c r="M475" s="34">
        <v>33336</v>
      </c>
      <c r="N475" s="34">
        <f t="shared" si="15"/>
        <v>12.631578947368423</v>
      </c>
    </row>
    <row r="476" spans="1:14" x14ac:dyDescent="0.45">
      <c r="A476" s="30">
        <v>2023</v>
      </c>
      <c r="B476" s="30" t="s">
        <v>10</v>
      </c>
      <c r="C476" s="30" t="s">
        <v>46</v>
      </c>
      <c r="D476" s="30" t="s">
        <v>47</v>
      </c>
      <c r="E476" s="31" t="s">
        <v>203</v>
      </c>
      <c r="F476" s="32" t="s">
        <v>57</v>
      </c>
      <c r="G476" s="32" t="s">
        <v>50</v>
      </c>
      <c r="H476" s="33">
        <v>8380</v>
      </c>
      <c r="I476" s="34">
        <f>Table3[[#This Row],[Volume, kg.]]/1000</f>
        <v>8.3800000000000008</v>
      </c>
      <c r="J476" s="34">
        <v>0.24600000000000002</v>
      </c>
      <c r="K476" s="34">
        <f t="shared" si="14"/>
        <v>2061.48</v>
      </c>
      <c r="L476" s="34">
        <v>3.4</v>
      </c>
      <c r="M476" s="34">
        <v>28483</v>
      </c>
      <c r="N476" s="34">
        <f t="shared" si="15"/>
        <v>13.821138211382111</v>
      </c>
    </row>
    <row r="477" spans="1:14" x14ac:dyDescent="0.45">
      <c r="A477" s="30">
        <v>2023</v>
      </c>
      <c r="B477" s="30" t="s">
        <v>10</v>
      </c>
      <c r="C477" s="30" t="s">
        <v>46</v>
      </c>
      <c r="D477" s="30" t="s">
        <v>47</v>
      </c>
      <c r="E477" s="31" t="s">
        <v>204</v>
      </c>
      <c r="F477" s="32" t="s">
        <v>49</v>
      </c>
      <c r="G477" s="32" t="s">
        <v>50</v>
      </c>
      <c r="H477" s="33">
        <v>13190</v>
      </c>
      <c r="I477" s="34">
        <f>Table3[[#This Row],[Volume, kg.]]/1000</f>
        <v>13.19</v>
      </c>
      <c r="J477" s="34">
        <v>0.28760000000000002</v>
      </c>
      <c r="K477" s="34">
        <f t="shared" si="14"/>
        <v>3793.4440000000004</v>
      </c>
      <c r="L477" s="34">
        <v>3.46</v>
      </c>
      <c r="M477" s="34">
        <v>45616.5</v>
      </c>
      <c r="N477" s="34">
        <f t="shared" si="15"/>
        <v>12.030598052851181</v>
      </c>
    </row>
    <row r="478" spans="1:14" x14ac:dyDescent="0.45">
      <c r="A478" s="30">
        <v>2023</v>
      </c>
      <c r="B478" s="30" t="s">
        <v>10</v>
      </c>
      <c r="C478" s="30" t="s">
        <v>46</v>
      </c>
      <c r="D478" s="30" t="s">
        <v>47</v>
      </c>
      <c r="E478" s="31" t="s">
        <v>359</v>
      </c>
      <c r="F478" s="32" t="s">
        <v>57</v>
      </c>
      <c r="G478" s="32" t="s">
        <v>50</v>
      </c>
      <c r="H478" s="33">
        <v>970</v>
      </c>
      <c r="I478" s="34">
        <f>Table3[[#This Row],[Volume, kg.]]/1000</f>
        <v>0.97</v>
      </c>
      <c r="J478" s="34">
        <v>0.26899999999999996</v>
      </c>
      <c r="K478" s="34">
        <f t="shared" si="14"/>
        <v>260.92999999999995</v>
      </c>
      <c r="L478" s="34">
        <v>3.5</v>
      </c>
      <c r="M478" s="34">
        <v>3395</v>
      </c>
      <c r="N478" s="34">
        <f t="shared" si="15"/>
        <v>13.011152416356879</v>
      </c>
    </row>
    <row r="479" spans="1:14" x14ac:dyDescent="0.45">
      <c r="A479" s="30">
        <v>2023</v>
      </c>
      <c r="B479" s="30" t="s">
        <v>10</v>
      </c>
      <c r="C479" s="30" t="s">
        <v>46</v>
      </c>
      <c r="D479" s="30" t="s">
        <v>47</v>
      </c>
      <c r="E479" s="31" t="s">
        <v>206</v>
      </c>
      <c r="F479" s="32" t="s">
        <v>81</v>
      </c>
      <c r="G479" s="32" t="s">
        <v>50</v>
      </c>
      <c r="H479" s="33">
        <v>86620</v>
      </c>
      <c r="I479" s="34">
        <f>Table3[[#This Row],[Volume, kg.]]/1000</f>
        <v>86.62</v>
      </c>
      <c r="J479" s="34">
        <v>0.28149999999999997</v>
      </c>
      <c r="K479" s="34">
        <f t="shared" si="14"/>
        <v>24383.53</v>
      </c>
      <c r="L479" s="34">
        <v>3.54</v>
      </c>
      <c r="M479" s="34">
        <v>306518.5</v>
      </c>
      <c r="N479" s="34">
        <f t="shared" si="15"/>
        <v>12.575488454706928</v>
      </c>
    </row>
    <row r="480" spans="1:14" x14ac:dyDescent="0.45">
      <c r="A480" s="30">
        <v>2023</v>
      </c>
      <c r="B480" s="30" t="s">
        <v>10</v>
      </c>
      <c r="C480" s="30" t="s">
        <v>46</v>
      </c>
      <c r="D480" s="30" t="s">
        <v>47</v>
      </c>
      <c r="E480" s="31" t="s">
        <v>360</v>
      </c>
      <c r="F480" s="32" t="s">
        <v>49</v>
      </c>
      <c r="G480" s="32" t="s">
        <v>50</v>
      </c>
      <c r="H480" s="33">
        <v>5080</v>
      </c>
      <c r="I480" s="34">
        <f>Table3[[#This Row],[Volume, kg.]]/1000</f>
        <v>5.08</v>
      </c>
      <c r="J480" s="34">
        <v>0.26450000000000001</v>
      </c>
      <c r="K480" s="34">
        <f t="shared" si="14"/>
        <v>1343.66</v>
      </c>
      <c r="L480" s="34">
        <v>3.55</v>
      </c>
      <c r="M480" s="34">
        <v>18034</v>
      </c>
      <c r="N480" s="34">
        <f t="shared" si="15"/>
        <v>13.421550094517958</v>
      </c>
    </row>
    <row r="481" spans="1:14" x14ac:dyDescent="0.45">
      <c r="A481" s="30">
        <v>2023</v>
      </c>
      <c r="B481" s="30" t="s">
        <v>10</v>
      </c>
      <c r="C481" s="30" t="s">
        <v>46</v>
      </c>
      <c r="D481" s="30" t="s">
        <v>47</v>
      </c>
      <c r="E481" s="31" t="s">
        <v>312</v>
      </c>
      <c r="F481" s="32" t="s">
        <v>60</v>
      </c>
      <c r="G481" s="32" t="s">
        <v>50</v>
      </c>
      <c r="H481" s="33">
        <v>13940</v>
      </c>
      <c r="I481" s="34">
        <f>Table3[[#This Row],[Volume, kg.]]/1000</f>
        <v>13.94</v>
      </c>
      <c r="J481" s="34">
        <v>0.26090000000000002</v>
      </c>
      <c r="K481" s="34">
        <f t="shared" si="14"/>
        <v>3636.9460000000004</v>
      </c>
      <c r="L481" s="34">
        <v>3.49</v>
      </c>
      <c r="M481" s="34">
        <v>48691</v>
      </c>
      <c r="N481" s="34">
        <f t="shared" si="15"/>
        <v>13.376772709850517</v>
      </c>
    </row>
    <row r="482" spans="1:14" x14ac:dyDescent="0.45">
      <c r="A482" s="30">
        <v>2023</v>
      </c>
      <c r="B482" s="30" t="s">
        <v>10</v>
      </c>
      <c r="C482" s="30" t="s">
        <v>46</v>
      </c>
      <c r="D482" s="30" t="s">
        <v>47</v>
      </c>
      <c r="E482" s="31" t="s">
        <v>361</v>
      </c>
      <c r="F482" s="32" t="s">
        <v>57</v>
      </c>
      <c r="G482" s="32" t="s">
        <v>50</v>
      </c>
      <c r="H482" s="33">
        <v>8930</v>
      </c>
      <c r="I482" s="34">
        <f>Table3[[#This Row],[Volume, kg.]]/1000</f>
        <v>8.93</v>
      </c>
      <c r="J482" s="34">
        <v>0.3049</v>
      </c>
      <c r="K482" s="34">
        <f t="shared" si="14"/>
        <v>2722.7570000000001</v>
      </c>
      <c r="L482" s="34">
        <v>3.66</v>
      </c>
      <c r="M482" s="34">
        <v>32701</v>
      </c>
      <c r="N482" s="34">
        <f t="shared" si="15"/>
        <v>12.003935716628403</v>
      </c>
    </row>
    <row r="483" spans="1:14" x14ac:dyDescent="0.45">
      <c r="A483" s="30">
        <v>2023</v>
      </c>
      <c r="B483" s="30" t="s">
        <v>10</v>
      </c>
      <c r="C483" s="30" t="s">
        <v>46</v>
      </c>
      <c r="D483" s="30" t="s">
        <v>47</v>
      </c>
      <c r="E483" s="31" t="s">
        <v>210</v>
      </c>
      <c r="F483" s="32" t="s">
        <v>60</v>
      </c>
      <c r="G483" s="32" t="s">
        <v>50</v>
      </c>
      <c r="H483" s="33">
        <v>35330</v>
      </c>
      <c r="I483" s="34">
        <f>Table3[[#This Row],[Volume, kg.]]/1000</f>
        <v>35.33</v>
      </c>
      <c r="J483" s="34">
        <v>0.29530000000000001</v>
      </c>
      <c r="K483" s="34">
        <f t="shared" si="14"/>
        <v>10432.949000000001</v>
      </c>
      <c r="L483" s="34">
        <v>3.57</v>
      </c>
      <c r="M483" s="34">
        <v>126094.5</v>
      </c>
      <c r="N483" s="34">
        <f t="shared" si="15"/>
        <v>12.08940060954961</v>
      </c>
    </row>
    <row r="484" spans="1:14" x14ac:dyDescent="0.45">
      <c r="A484" s="30">
        <v>2023</v>
      </c>
      <c r="B484" s="30" t="s">
        <v>10</v>
      </c>
      <c r="C484" s="30" t="s">
        <v>46</v>
      </c>
      <c r="D484" s="30" t="s">
        <v>47</v>
      </c>
      <c r="E484" s="31" t="s">
        <v>362</v>
      </c>
      <c r="F484" s="32" t="s">
        <v>49</v>
      </c>
      <c r="G484" s="32" t="s">
        <v>50</v>
      </c>
      <c r="H484" s="33">
        <v>5490</v>
      </c>
      <c r="I484" s="34">
        <f>Table3[[#This Row],[Volume, kg.]]/1000</f>
        <v>5.49</v>
      </c>
      <c r="J484" s="34">
        <v>0.24600000000000002</v>
      </c>
      <c r="K484" s="34">
        <f t="shared" si="14"/>
        <v>1350.5400000000002</v>
      </c>
      <c r="L484" s="34">
        <v>3.4</v>
      </c>
      <c r="M484" s="34">
        <v>18666</v>
      </c>
      <c r="N484" s="34">
        <f t="shared" si="15"/>
        <v>13.821138211382111</v>
      </c>
    </row>
    <row r="485" spans="1:14" x14ac:dyDescent="0.45">
      <c r="A485" s="30">
        <v>2023</v>
      </c>
      <c r="B485" s="30" t="s">
        <v>10</v>
      </c>
      <c r="C485" s="30" t="s">
        <v>46</v>
      </c>
      <c r="D485" s="30" t="s">
        <v>47</v>
      </c>
      <c r="E485" s="31" t="s">
        <v>313</v>
      </c>
      <c r="F485" s="32" t="s">
        <v>60</v>
      </c>
      <c r="G485" s="32" t="s">
        <v>50</v>
      </c>
      <c r="H485" s="33">
        <v>86900</v>
      </c>
      <c r="I485" s="34">
        <f>Table3[[#This Row],[Volume, kg.]]/1000</f>
        <v>86.9</v>
      </c>
      <c r="J485" s="34">
        <v>0.26929999999999998</v>
      </c>
      <c r="K485" s="34">
        <f t="shared" si="14"/>
        <v>23402.17</v>
      </c>
      <c r="L485" s="34">
        <v>3.53</v>
      </c>
      <c r="M485" s="34">
        <v>306920.5</v>
      </c>
      <c r="N485" s="34">
        <f t="shared" si="15"/>
        <v>13.108057927961381</v>
      </c>
    </row>
    <row r="486" spans="1:14" x14ac:dyDescent="0.45">
      <c r="A486" s="30">
        <v>2023</v>
      </c>
      <c r="B486" s="30" t="s">
        <v>10</v>
      </c>
      <c r="C486" s="30" t="s">
        <v>46</v>
      </c>
      <c r="D486" s="30" t="s">
        <v>47</v>
      </c>
      <c r="E486" s="31" t="s">
        <v>363</v>
      </c>
      <c r="F486" s="32" t="s">
        <v>60</v>
      </c>
      <c r="G486" s="32" t="s">
        <v>50</v>
      </c>
      <c r="H486" s="33">
        <v>25740</v>
      </c>
      <c r="I486" s="34">
        <f>Table3[[#This Row],[Volume, kg.]]/1000</f>
        <v>25.74</v>
      </c>
      <c r="J486" s="34">
        <v>0.27690000000000003</v>
      </c>
      <c r="K486" s="34">
        <f t="shared" si="14"/>
        <v>7127.4060000000009</v>
      </c>
      <c r="L486" s="34">
        <v>3.6</v>
      </c>
      <c r="M486" s="34">
        <v>92598</v>
      </c>
      <c r="N486" s="34">
        <f t="shared" si="15"/>
        <v>13.001083423618633</v>
      </c>
    </row>
    <row r="487" spans="1:14" x14ac:dyDescent="0.45">
      <c r="A487" s="30">
        <v>2023</v>
      </c>
      <c r="B487" s="30" t="s">
        <v>10</v>
      </c>
      <c r="C487" s="30" t="s">
        <v>46</v>
      </c>
      <c r="D487" s="30" t="s">
        <v>47</v>
      </c>
      <c r="E487" s="31" t="s">
        <v>217</v>
      </c>
      <c r="F487" s="32" t="s">
        <v>49</v>
      </c>
      <c r="G487" s="32" t="s">
        <v>50</v>
      </c>
      <c r="H487" s="33">
        <v>41300</v>
      </c>
      <c r="I487" s="34">
        <f>Table3[[#This Row],[Volume, kg.]]/1000</f>
        <v>41.3</v>
      </c>
      <c r="J487" s="34">
        <v>0.3024</v>
      </c>
      <c r="K487" s="34">
        <f t="shared" si="14"/>
        <v>12489.12</v>
      </c>
      <c r="L487" s="34">
        <v>3.64</v>
      </c>
      <c r="M487" s="34">
        <v>150455</v>
      </c>
      <c r="N487" s="34">
        <f t="shared" si="15"/>
        <v>12.037037037037038</v>
      </c>
    </row>
    <row r="488" spans="1:14" x14ac:dyDescent="0.45">
      <c r="A488" s="30">
        <v>2023</v>
      </c>
      <c r="B488" s="30" t="s">
        <v>10</v>
      </c>
      <c r="C488" s="30" t="s">
        <v>46</v>
      </c>
      <c r="D488" s="30" t="s">
        <v>47</v>
      </c>
      <c r="E488" s="31" t="s">
        <v>314</v>
      </c>
      <c r="F488" s="32" t="s">
        <v>57</v>
      </c>
      <c r="G488" s="32" t="s">
        <v>50</v>
      </c>
      <c r="H488" s="33">
        <v>64260</v>
      </c>
      <c r="I488" s="34">
        <f>Table3[[#This Row],[Volume, kg.]]/1000</f>
        <v>64.260000000000005</v>
      </c>
      <c r="J488" s="34">
        <v>0.25459999999999999</v>
      </c>
      <c r="K488" s="34">
        <f t="shared" si="14"/>
        <v>16360.596</v>
      </c>
      <c r="L488" s="34">
        <v>3.45</v>
      </c>
      <c r="M488" s="34">
        <v>221908</v>
      </c>
      <c r="N488" s="34">
        <f t="shared" si="15"/>
        <v>13.550667714061273</v>
      </c>
    </row>
    <row r="489" spans="1:14" x14ac:dyDescent="0.45">
      <c r="A489" s="30">
        <v>2023</v>
      </c>
      <c r="B489" s="30" t="s">
        <v>10</v>
      </c>
      <c r="C489" s="30" t="s">
        <v>46</v>
      </c>
      <c r="D489" s="30" t="s">
        <v>47</v>
      </c>
      <c r="E489" s="31" t="s">
        <v>219</v>
      </c>
      <c r="F489" s="32" t="s">
        <v>57</v>
      </c>
      <c r="G489" s="32" t="s">
        <v>50</v>
      </c>
      <c r="H489" s="33">
        <v>530</v>
      </c>
      <c r="I489" s="34">
        <f>Table3[[#This Row],[Volume, kg.]]/1000</f>
        <v>0.53</v>
      </c>
      <c r="J489" s="34">
        <v>0.29499999999999998</v>
      </c>
      <c r="K489" s="34">
        <f t="shared" si="14"/>
        <v>156.35</v>
      </c>
      <c r="L489" s="34">
        <v>3.65</v>
      </c>
      <c r="M489" s="34">
        <v>1934.5</v>
      </c>
      <c r="N489" s="34">
        <f t="shared" si="15"/>
        <v>12.372881355932204</v>
      </c>
    </row>
    <row r="490" spans="1:14" x14ac:dyDescent="0.45">
      <c r="A490" s="30">
        <v>2023</v>
      </c>
      <c r="B490" s="30" t="s">
        <v>10</v>
      </c>
      <c r="C490" s="30" t="s">
        <v>46</v>
      </c>
      <c r="D490" s="30" t="s">
        <v>47</v>
      </c>
      <c r="E490" s="31" t="s">
        <v>220</v>
      </c>
      <c r="F490" s="32" t="s">
        <v>49</v>
      </c>
      <c r="G490" s="32" t="s">
        <v>50</v>
      </c>
      <c r="H490" s="33">
        <v>23780</v>
      </c>
      <c r="I490" s="34">
        <f>Table3[[#This Row],[Volume, kg.]]/1000</f>
        <v>23.78</v>
      </c>
      <c r="J490" s="34">
        <v>0.27100000000000002</v>
      </c>
      <c r="K490" s="34">
        <f t="shared" si="14"/>
        <v>6444.38</v>
      </c>
      <c r="L490" s="34">
        <v>3.48</v>
      </c>
      <c r="M490" s="34">
        <v>82665.5</v>
      </c>
      <c r="N490" s="34">
        <f t="shared" si="15"/>
        <v>12.841328413284131</v>
      </c>
    </row>
    <row r="491" spans="1:14" x14ac:dyDescent="0.45">
      <c r="A491" s="30">
        <v>2023</v>
      </c>
      <c r="B491" s="30" t="s">
        <v>10</v>
      </c>
      <c r="C491" s="30" t="s">
        <v>46</v>
      </c>
      <c r="D491" s="30" t="s">
        <v>102</v>
      </c>
      <c r="E491" s="31" t="s">
        <v>222</v>
      </c>
      <c r="F491" s="32" t="s">
        <v>223</v>
      </c>
      <c r="G491" s="32" t="s">
        <v>50</v>
      </c>
      <c r="H491" s="33">
        <v>1316470</v>
      </c>
      <c r="I491" s="34">
        <f>Table3[[#This Row],[Volume, kg.]]/1000</f>
        <v>1316.47</v>
      </c>
      <c r="J491" s="34">
        <v>0.2833</v>
      </c>
      <c r="K491" s="34">
        <f t="shared" si="14"/>
        <v>372955.951</v>
      </c>
      <c r="L491" s="34">
        <v>3.81</v>
      </c>
      <c r="M491" s="34">
        <v>5012452</v>
      </c>
      <c r="N491" s="34">
        <f t="shared" si="15"/>
        <v>13.448641016590187</v>
      </c>
    </row>
    <row r="492" spans="1:14" x14ac:dyDescent="0.45">
      <c r="A492" s="30">
        <v>2023</v>
      </c>
      <c r="B492" s="30" t="s">
        <v>10</v>
      </c>
      <c r="C492" s="30" t="s">
        <v>46</v>
      </c>
      <c r="D492" s="30" t="s">
        <v>102</v>
      </c>
      <c r="E492" s="31" t="s">
        <v>364</v>
      </c>
      <c r="F492" s="32" t="s">
        <v>223</v>
      </c>
      <c r="G492" s="32" t="s">
        <v>50</v>
      </c>
      <c r="H492" s="33">
        <v>669550</v>
      </c>
      <c r="I492" s="34">
        <f>Table3[[#This Row],[Volume, kg.]]/1000</f>
        <v>669.55</v>
      </c>
      <c r="J492" s="34">
        <v>0.2646</v>
      </c>
      <c r="K492" s="34">
        <f t="shared" si="14"/>
        <v>177162.93</v>
      </c>
      <c r="L492" s="34">
        <v>3.88</v>
      </c>
      <c r="M492" s="34">
        <v>2595233</v>
      </c>
      <c r="N492" s="34">
        <f t="shared" si="15"/>
        <v>14.663643235071806</v>
      </c>
    </row>
    <row r="493" spans="1:14" x14ac:dyDescent="0.45">
      <c r="A493" s="30">
        <v>2023</v>
      </c>
      <c r="B493" s="30" t="s">
        <v>10</v>
      </c>
      <c r="C493" s="30" t="s">
        <v>46</v>
      </c>
      <c r="D493" s="30" t="s">
        <v>47</v>
      </c>
      <c r="E493" s="31" t="s">
        <v>225</v>
      </c>
      <c r="F493" s="32" t="s">
        <v>64</v>
      </c>
      <c r="G493" s="32" t="s">
        <v>50</v>
      </c>
      <c r="H493" s="33">
        <v>12930</v>
      </c>
      <c r="I493" s="34">
        <f>Table3[[#This Row],[Volume, kg.]]/1000</f>
        <v>12.93</v>
      </c>
      <c r="J493" s="34">
        <v>0.23699999999999999</v>
      </c>
      <c r="K493" s="34">
        <f t="shared" si="14"/>
        <v>3064.41</v>
      </c>
      <c r="L493" s="34">
        <v>3.35</v>
      </c>
      <c r="M493" s="34">
        <v>43315.5</v>
      </c>
      <c r="N493" s="34">
        <f t="shared" si="15"/>
        <v>14.135021097046415</v>
      </c>
    </row>
    <row r="494" spans="1:14" x14ac:dyDescent="0.45">
      <c r="A494" s="30">
        <v>2023</v>
      </c>
      <c r="B494" s="30" t="s">
        <v>10</v>
      </c>
      <c r="C494" s="30" t="s">
        <v>46</v>
      </c>
      <c r="D494" s="30" t="s">
        <v>47</v>
      </c>
      <c r="E494" s="31" t="s">
        <v>365</v>
      </c>
      <c r="F494" s="32" t="s">
        <v>49</v>
      </c>
      <c r="G494" s="32" t="s">
        <v>50</v>
      </c>
      <c r="H494" s="33">
        <v>119910</v>
      </c>
      <c r="I494" s="34">
        <f>Table3[[#This Row],[Volume, kg.]]/1000</f>
        <v>119.91</v>
      </c>
      <c r="J494" s="34">
        <v>0.30769999999999997</v>
      </c>
      <c r="K494" s="34">
        <f t="shared" si="14"/>
        <v>36896.306999999993</v>
      </c>
      <c r="L494" s="34">
        <v>3.74</v>
      </c>
      <c r="M494" s="34">
        <v>449009.5</v>
      </c>
      <c r="N494" s="34">
        <f t="shared" si="15"/>
        <v>12.154696132596687</v>
      </c>
    </row>
    <row r="495" spans="1:14" x14ac:dyDescent="0.45">
      <c r="A495" s="30">
        <v>2023</v>
      </c>
      <c r="B495" s="30" t="s">
        <v>10</v>
      </c>
      <c r="C495" s="30" t="s">
        <v>46</v>
      </c>
      <c r="D495" s="30" t="s">
        <v>47</v>
      </c>
      <c r="E495" s="31" t="s">
        <v>226</v>
      </c>
      <c r="F495" s="32" t="s">
        <v>60</v>
      </c>
      <c r="G495" s="32" t="s">
        <v>50</v>
      </c>
      <c r="H495" s="33">
        <v>7740</v>
      </c>
      <c r="I495" s="34">
        <f>Table3[[#This Row],[Volume, kg.]]/1000</f>
        <v>7.74</v>
      </c>
      <c r="J495" s="34">
        <v>0.27050000000000002</v>
      </c>
      <c r="K495" s="34">
        <f t="shared" si="14"/>
        <v>2093.67</v>
      </c>
      <c r="L495" s="34">
        <v>3.6</v>
      </c>
      <c r="M495" s="34">
        <v>27864</v>
      </c>
      <c r="N495" s="34">
        <f t="shared" si="15"/>
        <v>13.308687615526802</v>
      </c>
    </row>
    <row r="496" spans="1:14" x14ac:dyDescent="0.45">
      <c r="A496" s="30">
        <v>2023</v>
      </c>
      <c r="B496" s="30" t="s">
        <v>10</v>
      </c>
      <c r="C496" s="30" t="s">
        <v>46</v>
      </c>
      <c r="D496" s="30" t="s">
        <v>102</v>
      </c>
      <c r="E496" s="31" t="s">
        <v>366</v>
      </c>
      <c r="F496" s="32" t="s">
        <v>367</v>
      </c>
      <c r="G496" s="32" t="s">
        <v>368</v>
      </c>
      <c r="H496" s="33">
        <v>394130</v>
      </c>
      <c r="I496" s="34">
        <f>Table3[[#This Row],[Volume, kg.]]/1000</f>
        <v>394.13</v>
      </c>
      <c r="J496" s="34">
        <v>0.25480000000000003</v>
      </c>
      <c r="K496" s="34">
        <f t="shared" si="14"/>
        <v>100424.32400000001</v>
      </c>
      <c r="L496" s="34">
        <v>3.73</v>
      </c>
      <c r="M496" s="34">
        <v>1468287</v>
      </c>
      <c r="N496" s="34">
        <f t="shared" si="15"/>
        <v>14.638932496075352</v>
      </c>
    </row>
    <row r="497" spans="1:14" x14ac:dyDescent="0.45">
      <c r="A497" s="30">
        <v>2023</v>
      </c>
      <c r="B497" s="30" t="s">
        <v>10</v>
      </c>
      <c r="C497" s="30" t="s">
        <v>46</v>
      </c>
      <c r="D497" s="30" t="s">
        <v>47</v>
      </c>
      <c r="E497" s="31" t="s">
        <v>227</v>
      </c>
      <c r="F497" s="32" t="s">
        <v>57</v>
      </c>
      <c r="G497" s="32" t="s">
        <v>50</v>
      </c>
      <c r="H497" s="33">
        <v>12840</v>
      </c>
      <c r="I497" s="34">
        <f>Table3[[#This Row],[Volume, kg.]]/1000</f>
        <v>12.84</v>
      </c>
      <c r="J497" s="34">
        <v>0.2928</v>
      </c>
      <c r="K497" s="34">
        <f t="shared" si="14"/>
        <v>3759.5520000000001</v>
      </c>
      <c r="L497" s="34">
        <v>3.72</v>
      </c>
      <c r="M497" s="34">
        <v>47826.5</v>
      </c>
      <c r="N497" s="34">
        <f t="shared" si="15"/>
        <v>12.704918032786885</v>
      </c>
    </row>
    <row r="498" spans="1:14" x14ac:dyDescent="0.45">
      <c r="A498" s="30">
        <v>2023</v>
      </c>
      <c r="B498" s="30" t="s">
        <v>10</v>
      </c>
      <c r="C498" s="30" t="s">
        <v>46</v>
      </c>
      <c r="D498" s="30" t="s">
        <v>47</v>
      </c>
      <c r="E498" s="31" t="s">
        <v>369</v>
      </c>
      <c r="F498" s="32" t="s">
        <v>57</v>
      </c>
      <c r="G498" s="32" t="s">
        <v>50</v>
      </c>
      <c r="H498" s="33">
        <v>14930</v>
      </c>
      <c r="I498" s="34">
        <f>Table3[[#This Row],[Volume, kg.]]/1000</f>
        <v>14.93</v>
      </c>
      <c r="J498" s="34">
        <v>0.27300000000000002</v>
      </c>
      <c r="K498" s="34">
        <f t="shared" si="14"/>
        <v>4075.8900000000003</v>
      </c>
      <c r="L498" s="34">
        <v>3.5</v>
      </c>
      <c r="M498" s="34">
        <v>52320.5</v>
      </c>
      <c r="N498" s="34">
        <f t="shared" si="15"/>
        <v>12.820512820512819</v>
      </c>
    </row>
    <row r="499" spans="1:14" x14ac:dyDescent="0.45">
      <c r="A499" s="30">
        <v>2023</v>
      </c>
      <c r="B499" s="30" t="s">
        <v>10</v>
      </c>
      <c r="C499" s="30" t="s">
        <v>46</v>
      </c>
      <c r="D499" s="30" t="s">
        <v>47</v>
      </c>
      <c r="E499" s="31" t="s">
        <v>370</v>
      </c>
      <c r="F499" s="32" t="s">
        <v>223</v>
      </c>
      <c r="G499" s="32" t="s">
        <v>50</v>
      </c>
      <c r="H499" s="33">
        <v>33660</v>
      </c>
      <c r="I499" s="34">
        <f>Table3[[#This Row],[Volume, kg.]]/1000</f>
        <v>33.659999999999997</v>
      </c>
      <c r="J499" s="34">
        <v>0.26769999999999999</v>
      </c>
      <c r="K499" s="34">
        <f t="shared" si="14"/>
        <v>9010.7819999999992</v>
      </c>
      <c r="L499" s="34">
        <v>3.5</v>
      </c>
      <c r="M499" s="34">
        <v>117835.5</v>
      </c>
      <c r="N499" s="34">
        <f t="shared" si="15"/>
        <v>13.074336944340681</v>
      </c>
    </row>
    <row r="500" spans="1:14" x14ac:dyDescent="0.45">
      <c r="A500" s="30">
        <v>2023</v>
      </c>
      <c r="B500" s="30" t="s">
        <v>10</v>
      </c>
      <c r="C500" s="30" t="s">
        <v>46</v>
      </c>
      <c r="D500" s="30" t="s">
        <v>47</v>
      </c>
      <c r="E500" s="31" t="s">
        <v>371</v>
      </c>
      <c r="F500" s="32" t="s">
        <v>64</v>
      </c>
      <c r="G500" s="32" t="s">
        <v>50</v>
      </c>
      <c r="H500" s="33">
        <v>107950</v>
      </c>
      <c r="I500" s="34">
        <f>Table3[[#This Row],[Volume, kg.]]/1000</f>
        <v>107.95</v>
      </c>
      <c r="J500" s="34">
        <v>0.30109999999999998</v>
      </c>
      <c r="K500" s="34">
        <f t="shared" si="14"/>
        <v>32503.744999999999</v>
      </c>
      <c r="L500" s="34">
        <v>3.67</v>
      </c>
      <c r="M500" s="34">
        <v>396055.5</v>
      </c>
      <c r="N500" s="34">
        <f t="shared" si="15"/>
        <v>12.188641647293259</v>
      </c>
    </row>
    <row r="501" spans="1:14" x14ac:dyDescent="0.45">
      <c r="A501" s="30">
        <v>2023</v>
      </c>
      <c r="B501" s="30" t="s">
        <v>10</v>
      </c>
      <c r="C501" s="30" t="s">
        <v>46</v>
      </c>
      <c r="D501" s="30" t="s">
        <v>47</v>
      </c>
      <c r="E501" s="31" t="s">
        <v>232</v>
      </c>
      <c r="F501" s="32" t="s">
        <v>49</v>
      </c>
      <c r="G501" s="32" t="s">
        <v>50</v>
      </c>
      <c r="H501" s="33">
        <v>8250</v>
      </c>
      <c r="I501" s="34">
        <f>Table3[[#This Row],[Volume, kg.]]/1000</f>
        <v>8.25</v>
      </c>
      <c r="J501" s="34">
        <v>0.26200000000000001</v>
      </c>
      <c r="K501" s="34">
        <f t="shared" si="14"/>
        <v>2161.5</v>
      </c>
      <c r="L501" s="34">
        <v>3.45</v>
      </c>
      <c r="M501" s="34">
        <v>28462.5</v>
      </c>
      <c r="N501" s="34">
        <f t="shared" si="15"/>
        <v>13.16793893129771</v>
      </c>
    </row>
    <row r="502" spans="1:14" x14ac:dyDescent="0.45">
      <c r="A502" s="30">
        <v>2023</v>
      </c>
      <c r="B502" s="30" t="s">
        <v>10</v>
      </c>
      <c r="C502" s="30" t="s">
        <v>46</v>
      </c>
      <c r="D502" s="30" t="s">
        <v>47</v>
      </c>
      <c r="E502" s="31" t="s">
        <v>372</v>
      </c>
      <c r="F502" s="32" t="s">
        <v>49</v>
      </c>
      <c r="G502" s="32" t="s">
        <v>50</v>
      </c>
      <c r="H502" s="33">
        <v>14010</v>
      </c>
      <c r="I502" s="34">
        <f>Table3[[#This Row],[Volume, kg.]]/1000</f>
        <v>14.01</v>
      </c>
      <c r="J502" s="34">
        <v>0.2838</v>
      </c>
      <c r="K502" s="34">
        <f t="shared" si="14"/>
        <v>3976.038</v>
      </c>
      <c r="L502" s="34">
        <v>3.58</v>
      </c>
      <c r="M502" s="34">
        <v>50102</v>
      </c>
      <c r="N502" s="34">
        <f t="shared" si="15"/>
        <v>12.614517265680057</v>
      </c>
    </row>
    <row r="503" spans="1:14" x14ac:dyDescent="0.45">
      <c r="A503" s="30">
        <v>2023</v>
      </c>
      <c r="B503" s="30" t="s">
        <v>10</v>
      </c>
      <c r="C503" s="30" t="s">
        <v>46</v>
      </c>
      <c r="D503" s="30" t="s">
        <v>47</v>
      </c>
      <c r="E503" s="31" t="s">
        <v>318</v>
      </c>
      <c r="F503" s="32" t="s">
        <v>60</v>
      </c>
      <c r="G503" s="32" t="s">
        <v>50</v>
      </c>
      <c r="H503" s="33">
        <v>61100</v>
      </c>
      <c r="I503" s="34">
        <f>Table3[[#This Row],[Volume, kg.]]/1000</f>
        <v>61.1</v>
      </c>
      <c r="J503" s="34">
        <v>0.31440000000000001</v>
      </c>
      <c r="K503" s="34">
        <f t="shared" si="14"/>
        <v>19209.84</v>
      </c>
      <c r="L503" s="34">
        <v>3.72</v>
      </c>
      <c r="M503" s="34">
        <v>227436.5</v>
      </c>
      <c r="N503" s="34">
        <f t="shared" si="15"/>
        <v>11.83206106870229</v>
      </c>
    </row>
    <row r="504" spans="1:14" x14ac:dyDescent="0.45">
      <c r="A504" s="30">
        <v>2023</v>
      </c>
      <c r="B504" s="30" t="s">
        <v>10</v>
      </c>
      <c r="C504" s="30" t="s">
        <v>46</v>
      </c>
      <c r="D504" s="30" t="s">
        <v>47</v>
      </c>
      <c r="E504" s="31" t="s">
        <v>234</v>
      </c>
      <c r="F504" s="32" t="s">
        <v>49</v>
      </c>
      <c r="G504" s="32" t="s">
        <v>50</v>
      </c>
      <c r="H504" s="33">
        <v>19390</v>
      </c>
      <c r="I504" s="34">
        <f>Table3[[#This Row],[Volume, kg.]]/1000</f>
        <v>19.39</v>
      </c>
      <c r="J504" s="34">
        <v>0.29049999999999998</v>
      </c>
      <c r="K504" s="34">
        <f t="shared" si="14"/>
        <v>5632.7950000000001</v>
      </c>
      <c r="L504" s="34">
        <v>3.62</v>
      </c>
      <c r="M504" s="34">
        <v>70103.5</v>
      </c>
      <c r="N504" s="34">
        <f t="shared" si="15"/>
        <v>12.461273666092945</v>
      </c>
    </row>
    <row r="505" spans="1:14" x14ac:dyDescent="0.45">
      <c r="A505" s="30">
        <v>2023</v>
      </c>
      <c r="B505" s="30" t="s">
        <v>10</v>
      </c>
      <c r="C505" s="30" t="s">
        <v>46</v>
      </c>
      <c r="D505" s="30" t="s">
        <v>47</v>
      </c>
      <c r="E505" s="31" t="s">
        <v>236</v>
      </c>
      <c r="F505" s="32" t="s">
        <v>49</v>
      </c>
      <c r="G505" s="32" t="s">
        <v>50</v>
      </c>
      <c r="H505" s="33">
        <v>2090</v>
      </c>
      <c r="I505" s="34">
        <f>Table3[[#This Row],[Volume, kg.]]/1000</f>
        <v>2.09</v>
      </c>
      <c r="J505" s="34">
        <v>0.28199999999999997</v>
      </c>
      <c r="K505" s="34">
        <f t="shared" si="14"/>
        <v>589.38</v>
      </c>
      <c r="L505" s="34">
        <v>3.55</v>
      </c>
      <c r="M505" s="34">
        <v>7419.5</v>
      </c>
      <c r="N505" s="34">
        <f t="shared" si="15"/>
        <v>12.588652482269504</v>
      </c>
    </row>
    <row r="506" spans="1:14" x14ac:dyDescent="0.45">
      <c r="A506" s="30">
        <v>2023</v>
      </c>
      <c r="B506" s="30" t="s">
        <v>10</v>
      </c>
      <c r="C506" s="30" t="s">
        <v>46</v>
      </c>
      <c r="D506" s="30" t="s">
        <v>47</v>
      </c>
      <c r="E506" s="31" t="s">
        <v>373</v>
      </c>
      <c r="F506" s="32" t="s">
        <v>49</v>
      </c>
      <c r="G506" s="32" t="s">
        <v>50</v>
      </c>
      <c r="H506" s="33">
        <v>12450</v>
      </c>
      <c r="I506" s="34">
        <f>Table3[[#This Row],[Volume, kg.]]/1000</f>
        <v>12.45</v>
      </c>
      <c r="J506" s="34">
        <v>0.27500000000000002</v>
      </c>
      <c r="K506" s="34">
        <f t="shared" si="14"/>
        <v>3423.7500000000005</v>
      </c>
      <c r="L506" s="34">
        <v>3.6</v>
      </c>
      <c r="M506" s="34">
        <v>44820</v>
      </c>
      <c r="N506" s="34">
        <f t="shared" si="15"/>
        <v>13.09090909090909</v>
      </c>
    </row>
    <row r="507" spans="1:14" x14ac:dyDescent="0.45">
      <c r="A507" s="30">
        <v>2023</v>
      </c>
      <c r="B507" s="30" t="s">
        <v>10</v>
      </c>
      <c r="C507" s="30" t="s">
        <v>46</v>
      </c>
      <c r="D507" s="30" t="s">
        <v>47</v>
      </c>
      <c r="E507" s="31" t="s">
        <v>320</v>
      </c>
      <c r="F507" s="32" t="s">
        <v>49</v>
      </c>
      <c r="G507" s="32" t="s">
        <v>50</v>
      </c>
      <c r="H507" s="33">
        <v>6290</v>
      </c>
      <c r="I507" s="34">
        <f>Table3[[#This Row],[Volume, kg.]]/1000</f>
        <v>6.29</v>
      </c>
      <c r="J507" s="34">
        <v>0.27449999999999997</v>
      </c>
      <c r="K507" s="34">
        <f t="shared" si="14"/>
        <v>1726.6049999999998</v>
      </c>
      <c r="L507" s="34">
        <v>3.35</v>
      </c>
      <c r="M507" s="34">
        <v>21071.5</v>
      </c>
      <c r="N507" s="34">
        <f t="shared" si="15"/>
        <v>12.204007285974502</v>
      </c>
    </row>
    <row r="508" spans="1:14" x14ac:dyDescent="0.45">
      <c r="A508" s="30">
        <v>2023</v>
      </c>
      <c r="B508" s="30" t="s">
        <v>10</v>
      </c>
      <c r="C508" s="30" t="s">
        <v>46</v>
      </c>
      <c r="D508" s="30" t="s">
        <v>47</v>
      </c>
      <c r="E508" s="31" t="s">
        <v>241</v>
      </c>
      <c r="F508" s="32" t="s">
        <v>57</v>
      </c>
      <c r="G508" s="32" t="s">
        <v>50</v>
      </c>
      <c r="H508" s="33">
        <v>40770</v>
      </c>
      <c r="I508" s="34">
        <f>Table3[[#This Row],[Volume, kg.]]/1000</f>
        <v>40.770000000000003</v>
      </c>
      <c r="J508" s="34">
        <v>0.27639999999999998</v>
      </c>
      <c r="K508" s="34">
        <f t="shared" si="14"/>
        <v>11268.828</v>
      </c>
      <c r="L508" s="34">
        <v>3.49</v>
      </c>
      <c r="M508" s="34">
        <v>142352.5</v>
      </c>
      <c r="N508" s="34">
        <f t="shared" si="15"/>
        <v>12.626628075253258</v>
      </c>
    </row>
    <row r="509" spans="1:14" x14ac:dyDescent="0.45">
      <c r="A509" s="30">
        <v>2023</v>
      </c>
      <c r="B509" s="30" t="s">
        <v>10</v>
      </c>
      <c r="C509" s="30" t="s">
        <v>46</v>
      </c>
      <c r="D509" s="30" t="s">
        <v>47</v>
      </c>
      <c r="E509" s="31" t="s">
        <v>321</v>
      </c>
      <c r="F509" s="32" t="s">
        <v>49</v>
      </c>
      <c r="G509" s="32" t="s">
        <v>50</v>
      </c>
      <c r="H509" s="33">
        <v>4540</v>
      </c>
      <c r="I509" s="34">
        <f>Table3[[#This Row],[Volume, kg.]]/1000</f>
        <v>4.54</v>
      </c>
      <c r="J509" s="34">
        <v>0.29600000000000004</v>
      </c>
      <c r="K509" s="34">
        <f t="shared" si="14"/>
        <v>1343.8400000000001</v>
      </c>
      <c r="L509" s="34">
        <v>3.65</v>
      </c>
      <c r="M509" s="34">
        <v>16571</v>
      </c>
      <c r="N509" s="34">
        <f t="shared" si="15"/>
        <v>12.331081081081079</v>
      </c>
    </row>
    <row r="510" spans="1:14" x14ac:dyDescent="0.45">
      <c r="A510" s="30">
        <v>2023</v>
      </c>
      <c r="B510" s="30" t="s">
        <v>10</v>
      </c>
      <c r="C510" s="30" t="s">
        <v>46</v>
      </c>
      <c r="D510" s="30" t="s">
        <v>47</v>
      </c>
      <c r="E510" s="31" t="s">
        <v>243</v>
      </c>
      <c r="F510" s="32" t="s">
        <v>60</v>
      </c>
      <c r="G510" s="32" t="s">
        <v>50</v>
      </c>
      <c r="H510" s="33">
        <v>19160</v>
      </c>
      <c r="I510" s="34">
        <f>Table3[[#This Row],[Volume, kg.]]/1000</f>
        <v>19.16</v>
      </c>
      <c r="J510" s="34">
        <v>0.26640000000000003</v>
      </c>
      <c r="K510" s="34">
        <f t="shared" si="14"/>
        <v>5104.2240000000002</v>
      </c>
      <c r="L510" s="34">
        <v>3.48</v>
      </c>
      <c r="M510" s="34">
        <v>66620</v>
      </c>
      <c r="N510" s="34">
        <f t="shared" si="15"/>
        <v>13.063063063063062</v>
      </c>
    </row>
    <row r="511" spans="1:14" x14ac:dyDescent="0.45">
      <c r="A511" s="30">
        <v>2023</v>
      </c>
      <c r="B511" s="30" t="s">
        <v>10</v>
      </c>
      <c r="C511" s="30" t="s">
        <v>46</v>
      </c>
      <c r="D511" s="30" t="s">
        <v>47</v>
      </c>
      <c r="E511" s="31" t="s">
        <v>374</v>
      </c>
      <c r="F511" s="32" t="s">
        <v>81</v>
      </c>
      <c r="G511" s="32" t="s">
        <v>50</v>
      </c>
      <c r="H511" s="33">
        <v>48130</v>
      </c>
      <c r="I511" s="34">
        <f>Table3[[#This Row],[Volume, kg.]]/1000</f>
        <v>48.13</v>
      </c>
      <c r="J511" s="34">
        <v>0.31209999999999999</v>
      </c>
      <c r="K511" s="34">
        <f t="shared" si="14"/>
        <v>15021.373</v>
      </c>
      <c r="L511" s="34">
        <v>3.74</v>
      </c>
      <c r="M511" s="34">
        <v>180087</v>
      </c>
      <c r="N511" s="34">
        <f t="shared" si="15"/>
        <v>11.983338673502084</v>
      </c>
    </row>
    <row r="512" spans="1:14" x14ac:dyDescent="0.45">
      <c r="A512" s="30">
        <v>2023</v>
      </c>
      <c r="B512" s="30" t="s">
        <v>10</v>
      </c>
      <c r="C512" s="30" t="s">
        <v>46</v>
      </c>
      <c r="D512" s="30" t="s">
        <v>47</v>
      </c>
      <c r="E512" s="31" t="s">
        <v>324</v>
      </c>
      <c r="F512" s="32" t="s">
        <v>81</v>
      </c>
      <c r="G512" s="32" t="s">
        <v>50</v>
      </c>
      <c r="H512" s="33">
        <v>19820</v>
      </c>
      <c r="I512" s="34">
        <f>Table3[[#This Row],[Volume, kg.]]/1000</f>
        <v>19.82</v>
      </c>
      <c r="J512" s="34">
        <v>0.24909999999999999</v>
      </c>
      <c r="K512" s="34">
        <f t="shared" si="14"/>
        <v>4937.1619999999994</v>
      </c>
      <c r="L512" s="34">
        <v>3.49</v>
      </c>
      <c r="M512" s="34">
        <v>69173.5</v>
      </c>
      <c r="N512" s="34">
        <f t="shared" si="15"/>
        <v>14.010437575270977</v>
      </c>
    </row>
    <row r="513" spans="1:14" x14ac:dyDescent="0.45">
      <c r="A513" s="30">
        <v>2023</v>
      </c>
      <c r="B513" s="30" t="s">
        <v>10</v>
      </c>
      <c r="C513" s="30" t="s">
        <v>46</v>
      </c>
      <c r="D513" s="30" t="s">
        <v>47</v>
      </c>
      <c r="E513" s="31" t="s">
        <v>375</v>
      </c>
      <c r="F513" s="32" t="s">
        <v>49</v>
      </c>
      <c r="G513" s="32" t="s">
        <v>50</v>
      </c>
      <c r="H513" s="33">
        <v>4860</v>
      </c>
      <c r="I513" s="34">
        <f>Table3[[#This Row],[Volume, kg.]]/1000</f>
        <v>4.8600000000000003</v>
      </c>
      <c r="J513" s="34">
        <v>0.28800000000000003</v>
      </c>
      <c r="K513" s="34">
        <f t="shared" si="14"/>
        <v>1399.68</v>
      </c>
      <c r="L513" s="34">
        <v>3.45</v>
      </c>
      <c r="M513" s="34">
        <v>16767</v>
      </c>
      <c r="N513" s="34">
        <f t="shared" si="15"/>
        <v>11.979166666666666</v>
      </c>
    </row>
    <row r="514" spans="1:14" x14ac:dyDescent="0.45">
      <c r="A514" s="30">
        <v>2023</v>
      </c>
      <c r="B514" s="30" t="s">
        <v>10</v>
      </c>
      <c r="C514" s="30" t="s">
        <v>46</v>
      </c>
      <c r="D514" s="30" t="s">
        <v>47</v>
      </c>
      <c r="E514" s="31" t="s">
        <v>245</v>
      </c>
      <c r="F514" s="32" t="s">
        <v>57</v>
      </c>
      <c r="G514" s="32" t="s">
        <v>50</v>
      </c>
      <c r="H514" s="33">
        <v>5110</v>
      </c>
      <c r="I514" s="34">
        <f>Table3[[#This Row],[Volume, kg.]]/1000</f>
        <v>5.1100000000000003</v>
      </c>
      <c r="J514" s="34">
        <v>0.28800000000000003</v>
      </c>
      <c r="K514" s="34">
        <f t="shared" si="14"/>
        <v>1471.68</v>
      </c>
      <c r="L514" s="34">
        <v>3.65</v>
      </c>
      <c r="M514" s="34">
        <v>18651.5</v>
      </c>
      <c r="N514" s="34">
        <f t="shared" si="15"/>
        <v>12.673611111111109</v>
      </c>
    </row>
    <row r="515" spans="1:14" x14ac:dyDescent="0.45">
      <c r="A515" s="30">
        <v>2023</v>
      </c>
      <c r="B515" s="30" t="s">
        <v>10</v>
      </c>
      <c r="C515" s="30" t="s">
        <v>46</v>
      </c>
      <c r="D515" s="30" t="s">
        <v>47</v>
      </c>
      <c r="E515" s="31" t="s">
        <v>246</v>
      </c>
      <c r="F515" s="32" t="s">
        <v>49</v>
      </c>
      <c r="G515" s="32" t="s">
        <v>50</v>
      </c>
      <c r="H515" s="33">
        <v>2930</v>
      </c>
      <c r="I515" s="34">
        <f>Table3[[#This Row],[Volume, kg.]]/1000</f>
        <v>2.93</v>
      </c>
      <c r="J515" s="34">
        <v>0.26750000000000002</v>
      </c>
      <c r="K515" s="34">
        <f t="shared" ref="K515:K578" si="16">H515*J515</f>
        <v>783.77500000000009</v>
      </c>
      <c r="L515" s="34">
        <v>3.5</v>
      </c>
      <c r="M515" s="34">
        <v>10255</v>
      </c>
      <c r="N515" s="34">
        <f t="shared" si="15"/>
        <v>13.084112149532709</v>
      </c>
    </row>
    <row r="516" spans="1:14" x14ac:dyDescent="0.45">
      <c r="A516" s="30">
        <v>2023</v>
      </c>
      <c r="B516" s="30" t="s">
        <v>10</v>
      </c>
      <c r="C516" s="30" t="s">
        <v>46</v>
      </c>
      <c r="D516" s="30" t="s">
        <v>47</v>
      </c>
      <c r="E516" s="31" t="s">
        <v>376</v>
      </c>
      <c r="F516" s="32" t="s">
        <v>377</v>
      </c>
      <c r="G516" s="32" t="s">
        <v>50</v>
      </c>
      <c r="H516" s="33">
        <v>41730</v>
      </c>
      <c r="I516" s="34">
        <f>Table3[[#This Row],[Volume, kg.]]/1000</f>
        <v>41.73</v>
      </c>
      <c r="J516" s="34">
        <v>0.25640000000000002</v>
      </c>
      <c r="K516" s="34">
        <f t="shared" si="16"/>
        <v>10699.572</v>
      </c>
      <c r="L516" s="34">
        <v>3.53</v>
      </c>
      <c r="M516" s="34">
        <v>147408.5</v>
      </c>
      <c r="N516" s="34">
        <f t="shared" ref="N516:N579" si="17">L516/J516</f>
        <v>13.76755070202808</v>
      </c>
    </row>
    <row r="517" spans="1:14" x14ac:dyDescent="0.45">
      <c r="A517" s="30">
        <v>2023</v>
      </c>
      <c r="B517" s="30" t="s">
        <v>10</v>
      </c>
      <c r="C517" s="30" t="s">
        <v>46</v>
      </c>
      <c r="D517" s="30" t="s">
        <v>102</v>
      </c>
      <c r="E517" s="31" t="s">
        <v>378</v>
      </c>
      <c r="F517" s="32" t="s">
        <v>81</v>
      </c>
      <c r="G517" s="32" t="s">
        <v>50</v>
      </c>
      <c r="H517" s="33">
        <v>10480</v>
      </c>
      <c r="I517" s="34">
        <f>Table3[[#This Row],[Volume, kg.]]/1000</f>
        <v>10.48</v>
      </c>
      <c r="J517" s="34">
        <v>0.28649999999999998</v>
      </c>
      <c r="K517" s="34">
        <f t="shared" si="16"/>
        <v>3002.52</v>
      </c>
      <c r="L517" s="34">
        <v>3.6</v>
      </c>
      <c r="M517" s="34">
        <v>37728</v>
      </c>
      <c r="N517" s="34">
        <f t="shared" si="17"/>
        <v>12.565445026178011</v>
      </c>
    </row>
    <row r="518" spans="1:14" x14ac:dyDescent="0.45">
      <c r="A518" s="30">
        <v>2023</v>
      </c>
      <c r="B518" s="30" t="s">
        <v>10</v>
      </c>
      <c r="C518" s="30" t="s">
        <v>46</v>
      </c>
      <c r="D518" s="30" t="s">
        <v>47</v>
      </c>
      <c r="E518" s="31" t="s">
        <v>379</v>
      </c>
      <c r="F518" s="32" t="s">
        <v>49</v>
      </c>
      <c r="G518" s="32" t="s">
        <v>50</v>
      </c>
      <c r="H518" s="33">
        <v>23240</v>
      </c>
      <c r="I518" s="34">
        <f>Table3[[#This Row],[Volume, kg.]]/1000</f>
        <v>23.24</v>
      </c>
      <c r="J518" s="34">
        <v>0.26400000000000001</v>
      </c>
      <c r="K518" s="34">
        <f t="shared" si="16"/>
        <v>6135.3600000000006</v>
      </c>
      <c r="L518" s="34">
        <v>3.5</v>
      </c>
      <c r="M518" s="34">
        <v>81314</v>
      </c>
      <c r="N518" s="34">
        <f t="shared" si="17"/>
        <v>13.257575757575758</v>
      </c>
    </row>
    <row r="519" spans="1:14" x14ac:dyDescent="0.45">
      <c r="A519" s="30">
        <v>2023</v>
      </c>
      <c r="B519" s="30" t="s">
        <v>10</v>
      </c>
      <c r="C519" s="30" t="s">
        <v>46</v>
      </c>
      <c r="D519" s="30" t="s">
        <v>102</v>
      </c>
      <c r="E519" s="31" t="s">
        <v>250</v>
      </c>
      <c r="F519" s="32" t="s">
        <v>49</v>
      </c>
      <c r="G519" s="32" t="s">
        <v>50</v>
      </c>
      <c r="H519" s="33">
        <v>1619150</v>
      </c>
      <c r="I519" s="34">
        <f>Table3[[#This Row],[Volume, kg.]]/1000</f>
        <v>1619.15</v>
      </c>
      <c r="J519" s="34">
        <v>0.27329999999999999</v>
      </c>
      <c r="K519" s="34">
        <f t="shared" si="16"/>
        <v>442513.69500000001</v>
      </c>
      <c r="L519" s="34">
        <v>3.84</v>
      </c>
      <c r="M519" s="34">
        <v>6220578</v>
      </c>
      <c r="N519" s="34">
        <f t="shared" si="17"/>
        <v>14.050493962678376</v>
      </c>
    </row>
    <row r="520" spans="1:14" x14ac:dyDescent="0.45">
      <c r="A520" s="30">
        <v>2023</v>
      </c>
      <c r="B520" s="30" t="s">
        <v>10</v>
      </c>
      <c r="C520" s="30" t="s">
        <v>46</v>
      </c>
      <c r="D520" s="30" t="s">
        <v>47</v>
      </c>
      <c r="E520" s="31" t="s">
        <v>252</v>
      </c>
      <c r="F520" s="32" t="s">
        <v>49</v>
      </c>
      <c r="G520" s="32" t="s">
        <v>50</v>
      </c>
      <c r="H520" s="33">
        <v>71510</v>
      </c>
      <c r="I520" s="34">
        <f>Table3[[#This Row],[Volume, kg.]]/1000</f>
        <v>71.510000000000005</v>
      </c>
      <c r="J520" s="34">
        <v>0.28309999999999996</v>
      </c>
      <c r="K520" s="34">
        <f t="shared" si="16"/>
        <v>20244.480999999996</v>
      </c>
      <c r="L520" s="34">
        <v>3.64</v>
      </c>
      <c r="M520" s="34">
        <v>260544</v>
      </c>
      <c r="N520" s="34">
        <f t="shared" si="17"/>
        <v>12.857647474390676</v>
      </c>
    </row>
    <row r="521" spans="1:14" x14ac:dyDescent="0.45">
      <c r="A521" s="30">
        <v>2023</v>
      </c>
      <c r="B521" s="30" t="s">
        <v>10</v>
      </c>
      <c r="C521" s="30" t="s">
        <v>46</v>
      </c>
      <c r="D521" s="30" t="s">
        <v>47</v>
      </c>
      <c r="E521" s="31" t="s">
        <v>253</v>
      </c>
      <c r="F521" s="32" t="s">
        <v>57</v>
      </c>
      <c r="G521" s="32" t="s">
        <v>50</v>
      </c>
      <c r="H521" s="33">
        <v>5450</v>
      </c>
      <c r="I521" s="34">
        <f>Table3[[#This Row],[Volume, kg.]]/1000</f>
        <v>5.45</v>
      </c>
      <c r="J521" s="34">
        <v>0.28550000000000003</v>
      </c>
      <c r="K521" s="34">
        <f t="shared" si="16"/>
        <v>1555.9750000000001</v>
      </c>
      <c r="L521" s="34">
        <v>3.65</v>
      </c>
      <c r="M521" s="34">
        <v>19892.5</v>
      </c>
      <c r="N521" s="34">
        <f t="shared" si="17"/>
        <v>12.784588441330996</v>
      </c>
    </row>
    <row r="522" spans="1:14" x14ac:dyDescent="0.45">
      <c r="A522" s="30">
        <v>2023</v>
      </c>
      <c r="B522" s="30" t="s">
        <v>10</v>
      </c>
      <c r="C522" s="30" t="s">
        <v>46</v>
      </c>
      <c r="D522" s="30" t="s">
        <v>47</v>
      </c>
      <c r="E522" s="31" t="s">
        <v>254</v>
      </c>
      <c r="F522" s="32" t="s">
        <v>49</v>
      </c>
      <c r="G522" s="32" t="s">
        <v>50</v>
      </c>
      <c r="H522" s="33">
        <v>23000</v>
      </c>
      <c r="I522" s="34">
        <f>Table3[[#This Row],[Volume, kg.]]/1000</f>
        <v>23</v>
      </c>
      <c r="J522" s="34">
        <v>0.26919999999999999</v>
      </c>
      <c r="K522" s="34">
        <f t="shared" si="16"/>
        <v>6191.5999999999995</v>
      </c>
      <c r="L522" s="34">
        <v>3.6</v>
      </c>
      <c r="M522" s="34">
        <v>82841.5</v>
      </c>
      <c r="N522" s="34">
        <f t="shared" si="17"/>
        <v>13.37295690936107</v>
      </c>
    </row>
    <row r="523" spans="1:14" x14ac:dyDescent="0.45">
      <c r="A523" s="30">
        <v>2023</v>
      </c>
      <c r="B523" s="30" t="s">
        <v>10</v>
      </c>
      <c r="C523" s="30" t="s">
        <v>46</v>
      </c>
      <c r="D523" s="30" t="s">
        <v>47</v>
      </c>
      <c r="E523" s="31" t="s">
        <v>255</v>
      </c>
      <c r="F523" s="32" t="s">
        <v>60</v>
      </c>
      <c r="G523" s="32" t="s">
        <v>50</v>
      </c>
      <c r="H523" s="33">
        <v>5170</v>
      </c>
      <c r="I523" s="34">
        <f>Table3[[#This Row],[Volume, kg.]]/1000</f>
        <v>5.17</v>
      </c>
      <c r="J523" s="34">
        <v>0.28050000000000003</v>
      </c>
      <c r="K523" s="34">
        <f t="shared" si="16"/>
        <v>1450.1850000000002</v>
      </c>
      <c r="L523" s="34">
        <v>3.4</v>
      </c>
      <c r="M523" s="34">
        <v>17578</v>
      </c>
      <c r="N523" s="34">
        <f t="shared" si="17"/>
        <v>12.121212121212119</v>
      </c>
    </row>
    <row r="524" spans="1:14" x14ac:dyDescent="0.45">
      <c r="A524" s="30">
        <v>2023</v>
      </c>
      <c r="B524" s="30" t="s">
        <v>10</v>
      </c>
      <c r="C524" s="30" t="s">
        <v>46</v>
      </c>
      <c r="D524" s="30" t="s">
        <v>47</v>
      </c>
      <c r="E524" s="31" t="s">
        <v>380</v>
      </c>
      <c r="F524" s="32" t="s">
        <v>49</v>
      </c>
      <c r="G524" s="32" t="s">
        <v>50</v>
      </c>
      <c r="H524" s="33">
        <v>33300</v>
      </c>
      <c r="I524" s="34">
        <f>Table3[[#This Row],[Volume, kg.]]/1000</f>
        <v>33.299999999999997</v>
      </c>
      <c r="J524" s="34">
        <v>0.2712</v>
      </c>
      <c r="K524" s="34">
        <f t="shared" si="16"/>
        <v>9030.9599999999991</v>
      </c>
      <c r="L524" s="34">
        <v>3.61</v>
      </c>
      <c r="M524" s="34">
        <v>120123.5</v>
      </c>
      <c r="N524" s="34">
        <f t="shared" si="17"/>
        <v>13.311209439528023</v>
      </c>
    </row>
    <row r="525" spans="1:14" x14ac:dyDescent="0.45">
      <c r="A525" s="30">
        <v>2023</v>
      </c>
      <c r="B525" s="30" t="s">
        <v>10</v>
      </c>
      <c r="C525" s="30" t="s">
        <v>46</v>
      </c>
      <c r="D525" s="30" t="s">
        <v>47</v>
      </c>
      <c r="E525" s="31" t="s">
        <v>327</v>
      </c>
      <c r="F525" s="32" t="s">
        <v>49</v>
      </c>
      <c r="G525" s="32" t="s">
        <v>50</v>
      </c>
      <c r="H525" s="33">
        <v>130310</v>
      </c>
      <c r="I525" s="34">
        <f>Table3[[#This Row],[Volume, kg.]]/1000</f>
        <v>130.31</v>
      </c>
      <c r="J525" s="34">
        <v>0.29160000000000003</v>
      </c>
      <c r="K525" s="34">
        <f t="shared" si="16"/>
        <v>37998.396000000001</v>
      </c>
      <c r="L525" s="34">
        <v>3.65</v>
      </c>
      <c r="M525" s="34">
        <v>475711.5</v>
      </c>
      <c r="N525" s="34">
        <f t="shared" si="17"/>
        <v>12.517146776406035</v>
      </c>
    </row>
    <row r="526" spans="1:14" x14ac:dyDescent="0.45">
      <c r="A526" s="30">
        <v>2023</v>
      </c>
      <c r="B526" s="30" t="s">
        <v>10</v>
      </c>
      <c r="C526" s="30" t="s">
        <v>46</v>
      </c>
      <c r="D526" s="30" t="s">
        <v>47</v>
      </c>
      <c r="E526" s="31" t="s">
        <v>256</v>
      </c>
      <c r="F526" s="32" t="s">
        <v>81</v>
      </c>
      <c r="G526" s="32" t="s">
        <v>50</v>
      </c>
      <c r="H526" s="33">
        <v>62260</v>
      </c>
      <c r="I526" s="34">
        <f>Table3[[#This Row],[Volume, kg.]]/1000</f>
        <v>62.26</v>
      </c>
      <c r="J526" s="34">
        <v>0.28460000000000002</v>
      </c>
      <c r="K526" s="34">
        <f t="shared" si="16"/>
        <v>17719.196</v>
      </c>
      <c r="L526" s="34">
        <v>3.67</v>
      </c>
      <c r="M526" s="34">
        <v>228539</v>
      </c>
      <c r="N526" s="34">
        <f t="shared" si="17"/>
        <v>12.895291637385803</v>
      </c>
    </row>
    <row r="527" spans="1:14" x14ac:dyDescent="0.45">
      <c r="A527" s="30">
        <v>2023</v>
      </c>
      <c r="B527" s="30" t="s">
        <v>10</v>
      </c>
      <c r="C527" s="30" t="s">
        <v>46</v>
      </c>
      <c r="D527" s="30" t="s">
        <v>47</v>
      </c>
      <c r="E527" s="31" t="s">
        <v>257</v>
      </c>
      <c r="F527" s="32" t="s">
        <v>64</v>
      </c>
      <c r="G527" s="32" t="s">
        <v>50</v>
      </c>
      <c r="H527" s="33">
        <v>300920</v>
      </c>
      <c r="I527" s="34">
        <f>Table3[[#This Row],[Volume, kg.]]/1000</f>
        <v>300.92</v>
      </c>
      <c r="J527" s="34">
        <v>0.26069999999999999</v>
      </c>
      <c r="K527" s="34">
        <f t="shared" si="16"/>
        <v>78449.843999999997</v>
      </c>
      <c r="L527" s="34">
        <v>3.67</v>
      </c>
      <c r="M527" s="34">
        <v>1103748</v>
      </c>
      <c r="N527" s="34">
        <f t="shared" si="17"/>
        <v>14.077483697736863</v>
      </c>
    </row>
    <row r="528" spans="1:14" x14ac:dyDescent="0.45">
      <c r="A528" s="30">
        <v>2023</v>
      </c>
      <c r="B528" s="30" t="s">
        <v>10</v>
      </c>
      <c r="C528" s="30" t="s">
        <v>46</v>
      </c>
      <c r="D528" s="30" t="s">
        <v>47</v>
      </c>
      <c r="E528" s="31" t="s">
        <v>258</v>
      </c>
      <c r="F528" s="32" t="s">
        <v>49</v>
      </c>
      <c r="G528" s="32" t="s">
        <v>50</v>
      </c>
      <c r="H528" s="33">
        <v>1161640</v>
      </c>
      <c r="I528" s="34">
        <f>Table3[[#This Row],[Volume, kg.]]/1000</f>
        <v>1161.6400000000001</v>
      </c>
      <c r="J528" s="34">
        <v>0.2777</v>
      </c>
      <c r="K528" s="34">
        <f t="shared" si="16"/>
        <v>322587.42800000001</v>
      </c>
      <c r="L528" s="34">
        <v>3.55</v>
      </c>
      <c r="M528" s="34">
        <v>4127356.5</v>
      </c>
      <c r="N528" s="34">
        <f t="shared" si="17"/>
        <v>12.783579402232624</v>
      </c>
    </row>
    <row r="529" spans="1:14" x14ac:dyDescent="0.45">
      <c r="A529" s="30">
        <v>2023</v>
      </c>
      <c r="B529" s="30" t="s">
        <v>11</v>
      </c>
      <c r="C529" s="30" t="s">
        <v>46</v>
      </c>
      <c r="D529" s="30" t="s">
        <v>102</v>
      </c>
      <c r="E529" s="31" t="s">
        <v>239</v>
      </c>
      <c r="F529" s="32" t="s">
        <v>240</v>
      </c>
      <c r="G529" s="32" t="s">
        <v>50</v>
      </c>
      <c r="H529" s="33">
        <v>282890</v>
      </c>
      <c r="I529" s="34">
        <f>Table3[[#This Row],[Volume, kg.]]/1000</f>
        <v>282.89</v>
      </c>
      <c r="J529" s="34">
        <v>0.21820000000000001</v>
      </c>
      <c r="K529" s="34">
        <f t="shared" si="16"/>
        <v>61726.597999999998</v>
      </c>
      <c r="L529" s="34">
        <v>3.64</v>
      </c>
      <c r="M529" s="34">
        <v>1030766</v>
      </c>
      <c r="N529" s="34">
        <f t="shared" si="17"/>
        <v>16.681943171402384</v>
      </c>
    </row>
    <row r="530" spans="1:14" x14ac:dyDescent="0.45">
      <c r="A530" s="30">
        <v>2023</v>
      </c>
      <c r="B530" s="30" t="s">
        <v>11</v>
      </c>
      <c r="C530" s="30" t="s">
        <v>46</v>
      </c>
      <c r="D530" s="30" t="s">
        <v>102</v>
      </c>
      <c r="E530" s="31" t="s">
        <v>188</v>
      </c>
      <c r="F530" s="32" t="s">
        <v>189</v>
      </c>
      <c r="G530" s="32" t="s">
        <v>128</v>
      </c>
      <c r="H530" s="33">
        <v>203140</v>
      </c>
      <c r="I530" s="34">
        <f>Table3[[#This Row],[Volume, kg.]]/1000</f>
        <v>203.14</v>
      </c>
      <c r="J530" s="34">
        <v>0.24829999999999999</v>
      </c>
      <c r="K530" s="34">
        <f t="shared" si="16"/>
        <v>50439.661999999997</v>
      </c>
      <c r="L530" s="34">
        <v>3.9</v>
      </c>
      <c r="M530" s="34">
        <v>792197.5</v>
      </c>
      <c r="N530" s="34">
        <f t="shared" si="17"/>
        <v>15.706806282722512</v>
      </c>
    </row>
    <row r="531" spans="1:14" x14ac:dyDescent="0.45">
      <c r="A531" s="30">
        <v>2023</v>
      </c>
      <c r="B531" s="30" t="s">
        <v>11</v>
      </c>
      <c r="C531" s="30" t="s">
        <v>46</v>
      </c>
      <c r="D531" s="30" t="s">
        <v>102</v>
      </c>
      <c r="E531" s="31" t="s">
        <v>222</v>
      </c>
      <c r="F531" s="32" t="s">
        <v>223</v>
      </c>
      <c r="G531" s="32" t="s">
        <v>50</v>
      </c>
      <c r="H531" s="33">
        <v>325830</v>
      </c>
      <c r="I531" s="34">
        <f>Table3[[#This Row],[Volume, kg.]]/1000</f>
        <v>325.83</v>
      </c>
      <c r="J531" s="34">
        <v>0.2616</v>
      </c>
      <c r="K531" s="34">
        <f t="shared" si="16"/>
        <v>85237.127999999997</v>
      </c>
      <c r="L531" s="34">
        <v>3.82</v>
      </c>
      <c r="M531" s="34">
        <v>1243188.5</v>
      </c>
      <c r="N531" s="34">
        <f t="shared" si="17"/>
        <v>14.602446483180428</v>
      </c>
    </row>
    <row r="532" spans="1:14" x14ac:dyDescent="0.45">
      <c r="A532" s="30">
        <v>2023</v>
      </c>
      <c r="B532" s="30" t="s">
        <v>11</v>
      </c>
      <c r="C532" s="30" t="s">
        <v>46</v>
      </c>
      <c r="D532" s="30" t="s">
        <v>102</v>
      </c>
      <c r="E532" s="31" t="s">
        <v>336</v>
      </c>
      <c r="F532" s="32" t="s">
        <v>114</v>
      </c>
      <c r="G532" s="32" t="s">
        <v>108</v>
      </c>
      <c r="H532" s="33">
        <v>24870</v>
      </c>
      <c r="I532" s="34">
        <f>Table3[[#This Row],[Volume, kg.]]/1000</f>
        <v>24.87</v>
      </c>
      <c r="J532" s="34">
        <v>0.23730000000000001</v>
      </c>
      <c r="K532" s="34">
        <f t="shared" si="16"/>
        <v>5901.6509999999998</v>
      </c>
      <c r="L532" s="34">
        <v>3.75</v>
      </c>
      <c r="M532" s="34">
        <v>93231.5</v>
      </c>
      <c r="N532" s="34">
        <f t="shared" si="17"/>
        <v>15.802781289506953</v>
      </c>
    </row>
    <row r="533" spans="1:14" x14ac:dyDescent="0.45">
      <c r="A533" s="30">
        <v>2023</v>
      </c>
      <c r="B533" s="30" t="s">
        <v>11</v>
      </c>
      <c r="C533" s="30" t="s">
        <v>46</v>
      </c>
      <c r="D533" s="30" t="s">
        <v>47</v>
      </c>
      <c r="E533" s="31" t="s">
        <v>232</v>
      </c>
      <c r="F533" s="32" t="s">
        <v>49</v>
      </c>
      <c r="G533" s="32" t="s">
        <v>50</v>
      </c>
      <c r="H533" s="33">
        <v>27460</v>
      </c>
      <c r="I533" s="34">
        <f>Table3[[#This Row],[Volume, kg.]]/1000</f>
        <v>27.46</v>
      </c>
      <c r="J533" s="34">
        <v>0.2591</v>
      </c>
      <c r="K533" s="34">
        <f t="shared" si="16"/>
        <v>7114.8859999999995</v>
      </c>
      <c r="L533" s="34">
        <v>3.75</v>
      </c>
      <c r="M533" s="34">
        <v>102902.5</v>
      </c>
      <c r="N533" s="34">
        <f t="shared" si="17"/>
        <v>14.473176379776149</v>
      </c>
    </row>
    <row r="534" spans="1:14" x14ac:dyDescent="0.45">
      <c r="A534" s="30">
        <v>2023</v>
      </c>
      <c r="B534" s="30" t="s">
        <v>11</v>
      </c>
      <c r="C534" s="30" t="s">
        <v>46</v>
      </c>
      <c r="D534" s="30" t="s">
        <v>47</v>
      </c>
      <c r="E534" s="31" t="s">
        <v>213</v>
      </c>
      <c r="F534" s="32" t="s">
        <v>49</v>
      </c>
      <c r="G534" s="32" t="s">
        <v>50</v>
      </c>
      <c r="H534" s="33">
        <v>118810</v>
      </c>
      <c r="I534" s="34">
        <f>Table3[[#This Row],[Volume, kg.]]/1000</f>
        <v>118.81</v>
      </c>
      <c r="J534" s="34">
        <v>0.23769999999999999</v>
      </c>
      <c r="K534" s="34">
        <f t="shared" si="16"/>
        <v>28241.136999999999</v>
      </c>
      <c r="L534" s="34">
        <v>3.65</v>
      </c>
      <c r="M534" s="34">
        <v>433809</v>
      </c>
      <c r="N534" s="34">
        <f t="shared" si="17"/>
        <v>15.355490113588557</v>
      </c>
    </row>
    <row r="535" spans="1:14" x14ac:dyDescent="0.45">
      <c r="A535" s="30">
        <v>2023</v>
      </c>
      <c r="B535" s="30" t="s">
        <v>11</v>
      </c>
      <c r="C535" s="30" t="s">
        <v>46</v>
      </c>
      <c r="D535" s="30" t="s">
        <v>47</v>
      </c>
      <c r="E535" s="31" t="s">
        <v>69</v>
      </c>
      <c r="F535" s="32" t="s">
        <v>49</v>
      </c>
      <c r="G535" s="32" t="s">
        <v>50</v>
      </c>
      <c r="H535" s="33">
        <v>32560</v>
      </c>
      <c r="I535" s="34">
        <f>Table3[[#This Row],[Volume, kg.]]/1000</f>
        <v>32.56</v>
      </c>
      <c r="J535" s="34">
        <v>0.22320000000000001</v>
      </c>
      <c r="K535" s="34">
        <f t="shared" si="16"/>
        <v>7267.3920000000007</v>
      </c>
      <c r="L535" s="34">
        <v>3.56</v>
      </c>
      <c r="M535" s="34">
        <v>115990.5</v>
      </c>
      <c r="N535" s="34">
        <f t="shared" si="17"/>
        <v>15.949820788530465</v>
      </c>
    </row>
    <row r="536" spans="1:14" x14ac:dyDescent="0.45">
      <c r="A536" s="30">
        <v>2023</v>
      </c>
      <c r="B536" s="30" t="s">
        <v>11</v>
      </c>
      <c r="C536" s="30" t="s">
        <v>46</v>
      </c>
      <c r="D536" s="30" t="s">
        <v>47</v>
      </c>
      <c r="E536" s="31" t="s">
        <v>202</v>
      </c>
      <c r="F536" s="32" t="s">
        <v>57</v>
      </c>
      <c r="G536" s="32" t="s">
        <v>50</v>
      </c>
      <c r="H536" s="33">
        <v>47240</v>
      </c>
      <c r="I536" s="34">
        <f>Table3[[#This Row],[Volume, kg.]]/1000</f>
        <v>47.24</v>
      </c>
      <c r="J536" s="34">
        <v>0.23379999999999998</v>
      </c>
      <c r="K536" s="34">
        <f t="shared" si="16"/>
        <v>11044.712</v>
      </c>
      <c r="L536" s="34">
        <v>3.59</v>
      </c>
      <c r="M536" s="34">
        <v>169807</v>
      </c>
      <c r="N536" s="34">
        <f t="shared" si="17"/>
        <v>15.355004277159967</v>
      </c>
    </row>
    <row r="537" spans="1:14" x14ac:dyDescent="0.45">
      <c r="A537" s="30">
        <v>2023</v>
      </c>
      <c r="B537" s="30" t="s">
        <v>11</v>
      </c>
      <c r="C537" s="30" t="s">
        <v>46</v>
      </c>
      <c r="D537" s="30" t="s">
        <v>47</v>
      </c>
      <c r="E537" s="31" t="s">
        <v>85</v>
      </c>
      <c r="F537" s="32" t="s">
        <v>49</v>
      </c>
      <c r="G537" s="32" t="s">
        <v>50</v>
      </c>
      <c r="H537" s="33">
        <v>60050</v>
      </c>
      <c r="I537" s="34">
        <f>Table3[[#This Row],[Volume, kg.]]/1000</f>
        <v>60.05</v>
      </c>
      <c r="J537" s="34">
        <v>0.26519999999999999</v>
      </c>
      <c r="K537" s="34">
        <f t="shared" si="16"/>
        <v>15925.26</v>
      </c>
      <c r="L537" s="34">
        <v>3.8</v>
      </c>
      <c r="M537" s="34">
        <v>228058</v>
      </c>
      <c r="N537" s="34">
        <f t="shared" si="17"/>
        <v>14.328808446455506</v>
      </c>
    </row>
    <row r="538" spans="1:14" x14ac:dyDescent="0.45">
      <c r="A538" s="30">
        <v>2023</v>
      </c>
      <c r="B538" s="30" t="s">
        <v>11</v>
      </c>
      <c r="C538" s="30" t="s">
        <v>46</v>
      </c>
      <c r="D538" s="30" t="s">
        <v>47</v>
      </c>
      <c r="E538" s="31" t="s">
        <v>201</v>
      </c>
      <c r="F538" s="32" t="s">
        <v>49</v>
      </c>
      <c r="G538" s="32" t="s">
        <v>50</v>
      </c>
      <c r="H538" s="33">
        <v>12640</v>
      </c>
      <c r="I538" s="34">
        <f>Table3[[#This Row],[Volume, kg.]]/1000</f>
        <v>12.64</v>
      </c>
      <c r="J538" s="34">
        <v>0.2445</v>
      </c>
      <c r="K538" s="34">
        <f t="shared" si="16"/>
        <v>3090.48</v>
      </c>
      <c r="L538" s="34">
        <v>3.65</v>
      </c>
      <c r="M538" s="34">
        <v>46136</v>
      </c>
      <c r="N538" s="34">
        <f t="shared" si="17"/>
        <v>14.928425357873211</v>
      </c>
    </row>
    <row r="539" spans="1:14" x14ac:dyDescent="0.45">
      <c r="A539" s="30">
        <v>2023</v>
      </c>
      <c r="B539" s="30" t="s">
        <v>11</v>
      </c>
      <c r="C539" s="30" t="s">
        <v>46</v>
      </c>
      <c r="D539" s="30" t="s">
        <v>47</v>
      </c>
      <c r="E539" s="31" t="s">
        <v>381</v>
      </c>
      <c r="F539" s="32" t="s">
        <v>49</v>
      </c>
      <c r="G539" s="32" t="s">
        <v>50</v>
      </c>
      <c r="H539" s="33">
        <v>19620</v>
      </c>
      <c r="I539" s="34">
        <f>Table3[[#This Row],[Volume, kg.]]/1000</f>
        <v>19.62</v>
      </c>
      <c r="J539" s="34">
        <v>0.2293</v>
      </c>
      <c r="K539" s="34">
        <f t="shared" si="16"/>
        <v>4498.866</v>
      </c>
      <c r="L539" s="34">
        <v>3.61</v>
      </c>
      <c r="M539" s="34">
        <v>70808</v>
      </c>
      <c r="N539" s="34">
        <f t="shared" si="17"/>
        <v>15.743567378979503</v>
      </c>
    </row>
    <row r="540" spans="1:14" x14ac:dyDescent="0.45">
      <c r="A540" s="30">
        <v>2023</v>
      </c>
      <c r="B540" s="30" t="s">
        <v>11</v>
      </c>
      <c r="C540" s="30" t="s">
        <v>46</v>
      </c>
      <c r="D540" s="30" t="s">
        <v>47</v>
      </c>
      <c r="E540" s="31" t="s">
        <v>382</v>
      </c>
      <c r="F540" s="32" t="s">
        <v>60</v>
      </c>
      <c r="G540" s="32" t="s">
        <v>50</v>
      </c>
      <c r="H540" s="33">
        <v>11340</v>
      </c>
      <c r="I540" s="34">
        <f>Table3[[#This Row],[Volume, kg.]]/1000</f>
        <v>11.34</v>
      </c>
      <c r="J540" s="34">
        <v>0.252</v>
      </c>
      <c r="K540" s="34">
        <f t="shared" si="16"/>
        <v>2857.68</v>
      </c>
      <c r="L540" s="34">
        <v>3.6</v>
      </c>
      <c r="M540" s="34">
        <v>40824</v>
      </c>
      <c r="N540" s="34">
        <f t="shared" si="17"/>
        <v>14.285714285714286</v>
      </c>
    </row>
    <row r="541" spans="1:14" x14ac:dyDescent="0.45">
      <c r="A541" s="30">
        <v>2023</v>
      </c>
      <c r="B541" s="30" t="s">
        <v>11</v>
      </c>
      <c r="C541" s="30" t="s">
        <v>46</v>
      </c>
      <c r="D541" s="30" t="s">
        <v>47</v>
      </c>
      <c r="E541" s="31" t="s">
        <v>332</v>
      </c>
      <c r="F541" s="32" t="s">
        <v>49</v>
      </c>
      <c r="G541" s="32" t="s">
        <v>50</v>
      </c>
      <c r="H541" s="33">
        <v>600</v>
      </c>
      <c r="I541" s="34">
        <f>Table3[[#This Row],[Volume, kg.]]/1000</f>
        <v>0.6</v>
      </c>
      <c r="J541" s="34">
        <v>0.17350000000000002</v>
      </c>
      <c r="K541" s="34">
        <f t="shared" si="16"/>
        <v>104.10000000000001</v>
      </c>
      <c r="L541" s="34">
        <v>3.3</v>
      </c>
      <c r="M541" s="34">
        <v>1980</v>
      </c>
      <c r="N541" s="34">
        <f t="shared" si="17"/>
        <v>19.020172910662822</v>
      </c>
    </row>
    <row r="542" spans="1:14" x14ac:dyDescent="0.45">
      <c r="A542" s="30">
        <v>2023</v>
      </c>
      <c r="B542" s="30" t="s">
        <v>11</v>
      </c>
      <c r="C542" s="30" t="s">
        <v>46</v>
      </c>
      <c r="D542" s="30" t="s">
        <v>47</v>
      </c>
      <c r="E542" s="31" t="s">
        <v>235</v>
      </c>
      <c r="F542" s="32" t="s">
        <v>57</v>
      </c>
      <c r="G542" s="32" t="s">
        <v>50</v>
      </c>
      <c r="H542" s="33">
        <v>2190</v>
      </c>
      <c r="I542" s="34">
        <f>Table3[[#This Row],[Volume, kg.]]/1000</f>
        <v>2.19</v>
      </c>
      <c r="J542" s="34">
        <v>0.252</v>
      </c>
      <c r="K542" s="34">
        <f t="shared" si="16"/>
        <v>551.88</v>
      </c>
      <c r="L542" s="34">
        <v>3.7</v>
      </c>
      <c r="M542" s="34">
        <v>8103</v>
      </c>
      <c r="N542" s="34">
        <f t="shared" si="17"/>
        <v>14.682539682539684</v>
      </c>
    </row>
    <row r="543" spans="1:14" x14ac:dyDescent="0.45">
      <c r="A543" s="30">
        <v>2023</v>
      </c>
      <c r="B543" s="30" t="s">
        <v>11</v>
      </c>
      <c r="C543" s="30" t="s">
        <v>46</v>
      </c>
      <c r="D543" s="30" t="s">
        <v>47</v>
      </c>
      <c r="E543" s="31" t="s">
        <v>48</v>
      </c>
      <c r="F543" s="32" t="s">
        <v>49</v>
      </c>
      <c r="G543" s="32" t="s">
        <v>50</v>
      </c>
      <c r="H543" s="33">
        <v>14140</v>
      </c>
      <c r="I543" s="34">
        <f>Table3[[#This Row],[Volume, kg.]]/1000</f>
        <v>14.14</v>
      </c>
      <c r="J543" s="34">
        <v>0.26090000000000002</v>
      </c>
      <c r="K543" s="34">
        <f t="shared" si="16"/>
        <v>3689.1260000000002</v>
      </c>
      <c r="L543" s="34">
        <v>3.8</v>
      </c>
      <c r="M543" s="34">
        <v>53732</v>
      </c>
      <c r="N543" s="34">
        <f t="shared" si="17"/>
        <v>14.56496742046761</v>
      </c>
    </row>
    <row r="544" spans="1:14" x14ac:dyDescent="0.45">
      <c r="A544" s="30">
        <v>2023</v>
      </c>
      <c r="B544" s="30" t="s">
        <v>11</v>
      </c>
      <c r="C544" s="30" t="s">
        <v>46</v>
      </c>
      <c r="D544" s="30" t="s">
        <v>47</v>
      </c>
      <c r="E544" s="31" t="s">
        <v>353</v>
      </c>
      <c r="F544" s="32" t="s">
        <v>57</v>
      </c>
      <c r="G544" s="32" t="s">
        <v>50</v>
      </c>
      <c r="H544" s="33">
        <v>1410</v>
      </c>
      <c r="I544" s="34">
        <f>Table3[[#This Row],[Volume, kg.]]/1000</f>
        <v>1.41</v>
      </c>
      <c r="J544" s="34">
        <v>0.24460000000000001</v>
      </c>
      <c r="K544" s="34">
        <f t="shared" si="16"/>
        <v>344.88600000000002</v>
      </c>
      <c r="L544" s="34">
        <v>3.67</v>
      </c>
      <c r="M544" s="34">
        <v>5181</v>
      </c>
      <c r="N544" s="34">
        <f t="shared" si="17"/>
        <v>15.004088307440718</v>
      </c>
    </row>
    <row r="545" spans="1:14" x14ac:dyDescent="0.45">
      <c r="A545" s="30">
        <v>2023</v>
      </c>
      <c r="B545" s="30" t="s">
        <v>11</v>
      </c>
      <c r="C545" s="30" t="s">
        <v>46</v>
      </c>
      <c r="D545" s="30" t="s">
        <v>47</v>
      </c>
      <c r="E545" s="31" t="s">
        <v>246</v>
      </c>
      <c r="F545" s="32" t="s">
        <v>49</v>
      </c>
      <c r="G545" s="32" t="s">
        <v>50</v>
      </c>
      <c r="H545" s="33">
        <v>6150</v>
      </c>
      <c r="I545" s="34">
        <f>Table3[[#This Row],[Volume, kg.]]/1000</f>
        <v>6.15</v>
      </c>
      <c r="J545" s="34">
        <v>0.2697</v>
      </c>
      <c r="K545" s="34">
        <f t="shared" si="16"/>
        <v>1658.655</v>
      </c>
      <c r="L545" s="34">
        <v>3.8</v>
      </c>
      <c r="M545" s="34">
        <v>23397.5</v>
      </c>
      <c r="N545" s="34">
        <f t="shared" si="17"/>
        <v>14.089729328883944</v>
      </c>
    </row>
    <row r="546" spans="1:14" x14ac:dyDescent="0.45">
      <c r="A546" s="30">
        <v>2023</v>
      </c>
      <c r="B546" s="30" t="s">
        <v>11</v>
      </c>
      <c r="C546" s="30" t="s">
        <v>46</v>
      </c>
      <c r="D546" s="30" t="s">
        <v>47</v>
      </c>
      <c r="E546" s="31" t="s">
        <v>383</v>
      </c>
      <c r="F546" s="32" t="s">
        <v>49</v>
      </c>
      <c r="G546" s="32" t="s">
        <v>50</v>
      </c>
      <c r="H546" s="33">
        <v>4030</v>
      </c>
      <c r="I546" s="34">
        <f>Table3[[#This Row],[Volume, kg.]]/1000</f>
        <v>4.03</v>
      </c>
      <c r="J546" s="34">
        <v>0.25650000000000001</v>
      </c>
      <c r="K546" s="34">
        <f t="shared" si="16"/>
        <v>1033.6949999999999</v>
      </c>
      <c r="L546" s="34">
        <v>3.75</v>
      </c>
      <c r="M546" s="34">
        <v>15112.5</v>
      </c>
      <c r="N546" s="34">
        <f t="shared" si="17"/>
        <v>14.619883040935672</v>
      </c>
    </row>
    <row r="547" spans="1:14" x14ac:dyDescent="0.45">
      <c r="A547" s="30">
        <v>2023</v>
      </c>
      <c r="B547" s="30" t="s">
        <v>11</v>
      </c>
      <c r="C547" s="30" t="s">
        <v>46</v>
      </c>
      <c r="D547" s="30" t="s">
        <v>47</v>
      </c>
      <c r="E547" s="31" t="s">
        <v>208</v>
      </c>
      <c r="F547" s="32" t="s">
        <v>49</v>
      </c>
      <c r="G547" s="32" t="s">
        <v>50</v>
      </c>
      <c r="H547" s="33">
        <v>1730</v>
      </c>
      <c r="I547" s="34">
        <f>Table3[[#This Row],[Volume, kg.]]/1000</f>
        <v>1.73</v>
      </c>
      <c r="J547" s="34">
        <v>0.2545</v>
      </c>
      <c r="K547" s="34">
        <f t="shared" si="16"/>
        <v>440.28500000000003</v>
      </c>
      <c r="L547" s="34">
        <v>3.75</v>
      </c>
      <c r="M547" s="34">
        <v>6487.5</v>
      </c>
      <c r="N547" s="34">
        <f t="shared" si="17"/>
        <v>14.734774066797643</v>
      </c>
    </row>
    <row r="548" spans="1:14" x14ac:dyDescent="0.45">
      <c r="A548" s="30">
        <v>2023</v>
      </c>
      <c r="B548" s="30" t="s">
        <v>11</v>
      </c>
      <c r="C548" s="30" t="s">
        <v>46</v>
      </c>
      <c r="D548" s="30" t="s">
        <v>47</v>
      </c>
      <c r="E548" s="31" t="s">
        <v>71</v>
      </c>
      <c r="F548" s="32" t="s">
        <v>49</v>
      </c>
      <c r="G548" s="32" t="s">
        <v>50</v>
      </c>
      <c r="H548" s="33">
        <v>34620</v>
      </c>
      <c r="I548" s="34">
        <f>Table3[[#This Row],[Volume, kg.]]/1000</f>
        <v>34.619999999999997</v>
      </c>
      <c r="J548" s="34">
        <v>0.2545</v>
      </c>
      <c r="K548" s="34">
        <f t="shared" si="16"/>
        <v>8810.7900000000009</v>
      </c>
      <c r="L548" s="34">
        <v>3.73</v>
      </c>
      <c r="M548" s="34">
        <v>129066</v>
      </c>
      <c r="N548" s="34">
        <f t="shared" si="17"/>
        <v>14.656188605108055</v>
      </c>
    </row>
    <row r="549" spans="1:14" x14ac:dyDescent="0.45">
      <c r="A549" s="30">
        <v>2023</v>
      </c>
      <c r="B549" s="30" t="s">
        <v>11</v>
      </c>
      <c r="C549" s="30" t="s">
        <v>46</v>
      </c>
      <c r="D549" s="30" t="s">
        <v>47</v>
      </c>
      <c r="E549" s="31" t="s">
        <v>226</v>
      </c>
      <c r="F549" s="32" t="s">
        <v>60</v>
      </c>
      <c r="G549" s="32" t="s">
        <v>50</v>
      </c>
      <c r="H549" s="33">
        <v>35100</v>
      </c>
      <c r="I549" s="34">
        <f>Table3[[#This Row],[Volume, kg.]]/1000</f>
        <v>35.1</v>
      </c>
      <c r="J549" s="34">
        <v>0.2349</v>
      </c>
      <c r="K549" s="34">
        <f t="shared" si="16"/>
        <v>8244.99</v>
      </c>
      <c r="L549" s="34">
        <v>3.59</v>
      </c>
      <c r="M549" s="34">
        <v>125857</v>
      </c>
      <c r="N549" s="34">
        <f t="shared" si="17"/>
        <v>15.283099191145167</v>
      </c>
    </row>
    <row r="550" spans="1:14" x14ac:dyDescent="0.45">
      <c r="A550" s="30">
        <v>2023</v>
      </c>
      <c r="B550" s="30" t="s">
        <v>11</v>
      </c>
      <c r="C550" s="30" t="s">
        <v>46</v>
      </c>
      <c r="D550" s="30" t="s">
        <v>47</v>
      </c>
      <c r="E550" s="31" t="s">
        <v>182</v>
      </c>
      <c r="F550" s="32" t="s">
        <v>81</v>
      </c>
      <c r="G550" s="32" t="s">
        <v>50</v>
      </c>
      <c r="H550" s="33">
        <v>31050</v>
      </c>
      <c r="I550" s="34">
        <f>Table3[[#This Row],[Volume, kg.]]/1000</f>
        <v>31.05</v>
      </c>
      <c r="J550" s="34">
        <v>0.27610000000000001</v>
      </c>
      <c r="K550" s="34">
        <f t="shared" si="16"/>
        <v>8572.9050000000007</v>
      </c>
      <c r="L550" s="34">
        <v>3.83</v>
      </c>
      <c r="M550" s="34">
        <v>118908</v>
      </c>
      <c r="N550" s="34">
        <f t="shared" si="17"/>
        <v>13.871785584932995</v>
      </c>
    </row>
    <row r="551" spans="1:14" x14ac:dyDescent="0.45">
      <c r="A551" s="30">
        <v>2023</v>
      </c>
      <c r="B551" s="30" t="s">
        <v>11</v>
      </c>
      <c r="C551" s="30" t="s">
        <v>46</v>
      </c>
      <c r="D551" s="30" t="s">
        <v>47</v>
      </c>
      <c r="E551" s="31" t="s">
        <v>322</v>
      </c>
      <c r="F551" s="32" t="s">
        <v>57</v>
      </c>
      <c r="G551" s="32" t="s">
        <v>50</v>
      </c>
      <c r="H551" s="33">
        <v>5330</v>
      </c>
      <c r="I551" s="34">
        <f>Table3[[#This Row],[Volume, kg.]]/1000</f>
        <v>5.33</v>
      </c>
      <c r="J551" s="34">
        <v>0.23550000000000001</v>
      </c>
      <c r="K551" s="34">
        <f t="shared" si="16"/>
        <v>1255.2150000000001</v>
      </c>
      <c r="L551" s="34">
        <v>3.65</v>
      </c>
      <c r="M551" s="34">
        <v>19454.5</v>
      </c>
      <c r="N551" s="34">
        <f t="shared" si="17"/>
        <v>15.498938428874734</v>
      </c>
    </row>
    <row r="552" spans="1:14" x14ac:dyDescent="0.45">
      <c r="A552" s="30">
        <v>2023</v>
      </c>
      <c r="B552" s="30" t="s">
        <v>11</v>
      </c>
      <c r="C552" s="30" t="s">
        <v>46</v>
      </c>
      <c r="D552" s="30" t="s">
        <v>47</v>
      </c>
      <c r="E552" s="31" t="s">
        <v>73</v>
      </c>
      <c r="F552" s="32" t="s">
        <v>49</v>
      </c>
      <c r="G552" s="32" t="s">
        <v>50</v>
      </c>
      <c r="H552" s="33">
        <v>21980</v>
      </c>
      <c r="I552" s="34">
        <f>Table3[[#This Row],[Volume, kg.]]/1000</f>
        <v>21.98</v>
      </c>
      <c r="J552" s="34">
        <v>0.25619999999999998</v>
      </c>
      <c r="K552" s="34">
        <f t="shared" si="16"/>
        <v>5631.2759999999998</v>
      </c>
      <c r="L552" s="34">
        <v>3.74</v>
      </c>
      <c r="M552" s="34">
        <v>82239</v>
      </c>
      <c r="N552" s="34">
        <f t="shared" si="17"/>
        <v>14.597970335675255</v>
      </c>
    </row>
    <row r="553" spans="1:14" x14ac:dyDescent="0.45">
      <c r="A553" s="30">
        <v>2023</v>
      </c>
      <c r="B553" s="30" t="s">
        <v>11</v>
      </c>
      <c r="C553" s="30" t="s">
        <v>46</v>
      </c>
      <c r="D553" s="30" t="s">
        <v>47</v>
      </c>
      <c r="E553" s="31" t="s">
        <v>163</v>
      </c>
      <c r="F553" s="32" t="s">
        <v>60</v>
      </c>
      <c r="G553" s="32" t="s">
        <v>50</v>
      </c>
      <c r="H553" s="33">
        <v>31590</v>
      </c>
      <c r="I553" s="34">
        <f>Table3[[#This Row],[Volume, kg.]]/1000</f>
        <v>31.59</v>
      </c>
      <c r="J553" s="34">
        <v>0.2492</v>
      </c>
      <c r="K553" s="34">
        <f t="shared" si="16"/>
        <v>7872.2280000000001</v>
      </c>
      <c r="L553" s="34">
        <v>3.69</v>
      </c>
      <c r="M553" s="34">
        <v>116626.5</v>
      </c>
      <c r="N553" s="34">
        <f t="shared" si="17"/>
        <v>14.807383627608345</v>
      </c>
    </row>
    <row r="554" spans="1:14" x14ac:dyDescent="0.45">
      <c r="A554" s="30">
        <v>2023</v>
      </c>
      <c r="B554" s="30" t="s">
        <v>11</v>
      </c>
      <c r="C554" s="30" t="s">
        <v>46</v>
      </c>
      <c r="D554" s="30" t="s">
        <v>47</v>
      </c>
      <c r="E554" s="31" t="s">
        <v>170</v>
      </c>
      <c r="F554" s="32" t="s">
        <v>49</v>
      </c>
      <c r="G554" s="32" t="s">
        <v>50</v>
      </c>
      <c r="H554" s="33">
        <v>72260</v>
      </c>
      <c r="I554" s="34">
        <f>Table3[[#This Row],[Volume, kg.]]/1000</f>
        <v>72.260000000000005</v>
      </c>
      <c r="J554" s="34">
        <v>0.28420000000000001</v>
      </c>
      <c r="K554" s="34">
        <f t="shared" si="16"/>
        <v>20536.292000000001</v>
      </c>
      <c r="L554" s="34">
        <v>3.89</v>
      </c>
      <c r="M554" s="34">
        <v>281165</v>
      </c>
      <c r="N554" s="34">
        <f t="shared" si="17"/>
        <v>13.687543983110485</v>
      </c>
    </row>
    <row r="555" spans="1:14" x14ac:dyDescent="0.45">
      <c r="A555" s="30">
        <v>2023</v>
      </c>
      <c r="B555" s="30" t="s">
        <v>11</v>
      </c>
      <c r="C555" s="30" t="s">
        <v>46</v>
      </c>
      <c r="D555" s="30" t="s">
        <v>47</v>
      </c>
      <c r="E555" s="31" t="s">
        <v>301</v>
      </c>
      <c r="F555" s="32" t="s">
        <v>60</v>
      </c>
      <c r="G555" s="32" t="s">
        <v>50</v>
      </c>
      <c r="H555" s="33">
        <v>8760</v>
      </c>
      <c r="I555" s="34">
        <f>Table3[[#This Row],[Volume, kg.]]/1000</f>
        <v>8.76</v>
      </c>
      <c r="J555" s="34">
        <v>0.25850000000000001</v>
      </c>
      <c r="K555" s="34">
        <f t="shared" si="16"/>
        <v>2264.46</v>
      </c>
      <c r="L555" s="34">
        <v>3.75</v>
      </c>
      <c r="M555" s="34">
        <v>32850</v>
      </c>
      <c r="N555" s="34">
        <f t="shared" si="17"/>
        <v>14.506769825918761</v>
      </c>
    </row>
    <row r="556" spans="1:14" x14ac:dyDescent="0.45">
      <c r="A556" s="30">
        <v>2023</v>
      </c>
      <c r="B556" s="30" t="s">
        <v>11</v>
      </c>
      <c r="C556" s="30" t="s">
        <v>46</v>
      </c>
      <c r="D556" s="30" t="s">
        <v>47</v>
      </c>
      <c r="E556" s="31" t="s">
        <v>258</v>
      </c>
      <c r="F556" s="32" t="s">
        <v>49</v>
      </c>
      <c r="G556" s="32" t="s">
        <v>50</v>
      </c>
      <c r="H556" s="33">
        <v>299900</v>
      </c>
      <c r="I556" s="34">
        <f>Table3[[#This Row],[Volume, kg.]]/1000</f>
        <v>299.89999999999998</v>
      </c>
      <c r="J556" s="34">
        <v>0.245</v>
      </c>
      <c r="K556" s="34">
        <f t="shared" si="16"/>
        <v>73475.5</v>
      </c>
      <c r="L556" s="34">
        <v>3.69</v>
      </c>
      <c r="M556" s="34">
        <v>1105189.5</v>
      </c>
      <c r="N556" s="34">
        <f t="shared" si="17"/>
        <v>15.061224489795919</v>
      </c>
    </row>
    <row r="557" spans="1:14" x14ac:dyDescent="0.45">
      <c r="A557" s="30">
        <v>2023</v>
      </c>
      <c r="B557" s="30" t="s">
        <v>11</v>
      </c>
      <c r="C557" s="30" t="s">
        <v>46</v>
      </c>
      <c r="D557" s="30" t="s">
        <v>47</v>
      </c>
      <c r="E557" s="31" t="s">
        <v>363</v>
      </c>
      <c r="F557" s="32" t="s">
        <v>60</v>
      </c>
      <c r="G557" s="32" t="s">
        <v>50</v>
      </c>
      <c r="H557" s="33">
        <v>21130</v>
      </c>
      <c r="I557" s="34">
        <f>Table3[[#This Row],[Volume, kg.]]/1000</f>
        <v>21.13</v>
      </c>
      <c r="J557" s="34">
        <v>0.22559999999999999</v>
      </c>
      <c r="K557" s="34">
        <f t="shared" si="16"/>
        <v>4766.9279999999999</v>
      </c>
      <c r="L557" s="34">
        <v>3.57</v>
      </c>
      <c r="M557" s="34">
        <v>75421.5</v>
      </c>
      <c r="N557" s="34">
        <f t="shared" si="17"/>
        <v>15.824468085106382</v>
      </c>
    </row>
    <row r="558" spans="1:14" x14ac:dyDescent="0.45">
      <c r="A558" s="30">
        <v>2023</v>
      </c>
      <c r="B558" s="30" t="s">
        <v>11</v>
      </c>
      <c r="C558" s="30" t="s">
        <v>46</v>
      </c>
      <c r="D558" s="30" t="s">
        <v>47</v>
      </c>
      <c r="E558" s="31" t="s">
        <v>166</v>
      </c>
      <c r="F558" s="32" t="s">
        <v>49</v>
      </c>
      <c r="G558" s="32" t="s">
        <v>50</v>
      </c>
      <c r="H558" s="33">
        <v>18770</v>
      </c>
      <c r="I558" s="34">
        <f>Table3[[#This Row],[Volume, kg.]]/1000</f>
        <v>18.77</v>
      </c>
      <c r="J558" s="34">
        <v>0.23120000000000002</v>
      </c>
      <c r="K558" s="34">
        <f t="shared" si="16"/>
        <v>4339.6240000000007</v>
      </c>
      <c r="L558" s="34">
        <v>3.66</v>
      </c>
      <c r="M558" s="34">
        <v>68634</v>
      </c>
      <c r="N558" s="34">
        <f t="shared" si="17"/>
        <v>15.83044982698962</v>
      </c>
    </row>
    <row r="559" spans="1:14" x14ac:dyDescent="0.45">
      <c r="A559" s="30">
        <v>2023</v>
      </c>
      <c r="B559" s="30" t="s">
        <v>11</v>
      </c>
      <c r="C559" s="30" t="s">
        <v>46</v>
      </c>
      <c r="D559" s="30" t="s">
        <v>47</v>
      </c>
      <c r="E559" s="31" t="s">
        <v>293</v>
      </c>
      <c r="F559" s="32" t="s">
        <v>60</v>
      </c>
      <c r="G559" s="32" t="s">
        <v>50</v>
      </c>
      <c r="H559" s="33">
        <v>64410</v>
      </c>
      <c r="I559" s="34">
        <f>Table3[[#This Row],[Volume, kg.]]/1000</f>
        <v>64.41</v>
      </c>
      <c r="J559" s="34">
        <v>0.25269999999999998</v>
      </c>
      <c r="K559" s="34">
        <f t="shared" si="16"/>
        <v>16276.406999999999</v>
      </c>
      <c r="L559" s="34">
        <v>3.7</v>
      </c>
      <c r="M559" s="34">
        <v>238144.5</v>
      </c>
      <c r="N559" s="34">
        <f t="shared" si="17"/>
        <v>14.641867827463397</v>
      </c>
    </row>
    <row r="560" spans="1:14" x14ac:dyDescent="0.45">
      <c r="A560" s="30">
        <v>2023</v>
      </c>
      <c r="B560" s="30" t="s">
        <v>11</v>
      </c>
      <c r="C560" s="30" t="s">
        <v>46</v>
      </c>
      <c r="D560" s="30" t="s">
        <v>47</v>
      </c>
      <c r="E560" s="31" t="s">
        <v>242</v>
      </c>
      <c r="F560" s="32" t="s">
        <v>60</v>
      </c>
      <c r="G560" s="32" t="s">
        <v>50</v>
      </c>
      <c r="H560" s="33">
        <v>12530</v>
      </c>
      <c r="I560" s="34">
        <f>Table3[[#This Row],[Volume, kg.]]/1000</f>
        <v>12.53</v>
      </c>
      <c r="J560" s="34">
        <v>0.27699999999999997</v>
      </c>
      <c r="K560" s="34">
        <f t="shared" si="16"/>
        <v>3470.8099999999995</v>
      </c>
      <c r="L560" s="34">
        <v>3.9</v>
      </c>
      <c r="M560" s="34">
        <v>48867</v>
      </c>
      <c r="N560" s="34">
        <f t="shared" si="17"/>
        <v>14.079422382671481</v>
      </c>
    </row>
    <row r="561" spans="1:14" x14ac:dyDescent="0.45">
      <c r="A561" s="30">
        <v>2023</v>
      </c>
      <c r="B561" s="30" t="s">
        <v>11</v>
      </c>
      <c r="C561" s="30" t="s">
        <v>46</v>
      </c>
      <c r="D561" s="30" t="s">
        <v>47</v>
      </c>
      <c r="E561" s="31" t="s">
        <v>384</v>
      </c>
      <c r="F561" s="32" t="s">
        <v>60</v>
      </c>
      <c r="G561" s="32" t="s">
        <v>50</v>
      </c>
      <c r="H561" s="33">
        <v>2360</v>
      </c>
      <c r="I561" s="34">
        <f>Table3[[#This Row],[Volume, kg.]]/1000</f>
        <v>2.36</v>
      </c>
      <c r="J561" s="34">
        <v>0.252</v>
      </c>
      <c r="K561" s="34">
        <f t="shared" si="16"/>
        <v>594.72</v>
      </c>
      <c r="L561" s="34">
        <v>3.7</v>
      </c>
      <c r="M561" s="34">
        <v>8732</v>
      </c>
      <c r="N561" s="34">
        <f t="shared" si="17"/>
        <v>14.682539682539684</v>
      </c>
    </row>
    <row r="562" spans="1:14" x14ac:dyDescent="0.45">
      <c r="A562" s="30">
        <v>2023</v>
      </c>
      <c r="B562" s="30" t="s">
        <v>11</v>
      </c>
      <c r="C562" s="30" t="s">
        <v>46</v>
      </c>
      <c r="D562" s="30" t="s">
        <v>47</v>
      </c>
      <c r="E562" s="31" t="s">
        <v>244</v>
      </c>
      <c r="F562" s="32" t="s">
        <v>60</v>
      </c>
      <c r="G562" s="32" t="s">
        <v>50</v>
      </c>
      <c r="H562" s="33">
        <v>3190</v>
      </c>
      <c r="I562" s="34">
        <f>Table3[[#This Row],[Volume, kg.]]/1000</f>
        <v>3.19</v>
      </c>
      <c r="J562" s="34">
        <v>0.25800000000000001</v>
      </c>
      <c r="K562" s="34">
        <f t="shared" si="16"/>
        <v>823.02</v>
      </c>
      <c r="L562" s="34">
        <v>3.8</v>
      </c>
      <c r="M562" s="34">
        <v>12122</v>
      </c>
      <c r="N562" s="34">
        <f t="shared" si="17"/>
        <v>14.728682170542635</v>
      </c>
    </row>
    <row r="563" spans="1:14" x14ac:dyDescent="0.45">
      <c r="A563" s="30">
        <v>2023</v>
      </c>
      <c r="B563" s="30" t="s">
        <v>11</v>
      </c>
      <c r="C563" s="30" t="s">
        <v>46</v>
      </c>
      <c r="D563" s="30" t="s">
        <v>47</v>
      </c>
      <c r="E563" s="31" t="s">
        <v>256</v>
      </c>
      <c r="F563" s="32" t="s">
        <v>81</v>
      </c>
      <c r="G563" s="32" t="s">
        <v>50</v>
      </c>
      <c r="H563" s="33">
        <v>28670</v>
      </c>
      <c r="I563" s="34">
        <f>Table3[[#This Row],[Volume, kg.]]/1000</f>
        <v>28.67</v>
      </c>
      <c r="J563" s="34">
        <v>0.26</v>
      </c>
      <c r="K563" s="34">
        <f t="shared" si="16"/>
        <v>7454.2</v>
      </c>
      <c r="L563" s="34">
        <v>3.7</v>
      </c>
      <c r="M563" s="34">
        <v>106140</v>
      </c>
      <c r="N563" s="34">
        <f t="shared" si="17"/>
        <v>14.230769230769232</v>
      </c>
    </row>
    <row r="564" spans="1:14" x14ac:dyDescent="0.45">
      <c r="A564" s="30">
        <v>2023</v>
      </c>
      <c r="B564" s="30" t="s">
        <v>11</v>
      </c>
      <c r="C564" s="30" t="s">
        <v>46</v>
      </c>
      <c r="D564" s="30" t="s">
        <v>47</v>
      </c>
      <c r="E564" s="31" t="s">
        <v>380</v>
      </c>
      <c r="F564" s="32" t="s">
        <v>49</v>
      </c>
      <c r="G564" s="32" t="s">
        <v>50</v>
      </c>
      <c r="H564" s="33">
        <v>18300</v>
      </c>
      <c r="I564" s="34">
        <f>Table3[[#This Row],[Volume, kg.]]/1000</f>
        <v>18.3</v>
      </c>
      <c r="J564" s="34">
        <v>0.22589999999999999</v>
      </c>
      <c r="K564" s="34">
        <f t="shared" si="16"/>
        <v>4133.97</v>
      </c>
      <c r="L564" s="34">
        <v>3.59</v>
      </c>
      <c r="M564" s="34">
        <v>65742</v>
      </c>
      <c r="N564" s="34">
        <f t="shared" si="17"/>
        <v>15.891987605135016</v>
      </c>
    </row>
    <row r="565" spans="1:14" x14ac:dyDescent="0.45">
      <c r="A565" s="30">
        <v>2023</v>
      </c>
      <c r="B565" s="30" t="s">
        <v>11</v>
      </c>
      <c r="C565" s="30" t="s">
        <v>46</v>
      </c>
      <c r="D565" s="30" t="s">
        <v>47</v>
      </c>
      <c r="E565" s="31" t="s">
        <v>287</v>
      </c>
      <c r="F565" s="32" t="s">
        <v>60</v>
      </c>
      <c r="G565" s="32" t="s">
        <v>50</v>
      </c>
      <c r="H565" s="33">
        <v>2120</v>
      </c>
      <c r="I565" s="34">
        <f>Table3[[#This Row],[Volume, kg.]]/1000</f>
        <v>2.12</v>
      </c>
      <c r="J565" s="34">
        <v>0.20949999999999999</v>
      </c>
      <c r="K565" s="34">
        <f t="shared" si="16"/>
        <v>444.14</v>
      </c>
      <c r="L565" s="34">
        <v>3.55</v>
      </c>
      <c r="M565" s="34">
        <v>7526</v>
      </c>
      <c r="N565" s="34">
        <f t="shared" si="17"/>
        <v>16.94510739856802</v>
      </c>
    </row>
    <row r="566" spans="1:14" x14ac:dyDescent="0.45">
      <c r="A566" s="30">
        <v>2023</v>
      </c>
      <c r="B566" s="30" t="s">
        <v>11</v>
      </c>
      <c r="C566" s="30" t="s">
        <v>46</v>
      </c>
      <c r="D566" s="30" t="s">
        <v>47</v>
      </c>
      <c r="E566" s="31" t="s">
        <v>164</v>
      </c>
      <c r="F566" s="32" t="s">
        <v>49</v>
      </c>
      <c r="G566" s="32" t="s">
        <v>50</v>
      </c>
      <c r="H566" s="33">
        <v>3400</v>
      </c>
      <c r="I566" s="34">
        <f>Table3[[#This Row],[Volume, kg.]]/1000</f>
        <v>3.4</v>
      </c>
      <c r="J566" s="34">
        <v>0.23309999999999997</v>
      </c>
      <c r="K566" s="34">
        <f t="shared" si="16"/>
        <v>792.54</v>
      </c>
      <c r="L566" s="34">
        <v>3.63</v>
      </c>
      <c r="M566" s="34">
        <v>12333</v>
      </c>
      <c r="N566" s="34">
        <f t="shared" si="17"/>
        <v>15.572715572715573</v>
      </c>
    </row>
    <row r="567" spans="1:14" x14ac:dyDescent="0.45">
      <c r="A567" s="30">
        <v>2023</v>
      </c>
      <c r="B567" s="30" t="s">
        <v>11</v>
      </c>
      <c r="C567" s="30" t="s">
        <v>46</v>
      </c>
      <c r="D567" s="30" t="s">
        <v>47</v>
      </c>
      <c r="E567" s="31" t="s">
        <v>220</v>
      </c>
      <c r="F567" s="32" t="s">
        <v>49</v>
      </c>
      <c r="G567" s="32" t="s">
        <v>50</v>
      </c>
      <c r="H567" s="33">
        <v>21150</v>
      </c>
      <c r="I567" s="34">
        <f>Table3[[#This Row],[Volume, kg.]]/1000</f>
        <v>21.15</v>
      </c>
      <c r="J567" s="34">
        <v>0.2402</v>
      </c>
      <c r="K567" s="34">
        <f t="shared" si="16"/>
        <v>5080.2299999999996</v>
      </c>
      <c r="L567" s="34">
        <v>3.67</v>
      </c>
      <c r="M567" s="34">
        <v>77542</v>
      </c>
      <c r="N567" s="34">
        <f t="shared" si="17"/>
        <v>15.278934221482098</v>
      </c>
    </row>
    <row r="568" spans="1:14" x14ac:dyDescent="0.45">
      <c r="A568" s="30">
        <v>2023</v>
      </c>
      <c r="B568" s="30" t="s">
        <v>11</v>
      </c>
      <c r="C568" s="30" t="s">
        <v>46</v>
      </c>
      <c r="D568" s="30" t="s">
        <v>47</v>
      </c>
      <c r="E568" s="31" t="s">
        <v>294</v>
      </c>
      <c r="F568" s="32" t="s">
        <v>81</v>
      </c>
      <c r="G568" s="32" t="s">
        <v>50</v>
      </c>
      <c r="H568" s="33">
        <v>9220</v>
      </c>
      <c r="I568" s="34">
        <f>Table3[[#This Row],[Volume, kg.]]/1000</f>
        <v>9.2200000000000006</v>
      </c>
      <c r="J568" s="34">
        <v>0.23350000000000001</v>
      </c>
      <c r="K568" s="34">
        <f t="shared" si="16"/>
        <v>2152.8700000000003</v>
      </c>
      <c r="L568" s="34">
        <v>3.65</v>
      </c>
      <c r="M568" s="34">
        <v>33653</v>
      </c>
      <c r="N568" s="34">
        <f t="shared" si="17"/>
        <v>15.631691648822269</v>
      </c>
    </row>
    <row r="569" spans="1:14" x14ac:dyDescent="0.45">
      <c r="A569" s="30">
        <v>2023</v>
      </c>
      <c r="B569" s="30" t="s">
        <v>11</v>
      </c>
      <c r="C569" s="30" t="s">
        <v>46</v>
      </c>
      <c r="D569" s="30" t="s">
        <v>47</v>
      </c>
      <c r="E569" s="31" t="s">
        <v>358</v>
      </c>
      <c r="F569" s="32" t="s">
        <v>60</v>
      </c>
      <c r="G569" s="32" t="s">
        <v>50</v>
      </c>
      <c r="H569" s="33">
        <v>16090</v>
      </c>
      <c r="I569" s="34">
        <f>Table3[[#This Row],[Volume, kg.]]/1000</f>
        <v>16.09</v>
      </c>
      <c r="J569" s="34">
        <v>0.26300000000000001</v>
      </c>
      <c r="K569" s="34">
        <f t="shared" si="16"/>
        <v>4231.67</v>
      </c>
      <c r="L569" s="34">
        <v>3.78</v>
      </c>
      <c r="M569" s="34">
        <v>60822</v>
      </c>
      <c r="N569" s="34">
        <f t="shared" si="17"/>
        <v>14.372623574144486</v>
      </c>
    </row>
    <row r="570" spans="1:14" x14ac:dyDescent="0.45">
      <c r="A570" s="30">
        <v>2023</v>
      </c>
      <c r="B570" s="30" t="s">
        <v>11</v>
      </c>
      <c r="C570" s="30" t="s">
        <v>46</v>
      </c>
      <c r="D570" s="30" t="s">
        <v>47</v>
      </c>
      <c r="E570" s="31" t="s">
        <v>260</v>
      </c>
      <c r="F570" s="32" t="s">
        <v>49</v>
      </c>
      <c r="G570" s="32" t="s">
        <v>50</v>
      </c>
      <c r="H570" s="33">
        <v>29540</v>
      </c>
      <c r="I570" s="34">
        <f>Table3[[#This Row],[Volume, kg.]]/1000</f>
        <v>29.54</v>
      </c>
      <c r="J570" s="34">
        <v>0.2263</v>
      </c>
      <c r="K570" s="34">
        <f t="shared" si="16"/>
        <v>6684.902</v>
      </c>
      <c r="L570" s="34">
        <v>3.62</v>
      </c>
      <c r="M570" s="34">
        <v>107012</v>
      </c>
      <c r="N570" s="34">
        <f t="shared" si="17"/>
        <v>15.996464869642068</v>
      </c>
    </row>
    <row r="571" spans="1:14" x14ac:dyDescent="0.45">
      <c r="A571" s="30">
        <v>2023</v>
      </c>
      <c r="B571" s="30" t="s">
        <v>11</v>
      </c>
      <c r="C571" s="30" t="s">
        <v>46</v>
      </c>
      <c r="D571" s="30" t="s">
        <v>47</v>
      </c>
      <c r="E571" s="31" t="s">
        <v>187</v>
      </c>
      <c r="F571" s="32" t="s">
        <v>54</v>
      </c>
      <c r="G571" s="32" t="s">
        <v>50</v>
      </c>
      <c r="H571" s="33">
        <v>15480</v>
      </c>
      <c r="I571" s="34">
        <f>Table3[[#This Row],[Volume, kg.]]/1000</f>
        <v>15.48</v>
      </c>
      <c r="J571" s="34">
        <v>0.27829999999999999</v>
      </c>
      <c r="K571" s="34">
        <f t="shared" si="16"/>
        <v>4308.0839999999998</v>
      </c>
      <c r="L571" s="34">
        <v>3.85</v>
      </c>
      <c r="M571" s="34">
        <v>59598</v>
      </c>
      <c r="N571" s="34">
        <f t="shared" si="17"/>
        <v>13.83399209486166</v>
      </c>
    </row>
    <row r="572" spans="1:14" x14ac:dyDescent="0.45">
      <c r="A572" s="30">
        <v>2023</v>
      </c>
      <c r="B572" s="30" t="s">
        <v>11</v>
      </c>
      <c r="C572" s="30" t="s">
        <v>46</v>
      </c>
      <c r="D572" s="30" t="s">
        <v>47</v>
      </c>
      <c r="E572" s="31" t="s">
        <v>191</v>
      </c>
      <c r="F572" s="32" t="s">
        <v>49</v>
      </c>
      <c r="G572" s="32" t="s">
        <v>50</v>
      </c>
      <c r="H572" s="33">
        <v>25980</v>
      </c>
      <c r="I572" s="34">
        <f>Table3[[#This Row],[Volume, kg.]]/1000</f>
        <v>25.98</v>
      </c>
      <c r="J572" s="34">
        <v>0.21859999999999999</v>
      </c>
      <c r="K572" s="34">
        <f t="shared" si="16"/>
        <v>5679.2280000000001</v>
      </c>
      <c r="L572" s="34">
        <v>3.54</v>
      </c>
      <c r="M572" s="34">
        <v>91999</v>
      </c>
      <c r="N572" s="34">
        <f t="shared" si="17"/>
        <v>16.193961573650505</v>
      </c>
    </row>
    <row r="573" spans="1:14" x14ac:dyDescent="0.45">
      <c r="A573" s="30">
        <v>2023</v>
      </c>
      <c r="B573" s="30" t="s">
        <v>11</v>
      </c>
      <c r="C573" s="30" t="s">
        <v>46</v>
      </c>
      <c r="D573" s="30" t="s">
        <v>47</v>
      </c>
      <c r="E573" s="31" t="s">
        <v>291</v>
      </c>
      <c r="F573" s="32" t="s">
        <v>57</v>
      </c>
      <c r="G573" s="32" t="s">
        <v>50</v>
      </c>
      <c r="H573" s="33">
        <v>24650</v>
      </c>
      <c r="I573" s="34">
        <f>Table3[[#This Row],[Volume, kg.]]/1000</f>
        <v>24.65</v>
      </c>
      <c r="J573" s="34">
        <v>0.26129999999999998</v>
      </c>
      <c r="K573" s="34">
        <f t="shared" si="16"/>
        <v>6441.0449999999992</v>
      </c>
      <c r="L573" s="34">
        <v>3.8</v>
      </c>
      <c r="M573" s="34">
        <v>93649.5</v>
      </c>
      <c r="N573" s="34">
        <f t="shared" si="17"/>
        <v>14.54267125908917</v>
      </c>
    </row>
    <row r="574" spans="1:14" x14ac:dyDescent="0.45">
      <c r="A574" s="30">
        <v>2023</v>
      </c>
      <c r="B574" s="30" t="s">
        <v>11</v>
      </c>
      <c r="C574" s="30" t="s">
        <v>46</v>
      </c>
      <c r="D574" s="30" t="s">
        <v>47</v>
      </c>
      <c r="E574" s="31" t="s">
        <v>352</v>
      </c>
      <c r="F574" s="32" t="s">
        <v>54</v>
      </c>
      <c r="G574" s="32" t="s">
        <v>50</v>
      </c>
      <c r="H574" s="33">
        <v>27570</v>
      </c>
      <c r="I574" s="34">
        <f>Table3[[#This Row],[Volume, kg.]]/1000</f>
        <v>27.57</v>
      </c>
      <c r="J574" s="34">
        <v>0.24600000000000002</v>
      </c>
      <c r="K574" s="34">
        <f t="shared" si="16"/>
        <v>6782.22</v>
      </c>
      <c r="L574" s="34">
        <v>3.69</v>
      </c>
      <c r="M574" s="34">
        <v>101684</v>
      </c>
      <c r="N574" s="34">
        <f t="shared" si="17"/>
        <v>14.999999999999998</v>
      </c>
    </row>
    <row r="575" spans="1:14" x14ac:dyDescent="0.45">
      <c r="A575" s="30">
        <v>2023</v>
      </c>
      <c r="B575" s="30" t="s">
        <v>11</v>
      </c>
      <c r="C575" s="30" t="s">
        <v>46</v>
      </c>
      <c r="D575" s="30" t="s">
        <v>47</v>
      </c>
      <c r="E575" s="31" t="s">
        <v>385</v>
      </c>
      <c r="F575" s="32" t="s">
        <v>57</v>
      </c>
      <c r="G575" s="32" t="s">
        <v>50</v>
      </c>
      <c r="H575" s="33">
        <v>16980</v>
      </c>
      <c r="I575" s="34">
        <f>Table3[[#This Row],[Volume, kg.]]/1000</f>
        <v>16.98</v>
      </c>
      <c r="J575" s="34">
        <v>0.28300000000000003</v>
      </c>
      <c r="K575" s="34">
        <f t="shared" si="16"/>
        <v>4805.34</v>
      </c>
      <c r="L575" s="34">
        <v>3.9</v>
      </c>
      <c r="M575" s="34">
        <v>66222</v>
      </c>
      <c r="N575" s="34">
        <f t="shared" si="17"/>
        <v>13.780918727915193</v>
      </c>
    </row>
    <row r="576" spans="1:14" x14ac:dyDescent="0.45">
      <c r="A576" s="30">
        <v>2023</v>
      </c>
      <c r="B576" s="30" t="s">
        <v>11</v>
      </c>
      <c r="C576" s="30" t="s">
        <v>46</v>
      </c>
      <c r="D576" s="30" t="s">
        <v>47</v>
      </c>
      <c r="E576" s="31" t="s">
        <v>142</v>
      </c>
      <c r="F576" s="32" t="s">
        <v>57</v>
      </c>
      <c r="G576" s="32" t="s">
        <v>50</v>
      </c>
      <c r="H576" s="33">
        <v>51380</v>
      </c>
      <c r="I576" s="34">
        <f>Table3[[#This Row],[Volume, kg.]]/1000</f>
        <v>51.38</v>
      </c>
      <c r="J576" s="34">
        <v>0.29289999999999999</v>
      </c>
      <c r="K576" s="34">
        <f t="shared" si="16"/>
        <v>15049.201999999999</v>
      </c>
      <c r="L576" s="34">
        <v>3.94</v>
      </c>
      <c r="M576" s="34">
        <v>202687</v>
      </c>
      <c r="N576" s="34">
        <f t="shared" si="17"/>
        <v>13.451689996585866</v>
      </c>
    </row>
    <row r="577" spans="1:14" x14ac:dyDescent="0.45">
      <c r="A577" s="30">
        <v>2023</v>
      </c>
      <c r="B577" s="30" t="s">
        <v>11</v>
      </c>
      <c r="C577" s="30" t="s">
        <v>46</v>
      </c>
      <c r="D577" s="30" t="s">
        <v>47</v>
      </c>
      <c r="E577" s="31" t="s">
        <v>160</v>
      </c>
      <c r="F577" s="32" t="s">
        <v>49</v>
      </c>
      <c r="G577" s="32" t="s">
        <v>50</v>
      </c>
      <c r="H577" s="33">
        <v>7260</v>
      </c>
      <c r="I577" s="34">
        <f>Table3[[#This Row],[Volume, kg.]]/1000</f>
        <v>7.26</v>
      </c>
      <c r="J577" s="34">
        <v>0.27149999999999996</v>
      </c>
      <c r="K577" s="34">
        <f t="shared" si="16"/>
        <v>1971.0899999999997</v>
      </c>
      <c r="L577" s="34">
        <v>3.79</v>
      </c>
      <c r="M577" s="34">
        <v>27539</v>
      </c>
      <c r="N577" s="34">
        <f t="shared" si="17"/>
        <v>13.959484346224679</v>
      </c>
    </row>
    <row r="578" spans="1:14" x14ac:dyDescent="0.45">
      <c r="A578" s="30">
        <v>2023</v>
      </c>
      <c r="B578" s="30" t="s">
        <v>11</v>
      </c>
      <c r="C578" s="30" t="s">
        <v>46</v>
      </c>
      <c r="D578" s="30" t="s">
        <v>47</v>
      </c>
      <c r="E578" s="31" t="s">
        <v>167</v>
      </c>
      <c r="F578" s="32" t="s">
        <v>49</v>
      </c>
      <c r="G578" s="32" t="s">
        <v>50</v>
      </c>
      <c r="H578" s="33">
        <v>26090</v>
      </c>
      <c r="I578" s="34">
        <f>Table3[[#This Row],[Volume, kg.]]/1000</f>
        <v>26.09</v>
      </c>
      <c r="J578" s="34">
        <v>0.26229999999999998</v>
      </c>
      <c r="K578" s="34">
        <f t="shared" si="16"/>
        <v>6843.4069999999992</v>
      </c>
      <c r="L578" s="34">
        <v>3.75</v>
      </c>
      <c r="M578" s="34">
        <v>97735.5</v>
      </c>
      <c r="N578" s="34">
        <f t="shared" si="17"/>
        <v>14.296606938619902</v>
      </c>
    </row>
    <row r="579" spans="1:14" x14ac:dyDescent="0.45">
      <c r="A579" s="30">
        <v>2023</v>
      </c>
      <c r="B579" s="30" t="s">
        <v>11</v>
      </c>
      <c r="C579" s="30" t="s">
        <v>46</v>
      </c>
      <c r="D579" s="30" t="s">
        <v>47</v>
      </c>
      <c r="E579" s="31" t="s">
        <v>77</v>
      </c>
      <c r="F579" s="32" t="s">
        <v>49</v>
      </c>
      <c r="G579" s="32" t="s">
        <v>50</v>
      </c>
      <c r="H579" s="33">
        <v>31080</v>
      </c>
      <c r="I579" s="34">
        <f>Table3[[#This Row],[Volume, kg.]]/1000</f>
        <v>31.08</v>
      </c>
      <c r="J579" s="34">
        <v>0.25469999999999998</v>
      </c>
      <c r="K579" s="34">
        <f t="shared" ref="K579:K642" si="18">H579*J579</f>
        <v>7916.0759999999991</v>
      </c>
      <c r="L579" s="34">
        <v>3.77</v>
      </c>
      <c r="M579" s="34">
        <v>117024</v>
      </c>
      <c r="N579" s="34">
        <f t="shared" si="17"/>
        <v>14.801727522575581</v>
      </c>
    </row>
    <row r="580" spans="1:14" x14ac:dyDescent="0.45">
      <c r="A580" s="30">
        <v>2023</v>
      </c>
      <c r="B580" s="30" t="s">
        <v>11</v>
      </c>
      <c r="C580" s="30" t="s">
        <v>46</v>
      </c>
      <c r="D580" s="30" t="s">
        <v>47</v>
      </c>
      <c r="E580" s="31" t="s">
        <v>386</v>
      </c>
      <c r="F580" s="32" t="s">
        <v>49</v>
      </c>
      <c r="G580" s="32" t="s">
        <v>50</v>
      </c>
      <c r="H580" s="33">
        <v>11180</v>
      </c>
      <c r="I580" s="34">
        <f>Table3[[#This Row],[Volume, kg.]]/1000</f>
        <v>11.18</v>
      </c>
      <c r="J580" s="34">
        <v>0.215</v>
      </c>
      <c r="K580" s="34">
        <f t="shared" si="18"/>
        <v>2403.6999999999998</v>
      </c>
      <c r="L580" s="34">
        <v>3.55</v>
      </c>
      <c r="M580" s="34">
        <v>39689</v>
      </c>
      <c r="N580" s="34">
        <f t="shared" ref="N580:N643" si="19">L580/J580</f>
        <v>16.511627906976745</v>
      </c>
    </row>
    <row r="581" spans="1:14" x14ac:dyDescent="0.45">
      <c r="A581" s="30">
        <v>2023</v>
      </c>
      <c r="B581" s="30" t="s">
        <v>11</v>
      </c>
      <c r="C581" s="30" t="s">
        <v>46</v>
      </c>
      <c r="D581" s="30" t="s">
        <v>47</v>
      </c>
      <c r="E581" s="31" t="s">
        <v>241</v>
      </c>
      <c r="F581" s="32" t="s">
        <v>57</v>
      </c>
      <c r="G581" s="32" t="s">
        <v>50</v>
      </c>
      <c r="H581" s="33">
        <v>19660</v>
      </c>
      <c r="I581" s="34">
        <f>Table3[[#This Row],[Volume, kg.]]/1000</f>
        <v>19.66</v>
      </c>
      <c r="J581" s="34">
        <v>0.2286</v>
      </c>
      <c r="K581" s="34">
        <f t="shared" si="18"/>
        <v>4494.2759999999998</v>
      </c>
      <c r="L581" s="34">
        <v>3.57</v>
      </c>
      <c r="M581" s="34">
        <v>70105.5</v>
      </c>
      <c r="N581" s="34">
        <f t="shared" si="19"/>
        <v>15.616797900262467</v>
      </c>
    </row>
    <row r="582" spans="1:14" x14ac:dyDescent="0.45">
      <c r="A582" s="30">
        <v>2023</v>
      </c>
      <c r="B582" s="30" t="s">
        <v>11</v>
      </c>
      <c r="C582" s="30" t="s">
        <v>46</v>
      </c>
      <c r="D582" s="30" t="s">
        <v>47</v>
      </c>
      <c r="E582" s="31" t="s">
        <v>263</v>
      </c>
      <c r="F582" s="32" t="s">
        <v>81</v>
      </c>
      <c r="G582" s="32" t="s">
        <v>50</v>
      </c>
      <c r="H582" s="33">
        <v>28940</v>
      </c>
      <c r="I582" s="34">
        <f>Table3[[#This Row],[Volume, kg.]]/1000</f>
        <v>28.94</v>
      </c>
      <c r="J582" s="34">
        <v>0.22699999999999998</v>
      </c>
      <c r="K582" s="34">
        <f t="shared" si="18"/>
        <v>6569.3799999999992</v>
      </c>
      <c r="L582" s="34">
        <v>3.63</v>
      </c>
      <c r="M582" s="34">
        <v>104928.5</v>
      </c>
      <c r="N582" s="34">
        <f t="shared" si="19"/>
        <v>15.991189427312776</v>
      </c>
    </row>
    <row r="583" spans="1:14" x14ac:dyDescent="0.45">
      <c r="A583" s="30">
        <v>2023</v>
      </c>
      <c r="B583" s="30" t="s">
        <v>11</v>
      </c>
      <c r="C583" s="30" t="s">
        <v>46</v>
      </c>
      <c r="D583" s="30" t="s">
        <v>47</v>
      </c>
      <c r="E583" s="31" t="s">
        <v>387</v>
      </c>
      <c r="F583" s="32" t="s">
        <v>57</v>
      </c>
      <c r="G583" s="32" t="s">
        <v>50</v>
      </c>
      <c r="H583" s="33">
        <v>13880</v>
      </c>
      <c r="I583" s="34">
        <f>Table3[[#This Row],[Volume, kg.]]/1000</f>
        <v>13.88</v>
      </c>
      <c r="J583" s="34">
        <v>0.25489999999999996</v>
      </c>
      <c r="K583" s="34">
        <f t="shared" si="18"/>
        <v>3538.0119999999993</v>
      </c>
      <c r="L583" s="34">
        <v>3.64</v>
      </c>
      <c r="M583" s="34">
        <v>50486.5</v>
      </c>
      <c r="N583" s="34">
        <f t="shared" si="19"/>
        <v>14.280109846998826</v>
      </c>
    </row>
    <row r="584" spans="1:14" x14ac:dyDescent="0.45">
      <c r="A584" s="30">
        <v>2023</v>
      </c>
      <c r="B584" s="30" t="s">
        <v>11</v>
      </c>
      <c r="C584" s="30" t="s">
        <v>46</v>
      </c>
      <c r="D584" s="30" t="s">
        <v>47</v>
      </c>
      <c r="E584" s="31" t="s">
        <v>111</v>
      </c>
      <c r="F584" s="32" t="s">
        <v>60</v>
      </c>
      <c r="G584" s="32" t="s">
        <v>50</v>
      </c>
      <c r="H584" s="33">
        <v>30360</v>
      </c>
      <c r="I584" s="34">
        <f>Table3[[#This Row],[Volume, kg.]]/1000</f>
        <v>30.36</v>
      </c>
      <c r="J584" s="34">
        <v>0.24230000000000002</v>
      </c>
      <c r="K584" s="34">
        <f t="shared" si="18"/>
        <v>7356.2280000000001</v>
      </c>
      <c r="L584" s="34">
        <v>3.68</v>
      </c>
      <c r="M584" s="34">
        <v>111776</v>
      </c>
      <c r="N584" s="34">
        <f t="shared" si="19"/>
        <v>15.187783739166322</v>
      </c>
    </row>
    <row r="585" spans="1:14" x14ac:dyDescent="0.45">
      <c r="A585" s="30">
        <v>2023</v>
      </c>
      <c r="B585" s="30" t="s">
        <v>11</v>
      </c>
      <c r="C585" s="30" t="s">
        <v>46</v>
      </c>
      <c r="D585" s="30" t="s">
        <v>47</v>
      </c>
      <c r="E585" s="31" t="s">
        <v>121</v>
      </c>
      <c r="F585" s="32" t="s">
        <v>60</v>
      </c>
      <c r="G585" s="32" t="s">
        <v>50</v>
      </c>
      <c r="H585" s="33">
        <v>26550</v>
      </c>
      <c r="I585" s="34">
        <f>Table3[[#This Row],[Volume, kg.]]/1000</f>
        <v>26.55</v>
      </c>
      <c r="J585" s="34">
        <v>0.2175</v>
      </c>
      <c r="K585" s="34">
        <f t="shared" si="18"/>
        <v>5774.625</v>
      </c>
      <c r="L585" s="34">
        <v>3.55</v>
      </c>
      <c r="M585" s="34">
        <v>94220</v>
      </c>
      <c r="N585" s="34">
        <f t="shared" si="19"/>
        <v>16.321839080459771</v>
      </c>
    </row>
    <row r="586" spans="1:14" x14ac:dyDescent="0.45">
      <c r="A586" s="30">
        <v>2023</v>
      </c>
      <c r="B586" s="30" t="s">
        <v>11</v>
      </c>
      <c r="C586" s="30" t="s">
        <v>46</v>
      </c>
      <c r="D586" s="30" t="s">
        <v>47</v>
      </c>
      <c r="E586" s="31" t="s">
        <v>388</v>
      </c>
      <c r="F586" s="32" t="s">
        <v>134</v>
      </c>
      <c r="G586" s="32" t="s">
        <v>50</v>
      </c>
      <c r="H586" s="33">
        <v>10150</v>
      </c>
      <c r="I586" s="34">
        <f>Table3[[#This Row],[Volume, kg.]]/1000</f>
        <v>10.15</v>
      </c>
      <c r="J586" s="34">
        <v>0.19149999999999998</v>
      </c>
      <c r="K586" s="34">
        <f t="shared" si="18"/>
        <v>1943.7249999999997</v>
      </c>
      <c r="L586" s="34">
        <v>3.4</v>
      </c>
      <c r="M586" s="34">
        <v>34510</v>
      </c>
      <c r="N586" s="34">
        <f t="shared" si="19"/>
        <v>17.754569190600524</v>
      </c>
    </row>
    <row r="587" spans="1:14" x14ac:dyDescent="0.45">
      <c r="A587" s="30">
        <v>2023</v>
      </c>
      <c r="B587" s="30" t="s">
        <v>11</v>
      </c>
      <c r="C587" s="30" t="s">
        <v>46</v>
      </c>
      <c r="D587" s="30" t="s">
        <v>47</v>
      </c>
      <c r="E587" s="31" t="s">
        <v>321</v>
      </c>
      <c r="F587" s="32" t="s">
        <v>49</v>
      </c>
      <c r="G587" s="32" t="s">
        <v>50</v>
      </c>
      <c r="H587" s="33">
        <v>8440</v>
      </c>
      <c r="I587" s="34">
        <f>Table3[[#This Row],[Volume, kg.]]/1000</f>
        <v>8.44</v>
      </c>
      <c r="J587" s="34">
        <v>0.2397</v>
      </c>
      <c r="K587" s="34">
        <f t="shared" si="18"/>
        <v>2023.068</v>
      </c>
      <c r="L587" s="34">
        <v>3.65</v>
      </c>
      <c r="M587" s="34">
        <v>30819</v>
      </c>
      <c r="N587" s="34">
        <f t="shared" si="19"/>
        <v>15.227367542761785</v>
      </c>
    </row>
    <row r="588" spans="1:14" x14ac:dyDescent="0.45">
      <c r="A588" s="30">
        <v>2023</v>
      </c>
      <c r="B588" s="30" t="s">
        <v>11</v>
      </c>
      <c r="C588" s="30" t="s">
        <v>46</v>
      </c>
      <c r="D588" s="30" t="s">
        <v>47</v>
      </c>
      <c r="E588" s="31" t="s">
        <v>59</v>
      </c>
      <c r="F588" s="32" t="s">
        <v>60</v>
      </c>
      <c r="G588" s="32" t="s">
        <v>50</v>
      </c>
      <c r="H588" s="33">
        <v>7470</v>
      </c>
      <c r="I588" s="34">
        <f>Table3[[#This Row],[Volume, kg.]]/1000</f>
        <v>7.47</v>
      </c>
      <c r="J588" s="34">
        <v>0.25850000000000001</v>
      </c>
      <c r="K588" s="34">
        <f t="shared" si="18"/>
        <v>1930.9950000000001</v>
      </c>
      <c r="L588" s="34">
        <v>3.75</v>
      </c>
      <c r="M588" s="34">
        <v>28012.5</v>
      </c>
      <c r="N588" s="34">
        <f t="shared" si="19"/>
        <v>14.506769825918761</v>
      </c>
    </row>
    <row r="589" spans="1:14" x14ac:dyDescent="0.45">
      <c r="A589" s="30">
        <v>2023</v>
      </c>
      <c r="B589" s="30" t="s">
        <v>11</v>
      </c>
      <c r="C589" s="30" t="s">
        <v>46</v>
      </c>
      <c r="D589" s="30" t="s">
        <v>47</v>
      </c>
      <c r="E589" s="31" t="s">
        <v>313</v>
      </c>
      <c r="F589" s="32" t="s">
        <v>60</v>
      </c>
      <c r="G589" s="32" t="s">
        <v>50</v>
      </c>
      <c r="H589" s="33">
        <v>2740</v>
      </c>
      <c r="I589" s="34">
        <f>Table3[[#This Row],[Volume, kg.]]/1000</f>
        <v>2.74</v>
      </c>
      <c r="J589" s="34">
        <v>0.28499999999999998</v>
      </c>
      <c r="K589" s="34">
        <f t="shared" si="18"/>
        <v>780.9</v>
      </c>
      <c r="L589" s="34">
        <v>3.95</v>
      </c>
      <c r="M589" s="34">
        <v>10823</v>
      </c>
      <c r="N589" s="34">
        <f t="shared" si="19"/>
        <v>13.859649122807019</v>
      </c>
    </row>
    <row r="590" spans="1:14" x14ac:dyDescent="0.45">
      <c r="A590" s="30">
        <v>2023</v>
      </c>
      <c r="B590" s="30" t="s">
        <v>11</v>
      </c>
      <c r="C590" s="30" t="s">
        <v>46</v>
      </c>
      <c r="D590" s="30" t="s">
        <v>102</v>
      </c>
      <c r="E590" s="31" t="s">
        <v>389</v>
      </c>
      <c r="F590" s="32" t="s">
        <v>238</v>
      </c>
      <c r="G590" s="32" t="s">
        <v>50</v>
      </c>
      <c r="H590" s="33">
        <v>268590</v>
      </c>
      <c r="I590" s="34">
        <f>Table3[[#This Row],[Volume, kg.]]/1000</f>
        <v>268.58999999999997</v>
      </c>
      <c r="J590" s="34">
        <v>0.22500000000000001</v>
      </c>
      <c r="K590" s="34">
        <f t="shared" si="18"/>
        <v>60432.75</v>
      </c>
      <c r="L590" s="34">
        <v>3.78</v>
      </c>
      <c r="M590" s="34">
        <v>1014534.5</v>
      </c>
      <c r="N590" s="34">
        <f t="shared" si="19"/>
        <v>16.799999999999997</v>
      </c>
    </row>
    <row r="591" spans="1:14" x14ac:dyDescent="0.45">
      <c r="A591" s="30">
        <v>2023</v>
      </c>
      <c r="B591" s="30" t="s">
        <v>11</v>
      </c>
      <c r="C591" s="30" t="s">
        <v>46</v>
      </c>
      <c r="D591" s="30" t="s">
        <v>47</v>
      </c>
      <c r="E591" s="31" t="s">
        <v>288</v>
      </c>
      <c r="F591" s="32" t="s">
        <v>49</v>
      </c>
      <c r="G591" s="32" t="s">
        <v>50</v>
      </c>
      <c r="H591" s="33">
        <v>77540</v>
      </c>
      <c r="I591" s="34">
        <f>Table3[[#This Row],[Volume, kg.]]/1000</f>
        <v>77.540000000000006</v>
      </c>
      <c r="J591" s="34">
        <v>0.28010000000000002</v>
      </c>
      <c r="K591" s="34">
        <f t="shared" si="18"/>
        <v>21718.954000000002</v>
      </c>
      <c r="L591" s="34">
        <v>3.88</v>
      </c>
      <c r="M591" s="34">
        <v>301146.5</v>
      </c>
      <c r="N591" s="34">
        <f t="shared" si="19"/>
        <v>13.852195644412708</v>
      </c>
    </row>
    <row r="592" spans="1:14" x14ac:dyDescent="0.45">
      <c r="A592" s="30">
        <v>2023</v>
      </c>
      <c r="B592" s="30" t="s">
        <v>11</v>
      </c>
      <c r="C592" s="30" t="s">
        <v>46</v>
      </c>
      <c r="D592" s="30" t="s">
        <v>47</v>
      </c>
      <c r="E592" s="31" t="s">
        <v>70</v>
      </c>
      <c r="F592" s="32" t="s">
        <v>49</v>
      </c>
      <c r="G592" s="32" t="s">
        <v>50</v>
      </c>
      <c r="H592" s="33">
        <v>7870</v>
      </c>
      <c r="I592" s="34">
        <f>Table3[[#This Row],[Volume, kg.]]/1000</f>
        <v>7.87</v>
      </c>
      <c r="J592" s="34">
        <v>0.26500000000000001</v>
      </c>
      <c r="K592" s="34">
        <f t="shared" si="18"/>
        <v>2085.5500000000002</v>
      </c>
      <c r="L592" s="34">
        <v>3.8</v>
      </c>
      <c r="M592" s="34">
        <v>29906</v>
      </c>
      <c r="N592" s="34">
        <f t="shared" si="19"/>
        <v>14.339622641509433</v>
      </c>
    </row>
    <row r="593" spans="1:14" x14ac:dyDescent="0.45">
      <c r="A593" s="30">
        <v>2023</v>
      </c>
      <c r="B593" s="30" t="s">
        <v>11</v>
      </c>
      <c r="C593" s="30" t="s">
        <v>46</v>
      </c>
      <c r="D593" s="30" t="s">
        <v>47</v>
      </c>
      <c r="E593" s="31" t="s">
        <v>265</v>
      </c>
      <c r="F593" s="32" t="s">
        <v>49</v>
      </c>
      <c r="G593" s="32" t="s">
        <v>50</v>
      </c>
      <c r="H593" s="33">
        <v>30030</v>
      </c>
      <c r="I593" s="34">
        <f>Table3[[#This Row],[Volume, kg.]]/1000</f>
        <v>30.03</v>
      </c>
      <c r="J593" s="34">
        <v>0.2601</v>
      </c>
      <c r="K593" s="34">
        <f t="shared" si="18"/>
        <v>7810.8029999999999</v>
      </c>
      <c r="L593" s="34">
        <v>3.74</v>
      </c>
      <c r="M593" s="34">
        <v>112438</v>
      </c>
      <c r="N593" s="34">
        <f t="shared" si="19"/>
        <v>14.379084967320262</v>
      </c>
    </row>
    <row r="594" spans="1:14" x14ac:dyDescent="0.45">
      <c r="A594" s="30">
        <v>2023</v>
      </c>
      <c r="B594" s="30" t="s">
        <v>11</v>
      </c>
      <c r="C594" s="30" t="s">
        <v>46</v>
      </c>
      <c r="D594" s="30" t="s">
        <v>47</v>
      </c>
      <c r="E594" s="31" t="s">
        <v>192</v>
      </c>
      <c r="F594" s="32" t="s">
        <v>49</v>
      </c>
      <c r="G594" s="32" t="s">
        <v>50</v>
      </c>
      <c r="H594" s="33">
        <v>910</v>
      </c>
      <c r="I594" s="34">
        <f>Table3[[#This Row],[Volume, kg.]]/1000</f>
        <v>0.91</v>
      </c>
      <c r="J594" s="34">
        <v>0.20449999999999999</v>
      </c>
      <c r="K594" s="34">
        <f t="shared" si="18"/>
        <v>186.095</v>
      </c>
      <c r="L594" s="34">
        <v>3.45</v>
      </c>
      <c r="M594" s="34">
        <v>3139.5</v>
      </c>
      <c r="N594" s="34">
        <f t="shared" si="19"/>
        <v>16.870415647921764</v>
      </c>
    </row>
    <row r="595" spans="1:14" x14ac:dyDescent="0.45">
      <c r="A595" s="30">
        <v>2023</v>
      </c>
      <c r="B595" s="30" t="s">
        <v>11</v>
      </c>
      <c r="C595" s="30" t="s">
        <v>46</v>
      </c>
      <c r="D595" s="30" t="s">
        <v>47</v>
      </c>
      <c r="E595" s="31" t="s">
        <v>324</v>
      </c>
      <c r="F595" s="32" t="s">
        <v>81</v>
      </c>
      <c r="G595" s="32" t="s">
        <v>50</v>
      </c>
      <c r="H595" s="33">
        <v>5740</v>
      </c>
      <c r="I595" s="34">
        <f>Table3[[#This Row],[Volume, kg.]]/1000</f>
        <v>5.74</v>
      </c>
      <c r="J595" s="34">
        <v>0.27200000000000002</v>
      </c>
      <c r="K595" s="34">
        <f t="shared" si="18"/>
        <v>1561.2800000000002</v>
      </c>
      <c r="L595" s="34">
        <v>3.8</v>
      </c>
      <c r="M595" s="34">
        <v>21812</v>
      </c>
      <c r="N595" s="34">
        <f t="shared" si="19"/>
        <v>13.970588235294116</v>
      </c>
    </row>
    <row r="596" spans="1:14" x14ac:dyDescent="0.45">
      <c r="A596" s="30">
        <v>2023</v>
      </c>
      <c r="B596" s="30" t="s">
        <v>11</v>
      </c>
      <c r="C596" s="30" t="s">
        <v>46</v>
      </c>
      <c r="D596" s="30" t="s">
        <v>47</v>
      </c>
      <c r="E596" s="31" t="s">
        <v>74</v>
      </c>
      <c r="F596" s="32" t="s">
        <v>49</v>
      </c>
      <c r="G596" s="32" t="s">
        <v>50</v>
      </c>
      <c r="H596" s="33">
        <v>27220</v>
      </c>
      <c r="I596" s="34">
        <f>Table3[[#This Row],[Volume, kg.]]/1000</f>
        <v>27.22</v>
      </c>
      <c r="J596" s="34">
        <v>0.2243</v>
      </c>
      <c r="K596" s="34">
        <f t="shared" si="18"/>
        <v>6105.4459999999999</v>
      </c>
      <c r="L596" s="34">
        <v>3.58</v>
      </c>
      <c r="M596" s="34">
        <v>97319</v>
      </c>
      <c r="N596" s="34">
        <f t="shared" si="19"/>
        <v>15.960766830138208</v>
      </c>
    </row>
    <row r="597" spans="1:14" x14ac:dyDescent="0.45">
      <c r="A597" s="30">
        <v>2023</v>
      </c>
      <c r="B597" s="30" t="s">
        <v>11</v>
      </c>
      <c r="C597" s="30" t="s">
        <v>46</v>
      </c>
      <c r="D597" s="30" t="s">
        <v>47</v>
      </c>
      <c r="E597" s="31" t="s">
        <v>125</v>
      </c>
      <c r="F597" s="32" t="s">
        <v>60</v>
      </c>
      <c r="G597" s="32" t="s">
        <v>50</v>
      </c>
      <c r="H597" s="33">
        <v>11690</v>
      </c>
      <c r="I597" s="34">
        <f>Table3[[#This Row],[Volume, kg.]]/1000</f>
        <v>11.69</v>
      </c>
      <c r="J597" s="34">
        <v>0.22820000000000001</v>
      </c>
      <c r="K597" s="34">
        <f t="shared" si="18"/>
        <v>2667.6580000000004</v>
      </c>
      <c r="L597" s="34">
        <v>3.61</v>
      </c>
      <c r="M597" s="34">
        <v>42211</v>
      </c>
      <c r="N597" s="34">
        <f t="shared" si="19"/>
        <v>15.819456617002627</v>
      </c>
    </row>
    <row r="598" spans="1:14" x14ac:dyDescent="0.45">
      <c r="A598" s="30">
        <v>2023</v>
      </c>
      <c r="B598" s="30" t="s">
        <v>11</v>
      </c>
      <c r="C598" s="30" t="s">
        <v>46</v>
      </c>
      <c r="D598" s="30" t="s">
        <v>47</v>
      </c>
      <c r="E598" s="31" t="s">
        <v>390</v>
      </c>
      <c r="F598" s="32" t="s">
        <v>60</v>
      </c>
      <c r="G598" s="32" t="s">
        <v>50</v>
      </c>
      <c r="H598" s="33">
        <v>3630</v>
      </c>
      <c r="I598" s="34">
        <f>Table3[[#This Row],[Volume, kg.]]/1000</f>
        <v>3.63</v>
      </c>
      <c r="J598" s="34">
        <v>0.22949999999999998</v>
      </c>
      <c r="K598" s="34">
        <f t="shared" si="18"/>
        <v>833.08499999999992</v>
      </c>
      <c r="L598" s="34">
        <v>3.6</v>
      </c>
      <c r="M598" s="34">
        <v>13068</v>
      </c>
      <c r="N598" s="34">
        <f t="shared" si="19"/>
        <v>15.686274509803923</v>
      </c>
    </row>
    <row r="599" spans="1:14" x14ac:dyDescent="0.45">
      <c r="A599" s="30">
        <v>2023</v>
      </c>
      <c r="B599" s="30" t="s">
        <v>11</v>
      </c>
      <c r="C599" s="30" t="s">
        <v>46</v>
      </c>
      <c r="D599" s="30" t="s">
        <v>47</v>
      </c>
      <c r="E599" s="31" t="s">
        <v>391</v>
      </c>
      <c r="F599" s="32" t="s">
        <v>60</v>
      </c>
      <c r="G599" s="32" t="s">
        <v>50</v>
      </c>
      <c r="H599" s="33">
        <v>1320</v>
      </c>
      <c r="I599" s="34">
        <f>Table3[[#This Row],[Volume, kg.]]/1000</f>
        <v>1.32</v>
      </c>
      <c r="J599" s="34">
        <v>0.23350000000000001</v>
      </c>
      <c r="K599" s="34">
        <f t="shared" si="18"/>
        <v>308.22000000000003</v>
      </c>
      <c r="L599" s="34">
        <v>3.65</v>
      </c>
      <c r="M599" s="34">
        <v>4818</v>
      </c>
      <c r="N599" s="34">
        <f t="shared" si="19"/>
        <v>15.631691648822269</v>
      </c>
    </row>
    <row r="600" spans="1:14" x14ac:dyDescent="0.45">
      <c r="A600" s="30">
        <v>2023</v>
      </c>
      <c r="B600" s="30" t="s">
        <v>11</v>
      </c>
      <c r="C600" s="30" t="s">
        <v>46</v>
      </c>
      <c r="D600" s="30" t="s">
        <v>47</v>
      </c>
      <c r="E600" s="31" t="s">
        <v>144</v>
      </c>
      <c r="F600" s="32" t="s">
        <v>49</v>
      </c>
      <c r="G600" s="32" t="s">
        <v>50</v>
      </c>
      <c r="H600" s="33">
        <v>29470</v>
      </c>
      <c r="I600" s="34">
        <f>Table3[[#This Row],[Volume, kg.]]/1000</f>
        <v>29.47</v>
      </c>
      <c r="J600" s="34">
        <v>0.21359999999999998</v>
      </c>
      <c r="K600" s="34">
        <f t="shared" si="18"/>
        <v>6294.7919999999995</v>
      </c>
      <c r="L600" s="34">
        <v>3.56</v>
      </c>
      <c r="M600" s="34">
        <v>104921.5</v>
      </c>
      <c r="N600" s="34">
        <f t="shared" si="19"/>
        <v>16.666666666666668</v>
      </c>
    </row>
    <row r="601" spans="1:14" x14ac:dyDescent="0.45">
      <c r="A601" s="30">
        <v>2023</v>
      </c>
      <c r="B601" s="30" t="s">
        <v>11</v>
      </c>
      <c r="C601" s="30" t="s">
        <v>46</v>
      </c>
      <c r="D601" s="30" t="s">
        <v>47</v>
      </c>
      <c r="E601" s="31" t="s">
        <v>76</v>
      </c>
      <c r="F601" s="32" t="s">
        <v>60</v>
      </c>
      <c r="G601" s="32" t="s">
        <v>50</v>
      </c>
      <c r="H601" s="33">
        <v>17500</v>
      </c>
      <c r="I601" s="34">
        <f>Table3[[#This Row],[Volume, kg.]]/1000</f>
        <v>17.5</v>
      </c>
      <c r="J601" s="34">
        <v>0.20519999999999999</v>
      </c>
      <c r="K601" s="34">
        <f t="shared" si="18"/>
        <v>3591</v>
      </c>
      <c r="L601" s="34">
        <v>3.48</v>
      </c>
      <c r="M601" s="34">
        <v>60855</v>
      </c>
      <c r="N601" s="34">
        <f t="shared" si="19"/>
        <v>16.959064327485379</v>
      </c>
    </row>
    <row r="602" spans="1:14" x14ac:dyDescent="0.45">
      <c r="A602" s="30">
        <v>2023</v>
      </c>
      <c r="B602" s="30" t="s">
        <v>11</v>
      </c>
      <c r="C602" s="30" t="s">
        <v>46</v>
      </c>
      <c r="D602" s="30" t="s">
        <v>47</v>
      </c>
      <c r="E602" s="31" t="s">
        <v>100</v>
      </c>
      <c r="F602" s="32" t="s">
        <v>60</v>
      </c>
      <c r="G602" s="32" t="s">
        <v>50</v>
      </c>
      <c r="H602" s="33">
        <v>20940</v>
      </c>
      <c r="I602" s="34">
        <f>Table3[[#This Row],[Volume, kg.]]/1000</f>
        <v>20.94</v>
      </c>
      <c r="J602" s="34">
        <v>0.2606</v>
      </c>
      <c r="K602" s="34">
        <f t="shared" si="18"/>
        <v>5456.9639999999999</v>
      </c>
      <c r="L602" s="34">
        <v>3.75</v>
      </c>
      <c r="M602" s="34">
        <v>78505</v>
      </c>
      <c r="N602" s="34">
        <f t="shared" si="19"/>
        <v>14.389869531849579</v>
      </c>
    </row>
    <row r="603" spans="1:14" x14ac:dyDescent="0.45">
      <c r="A603" s="30">
        <v>2023</v>
      </c>
      <c r="B603" s="30" t="s">
        <v>11</v>
      </c>
      <c r="C603" s="30" t="s">
        <v>46</v>
      </c>
      <c r="D603" s="30" t="s">
        <v>47</v>
      </c>
      <c r="E603" s="31" t="s">
        <v>392</v>
      </c>
      <c r="F603" s="32" t="s">
        <v>49</v>
      </c>
      <c r="G603" s="32" t="s">
        <v>50</v>
      </c>
      <c r="H603" s="33">
        <v>3460</v>
      </c>
      <c r="I603" s="34">
        <f>Table3[[#This Row],[Volume, kg.]]/1000</f>
        <v>3.46</v>
      </c>
      <c r="J603" s="34">
        <v>0.2445</v>
      </c>
      <c r="K603" s="34">
        <f t="shared" si="18"/>
        <v>845.97</v>
      </c>
      <c r="L603" s="34">
        <v>3.65</v>
      </c>
      <c r="M603" s="34">
        <v>12629</v>
      </c>
      <c r="N603" s="34">
        <f t="shared" si="19"/>
        <v>14.928425357873211</v>
      </c>
    </row>
    <row r="604" spans="1:14" x14ac:dyDescent="0.45">
      <c r="A604" s="30">
        <v>2023</v>
      </c>
      <c r="B604" s="30" t="s">
        <v>11</v>
      </c>
      <c r="C604" s="30" t="s">
        <v>46</v>
      </c>
      <c r="D604" s="30" t="s">
        <v>47</v>
      </c>
      <c r="E604" s="31" t="s">
        <v>268</v>
      </c>
      <c r="F604" s="32" t="s">
        <v>57</v>
      </c>
      <c r="G604" s="32" t="s">
        <v>50</v>
      </c>
      <c r="H604" s="33">
        <v>17180</v>
      </c>
      <c r="I604" s="34">
        <f>Table3[[#This Row],[Volume, kg.]]/1000</f>
        <v>17.18</v>
      </c>
      <c r="J604" s="34">
        <v>0.254</v>
      </c>
      <c r="K604" s="34">
        <f t="shared" si="18"/>
        <v>4363.72</v>
      </c>
      <c r="L604" s="34">
        <v>3.6</v>
      </c>
      <c r="M604" s="34">
        <v>61848</v>
      </c>
      <c r="N604" s="34">
        <f t="shared" si="19"/>
        <v>14.173228346456693</v>
      </c>
    </row>
    <row r="605" spans="1:14" x14ac:dyDescent="0.45">
      <c r="A605" s="30">
        <v>2023</v>
      </c>
      <c r="B605" s="30" t="s">
        <v>11</v>
      </c>
      <c r="C605" s="30" t="s">
        <v>46</v>
      </c>
      <c r="D605" s="30" t="s">
        <v>47</v>
      </c>
      <c r="E605" s="31" t="s">
        <v>147</v>
      </c>
      <c r="F605" s="32" t="s">
        <v>57</v>
      </c>
      <c r="G605" s="32" t="s">
        <v>50</v>
      </c>
      <c r="H605" s="33">
        <v>4730</v>
      </c>
      <c r="I605" s="34">
        <f>Table3[[#This Row],[Volume, kg.]]/1000</f>
        <v>4.7300000000000004</v>
      </c>
      <c r="J605" s="34">
        <v>0.23699999999999999</v>
      </c>
      <c r="K605" s="34">
        <f t="shared" si="18"/>
        <v>1121.01</v>
      </c>
      <c r="L605" s="34">
        <v>3.7</v>
      </c>
      <c r="M605" s="34">
        <v>17501</v>
      </c>
      <c r="N605" s="34">
        <f t="shared" si="19"/>
        <v>15.611814345991563</v>
      </c>
    </row>
    <row r="606" spans="1:14" x14ac:dyDescent="0.45">
      <c r="A606" s="30">
        <v>2023</v>
      </c>
      <c r="B606" s="30" t="s">
        <v>11</v>
      </c>
      <c r="C606" s="30" t="s">
        <v>46</v>
      </c>
      <c r="D606" s="30" t="s">
        <v>47</v>
      </c>
      <c r="E606" s="31" t="s">
        <v>122</v>
      </c>
      <c r="F606" s="32" t="s">
        <v>49</v>
      </c>
      <c r="G606" s="32" t="s">
        <v>50</v>
      </c>
      <c r="H606" s="33">
        <v>8070</v>
      </c>
      <c r="I606" s="34">
        <f>Table3[[#This Row],[Volume, kg.]]/1000</f>
        <v>8.07</v>
      </c>
      <c r="J606" s="34">
        <v>0.23769999999999999</v>
      </c>
      <c r="K606" s="34">
        <f t="shared" si="18"/>
        <v>1918.239</v>
      </c>
      <c r="L606" s="34">
        <v>3.63</v>
      </c>
      <c r="M606" s="34">
        <v>29332.5</v>
      </c>
      <c r="N606" s="34">
        <f t="shared" si="19"/>
        <v>15.271350441733277</v>
      </c>
    </row>
    <row r="607" spans="1:14" x14ac:dyDescent="0.45">
      <c r="A607" s="30">
        <v>2023</v>
      </c>
      <c r="B607" s="30" t="s">
        <v>11</v>
      </c>
      <c r="C607" s="30" t="s">
        <v>46</v>
      </c>
      <c r="D607" s="30" t="s">
        <v>47</v>
      </c>
      <c r="E607" s="31" t="s">
        <v>210</v>
      </c>
      <c r="F607" s="32" t="s">
        <v>60</v>
      </c>
      <c r="G607" s="32" t="s">
        <v>50</v>
      </c>
      <c r="H607" s="33">
        <v>10890</v>
      </c>
      <c r="I607" s="34">
        <f>Table3[[#This Row],[Volume, kg.]]/1000</f>
        <v>10.89</v>
      </c>
      <c r="J607" s="34">
        <v>0.2555</v>
      </c>
      <c r="K607" s="34">
        <f t="shared" si="18"/>
        <v>2782.395</v>
      </c>
      <c r="L607" s="34">
        <v>3.75</v>
      </c>
      <c r="M607" s="34">
        <v>40837.5</v>
      </c>
      <c r="N607" s="34">
        <f t="shared" si="19"/>
        <v>14.677103718199609</v>
      </c>
    </row>
    <row r="608" spans="1:14" x14ac:dyDescent="0.45">
      <c r="A608" s="30">
        <v>2023</v>
      </c>
      <c r="B608" s="30" t="s">
        <v>11</v>
      </c>
      <c r="C608" s="30" t="s">
        <v>46</v>
      </c>
      <c r="D608" s="30" t="s">
        <v>47</v>
      </c>
      <c r="E608" s="31" t="s">
        <v>253</v>
      </c>
      <c r="F608" s="32" t="s">
        <v>57</v>
      </c>
      <c r="G608" s="32" t="s">
        <v>50</v>
      </c>
      <c r="H608" s="33">
        <v>2470</v>
      </c>
      <c r="I608" s="34">
        <f>Table3[[#This Row],[Volume, kg.]]/1000</f>
        <v>2.4700000000000002</v>
      </c>
      <c r="J608" s="34">
        <v>0.26300000000000001</v>
      </c>
      <c r="K608" s="34">
        <f t="shared" si="18"/>
        <v>649.61</v>
      </c>
      <c r="L608" s="34">
        <v>3.8</v>
      </c>
      <c r="M608" s="34">
        <v>9386</v>
      </c>
      <c r="N608" s="34">
        <f t="shared" si="19"/>
        <v>14.448669201520911</v>
      </c>
    </row>
    <row r="609" spans="1:14" x14ac:dyDescent="0.45">
      <c r="A609" s="30">
        <v>2023</v>
      </c>
      <c r="B609" s="30" t="s">
        <v>11</v>
      </c>
      <c r="C609" s="30" t="s">
        <v>46</v>
      </c>
      <c r="D609" s="30" t="s">
        <v>47</v>
      </c>
      <c r="E609" s="31" t="s">
        <v>393</v>
      </c>
      <c r="F609" s="32" t="s">
        <v>60</v>
      </c>
      <c r="G609" s="32" t="s">
        <v>50</v>
      </c>
      <c r="H609" s="33">
        <v>8290</v>
      </c>
      <c r="I609" s="34">
        <f>Table3[[#This Row],[Volume, kg.]]/1000</f>
        <v>8.2899999999999991</v>
      </c>
      <c r="J609" s="34">
        <v>0.27200000000000002</v>
      </c>
      <c r="K609" s="34">
        <f t="shared" si="18"/>
        <v>2254.88</v>
      </c>
      <c r="L609" s="34">
        <v>3.8</v>
      </c>
      <c r="M609" s="34">
        <v>31502</v>
      </c>
      <c r="N609" s="34">
        <f t="shared" si="19"/>
        <v>13.970588235294116</v>
      </c>
    </row>
    <row r="610" spans="1:14" x14ac:dyDescent="0.45">
      <c r="A610" s="30">
        <v>2023</v>
      </c>
      <c r="B610" s="30" t="s">
        <v>11</v>
      </c>
      <c r="C610" s="30" t="s">
        <v>46</v>
      </c>
      <c r="D610" s="30" t="s">
        <v>47</v>
      </c>
      <c r="E610" s="31" t="s">
        <v>217</v>
      </c>
      <c r="F610" s="32" t="s">
        <v>49</v>
      </c>
      <c r="G610" s="32" t="s">
        <v>50</v>
      </c>
      <c r="H610" s="33">
        <v>7550</v>
      </c>
      <c r="I610" s="34">
        <f>Table3[[#This Row],[Volume, kg.]]/1000</f>
        <v>7.55</v>
      </c>
      <c r="J610" s="34">
        <v>0.26600000000000001</v>
      </c>
      <c r="K610" s="34">
        <f t="shared" si="18"/>
        <v>2008.3000000000002</v>
      </c>
      <c r="L610" s="34">
        <v>3.85</v>
      </c>
      <c r="M610" s="34">
        <v>29067.5</v>
      </c>
      <c r="N610" s="34">
        <f t="shared" si="19"/>
        <v>14.473684210526315</v>
      </c>
    </row>
    <row r="611" spans="1:14" x14ac:dyDescent="0.45">
      <c r="A611" s="30">
        <v>2023</v>
      </c>
      <c r="B611" s="30" t="s">
        <v>11</v>
      </c>
      <c r="C611" s="30" t="s">
        <v>46</v>
      </c>
      <c r="D611" s="30" t="s">
        <v>47</v>
      </c>
      <c r="E611" s="31" t="s">
        <v>275</v>
      </c>
      <c r="F611" s="32" t="s">
        <v>54</v>
      </c>
      <c r="G611" s="32" t="s">
        <v>50</v>
      </c>
      <c r="H611" s="33">
        <v>17080</v>
      </c>
      <c r="I611" s="34">
        <f>Table3[[#This Row],[Volume, kg.]]/1000</f>
        <v>17.079999999999998</v>
      </c>
      <c r="J611" s="34">
        <v>0.29339999999999999</v>
      </c>
      <c r="K611" s="34">
        <f t="shared" si="18"/>
        <v>5011.2719999999999</v>
      </c>
      <c r="L611" s="34">
        <v>3.97</v>
      </c>
      <c r="M611" s="34">
        <v>67823</v>
      </c>
      <c r="N611" s="34">
        <f t="shared" si="19"/>
        <v>13.531015678254944</v>
      </c>
    </row>
    <row r="612" spans="1:14" x14ac:dyDescent="0.45">
      <c r="A612" s="30">
        <v>2023</v>
      </c>
      <c r="B612" s="30" t="s">
        <v>11</v>
      </c>
      <c r="C612" s="30" t="s">
        <v>46</v>
      </c>
      <c r="D612" s="30" t="s">
        <v>47</v>
      </c>
      <c r="E612" s="31" t="s">
        <v>356</v>
      </c>
      <c r="F612" s="32" t="s">
        <v>49</v>
      </c>
      <c r="G612" s="32" t="s">
        <v>50</v>
      </c>
      <c r="H612" s="33">
        <v>4250</v>
      </c>
      <c r="I612" s="34">
        <f>Table3[[#This Row],[Volume, kg.]]/1000</f>
        <v>4.25</v>
      </c>
      <c r="J612" s="34">
        <v>0.27929999999999999</v>
      </c>
      <c r="K612" s="34">
        <f t="shared" si="18"/>
        <v>1187.0249999999999</v>
      </c>
      <c r="L612" s="34">
        <v>3.89</v>
      </c>
      <c r="M612" s="34">
        <v>16522</v>
      </c>
      <c r="N612" s="34">
        <f t="shared" si="19"/>
        <v>13.927676333691371</v>
      </c>
    </row>
    <row r="613" spans="1:14" x14ac:dyDescent="0.45">
      <c r="A613" s="30">
        <v>2023</v>
      </c>
      <c r="B613" s="30" t="s">
        <v>11</v>
      </c>
      <c r="C613" s="30" t="s">
        <v>46</v>
      </c>
      <c r="D613" s="30" t="s">
        <v>47</v>
      </c>
      <c r="E613" s="31" t="s">
        <v>153</v>
      </c>
      <c r="F613" s="32" t="s">
        <v>57</v>
      </c>
      <c r="G613" s="32" t="s">
        <v>50</v>
      </c>
      <c r="H613" s="33">
        <v>4210</v>
      </c>
      <c r="I613" s="34">
        <f>Table3[[#This Row],[Volume, kg.]]/1000</f>
        <v>4.21</v>
      </c>
      <c r="J613" s="34">
        <v>0.22949999999999998</v>
      </c>
      <c r="K613" s="34">
        <f t="shared" si="18"/>
        <v>966.19499999999994</v>
      </c>
      <c r="L613" s="34">
        <v>3.6</v>
      </c>
      <c r="M613" s="34">
        <v>15156</v>
      </c>
      <c r="N613" s="34">
        <f t="shared" si="19"/>
        <v>15.686274509803923</v>
      </c>
    </row>
    <row r="614" spans="1:14" x14ac:dyDescent="0.45">
      <c r="A614" s="30">
        <v>2023</v>
      </c>
      <c r="B614" s="30" t="s">
        <v>11</v>
      </c>
      <c r="C614" s="30" t="s">
        <v>46</v>
      </c>
      <c r="D614" s="30" t="s">
        <v>47</v>
      </c>
      <c r="E614" s="31" t="s">
        <v>394</v>
      </c>
      <c r="F614" s="32" t="s">
        <v>64</v>
      </c>
      <c r="G614" s="32" t="s">
        <v>50</v>
      </c>
      <c r="H614" s="33">
        <v>27450</v>
      </c>
      <c r="I614" s="34">
        <f>Table3[[#This Row],[Volume, kg.]]/1000</f>
        <v>27.45</v>
      </c>
      <c r="J614" s="34">
        <v>0.2346</v>
      </c>
      <c r="K614" s="34">
        <f t="shared" si="18"/>
        <v>6439.77</v>
      </c>
      <c r="L614" s="34">
        <v>3.62</v>
      </c>
      <c r="M614" s="34">
        <v>99333.5</v>
      </c>
      <c r="N614" s="34">
        <f t="shared" si="19"/>
        <v>15.430520034100597</v>
      </c>
    </row>
    <row r="615" spans="1:14" x14ac:dyDescent="0.45">
      <c r="A615" s="30">
        <v>2023</v>
      </c>
      <c r="B615" s="30" t="s">
        <v>11</v>
      </c>
      <c r="C615" s="30" t="s">
        <v>46</v>
      </c>
      <c r="D615" s="30" t="s">
        <v>47</v>
      </c>
      <c r="E615" s="31" t="s">
        <v>304</v>
      </c>
      <c r="F615" s="32" t="s">
        <v>64</v>
      </c>
      <c r="G615" s="32" t="s">
        <v>50</v>
      </c>
      <c r="H615" s="33">
        <v>11040</v>
      </c>
      <c r="I615" s="34">
        <f>Table3[[#This Row],[Volume, kg.]]/1000</f>
        <v>11.04</v>
      </c>
      <c r="J615" s="34">
        <v>0.21100000000000002</v>
      </c>
      <c r="K615" s="34">
        <f t="shared" si="18"/>
        <v>2329.44</v>
      </c>
      <c r="L615" s="34">
        <v>3.5</v>
      </c>
      <c r="M615" s="34">
        <v>38640</v>
      </c>
      <c r="N615" s="34">
        <f t="shared" si="19"/>
        <v>16.587677725118482</v>
      </c>
    </row>
    <row r="616" spans="1:14" x14ac:dyDescent="0.45">
      <c r="A616" s="30">
        <v>2023</v>
      </c>
      <c r="B616" s="30" t="s">
        <v>11</v>
      </c>
      <c r="C616" s="30" t="s">
        <v>46</v>
      </c>
      <c r="D616" s="30" t="s">
        <v>47</v>
      </c>
      <c r="E616" s="31" t="s">
        <v>306</v>
      </c>
      <c r="F616" s="32" t="s">
        <v>60</v>
      </c>
      <c r="G616" s="32" t="s">
        <v>50</v>
      </c>
      <c r="H616" s="33">
        <v>5670</v>
      </c>
      <c r="I616" s="34">
        <f>Table3[[#This Row],[Volume, kg.]]/1000</f>
        <v>5.67</v>
      </c>
      <c r="J616" s="34">
        <v>0.25800000000000001</v>
      </c>
      <c r="K616" s="34">
        <f t="shared" si="18"/>
        <v>1462.8600000000001</v>
      </c>
      <c r="L616" s="34">
        <v>3.75</v>
      </c>
      <c r="M616" s="34">
        <v>21262.5</v>
      </c>
      <c r="N616" s="34">
        <f t="shared" si="19"/>
        <v>14.534883720930232</v>
      </c>
    </row>
    <row r="617" spans="1:14" x14ac:dyDescent="0.45">
      <c r="A617" s="30">
        <v>2023</v>
      </c>
      <c r="B617" s="30" t="s">
        <v>11</v>
      </c>
      <c r="C617" s="30" t="s">
        <v>46</v>
      </c>
      <c r="D617" s="30" t="s">
        <v>102</v>
      </c>
      <c r="E617" s="31" t="s">
        <v>330</v>
      </c>
      <c r="F617" s="32" t="s">
        <v>331</v>
      </c>
      <c r="G617" s="32" t="s">
        <v>105</v>
      </c>
      <c r="H617" s="33">
        <v>194680</v>
      </c>
      <c r="I617" s="34">
        <f>Table3[[#This Row],[Volume, kg.]]/1000</f>
        <v>194.68</v>
      </c>
      <c r="J617" s="34">
        <v>0.20960000000000001</v>
      </c>
      <c r="K617" s="34">
        <f t="shared" si="18"/>
        <v>40804.928</v>
      </c>
      <c r="L617" s="34">
        <v>3.64</v>
      </c>
      <c r="M617" s="34">
        <v>708928.5</v>
      </c>
      <c r="N617" s="34">
        <f t="shared" si="19"/>
        <v>17.366412213740457</v>
      </c>
    </row>
    <row r="618" spans="1:14" x14ac:dyDescent="0.45">
      <c r="A618" s="30">
        <v>2023</v>
      </c>
      <c r="B618" s="30" t="s">
        <v>11</v>
      </c>
      <c r="C618" s="30" t="s">
        <v>46</v>
      </c>
      <c r="D618" s="30" t="s">
        <v>47</v>
      </c>
      <c r="E618" s="31" t="s">
        <v>197</v>
      </c>
      <c r="F618" s="32" t="s">
        <v>57</v>
      </c>
      <c r="G618" s="32" t="s">
        <v>50</v>
      </c>
      <c r="H618" s="33">
        <v>6670</v>
      </c>
      <c r="I618" s="34">
        <f>Table3[[#This Row],[Volume, kg.]]/1000</f>
        <v>6.67</v>
      </c>
      <c r="J618" s="34">
        <v>0.28300000000000003</v>
      </c>
      <c r="K618" s="34">
        <f t="shared" si="18"/>
        <v>1887.6100000000001</v>
      </c>
      <c r="L618" s="34">
        <v>3.75</v>
      </c>
      <c r="M618" s="34">
        <v>25012.5</v>
      </c>
      <c r="N618" s="34">
        <f t="shared" si="19"/>
        <v>13.250883392226147</v>
      </c>
    </row>
    <row r="619" spans="1:14" x14ac:dyDescent="0.45">
      <c r="A619" s="30">
        <v>2023</v>
      </c>
      <c r="B619" s="30" t="s">
        <v>11</v>
      </c>
      <c r="C619" s="30" t="s">
        <v>46</v>
      </c>
      <c r="D619" s="30" t="s">
        <v>47</v>
      </c>
      <c r="E619" s="31" t="s">
        <v>272</v>
      </c>
      <c r="F619" s="32" t="s">
        <v>60</v>
      </c>
      <c r="G619" s="32" t="s">
        <v>50</v>
      </c>
      <c r="H619" s="33">
        <v>5260</v>
      </c>
      <c r="I619" s="34">
        <f>Table3[[#This Row],[Volume, kg.]]/1000</f>
        <v>5.26</v>
      </c>
      <c r="J619" s="34">
        <v>0.2235</v>
      </c>
      <c r="K619" s="34">
        <f t="shared" si="18"/>
        <v>1175.6100000000001</v>
      </c>
      <c r="L619" s="34">
        <v>3.55</v>
      </c>
      <c r="M619" s="34">
        <v>18673</v>
      </c>
      <c r="N619" s="34">
        <f t="shared" si="19"/>
        <v>15.88366890380313</v>
      </c>
    </row>
    <row r="620" spans="1:14" x14ac:dyDescent="0.45">
      <c r="A620" s="30">
        <v>2023</v>
      </c>
      <c r="B620" s="30" t="s">
        <v>11</v>
      </c>
      <c r="C620" s="30" t="s">
        <v>46</v>
      </c>
      <c r="D620" s="30" t="s">
        <v>47</v>
      </c>
      <c r="E620" s="31" t="s">
        <v>282</v>
      </c>
      <c r="F620" s="32" t="s">
        <v>49</v>
      </c>
      <c r="G620" s="32" t="s">
        <v>50</v>
      </c>
      <c r="H620" s="33">
        <v>5550</v>
      </c>
      <c r="I620" s="34">
        <f>Table3[[#This Row],[Volume, kg.]]/1000</f>
        <v>5.55</v>
      </c>
      <c r="J620" s="34">
        <v>0.20300000000000001</v>
      </c>
      <c r="K620" s="34">
        <f t="shared" si="18"/>
        <v>1126.6500000000001</v>
      </c>
      <c r="L620" s="34">
        <v>3.45</v>
      </c>
      <c r="M620" s="34">
        <v>19147.5</v>
      </c>
      <c r="N620" s="34">
        <f t="shared" si="19"/>
        <v>16.995073891625616</v>
      </c>
    </row>
    <row r="621" spans="1:14" x14ac:dyDescent="0.45">
      <c r="A621" s="30">
        <v>2023</v>
      </c>
      <c r="B621" s="30" t="s">
        <v>11</v>
      </c>
      <c r="C621" s="30" t="s">
        <v>46</v>
      </c>
      <c r="D621" s="30" t="s">
        <v>47</v>
      </c>
      <c r="E621" s="31" t="s">
        <v>169</v>
      </c>
      <c r="F621" s="32" t="s">
        <v>49</v>
      </c>
      <c r="G621" s="32" t="s">
        <v>50</v>
      </c>
      <c r="H621" s="33">
        <v>6810</v>
      </c>
      <c r="I621" s="34">
        <f>Table3[[#This Row],[Volume, kg.]]/1000</f>
        <v>6.81</v>
      </c>
      <c r="J621" s="34">
        <v>0.23050000000000001</v>
      </c>
      <c r="K621" s="34">
        <f t="shared" si="18"/>
        <v>1569.7050000000002</v>
      </c>
      <c r="L621" s="34">
        <v>3.66</v>
      </c>
      <c r="M621" s="34">
        <v>24899</v>
      </c>
      <c r="N621" s="34">
        <f t="shared" si="19"/>
        <v>15.878524945770065</v>
      </c>
    </row>
    <row r="622" spans="1:14" x14ac:dyDescent="0.45">
      <c r="A622" s="30">
        <v>2023</v>
      </c>
      <c r="B622" s="30" t="s">
        <v>11</v>
      </c>
      <c r="C622" s="30" t="s">
        <v>46</v>
      </c>
      <c r="D622" s="30" t="s">
        <v>47</v>
      </c>
      <c r="E622" s="31" t="s">
        <v>350</v>
      </c>
      <c r="F622" s="32" t="s">
        <v>49</v>
      </c>
      <c r="G622" s="32" t="s">
        <v>50</v>
      </c>
      <c r="H622" s="33">
        <v>29150</v>
      </c>
      <c r="I622" s="34">
        <f>Table3[[#This Row],[Volume, kg.]]/1000</f>
        <v>29.15</v>
      </c>
      <c r="J622" s="34">
        <v>0.24780000000000002</v>
      </c>
      <c r="K622" s="34">
        <f t="shared" si="18"/>
        <v>7223.3700000000008</v>
      </c>
      <c r="L622" s="34">
        <v>3.7</v>
      </c>
      <c r="M622" s="34">
        <v>107855</v>
      </c>
      <c r="N622" s="34">
        <f t="shared" si="19"/>
        <v>14.931396287328489</v>
      </c>
    </row>
    <row r="623" spans="1:14" x14ac:dyDescent="0.45">
      <c r="A623" s="30">
        <v>2023</v>
      </c>
      <c r="B623" s="30" t="s">
        <v>11</v>
      </c>
      <c r="C623" s="30" t="s">
        <v>46</v>
      </c>
      <c r="D623" s="30" t="s">
        <v>47</v>
      </c>
      <c r="E623" s="31" t="s">
        <v>395</v>
      </c>
      <c r="F623" s="32" t="s">
        <v>81</v>
      </c>
      <c r="G623" s="32" t="s">
        <v>50</v>
      </c>
      <c r="H623" s="33">
        <v>16190</v>
      </c>
      <c r="I623" s="34">
        <f>Table3[[#This Row],[Volume, kg.]]/1000</f>
        <v>16.190000000000001</v>
      </c>
      <c r="J623" s="34">
        <v>0.20050000000000001</v>
      </c>
      <c r="K623" s="34">
        <f t="shared" si="18"/>
        <v>3246.0950000000003</v>
      </c>
      <c r="L623" s="34">
        <v>3.45</v>
      </c>
      <c r="M623" s="34">
        <v>55855.5</v>
      </c>
      <c r="N623" s="34">
        <f t="shared" si="19"/>
        <v>17.206982543640898</v>
      </c>
    </row>
    <row r="624" spans="1:14" x14ac:dyDescent="0.45">
      <c r="A624" s="30">
        <v>2023</v>
      </c>
      <c r="B624" s="30" t="s">
        <v>11</v>
      </c>
      <c r="C624" s="30" t="s">
        <v>46</v>
      </c>
      <c r="D624" s="30" t="s">
        <v>47</v>
      </c>
      <c r="E624" s="31" t="s">
        <v>312</v>
      </c>
      <c r="F624" s="32" t="s">
        <v>60</v>
      </c>
      <c r="G624" s="32" t="s">
        <v>50</v>
      </c>
      <c r="H624" s="33">
        <v>2530</v>
      </c>
      <c r="I624" s="34">
        <f>Table3[[#This Row],[Volume, kg.]]/1000</f>
        <v>2.5299999999999998</v>
      </c>
      <c r="J624" s="34">
        <v>0.23399999999999999</v>
      </c>
      <c r="K624" s="34">
        <f t="shared" si="18"/>
        <v>592.02</v>
      </c>
      <c r="L624" s="34">
        <v>3.6</v>
      </c>
      <c r="M624" s="34">
        <v>9108</v>
      </c>
      <c r="N624" s="34">
        <f t="shared" si="19"/>
        <v>15.384615384615387</v>
      </c>
    </row>
    <row r="625" spans="1:14" x14ac:dyDescent="0.45">
      <c r="A625" s="30">
        <v>2023</v>
      </c>
      <c r="B625" s="30" t="s">
        <v>11</v>
      </c>
      <c r="C625" s="30" t="s">
        <v>46</v>
      </c>
      <c r="D625" s="30" t="s">
        <v>102</v>
      </c>
      <c r="E625" s="31" t="s">
        <v>106</v>
      </c>
      <c r="F625" s="32" t="s">
        <v>107</v>
      </c>
      <c r="G625" s="32" t="s">
        <v>108</v>
      </c>
      <c r="H625" s="33">
        <v>853700</v>
      </c>
      <c r="I625" s="34">
        <f>Table3[[#This Row],[Volume, kg.]]/1000</f>
        <v>853.7</v>
      </c>
      <c r="J625" s="34">
        <v>0.251</v>
      </c>
      <c r="K625" s="34">
        <f t="shared" si="18"/>
        <v>214278.7</v>
      </c>
      <c r="L625" s="34">
        <v>3.88</v>
      </c>
      <c r="M625" s="34">
        <v>3311556</v>
      </c>
      <c r="N625" s="34">
        <f t="shared" si="19"/>
        <v>15.45816733067729</v>
      </c>
    </row>
    <row r="626" spans="1:14" x14ac:dyDescent="0.45">
      <c r="A626" s="30">
        <v>2023</v>
      </c>
      <c r="B626" s="30" t="s">
        <v>11</v>
      </c>
      <c r="C626" s="30" t="s">
        <v>46</v>
      </c>
      <c r="D626" s="30" t="s">
        <v>47</v>
      </c>
      <c r="E626" s="31" t="s">
        <v>63</v>
      </c>
      <c r="F626" s="32" t="s">
        <v>64</v>
      </c>
      <c r="G626" s="32" t="s">
        <v>50</v>
      </c>
      <c r="H626" s="33">
        <v>31950</v>
      </c>
      <c r="I626" s="34">
        <f>Table3[[#This Row],[Volume, kg.]]/1000</f>
        <v>31.95</v>
      </c>
      <c r="J626" s="34">
        <v>0.222</v>
      </c>
      <c r="K626" s="34">
        <f t="shared" si="18"/>
        <v>7092.9000000000005</v>
      </c>
      <c r="L626" s="34">
        <v>3.57</v>
      </c>
      <c r="M626" s="34">
        <v>113922</v>
      </c>
      <c r="N626" s="34">
        <f t="shared" si="19"/>
        <v>16.081081081081081</v>
      </c>
    </row>
    <row r="627" spans="1:14" x14ac:dyDescent="0.45">
      <c r="A627" s="30">
        <v>2023</v>
      </c>
      <c r="B627" s="30" t="s">
        <v>11</v>
      </c>
      <c r="C627" s="30" t="s">
        <v>46</v>
      </c>
      <c r="D627" s="30" t="s">
        <v>47</v>
      </c>
      <c r="E627" s="31" t="s">
        <v>354</v>
      </c>
      <c r="F627" s="32" t="s">
        <v>60</v>
      </c>
      <c r="G627" s="32" t="s">
        <v>50</v>
      </c>
      <c r="H627" s="33">
        <v>12640</v>
      </c>
      <c r="I627" s="34">
        <f>Table3[[#This Row],[Volume, kg.]]/1000</f>
        <v>12.64</v>
      </c>
      <c r="J627" s="34">
        <v>0.25700000000000001</v>
      </c>
      <c r="K627" s="34">
        <f t="shared" si="18"/>
        <v>3248.48</v>
      </c>
      <c r="L627" s="34">
        <v>3.75</v>
      </c>
      <c r="M627" s="34">
        <v>47400</v>
      </c>
      <c r="N627" s="34">
        <f t="shared" si="19"/>
        <v>14.591439688715953</v>
      </c>
    </row>
    <row r="628" spans="1:14" x14ac:dyDescent="0.45">
      <c r="A628" s="30">
        <v>2023</v>
      </c>
      <c r="B628" s="30" t="s">
        <v>11</v>
      </c>
      <c r="C628" s="30" t="s">
        <v>46</v>
      </c>
      <c r="D628" s="30" t="s">
        <v>47</v>
      </c>
      <c r="E628" s="31" t="s">
        <v>296</v>
      </c>
      <c r="F628" s="32" t="s">
        <v>60</v>
      </c>
      <c r="G628" s="32" t="s">
        <v>50</v>
      </c>
      <c r="H628" s="33">
        <v>9160</v>
      </c>
      <c r="I628" s="34">
        <f>Table3[[#This Row],[Volume, kg.]]/1000</f>
        <v>9.16</v>
      </c>
      <c r="J628" s="34">
        <v>0.23449999999999999</v>
      </c>
      <c r="K628" s="34">
        <f t="shared" si="18"/>
        <v>2148.02</v>
      </c>
      <c r="L628" s="34">
        <v>3.65</v>
      </c>
      <c r="M628" s="34">
        <v>33434</v>
      </c>
      <c r="N628" s="34">
        <f t="shared" si="19"/>
        <v>15.565031982942431</v>
      </c>
    </row>
    <row r="629" spans="1:14" x14ac:dyDescent="0.45">
      <c r="A629" s="30">
        <v>2023</v>
      </c>
      <c r="B629" s="30" t="s">
        <v>11</v>
      </c>
      <c r="C629" s="30" t="s">
        <v>46</v>
      </c>
      <c r="D629" s="30" t="s">
        <v>102</v>
      </c>
      <c r="E629" s="31" t="s">
        <v>396</v>
      </c>
      <c r="F629" s="32" t="s">
        <v>397</v>
      </c>
      <c r="G629" s="32" t="s">
        <v>105</v>
      </c>
      <c r="H629" s="33">
        <v>655610</v>
      </c>
      <c r="I629" s="34">
        <f>Table3[[#This Row],[Volume, kg.]]/1000</f>
        <v>655.61</v>
      </c>
      <c r="J629" s="34">
        <v>0.19670000000000001</v>
      </c>
      <c r="K629" s="34">
        <f t="shared" si="18"/>
        <v>128958.48700000001</v>
      </c>
      <c r="L629" s="34">
        <v>3.61</v>
      </c>
      <c r="M629" s="34">
        <v>2363805.5</v>
      </c>
      <c r="N629" s="34">
        <f t="shared" si="19"/>
        <v>18.35282155566853</v>
      </c>
    </row>
    <row r="630" spans="1:14" x14ac:dyDescent="0.45">
      <c r="A630" s="30">
        <v>2023</v>
      </c>
      <c r="B630" s="30" t="s">
        <v>11</v>
      </c>
      <c r="C630" s="30" t="s">
        <v>46</v>
      </c>
      <c r="D630" s="30" t="s">
        <v>47</v>
      </c>
      <c r="E630" s="31" t="s">
        <v>398</v>
      </c>
      <c r="F630" s="32" t="s">
        <v>64</v>
      </c>
      <c r="G630" s="32" t="s">
        <v>50</v>
      </c>
      <c r="H630" s="33">
        <v>3620</v>
      </c>
      <c r="I630" s="34">
        <f>Table3[[#This Row],[Volume, kg.]]/1000</f>
        <v>3.62</v>
      </c>
      <c r="J630" s="34">
        <v>0.23199999999999998</v>
      </c>
      <c r="K630" s="34">
        <f t="shared" si="18"/>
        <v>839.83999999999992</v>
      </c>
      <c r="L630" s="34">
        <v>3.65</v>
      </c>
      <c r="M630" s="34">
        <v>13213</v>
      </c>
      <c r="N630" s="34">
        <f t="shared" si="19"/>
        <v>15.732758620689657</v>
      </c>
    </row>
    <row r="631" spans="1:14" x14ac:dyDescent="0.45">
      <c r="A631" s="30">
        <v>2023</v>
      </c>
      <c r="B631" s="30" t="s">
        <v>11</v>
      </c>
      <c r="C631" s="30" t="s">
        <v>46</v>
      </c>
      <c r="D631" s="30" t="s">
        <v>102</v>
      </c>
      <c r="E631" s="31" t="s">
        <v>103</v>
      </c>
      <c r="F631" s="32" t="s">
        <v>104</v>
      </c>
      <c r="G631" s="32" t="s">
        <v>105</v>
      </c>
      <c r="H631" s="33">
        <v>2378270</v>
      </c>
      <c r="I631" s="34">
        <f>Table3[[#This Row],[Volume, kg.]]/1000</f>
        <v>2378.27</v>
      </c>
      <c r="J631" s="34">
        <v>0.22670000000000001</v>
      </c>
      <c r="K631" s="34">
        <f t="shared" si="18"/>
        <v>539153.80900000001</v>
      </c>
      <c r="L631" s="34">
        <v>3.74</v>
      </c>
      <c r="M631" s="34">
        <v>8899333</v>
      </c>
      <c r="N631" s="34">
        <f t="shared" si="19"/>
        <v>16.497573886193209</v>
      </c>
    </row>
    <row r="632" spans="1:14" x14ac:dyDescent="0.45">
      <c r="A632" s="30">
        <v>2023</v>
      </c>
      <c r="B632" s="30" t="s">
        <v>11</v>
      </c>
      <c r="C632" s="30" t="s">
        <v>46</v>
      </c>
      <c r="D632" s="30" t="s">
        <v>47</v>
      </c>
      <c r="E632" s="31" t="s">
        <v>399</v>
      </c>
      <c r="F632" s="32" t="s">
        <v>64</v>
      </c>
      <c r="G632" s="32" t="s">
        <v>50</v>
      </c>
      <c r="H632" s="33">
        <v>11590</v>
      </c>
      <c r="I632" s="34">
        <f>Table3[[#This Row],[Volume, kg.]]/1000</f>
        <v>11.59</v>
      </c>
      <c r="J632" s="34">
        <v>0.26</v>
      </c>
      <c r="K632" s="34">
        <f t="shared" si="18"/>
        <v>3013.4</v>
      </c>
      <c r="L632" s="34">
        <v>3.8</v>
      </c>
      <c r="M632" s="34">
        <v>44042</v>
      </c>
      <c r="N632" s="34">
        <f t="shared" si="19"/>
        <v>14.615384615384615</v>
      </c>
    </row>
    <row r="633" spans="1:14" x14ac:dyDescent="0.45">
      <c r="A633" s="30">
        <v>2023</v>
      </c>
      <c r="B633" s="30" t="s">
        <v>11</v>
      </c>
      <c r="C633" s="30" t="s">
        <v>46</v>
      </c>
      <c r="D633" s="30" t="s">
        <v>47</v>
      </c>
      <c r="E633" s="31" t="s">
        <v>203</v>
      </c>
      <c r="F633" s="32" t="s">
        <v>57</v>
      </c>
      <c r="G633" s="32" t="s">
        <v>50</v>
      </c>
      <c r="H633" s="33">
        <v>13580</v>
      </c>
      <c r="I633" s="34">
        <f>Table3[[#This Row],[Volume, kg.]]/1000</f>
        <v>13.58</v>
      </c>
      <c r="J633" s="34">
        <v>0.2359</v>
      </c>
      <c r="K633" s="34">
        <f t="shared" si="18"/>
        <v>3203.5219999999999</v>
      </c>
      <c r="L633" s="34">
        <v>3.67</v>
      </c>
      <c r="M633" s="34">
        <v>49901</v>
      </c>
      <c r="N633" s="34">
        <f t="shared" si="19"/>
        <v>15.557439593047901</v>
      </c>
    </row>
    <row r="634" spans="1:14" x14ac:dyDescent="0.45">
      <c r="A634" s="30">
        <v>2023</v>
      </c>
      <c r="B634" s="30" t="s">
        <v>11</v>
      </c>
      <c r="C634" s="30" t="s">
        <v>46</v>
      </c>
      <c r="D634" s="30" t="s">
        <v>47</v>
      </c>
      <c r="E634" s="31" t="s">
        <v>334</v>
      </c>
      <c r="F634" s="32" t="s">
        <v>81</v>
      </c>
      <c r="G634" s="32" t="s">
        <v>50</v>
      </c>
      <c r="H634" s="33">
        <v>29860</v>
      </c>
      <c r="I634" s="34">
        <f>Table3[[#This Row],[Volume, kg.]]/1000</f>
        <v>29.86</v>
      </c>
      <c r="J634" s="34">
        <v>0.27200000000000002</v>
      </c>
      <c r="K634" s="34">
        <f t="shared" si="18"/>
        <v>8121.920000000001</v>
      </c>
      <c r="L634" s="34">
        <v>3.83</v>
      </c>
      <c r="M634" s="34">
        <v>114405.5</v>
      </c>
      <c r="N634" s="34">
        <f t="shared" si="19"/>
        <v>14.080882352941176</v>
      </c>
    </row>
    <row r="635" spans="1:14" x14ac:dyDescent="0.45">
      <c r="A635" s="30">
        <v>2023</v>
      </c>
      <c r="B635" s="30" t="s">
        <v>11</v>
      </c>
      <c r="C635" s="30" t="s">
        <v>46</v>
      </c>
      <c r="D635" s="30" t="s">
        <v>102</v>
      </c>
      <c r="E635" s="31" t="s">
        <v>348</v>
      </c>
      <c r="F635" s="32" t="s">
        <v>349</v>
      </c>
      <c r="G635" s="32" t="s">
        <v>105</v>
      </c>
      <c r="H635" s="33">
        <v>1346190</v>
      </c>
      <c r="I635" s="34">
        <f>Table3[[#This Row],[Volume, kg.]]/1000</f>
        <v>1346.19</v>
      </c>
      <c r="J635" s="34">
        <v>0.24149999999999999</v>
      </c>
      <c r="K635" s="34">
        <f t="shared" si="18"/>
        <v>325104.88500000001</v>
      </c>
      <c r="L635" s="34">
        <v>3.86</v>
      </c>
      <c r="M635" s="34">
        <v>5202379.5</v>
      </c>
      <c r="N635" s="34">
        <f t="shared" si="19"/>
        <v>15.98343685300207</v>
      </c>
    </row>
    <row r="636" spans="1:14" x14ac:dyDescent="0.45">
      <c r="A636" s="30">
        <v>2023</v>
      </c>
      <c r="B636" s="30" t="s">
        <v>11</v>
      </c>
      <c r="C636" s="30" t="s">
        <v>46</v>
      </c>
      <c r="D636" s="30" t="s">
        <v>102</v>
      </c>
      <c r="E636" s="31" t="s">
        <v>126</v>
      </c>
      <c r="F636" s="32" t="s">
        <v>127</v>
      </c>
      <c r="G636" s="32" t="s">
        <v>128</v>
      </c>
      <c r="H636" s="33">
        <v>183870</v>
      </c>
      <c r="I636" s="34">
        <f>Table3[[#This Row],[Volume, kg.]]/1000</f>
        <v>183.87</v>
      </c>
      <c r="J636" s="34">
        <v>0.222</v>
      </c>
      <c r="K636" s="34">
        <f t="shared" si="18"/>
        <v>40819.14</v>
      </c>
      <c r="L636" s="34">
        <v>3.69</v>
      </c>
      <c r="M636" s="34">
        <v>677902.5</v>
      </c>
      <c r="N636" s="34">
        <f t="shared" si="19"/>
        <v>16.621621621621621</v>
      </c>
    </row>
    <row r="637" spans="1:14" x14ac:dyDescent="0.45">
      <c r="A637" s="30">
        <v>2023</v>
      </c>
      <c r="B637" s="30" t="s">
        <v>11</v>
      </c>
      <c r="C637" s="30" t="s">
        <v>46</v>
      </c>
      <c r="D637" s="30" t="s">
        <v>47</v>
      </c>
      <c r="E637" s="31" t="s">
        <v>400</v>
      </c>
      <c r="F637" s="32" t="s">
        <v>281</v>
      </c>
      <c r="G637" s="32" t="s">
        <v>50</v>
      </c>
      <c r="H637" s="33">
        <v>15050</v>
      </c>
      <c r="I637" s="34">
        <f>Table3[[#This Row],[Volume, kg.]]/1000</f>
        <v>15.05</v>
      </c>
      <c r="J637" s="34">
        <v>0.2235</v>
      </c>
      <c r="K637" s="34">
        <f t="shared" si="18"/>
        <v>3363.6750000000002</v>
      </c>
      <c r="L637" s="34">
        <v>3.55</v>
      </c>
      <c r="M637" s="34">
        <v>53427.5</v>
      </c>
      <c r="N637" s="34">
        <f t="shared" si="19"/>
        <v>15.88366890380313</v>
      </c>
    </row>
    <row r="638" spans="1:14" x14ac:dyDescent="0.45">
      <c r="A638" s="30">
        <v>2023</v>
      </c>
      <c r="B638" s="30" t="s">
        <v>11</v>
      </c>
      <c r="C638" s="30" t="s">
        <v>46</v>
      </c>
      <c r="D638" s="30" t="s">
        <v>47</v>
      </c>
      <c r="E638" s="31" t="s">
        <v>335</v>
      </c>
      <c r="F638" s="32" t="s">
        <v>54</v>
      </c>
      <c r="G638" s="32" t="s">
        <v>50</v>
      </c>
      <c r="H638" s="33">
        <v>208650</v>
      </c>
      <c r="I638" s="34">
        <f>Table3[[#This Row],[Volume, kg.]]/1000</f>
        <v>208.65</v>
      </c>
      <c r="J638" s="34">
        <v>0.2661</v>
      </c>
      <c r="K638" s="34">
        <f t="shared" si="18"/>
        <v>55521.764999999999</v>
      </c>
      <c r="L638" s="34">
        <v>3.79</v>
      </c>
      <c r="M638" s="34">
        <v>789765</v>
      </c>
      <c r="N638" s="34">
        <f t="shared" si="19"/>
        <v>14.242765877489665</v>
      </c>
    </row>
    <row r="639" spans="1:14" x14ac:dyDescent="0.45">
      <c r="A639" s="30">
        <v>2023</v>
      </c>
      <c r="B639" s="30" t="s">
        <v>11</v>
      </c>
      <c r="C639" s="30" t="s">
        <v>46</v>
      </c>
      <c r="D639" s="30" t="s">
        <v>47</v>
      </c>
      <c r="E639" s="31" t="s">
        <v>193</v>
      </c>
      <c r="F639" s="32" t="s">
        <v>81</v>
      </c>
      <c r="G639" s="32" t="s">
        <v>50</v>
      </c>
      <c r="H639" s="33">
        <v>4260</v>
      </c>
      <c r="I639" s="34">
        <f>Table3[[#This Row],[Volume, kg.]]/1000</f>
        <v>4.26</v>
      </c>
      <c r="J639" s="34">
        <v>0.28649999999999998</v>
      </c>
      <c r="K639" s="34">
        <f t="shared" si="18"/>
        <v>1220.49</v>
      </c>
      <c r="L639" s="34">
        <v>3.95</v>
      </c>
      <c r="M639" s="34">
        <v>16827</v>
      </c>
      <c r="N639" s="34">
        <f t="shared" si="19"/>
        <v>13.787085514834208</v>
      </c>
    </row>
    <row r="640" spans="1:14" x14ac:dyDescent="0.45">
      <c r="A640" s="30">
        <v>2023</v>
      </c>
      <c r="B640" s="30" t="s">
        <v>11</v>
      </c>
      <c r="C640" s="30" t="s">
        <v>46</v>
      </c>
      <c r="D640" s="30" t="s">
        <v>47</v>
      </c>
      <c r="E640" s="31" t="s">
        <v>401</v>
      </c>
      <c r="F640" s="32" t="s">
        <v>57</v>
      </c>
      <c r="G640" s="32" t="s">
        <v>50</v>
      </c>
      <c r="H640" s="33">
        <v>16950</v>
      </c>
      <c r="I640" s="34">
        <f>Table3[[#This Row],[Volume, kg.]]/1000</f>
        <v>16.95</v>
      </c>
      <c r="J640" s="34">
        <v>0.252</v>
      </c>
      <c r="K640" s="34">
        <f t="shared" si="18"/>
        <v>4271.3999999999996</v>
      </c>
      <c r="L640" s="34">
        <v>3.72</v>
      </c>
      <c r="M640" s="34">
        <v>62995</v>
      </c>
      <c r="N640" s="34">
        <f t="shared" si="19"/>
        <v>14.761904761904763</v>
      </c>
    </row>
    <row r="641" spans="1:14" x14ac:dyDescent="0.45">
      <c r="A641" s="30">
        <v>2023</v>
      </c>
      <c r="B641" s="30" t="s">
        <v>11</v>
      </c>
      <c r="C641" s="30" t="s">
        <v>46</v>
      </c>
      <c r="D641" s="30" t="s">
        <v>47</v>
      </c>
      <c r="E641" s="31" t="s">
        <v>402</v>
      </c>
      <c r="F641" s="32" t="s">
        <v>60</v>
      </c>
      <c r="G641" s="32" t="s">
        <v>50</v>
      </c>
      <c r="H641" s="33">
        <v>4300</v>
      </c>
      <c r="I641" s="34">
        <f>Table3[[#This Row],[Volume, kg.]]/1000</f>
        <v>4.3</v>
      </c>
      <c r="J641" s="34">
        <v>0.29749999999999999</v>
      </c>
      <c r="K641" s="34">
        <f t="shared" si="18"/>
        <v>1279.25</v>
      </c>
      <c r="L641" s="34">
        <v>3.95</v>
      </c>
      <c r="M641" s="34">
        <v>16985</v>
      </c>
      <c r="N641" s="34">
        <f t="shared" si="19"/>
        <v>13.277310924369749</v>
      </c>
    </row>
    <row r="642" spans="1:14" x14ac:dyDescent="0.45">
      <c r="A642" s="30">
        <v>2023</v>
      </c>
      <c r="B642" s="30" t="s">
        <v>11</v>
      </c>
      <c r="C642" s="30" t="s">
        <v>46</v>
      </c>
      <c r="D642" s="30" t="s">
        <v>47</v>
      </c>
      <c r="E642" s="31" t="s">
        <v>214</v>
      </c>
      <c r="F642" s="32" t="s">
        <v>64</v>
      </c>
      <c r="G642" s="32" t="s">
        <v>50</v>
      </c>
      <c r="H642" s="33">
        <v>21000</v>
      </c>
      <c r="I642" s="34">
        <f>Table3[[#This Row],[Volume, kg.]]/1000</f>
        <v>21</v>
      </c>
      <c r="J642" s="34">
        <v>0.23879999999999998</v>
      </c>
      <c r="K642" s="34">
        <f t="shared" si="18"/>
        <v>5014.7999999999993</v>
      </c>
      <c r="L642" s="34">
        <v>3.7</v>
      </c>
      <c r="M642" s="34">
        <v>77785</v>
      </c>
      <c r="N642" s="34">
        <f t="shared" si="19"/>
        <v>15.494137353433837</v>
      </c>
    </row>
    <row r="643" spans="1:14" x14ac:dyDescent="0.45">
      <c r="A643" s="30">
        <v>2023</v>
      </c>
      <c r="B643" s="30" t="s">
        <v>11</v>
      </c>
      <c r="C643" s="30" t="s">
        <v>46</v>
      </c>
      <c r="D643" s="30" t="s">
        <v>47</v>
      </c>
      <c r="E643" s="31" t="s">
        <v>318</v>
      </c>
      <c r="F643" s="32" t="s">
        <v>60</v>
      </c>
      <c r="G643" s="32" t="s">
        <v>50</v>
      </c>
      <c r="H643" s="33">
        <v>50780</v>
      </c>
      <c r="I643" s="34">
        <f>Table3[[#This Row],[Volume, kg.]]/1000</f>
        <v>50.78</v>
      </c>
      <c r="J643" s="34">
        <v>0.24079999999999999</v>
      </c>
      <c r="K643" s="34">
        <f t="shared" ref="K643:K706" si="20">H643*J643</f>
        <v>12227.823999999999</v>
      </c>
      <c r="L643" s="34">
        <v>3.66</v>
      </c>
      <c r="M643" s="34">
        <v>185651.5</v>
      </c>
      <c r="N643" s="34">
        <f t="shared" si="19"/>
        <v>15.199335548172758</v>
      </c>
    </row>
    <row r="644" spans="1:14" x14ac:dyDescent="0.45">
      <c r="A644" s="30">
        <v>2023</v>
      </c>
      <c r="B644" s="30" t="s">
        <v>11</v>
      </c>
      <c r="C644" s="30" t="s">
        <v>46</v>
      </c>
      <c r="D644" s="30" t="s">
        <v>47</v>
      </c>
      <c r="E644" s="31" t="s">
        <v>109</v>
      </c>
      <c r="F644" s="32" t="s">
        <v>60</v>
      </c>
      <c r="G644" s="32" t="s">
        <v>50</v>
      </c>
      <c r="H644" s="33">
        <v>26690</v>
      </c>
      <c r="I644" s="34">
        <f>Table3[[#This Row],[Volume, kg.]]/1000</f>
        <v>26.69</v>
      </c>
      <c r="J644" s="34">
        <v>0.23980000000000001</v>
      </c>
      <c r="K644" s="34">
        <f t="shared" si="20"/>
        <v>6400.2620000000006</v>
      </c>
      <c r="L644" s="34">
        <v>3.67</v>
      </c>
      <c r="M644" s="34">
        <v>97994</v>
      </c>
      <c r="N644" s="34">
        <f t="shared" ref="N644:N707" si="21">L644/J644</f>
        <v>15.30442035029191</v>
      </c>
    </row>
    <row r="645" spans="1:14" x14ac:dyDescent="0.45">
      <c r="A645" s="30">
        <v>2023</v>
      </c>
      <c r="B645" s="30" t="s">
        <v>11</v>
      </c>
      <c r="C645" s="30" t="s">
        <v>46</v>
      </c>
      <c r="D645" s="30" t="s">
        <v>47</v>
      </c>
      <c r="E645" s="31" t="s">
        <v>307</v>
      </c>
      <c r="F645" s="32" t="s">
        <v>81</v>
      </c>
      <c r="G645" s="32" t="s">
        <v>50</v>
      </c>
      <c r="H645" s="33">
        <v>2990</v>
      </c>
      <c r="I645" s="34">
        <f>Table3[[#This Row],[Volume, kg.]]/1000</f>
        <v>2.99</v>
      </c>
      <c r="J645" s="34">
        <v>0.22870000000000001</v>
      </c>
      <c r="K645" s="34">
        <f t="shared" si="20"/>
        <v>683.81299999999999</v>
      </c>
      <c r="L645" s="34">
        <v>3.65</v>
      </c>
      <c r="M645" s="34">
        <v>10913.5</v>
      </c>
      <c r="N645" s="34">
        <f t="shared" si="21"/>
        <v>15.959772627896808</v>
      </c>
    </row>
    <row r="646" spans="1:14" x14ac:dyDescent="0.45">
      <c r="A646" s="30">
        <v>2023</v>
      </c>
      <c r="B646" s="30" t="s">
        <v>11</v>
      </c>
      <c r="C646" s="30" t="s">
        <v>46</v>
      </c>
      <c r="D646" s="30" t="s">
        <v>47</v>
      </c>
      <c r="E646" s="31" t="s">
        <v>403</v>
      </c>
      <c r="F646" s="32" t="s">
        <v>60</v>
      </c>
      <c r="G646" s="32" t="s">
        <v>50</v>
      </c>
      <c r="H646" s="33">
        <v>5990</v>
      </c>
      <c r="I646" s="34">
        <f>Table3[[#This Row],[Volume, kg.]]/1000</f>
        <v>5.99</v>
      </c>
      <c r="J646" s="34">
        <v>0.23899999999999999</v>
      </c>
      <c r="K646" s="34">
        <f t="shared" si="20"/>
        <v>1431.61</v>
      </c>
      <c r="L646" s="34">
        <v>3.65</v>
      </c>
      <c r="M646" s="34">
        <v>21863.5</v>
      </c>
      <c r="N646" s="34">
        <f t="shared" si="21"/>
        <v>15.271966527196653</v>
      </c>
    </row>
    <row r="647" spans="1:14" x14ac:dyDescent="0.45">
      <c r="A647" s="30">
        <v>2023</v>
      </c>
      <c r="B647" s="30" t="s">
        <v>11</v>
      </c>
      <c r="C647" s="30" t="s">
        <v>46</v>
      </c>
      <c r="D647" s="30" t="s">
        <v>102</v>
      </c>
      <c r="E647" s="31" t="s">
        <v>157</v>
      </c>
      <c r="F647" s="32" t="s">
        <v>127</v>
      </c>
      <c r="G647" s="32" t="s">
        <v>128</v>
      </c>
      <c r="H647" s="33">
        <v>58500</v>
      </c>
      <c r="I647" s="34">
        <f>Table3[[#This Row],[Volume, kg.]]/1000</f>
        <v>58.5</v>
      </c>
      <c r="J647" s="34">
        <v>0.249</v>
      </c>
      <c r="K647" s="34">
        <f t="shared" si="20"/>
        <v>14566.5</v>
      </c>
      <c r="L647" s="34">
        <v>3.9</v>
      </c>
      <c r="M647" s="34">
        <v>228150</v>
      </c>
      <c r="N647" s="34">
        <f t="shared" si="21"/>
        <v>15.662650602409638</v>
      </c>
    </row>
    <row r="648" spans="1:14" x14ac:dyDescent="0.45">
      <c r="A648" s="30">
        <v>2023</v>
      </c>
      <c r="B648" s="30" t="s">
        <v>11</v>
      </c>
      <c r="C648" s="30" t="s">
        <v>46</v>
      </c>
      <c r="D648" s="30" t="s">
        <v>47</v>
      </c>
      <c r="E648" s="31" t="s">
        <v>97</v>
      </c>
      <c r="F648" s="32" t="s">
        <v>49</v>
      </c>
      <c r="G648" s="32" t="s">
        <v>50</v>
      </c>
      <c r="H648" s="33">
        <v>7310</v>
      </c>
      <c r="I648" s="34">
        <f>Table3[[#This Row],[Volume, kg.]]/1000</f>
        <v>7.31</v>
      </c>
      <c r="J648" s="34">
        <v>0.22339999999999999</v>
      </c>
      <c r="K648" s="34">
        <f t="shared" si="20"/>
        <v>1633.0539999999999</v>
      </c>
      <c r="L648" s="34">
        <v>3.59</v>
      </c>
      <c r="M648" s="34">
        <v>26235.5</v>
      </c>
      <c r="N648" s="34">
        <f t="shared" si="21"/>
        <v>16.069829901521935</v>
      </c>
    </row>
    <row r="649" spans="1:14" x14ac:dyDescent="0.45">
      <c r="A649" s="30">
        <v>2023</v>
      </c>
      <c r="B649" s="30" t="s">
        <v>11</v>
      </c>
      <c r="C649" s="30" t="s">
        <v>46</v>
      </c>
      <c r="D649" s="30" t="s">
        <v>47</v>
      </c>
      <c r="E649" s="31" t="s">
        <v>355</v>
      </c>
      <c r="F649" s="32" t="s">
        <v>60</v>
      </c>
      <c r="G649" s="32" t="s">
        <v>50</v>
      </c>
      <c r="H649" s="33">
        <v>80890</v>
      </c>
      <c r="I649" s="34">
        <f>Table3[[#This Row],[Volume, kg.]]/1000</f>
        <v>80.89</v>
      </c>
      <c r="J649" s="34">
        <v>0.2243</v>
      </c>
      <c r="K649" s="34">
        <f t="shared" si="20"/>
        <v>18143.627</v>
      </c>
      <c r="L649" s="34">
        <v>3.57</v>
      </c>
      <c r="M649" s="34">
        <v>288496</v>
      </c>
      <c r="N649" s="34">
        <f t="shared" si="21"/>
        <v>15.916183682567988</v>
      </c>
    </row>
    <row r="650" spans="1:14" x14ac:dyDescent="0.45">
      <c r="A650" s="30">
        <v>2023</v>
      </c>
      <c r="B650" s="30" t="s">
        <v>11</v>
      </c>
      <c r="C650" s="30" t="s">
        <v>46</v>
      </c>
      <c r="D650" s="30" t="s">
        <v>102</v>
      </c>
      <c r="E650" s="31" t="s">
        <v>295</v>
      </c>
      <c r="F650" s="32" t="s">
        <v>127</v>
      </c>
      <c r="G650" s="32" t="s">
        <v>128</v>
      </c>
      <c r="H650" s="33">
        <v>72990</v>
      </c>
      <c r="I650" s="34">
        <f>Table3[[#This Row],[Volume, kg.]]/1000</f>
        <v>72.989999999999995</v>
      </c>
      <c r="J650" s="34">
        <v>0.22339999999999999</v>
      </c>
      <c r="K650" s="34">
        <f t="shared" si="20"/>
        <v>16305.965999999999</v>
      </c>
      <c r="L650" s="34">
        <v>3.73</v>
      </c>
      <c r="M650" s="34">
        <v>272084</v>
      </c>
      <c r="N650" s="34">
        <f t="shared" si="21"/>
        <v>16.696508504923905</v>
      </c>
    </row>
    <row r="651" spans="1:14" x14ac:dyDescent="0.45">
      <c r="A651" s="30">
        <v>2023</v>
      </c>
      <c r="B651" s="30" t="s">
        <v>11</v>
      </c>
      <c r="C651" s="30" t="s">
        <v>46</v>
      </c>
      <c r="D651" s="30" t="s">
        <v>47</v>
      </c>
      <c r="E651" s="31" t="s">
        <v>345</v>
      </c>
      <c r="F651" s="32" t="s">
        <v>81</v>
      </c>
      <c r="G651" s="32" t="s">
        <v>50</v>
      </c>
      <c r="H651" s="33">
        <v>24190</v>
      </c>
      <c r="I651" s="34">
        <f>Table3[[#This Row],[Volume, kg.]]/1000</f>
        <v>24.19</v>
      </c>
      <c r="J651" s="34">
        <v>0.21179999999999999</v>
      </c>
      <c r="K651" s="34">
        <f t="shared" si="20"/>
        <v>5123.442</v>
      </c>
      <c r="L651" s="34">
        <v>3.5</v>
      </c>
      <c r="M651" s="34">
        <v>84568</v>
      </c>
      <c r="N651" s="34">
        <f t="shared" si="21"/>
        <v>16.525023607176582</v>
      </c>
    </row>
    <row r="652" spans="1:14" x14ac:dyDescent="0.45">
      <c r="A652" s="30">
        <v>2023</v>
      </c>
      <c r="B652" s="30" t="s">
        <v>11</v>
      </c>
      <c r="C652" s="30" t="s">
        <v>46</v>
      </c>
      <c r="D652" s="30" t="s">
        <v>47</v>
      </c>
      <c r="E652" s="31" t="s">
        <v>273</v>
      </c>
      <c r="F652" s="32" t="s">
        <v>49</v>
      </c>
      <c r="G652" s="32" t="s">
        <v>50</v>
      </c>
      <c r="H652" s="33">
        <v>9550</v>
      </c>
      <c r="I652" s="34">
        <f>Table3[[#This Row],[Volume, kg.]]/1000</f>
        <v>9.5500000000000007</v>
      </c>
      <c r="J652" s="34">
        <v>0.25980000000000003</v>
      </c>
      <c r="K652" s="34">
        <f t="shared" si="20"/>
        <v>2481.09</v>
      </c>
      <c r="L652" s="34">
        <v>3.79</v>
      </c>
      <c r="M652" s="34">
        <v>36205.5</v>
      </c>
      <c r="N652" s="34">
        <f t="shared" si="21"/>
        <v>14.588144726712855</v>
      </c>
    </row>
    <row r="653" spans="1:14" x14ac:dyDescent="0.45">
      <c r="A653" s="30">
        <v>2023</v>
      </c>
      <c r="B653" s="30" t="s">
        <v>11</v>
      </c>
      <c r="C653" s="30" t="s">
        <v>46</v>
      </c>
      <c r="D653" s="30" t="s">
        <v>47</v>
      </c>
      <c r="E653" s="31" t="s">
        <v>143</v>
      </c>
      <c r="F653" s="32" t="s">
        <v>49</v>
      </c>
      <c r="G653" s="32" t="s">
        <v>50</v>
      </c>
      <c r="H653" s="33">
        <v>19570</v>
      </c>
      <c r="I653" s="34">
        <f>Table3[[#This Row],[Volume, kg.]]/1000</f>
        <v>19.57</v>
      </c>
      <c r="J653" s="34">
        <v>0.24210000000000001</v>
      </c>
      <c r="K653" s="34">
        <f t="shared" si="20"/>
        <v>4737.8969999999999</v>
      </c>
      <c r="L653" s="34">
        <v>3.73</v>
      </c>
      <c r="M653" s="34">
        <v>72912.5</v>
      </c>
      <c r="N653" s="34">
        <f t="shared" si="21"/>
        <v>15.40685667079719</v>
      </c>
    </row>
    <row r="654" spans="1:14" x14ac:dyDescent="0.45">
      <c r="A654" s="30">
        <v>2023</v>
      </c>
      <c r="B654" s="30" t="s">
        <v>11</v>
      </c>
      <c r="C654" s="30" t="s">
        <v>46</v>
      </c>
      <c r="D654" s="30" t="s">
        <v>102</v>
      </c>
      <c r="E654" s="31" t="s">
        <v>250</v>
      </c>
      <c r="F654" s="32" t="s">
        <v>49</v>
      </c>
      <c r="G654" s="32" t="s">
        <v>50</v>
      </c>
      <c r="H654" s="33">
        <v>1275620</v>
      </c>
      <c r="I654" s="34">
        <f>Table3[[#This Row],[Volume, kg.]]/1000</f>
        <v>1275.6199999999999</v>
      </c>
      <c r="J654" s="34">
        <v>0.2419</v>
      </c>
      <c r="K654" s="34">
        <f t="shared" si="20"/>
        <v>308572.478</v>
      </c>
      <c r="L654" s="34">
        <v>3.86</v>
      </c>
      <c r="M654" s="34">
        <v>4925394</v>
      </c>
      <c r="N654" s="34">
        <f t="shared" si="21"/>
        <v>15.957007027697395</v>
      </c>
    </row>
    <row r="655" spans="1:14" x14ac:dyDescent="0.45">
      <c r="A655" s="30">
        <v>2023</v>
      </c>
      <c r="B655" s="30" t="s">
        <v>11</v>
      </c>
      <c r="C655" s="30" t="s">
        <v>46</v>
      </c>
      <c r="D655" s="30" t="s">
        <v>47</v>
      </c>
      <c r="E655" s="31" t="s">
        <v>87</v>
      </c>
      <c r="F655" s="32" t="s">
        <v>49</v>
      </c>
      <c r="G655" s="32" t="s">
        <v>50</v>
      </c>
      <c r="H655" s="33">
        <v>10040</v>
      </c>
      <c r="I655" s="34">
        <f>Table3[[#This Row],[Volume, kg.]]/1000</f>
        <v>10.039999999999999</v>
      </c>
      <c r="J655" s="34">
        <v>0.24350000000000002</v>
      </c>
      <c r="K655" s="34">
        <f t="shared" si="20"/>
        <v>2444.7400000000002</v>
      </c>
      <c r="L655" s="34">
        <v>3.68</v>
      </c>
      <c r="M655" s="34">
        <v>36922</v>
      </c>
      <c r="N655" s="34">
        <f t="shared" si="21"/>
        <v>15.112936344969199</v>
      </c>
    </row>
    <row r="656" spans="1:14" x14ac:dyDescent="0.45">
      <c r="A656" s="30">
        <v>2023</v>
      </c>
      <c r="B656" s="30" t="s">
        <v>11</v>
      </c>
      <c r="C656" s="30" t="s">
        <v>46</v>
      </c>
      <c r="D656" s="30" t="s">
        <v>47</v>
      </c>
      <c r="E656" s="31" t="s">
        <v>155</v>
      </c>
      <c r="F656" s="32" t="s">
        <v>64</v>
      </c>
      <c r="G656" s="32" t="s">
        <v>50</v>
      </c>
      <c r="H656" s="33">
        <v>20560</v>
      </c>
      <c r="I656" s="34">
        <f>Table3[[#This Row],[Volume, kg.]]/1000</f>
        <v>20.56</v>
      </c>
      <c r="J656" s="34">
        <v>0.23010000000000003</v>
      </c>
      <c r="K656" s="34">
        <f t="shared" si="20"/>
        <v>4730.8560000000007</v>
      </c>
      <c r="L656" s="34">
        <v>3.63</v>
      </c>
      <c r="M656" s="34">
        <v>74580</v>
      </c>
      <c r="N656" s="34">
        <f t="shared" si="21"/>
        <v>15.775749674054756</v>
      </c>
    </row>
    <row r="657" spans="1:14" x14ac:dyDescent="0.45">
      <c r="A657" s="30">
        <v>2023</v>
      </c>
      <c r="B657" s="30" t="s">
        <v>11</v>
      </c>
      <c r="C657" s="30" t="s">
        <v>46</v>
      </c>
      <c r="D657" s="30" t="s">
        <v>47</v>
      </c>
      <c r="E657" s="31" t="s">
        <v>404</v>
      </c>
      <c r="F657" s="32" t="s">
        <v>60</v>
      </c>
      <c r="G657" s="32" t="s">
        <v>50</v>
      </c>
      <c r="H657" s="33">
        <v>6400</v>
      </c>
      <c r="I657" s="34">
        <f>Table3[[#This Row],[Volume, kg.]]/1000</f>
        <v>6.4</v>
      </c>
      <c r="J657" s="34">
        <v>0.2515</v>
      </c>
      <c r="K657" s="34">
        <f t="shared" si="20"/>
        <v>1609.6</v>
      </c>
      <c r="L657" s="34">
        <v>3.7</v>
      </c>
      <c r="M657" s="34">
        <v>23680</v>
      </c>
      <c r="N657" s="34">
        <f t="shared" si="21"/>
        <v>14.711729622266402</v>
      </c>
    </row>
    <row r="658" spans="1:14" x14ac:dyDescent="0.45">
      <c r="A658" s="30">
        <v>2023</v>
      </c>
      <c r="B658" s="30" t="s">
        <v>11</v>
      </c>
      <c r="C658" s="30" t="s">
        <v>46</v>
      </c>
      <c r="D658" s="30" t="s">
        <v>47</v>
      </c>
      <c r="E658" s="31" t="s">
        <v>254</v>
      </c>
      <c r="F658" s="32" t="s">
        <v>49</v>
      </c>
      <c r="G658" s="32" t="s">
        <v>50</v>
      </c>
      <c r="H658" s="33">
        <v>21560</v>
      </c>
      <c r="I658" s="34">
        <f>Table3[[#This Row],[Volume, kg.]]/1000</f>
        <v>21.56</v>
      </c>
      <c r="J658" s="34">
        <v>0.25180000000000002</v>
      </c>
      <c r="K658" s="34">
        <f t="shared" si="20"/>
        <v>5428.8080000000009</v>
      </c>
      <c r="L658" s="34">
        <v>3.73</v>
      </c>
      <c r="M658" s="34">
        <v>80311.5</v>
      </c>
      <c r="N658" s="34">
        <f t="shared" si="21"/>
        <v>14.813343923749006</v>
      </c>
    </row>
    <row r="659" spans="1:14" x14ac:dyDescent="0.45">
      <c r="A659" s="30">
        <v>2023</v>
      </c>
      <c r="B659" s="30" t="s">
        <v>11</v>
      </c>
      <c r="C659" s="30" t="s">
        <v>46</v>
      </c>
      <c r="D659" s="30" t="s">
        <v>47</v>
      </c>
      <c r="E659" s="31" t="s">
        <v>199</v>
      </c>
      <c r="F659" s="32" t="s">
        <v>60</v>
      </c>
      <c r="G659" s="32" t="s">
        <v>50</v>
      </c>
      <c r="H659" s="33">
        <v>19490</v>
      </c>
      <c r="I659" s="34">
        <f>Table3[[#This Row],[Volume, kg.]]/1000</f>
        <v>19.489999999999998</v>
      </c>
      <c r="J659" s="34">
        <v>0.23680000000000001</v>
      </c>
      <c r="K659" s="34">
        <f t="shared" si="20"/>
        <v>4615.232</v>
      </c>
      <c r="L659" s="34">
        <v>3.66</v>
      </c>
      <c r="M659" s="34">
        <v>71429.5</v>
      </c>
      <c r="N659" s="34">
        <f t="shared" si="21"/>
        <v>15.456081081081081</v>
      </c>
    </row>
    <row r="660" spans="1:14" x14ac:dyDescent="0.45">
      <c r="A660" s="30">
        <v>2023</v>
      </c>
      <c r="B660" s="30" t="s">
        <v>11</v>
      </c>
      <c r="C660" s="30" t="s">
        <v>46</v>
      </c>
      <c r="D660" s="30" t="s">
        <v>47</v>
      </c>
      <c r="E660" s="31" t="s">
        <v>314</v>
      </c>
      <c r="F660" s="32" t="s">
        <v>57</v>
      </c>
      <c r="G660" s="32" t="s">
        <v>50</v>
      </c>
      <c r="H660" s="33">
        <v>48810</v>
      </c>
      <c r="I660" s="34">
        <f>Table3[[#This Row],[Volume, kg.]]/1000</f>
        <v>48.81</v>
      </c>
      <c r="J660" s="34">
        <v>0.23079999999999998</v>
      </c>
      <c r="K660" s="34">
        <f t="shared" si="20"/>
        <v>11265.347999999998</v>
      </c>
      <c r="L660" s="34">
        <v>3.62</v>
      </c>
      <c r="M660" s="34">
        <v>176529</v>
      </c>
      <c r="N660" s="34">
        <f t="shared" si="21"/>
        <v>15.684575389948009</v>
      </c>
    </row>
    <row r="661" spans="1:14" x14ac:dyDescent="0.45">
      <c r="A661" s="30">
        <v>2023</v>
      </c>
      <c r="B661" s="30" t="s">
        <v>11</v>
      </c>
      <c r="C661" s="30" t="s">
        <v>46</v>
      </c>
      <c r="D661" s="30" t="s">
        <v>47</v>
      </c>
      <c r="E661" s="31" t="s">
        <v>215</v>
      </c>
      <c r="F661" s="32" t="s">
        <v>57</v>
      </c>
      <c r="G661" s="32" t="s">
        <v>50</v>
      </c>
      <c r="H661" s="33">
        <v>19030</v>
      </c>
      <c r="I661" s="34">
        <f>Table3[[#This Row],[Volume, kg.]]/1000</f>
        <v>19.03</v>
      </c>
      <c r="J661" s="34">
        <v>0.23559999999999998</v>
      </c>
      <c r="K661" s="34">
        <f t="shared" si="20"/>
        <v>4483.4679999999998</v>
      </c>
      <c r="L661" s="34">
        <v>3.63</v>
      </c>
      <c r="M661" s="34">
        <v>69066.5</v>
      </c>
      <c r="N661" s="34">
        <f t="shared" si="21"/>
        <v>15.407470288624788</v>
      </c>
    </row>
    <row r="662" spans="1:14" x14ac:dyDescent="0.45">
      <c r="A662" s="30">
        <v>2023</v>
      </c>
      <c r="B662" s="30" t="s">
        <v>11</v>
      </c>
      <c r="C662" s="30" t="s">
        <v>46</v>
      </c>
      <c r="D662" s="30" t="s">
        <v>47</v>
      </c>
      <c r="E662" s="31" t="s">
        <v>227</v>
      </c>
      <c r="F662" s="32" t="s">
        <v>57</v>
      </c>
      <c r="G662" s="32" t="s">
        <v>50</v>
      </c>
      <c r="H662" s="33">
        <v>6420</v>
      </c>
      <c r="I662" s="34">
        <f>Table3[[#This Row],[Volume, kg.]]/1000</f>
        <v>6.42</v>
      </c>
      <c r="J662" s="34">
        <v>0.27200000000000002</v>
      </c>
      <c r="K662" s="34">
        <f t="shared" si="20"/>
        <v>1746.2400000000002</v>
      </c>
      <c r="L662" s="34">
        <v>3.85</v>
      </c>
      <c r="M662" s="34">
        <v>24717</v>
      </c>
      <c r="N662" s="34">
        <f t="shared" si="21"/>
        <v>14.154411764705882</v>
      </c>
    </row>
    <row r="663" spans="1:14" x14ac:dyDescent="0.45">
      <c r="A663" s="30">
        <v>2023</v>
      </c>
      <c r="B663" s="30" t="s">
        <v>11</v>
      </c>
      <c r="C663" s="30" t="s">
        <v>46</v>
      </c>
      <c r="D663" s="30" t="s">
        <v>47</v>
      </c>
      <c r="E663" s="31" t="s">
        <v>207</v>
      </c>
      <c r="F663" s="32" t="s">
        <v>64</v>
      </c>
      <c r="G663" s="32" t="s">
        <v>50</v>
      </c>
      <c r="H663" s="33">
        <v>9830</v>
      </c>
      <c r="I663" s="34">
        <f>Table3[[#This Row],[Volume, kg.]]/1000</f>
        <v>9.83</v>
      </c>
      <c r="J663" s="34">
        <v>0.23050000000000001</v>
      </c>
      <c r="K663" s="34">
        <f t="shared" si="20"/>
        <v>2265.8150000000001</v>
      </c>
      <c r="L663" s="34">
        <v>3.6</v>
      </c>
      <c r="M663" s="34">
        <v>35388</v>
      </c>
      <c r="N663" s="34">
        <f t="shared" si="21"/>
        <v>15.61822125813449</v>
      </c>
    </row>
    <row r="664" spans="1:14" x14ac:dyDescent="0.45">
      <c r="A664" s="30">
        <v>2023</v>
      </c>
      <c r="B664" s="30" t="s">
        <v>11</v>
      </c>
      <c r="C664" s="30" t="s">
        <v>46</v>
      </c>
      <c r="D664" s="30" t="s">
        <v>47</v>
      </c>
      <c r="E664" s="31" t="s">
        <v>228</v>
      </c>
      <c r="F664" s="32" t="s">
        <v>64</v>
      </c>
      <c r="G664" s="32" t="s">
        <v>50</v>
      </c>
      <c r="H664" s="33">
        <v>15730</v>
      </c>
      <c r="I664" s="34">
        <f>Table3[[#This Row],[Volume, kg.]]/1000</f>
        <v>15.73</v>
      </c>
      <c r="J664" s="34">
        <v>0.1895</v>
      </c>
      <c r="K664" s="34">
        <f t="shared" si="20"/>
        <v>2980.835</v>
      </c>
      <c r="L664" s="34">
        <v>3.4</v>
      </c>
      <c r="M664" s="34">
        <v>53482</v>
      </c>
      <c r="N664" s="34">
        <f t="shared" si="21"/>
        <v>17.941952506596305</v>
      </c>
    </row>
    <row r="665" spans="1:14" x14ac:dyDescent="0.45">
      <c r="A665" s="30">
        <v>2023</v>
      </c>
      <c r="B665" s="30" t="s">
        <v>11</v>
      </c>
      <c r="C665" s="30" t="s">
        <v>46</v>
      </c>
      <c r="D665" s="30" t="s">
        <v>47</v>
      </c>
      <c r="E665" s="31" t="s">
        <v>92</v>
      </c>
      <c r="F665" s="32" t="s">
        <v>81</v>
      </c>
      <c r="G665" s="32" t="s">
        <v>50</v>
      </c>
      <c r="H665" s="33">
        <v>169340</v>
      </c>
      <c r="I665" s="34">
        <f>Table3[[#This Row],[Volume, kg.]]/1000</f>
        <v>169.34</v>
      </c>
      <c r="J665" s="34">
        <v>0.2427</v>
      </c>
      <c r="K665" s="34">
        <f t="shared" si="20"/>
        <v>41098.817999999999</v>
      </c>
      <c r="L665" s="34">
        <v>3.66</v>
      </c>
      <c r="M665" s="34">
        <v>619442.5</v>
      </c>
      <c r="N665" s="34">
        <f t="shared" si="21"/>
        <v>15.080346106304079</v>
      </c>
    </row>
    <row r="666" spans="1:14" x14ac:dyDescent="0.45">
      <c r="A666" s="30">
        <v>2023</v>
      </c>
      <c r="B666" s="30" t="s">
        <v>11</v>
      </c>
      <c r="C666" s="30" t="s">
        <v>46</v>
      </c>
      <c r="D666" s="30" t="s">
        <v>47</v>
      </c>
      <c r="E666" s="31" t="s">
        <v>101</v>
      </c>
      <c r="F666" s="32" t="s">
        <v>64</v>
      </c>
      <c r="G666" s="32" t="s">
        <v>50</v>
      </c>
      <c r="H666" s="33">
        <v>10740</v>
      </c>
      <c r="I666" s="34">
        <f>Table3[[#This Row],[Volume, kg.]]/1000</f>
        <v>10.74</v>
      </c>
      <c r="J666" s="34">
        <v>0.17199999999999999</v>
      </c>
      <c r="K666" s="34">
        <f t="shared" si="20"/>
        <v>1847.2799999999997</v>
      </c>
      <c r="L666" s="34">
        <v>3.3</v>
      </c>
      <c r="M666" s="34">
        <v>35442</v>
      </c>
      <c r="N666" s="34">
        <f t="shared" si="21"/>
        <v>19.186046511627907</v>
      </c>
    </row>
    <row r="667" spans="1:14" x14ac:dyDescent="0.45">
      <c r="A667" s="30">
        <v>2023</v>
      </c>
      <c r="B667" s="30" t="s">
        <v>11</v>
      </c>
      <c r="C667" s="30" t="s">
        <v>46</v>
      </c>
      <c r="D667" s="30" t="s">
        <v>47</v>
      </c>
      <c r="E667" s="31" t="s">
        <v>405</v>
      </c>
      <c r="F667" s="32" t="s">
        <v>240</v>
      </c>
      <c r="G667" s="32" t="s">
        <v>50</v>
      </c>
      <c r="H667" s="33">
        <v>4650</v>
      </c>
      <c r="I667" s="34">
        <f>Table3[[#This Row],[Volume, kg.]]/1000</f>
        <v>4.6500000000000004</v>
      </c>
      <c r="J667" s="34">
        <v>0.29899999999999999</v>
      </c>
      <c r="K667" s="34">
        <f t="shared" si="20"/>
        <v>1390.35</v>
      </c>
      <c r="L667" s="34">
        <v>4</v>
      </c>
      <c r="M667" s="34">
        <v>18600</v>
      </c>
      <c r="N667" s="34">
        <f t="shared" si="21"/>
        <v>13.377926421404682</v>
      </c>
    </row>
    <row r="668" spans="1:14" x14ac:dyDescent="0.45">
      <c r="A668" s="30">
        <v>2023</v>
      </c>
      <c r="B668" s="30" t="s">
        <v>11</v>
      </c>
      <c r="C668" s="30" t="s">
        <v>46</v>
      </c>
      <c r="D668" s="30" t="s">
        <v>47</v>
      </c>
      <c r="E668" s="31" t="s">
        <v>161</v>
      </c>
      <c r="F668" s="32" t="s">
        <v>57</v>
      </c>
      <c r="G668" s="32" t="s">
        <v>50</v>
      </c>
      <c r="H668" s="33">
        <v>16180</v>
      </c>
      <c r="I668" s="34">
        <f>Table3[[#This Row],[Volume, kg.]]/1000</f>
        <v>16.18</v>
      </c>
      <c r="J668" s="34">
        <v>0.1895</v>
      </c>
      <c r="K668" s="34">
        <f t="shared" si="20"/>
        <v>3066.11</v>
      </c>
      <c r="L668" s="34">
        <v>3.4</v>
      </c>
      <c r="M668" s="34">
        <v>55012</v>
      </c>
      <c r="N668" s="34">
        <f t="shared" si="21"/>
        <v>17.941952506596305</v>
      </c>
    </row>
    <row r="669" spans="1:14" x14ac:dyDescent="0.45">
      <c r="A669" s="30">
        <v>2023</v>
      </c>
      <c r="B669" s="30" t="s">
        <v>11</v>
      </c>
      <c r="C669" s="30" t="s">
        <v>46</v>
      </c>
      <c r="D669" s="30" t="s">
        <v>47</v>
      </c>
      <c r="E669" s="31" t="s">
        <v>286</v>
      </c>
      <c r="F669" s="32" t="s">
        <v>49</v>
      </c>
      <c r="G669" s="32" t="s">
        <v>50</v>
      </c>
      <c r="H669" s="33">
        <v>1470</v>
      </c>
      <c r="I669" s="34">
        <f>Table3[[#This Row],[Volume, kg.]]/1000</f>
        <v>1.47</v>
      </c>
      <c r="J669" s="34">
        <v>0.2445</v>
      </c>
      <c r="K669" s="34">
        <f t="shared" si="20"/>
        <v>359.41500000000002</v>
      </c>
      <c r="L669" s="34">
        <v>3.65</v>
      </c>
      <c r="M669" s="34">
        <v>5365.5</v>
      </c>
      <c r="N669" s="34">
        <f t="shared" si="21"/>
        <v>14.928425357873211</v>
      </c>
    </row>
    <row r="670" spans="1:14" x14ac:dyDescent="0.45">
      <c r="A670" s="30">
        <v>2023</v>
      </c>
      <c r="B670" s="30" t="s">
        <v>11</v>
      </c>
      <c r="C670" s="30" t="s">
        <v>46</v>
      </c>
      <c r="D670" s="30" t="s">
        <v>47</v>
      </c>
      <c r="E670" s="31" t="s">
        <v>406</v>
      </c>
      <c r="F670" s="32" t="s">
        <v>81</v>
      </c>
      <c r="G670" s="32" t="s">
        <v>50</v>
      </c>
      <c r="H670" s="33">
        <v>49320</v>
      </c>
      <c r="I670" s="34">
        <f>Table3[[#This Row],[Volume, kg.]]/1000</f>
        <v>49.32</v>
      </c>
      <c r="J670" s="34">
        <v>0.2218</v>
      </c>
      <c r="K670" s="34">
        <f t="shared" si="20"/>
        <v>10939.175999999999</v>
      </c>
      <c r="L670" s="34">
        <v>3.57</v>
      </c>
      <c r="M670" s="34">
        <v>176289.5</v>
      </c>
      <c r="N670" s="34">
        <f t="shared" si="21"/>
        <v>16.095581605049595</v>
      </c>
    </row>
    <row r="671" spans="1:14" x14ac:dyDescent="0.45">
      <c r="A671" s="30">
        <v>2023</v>
      </c>
      <c r="B671" s="30" t="s">
        <v>11</v>
      </c>
      <c r="C671" s="30" t="s">
        <v>46</v>
      </c>
      <c r="D671" s="30" t="s">
        <v>47</v>
      </c>
      <c r="E671" s="31" t="s">
        <v>371</v>
      </c>
      <c r="F671" s="32" t="s">
        <v>64</v>
      </c>
      <c r="G671" s="32" t="s">
        <v>50</v>
      </c>
      <c r="H671" s="33">
        <v>57860</v>
      </c>
      <c r="I671" s="34">
        <f>Table3[[#This Row],[Volume, kg.]]/1000</f>
        <v>57.86</v>
      </c>
      <c r="J671" s="34">
        <v>0.27479999999999999</v>
      </c>
      <c r="K671" s="34">
        <f t="shared" si="20"/>
        <v>15899.928</v>
      </c>
      <c r="L671" s="34">
        <v>3.83</v>
      </c>
      <c r="M671" s="34">
        <v>221647</v>
      </c>
      <c r="N671" s="34">
        <f t="shared" si="21"/>
        <v>13.93740902474527</v>
      </c>
    </row>
    <row r="672" spans="1:14" x14ac:dyDescent="0.45">
      <c r="A672" s="30">
        <v>2023</v>
      </c>
      <c r="B672" s="30" t="s">
        <v>11</v>
      </c>
      <c r="C672" s="30" t="s">
        <v>46</v>
      </c>
      <c r="D672" s="30" t="s">
        <v>47</v>
      </c>
      <c r="E672" s="31" t="s">
        <v>136</v>
      </c>
      <c r="F672" s="32" t="s">
        <v>49</v>
      </c>
      <c r="G672" s="32" t="s">
        <v>50</v>
      </c>
      <c r="H672" s="33">
        <v>10800</v>
      </c>
      <c r="I672" s="34">
        <f>Table3[[#This Row],[Volume, kg.]]/1000</f>
        <v>10.8</v>
      </c>
      <c r="J672" s="34">
        <v>0.2475</v>
      </c>
      <c r="K672" s="34">
        <f t="shared" si="20"/>
        <v>2673</v>
      </c>
      <c r="L672" s="34">
        <v>3.7</v>
      </c>
      <c r="M672" s="34">
        <v>39960</v>
      </c>
      <c r="N672" s="34">
        <f t="shared" si="21"/>
        <v>14.94949494949495</v>
      </c>
    </row>
    <row r="673" spans="1:14" x14ac:dyDescent="0.45">
      <c r="A673" s="30">
        <v>2023</v>
      </c>
      <c r="B673" s="30" t="s">
        <v>11</v>
      </c>
      <c r="C673" s="30" t="s">
        <v>46</v>
      </c>
      <c r="D673" s="30" t="s">
        <v>47</v>
      </c>
      <c r="E673" s="31" t="s">
        <v>289</v>
      </c>
      <c r="F673" s="32" t="s">
        <v>238</v>
      </c>
      <c r="G673" s="32" t="s">
        <v>50</v>
      </c>
      <c r="H673" s="33">
        <v>17120</v>
      </c>
      <c r="I673" s="34">
        <f>Table3[[#This Row],[Volume, kg.]]/1000</f>
        <v>17.12</v>
      </c>
      <c r="J673" s="34">
        <v>0.23250000000000001</v>
      </c>
      <c r="K673" s="34">
        <f t="shared" si="20"/>
        <v>3980.4</v>
      </c>
      <c r="L673" s="34">
        <v>3.65</v>
      </c>
      <c r="M673" s="34">
        <v>62488</v>
      </c>
      <c r="N673" s="34">
        <f t="shared" si="21"/>
        <v>15.698924731182794</v>
      </c>
    </row>
    <row r="674" spans="1:14" x14ac:dyDescent="0.45">
      <c r="A674" s="30">
        <v>2023</v>
      </c>
      <c r="B674" s="30" t="s">
        <v>11</v>
      </c>
      <c r="C674" s="30" t="s">
        <v>46</v>
      </c>
      <c r="D674" s="30" t="s">
        <v>47</v>
      </c>
      <c r="E674" s="31" t="s">
        <v>407</v>
      </c>
      <c r="F674" s="32" t="s">
        <v>49</v>
      </c>
      <c r="G674" s="32" t="s">
        <v>50</v>
      </c>
      <c r="H674" s="33">
        <v>4640</v>
      </c>
      <c r="I674" s="34">
        <f>Table3[[#This Row],[Volume, kg.]]/1000</f>
        <v>4.6399999999999997</v>
      </c>
      <c r="J674" s="34">
        <v>0.22489999999999999</v>
      </c>
      <c r="K674" s="34">
        <f t="shared" si="20"/>
        <v>1043.5360000000001</v>
      </c>
      <c r="L674" s="34">
        <v>3.58</v>
      </c>
      <c r="M674" s="34">
        <v>16631</v>
      </c>
      <c r="N674" s="34">
        <f t="shared" si="21"/>
        <v>15.918185860382394</v>
      </c>
    </row>
    <row r="675" spans="1:14" x14ac:dyDescent="0.45">
      <c r="A675" s="30">
        <v>2023</v>
      </c>
      <c r="B675" s="30" t="s">
        <v>11</v>
      </c>
      <c r="C675" s="30" t="s">
        <v>46</v>
      </c>
      <c r="D675" s="30" t="s">
        <v>47</v>
      </c>
      <c r="E675" s="31" t="s">
        <v>151</v>
      </c>
      <c r="F675" s="32" t="s">
        <v>60</v>
      </c>
      <c r="G675" s="32" t="s">
        <v>50</v>
      </c>
      <c r="H675" s="33">
        <v>4970</v>
      </c>
      <c r="I675" s="34">
        <f>Table3[[#This Row],[Volume, kg.]]/1000</f>
        <v>4.97</v>
      </c>
      <c r="J675" s="34">
        <v>0.24100000000000002</v>
      </c>
      <c r="K675" s="34">
        <f t="shared" si="20"/>
        <v>1197.7700000000002</v>
      </c>
      <c r="L675" s="34">
        <v>3.7</v>
      </c>
      <c r="M675" s="34">
        <v>18389</v>
      </c>
      <c r="N675" s="34">
        <f t="shared" si="21"/>
        <v>15.352697095435683</v>
      </c>
    </row>
    <row r="676" spans="1:14" x14ac:dyDescent="0.45">
      <c r="A676" s="30">
        <v>2023</v>
      </c>
      <c r="B676" s="30" t="s">
        <v>11</v>
      </c>
      <c r="C676" s="30" t="s">
        <v>46</v>
      </c>
      <c r="D676" s="30" t="s">
        <v>47</v>
      </c>
      <c r="E676" s="31" t="s">
        <v>408</v>
      </c>
      <c r="F676" s="32" t="s">
        <v>238</v>
      </c>
      <c r="G676" s="32" t="s">
        <v>50</v>
      </c>
      <c r="H676" s="33">
        <v>34550</v>
      </c>
      <c r="I676" s="34">
        <f>Table3[[#This Row],[Volume, kg.]]/1000</f>
        <v>34.549999999999997</v>
      </c>
      <c r="J676" s="34">
        <v>0.222</v>
      </c>
      <c r="K676" s="34">
        <f t="shared" si="20"/>
        <v>7670.1</v>
      </c>
      <c r="L676" s="34">
        <v>3.55</v>
      </c>
      <c r="M676" s="34">
        <v>122652.5</v>
      </c>
      <c r="N676" s="34">
        <f t="shared" si="21"/>
        <v>15.990990990990991</v>
      </c>
    </row>
    <row r="677" spans="1:14" x14ac:dyDescent="0.45">
      <c r="A677" s="30">
        <v>2023</v>
      </c>
      <c r="B677" s="30" t="s">
        <v>11</v>
      </c>
      <c r="C677" s="30" t="s">
        <v>46</v>
      </c>
      <c r="D677" s="30" t="s">
        <v>47</v>
      </c>
      <c r="E677" s="31" t="s">
        <v>184</v>
      </c>
      <c r="F677" s="32" t="s">
        <v>57</v>
      </c>
      <c r="G677" s="32" t="s">
        <v>50</v>
      </c>
      <c r="H677" s="33">
        <v>48700</v>
      </c>
      <c r="I677" s="34">
        <f>Table3[[#This Row],[Volume, kg.]]/1000</f>
        <v>48.7</v>
      </c>
      <c r="J677" s="34">
        <v>0.25159999999999999</v>
      </c>
      <c r="K677" s="34">
        <f t="shared" si="20"/>
        <v>12252.92</v>
      </c>
      <c r="L677" s="34">
        <v>3.69</v>
      </c>
      <c r="M677" s="34">
        <v>179614.5</v>
      </c>
      <c r="N677" s="34">
        <f t="shared" si="21"/>
        <v>14.666136724960255</v>
      </c>
    </row>
    <row r="678" spans="1:14" x14ac:dyDescent="0.45">
      <c r="A678" s="30">
        <v>2023</v>
      </c>
      <c r="B678" s="30" t="s">
        <v>11</v>
      </c>
      <c r="C678" s="30" t="s">
        <v>46</v>
      </c>
      <c r="D678" s="30" t="s">
        <v>47</v>
      </c>
      <c r="E678" s="31" t="s">
        <v>257</v>
      </c>
      <c r="F678" s="32" t="s">
        <v>64</v>
      </c>
      <c r="G678" s="32" t="s">
        <v>50</v>
      </c>
      <c r="H678" s="33">
        <v>432300</v>
      </c>
      <c r="I678" s="34">
        <f>Table3[[#This Row],[Volume, kg.]]/1000</f>
        <v>432.3</v>
      </c>
      <c r="J678" s="34">
        <v>0.22820000000000001</v>
      </c>
      <c r="K678" s="34">
        <f t="shared" si="20"/>
        <v>98650.86</v>
      </c>
      <c r="L678" s="34">
        <v>3.81</v>
      </c>
      <c r="M678" s="34">
        <v>1648312</v>
      </c>
      <c r="N678" s="34">
        <f t="shared" si="21"/>
        <v>16.695880806310253</v>
      </c>
    </row>
    <row r="679" spans="1:14" x14ac:dyDescent="0.45">
      <c r="A679" s="30">
        <v>2023</v>
      </c>
      <c r="B679" s="30" t="s">
        <v>11</v>
      </c>
      <c r="C679" s="30" t="s">
        <v>46</v>
      </c>
      <c r="D679" s="30" t="s">
        <v>47</v>
      </c>
      <c r="E679" s="31" t="s">
        <v>351</v>
      </c>
      <c r="F679" s="32" t="s">
        <v>49</v>
      </c>
      <c r="G679" s="32" t="s">
        <v>50</v>
      </c>
      <c r="H679" s="33">
        <v>9950</v>
      </c>
      <c r="I679" s="34">
        <f>Table3[[#This Row],[Volume, kg.]]/1000</f>
        <v>9.9499999999999993</v>
      </c>
      <c r="J679" s="34">
        <v>0.20250000000000001</v>
      </c>
      <c r="K679" s="34">
        <f t="shared" si="20"/>
        <v>2014.8750000000002</v>
      </c>
      <c r="L679" s="34">
        <v>3.5</v>
      </c>
      <c r="M679" s="34">
        <v>34825</v>
      </c>
      <c r="N679" s="34">
        <f t="shared" si="21"/>
        <v>17.283950617283949</v>
      </c>
    </row>
    <row r="680" spans="1:14" x14ac:dyDescent="0.45">
      <c r="A680" s="30">
        <v>2023</v>
      </c>
      <c r="B680" s="30" t="s">
        <v>11</v>
      </c>
      <c r="C680" s="30" t="s">
        <v>46</v>
      </c>
      <c r="D680" s="30" t="s">
        <v>47</v>
      </c>
      <c r="E680" s="31" t="s">
        <v>133</v>
      </c>
      <c r="F680" s="32" t="s">
        <v>134</v>
      </c>
      <c r="G680" s="32" t="s">
        <v>50</v>
      </c>
      <c r="H680" s="33">
        <v>33440</v>
      </c>
      <c r="I680" s="34">
        <f>Table3[[#This Row],[Volume, kg.]]/1000</f>
        <v>33.44</v>
      </c>
      <c r="J680" s="34">
        <v>0.22920000000000001</v>
      </c>
      <c r="K680" s="34">
        <f t="shared" si="20"/>
        <v>7664.4480000000003</v>
      </c>
      <c r="L680" s="34">
        <v>3.65</v>
      </c>
      <c r="M680" s="34">
        <v>122056</v>
      </c>
      <c r="N680" s="34">
        <f t="shared" si="21"/>
        <v>15.924956369982546</v>
      </c>
    </row>
    <row r="681" spans="1:14" x14ac:dyDescent="0.45">
      <c r="A681" s="30">
        <v>2023</v>
      </c>
      <c r="B681" s="30" t="s">
        <v>11</v>
      </c>
      <c r="C681" s="30" t="s">
        <v>46</v>
      </c>
      <c r="D681" s="30" t="s">
        <v>47</v>
      </c>
      <c r="E681" s="31" t="s">
        <v>72</v>
      </c>
      <c r="F681" s="32" t="s">
        <v>49</v>
      </c>
      <c r="G681" s="32" t="s">
        <v>50</v>
      </c>
      <c r="H681" s="33">
        <v>8110</v>
      </c>
      <c r="I681" s="34">
        <f>Table3[[#This Row],[Volume, kg.]]/1000</f>
        <v>8.11</v>
      </c>
      <c r="J681" s="34">
        <v>0.24539999999999998</v>
      </c>
      <c r="K681" s="34">
        <f t="shared" si="20"/>
        <v>1990.1939999999997</v>
      </c>
      <c r="L681" s="34">
        <v>3.66</v>
      </c>
      <c r="M681" s="34">
        <v>29658.5</v>
      </c>
      <c r="N681" s="34">
        <f t="shared" si="21"/>
        <v>14.914425427872862</v>
      </c>
    </row>
    <row r="682" spans="1:14" x14ac:dyDescent="0.45">
      <c r="A682" s="30">
        <v>2023</v>
      </c>
      <c r="B682" s="30" t="s">
        <v>11</v>
      </c>
      <c r="C682" s="30" t="s">
        <v>46</v>
      </c>
      <c r="D682" s="30" t="s">
        <v>47</v>
      </c>
      <c r="E682" s="31" t="s">
        <v>78</v>
      </c>
      <c r="F682" s="32" t="s">
        <v>49</v>
      </c>
      <c r="G682" s="32" t="s">
        <v>50</v>
      </c>
      <c r="H682" s="33">
        <v>4000</v>
      </c>
      <c r="I682" s="34">
        <f>Table3[[#This Row],[Volume, kg.]]/1000</f>
        <v>4</v>
      </c>
      <c r="J682" s="34">
        <v>0.28149999999999997</v>
      </c>
      <c r="K682" s="34">
        <f t="shared" si="20"/>
        <v>1126</v>
      </c>
      <c r="L682" s="34">
        <v>3.9</v>
      </c>
      <c r="M682" s="34">
        <v>15600</v>
      </c>
      <c r="N682" s="34">
        <f t="shared" si="21"/>
        <v>13.854351687388988</v>
      </c>
    </row>
    <row r="683" spans="1:14" x14ac:dyDescent="0.45">
      <c r="A683" s="30">
        <v>2023</v>
      </c>
      <c r="B683" s="30" t="s">
        <v>11</v>
      </c>
      <c r="C683" s="30" t="s">
        <v>46</v>
      </c>
      <c r="D683" s="30" t="s">
        <v>47</v>
      </c>
      <c r="E683" s="31" t="s">
        <v>252</v>
      </c>
      <c r="F683" s="32" t="s">
        <v>49</v>
      </c>
      <c r="G683" s="32" t="s">
        <v>50</v>
      </c>
      <c r="H683" s="33">
        <v>4250</v>
      </c>
      <c r="I683" s="34">
        <f>Table3[[#This Row],[Volume, kg.]]/1000</f>
        <v>4.25</v>
      </c>
      <c r="J683" s="34">
        <v>0.2475</v>
      </c>
      <c r="K683" s="34">
        <f t="shared" si="20"/>
        <v>1051.875</v>
      </c>
      <c r="L683" s="34">
        <v>3.7</v>
      </c>
      <c r="M683" s="34">
        <v>15725</v>
      </c>
      <c r="N683" s="34">
        <f t="shared" si="21"/>
        <v>14.94949494949495</v>
      </c>
    </row>
    <row r="684" spans="1:14" x14ac:dyDescent="0.45">
      <c r="A684" s="30">
        <v>2023</v>
      </c>
      <c r="B684" s="30" t="s">
        <v>11</v>
      </c>
      <c r="C684" s="30" t="s">
        <v>46</v>
      </c>
      <c r="D684" s="30" t="s">
        <v>102</v>
      </c>
      <c r="E684" s="31" t="s">
        <v>366</v>
      </c>
      <c r="F684" s="32" t="s">
        <v>367</v>
      </c>
      <c r="G684" s="32" t="s">
        <v>368</v>
      </c>
      <c r="H684" s="33">
        <v>142970</v>
      </c>
      <c r="I684" s="34">
        <f>Table3[[#This Row],[Volume, kg.]]/1000</f>
        <v>142.97</v>
      </c>
      <c r="J684" s="34">
        <v>0.21829999999999999</v>
      </c>
      <c r="K684" s="34">
        <f t="shared" si="20"/>
        <v>31210.350999999999</v>
      </c>
      <c r="L684" s="34">
        <v>3.64</v>
      </c>
      <c r="M684" s="34">
        <v>520196.5</v>
      </c>
      <c r="N684" s="34">
        <f t="shared" si="21"/>
        <v>16.674301420064133</v>
      </c>
    </row>
    <row r="685" spans="1:14" x14ac:dyDescent="0.45">
      <c r="A685" s="30">
        <v>2023</v>
      </c>
      <c r="B685" s="30" t="s">
        <v>11</v>
      </c>
      <c r="C685" s="30" t="s">
        <v>46</v>
      </c>
      <c r="D685" s="30" t="s">
        <v>102</v>
      </c>
      <c r="E685" s="31" t="s">
        <v>364</v>
      </c>
      <c r="F685" s="32" t="s">
        <v>223</v>
      </c>
      <c r="G685" s="32" t="s">
        <v>50</v>
      </c>
      <c r="H685" s="33">
        <v>309380</v>
      </c>
      <c r="I685" s="34">
        <f>Table3[[#This Row],[Volume, kg.]]/1000</f>
        <v>309.38</v>
      </c>
      <c r="J685" s="34">
        <v>0.24</v>
      </c>
      <c r="K685" s="34">
        <f t="shared" si="20"/>
        <v>74251.199999999997</v>
      </c>
      <c r="L685" s="34">
        <v>3.77</v>
      </c>
      <c r="M685" s="34">
        <v>1166991.5</v>
      </c>
      <c r="N685" s="34">
        <f t="shared" si="21"/>
        <v>15.708333333333334</v>
      </c>
    </row>
    <row r="686" spans="1:14" x14ac:dyDescent="0.45">
      <c r="A686" s="30">
        <v>2023</v>
      </c>
      <c r="B686" s="30" t="s">
        <v>11</v>
      </c>
      <c r="C686" s="30" t="s">
        <v>46</v>
      </c>
      <c r="D686" s="30" t="s">
        <v>102</v>
      </c>
      <c r="E686" s="31" t="s">
        <v>339</v>
      </c>
      <c r="F686" s="32" t="s">
        <v>340</v>
      </c>
      <c r="G686" s="32" t="s">
        <v>341</v>
      </c>
      <c r="H686" s="33">
        <v>77720</v>
      </c>
      <c r="I686" s="34">
        <f>Table3[[#This Row],[Volume, kg.]]/1000</f>
        <v>77.72</v>
      </c>
      <c r="J686" s="34">
        <v>0.21530000000000002</v>
      </c>
      <c r="K686" s="34">
        <f t="shared" si="20"/>
        <v>16733.116000000002</v>
      </c>
      <c r="L686" s="34">
        <v>3.55</v>
      </c>
      <c r="M686" s="34">
        <v>275556</v>
      </c>
      <c r="N686" s="34">
        <f t="shared" si="21"/>
        <v>16.488620529493726</v>
      </c>
    </row>
    <row r="687" spans="1:14" x14ac:dyDescent="0.45">
      <c r="A687" s="30">
        <v>2023</v>
      </c>
      <c r="B687" s="30" t="s">
        <v>11</v>
      </c>
      <c r="C687" s="30" t="s">
        <v>46</v>
      </c>
      <c r="D687" s="30" t="s">
        <v>47</v>
      </c>
      <c r="E687" s="31" t="s">
        <v>409</v>
      </c>
      <c r="F687" s="32" t="s">
        <v>57</v>
      </c>
      <c r="G687" s="32" t="s">
        <v>50</v>
      </c>
      <c r="H687" s="33">
        <v>24570</v>
      </c>
      <c r="I687" s="34">
        <f>Table3[[#This Row],[Volume, kg.]]/1000</f>
        <v>24.57</v>
      </c>
      <c r="J687" s="34">
        <v>0.28739999999999999</v>
      </c>
      <c r="K687" s="34">
        <f t="shared" si="20"/>
        <v>7061.4179999999997</v>
      </c>
      <c r="L687" s="34">
        <v>3.79</v>
      </c>
      <c r="M687" s="34">
        <v>93000.5</v>
      </c>
      <c r="N687" s="34">
        <f t="shared" si="21"/>
        <v>13.187195546276966</v>
      </c>
    </row>
    <row r="688" spans="1:14" x14ac:dyDescent="0.45">
      <c r="A688" s="30">
        <v>2023</v>
      </c>
      <c r="B688" s="30" t="s">
        <v>11</v>
      </c>
      <c r="C688" s="30" t="s">
        <v>46</v>
      </c>
      <c r="D688" s="30" t="s">
        <v>47</v>
      </c>
      <c r="E688" s="31" t="s">
        <v>410</v>
      </c>
      <c r="F688" s="32" t="s">
        <v>54</v>
      </c>
      <c r="G688" s="32" t="s">
        <v>50</v>
      </c>
      <c r="H688" s="33">
        <v>3620</v>
      </c>
      <c r="I688" s="34">
        <f>Table3[[#This Row],[Volume, kg.]]/1000</f>
        <v>3.62</v>
      </c>
      <c r="J688" s="34">
        <v>0.29249999999999998</v>
      </c>
      <c r="K688" s="34">
        <f t="shared" si="20"/>
        <v>1058.8499999999999</v>
      </c>
      <c r="L688" s="34">
        <v>3.95</v>
      </c>
      <c r="M688" s="34">
        <v>14299</v>
      </c>
      <c r="N688" s="34">
        <f t="shared" si="21"/>
        <v>13.504273504273506</v>
      </c>
    </row>
    <row r="689" spans="1:14" x14ac:dyDescent="0.45">
      <c r="A689" s="30">
        <v>2023</v>
      </c>
      <c r="B689" s="30" t="s">
        <v>11</v>
      </c>
      <c r="C689" s="30" t="s">
        <v>46</v>
      </c>
      <c r="D689" s="30" t="s">
        <v>47</v>
      </c>
      <c r="E689" s="31" t="s">
        <v>411</v>
      </c>
      <c r="F689" s="32" t="s">
        <v>134</v>
      </c>
      <c r="G689" s="32" t="s">
        <v>50</v>
      </c>
      <c r="H689" s="33">
        <v>3190</v>
      </c>
      <c r="I689" s="34">
        <f>Table3[[#This Row],[Volume, kg.]]/1000</f>
        <v>3.19</v>
      </c>
      <c r="J689" s="34">
        <v>0.27200000000000002</v>
      </c>
      <c r="K689" s="34">
        <f t="shared" si="20"/>
        <v>867.68000000000006</v>
      </c>
      <c r="L689" s="34">
        <v>3.85</v>
      </c>
      <c r="M689" s="34">
        <v>12281.5</v>
      </c>
      <c r="N689" s="34">
        <f t="shared" si="21"/>
        <v>14.154411764705882</v>
      </c>
    </row>
    <row r="690" spans="1:14" x14ac:dyDescent="0.45">
      <c r="A690" s="30">
        <v>2023</v>
      </c>
      <c r="B690" s="30" t="s">
        <v>11</v>
      </c>
      <c r="C690" s="30" t="s">
        <v>46</v>
      </c>
      <c r="D690" s="30" t="s">
        <v>47</v>
      </c>
      <c r="E690" s="31" t="s">
        <v>412</v>
      </c>
      <c r="F690" s="32" t="s">
        <v>57</v>
      </c>
      <c r="G690" s="32" t="s">
        <v>50</v>
      </c>
      <c r="H690" s="33">
        <v>6170</v>
      </c>
      <c r="I690" s="34">
        <f>Table3[[#This Row],[Volume, kg.]]/1000</f>
        <v>6.17</v>
      </c>
      <c r="J690" s="34">
        <v>0.245</v>
      </c>
      <c r="K690" s="34">
        <f t="shared" si="20"/>
        <v>1511.6499999999999</v>
      </c>
      <c r="L690" s="34">
        <v>3.71</v>
      </c>
      <c r="M690" s="34">
        <v>22863.5</v>
      </c>
      <c r="N690" s="34">
        <f t="shared" si="21"/>
        <v>15.142857142857142</v>
      </c>
    </row>
    <row r="691" spans="1:14" x14ac:dyDescent="0.45">
      <c r="A691" s="30">
        <v>2023</v>
      </c>
      <c r="B691" s="30" t="s">
        <v>11</v>
      </c>
      <c r="C691" s="30" t="s">
        <v>46</v>
      </c>
      <c r="D691" s="30" t="s">
        <v>47</v>
      </c>
      <c r="E691" s="31" t="s">
        <v>413</v>
      </c>
      <c r="F691" s="32" t="s">
        <v>49</v>
      </c>
      <c r="G691" s="32" t="s">
        <v>50</v>
      </c>
      <c r="H691" s="33">
        <v>5750</v>
      </c>
      <c r="I691" s="34">
        <f>Table3[[#This Row],[Volume, kg.]]/1000</f>
        <v>5.75</v>
      </c>
      <c r="J691" s="34">
        <v>0.21850000000000003</v>
      </c>
      <c r="K691" s="34">
        <f t="shared" si="20"/>
        <v>1256.3750000000002</v>
      </c>
      <c r="L691" s="34">
        <v>3.6</v>
      </c>
      <c r="M691" s="34">
        <v>20700</v>
      </c>
      <c r="N691" s="34">
        <f t="shared" si="21"/>
        <v>16.475972540045763</v>
      </c>
    </row>
    <row r="692" spans="1:14" x14ac:dyDescent="0.45">
      <c r="A692" s="30">
        <v>2023</v>
      </c>
      <c r="B692" s="30" t="s">
        <v>11</v>
      </c>
      <c r="C692" s="30" t="s">
        <v>46</v>
      </c>
      <c r="D692" s="30" t="s">
        <v>102</v>
      </c>
      <c r="E692" s="31" t="s">
        <v>414</v>
      </c>
      <c r="F692" s="32" t="s">
        <v>415</v>
      </c>
      <c r="G692" s="32" t="s">
        <v>50</v>
      </c>
      <c r="H692" s="33">
        <v>523330</v>
      </c>
      <c r="I692" s="34">
        <f>Table3[[#This Row],[Volume, kg.]]/1000</f>
        <v>523.33000000000004</v>
      </c>
      <c r="J692" s="34">
        <v>0.2162</v>
      </c>
      <c r="K692" s="34">
        <f t="shared" si="20"/>
        <v>113143.946</v>
      </c>
      <c r="L692" s="34">
        <v>3.65</v>
      </c>
      <c r="M692" s="34">
        <v>1908257</v>
      </c>
      <c r="N692" s="34">
        <f t="shared" si="21"/>
        <v>16.882516188714153</v>
      </c>
    </row>
    <row r="693" spans="1:14" x14ac:dyDescent="0.45">
      <c r="A693" s="30">
        <v>2023</v>
      </c>
      <c r="B693" s="30" t="s">
        <v>11</v>
      </c>
      <c r="C693" s="30" t="s">
        <v>46</v>
      </c>
      <c r="D693" s="30" t="s">
        <v>47</v>
      </c>
      <c r="E693" s="31" t="s">
        <v>416</v>
      </c>
      <c r="F693" s="32" t="s">
        <v>60</v>
      </c>
      <c r="G693" s="32" t="s">
        <v>50</v>
      </c>
      <c r="H693" s="33">
        <v>1150</v>
      </c>
      <c r="I693" s="34">
        <f>Table3[[#This Row],[Volume, kg.]]/1000</f>
        <v>1.1499999999999999</v>
      </c>
      <c r="J693" s="34">
        <v>0.21100000000000002</v>
      </c>
      <c r="K693" s="34">
        <f t="shared" si="20"/>
        <v>242.65000000000003</v>
      </c>
      <c r="L693" s="34">
        <v>3.5</v>
      </c>
      <c r="M693" s="34">
        <v>4025</v>
      </c>
      <c r="N693" s="34">
        <f t="shared" si="21"/>
        <v>16.587677725118482</v>
      </c>
    </row>
    <row r="694" spans="1:14" x14ac:dyDescent="0.45">
      <c r="A694" s="30">
        <v>2023</v>
      </c>
      <c r="B694" s="30" t="s">
        <v>11</v>
      </c>
      <c r="C694" s="30" t="s">
        <v>46</v>
      </c>
      <c r="D694" s="30" t="s">
        <v>47</v>
      </c>
      <c r="E694" s="31" t="s">
        <v>417</v>
      </c>
      <c r="F694" s="32" t="s">
        <v>49</v>
      </c>
      <c r="G694" s="32" t="s">
        <v>50</v>
      </c>
      <c r="H694" s="33">
        <v>6780</v>
      </c>
      <c r="I694" s="34">
        <f>Table3[[#This Row],[Volume, kg.]]/1000</f>
        <v>6.78</v>
      </c>
      <c r="J694" s="34">
        <v>0.218</v>
      </c>
      <c r="K694" s="34">
        <f t="shared" si="20"/>
        <v>1478.04</v>
      </c>
      <c r="L694" s="34">
        <v>3.55</v>
      </c>
      <c r="M694" s="34">
        <v>24069</v>
      </c>
      <c r="N694" s="34">
        <f t="shared" si="21"/>
        <v>16.284403669724771</v>
      </c>
    </row>
    <row r="695" spans="1:14" x14ac:dyDescent="0.45">
      <c r="A695" s="30">
        <v>2023</v>
      </c>
      <c r="B695" s="30" t="s">
        <v>11</v>
      </c>
      <c r="C695" s="30" t="s">
        <v>46</v>
      </c>
      <c r="D695" s="30" t="s">
        <v>102</v>
      </c>
      <c r="E695" s="31" t="s">
        <v>418</v>
      </c>
      <c r="F695" s="32" t="s">
        <v>104</v>
      </c>
      <c r="G695" s="32" t="s">
        <v>105</v>
      </c>
      <c r="H695" s="33">
        <v>42950</v>
      </c>
      <c r="I695" s="34">
        <f>Table3[[#This Row],[Volume, kg.]]/1000</f>
        <v>42.95</v>
      </c>
      <c r="J695" s="34">
        <v>0.22399999999999998</v>
      </c>
      <c r="K695" s="34">
        <f t="shared" si="20"/>
        <v>9620.7999999999993</v>
      </c>
      <c r="L695" s="34">
        <v>3.6</v>
      </c>
      <c r="M695" s="34">
        <v>154620</v>
      </c>
      <c r="N695" s="34">
        <f t="shared" si="21"/>
        <v>16.071428571428573</v>
      </c>
    </row>
    <row r="696" spans="1:14" x14ac:dyDescent="0.45">
      <c r="A696" s="30">
        <v>2023</v>
      </c>
      <c r="B696" s="30" t="s">
        <v>11</v>
      </c>
      <c r="C696" s="30" t="s">
        <v>46</v>
      </c>
      <c r="D696" s="30" t="s">
        <v>47</v>
      </c>
      <c r="E696" s="31" t="s">
        <v>419</v>
      </c>
      <c r="F696" s="32" t="s">
        <v>223</v>
      </c>
      <c r="G696" s="32" t="s">
        <v>50</v>
      </c>
      <c r="H696" s="33">
        <v>23180</v>
      </c>
      <c r="I696" s="34">
        <f>Table3[[#This Row],[Volume, kg.]]/1000</f>
        <v>23.18</v>
      </c>
      <c r="J696" s="34">
        <v>0.27979999999999999</v>
      </c>
      <c r="K696" s="34">
        <f t="shared" si="20"/>
        <v>6485.7640000000001</v>
      </c>
      <c r="L696" s="34">
        <v>3.85</v>
      </c>
      <c r="M696" s="34">
        <v>89243</v>
      </c>
      <c r="N696" s="34">
        <f t="shared" si="21"/>
        <v>13.759828448892067</v>
      </c>
    </row>
    <row r="697" spans="1:14" x14ac:dyDescent="0.45">
      <c r="A697" s="30">
        <v>2023</v>
      </c>
      <c r="B697" s="30" t="s">
        <v>12</v>
      </c>
      <c r="C697" s="30" t="s">
        <v>46</v>
      </c>
      <c r="D697" s="30" t="s">
        <v>47</v>
      </c>
      <c r="E697" s="31" t="s">
        <v>260</v>
      </c>
      <c r="F697" s="32" t="s">
        <v>49</v>
      </c>
      <c r="G697" s="32" t="s">
        <v>50</v>
      </c>
      <c r="H697" s="33">
        <v>7740</v>
      </c>
      <c r="I697" s="34">
        <f>Table3[[#This Row],[Volume, kg.]]/1000</f>
        <v>7.74</v>
      </c>
      <c r="J697" s="34">
        <v>0.18870000000000001</v>
      </c>
      <c r="K697" s="34">
        <f t="shared" si="20"/>
        <v>1460.538</v>
      </c>
      <c r="L697" s="34">
        <v>3.05</v>
      </c>
      <c r="M697" s="34">
        <v>23619</v>
      </c>
      <c r="N697" s="34">
        <f t="shared" si="21"/>
        <v>16.163222045574987</v>
      </c>
    </row>
    <row r="698" spans="1:14" x14ac:dyDescent="0.45">
      <c r="A698" s="30">
        <v>2023</v>
      </c>
      <c r="B698" s="30" t="s">
        <v>12</v>
      </c>
      <c r="C698" s="30" t="s">
        <v>46</v>
      </c>
      <c r="D698" s="30" t="s">
        <v>47</v>
      </c>
      <c r="E698" s="31" t="s">
        <v>48</v>
      </c>
      <c r="F698" s="32" t="s">
        <v>49</v>
      </c>
      <c r="G698" s="32" t="s">
        <v>50</v>
      </c>
      <c r="H698" s="33">
        <v>4850</v>
      </c>
      <c r="I698" s="34">
        <f>Table3[[#This Row],[Volume, kg.]]/1000</f>
        <v>4.8499999999999996</v>
      </c>
      <c r="J698" s="34">
        <v>0.19800000000000001</v>
      </c>
      <c r="K698" s="34">
        <f t="shared" si="20"/>
        <v>960.30000000000007</v>
      </c>
      <c r="L698" s="34">
        <v>2.75</v>
      </c>
      <c r="M698" s="34">
        <v>13337.5</v>
      </c>
      <c r="N698" s="34">
        <f t="shared" si="21"/>
        <v>13.888888888888888</v>
      </c>
    </row>
    <row r="699" spans="1:14" x14ac:dyDescent="0.45">
      <c r="A699" s="30">
        <v>2023</v>
      </c>
      <c r="B699" s="30" t="s">
        <v>12</v>
      </c>
      <c r="C699" s="30" t="s">
        <v>46</v>
      </c>
      <c r="D699" s="30" t="s">
        <v>47</v>
      </c>
      <c r="E699" s="31" t="s">
        <v>51</v>
      </c>
      <c r="F699" s="32" t="s">
        <v>49</v>
      </c>
      <c r="G699" s="32" t="s">
        <v>50</v>
      </c>
      <c r="H699" s="33">
        <v>14290</v>
      </c>
      <c r="I699" s="34">
        <f>Table3[[#This Row],[Volume, kg.]]/1000</f>
        <v>14.29</v>
      </c>
      <c r="J699" s="34">
        <v>0.22109999999999999</v>
      </c>
      <c r="K699" s="34">
        <f t="shared" si="20"/>
        <v>3159.5189999999998</v>
      </c>
      <c r="L699" s="34">
        <v>3.3</v>
      </c>
      <c r="M699" s="34">
        <v>47160</v>
      </c>
      <c r="N699" s="34">
        <f t="shared" si="21"/>
        <v>14.925373134328359</v>
      </c>
    </row>
    <row r="700" spans="1:14" x14ac:dyDescent="0.45">
      <c r="A700" s="30">
        <v>2023</v>
      </c>
      <c r="B700" s="30" t="s">
        <v>12</v>
      </c>
      <c r="C700" s="30" t="s">
        <v>46</v>
      </c>
      <c r="D700" s="30" t="s">
        <v>47</v>
      </c>
      <c r="E700" s="31" t="s">
        <v>420</v>
      </c>
      <c r="F700" s="32" t="s">
        <v>57</v>
      </c>
      <c r="G700" s="32" t="s">
        <v>50</v>
      </c>
      <c r="H700" s="33">
        <v>10330</v>
      </c>
      <c r="I700" s="34">
        <f>Table3[[#This Row],[Volume, kg.]]/1000</f>
        <v>10.33</v>
      </c>
      <c r="J700" s="34">
        <v>0.19149999999999998</v>
      </c>
      <c r="K700" s="34">
        <f t="shared" si="20"/>
        <v>1978.1949999999997</v>
      </c>
      <c r="L700" s="34">
        <v>3.05</v>
      </c>
      <c r="M700" s="34">
        <v>31506.5</v>
      </c>
      <c r="N700" s="34">
        <f t="shared" si="21"/>
        <v>15.926892950391647</v>
      </c>
    </row>
    <row r="701" spans="1:14" x14ac:dyDescent="0.45">
      <c r="A701" s="30">
        <v>2023</v>
      </c>
      <c r="B701" s="30" t="s">
        <v>12</v>
      </c>
      <c r="C701" s="30" t="s">
        <v>46</v>
      </c>
      <c r="D701" s="30" t="s">
        <v>47</v>
      </c>
      <c r="E701" s="31" t="s">
        <v>421</v>
      </c>
      <c r="F701" s="32" t="s">
        <v>49</v>
      </c>
      <c r="G701" s="32" t="s">
        <v>50</v>
      </c>
      <c r="H701" s="33">
        <v>530</v>
      </c>
      <c r="I701" s="34">
        <f>Table3[[#This Row],[Volume, kg.]]/1000</f>
        <v>0.53</v>
      </c>
      <c r="J701" s="34">
        <v>0.183</v>
      </c>
      <c r="K701" s="34">
        <f t="shared" si="20"/>
        <v>96.99</v>
      </c>
      <c r="L701" s="34">
        <v>2.7</v>
      </c>
      <c r="M701" s="34">
        <v>1431</v>
      </c>
      <c r="N701" s="34">
        <f t="shared" si="21"/>
        <v>14.754098360655739</v>
      </c>
    </row>
    <row r="702" spans="1:14" x14ac:dyDescent="0.45">
      <c r="A702" s="30">
        <v>2023</v>
      </c>
      <c r="B702" s="30" t="s">
        <v>12</v>
      </c>
      <c r="C702" s="30" t="s">
        <v>46</v>
      </c>
      <c r="D702" s="30" t="s">
        <v>47</v>
      </c>
      <c r="E702" s="31" t="s">
        <v>422</v>
      </c>
      <c r="F702" s="32" t="s">
        <v>134</v>
      </c>
      <c r="G702" s="32" t="s">
        <v>50</v>
      </c>
      <c r="H702" s="33">
        <v>107000</v>
      </c>
      <c r="I702" s="34">
        <f>Table3[[#This Row],[Volume, kg.]]/1000</f>
        <v>107</v>
      </c>
      <c r="J702" s="34">
        <v>0.19190000000000002</v>
      </c>
      <c r="K702" s="34">
        <f t="shared" si="20"/>
        <v>20533.300000000003</v>
      </c>
      <c r="L702" s="34">
        <v>3.09</v>
      </c>
      <c r="M702" s="34">
        <v>330369.5</v>
      </c>
      <c r="N702" s="34">
        <f t="shared" si="21"/>
        <v>16.102136529442415</v>
      </c>
    </row>
    <row r="703" spans="1:14" x14ac:dyDescent="0.45">
      <c r="A703" s="30">
        <v>2023</v>
      </c>
      <c r="B703" s="30" t="s">
        <v>12</v>
      </c>
      <c r="C703" s="30" t="s">
        <v>46</v>
      </c>
      <c r="D703" s="30" t="s">
        <v>47</v>
      </c>
      <c r="E703" s="31" t="s">
        <v>393</v>
      </c>
      <c r="F703" s="32" t="s">
        <v>60</v>
      </c>
      <c r="G703" s="32" t="s">
        <v>50</v>
      </c>
      <c r="H703" s="33">
        <v>21320</v>
      </c>
      <c r="I703" s="34">
        <f>Table3[[#This Row],[Volume, kg.]]/1000</f>
        <v>21.32</v>
      </c>
      <c r="J703" s="34">
        <v>0.23550000000000001</v>
      </c>
      <c r="K703" s="34">
        <f t="shared" si="20"/>
        <v>5020.8600000000006</v>
      </c>
      <c r="L703" s="34">
        <v>3.6</v>
      </c>
      <c r="M703" s="34">
        <v>76727</v>
      </c>
      <c r="N703" s="34">
        <f t="shared" si="21"/>
        <v>15.286624203821656</v>
      </c>
    </row>
    <row r="704" spans="1:14" x14ac:dyDescent="0.45">
      <c r="A704" s="30">
        <v>2023</v>
      </c>
      <c r="B704" s="30" t="s">
        <v>12</v>
      </c>
      <c r="C704" s="30" t="s">
        <v>46</v>
      </c>
      <c r="D704" s="30" t="s">
        <v>47</v>
      </c>
      <c r="E704" s="31" t="s">
        <v>65</v>
      </c>
      <c r="F704" s="32" t="s">
        <v>49</v>
      </c>
      <c r="G704" s="32" t="s">
        <v>50</v>
      </c>
      <c r="H704" s="33">
        <v>10940</v>
      </c>
      <c r="I704" s="34">
        <f>Table3[[#This Row],[Volume, kg.]]/1000</f>
        <v>10.94</v>
      </c>
      <c r="J704" s="34">
        <v>0.18609999999999999</v>
      </c>
      <c r="K704" s="34">
        <f t="shared" si="20"/>
        <v>2035.934</v>
      </c>
      <c r="L704" s="34">
        <v>3.05</v>
      </c>
      <c r="M704" s="34">
        <v>33329.5</v>
      </c>
      <c r="N704" s="34">
        <f t="shared" si="21"/>
        <v>16.389038151531434</v>
      </c>
    </row>
    <row r="705" spans="1:14" x14ac:dyDescent="0.45">
      <c r="A705" s="30">
        <v>2023</v>
      </c>
      <c r="B705" s="30" t="s">
        <v>12</v>
      </c>
      <c r="C705" s="30" t="s">
        <v>46</v>
      </c>
      <c r="D705" s="30" t="s">
        <v>47</v>
      </c>
      <c r="E705" s="31" t="s">
        <v>263</v>
      </c>
      <c r="F705" s="32" t="s">
        <v>81</v>
      </c>
      <c r="G705" s="32" t="s">
        <v>50</v>
      </c>
      <c r="H705" s="33">
        <v>25460</v>
      </c>
      <c r="I705" s="34">
        <f>Table3[[#This Row],[Volume, kg.]]/1000</f>
        <v>25.46</v>
      </c>
      <c r="J705" s="34">
        <v>0.19089999999999999</v>
      </c>
      <c r="K705" s="34">
        <f t="shared" si="20"/>
        <v>4860.3139999999994</v>
      </c>
      <c r="L705" s="34">
        <v>3.23</v>
      </c>
      <c r="M705" s="34">
        <v>82119</v>
      </c>
      <c r="N705" s="34">
        <f t="shared" si="21"/>
        <v>16.919853326348875</v>
      </c>
    </row>
    <row r="706" spans="1:14" x14ac:dyDescent="0.45">
      <c r="A706" s="30">
        <v>2023</v>
      </c>
      <c r="B706" s="30" t="s">
        <v>12</v>
      </c>
      <c r="C706" s="30" t="s">
        <v>46</v>
      </c>
      <c r="D706" s="30" t="s">
        <v>47</v>
      </c>
      <c r="E706" s="31" t="s">
        <v>69</v>
      </c>
      <c r="F706" s="32" t="s">
        <v>49</v>
      </c>
      <c r="G706" s="32" t="s">
        <v>50</v>
      </c>
      <c r="H706" s="33">
        <v>24970</v>
      </c>
      <c r="I706" s="34">
        <f>Table3[[#This Row],[Volume, kg.]]/1000</f>
        <v>24.97</v>
      </c>
      <c r="J706" s="34">
        <v>0.19239999999999999</v>
      </c>
      <c r="K706" s="34">
        <f t="shared" si="20"/>
        <v>4804.2280000000001</v>
      </c>
      <c r="L706" s="34">
        <v>2.91</v>
      </c>
      <c r="M706" s="34">
        <v>72616</v>
      </c>
      <c r="N706" s="34">
        <f t="shared" si="21"/>
        <v>15.124740124740127</v>
      </c>
    </row>
    <row r="707" spans="1:14" x14ac:dyDescent="0.45">
      <c r="A707" s="30">
        <v>2023</v>
      </c>
      <c r="B707" s="30" t="s">
        <v>12</v>
      </c>
      <c r="C707" s="30" t="s">
        <v>46</v>
      </c>
      <c r="D707" s="30" t="s">
        <v>47</v>
      </c>
      <c r="E707" s="31" t="s">
        <v>70</v>
      </c>
      <c r="F707" s="32" t="s">
        <v>49</v>
      </c>
      <c r="G707" s="32" t="s">
        <v>50</v>
      </c>
      <c r="H707" s="33">
        <v>316570</v>
      </c>
      <c r="I707" s="34">
        <f>Table3[[#This Row],[Volume, kg.]]/1000</f>
        <v>316.57</v>
      </c>
      <c r="J707" s="34">
        <v>0.22920000000000001</v>
      </c>
      <c r="K707" s="34">
        <f t="shared" ref="K707:K770" si="22">H707*J707</f>
        <v>72557.844000000012</v>
      </c>
      <c r="L707" s="34">
        <v>3.28</v>
      </c>
      <c r="M707" s="34">
        <v>1038937</v>
      </c>
      <c r="N707" s="34">
        <f t="shared" si="21"/>
        <v>14.310645724258288</v>
      </c>
    </row>
    <row r="708" spans="1:14" x14ac:dyDescent="0.45">
      <c r="A708" s="30">
        <v>2023</v>
      </c>
      <c r="B708" s="30" t="s">
        <v>12</v>
      </c>
      <c r="C708" s="30" t="s">
        <v>46</v>
      </c>
      <c r="D708" s="30" t="s">
        <v>47</v>
      </c>
      <c r="E708" s="31" t="s">
        <v>71</v>
      </c>
      <c r="F708" s="32" t="s">
        <v>49</v>
      </c>
      <c r="G708" s="32" t="s">
        <v>50</v>
      </c>
      <c r="H708" s="33">
        <v>2660</v>
      </c>
      <c r="I708" s="34">
        <f>Table3[[#This Row],[Volume, kg.]]/1000</f>
        <v>2.66</v>
      </c>
      <c r="J708" s="34">
        <v>0.192</v>
      </c>
      <c r="K708" s="34">
        <f t="shared" si="22"/>
        <v>510.72</v>
      </c>
      <c r="L708" s="34">
        <v>2.75</v>
      </c>
      <c r="M708" s="34">
        <v>7315</v>
      </c>
      <c r="N708" s="34">
        <f t="shared" ref="N708:N771" si="23">L708/J708</f>
        <v>14.322916666666666</v>
      </c>
    </row>
    <row r="709" spans="1:14" x14ac:dyDescent="0.45">
      <c r="A709" s="30">
        <v>2023</v>
      </c>
      <c r="B709" s="30" t="s">
        <v>12</v>
      </c>
      <c r="C709" s="30" t="s">
        <v>46</v>
      </c>
      <c r="D709" s="30" t="s">
        <v>47</v>
      </c>
      <c r="E709" s="31" t="s">
        <v>72</v>
      </c>
      <c r="F709" s="32" t="s">
        <v>49</v>
      </c>
      <c r="G709" s="32" t="s">
        <v>50</v>
      </c>
      <c r="H709" s="33">
        <v>19550</v>
      </c>
      <c r="I709" s="34">
        <f>Table3[[#This Row],[Volume, kg.]]/1000</f>
        <v>19.55</v>
      </c>
      <c r="J709" s="34">
        <v>0.18260000000000001</v>
      </c>
      <c r="K709" s="34">
        <f t="shared" si="22"/>
        <v>3569.8300000000004</v>
      </c>
      <c r="L709" s="34">
        <v>2.81</v>
      </c>
      <c r="M709" s="34">
        <v>54878</v>
      </c>
      <c r="N709" s="34">
        <f t="shared" si="23"/>
        <v>15.388828039430448</v>
      </c>
    </row>
    <row r="710" spans="1:14" x14ac:dyDescent="0.45">
      <c r="A710" s="30">
        <v>2023</v>
      </c>
      <c r="B710" s="30" t="s">
        <v>12</v>
      </c>
      <c r="C710" s="30" t="s">
        <v>46</v>
      </c>
      <c r="D710" s="30" t="s">
        <v>47</v>
      </c>
      <c r="E710" s="31" t="s">
        <v>73</v>
      </c>
      <c r="F710" s="32" t="s">
        <v>49</v>
      </c>
      <c r="G710" s="32" t="s">
        <v>50</v>
      </c>
      <c r="H710" s="33">
        <v>27920</v>
      </c>
      <c r="I710" s="34">
        <f>Table3[[#This Row],[Volume, kg.]]/1000</f>
        <v>27.92</v>
      </c>
      <c r="J710" s="34">
        <v>0.1946</v>
      </c>
      <c r="K710" s="34">
        <f t="shared" si="22"/>
        <v>5433.232</v>
      </c>
      <c r="L710" s="34">
        <v>2.96</v>
      </c>
      <c r="M710" s="34">
        <v>82660</v>
      </c>
      <c r="N710" s="34">
        <f t="shared" si="23"/>
        <v>15.210688591983557</v>
      </c>
    </row>
    <row r="711" spans="1:14" x14ac:dyDescent="0.45">
      <c r="A711" s="30">
        <v>2023</v>
      </c>
      <c r="B711" s="30" t="s">
        <v>12</v>
      </c>
      <c r="C711" s="30" t="s">
        <v>46</v>
      </c>
      <c r="D711" s="30" t="s">
        <v>47</v>
      </c>
      <c r="E711" s="31" t="s">
        <v>74</v>
      </c>
      <c r="F711" s="32" t="s">
        <v>49</v>
      </c>
      <c r="G711" s="32" t="s">
        <v>50</v>
      </c>
      <c r="H711" s="33">
        <v>107670</v>
      </c>
      <c r="I711" s="34">
        <f>Table3[[#This Row],[Volume, kg.]]/1000</f>
        <v>107.67</v>
      </c>
      <c r="J711" s="34">
        <v>0.2288</v>
      </c>
      <c r="K711" s="34">
        <f t="shared" si="22"/>
        <v>24634.896000000001</v>
      </c>
      <c r="L711" s="34">
        <v>3.3</v>
      </c>
      <c r="M711" s="34">
        <v>355438</v>
      </c>
      <c r="N711" s="34">
        <f t="shared" si="23"/>
        <v>14.423076923076922</v>
      </c>
    </row>
    <row r="712" spans="1:14" x14ac:dyDescent="0.45">
      <c r="A712" s="30">
        <v>2023</v>
      </c>
      <c r="B712" s="30" t="s">
        <v>12</v>
      </c>
      <c r="C712" s="30" t="s">
        <v>46</v>
      </c>
      <c r="D712" s="30" t="s">
        <v>47</v>
      </c>
      <c r="E712" s="31" t="s">
        <v>334</v>
      </c>
      <c r="F712" s="32" t="s">
        <v>81</v>
      </c>
      <c r="G712" s="32" t="s">
        <v>50</v>
      </c>
      <c r="H712" s="33">
        <v>35860</v>
      </c>
      <c r="I712" s="34">
        <f>Table3[[#This Row],[Volume, kg.]]/1000</f>
        <v>35.86</v>
      </c>
      <c r="J712" s="34">
        <v>0.28289999999999998</v>
      </c>
      <c r="K712" s="34">
        <f t="shared" si="22"/>
        <v>10144.794</v>
      </c>
      <c r="L712" s="34">
        <v>3.82</v>
      </c>
      <c r="M712" s="34">
        <v>137060</v>
      </c>
      <c r="N712" s="34">
        <f t="shared" si="23"/>
        <v>13.503004595263343</v>
      </c>
    </row>
    <row r="713" spans="1:14" x14ac:dyDescent="0.45">
      <c r="A713" s="30">
        <v>2023</v>
      </c>
      <c r="B713" s="30" t="s">
        <v>12</v>
      </c>
      <c r="C713" s="30" t="s">
        <v>46</v>
      </c>
      <c r="D713" s="30" t="s">
        <v>47</v>
      </c>
      <c r="E713" s="31" t="s">
        <v>423</v>
      </c>
      <c r="F713" s="32" t="s">
        <v>49</v>
      </c>
      <c r="G713" s="32" t="s">
        <v>50</v>
      </c>
      <c r="H713" s="33">
        <v>4700</v>
      </c>
      <c r="I713" s="34">
        <f>Table3[[#This Row],[Volume, kg.]]/1000</f>
        <v>4.7</v>
      </c>
      <c r="J713" s="34">
        <v>0.182</v>
      </c>
      <c r="K713" s="34">
        <f t="shared" si="22"/>
        <v>855.4</v>
      </c>
      <c r="L713" s="34">
        <v>2.65</v>
      </c>
      <c r="M713" s="34">
        <v>12455</v>
      </c>
      <c r="N713" s="34">
        <f t="shared" si="23"/>
        <v>14.56043956043956</v>
      </c>
    </row>
    <row r="714" spans="1:14" x14ac:dyDescent="0.45">
      <c r="A714" s="30">
        <v>2023</v>
      </c>
      <c r="B714" s="30" t="s">
        <v>12</v>
      </c>
      <c r="C714" s="30" t="s">
        <v>46</v>
      </c>
      <c r="D714" s="30" t="s">
        <v>47</v>
      </c>
      <c r="E714" s="31" t="s">
        <v>335</v>
      </c>
      <c r="F714" s="32" t="s">
        <v>54</v>
      </c>
      <c r="G714" s="32" t="s">
        <v>50</v>
      </c>
      <c r="H714" s="33">
        <v>12340</v>
      </c>
      <c r="I714" s="34">
        <f>Table3[[#This Row],[Volume, kg.]]/1000</f>
        <v>12.34</v>
      </c>
      <c r="J714" s="34">
        <v>0.24299999999999999</v>
      </c>
      <c r="K714" s="34">
        <f t="shared" si="22"/>
        <v>2998.62</v>
      </c>
      <c r="L714" s="34">
        <v>3.3</v>
      </c>
      <c r="M714" s="34">
        <v>40722</v>
      </c>
      <c r="N714" s="34">
        <f t="shared" si="23"/>
        <v>13.580246913580247</v>
      </c>
    </row>
    <row r="715" spans="1:14" x14ac:dyDescent="0.45">
      <c r="A715" s="30">
        <v>2023</v>
      </c>
      <c r="B715" s="30" t="s">
        <v>12</v>
      </c>
      <c r="C715" s="30" t="s">
        <v>46</v>
      </c>
      <c r="D715" s="30" t="s">
        <v>47</v>
      </c>
      <c r="E715" s="31" t="s">
        <v>75</v>
      </c>
      <c r="F715" s="32" t="s">
        <v>49</v>
      </c>
      <c r="G715" s="32" t="s">
        <v>50</v>
      </c>
      <c r="H715" s="33">
        <v>3400</v>
      </c>
      <c r="I715" s="34">
        <f>Table3[[#This Row],[Volume, kg.]]/1000</f>
        <v>3.4</v>
      </c>
      <c r="J715" s="34">
        <v>0.1855</v>
      </c>
      <c r="K715" s="34">
        <f t="shared" si="22"/>
        <v>630.70000000000005</v>
      </c>
      <c r="L715" s="34">
        <v>2.75</v>
      </c>
      <c r="M715" s="34">
        <v>9350</v>
      </c>
      <c r="N715" s="34">
        <f t="shared" si="23"/>
        <v>14.824797843665769</v>
      </c>
    </row>
    <row r="716" spans="1:14" x14ac:dyDescent="0.45">
      <c r="A716" s="30">
        <v>2023</v>
      </c>
      <c r="B716" s="30" t="s">
        <v>12</v>
      </c>
      <c r="C716" s="30" t="s">
        <v>46</v>
      </c>
      <c r="D716" s="30" t="s">
        <v>47</v>
      </c>
      <c r="E716" s="31" t="s">
        <v>76</v>
      </c>
      <c r="F716" s="32" t="s">
        <v>60</v>
      </c>
      <c r="G716" s="32" t="s">
        <v>50</v>
      </c>
      <c r="H716" s="33">
        <v>6750</v>
      </c>
      <c r="I716" s="34">
        <f>Table3[[#This Row],[Volume, kg.]]/1000</f>
        <v>6.75</v>
      </c>
      <c r="J716" s="34">
        <v>0.16699999999999998</v>
      </c>
      <c r="K716" s="34">
        <f t="shared" si="22"/>
        <v>1127.2499999999998</v>
      </c>
      <c r="L716" s="34">
        <v>3.05</v>
      </c>
      <c r="M716" s="34">
        <v>20587.5</v>
      </c>
      <c r="N716" s="34">
        <f t="shared" si="23"/>
        <v>18.263473053892216</v>
      </c>
    </row>
    <row r="717" spans="1:14" x14ac:dyDescent="0.45">
      <c r="A717" s="30">
        <v>2023</v>
      </c>
      <c r="B717" s="30" t="s">
        <v>12</v>
      </c>
      <c r="C717" s="30" t="s">
        <v>46</v>
      </c>
      <c r="D717" s="30" t="s">
        <v>47</v>
      </c>
      <c r="E717" s="31" t="s">
        <v>424</v>
      </c>
      <c r="F717" s="32" t="s">
        <v>57</v>
      </c>
      <c r="G717" s="32" t="s">
        <v>50</v>
      </c>
      <c r="H717" s="33">
        <v>9870</v>
      </c>
      <c r="I717" s="34">
        <f>Table3[[#This Row],[Volume, kg.]]/1000</f>
        <v>9.8699999999999992</v>
      </c>
      <c r="J717" s="34">
        <v>0.214</v>
      </c>
      <c r="K717" s="34">
        <f t="shared" si="22"/>
        <v>2112.1799999999998</v>
      </c>
      <c r="L717" s="34">
        <v>2.8</v>
      </c>
      <c r="M717" s="34">
        <v>27636</v>
      </c>
      <c r="N717" s="34">
        <f t="shared" si="23"/>
        <v>13.084112149532709</v>
      </c>
    </row>
    <row r="718" spans="1:14" x14ac:dyDescent="0.45">
      <c r="A718" s="30">
        <v>2023</v>
      </c>
      <c r="B718" s="30" t="s">
        <v>12</v>
      </c>
      <c r="C718" s="30" t="s">
        <v>46</v>
      </c>
      <c r="D718" s="30" t="s">
        <v>47</v>
      </c>
      <c r="E718" s="31" t="s">
        <v>265</v>
      </c>
      <c r="F718" s="32" t="s">
        <v>49</v>
      </c>
      <c r="G718" s="32" t="s">
        <v>50</v>
      </c>
      <c r="H718" s="33">
        <v>40200</v>
      </c>
      <c r="I718" s="34">
        <f>Table3[[#This Row],[Volume, kg.]]/1000</f>
        <v>40.200000000000003</v>
      </c>
      <c r="J718" s="34">
        <v>0.26989999999999997</v>
      </c>
      <c r="K718" s="34">
        <f t="shared" si="22"/>
        <v>10849.98</v>
      </c>
      <c r="L718" s="34">
        <v>3.65</v>
      </c>
      <c r="M718" s="34">
        <v>146766</v>
      </c>
      <c r="N718" s="34">
        <f t="shared" si="23"/>
        <v>13.523527232308263</v>
      </c>
    </row>
    <row r="719" spans="1:14" x14ac:dyDescent="0.45">
      <c r="A719" s="30">
        <v>2023</v>
      </c>
      <c r="B719" s="30" t="s">
        <v>12</v>
      </c>
      <c r="C719" s="30" t="s">
        <v>46</v>
      </c>
      <c r="D719" s="30" t="s">
        <v>47</v>
      </c>
      <c r="E719" s="31" t="s">
        <v>77</v>
      </c>
      <c r="F719" s="32" t="s">
        <v>49</v>
      </c>
      <c r="G719" s="32" t="s">
        <v>50</v>
      </c>
      <c r="H719" s="33">
        <v>12080</v>
      </c>
      <c r="I719" s="34">
        <f>Table3[[#This Row],[Volume, kg.]]/1000</f>
        <v>12.08</v>
      </c>
      <c r="J719" s="34">
        <v>0.21359999999999998</v>
      </c>
      <c r="K719" s="34">
        <f t="shared" si="22"/>
        <v>2580.288</v>
      </c>
      <c r="L719" s="34">
        <v>3.14</v>
      </c>
      <c r="M719" s="34">
        <v>37873</v>
      </c>
      <c r="N719" s="34">
        <f t="shared" si="23"/>
        <v>14.700374531835207</v>
      </c>
    </row>
    <row r="720" spans="1:14" x14ac:dyDescent="0.45">
      <c r="A720" s="30">
        <v>2023</v>
      </c>
      <c r="B720" s="30" t="s">
        <v>12</v>
      </c>
      <c r="C720" s="30" t="s">
        <v>46</v>
      </c>
      <c r="D720" s="30" t="s">
        <v>47</v>
      </c>
      <c r="E720" s="31" t="s">
        <v>425</v>
      </c>
      <c r="F720" s="32" t="s">
        <v>49</v>
      </c>
      <c r="G720" s="32" t="s">
        <v>50</v>
      </c>
      <c r="H720" s="33">
        <v>145890</v>
      </c>
      <c r="I720" s="34">
        <f>Table3[[#This Row],[Volume, kg.]]/1000</f>
        <v>145.88999999999999</v>
      </c>
      <c r="J720" s="34">
        <v>0.19920000000000002</v>
      </c>
      <c r="K720" s="34">
        <f t="shared" si="22"/>
        <v>29061.288000000004</v>
      </c>
      <c r="L720" s="34">
        <v>3.14</v>
      </c>
      <c r="M720" s="34">
        <v>458511</v>
      </c>
      <c r="N720" s="34">
        <f t="shared" si="23"/>
        <v>15.76305220883534</v>
      </c>
    </row>
    <row r="721" spans="1:14" x14ac:dyDescent="0.45">
      <c r="A721" s="30">
        <v>2023</v>
      </c>
      <c r="B721" s="30" t="s">
        <v>12</v>
      </c>
      <c r="C721" s="30" t="s">
        <v>46</v>
      </c>
      <c r="D721" s="30" t="s">
        <v>47</v>
      </c>
      <c r="E721" s="31" t="s">
        <v>267</v>
      </c>
      <c r="F721" s="32" t="s">
        <v>57</v>
      </c>
      <c r="G721" s="32" t="s">
        <v>50</v>
      </c>
      <c r="H721" s="33">
        <v>7830</v>
      </c>
      <c r="I721" s="34">
        <f>Table3[[#This Row],[Volume, kg.]]/1000</f>
        <v>7.83</v>
      </c>
      <c r="J721" s="34">
        <v>0.21460000000000001</v>
      </c>
      <c r="K721" s="34">
        <f t="shared" si="22"/>
        <v>1680.3180000000002</v>
      </c>
      <c r="L721" s="34">
        <v>2.87</v>
      </c>
      <c r="M721" s="34">
        <v>22454</v>
      </c>
      <c r="N721" s="34">
        <f t="shared" si="23"/>
        <v>13.37371854613234</v>
      </c>
    </row>
    <row r="722" spans="1:14" x14ac:dyDescent="0.45">
      <c r="A722" s="30">
        <v>2023</v>
      </c>
      <c r="B722" s="30" t="s">
        <v>12</v>
      </c>
      <c r="C722" s="30" t="s">
        <v>46</v>
      </c>
      <c r="D722" s="30" t="s">
        <v>47</v>
      </c>
      <c r="E722" s="31" t="s">
        <v>83</v>
      </c>
      <c r="F722" s="32" t="s">
        <v>64</v>
      </c>
      <c r="G722" s="32" t="s">
        <v>50</v>
      </c>
      <c r="H722" s="33">
        <v>7320</v>
      </c>
      <c r="I722" s="34">
        <f>Table3[[#This Row],[Volume, kg.]]/1000</f>
        <v>7.32</v>
      </c>
      <c r="J722" s="34">
        <v>0.2175</v>
      </c>
      <c r="K722" s="34">
        <f t="shared" si="22"/>
        <v>1592.1</v>
      </c>
      <c r="L722" s="34">
        <v>3.1</v>
      </c>
      <c r="M722" s="34">
        <v>22692</v>
      </c>
      <c r="N722" s="34">
        <f t="shared" si="23"/>
        <v>14.252873563218392</v>
      </c>
    </row>
    <row r="723" spans="1:14" x14ac:dyDescent="0.45">
      <c r="A723" s="30">
        <v>2023</v>
      </c>
      <c r="B723" s="30" t="s">
        <v>12</v>
      </c>
      <c r="C723" s="30" t="s">
        <v>46</v>
      </c>
      <c r="D723" s="30" t="s">
        <v>47</v>
      </c>
      <c r="E723" s="31" t="s">
        <v>426</v>
      </c>
      <c r="F723" s="32" t="s">
        <v>49</v>
      </c>
      <c r="G723" s="32" t="s">
        <v>50</v>
      </c>
      <c r="H723" s="33">
        <v>26560</v>
      </c>
      <c r="I723" s="34">
        <f>Table3[[#This Row],[Volume, kg.]]/1000</f>
        <v>26.56</v>
      </c>
      <c r="J723" s="34">
        <v>0.2266</v>
      </c>
      <c r="K723" s="34">
        <f t="shared" si="22"/>
        <v>6018.4960000000001</v>
      </c>
      <c r="L723" s="34">
        <v>3.26</v>
      </c>
      <c r="M723" s="34">
        <v>86566.5</v>
      </c>
      <c r="N723" s="34">
        <f t="shared" si="23"/>
        <v>14.386584289496911</v>
      </c>
    </row>
    <row r="724" spans="1:14" x14ac:dyDescent="0.45">
      <c r="A724" s="30">
        <v>2023</v>
      </c>
      <c r="B724" s="30" t="s">
        <v>12</v>
      </c>
      <c r="C724" s="30" t="s">
        <v>46</v>
      </c>
      <c r="D724" s="30" t="s">
        <v>47</v>
      </c>
      <c r="E724" s="31" t="s">
        <v>427</v>
      </c>
      <c r="F724" s="32" t="s">
        <v>57</v>
      </c>
      <c r="G724" s="32" t="s">
        <v>50</v>
      </c>
      <c r="H724" s="33">
        <v>4150</v>
      </c>
      <c r="I724" s="34">
        <f>Table3[[#This Row],[Volume, kg.]]/1000</f>
        <v>4.1500000000000004</v>
      </c>
      <c r="J724" s="34">
        <v>0.14550000000000002</v>
      </c>
      <c r="K724" s="34">
        <f t="shared" si="22"/>
        <v>603.82500000000005</v>
      </c>
      <c r="L724" s="34">
        <v>2.85</v>
      </c>
      <c r="M724" s="34">
        <v>11827.5</v>
      </c>
      <c r="N724" s="34">
        <f t="shared" si="23"/>
        <v>19.587628865979379</v>
      </c>
    </row>
    <row r="725" spans="1:14" x14ac:dyDescent="0.45">
      <c r="A725" s="30">
        <v>2023</v>
      </c>
      <c r="B725" s="30" t="s">
        <v>12</v>
      </c>
      <c r="C725" s="30" t="s">
        <v>46</v>
      </c>
      <c r="D725" s="30" t="s">
        <v>47</v>
      </c>
      <c r="E725" s="31" t="s">
        <v>270</v>
      </c>
      <c r="F725" s="32" t="s">
        <v>49</v>
      </c>
      <c r="G725" s="32" t="s">
        <v>50</v>
      </c>
      <c r="H725" s="33">
        <v>17440</v>
      </c>
      <c r="I725" s="34">
        <f>Table3[[#This Row],[Volume, kg.]]/1000</f>
        <v>17.440000000000001</v>
      </c>
      <c r="J725" s="34">
        <v>0.1867</v>
      </c>
      <c r="K725" s="34">
        <f t="shared" si="22"/>
        <v>3256.0480000000002</v>
      </c>
      <c r="L725" s="34">
        <v>3.14</v>
      </c>
      <c r="M725" s="34">
        <v>54820</v>
      </c>
      <c r="N725" s="34">
        <f t="shared" si="23"/>
        <v>16.818425281199787</v>
      </c>
    </row>
    <row r="726" spans="1:14" x14ac:dyDescent="0.45">
      <c r="A726" s="30">
        <v>2023</v>
      </c>
      <c r="B726" s="30" t="s">
        <v>12</v>
      </c>
      <c r="C726" s="30" t="s">
        <v>46</v>
      </c>
      <c r="D726" s="30" t="s">
        <v>47</v>
      </c>
      <c r="E726" s="31" t="s">
        <v>87</v>
      </c>
      <c r="F726" s="32" t="s">
        <v>49</v>
      </c>
      <c r="G726" s="32" t="s">
        <v>50</v>
      </c>
      <c r="H726" s="33">
        <v>103450</v>
      </c>
      <c r="I726" s="34">
        <f>Table3[[#This Row],[Volume, kg.]]/1000</f>
        <v>103.45</v>
      </c>
      <c r="J726" s="34">
        <v>0.16789999999999999</v>
      </c>
      <c r="K726" s="34">
        <f t="shared" si="22"/>
        <v>17369.255000000001</v>
      </c>
      <c r="L726" s="34">
        <v>2.69</v>
      </c>
      <c r="M726" s="34">
        <v>277894.5</v>
      </c>
      <c r="N726" s="34">
        <f t="shared" si="23"/>
        <v>16.021441334127456</v>
      </c>
    </row>
    <row r="727" spans="1:14" x14ac:dyDescent="0.45">
      <c r="A727" s="30">
        <v>2023</v>
      </c>
      <c r="B727" s="30" t="s">
        <v>12</v>
      </c>
      <c r="C727" s="30" t="s">
        <v>46</v>
      </c>
      <c r="D727" s="30" t="s">
        <v>47</v>
      </c>
      <c r="E727" s="31" t="s">
        <v>90</v>
      </c>
      <c r="F727" s="32" t="s">
        <v>49</v>
      </c>
      <c r="G727" s="32" t="s">
        <v>50</v>
      </c>
      <c r="H727" s="33">
        <v>29360</v>
      </c>
      <c r="I727" s="34">
        <f>Table3[[#This Row],[Volume, kg.]]/1000</f>
        <v>29.36</v>
      </c>
      <c r="J727" s="34">
        <v>0.20699999999999999</v>
      </c>
      <c r="K727" s="34">
        <f t="shared" si="22"/>
        <v>6077.5199999999995</v>
      </c>
      <c r="L727" s="34">
        <v>2.84</v>
      </c>
      <c r="M727" s="34">
        <v>83270.5</v>
      </c>
      <c r="N727" s="34">
        <f t="shared" si="23"/>
        <v>13.719806763285025</v>
      </c>
    </row>
    <row r="728" spans="1:14" x14ac:dyDescent="0.45">
      <c r="A728" s="30">
        <v>2023</v>
      </c>
      <c r="B728" s="30" t="s">
        <v>12</v>
      </c>
      <c r="C728" s="30" t="s">
        <v>46</v>
      </c>
      <c r="D728" s="30" t="s">
        <v>47</v>
      </c>
      <c r="E728" s="31" t="s">
        <v>383</v>
      </c>
      <c r="F728" s="32" t="s">
        <v>49</v>
      </c>
      <c r="G728" s="32" t="s">
        <v>50</v>
      </c>
      <c r="H728" s="33">
        <v>11810</v>
      </c>
      <c r="I728" s="34">
        <f>Table3[[#This Row],[Volume, kg.]]/1000</f>
        <v>11.81</v>
      </c>
      <c r="J728" s="34">
        <v>0.1973</v>
      </c>
      <c r="K728" s="34">
        <f t="shared" si="22"/>
        <v>2330.1129999999998</v>
      </c>
      <c r="L728" s="34">
        <v>3.09</v>
      </c>
      <c r="M728" s="34">
        <v>36468</v>
      </c>
      <c r="N728" s="34">
        <f t="shared" si="23"/>
        <v>15.661429295489102</v>
      </c>
    </row>
    <row r="729" spans="1:14" x14ac:dyDescent="0.45">
      <c r="A729" s="30">
        <v>2023</v>
      </c>
      <c r="B729" s="30" t="s">
        <v>12</v>
      </c>
      <c r="C729" s="30" t="s">
        <v>46</v>
      </c>
      <c r="D729" s="30" t="s">
        <v>47</v>
      </c>
      <c r="E729" s="31" t="s">
        <v>92</v>
      </c>
      <c r="F729" s="32" t="s">
        <v>81</v>
      </c>
      <c r="G729" s="32" t="s">
        <v>50</v>
      </c>
      <c r="H729" s="33">
        <v>87730</v>
      </c>
      <c r="I729" s="34">
        <f>Table3[[#This Row],[Volume, kg.]]/1000</f>
        <v>87.73</v>
      </c>
      <c r="J729" s="34">
        <v>0.2291</v>
      </c>
      <c r="K729" s="34">
        <f t="shared" si="22"/>
        <v>20098.942999999999</v>
      </c>
      <c r="L729" s="34">
        <v>3.42</v>
      </c>
      <c r="M729" s="34">
        <v>299717</v>
      </c>
      <c r="N729" s="34">
        <f t="shared" si="23"/>
        <v>14.927979048450458</v>
      </c>
    </row>
    <row r="730" spans="1:14" x14ac:dyDescent="0.45">
      <c r="A730" s="30">
        <v>2023</v>
      </c>
      <c r="B730" s="30" t="s">
        <v>12</v>
      </c>
      <c r="C730" s="30" t="s">
        <v>46</v>
      </c>
      <c r="D730" s="30" t="s">
        <v>47</v>
      </c>
      <c r="E730" s="31" t="s">
        <v>428</v>
      </c>
      <c r="F730" s="32" t="s">
        <v>64</v>
      </c>
      <c r="G730" s="32" t="s">
        <v>50</v>
      </c>
      <c r="H730" s="33">
        <v>4000</v>
      </c>
      <c r="I730" s="34">
        <f>Table3[[#This Row],[Volume, kg.]]/1000</f>
        <v>4</v>
      </c>
      <c r="J730" s="34">
        <v>0.183</v>
      </c>
      <c r="K730" s="34">
        <f t="shared" si="22"/>
        <v>732</v>
      </c>
      <c r="L730" s="34">
        <v>3.3</v>
      </c>
      <c r="M730" s="34">
        <v>13200</v>
      </c>
      <c r="N730" s="34">
        <f t="shared" si="23"/>
        <v>18.032786885245901</v>
      </c>
    </row>
    <row r="731" spans="1:14" x14ac:dyDescent="0.45">
      <c r="A731" s="30">
        <v>2023</v>
      </c>
      <c r="B731" s="30" t="s">
        <v>12</v>
      </c>
      <c r="C731" s="30" t="s">
        <v>46</v>
      </c>
      <c r="D731" s="30" t="s">
        <v>47</v>
      </c>
      <c r="E731" s="31" t="s">
        <v>429</v>
      </c>
      <c r="F731" s="32" t="s">
        <v>54</v>
      </c>
      <c r="G731" s="32" t="s">
        <v>50</v>
      </c>
      <c r="H731" s="33">
        <v>5200</v>
      </c>
      <c r="I731" s="34">
        <f>Table3[[#This Row],[Volume, kg.]]/1000</f>
        <v>5.2</v>
      </c>
      <c r="J731" s="34">
        <v>0.19699999999999998</v>
      </c>
      <c r="K731" s="34">
        <f t="shared" si="22"/>
        <v>1024.3999999999999</v>
      </c>
      <c r="L731" s="34">
        <v>2.8</v>
      </c>
      <c r="M731" s="34">
        <v>14560</v>
      </c>
      <c r="N731" s="34">
        <f t="shared" si="23"/>
        <v>14.213197969543147</v>
      </c>
    </row>
    <row r="732" spans="1:14" x14ac:dyDescent="0.45">
      <c r="A732" s="30">
        <v>2023</v>
      </c>
      <c r="B732" s="30" t="s">
        <v>12</v>
      </c>
      <c r="C732" s="30" t="s">
        <v>46</v>
      </c>
      <c r="D732" s="30" t="s">
        <v>47</v>
      </c>
      <c r="E732" s="31" t="s">
        <v>275</v>
      </c>
      <c r="F732" s="32" t="s">
        <v>54</v>
      </c>
      <c r="G732" s="32" t="s">
        <v>50</v>
      </c>
      <c r="H732" s="33">
        <v>49470</v>
      </c>
      <c r="I732" s="34">
        <f>Table3[[#This Row],[Volume, kg.]]/1000</f>
        <v>49.47</v>
      </c>
      <c r="J732" s="34">
        <v>0.2321</v>
      </c>
      <c r="K732" s="34">
        <f t="shared" si="22"/>
        <v>11481.986999999999</v>
      </c>
      <c r="L732" s="34">
        <v>3.45</v>
      </c>
      <c r="M732" s="34">
        <v>170517.5</v>
      </c>
      <c r="N732" s="34">
        <f t="shared" si="23"/>
        <v>14.864282636794487</v>
      </c>
    </row>
    <row r="733" spans="1:14" x14ac:dyDescent="0.45">
      <c r="A733" s="30">
        <v>2023</v>
      </c>
      <c r="B733" s="30" t="s">
        <v>12</v>
      </c>
      <c r="C733" s="30" t="s">
        <v>46</v>
      </c>
      <c r="D733" s="30" t="s">
        <v>102</v>
      </c>
      <c r="E733" s="31" t="s">
        <v>339</v>
      </c>
      <c r="F733" s="32" t="s">
        <v>340</v>
      </c>
      <c r="G733" s="32" t="s">
        <v>341</v>
      </c>
      <c r="H733" s="33">
        <v>44460</v>
      </c>
      <c r="I733" s="34">
        <f>Table3[[#This Row],[Volume, kg.]]/1000</f>
        <v>44.46</v>
      </c>
      <c r="J733" s="34">
        <v>0.20250000000000001</v>
      </c>
      <c r="K733" s="34">
        <f t="shared" si="22"/>
        <v>9003.1500000000015</v>
      </c>
      <c r="L733" s="34">
        <v>3.35</v>
      </c>
      <c r="M733" s="34">
        <v>148941</v>
      </c>
      <c r="N733" s="34">
        <f t="shared" si="23"/>
        <v>16.543209876543209</v>
      </c>
    </row>
    <row r="734" spans="1:14" x14ac:dyDescent="0.45">
      <c r="A734" s="30">
        <v>2023</v>
      </c>
      <c r="B734" s="30" t="s">
        <v>12</v>
      </c>
      <c r="C734" s="30" t="s">
        <v>46</v>
      </c>
      <c r="D734" s="30" t="s">
        <v>47</v>
      </c>
      <c r="E734" s="31" t="s">
        <v>430</v>
      </c>
      <c r="F734" s="32" t="s">
        <v>49</v>
      </c>
      <c r="G734" s="32" t="s">
        <v>50</v>
      </c>
      <c r="H734" s="33">
        <v>5610</v>
      </c>
      <c r="I734" s="34">
        <f>Table3[[#This Row],[Volume, kg.]]/1000</f>
        <v>5.61</v>
      </c>
      <c r="J734" s="34">
        <v>0.2165</v>
      </c>
      <c r="K734" s="34">
        <f t="shared" si="22"/>
        <v>1214.5650000000001</v>
      </c>
      <c r="L734" s="34">
        <v>3.3</v>
      </c>
      <c r="M734" s="34">
        <v>18513</v>
      </c>
      <c r="N734" s="34">
        <f t="shared" si="23"/>
        <v>15.242494226327944</v>
      </c>
    </row>
    <row r="735" spans="1:14" x14ac:dyDescent="0.45">
      <c r="A735" s="30">
        <v>2023</v>
      </c>
      <c r="B735" s="30" t="s">
        <v>12</v>
      </c>
      <c r="C735" s="30" t="s">
        <v>46</v>
      </c>
      <c r="D735" s="30" t="s">
        <v>47</v>
      </c>
      <c r="E735" s="31" t="s">
        <v>276</v>
      </c>
      <c r="F735" s="32" t="s">
        <v>49</v>
      </c>
      <c r="G735" s="32" t="s">
        <v>50</v>
      </c>
      <c r="H735" s="33">
        <v>5700</v>
      </c>
      <c r="I735" s="34">
        <f>Table3[[#This Row],[Volume, kg.]]/1000</f>
        <v>5.7</v>
      </c>
      <c r="J735" s="34">
        <v>0.19879999999999998</v>
      </c>
      <c r="K735" s="34">
        <f t="shared" si="22"/>
        <v>1133.1599999999999</v>
      </c>
      <c r="L735" s="34">
        <v>2.9</v>
      </c>
      <c r="M735" s="34">
        <v>16530</v>
      </c>
      <c r="N735" s="34">
        <f t="shared" si="23"/>
        <v>14.587525150905433</v>
      </c>
    </row>
    <row r="736" spans="1:14" x14ac:dyDescent="0.45">
      <c r="A736" s="30">
        <v>2023</v>
      </c>
      <c r="B736" s="30" t="s">
        <v>12</v>
      </c>
      <c r="C736" s="30" t="s">
        <v>46</v>
      </c>
      <c r="D736" s="30" t="s">
        <v>47</v>
      </c>
      <c r="E736" s="31" t="s">
        <v>95</v>
      </c>
      <c r="F736" s="32" t="s">
        <v>49</v>
      </c>
      <c r="G736" s="32" t="s">
        <v>50</v>
      </c>
      <c r="H736" s="33">
        <v>2970</v>
      </c>
      <c r="I736" s="34">
        <f>Table3[[#This Row],[Volume, kg.]]/1000</f>
        <v>2.97</v>
      </c>
      <c r="J736" s="34">
        <v>0.19350000000000001</v>
      </c>
      <c r="K736" s="34">
        <f t="shared" si="22"/>
        <v>574.69500000000005</v>
      </c>
      <c r="L736" s="34">
        <v>2.75</v>
      </c>
      <c r="M736" s="34">
        <v>8167.5</v>
      </c>
      <c r="N736" s="34">
        <f t="shared" si="23"/>
        <v>14.211886304909561</v>
      </c>
    </row>
    <row r="737" spans="1:14" x14ac:dyDescent="0.45">
      <c r="A737" s="30">
        <v>2023</v>
      </c>
      <c r="B737" s="30" t="s">
        <v>12</v>
      </c>
      <c r="C737" s="30" t="s">
        <v>46</v>
      </c>
      <c r="D737" s="30" t="s">
        <v>47</v>
      </c>
      <c r="E737" s="31" t="s">
        <v>96</v>
      </c>
      <c r="F737" s="32" t="s">
        <v>49</v>
      </c>
      <c r="G737" s="32" t="s">
        <v>50</v>
      </c>
      <c r="H737" s="33">
        <v>28270</v>
      </c>
      <c r="I737" s="34">
        <f>Table3[[#This Row],[Volume, kg.]]/1000</f>
        <v>28.27</v>
      </c>
      <c r="J737" s="34">
        <v>0.17019999999999999</v>
      </c>
      <c r="K737" s="34">
        <f t="shared" si="22"/>
        <v>4811.5540000000001</v>
      </c>
      <c r="L737" s="34">
        <v>2.88</v>
      </c>
      <c r="M737" s="34">
        <v>81355</v>
      </c>
      <c r="N737" s="34">
        <f t="shared" si="23"/>
        <v>16.92126909518214</v>
      </c>
    </row>
    <row r="738" spans="1:14" x14ac:dyDescent="0.45">
      <c r="A738" s="30">
        <v>2023</v>
      </c>
      <c r="B738" s="30" t="s">
        <v>12</v>
      </c>
      <c r="C738" s="30" t="s">
        <v>46</v>
      </c>
      <c r="D738" s="30" t="s">
        <v>47</v>
      </c>
      <c r="E738" s="31" t="s">
        <v>97</v>
      </c>
      <c r="F738" s="32" t="s">
        <v>49</v>
      </c>
      <c r="G738" s="32" t="s">
        <v>50</v>
      </c>
      <c r="H738" s="33">
        <v>7630</v>
      </c>
      <c r="I738" s="34">
        <f>Table3[[#This Row],[Volume, kg.]]/1000</f>
        <v>7.63</v>
      </c>
      <c r="J738" s="34">
        <v>0.1845</v>
      </c>
      <c r="K738" s="34">
        <f t="shared" si="22"/>
        <v>1407.7349999999999</v>
      </c>
      <c r="L738" s="34">
        <v>2.92</v>
      </c>
      <c r="M738" s="34">
        <v>22257</v>
      </c>
      <c r="N738" s="34">
        <f t="shared" si="23"/>
        <v>15.826558265582655</v>
      </c>
    </row>
    <row r="739" spans="1:14" x14ac:dyDescent="0.45">
      <c r="A739" s="30">
        <v>2023</v>
      </c>
      <c r="B739" s="30" t="s">
        <v>12</v>
      </c>
      <c r="C739" s="30" t="s">
        <v>46</v>
      </c>
      <c r="D739" s="30" t="s">
        <v>47</v>
      </c>
      <c r="E739" s="31" t="s">
        <v>98</v>
      </c>
      <c r="F739" s="32" t="s">
        <v>49</v>
      </c>
      <c r="G739" s="32" t="s">
        <v>50</v>
      </c>
      <c r="H739" s="33">
        <v>68430</v>
      </c>
      <c r="I739" s="34">
        <f>Table3[[#This Row],[Volume, kg.]]/1000</f>
        <v>68.430000000000007</v>
      </c>
      <c r="J739" s="34">
        <v>0.2054</v>
      </c>
      <c r="K739" s="34">
        <f t="shared" si="22"/>
        <v>14055.522000000001</v>
      </c>
      <c r="L739" s="34">
        <v>3</v>
      </c>
      <c r="M739" s="34">
        <v>205627</v>
      </c>
      <c r="N739" s="34">
        <f t="shared" si="23"/>
        <v>14.605647517039921</v>
      </c>
    </row>
    <row r="740" spans="1:14" x14ac:dyDescent="0.45">
      <c r="A740" s="30">
        <v>2023</v>
      </c>
      <c r="B740" s="30" t="s">
        <v>12</v>
      </c>
      <c r="C740" s="30" t="s">
        <v>46</v>
      </c>
      <c r="D740" s="30" t="s">
        <v>47</v>
      </c>
      <c r="E740" s="31" t="s">
        <v>100</v>
      </c>
      <c r="F740" s="32" t="s">
        <v>60</v>
      </c>
      <c r="G740" s="32" t="s">
        <v>50</v>
      </c>
      <c r="H740" s="33">
        <v>10270</v>
      </c>
      <c r="I740" s="34">
        <f>Table3[[#This Row],[Volume, kg.]]/1000</f>
        <v>10.27</v>
      </c>
      <c r="J740" s="34">
        <v>0.16500000000000001</v>
      </c>
      <c r="K740" s="34">
        <f t="shared" si="22"/>
        <v>1694.5500000000002</v>
      </c>
      <c r="L740" s="34">
        <v>2.63</v>
      </c>
      <c r="M740" s="34">
        <v>27035.5</v>
      </c>
      <c r="N740" s="34">
        <f t="shared" si="23"/>
        <v>15.939393939393938</v>
      </c>
    </row>
    <row r="741" spans="1:14" x14ac:dyDescent="0.45">
      <c r="A741" s="30">
        <v>2023</v>
      </c>
      <c r="B741" s="30" t="s">
        <v>12</v>
      </c>
      <c r="C741" s="30" t="s">
        <v>46</v>
      </c>
      <c r="D741" s="30" t="s">
        <v>47</v>
      </c>
      <c r="E741" s="31" t="s">
        <v>101</v>
      </c>
      <c r="F741" s="32" t="s">
        <v>64</v>
      </c>
      <c r="G741" s="32" t="s">
        <v>50</v>
      </c>
      <c r="H741" s="33">
        <v>27680</v>
      </c>
      <c r="I741" s="34">
        <f>Table3[[#This Row],[Volume, kg.]]/1000</f>
        <v>27.68</v>
      </c>
      <c r="J741" s="34">
        <v>0.19589999999999999</v>
      </c>
      <c r="K741" s="34">
        <f t="shared" si="22"/>
        <v>5422.5119999999997</v>
      </c>
      <c r="L741" s="34">
        <v>3.28</v>
      </c>
      <c r="M741" s="34">
        <v>90802.5</v>
      </c>
      <c r="N741" s="34">
        <f t="shared" si="23"/>
        <v>16.743236345074017</v>
      </c>
    </row>
    <row r="742" spans="1:14" x14ac:dyDescent="0.45">
      <c r="A742" s="30">
        <v>2023</v>
      </c>
      <c r="B742" s="30" t="s">
        <v>12</v>
      </c>
      <c r="C742" s="30" t="s">
        <v>46</v>
      </c>
      <c r="D742" s="30" t="s">
        <v>102</v>
      </c>
      <c r="E742" s="31" t="s">
        <v>103</v>
      </c>
      <c r="F742" s="32" t="s">
        <v>104</v>
      </c>
      <c r="G742" s="32" t="s">
        <v>105</v>
      </c>
      <c r="H742" s="33">
        <v>169320</v>
      </c>
      <c r="I742" s="34">
        <f>Table3[[#This Row],[Volume, kg.]]/1000</f>
        <v>169.32</v>
      </c>
      <c r="J742" s="34">
        <v>0.2084</v>
      </c>
      <c r="K742" s="34">
        <f t="shared" si="22"/>
        <v>35286.288</v>
      </c>
      <c r="L742" s="34">
        <v>3.43</v>
      </c>
      <c r="M742" s="34">
        <v>581596</v>
      </c>
      <c r="N742" s="34">
        <f t="shared" si="23"/>
        <v>16.45873320537428</v>
      </c>
    </row>
    <row r="743" spans="1:14" x14ac:dyDescent="0.45">
      <c r="A743" s="30">
        <v>2023</v>
      </c>
      <c r="B743" s="30" t="s">
        <v>12</v>
      </c>
      <c r="C743" s="30" t="s">
        <v>46</v>
      </c>
      <c r="D743" s="30" t="s">
        <v>102</v>
      </c>
      <c r="E743" s="31" t="s">
        <v>106</v>
      </c>
      <c r="F743" s="32" t="s">
        <v>107</v>
      </c>
      <c r="G743" s="32" t="s">
        <v>108</v>
      </c>
      <c r="H743" s="33">
        <v>1000</v>
      </c>
      <c r="I743" s="34">
        <f>Table3[[#This Row],[Volume, kg.]]/1000</f>
        <v>1</v>
      </c>
      <c r="J743" s="34">
        <v>0.16870000000000002</v>
      </c>
      <c r="K743" s="34">
        <f t="shared" si="22"/>
        <v>168.70000000000002</v>
      </c>
      <c r="L743" s="34">
        <v>3.25</v>
      </c>
      <c r="M743" s="34">
        <v>3250</v>
      </c>
      <c r="N743" s="34">
        <f t="shared" si="23"/>
        <v>19.26496739774748</v>
      </c>
    </row>
    <row r="744" spans="1:14" x14ac:dyDescent="0.45">
      <c r="A744" s="30">
        <v>2023</v>
      </c>
      <c r="B744" s="30" t="s">
        <v>12</v>
      </c>
      <c r="C744" s="30" t="s">
        <v>46</v>
      </c>
      <c r="D744" s="30" t="s">
        <v>47</v>
      </c>
      <c r="E744" s="31" t="s">
        <v>109</v>
      </c>
      <c r="F744" s="32" t="s">
        <v>60</v>
      </c>
      <c r="G744" s="32" t="s">
        <v>50</v>
      </c>
      <c r="H744" s="33">
        <v>15440</v>
      </c>
      <c r="I744" s="34">
        <f>Table3[[#This Row],[Volume, kg.]]/1000</f>
        <v>15.44</v>
      </c>
      <c r="J744" s="34">
        <v>0.22949999999999998</v>
      </c>
      <c r="K744" s="34">
        <f t="shared" si="22"/>
        <v>3543.4799999999996</v>
      </c>
      <c r="L744" s="34">
        <v>3.42</v>
      </c>
      <c r="M744" s="34">
        <v>52728</v>
      </c>
      <c r="N744" s="34">
        <f t="shared" si="23"/>
        <v>14.901960784313726</v>
      </c>
    </row>
    <row r="745" spans="1:14" x14ac:dyDescent="0.45">
      <c r="A745" s="30">
        <v>2023</v>
      </c>
      <c r="B745" s="30" t="s">
        <v>12</v>
      </c>
      <c r="C745" s="30" t="s">
        <v>46</v>
      </c>
      <c r="D745" s="30" t="s">
        <v>47</v>
      </c>
      <c r="E745" s="31" t="s">
        <v>110</v>
      </c>
      <c r="F745" s="32" t="s">
        <v>57</v>
      </c>
      <c r="G745" s="32" t="s">
        <v>50</v>
      </c>
      <c r="H745" s="33">
        <v>3950</v>
      </c>
      <c r="I745" s="34">
        <f>Table3[[#This Row],[Volume, kg.]]/1000</f>
        <v>3.95</v>
      </c>
      <c r="J745" s="34">
        <v>0.22699999999999998</v>
      </c>
      <c r="K745" s="34">
        <f t="shared" si="22"/>
        <v>896.64999999999986</v>
      </c>
      <c r="L745" s="34">
        <v>3.25</v>
      </c>
      <c r="M745" s="34">
        <v>12837.5</v>
      </c>
      <c r="N745" s="34">
        <f t="shared" si="23"/>
        <v>14.317180616740089</v>
      </c>
    </row>
    <row r="746" spans="1:14" x14ac:dyDescent="0.45">
      <c r="A746" s="30">
        <v>2023</v>
      </c>
      <c r="B746" s="30" t="s">
        <v>12</v>
      </c>
      <c r="C746" s="30" t="s">
        <v>46</v>
      </c>
      <c r="D746" s="30" t="s">
        <v>47</v>
      </c>
      <c r="E746" s="31" t="s">
        <v>277</v>
      </c>
      <c r="F746" s="32" t="s">
        <v>60</v>
      </c>
      <c r="G746" s="32" t="s">
        <v>50</v>
      </c>
      <c r="H746" s="33">
        <v>31350</v>
      </c>
      <c r="I746" s="34">
        <f>Table3[[#This Row],[Volume, kg.]]/1000</f>
        <v>31.35</v>
      </c>
      <c r="J746" s="34">
        <v>0.20730000000000001</v>
      </c>
      <c r="K746" s="34">
        <f t="shared" si="22"/>
        <v>6498.8550000000005</v>
      </c>
      <c r="L746" s="34">
        <v>3.16</v>
      </c>
      <c r="M746" s="34">
        <v>99048.5</v>
      </c>
      <c r="N746" s="34">
        <f t="shared" si="23"/>
        <v>15.243608297153884</v>
      </c>
    </row>
    <row r="747" spans="1:14" x14ac:dyDescent="0.45">
      <c r="A747" s="30">
        <v>2023</v>
      </c>
      <c r="B747" s="30" t="s">
        <v>12</v>
      </c>
      <c r="C747" s="30" t="s">
        <v>46</v>
      </c>
      <c r="D747" s="30" t="s">
        <v>47</v>
      </c>
      <c r="E747" s="31" t="s">
        <v>111</v>
      </c>
      <c r="F747" s="32" t="s">
        <v>60</v>
      </c>
      <c r="G747" s="32" t="s">
        <v>50</v>
      </c>
      <c r="H747" s="33">
        <v>7260</v>
      </c>
      <c r="I747" s="34">
        <f>Table3[[#This Row],[Volume, kg.]]/1000</f>
        <v>7.26</v>
      </c>
      <c r="J747" s="34">
        <v>0.22030000000000002</v>
      </c>
      <c r="K747" s="34">
        <f t="shared" si="22"/>
        <v>1599.3780000000002</v>
      </c>
      <c r="L747" s="34">
        <v>3</v>
      </c>
      <c r="M747" s="34">
        <v>21780</v>
      </c>
      <c r="N747" s="34">
        <f t="shared" si="23"/>
        <v>13.617793917385383</v>
      </c>
    </row>
    <row r="748" spans="1:14" x14ac:dyDescent="0.45">
      <c r="A748" s="30">
        <v>2023</v>
      </c>
      <c r="B748" s="30" t="s">
        <v>12</v>
      </c>
      <c r="C748" s="30" t="s">
        <v>46</v>
      </c>
      <c r="D748" s="30" t="s">
        <v>47</v>
      </c>
      <c r="E748" s="31" t="s">
        <v>112</v>
      </c>
      <c r="F748" s="32" t="s">
        <v>49</v>
      </c>
      <c r="G748" s="32" t="s">
        <v>50</v>
      </c>
      <c r="H748" s="33">
        <v>3140</v>
      </c>
      <c r="I748" s="34">
        <f>Table3[[#This Row],[Volume, kg.]]/1000</f>
        <v>3.14</v>
      </c>
      <c r="J748" s="34">
        <v>0.2346</v>
      </c>
      <c r="K748" s="34">
        <f t="shared" si="22"/>
        <v>736.64400000000001</v>
      </c>
      <c r="L748" s="34">
        <v>3.51</v>
      </c>
      <c r="M748" s="34">
        <v>11033.5</v>
      </c>
      <c r="N748" s="34">
        <f t="shared" si="23"/>
        <v>14.961636828644501</v>
      </c>
    </row>
    <row r="749" spans="1:14" x14ac:dyDescent="0.45">
      <c r="A749" s="30">
        <v>2023</v>
      </c>
      <c r="B749" s="30" t="s">
        <v>12</v>
      </c>
      <c r="C749" s="30" t="s">
        <v>46</v>
      </c>
      <c r="D749" s="30" t="s">
        <v>47</v>
      </c>
      <c r="E749" s="31" t="s">
        <v>431</v>
      </c>
      <c r="F749" s="32" t="s">
        <v>49</v>
      </c>
      <c r="G749" s="32" t="s">
        <v>50</v>
      </c>
      <c r="H749" s="33">
        <v>31650</v>
      </c>
      <c r="I749" s="34">
        <f>Table3[[#This Row],[Volume, kg.]]/1000</f>
        <v>31.65</v>
      </c>
      <c r="J749" s="34">
        <v>0.17649999999999999</v>
      </c>
      <c r="K749" s="34">
        <f t="shared" si="22"/>
        <v>5586.2249999999995</v>
      </c>
      <c r="L749" s="34">
        <v>2.81</v>
      </c>
      <c r="M749" s="34">
        <v>89053.5</v>
      </c>
      <c r="N749" s="34">
        <f t="shared" si="23"/>
        <v>15.920679886685553</v>
      </c>
    </row>
    <row r="750" spans="1:14" x14ac:dyDescent="0.45">
      <c r="A750" s="30">
        <v>2023</v>
      </c>
      <c r="B750" s="30" t="s">
        <v>12</v>
      </c>
      <c r="C750" s="30" t="s">
        <v>46</v>
      </c>
      <c r="D750" s="30" t="s">
        <v>47</v>
      </c>
      <c r="E750" s="31" t="s">
        <v>432</v>
      </c>
      <c r="F750" s="32" t="s">
        <v>134</v>
      </c>
      <c r="G750" s="32" t="s">
        <v>50</v>
      </c>
      <c r="H750" s="33">
        <v>360</v>
      </c>
      <c r="I750" s="34">
        <f>Table3[[#This Row],[Volume, kg.]]/1000</f>
        <v>0.36</v>
      </c>
      <c r="J750" s="34">
        <v>0.14300000000000002</v>
      </c>
      <c r="K750" s="34">
        <f t="shared" si="22"/>
        <v>51.480000000000004</v>
      </c>
      <c r="L750" s="34">
        <v>2.8</v>
      </c>
      <c r="M750" s="34">
        <v>1008</v>
      </c>
      <c r="N750" s="34">
        <f t="shared" si="23"/>
        <v>19.580419580419576</v>
      </c>
    </row>
    <row r="751" spans="1:14" x14ac:dyDescent="0.45">
      <c r="A751" s="30">
        <v>2023</v>
      </c>
      <c r="B751" s="30" t="s">
        <v>12</v>
      </c>
      <c r="C751" s="30" t="s">
        <v>46</v>
      </c>
      <c r="D751" s="30" t="s">
        <v>47</v>
      </c>
      <c r="E751" s="31" t="s">
        <v>121</v>
      </c>
      <c r="F751" s="32" t="s">
        <v>60</v>
      </c>
      <c r="G751" s="32" t="s">
        <v>50</v>
      </c>
      <c r="H751" s="33">
        <v>22880</v>
      </c>
      <c r="I751" s="34">
        <f>Table3[[#This Row],[Volume, kg.]]/1000</f>
        <v>22.88</v>
      </c>
      <c r="J751" s="34">
        <v>0.2205</v>
      </c>
      <c r="K751" s="34">
        <f t="shared" si="22"/>
        <v>5045.04</v>
      </c>
      <c r="L751" s="34">
        <v>3.48</v>
      </c>
      <c r="M751" s="34">
        <v>79647</v>
      </c>
      <c r="N751" s="34">
        <f t="shared" si="23"/>
        <v>15.782312925170068</v>
      </c>
    </row>
    <row r="752" spans="1:14" x14ac:dyDescent="0.45">
      <c r="A752" s="30">
        <v>2023</v>
      </c>
      <c r="B752" s="30" t="s">
        <v>12</v>
      </c>
      <c r="C752" s="30" t="s">
        <v>46</v>
      </c>
      <c r="D752" s="30" t="s">
        <v>47</v>
      </c>
      <c r="E752" s="31" t="s">
        <v>122</v>
      </c>
      <c r="F752" s="32" t="s">
        <v>49</v>
      </c>
      <c r="G752" s="32" t="s">
        <v>50</v>
      </c>
      <c r="H752" s="33">
        <v>5440</v>
      </c>
      <c r="I752" s="34">
        <f>Table3[[#This Row],[Volume, kg.]]/1000</f>
        <v>5.44</v>
      </c>
      <c r="J752" s="34">
        <v>0.22640000000000002</v>
      </c>
      <c r="K752" s="34">
        <f t="shared" si="22"/>
        <v>1231.616</v>
      </c>
      <c r="L752" s="34">
        <v>3.28</v>
      </c>
      <c r="M752" s="34">
        <v>17832</v>
      </c>
      <c r="N752" s="34">
        <f t="shared" si="23"/>
        <v>14.48763250883392</v>
      </c>
    </row>
    <row r="753" spans="1:14" x14ac:dyDescent="0.45">
      <c r="A753" s="30">
        <v>2023</v>
      </c>
      <c r="B753" s="30" t="s">
        <v>12</v>
      </c>
      <c r="C753" s="30" t="s">
        <v>46</v>
      </c>
      <c r="D753" s="30" t="s">
        <v>47</v>
      </c>
      <c r="E753" s="31" t="s">
        <v>125</v>
      </c>
      <c r="F753" s="32" t="s">
        <v>60</v>
      </c>
      <c r="G753" s="32" t="s">
        <v>50</v>
      </c>
      <c r="H753" s="33">
        <v>17080</v>
      </c>
      <c r="I753" s="34">
        <f>Table3[[#This Row],[Volume, kg.]]/1000</f>
        <v>17.079999999999998</v>
      </c>
      <c r="J753" s="34">
        <v>0.21210000000000001</v>
      </c>
      <c r="K753" s="34">
        <f t="shared" si="22"/>
        <v>3622.6680000000001</v>
      </c>
      <c r="L753" s="34">
        <v>3.04</v>
      </c>
      <c r="M753" s="34">
        <v>51872.5</v>
      </c>
      <c r="N753" s="34">
        <f t="shared" si="23"/>
        <v>14.332861857614333</v>
      </c>
    </row>
    <row r="754" spans="1:14" x14ac:dyDescent="0.45">
      <c r="A754" s="30">
        <v>2023</v>
      </c>
      <c r="B754" s="30" t="s">
        <v>12</v>
      </c>
      <c r="C754" s="30" t="s">
        <v>46</v>
      </c>
      <c r="D754" s="30" t="s">
        <v>47</v>
      </c>
      <c r="E754" s="31" t="s">
        <v>345</v>
      </c>
      <c r="F754" s="32" t="s">
        <v>81</v>
      </c>
      <c r="G754" s="32" t="s">
        <v>50</v>
      </c>
      <c r="H754" s="33">
        <v>12330</v>
      </c>
      <c r="I754" s="34">
        <f>Table3[[#This Row],[Volume, kg.]]/1000</f>
        <v>12.33</v>
      </c>
      <c r="J754" s="34">
        <v>0.2165</v>
      </c>
      <c r="K754" s="34">
        <f t="shared" si="22"/>
        <v>2669.4450000000002</v>
      </c>
      <c r="L754" s="34">
        <v>2.9</v>
      </c>
      <c r="M754" s="34">
        <v>35757</v>
      </c>
      <c r="N754" s="34">
        <f t="shared" si="23"/>
        <v>13.394919168591224</v>
      </c>
    </row>
    <row r="755" spans="1:14" x14ac:dyDescent="0.45">
      <c r="A755" s="30">
        <v>2023</v>
      </c>
      <c r="B755" s="30" t="s">
        <v>12</v>
      </c>
      <c r="C755" s="30" t="s">
        <v>46</v>
      </c>
      <c r="D755" s="30" t="s">
        <v>102</v>
      </c>
      <c r="E755" s="31" t="s">
        <v>126</v>
      </c>
      <c r="F755" s="32" t="s">
        <v>127</v>
      </c>
      <c r="G755" s="32" t="s">
        <v>128</v>
      </c>
      <c r="H755" s="33">
        <v>87190</v>
      </c>
      <c r="I755" s="34">
        <f>Table3[[#This Row],[Volume, kg.]]/1000</f>
        <v>87.19</v>
      </c>
      <c r="J755" s="34">
        <v>0.20469999999999999</v>
      </c>
      <c r="K755" s="34">
        <f t="shared" si="22"/>
        <v>17847.792999999998</v>
      </c>
      <c r="L755" s="34">
        <v>3.29</v>
      </c>
      <c r="M755" s="34">
        <v>286693.5</v>
      </c>
      <c r="N755" s="34">
        <f t="shared" si="23"/>
        <v>16.072300928187591</v>
      </c>
    </row>
    <row r="756" spans="1:14" x14ac:dyDescent="0.45">
      <c r="A756" s="30">
        <v>2023</v>
      </c>
      <c r="B756" s="30" t="s">
        <v>12</v>
      </c>
      <c r="C756" s="30" t="s">
        <v>46</v>
      </c>
      <c r="D756" s="30" t="s">
        <v>47</v>
      </c>
      <c r="E756" s="31" t="s">
        <v>129</v>
      </c>
      <c r="F756" s="32" t="s">
        <v>57</v>
      </c>
      <c r="G756" s="32" t="s">
        <v>50</v>
      </c>
      <c r="H756" s="33">
        <v>1370</v>
      </c>
      <c r="I756" s="34">
        <f>Table3[[#This Row],[Volume, kg.]]/1000</f>
        <v>1.37</v>
      </c>
      <c r="J756" s="34">
        <v>0.1855</v>
      </c>
      <c r="K756" s="34">
        <f t="shared" si="22"/>
        <v>254.13499999999999</v>
      </c>
      <c r="L756" s="34">
        <v>3.05</v>
      </c>
      <c r="M756" s="34">
        <v>4178.5</v>
      </c>
      <c r="N756" s="34">
        <f t="shared" si="23"/>
        <v>16.442048517520213</v>
      </c>
    </row>
    <row r="757" spans="1:14" x14ac:dyDescent="0.45">
      <c r="A757" s="30">
        <v>2023</v>
      </c>
      <c r="B757" s="30" t="s">
        <v>12</v>
      </c>
      <c r="C757" s="30" t="s">
        <v>46</v>
      </c>
      <c r="D757" s="30" t="s">
        <v>47</v>
      </c>
      <c r="E757" s="31" t="s">
        <v>400</v>
      </c>
      <c r="F757" s="32" t="s">
        <v>281</v>
      </c>
      <c r="G757" s="32" t="s">
        <v>50</v>
      </c>
      <c r="H757" s="33">
        <v>494760</v>
      </c>
      <c r="I757" s="34">
        <f>Table3[[#This Row],[Volume, kg.]]/1000</f>
        <v>494.76</v>
      </c>
      <c r="J757" s="34">
        <v>0.1978</v>
      </c>
      <c r="K757" s="34">
        <f t="shared" si="22"/>
        <v>97863.528000000006</v>
      </c>
      <c r="L757" s="34">
        <v>2.99</v>
      </c>
      <c r="M757" s="34">
        <v>1479314</v>
      </c>
      <c r="N757" s="34">
        <f t="shared" si="23"/>
        <v>15.116279069767442</v>
      </c>
    </row>
    <row r="758" spans="1:14" x14ac:dyDescent="0.45">
      <c r="A758" s="30">
        <v>2023</v>
      </c>
      <c r="B758" s="30" t="s">
        <v>12</v>
      </c>
      <c r="C758" s="30" t="s">
        <v>46</v>
      </c>
      <c r="D758" s="30" t="s">
        <v>47</v>
      </c>
      <c r="E758" s="31" t="s">
        <v>433</v>
      </c>
      <c r="F758" s="32" t="s">
        <v>49</v>
      </c>
      <c r="G758" s="32" t="s">
        <v>50</v>
      </c>
      <c r="H758" s="33">
        <v>36260</v>
      </c>
      <c r="I758" s="34">
        <f>Table3[[#This Row],[Volume, kg.]]/1000</f>
        <v>36.26</v>
      </c>
      <c r="J758" s="34">
        <v>0.2293</v>
      </c>
      <c r="K758" s="34">
        <f t="shared" si="22"/>
        <v>8314.4179999999997</v>
      </c>
      <c r="L758" s="34">
        <v>3.08</v>
      </c>
      <c r="M758" s="34">
        <v>111778</v>
      </c>
      <c r="N758" s="34">
        <f t="shared" si="23"/>
        <v>13.432184910597471</v>
      </c>
    </row>
    <row r="759" spans="1:14" x14ac:dyDescent="0.45">
      <c r="A759" s="30">
        <v>2023</v>
      </c>
      <c r="B759" s="30" t="s">
        <v>12</v>
      </c>
      <c r="C759" s="30" t="s">
        <v>46</v>
      </c>
      <c r="D759" s="30" t="s">
        <v>47</v>
      </c>
      <c r="E759" s="31" t="s">
        <v>133</v>
      </c>
      <c r="F759" s="32" t="s">
        <v>134</v>
      </c>
      <c r="G759" s="32" t="s">
        <v>50</v>
      </c>
      <c r="H759" s="33">
        <v>83570</v>
      </c>
      <c r="I759" s="34">
        <f>Table3[[#This Row],[Volume, kg.]]/1000</f>
        <v>83.57</v>
      </c>
      <c r="J759" s="34">
        <v>0.20989999999999998</v>
      </c>
      <c r="K759" s="34">
        <f t="shared" si="22"/>
        <v>17541.342999999997</v>
      </c>
      <c r="L759" s="34">
        <v>3.25</v>
      </c>
      <c r="M759" s="34">
        <v>271334.5</v>
      </c>
      <c r="N759" s="34">
        <f t="shared" si="23"/>
        <v>15.483563601715105</v>
      </c>
    </row>
    <row r="760" spans="1:14" x14ac:dyDescent="0.45">
      <c r="A760" s="30">
        <v>2023</v>
      </c>
      <c r="B760" s="30" t="s">
        <v>12</v>
      </c>
      <c r="C760" s="30" t="s">
        <v>46</v>
      </c>
      <c r="D760" s="30" t="s">
        <v>47</v>
      </c>
      <c r="E760" s="31" t="s">
        <v>135</v>
      </c>
      <c r="F760" s="32" t="s">
        <v>49</v>
      </c>
      <c r="G760" s="32" t="s">
        <v>50</v>
      </c>
      <c r="H760" s="33">
        <v>9240</v>
      </c>
      <c r="I760" s="34">
        <f>Table3[[#This Row],[Volume, kg.]]/1000</f>
        <v>9.24</v>
      </c>
      <c r="J760" s="34">
        <v>0.19399999999999998</v>
      </c>
      <c r="K760" s="34">
        <f t="shared" si="22"/>
        <v>1792.5599999999997</v>
      </c>
      <c r="L760" s="34">
        <v>3.15</v>
      </c>
      <c r="M760" s="34">
        <v>29106</v>
      </c>
      <c r="N760" s="34">
        <f t="shared" si="23"/>
        <v>16.237113402061858</v>
      </c>
    </row>
    <row r="761" spans="1:14" x14ac:dyDescent="0.45">
      <c r="A761" s="30">
        <v>2023</v>
      </c>
      <c r="B761" s="30" t="s">
        <v>12</v>
      </c>
      <c r="C761" s="30" t="s">
        <v>46</v>
      </c>
      <c r="D761" s="30" t="s">
        <v>47</v>
      </c>
      <c r="E761" s="31" t="s">
        <v>434</v>
      </c>
      <c r="F761" s="32" t="s">
        <v>57</v>
      </c>
      <c r="G761" s="32" t="s">
        <v>50</v>
      </c>
      <c r="H761" s="33">
        <v>23330</v>
      </c>
      <c r="I761" s="34">
        <f>Table3[[#This Row],[Volume, kg.]]/1000</f>
        <v>23.33</v>
      </c>
      <c r="J761" s="34">
        <v>0.17199999999999999</v>
      </c>
      <c r="K761" s="34">
        <f t="shared" si="22"/>
        <v>4012.7599999999998</v>
      </c>
      <c r="L761" s="34">
        <v>2.83</v>
      </c>
      <c r="M761" s="34">
        <v>65976</v>
      </c>
      <c r="N761" s="34">
        <f t="shared" si="23"/>
        <v>16.453488372093027</v>
      </c>
    </row>
    <row r="762" spans="1:14" x14ac:dyDescent="0.45">
      <c r="A762" s="30">
        <v>2023</v>
      </c>
      <c r="B762" s="30" t="s">
        <v>12</v>
      </c>
      <c r="C762" s="30" t="s">
        <v>46</v>
      </c>
      <c r="D762" s="30" t="s">
        <v>47</v>
      </c>
      <c r="E762" s="31" t="s">
        <v>398</v>
      </c>
      <c r="F762" s="32" t="s">
        <v>64</v>
      </c>
      <c r="G762" s="32" t="s">
        <v>50</v>
      </c>
      <c r="H762" s="33">
        <v>21630</v>
      </c>
      <c r="I762" s="34">
        <f>Table3[[#This Row],[Volume, kg.]]/1000</f>
        <v>21.63</v>
      </c>
      <c r="J762" s="34">
        <v>0.18230000000000002</v>
      </c>
      <c r="K762" s="34">
        <f t="shared" si="22"/>
        <v>3943.1490000000003</v>
      </c>
      <c r="L762" s="34">
        <v>3.18</v>
      </c>
      <c r="M762" s="34">
        <v>68708.5</v>
      </c>
      <c r="N762" s="34">
        <f t="shared" si="23"/>
        <v>17.443773998902905</v>
      </c>
    </row>
    <row r="763" spans="1:14" x14ac:dyDescent="0.45">
      <c r="A763" s="30">
        <v>2023</v>
      </c>
      <c r="B763" s="30" t="s">
        <v>12</v>
      </c>
      <c r="C763" s="30" t="s">
        <v>46</v>
      </c>
      <c r="D763" s="30" t="s">
        <v>47</v>
      </c>
      <c r="E763" s="31" t="s">
        <v>136</v>
      </c>
      <c r="F763" s="32" t="s">
        <v>49</v>
      </c>
      <c r="G763" s="32" t="s">
        <v>50</v>
      </c>
      <c r="H763" s="33">
        <v>10040</v>
      </c>
      <c r="I763" s="34">
        <f>Table3[[#This Row],[Volume, kg.]]/1000</f>
        <v>10.039999999999999</v>
      </c>
      <c r="J763" s="34">
        <v>0.22030000000000002</v>
      </c>
      <c r="K763" s="34">
        <f t="shared" si="22"/>
        <v>2211.8120000000004</v>
      </c>
      <c r="L763" s="34">
        <v>3.23</v>
      </c>
      <c r="M763" s="34">
        <v>32422</v>
      </c>
      <c r="N763" s="34">
        <f t="shared" si="23"/>
        <v>14.661824784384928</v>
      </c>
    </row>
    <row r="764" spans="1:14" x14ac:dyDescent="0.45">
      <c r="A764" s="30">
        <v>2023</v>
      </c>
      <c r="B764" s="30" t="s">
        <v>12</v>
      </c>
      <c r="C764" s="30" t="s">
        <v>46</v>
      </c>
      <c r="D764" s="30" t="s">
        <v>47</v>
      </c>
      <c r="E764" s="31" t="s">
        <v>435</v>
      </c>
      <c r="F764" s="32" t="s">
        <v>49</v>
      </c>
      <c r="G764" s="32" t="s">
        <v>50</v>
      </c>
      <c r="H764" s="33">
        <v>2390</v>
      </c>
      <c r="I764" s="34">
        <f>Table3[[#This Row],[Volume, kg.]]/1000</f>
        <v>2.39</v>
      </c>
      <c r="J764" s="34">
        <v>0.1595</v>
      </c>
      <c r="K764" s="34">
        <f t="shared" si="22"/>
        <v>381.20499999999998</v>
      </c>
      <c r="L764" s="34">
        <v>2.6</v>
      </c>
      <c r="M764" s="34">
        <v>6214</v>
      </c>
      <c r="N764" s="34">
        <f t="shared" si="23"/>
        <v>16.300940438871475</v>
      </c>
    </row>
    <row r="765" spans="1:14" x14ac:dyDescent="0.45">
      <c r="A765" s="30">
        <v>2023</v>
      </c>
      <c r="B765" s="30" t="s">
        <v>12</v>
      </c>
      <c r="C765" s="30" t="s">
        <v>46</v>
      </c>
      <c r="D765" s="30" t="s">
        <v>47</v>
      </c>
      <c r="E765" s="31" t="s">
        <v>286</v>
      </c>
      <c r="F765" s="32" t="s">
        <v>49</v>
      </c>
      <c r="G765" s="32" t="s">
        <v>50</v>
      </c>
      <c r="H765" s="33">
        <v>1530</v>
      </c>
      <c r="I765" s="34">
        <f>Table3[[#This Row],[Volume, kg.]]/1000</f>
        <v>1.53</v>
      </c>
      <c r="J765" s="34">
        <v>0.2205</v>
      </c>
      <c r="K765" s="34">
        <f t="shared" si="22"/>
        <v>337.36500000000001</v>
      </c>
      <c r="L765" s="34">
        <v>2.9</v>
      </c>
      <c r="M765" s="34">
        <v>4437</v>
      </c>
      <c r="N765" s="34">
        <f t="shared" si="23"/>
        <v>13.151927437641723</v>
      </c>
    </row>
    <row r="766" spans="1:14" x14ac:dyDescent="0.45">
      <c r="A766" s="30">
        <v>2023</v>
      </c>
      <c r="B766" s="30" t="s">
        <v>12</v>
      </c>
      <c r="C766" s="30" t="s">
        <v>46</v>
      </c>
      <c r="D766" s="30" t="s">
        <v>47</v>
      </c>
      <c r="E766" s="31" t="s">
        <v>287</v>
      </c>
      <c r="F766" s="32" t="s">
        <v>60</v>
      </c>
      <c r="G766" s="32" t="s">
        <v>50</v>
      </c>
      <c r="H766" s="33">
        <v>14710</v>
      </c>
      <c r="I766" s="34">
        <f>Table3[[#This Row],[Volume, kg.]]/1000</f>
        <v>14.71</v>
      </c>
      <c r="J766" s="34">
        <v>0.217</v>
      </c>
      <c r="K766" s="34">
        <f t="shared" si="22"/>
        <v>3192.07</v>
      </c>
      <c r="L766" s="34">
        <v>3.43</v>
      </c>
      <c r="M766" s="34">
        <v>50452.5</v>
      </c>
      <c r="N766" s="34">
        <f t="shared" si="23"/>
        <v>15.806451612903226</v>
      </c>
    </row>
    <row r="767" spans="1:14" x14ac:dyDescent="0.45">
      <c r="A767" s="30">
        <v>2023</v>
      </c>
      <c r="B767" s="30" t="s">
        <v>12</v>
      </c>
      <c r="C767" s="30" t="s">
        <v>46</v>
      </c>
      <c r="D767" s="30" t="s">
        <v>47</v>
      </c>
      <c r="E767" s="31" t="s">
        <v>390</v>
      </c>
      <c r="F767" s="32" t="s">
        <v>60</v>
      </c>
      <c r="G767" s="32" t="s">
        <v>50</v>
      </c>
      <c r="H767" s="33">
        <v>10720</v>
      </c>
      <c r="I767" s="34">
        <f>Table3[[#This Row],[Volume, kg.]]/1000</f>
        <v>10.72</v>
      </c>
      <c r="J767" s="34">
        <v>0.18760000000000002</v>
      </c>
      <c r="K767" s="34">
        <f t="shared" si="22"/>
        <v>2011.0720000000001</v>
      </c>
      <c r="L767" s="34">
        <v>3.16</v>
      </c>
      <c r="M767" s="34">
        <v>33852</v>
      </c>
      <c r="N767" s="34">
        <f t="shared" si="23"/>
        <v>16.844349680170573</v>
      </c>
    </row>
    <row r="768" spans="1:14" x14ac:dyDescent="0.45">
      <c r="A768" s="30">
        <v>2023</v>
      </c>
      <c r="B768" s="30" t="s">
        <v>12</v>
      </c>
      <c r="C768" s="30" t="s">
        <v>46</v>
      </c>
      <c r="D768" s="30" t="s">
        <v>47</v>
      </c>
      <c r="E768" s="31" t="s">
        <v>288</v>
      </c>
      <c r="F768" s="32" t="s">
        <v>49</v>
      </c>
      <c r="G768" s="32" t="s">
        <v>50</v>
      </c>
      <c r="H768" s="33">
        <v>162650</v>
      </c>
      <c r="I768" s="34">
        <f>Table3[[#This Row],[Volume, kg.]]/1000</f>
        <v>162.65</v>
      </c>
      <c r="J768" s="34">
        <v>0.2145</v>
      </c>
      <c r="K768" s="34">
        <f t="shared" si="22"/>
        <v>34888.425000000003</v>
      </c>
      <c r="L768" s="34">
        <v>3.24</v>
      </c>
      <c r="M768" s="34">
        <v>526892</v>
      </c>
      <c r="N768" s="34">
        <f t="shared" si="23"/>
        <v>15.104895104895107</v>
      </c>
    </row>
    <row r="769" spans="1:14" x14ac:dyDescent="0.45">
      <c r="A769" s="30">
        <v>2023</v>
      </c>
      <c r="B769" s="30" t="s">
        <v>12</v>
      </c>
      <c r="C769" s="30" t="s">
        <v>46</v>
      </c>
      <c r="D769" s="30" t="s">
        <v>102</v>
      </c>
      <c r="E769" s="31" t="s">
        <v>348</v>
      </c>
      <c r="F769" s="32" t="s">
        <v>349</v>
      </c>
      <c r="G769" s="32" t="s">
        <v>105</v>
      </c>
      <c r="H769" s="33">
        <v>109460</v>
      </c>
      <c r="I769" s="34">
        <f>Table3[[#This Row],[Volume, kg.]]/1000</f>
        <v>109.46</v>
      </c>
      <c r="J769" s="34">
        <v>0.21530000000000002</v>
      </c>
      <c r="K769" s="34">
        <f t="shared" si="22"/>
        <v>23566.738000000001</v>
      </c>
      <c r="L769" s="34">
        <v>3.19</v>
      </c>
      <c r="M769" s="34">
        <v>349388.5</v>
      </c>
      <c r="N769" s="34">
        <f t="shared" si="23"/>
        <v>14.816535067347886</v>
      </c>
    </row>
    <row r="770" spans="1:14" x14ac:dyDescent="0.45">
      <c r="A770" s="30">
        <v>2023</v>
      </c>
      <c r="B770" s="30" t="s">
        <v>12</v>
      </c>
      <c r="C770" s="30" t="s">
        <v>46</v>
      </c>
      <c r="D770" s="30" t="s">
        <v>47</v>
      </c>
      <c r="E770" s="31" t="s">
        <v>350</v>
      </c>
      <c r="F770" s="32" t="s">
        <v>49</v>
      </c>
      <c r="G770" s="32" t="s">
        <v>50</v>
      </c>
      <c r="H770" s="33">
        <v>36200</v>
      </c>
      <c r="I770" s="34">
        <f>Table3[[#This Row],[Volume, kg.]]/1000</f>
        <v>36.200000000000003</v>
      </c>
      <c r="J770" s="34">
        <v>0.1845</v>
      </c>
      <c r="K770" s="34">
        <f t="shared" si="22"/>
        <v>6678.9</v>
      </c>
      <c r="L770" s="34">
        <v>2.94</v>
      </c>
      <c r="M770" s="34">
        <v>106319.5</v>
      </c>
      <c r="N770" s="34">
        <f t="shared" si="23"/>
        <v>15.934959349593496</v>
      </c>
    </row>
    <row r="771" spans="1:14" x14ac:dyDescent="0.45">
      <c r="A771" s="30">
        <v>2023</v>
      </c>
      <c r="B771" s="30" t="s">
        <v>12</v>
      </c>
      <c r="C771" s="30" t="s">
        <v>46</v>
      </c>
      <c r="D771" s="30" t="s">
        <v>47</v>
      </c>
      <c r="E771" s="31" t="s">
        <v>436</v>
      </c>
      <c r="F771" s="32" t="s">
        <v>57</v>
      </c>
      <c r="G771" s="32" t="s">
        <v>50</v>
      </c>
      <c r="H771" s="33">
        <v>26780</v>
      </c>
      <c r="I771" s="34">
        <f>Table3[[#This Row],[Volume, kg.]]/1000</f>
        <v>26.78</v>
      </c>
      <c r="J771" s="34">
        <v>0.21309999999999998</v>
      </c>
      <c r="K771" s="34">
        <f t="shared" ref="K771:K834" si="24">H771*J771</f>
        <v>5706.8179999999993</v>
      </c>
      <c r="L771" s="34">
        <v>3.19</v>
      </c>
      <c r="M771" s="34">
        <v>85387</v>
      </c>
      <c r="N771" s="34">
        <f t="shared" si="23"/>
        <v>14.969497888315345</v>
      </c>
    </row>
    <row r="772" spans="1:14" x14ac:dyDescent="0.45">
      <c r="A772" s="30">
        <v>2023</v>
      </c>
      <c r="B772" s="30" t="s">
        <v>12</v>
      </c>
      <c r="C772" s="30" t="s">
        <v>46</v>
      </c>
      <c r="D772" s="30" t="s">
        <v>102</v>
      </c>
      <c r="E772" s="31" t="s">
        <v>414</v>
      </c>
      <c r="F772" s="32" t="s">
        <v>415</v>
      </c>
      <c r="G772" s="32" t="s">
        <v>50</v>
      </c>
      <c r="H772" s="33">
        <v>247390</v>
      </c>
      <c r="I772" s="34">
        <f>Table3[[#This Row],[Volume, kg.]]/1000</f>
        <v>247.39</v>
      </c>
      <c r="J772" s="34">
        <v>0.18140000000000001</v>
      </c>
      <c r="K772" s="34">
        <f t="shared" si="24"/>
        <v>44876.546000000002</v>
      </c>
      <c r="L772" s="34">
        <v>3.11</v>
      </c>
      <c r="M772" s="34">
        <v>769251.5</v>
      </c>
      <c r="N772" s="34">
        <f t="shared" ref="N772:N835" si="25">L772/J772</f>
        <v>17.144432194046306</v>
      </c>
    </row>
    <row r="773" spans="1:14" x14ac:dyDescent="0.45">
      <c r="A773" s="30">
        <v>2023</v>
      </c>
      <c r="B773" s="30" t="s">
        <v>12</v>
      </c>
      <c r="C773" s="30" t="s">
        <v>46</v>
      </c>
      <c r="D773" s="30" t="s">
        <v>47</v>
      </c>
      <c r="E773" s="31" t="s">
        <v>142</v>
      </c>
      <c r="F773" s="32" t="s">
        <v>57</v>
      </c>
      <c r="G773" s="32" t="s">
        <v>50</v>
      </c>
      <c r="H773" s="33">
        <v>16640</v>
      </c>
      <c r="I773" s="34">
        <f>Table3[[#This Row],[Volume, kg.]]/1000</f>
        <v>16.64</v>
      </c>
      <c r="J773" s="34">
        <v>0.2054</v>
      </c>
      <c r="K773" s="34">
        <f t="shared" si="24"/>
        <v>3417.8559999999998</v>
      </c>
      <c r="L773" s="34">
        <v>3.29</v>
      </c>
      <c r="M773" s="34">
        <v>54718.5</v>
      </c>
      <c r="N773" s="34">
        <f t="shared" si="25"/>
        <v>16.01752677702045</v>
      </c>
    </row>
    <row r="774" spans="1:14" x14ac:dyDescent="0.45">
      <c r="A774" s="30">
        <v>2023</v>
      </c>
      <c r="B774" s="30" t="s">
        <v>12</v>
      </c>
      <c r="C774" s="30" t="s">
        <v>46</v>
      </c>
      <c r="D774" s="30" t="s">
        <v>47</v>
      </c>
      <c r="E774" s="31" t="s">
        <v>143</v>
      </c>
      <c r="F774" s="32" t="s">
        <v>49</v>
      </c>
      <c r="G774" s="32" t="s">
        <v>50</v>
      </c>
      <c r="H774" s="33">
        <v>28070</v>
      </c>
      <c r="I774" s="34">
        <f>Table3[[#This Row],[Volume, kg.]]/1000</f>
        <v>28.07</v>
      </c>
      <c r="J774" s="34">
        <v>0.23319999999999999</v>
      </c>
      <c r="K774" s="34">
        <f t="shared" si="24"/>
        <v>6545.924</v>
      </c>
      <c r="L774" s="34">
        <v>3.13</v>
      </c>
      <c r="M774" s="34">
        <v>87839.5</v>
      </c>
      <c r="N774" s="34">
        <f t="shared" si="25"/>
        <v>13.421955403087479</v>
      </c>
    </row>
    <row r="775" spans="1:14" x14ac:dyDescent="0.45">
      <c r="A775" s="30">
        <v>2023</v>
      </c>
      <c r="B775" s="30" t="s">
        <v>12</v>
      </c>
      <c r="C775" s="30" t="s">
        <v>46</v>
      </c>
      <c r="D775" s="30" t="s">
        <v>47</v>
      </c>
      <c r="E775" s="31" t="s">
        <v>144</v>
      </c>
      <c r="F775" s="32" t="s">
        <v>49</v>
      </c>
      <c r="G775" s="32" t="s">
        <v>50</v>
      </c>
      <c r="H775" s="33">
        <v>61460</v>
      </c>
      <c r="I775" s="34">
        <f>Table3[[#This Row],[Volume, kg.]]/1000</f>
        <v>61.46</v>
      </c>
      <c r="J775" s="34">
        <v>0.2029</v>
      </c>
      <c r="K775" s="34">
        <f t="shared" si="24"/>
        <v>12470.234</v>
      </c>
      <c r="L775" s="34">
        <v>3.3</v>
      </c>
      <c r="M775" s="34">
        <v>202820.5</v>
      </c>
      <c r="N775" s="34">
        <f t="shared" si="25"/>
        <v>16.26416954164613</v>
      </c>
    </row>
    <row r="776" spans="1:14" x14ac:dyDescent="0.45">
      <c r="A776" s="30">
        <v>2023</v>
      </c>
      <c r="B776" s="30" t="s">
        <v>12</v>
      </c>
      <c r="C776" s="30" t="s">
        <v>46</v>
      </c>
      <c r="D776" s="30" t="s">
        <v>47</v>
      </c>
      <c r="E776" s="31" t="s">
        <v>289</v>
      </c>
      <c r="F776" s="32" t="s">
        <v>238</v>
      </c>
      <c r="G776" s="32" t="s">
        <v>50</v>
      </c>
      <c r="H776" s="33">
        <v>14160</v>
      </c>
      <c r="I776" s="34">
        <f>Table3[[#This Row],[Volume, kg.]]/1000</f>
        <v>14.16</v>
      </c>
      <c r="J776" s="34">
        <v>0.1865</v>
      </c>
      <c r="K776" s="34">
        <f t="shared" si="24"/>
        <v>2640.84</v>
      </c>
      <c r="L776" s="34">
        <v>3.35</v>
      </c>
      <c r="M776" s="34">
        <v>47436</v>
      </c>
      <c r="N776" s="34">
        <f t="shared" si="25"/>
        <v>17.962466487935657</v>
      </c>
    </row>
    <row r="777" spans="1:14" x14ac:dyDescent="0.45">
      <c r="A777" s="30">
        <v>2023</v>
      </c>
      <c r="B777" s="30" t="s">
        <v>12</v>
      </c>
      <c r="C777" s="30" t="s">
        <v>46</v>
      </c>
      <c r="D777" s="30" t="s">
        <v>47</v>
      </c>
      <c r="E777" s="31" t="s">
        <v>146</v>
      </c>
      <c r="F777" s="32" t="s">
        <v>64</v>
      </c>
      <c r="G777" s="32" t="s">
        <v>50</v>
      </c>
      <c r="H777" s="33">
        <v>12560</v>
      </c>
      <c r="I777" s="34">
        <f>Table3[[#This Row],[Volume, kg.]]/1000</f>
        <v>12.56</v>
      </c>
      <c r="J777" s="34">
        <v>0.217</v>
      </c>
      <c r="K777" s="34">
        <f t="shared" si="24"/>
        <v>2725.52</v>
      </c>
      <c r="L777" s="34">
        <v>3.5</v>
      </c>
      <c r="M777" s="34">
        <v>43960</v>
      </c>
      <c r="N777" s="34">
        <f t="shared" si="25"/>
        <v>16.129032258064516</v>
      </c>
    </row>
    <row r="778" spans="1:14" x14ac:dyDescent="0.45">
      <c r="A778" s="30">
        <v>2023</v>
      </c>
      <c r="B778" s="30" t="s">
        <v>12</v>
      </c>
      <c r="C778" s="30" t="s">
        <v>46</v>
      </c>
      <c r="D778" s="30" t="s">
        <v>47</v>
      </c>
      <c r="E778" s="31" t="s">
        <v>147</v>
      </c>
      <c r="F778" s="32" t="s">
        <v>57</v>
      </c>
      <c r="G778" s="32" t="s">
        <v>50</v>
      </c>
      <c r="H778" s="33">
        <v>29560</v>
      </c>
      <c r="I778" s="34">
        <f>Table3[[#This Row],[Volume, kg.]]/1000</f>
        <v>29.56</v>
      </c>
      <c r="J778" s="34">
        <v>0.1865</v>
      </c>
      <c r="K778" s="34">
        <f t="shared" si="24"/>
        <v>5512.94</v>
      </c>
      <c r="L778" s="34">
        <v>3.01</v>
      </c>
      <c r="M778" s="34">
        <v>88836.5</v>
      </c>
      <c r="N778" s="34">
        <f t="shared" si="25"/>
        <v>16.139410187667558</v>
      </c>
    </row>
    <row r="779" spans="1:14" x14ac:dyDescent="0.45">
      <c r="A779" s="30">
        <v>2023</v>
      </c>
      <c r="B779" s="30" t="s">
        <v>12</v>
      </c>
      <c r="C779" s="30" t="s">
        <v>46</v>
      </c>
      <c r="D779" s="30" t="s">
        <v>102</v>
      </c>
      <c r="E779" s="31" t="s">
        <v>437</v>
      </c>
      <c r="F779" s="32" t="s">
        <v>49</v>
      </c>
      <c r="G779" s="32" t="s">
        <v>50</v>
      </c>
      <c r="H779" s="33">
        <v>2251570</v>
      </c>
      <c r="I779" s="34">
        <f>Table3[[#This Row],[Volume, kg.]]/1000</f>
        <v>2251.5700000000002</v>
      </c>
      <c r="J779" s="34">
        <v>0.192</v>
      </c>
      <c r="K779" s="34">
        <f t="shared" si="24"/>
        <v>432301.44</v>
      </c>
      <c r="L779" s="34">
        <v>3.15</v>
      </c>
      <c r="M779" s="34">
        <v>7097386.5</v>
      </c>
      <c r="N779" s="34">
        <f t="shared" si="25"/>
        <v>16.40625</v>
      </c>
    </row>
    <row r="780" spans="1:14" x14ac:dyDescent="0.45">
      <c r="A780" s="30">
        <v>2023</v>
      </c>
      <c r="B780" s="30" t="s">
        <v>12</v>
      </c>
      <c r="C780" s="30" t="s">
        <v>46</v>
      </c>
      <c r="D780" s="30" t="s">
        <v>47</v>
      </c>
      <c r="E780" s="31" t="s">
        <v>148</v>
      </c>
      <c r="F780" s="32" t="s">
        <v>49</v>
      </c>
      <c r="G780" s="32" t="s">
        <v>50</v>
      </c>
      <c r="H780" s="33">
        <v>1790</v>
      </c>
      <c r="I780" s="34">
        <f>Table3[[#This Row],[Volume, kg.]]/1000</f>
        <v>1.79</v>
      </c>
      <c r="J780" s="34">
        <v>0.16399999999999998</v>
      </c>
      <c r="K780" s="34">
        <f t="shared" si="24"/>
        <v>293.55999999999995</v>
      </c>
      <c r="L780" s="34">
        <v>3.15</v>
      </c>
      <c r="M780" s="34">
        <v>5638.5</v>
      </c>
      <c r="N780" s="34">
        <f t="shared" si="25"/>
        <v>19.207317073170735</v>
      </c>
    </row>
    <row r="781" spans="1:14" x14ac:dyDescent="0.45">
      <c r="A781" s="30">
        <v>2023</v>
      </c>
      <c r="B781" s="30" t="s">
        <v>12</v>
      </c>
      <c r="C781" s="30" t="s">
        <v>46</v>
      </c>
      <c r="D781" s="30" t="s">
        <v>47</v>
      </c>
      <c r="E781" s="31" t="s">
        <v>149</v>
      </c>
      <c r="F781" s="32" t="s">
        <v>49</v>
      </c>
      <c r="G781" s="32" t="s">
        <v>50</v>
      </c>
      <c r="H781" s="33">
        <v>20280</v>
      </c>
      <c r="I781" s="34">
        <f>Table3[[#This Row],[Volume, kg.]]/1000</f>
        <v>20.28</v>
      </c>
      <c r="J781" s="34">
        <v>0.19699999999999998</v>
      </c>
      <c r="K781" s="34">
        <f t="shared" si="24"/>
        <v>3995.1599999999994</v>
      </c>
      <c r="L781" s="34">
        <v>3.06</v>
      </c>
      <c r="M781" s="34">
        <v>62118.5</v>
      </c>
      <c r="N781" s="34">
        <f t="shared" si="25"/>
        <v>15.532994923857871</v>
      </c>
    </row>
    <row r="782" spans="1:14" x14ac:dyDescent="0.45">
      <c r="A782" s="30">
        <v>2023</v>
      </c>
      <c r="B782" s="30" t="s">
        <v>12</v>
      </c>
      <c r="C782" s="30" t="s">
        <v>46</v>
      </c>
      <c r="D782" s="30" t="s">
        <v>47</v>
      </c>
      <c r="E782" s="31" t="s">
        <v>150</v>
      </c>
      <c r="F782" s="32" t="s">
        <v>49</v>
      </c>
      <c r="G782" s="32" t="s">
        <v>50</v>
      </c>
      <c r="H782" s="33">
        <v>14880</v>
      </c>
      <c r="I782" s="34">
        <f>Table3[[#This Row],[Volume, kg.]]/1000</f>
        <v>14.88</v>
      </c>
      <c r="J782" s="34">
        <v>0.19760000000000003</v>
      </c>
      <c r="K782" s="34">
        <f t="shared" si="24"/>
        <v>2940.2880000000005</v>
      </c>
      <c r="L782" s="34">
        <v>3.17</v>
      </c>
      <c r="M782" s="34">
        <v>47232.5</v>
      </c>
      <c r="N782" s="34">
        <f t="shared" si="25"/>
        <v>16.042510121457486</v>
      </c>
    </row>
    <row r="783" spans="1:14" x14ac:dyDescent="0.45">
      <c r="A783" s="30">
        <v>2023</v>
      </c>
      <c r="B783" s="30" t="s">
        <v>12</v>
      </c>
      <c r="C783" s="30" t="s">
        <v>46</v>
      </c>
      <c r="D783" s="30" t="s">
        <v>47</v>
      </c>
      <c r="E783" s="31" t="s">
        <v>151</v>
      </c>
      <c r="F783" s="32" t="s">
        <v>60</v>
      </c>
      <c r="G783" s="32" t="s">
        <v>50</v>
      </c>
      <c r="H783" s="33">
        <v>9650</v>
      </c>
      <c r="I783" s="34">
        <f>Table3[[#This Row],[Volume, kg.]]/1000</f>
        <v>9.65</v>
      </c>
      <c r="J783" s="34">
        <v>0.2177</v>
      </c>
      <c r="K783" s="34">
        <f t="shared" si="24"/>
        <v>2100.8049999999998</v>
      </c>
      <c r="L783" s="34">
        <v>3.34</v>
      </c>
      <c r="M783" s="34">
        <v>32269</v>
      </c>
      <c r="N783" s="34">
        <f t="shared" si="25"/>
        <v>15.342214056040422</v>
      </c>
    </row>
    <row r="784" spans="1:14" x14ac:dyDescent="0.45">
      <c r="A784" s="30">
        <v>2023</v>
      </c>
      <c r="B784" s="30" t="s">
        <v>12</v>
      </c>
      <c r="C784" s="30" t="s">
        <v>46</v>
      </c>
      <c r="D784" s="30" t="s">
        <v>47</v>
      </c>
      <c r="E784" s="31" t="s">
        <v>352</v>
      </c>
      <c r="F784" s="32" t="s">
        <v>54</v>
      </c>
      <c r="G784" s="32" t="s">
        <v>50</v>
      </c>
      <c r="H784" s="33">
        <v>31020</v>
      </c>
      <c r="I784" s="34">
        <f>Table3[[#This Row],[Volume, kg.]]/1000</f>
        <v>31.02</v>
      </c>
      <c r="J784" s="34">
        <v>0.1953</v>
      </c>
      <c r="K784" s="34">
        <f t="shared" si="24"/>
        <v>6058.2060000000001</v>
      </c>
      <c r="L784" s="34">
        <v>2.78</v>
      </c>
      <c r="M784" s="34">
        <v>86390</v>
      </c>
      <c r="N784" s="34">
        <f t="shared" si="25"/>
        <v>14.234511008704557</v>
      </c>
    </row>
    <row r="785" spans="1:14" x14ac:dyDescent="0.45">
      <c r="A785" s="30">
        <v>2023</v>
      </c>
      <c r="B785" s="30" t="s">
        <v>12</v>
      </c>
      <c r="C785" s="30" t="s">
        <v>46</v>
      </c>
      <c r="D785" s="30" t="s">
        <v>47</v>
      </c>
      <c r="E785" s="31" t="s">
        <v>438</v>
      </c>
      <c r="F785" s="32" t="s">
        <v>57</v>
      </c>
      <c r="G785" s="32" t="s">
        <v>50</v>
      </c>
      <c r="H785" s="33">
        <v>80950</v>
      </c>
      <c r="I785" s="34">
        <f>Table3[[#This Row],[Volume, kg.]]/1000</f>
        <v>80.95</v>
      </c>
      <c r="J785" s="34">
        <v>0.2072</v>
      </c>
      <c r="K785" s="34">
        <f t="shared" si="24"/>
        <v>16772.84</v>
      </c>
      <c r="L785" s="34">
        <v>3.21</v>
      </c>
      <c r="M785" s="34">
        <v>259692</v>
      </c>
      <c r="N785" s="34">
        <f t="shared" si="25"/>
        <v>15.492277992277993</v>
      </c>
    </row>
    <row r="786" spans="1:14" x14ac:dyDescent="0.45">
      <c r="A786" s="30">
        <v>2023</v>
      </c>
      <c r="B786" s="30" t="s">
        <v>12</v>
      </c>
      <c r="C786" s="30" t="s">
        <v>46</v>
      </c>
      <c r="D786" s="30" t="s">
        <v>47</v>
      </c>
      <c r="E786" s="31" t="s">
        <v>153</v>
      </c>
      <c r="F786" s="32" t="s">
        <v>57</v>
      </c>
      <c r="G786" s="32" t="s">
        <v>50</v>
      </c>
      <c r="H786" s="33">
        <v>20560</v>
      </c>
      <c r="I786" s="34">
        <f>Table3[[#This Row],[Volume, kg.]]/1000</f>
        <v>20.56</v>
      </c>
      <c r="J786" s="34">
        <v>0.19670000000000001</v>
      </c>
      <c r="K786" s="34">
        <f t="shared" si="24"/>
        <v>4044.1520000000005</v>
      </c>
      <c r="L786" s="34">
        <v>2.82</v>
      </c>
      <c r="M786" s="34">
        <v>57904</v>
      </c>
      <c r="N786" s="34">
        <f t="shared" si="25"/>
        <v>14.336553126588711</v>
      </c>
    </row>
    <row r="787" spans="1:14" x14ac:dyDescent="0.45">
      <c r="A787" s="30">
        <v>2023</v>
      </c>
      <c r="B787" s="30" t="s">
        <v>12</v>
      </c>
      <c r="C787" s="30" t="s">
        <v>46</v>
      </c>
      <c r="D787" s="30" t="s">
        <v>47</v>
      </c>
      <c r="E787" s="31" t="s">
        <v>154</v>
      </c>
      <c r="F787" s="32" t="s">
        <v>60</v>
      </c>
      <c r="G787" s="32" t="s">
        <v>50</v>
      </c>
      <c r="H787" s="33">
        <v>4340</v>
      </c>
      <c r="I787" s="34">
        <f>Table3[[#This Row],[Volume, kg.]]/1000</f>
        <v>4.34</v>
      </c>
      <c r="J787" s="34">
        <v>0.156</v>
      </c>
      <c r="K787" s="34">
        <f t="shared" si="24"/>
        <v>677.04</v>
      </c>
      <c r="L787" s="34">
        <v>2.9</v>
      </c>
      <c r="M787" s="34">
        <v>12586</v>
      </c>
      <c r="N787" s="34">
        <f t="shared" si="25"/>
        <v>18.589743589743588</v>
      </c>
    </row>
    <row r="788" spans="1:14" x14ac:dyDescent="0.45">
      <c r="A788" s="30">
        <v>2023</v>
      </c>
      <c r="B788" s="30" t="s">
        <v>12</v>
      </c>
      <c r="C788" s="30" t="s">
        <v>46</v>
      </c>
      <c r="D788" s="30" t="s">
        <v>47</v>
      </c>
      <c r="E788" s="31" t="s">
        <v>439</v>
      </c>
      <c r="F788" s="32" t="s">
        <v>64</v>
      </c>
      <c r="G788" s="32" t="s">
        <v>50</v>
      </c>
      <c r="H788" s="33">
        <v>28490</v>
      </c>
      <c r="I788" s="34">
        <f>Table3[[#This Row],[Volume, kg.]]/1000</f>
        <v>28.49</v>
      </c>
      <c r="J788" s="34">
        <v>0.22519999999999998</v>
      </c>
      <c r="K788" s="34">
        <f t="shared" si="24"/>
        <v>6415.9479999999994</v>
      </c>
      <c r="L788" s="34">
        <v>3.28</v>
      </c>
      <c r="M788" s="34">
        <v>93335</v>
      </c>
      <c r="N788" s="34">
        <f t="shared" si="25"/>
        <v>14.564831261101244</v>
      </c>
    </row>
    <row r="789" spans="1:14" x14ac:dyDescent="0.45">
      <c r="A789" s="30">
        <v>2023</v>
      </c>
      <c r="B789" s="30" t="s">
        <v>12</v>
      </c>
      <c r="C789" s="30" t="s">
        <v>46</v>
      </c>
      <c r="D789" s="30" t="s">
        <v>47</v>
      </c>
      <c r="E789" s="31" t="s">
        <v>155</v>
      </c>
      <c r="F789" s="32" t="s">
        <v>64</v>
      </c>
      <c r="G789" s="32" t="s">
        <v>50</v>
      </c>
      <c r="H789" s="33">
        <v>225470</v>
      </c>
      <c r="I789" s="34">
        <f>Table3[[#This Row],[Volume, kg.]]/1000</f>
        <v>225.47</v>
      </c>
      <c r="J789" s="34">
        <v>0.2029</v>
      </c>
      <c r="K789" s="34">
        <f t="shared" si="24"/>
        <v>45747.862999999998</v>
      </c>
      <c r="L789" s="34">
        <v>3.28</v>
      </c>
      <c r="M789" s="34">
        <v>739458.5</v>
      </c>
      <c r="N789" s="34">
        <f t="shared" si="25"/>
        <v>16.165598817151306</v>
      </c>
    </row>
    <row r="790" spans="1:14" x14ac:dyDescent="0.45">
      <c r="A790" s="30">
        <v>2023</v>
      </c>
      <c r="B790" s="30" t="s">
        <v>12</v>
      </c>
      <c r="C790" s="30" t="s">
        <v>46</v>
      </c>
      <c r="D790" s="30" t="s">
        <v>47</v>
      </c>
      <c r="E790" s="31" t="s">
        <v>293</v>
      </c>
      <c r="F790" s="32" t="s">
        <v>60</v>
      </c>
      <c r="G790" s="32" t="s">
        <v>50</v>
      </c>
      <c r="H790" s="33">
        <v>7810</v>
      </c>
      <c r="I790" s="34">
        <f>Table3[[#This Row],[Volume, kg.]]/1000</f>
        <v>7.81</v>
      </c>
      <c r="J790" s="34">
        <v>0.22170000000000001</v>
      </c>
      <c r="K790" s="34">
        <f t="shared" si="24"/>
        <v>1731.4770000000001</v>
      </c>
      <c r="L790" s="34">
        <v>3.08</v>
      </c>
      <c r="M790" s="34">
        <v>24072.5</v>
      </c>
      <c r="N790" s="34">
        <f t="shared" si="25"/>
        <v>13.892647722147045</v>
      </c>
    </row>
    <row r="791" spans="1:14" x14ac:dyDescent="0.45">
      <c r="A791" s="30">
        <v>2023</v>
      </c>
      <c r="B791" s="30" t="s">
        <v>12</v>
      </c>
      <c r="C791" s="30" t="s">
        <v>46</v>
      </c>
      <c r="D791" s="30" t="s">
        <v>47</v>
      </c>
      <c r="E791" s="31" t="s">
        <v>294</v>
      </c>
      <c r="F791" s="32" t="s">
        <v>81</v>
      </c>
      <c r="G791" s="32" t="s">
        <v>50</v>
      </c>
      <c r="H791" s="33">
        <v>11500</v>
      </c>
      <c r="I791" s="34">
        <f>Table3[[#This Row],[Volume, kg.]]/1000</f>
        <v>11.5</v>
      </c>
      <c r="J791" s="34">
        <v>0.16589999999999999</v>
      </c>
      <c r="K791" s="34">
        <f t="shared" si="24"/>
        <v>1907.85</v>
      </c>
      <c r="L791" s="34">
        <v>2.68</v>
      </c>
      <c r="M791" s="34">
        <v>30829.5</v>
      </c>
      <c r="N791" s="34">
        <f t="shared" si="25"/>
        <v>16.154309825195902</v>
      </c>
    </row>
    <row r="792" spans="1:14" x14ac:dyDescent="0.45">
      <c r="A792" s="30">
        <v>2023</v>
      </c>
      <c r="B792" s="30" t="s">
        <v>12</v>
      </c>
      <c r="C792" s="30" t="s">
        <v>46</v>
      </c>
      <c r="D792" s="30" t="s">
        <v>102</v>
      </c>
      <c r="E792" s="31" t="s">
        <v>295</v>
      </c>
      <c r="F792" s="32" t="s">
        <v>127</v>
      </c>
      <c r="G792" s="32" t="s">
        <v>128</v>
      </c>
      <c r="H792" s="33">
        <v>16420</v>
      </c>
      <c r="I792" s="34">
        <f>Table3[[#This Row],[Volume, kg.]]/1000</f>
        <v>16.420000000000002</v>
      </c>
      <c r="J792" s="34">
        <v>0.1825</v>
      </c>
      <c r="K792" s="34">
        <f t="shared" si="24"/>
        <v>2996.65</v>
      </c>
      <c r="L792" s="34">
        <v>3.02</v>
      </c>
      <c r="M792" s="34">
        <v>49542</v>
      </c>
      <c r="N792" s="34">
        <f t="shared" si="25"/>
        <v>16.547945205479454</v>
      </c>
    </row>
    <row r="793" spans="1:14" x14ac:dyDescent="0.45">
      <c r="A793" s="30">
        <v>2023</v>
      </c>
      <c r="B793" s="30" t="s">
        <v>12</v>
      </c>
      <c r="C793" s="30" t="s">
        <v>46</v>
      </c>
      <c r="D793" s="30" t="s">
        <v>47</v>
      </c>
      <c r="E793" s="31" t="s">
        <v>296</v>
      </c>
      <c r="F793" s="32" t="s">
        <v>60</v>
      </c>
      <c r="G793" s="32" t="s">
        <v>50</v>
      </c>
      <c r="H793" s="33">
        <v>14580</v>
      </c>
      <c r="I793" s="34">
        <f>Table3[[#This Row],[Volume, kg.]]/1000</f>
        <v>14.58</v>
      </c>
      <c r="J793" s="34">
        <v>0.22949999999999998</v>
      </c>
      <c r="K793" s="34">
        <f t="shared" si="24"/>
        <v>3346.1099999999997</v>
      </c>
      <c r="L793" s="34">
        <v>3.4</v>
      </c>
      <c r="M793" s="34">
        <v>49554.5</v>
      </c>
      <c r="N793" s="34">
        <f t="shared" si="25"/>
        <v>14.814814814814815</v>
      </c>
    </row>
    <row r="794" spans="1:14" x14ac:dyDescent="0.45">
      <c r="A794" s="30">
        <v>2023</v>
      </c>
      <c r="B794" s="30" t="s">
        <v>12</v>
      </c>
      <c r="C794" s="30" t="s">
        <v>46</v>
      </c>
      <c r="D794" s="30" t="s">
        <v>102</v>
      </c>
      <c r="E794" s="31" t="s">
        <v>157</v>
      </c>
      <c r="F794" s="32" t="s">
        <v>127</v>
      </c>
      <c r="G794" s="32" t="s">
        <v>128</v>
      </c>
      <c r="H794" s="33">
        <v>643590</v>
      </c>
      <c r="I794" s="34">
        <f>Table3[[#This Row],[Volume, kg.]]/1000</f>
        <v>643.59</v>
      </c>
      <c r="J794" s="34">
        <v>0.20749999999999999</v>
      </c>
      <c r="K794" s="34">
        <f t="shared" si="24"/>
        <v>133544.92499999999</v>
      </c>
      <c r="L794" s="34">
        <v>3.19</v>
      </c>
      <c r="M794" s="34">
        <v>2050312.5</v>
      </c>
      <c r="N794" s="34">
        <f t="shared" si="25"/>
        <v>15.373493975903616</v>
      </c>
    </row>
    <row r="795" spans="1:14" x14ac:dyDescent="0.45">
      <c r="A795" s="30">
        <v>2023</v>
      </c>
      <c r="B795" s="30" t="s">
        <v>12</v>
      </c>
      <c r="C795" s="30" t="s">
        <v>46</v>
      </c>
      <c r="D795" s="30" t="s">
        <v>47</v>
      </c>
      <c r="E795" s="31" t="s">
        <v>440</v>
      </c>
      <c r="F795" s="32" t="s">
        <v>57</v>
      </c>
      <c r="G795" s="32" t="s">
        <v>50</v>
      </c>
      <c r="H795" s="33">
        <v>9910</v>
      </c>
      <c r="I795" s="34">
        <f>Table3[[#This Row],[Volume, kg.]]/1000</f>
        <v>9.91</v>
      </c>
      <c r="J795" s="34">
        <v>0.19350000000000001</v>
      </c>
      <c r="K795" s="34">
        <f t="shared" si="24"/>
        <v>1917.585</v>
      </c>
      <c r="L795" s="34">
        <v>3.09</v>
      </c>
      <c r="M795" s="34">
        <v>30656.5</v>
      </c>
      <c r="N795" s="34">
        <f t="shared" si="25"/>
        <v>15.968992248062014</v>
      </c>
    </row>
    <row r="796" spans="1:14" x14ac:dyDescent="0.45">
      <c r="A796" s="30">
        <v>2023</v>
      </c>
      <c r="B796" s="30" t="s">
        <v>12</v>
      </c>
      <c r="C796" s="30" t="s">
        <v>46</v>
      </c>
      <c r="D796" s="30" t="s">
        <v>47</v>
      </c>
      <c r="E796" s="31" t="s">
        <v>159</v>
      </c>
      <c r="F796" s="32" t="s">
        <v>81</v>
      </c>
      <c r="G796" s="32" t="s">
        <v>50</v>
      </c>
      <c r="H796" s="33">
        <v>9250</v>
      </c>
      <c r="I796" s="34">
        <f>Table3[[#This Row],[Volume, kg.]]/1000</f>
        <v>9.25</v>
      </c>
      <c r="J796" s="34">
        <v>0.20949999999999999</v>
      </c>
      <c r="K796" s="34">
        <f t="shared" si="24"/>
        <v>1937.875</v>
      </c>
      <c r="L796" s="34">
        <v>3.45</v>
      </c>
      <c r="M796" s="34">
        <v>31912.5</v>
      </c>
      <c r="N796" s="34">
        <f t="shared" si="25"/>
        <v>16.467780429594274</v>
      </c>
    </row>
    <row r="797" spans="1:14" x14ac:dyDescent="0.45">
      <c r="A797" s="30">
        <v>2023</v>
      </c>
      <c r="B797" s="30" t="s">
        <v>12</v>
      </c>
      <c r="C797" s="30" t="s">
        <v>46</v>
      </c>
      <c r="D797" s="30" t="s">
        <v>47</v>
      </c>
      <c r="E797" s="31" t="s">
        <v>163</v>
      </c>
      <c r="F797" s="32" t="s">
        <v>60</v>
      </c>
      <c r="G797" s="32" t="s">
        <v>50</v>
      </c>
      <c r="H797" s="33">
        <v>12370</v>
      </c>
      <c r="I797" s="34">
        <f>Table3[[#This Row],[Volume, kg.]]/1000</f>
        <v>12.37</v>
      </c>
      <c r="J797" s="34">
        <v>0.21340000000000001</v>
      </c>
      <c r="K797" s="34">
        <f t="shared" si="24"/>
        <v>2639.7580000000003</v>
      </c>
      <c r="L797" s="34">
        <v>3.08</v>
      </c>
      <c r="M797" s="34">
        <v>38080</v>
      </c>
      <c r="N797" s="34">
        <f t="shared" si="25"/>
        <v>14.43298969072165</v>
      </c>
    </row>
    <row r="798" spans="1:14" x14ac:dyDescent="0.45">
      <c r="A798" s="30">
        <v>2023</v>
      </c>
      <c r="B798" s="30" t="s">
        <v>12</v>
      </c>
      <c r="C798" s="30" t="s">
        <v>46</v>
      </c>
      <c r="D798" s="30" t="s">
        <v>47</v>
      </c>
      <c r="E798" s="31" t="s">
        <v>164</v>
      </c>
      <c r="F798" s="32" t="s">
        <v>49</v>
      </c>
      <c r="G798" s="32" t="s">
        <v>50</v>
      </c>
      <c r="H798" s="33">
        <v>36400</v>
      </c>
      <c r="I798" s="34">
        <f>Table3[[#This Row],[Volume, kg.]]/1000</f>
        <v>36.4</v>
      </c>
      <c r="J798" s="34">
        <v>0.20660000000000001</v>
      </c>
      <c r="K798" s="34">
        <f t="shared" si="24"/>
        <v>7520.24</v>
      </c>
      <c r="L798" s="34">
        <v>3.03</v>
      </c>
      <c r="M798" s="34">
        <v>110371</v>
      </c>
      <c r="N798" s="34">
        <f t="shared" si="25"/>
        <v>14.666021297192641</v>
      </c>
    </row>
    <row r="799" spans="1:14" x14ac:dyDescent="0.45">
      <c r="A799" s="30">
        <v>2023</v>
      </c>
      <c r="B799" s="30" t="s">
        <v>12</v>
      </c>
      <c r="C799" s="30" t="s">
        <v>46</v>
      </c>
      <c r="D799" s="30" t="s">
        <v>47</v>
      </c>
      <c r="E799" s="31" t="s">
        <v>165</v>
      </c>
      <c r="F799" s="32" t="s">
        <v>57</v>
      </c>
      <c r="G799" s="32" t="s">
        <v>50</v>
      </c>
      <c r="H799" s="33">
        <v>4650</v>
      </c>
      <c r="I799" s="34">
        <f>Table3[[#This Row],[Volume, kg.]]/1000</f>
        <v>4.6500000000000004</v>
      </c>
      <c r="J799" s="34">
        <v>0.17350000000000002</v>
      </c>
      <c r="K799" s="34">
        <f t="shared" si="24"/>
        <v>806.77500000000009</v>
      </c>
      <c r="L799" s="34">
        <v>2.85</v>
      </c>
      <c r="M799" s="34">
        <v>13252.5</v>
      </c>
      <c r="N799" s="34">
        <f t="shared" si="25"/>
        <v>16.426512968299711</v>
      </c>
    </row>
    <row r="800" spans="1:14" x14ac:dyDescent="0.45">
      <c r="A800" s="30">
        <v>2023</v>
      </c>
      <c r="B800" s="30" t="s">
        <v>12</v>
      </c>
      <c r="C800" s="30" t="s">
        <v>46</v>
      </c>
      <c r="D800" s="30" t="s">
        <v>47</v>
      </c>
      <c r="E800" s="31" t="s">
        <v>166</v>
      </c>
      <c r="F800" s="32" t="s">
        <v>49</v>
      </c>
      <c r="G800" s="32" t="s">
        <v>50</v>
      </c>
      <c r="H800" s="33">
        <v>41120</v>
      </c>
      <c r="I800" s="34">
        <f>Table3[[#This Row],[Volume, kg.]]/1000</f>
        <v>41.12</v>
      </c>
      <c r="J800" s="34">
        <v>0.19260000000000002</v>
      </c>
      <c r="K800" s="34">
        <f t="shared" si="24"/>
        <v>7919.7120000000004</v>
      </c>
      <c r="L800" s="34">
        <v>2.94</v>
      </c>
      <c r="M800" s="34">
        <v>120782</v>
      </c>
      <c r="N800" s="34">
        <f t="shared" si="25"/>
        <v>15.26479750778816</v>
      </c>
    </row>
    <row r="801" spans="1:14" x14ac:dyDescent="0.45">
      <c r="A801" s="30">
        <v>2023</v>
      </c>
      <c r="B801" s="30" t="s">
        <v>12</v>
      </c>
      <c r="C801" s="30" t="s">
        <v>46</v>
      </c>
      <c r="D801" s="30" t="s">
        <v>47</v>
      </c>
      <c r="E801" s="31" t="s">
        <v>167</v>
      </c>
      <c r="F801" s="32" t="s">
        <v>49</v>
      </c>
      <c r="G801" s="32" t="s">
        <v>50</v>
      </c>
      <c r="H801" s="33">
        <v>36640</v>
      </c>
      <c r="I801" s="34">
        <f>Table3[[#This Row],[Volume, kg.]]/1000</f>
        <v>36.64</v>
      </c>
      <c r="J801" s="34">
        <v>0.18629999999999999</v>
      </c>
      <c r="K801" s="34">
        <f t="shared" si="24"/>
        <v>6826.0320000000002</v>
      </c>
      <c r="L801" s="34">
        <v>2.95</v>
      </c>
      <c r="M801" s="34">
        <v>108155.5</v>
      </c>
      <c r="N801" s="34">
        <f t="shared" si="25"/>
        <v>15.834675254965111</v>
      </c>
    </row>
    <row r="802" spans="1:14" x14ac:dyDescent="0.45">
      <c r="A802" s="30">
        <v>2023</v>
      </c>
      <c r="B802" s="30" t="s">
        <v>12</v>
      </c>
      <c r="C802" s="30" t="s">
        <v>46</v>
      </c>
      <c r="D802" s="30" t="s">
        <v>47</v>
      </c>
      <c r="E802" s="31" t="s">
        <v>386</v>
      </c>
      <c r="F802" s="32" t="s">
        <v>49</v>
      </c>
      <c r="G802" s="32" t="s">
        <v>50</v>
      </c>
      <c r="H802" s="33">
        <v>70940</v>
      </c>
      <c r="I802" s="34">
        <f>Table3[[#This Row],[Volume, kg.]]/1000</f>
        <v>70.94</v>
      </c>
      <c r="J802" s="34">
        <v>0.23139999999999999</v>
      </c>
      <c r="K802" s="34">
        <f t="shared" si="24"/>
        <v>16415.516</v>
      </c>
      <c r="L802" s="34">
        <v>3.51</v>
      </c>
      <c r="M802" s="34">
        <v>248888</v>
      </c>
      <c r="N802" s="34">
        <f t="shared" si="25"/>
        <v>15.168539325842696</v>
      </c>
    </row>
    <row r="803" spans="1:14" x14ac:dyDescent="0.45">
      <c r="A803" s="30">
        <v>2023</v>
      </c>
      <c r="B803" s="30" t="s">
        <v>12</v>
      </c>
      <c r="C803" s="30" t="s">
        <v>46</v>
      </c>
      <c r="D803" s="30" t="s">
        <v>47</v>
      </c>
      <c r="E803" s="31" t="s">
        <v>169</v>
      </c>
      <c r="F803" s="32" t="s">
        <v>49</v>
      </c>
      <c r="G803" s="32" t="s">
        <v>50</v>
      </c>
      <c r="H803" s="33">
        <v>15870</v>
      </c>
      <c r="I803" s="34">
        <f>Table3[[#This Row],[Volume, kg.]]/1000</f>
        <v>15.87</v>
      </c>
      <c r="J803" s="34">
        <v>0.2175</v>
      </c>
      <c r="K803" s="34">
        <f t="shared" si="24"/>
        <v>3451.7249999999999</v>
      </c>
      <c r="L803" s="34">
        <v>3</v>
      </c>
      <c r="M803" s="34">
        <v>47610</v>
      </c>
      <c r="N803" s="34">
        <f t="shared" si="25"/>
        <v>13.793103448275863</v>
      </c>
    </row>
    <row r="804" spans="1:14" x14ac:dyDescent="0.45">
      <c r="A804" s="30">
        <v>2023</v>
      </c>
      <c r="B804" s="30" t="s">
        <v>12</v>
      </c>
      <c r="C804" s="30" t="s">
        <v>46</v>
      </c>
      <c r="D804" s="30" t="s">
        <v>47</v>
      </c>
      <c r="E804" s="31" t="s">
        <v>171</v>
      </c>
      <c r="F804" s="32" t="s">
        <v>49</v>
      </c>
      <c r="G804" s="32" t="s">
        <v>50</v>
      </c>
      <c r="H804" s="33">
        <v>11340</v>
      </c>
      <c r="I804" s="34">
        <f>Table3[[#This Row],[Volume, kg.]]/1000</f>
        <v>11.34</v>
      </c>
      <c r="J804" s="34">
        <v>0.18679999999999999</v>
      </c>
      <c r="K804" s="34">
        <f t="shared" si="24"/>
        <v>2118.3119999999999</v>
      </c>
      <c r="L804" s="34">
        <v>2.83</v>
      </c>
      <c r="M804" s="34">
        <v>32130.5</v>
      </c>
      <c r="N804" s="34">
        <f t="shared" si="25"/>
        <v>15.149892933618844</v>
      </c>
    </row>
    <row r="805" spans="1:14" x14ac:dyDescent="0.45">
      <c r="A805" s="30">
        <v>2023</v>
      </c>
      <c r="B805" s="30" t="s">
        <v>12</v>
      </c>
      <c r="C805" s="30" t="s">
        <v>46</v>
      </c>
      <c r="D805" s="30" t="s">
        <v>47</v>
      </c>
      <c r="E805" s="31" t="s">
        <v>172</v>
      </c>
      <c r="F805" s="32" t="s">
        <v>57</v>
      </c>
      <c r="G805" s="32" t="s">
        <v>50</v>
      </c>
      <c r="H805" s="33">
        <v>4470</v>
      </c>
      <c r="I805" s="34">
        <f>Table3[[#This Row],[Volume, kg.]]/1000</f>
        <v>4.47</v>
      </c>
      <c r="J805" s="34">
        <v>0.19649999999999998</v>
      </c>
      <c r="K805" s="34">
        <f t="shared" si="24"/>
        <v>878.3549999999999</v>
      </c>
      <c r="L805" s="34">
        <v>3</v>
      </c>
      <c r="M805" s="34">
        <v>13410</v>
      </c>
      <c r="N805" s="34">
        <f t="shared" si="25"/>
        <v>15.267175572519086</v>
      </c>
    </row>
    <row r="806" spans="1:14" x14ac:dyDescent="0.45">
      <c r="A806" s="30">
        <v>2023</v>
      </c>
      <c r="B806" s="30" t="s">
        <v>12</v>
      </c>
      <c r="C806" s="30" t="s">
        <v>46</v>
      </c>
      <c r="D806" s="30" t="s">
        <v>47</v>
      </c>
      <c r="E806" s="31" t="s">
        <v>177</v>
      </c>
      <c r="F806" s="32" t="s">
        <v>49</v>
      </c>
      <c r="G806" s="32" t="s">
        <v>50</v>
      </c>
      <c r="H806" s="33">
        <v>12830</v>
      </c>
      <c r="I806" s="34">
        <f>Table3[[#This Row],[Volume, kg.]]/1000</f>
        <v>12.83</v>
      </c>
      <c r="J806" s="34">
        <v>0.2384</v>
      </c>
      <c r="K806" s="34">
        <f t="shared" si="24"/>
        <v>3058.672</v>
      </c>
      <c r="L806" s="34">
        <v>3.54</v>
      </c>
      <c r="M806" s="34">
        <v>45365.5</v>
      </c>
      <c r="N806" s="34">
        <f t="shared" si="25"/>
        <v>14.848993288590604</v>
      </c>
    </row>
    <row r="807" spans="1:14" x14ac:dyDescent="0.45">
      <c r="A807" s="30">
        <v>2023</v>
      </c>
      <c r="B807" s="30" t="s">
        <v>12</v>
      </c>
      <c r="C807" s="30" t="s">
        <v>46</v>
      </c>
      <c r="D807" s="30" t="s">
        <v>47</v>
      </c>
      <c r="E807" s="31" t="s">
        <v>178</v>
      </c>
      <c r="F807" s="32" t="s">
        <v>49</v>
      </c>
      <c r="G807" s="32" t="s">
        <v>50</v>
      </c>
      <c r="H807" s="33">
        <v>5340</v>
      </c>
      <c r="I807" s="34">
        <f>Table3[[#This Row],[Volume, kg.]]/1000</f>
        <v>5.34</v>
      </c>
      <c r="J807" s="34">
        <v>0.1845</v>
      </c>
      <c r="K807" s="34">
        <f t="shared" si="24"/>
        <v>985.23</v>
      </c>
      <c r="L807" s="34">
        <v>2.8</v>
      </c>
      <c r="M807" s="34">
        <v>14952</v>
      </c>
      <c r="N807" s="34">
        <f t="shared" si="25"/>
        <v>15.176151761517614</v>
      </c>
    </row>
    <row r="808" spans="1:14" x14ac:dyDescent="0.45">
      <c r="A808" s="30">
        <v>2023</v>
      </c>
      <c r="B808" s="30" t="s">
        <v>12</v>
      </c>
      <c r="C808" s="30" t="s">
        <v>46</v>
      </c>
      <c r="D808" s="30" t="s">
        <v>47</v>
      </c>
      <c r="E808" s="31" t="s">
        <v>298</v>
      </c>
      <c r="F808" s="32" t="s">
        <v>49</v>
      </c>
      <c r="G808" s="32" t="s">
        <v>50</v>
      </c>
      <c r="H808" s="33">
        <v>4440</v>
      </c>
      <c r="I808" s="34">
        <f>Table3[[#This Row],[Volume, kg.]]/1000</f>
        <v>4.4400000000000004</v>
      </c>
      <c r="J808" s="34">
        <v>0.19500000000000001</v>
      </c>
      <c r="K808" s="34">
        <f t="shared" si="24"/>
        <v>865.80000000000007</v>
      </c>
      <c r="L808" s="34">
        <v>2.8</v>
      </c>
      <c r="M808" s="34">
        <v>12432</v>
      </c>
      <c r="N808" s="34">
        <f t="shared" si="25"/>
        <v>14.358974358974358</v>
      </c>
    </row>
    <row r="809" spans="1:14" x14ac:dyDescent="0.45">
      <c r="A809" s="30">
        <v>2023</v>
      </c>
      <c r="B809" s="30" t="s">
        <v>12</v>
      </c>
      <c r="C809" s="30" t="s">
        <v>46</v>
      </c>
      <c r="D809" s="30" t="s">
        <v>47</v>
      </c>
      <c r="E809" s="31" t="s">
        <v>441</v>
      </c>
      <c r="F809" s="32" t="s">
        <v>64</v>
      </c>
      <c r="G809" s="32" t="s">
        <v>50</v>
      </c>
      <c r="H809" s="33">
        <v>29200</v>
      </c>
      <c r="I809" s="34">
        <f>Table3[[#This Row],[Volume, kg.]]/1000</f>
        <v>29.2</v>
      </c>
      <c r="J809" s="34">
        <v>0.18780000000000002</v>
      </c>
      <c r="K809" s="34">
        <f t="shared" si="24"/>
        <v>5483.76</v>
      </c>
      <c r="L809" s="34">
        <v>3.09</v>
      </c>
      <c r="M809" s="34">
        <v>90350</v>
      </c>
      <c r="N809" s="34">
        <f t="shared" si="25"/>
        <v>16.453674121405747</v>
      </c>
    </row>
    <row r="810" spans="1:14" x14ac:dyDescent="0.45">
      <c r="A810" s="30">
        <v>2023</v>
      </c>
      <c r="B810" s="30" t="s">
        <v>12</v>
      </c>
      <c r="C810" s="30" t="s">
        <v>46</v>
      </c>
      <c r="D810" s="30" t="s">
        <v>47</v>
      </c>
      <c r="E810" s="31" t="s">
        <v>413</v>
      </c>
      <c r="F810" s="32" t="s">
        <v>49</v>
      </c>
      <c r="G810" s="32" t="s">
        <v>50</v>
      </c>
      <c r="H810" s="33">
        <v>105780</v>
      </c>
      <c r="I810" s="34">
        <f>Table3[[#This Row],[Volume, kg.]]/1000</f>
        <v>105.78</v>
      </c>
      <c r="J810" s="34">
        <v>0.17499999999999999</v>
      </c>
      <c r="K810" s="34">
        <f t="shared" si="24"/>
        <v>18511.5</v>
      </c>
      <c r="L810" s="34">
        <v>2.71</v>
      </c>
      <c r="M810" s="34">
        <v>286777</v>
      </c>
      <c r="N810" s="34">
        <f t="shared" si="25"/>
        <v>15.485714285714286</v>
      </c>
    </row>
    <row r="811" spans="1:14" x14ac:dyDescent="0.45">
      <c r="A811" s="30">
        <v>2023</v>
      </c>
      <c r="B811" s="30" t="s">
        <v>12</v>
      </c>
      <c r="C811" s="30" t="s">
        <v>46</v>
      </c>
      <c r="D811" s="30" t="s">
        <v>47</v>
      </c>
      <c r="E811" s="31" t="s">
        <v>182</v>
      </c>
      <c r="F811" s="32" t="s">
        <v>81</v>
      </c>
      <c r="G811" s="32" t="s">
        <v>50</v>
      </c>
      <c r="H811" s="33">
        <v>44630</v>
      </c>
      <c r="I811" s="34">
        <f>Table3[[#This Row],[Volume, kg.]]/1000</f>
        <v>44.63</v>
      </c>
      <c r="J811" s="34">
        <v>0.25209999999999999</v>
      </c>
      <c r="K811" s="34">
        <f t="shared" si="24"/>
        <v>11251.223</v>
      </c>
      <c r="L811" s="34">
        <v>3.55</v>
      </c>
      <c r="M811" s="34">
        <v>158283</v>
      </c>
      <c r="N811" s="34">
        <f t="shared" si="25"/>
        <v>14.081713605712018</v>
      </c>
    </row>
    <row r="812" spans="1:14" x14ac:dyDescent="0.45">
      <c r="A812" s="30">
        <v>2023</v>
      </c>
      <c r="B812" s="30" t="s">
        <v>12</v>
      </c>
      <c r="C812" s="30" t="s">
        <v>46</v>
      </c>
      <c r="D812" s="30" t="s">
        <v>47</v>
      </c>
      <c r="E812" s="31" t="s">
        <v>401</v>
      </c>
      <c r="F812" s="32" t="s">
        <v>57</v>
      </c>
      <c r="G812" s="32" t="s">
        <v>50</v>
      </c>
      <c r="H812" s="33">
        <v>10680</v>
      </c>
      <c r="I812" s="34">
        <f>Table3[[#This Row],[Volume, kg.]]/1000</f>
        <v>10.68</v>
      </c>
      <c r="J812" s="34">
        <v>0.1925</v>
      </c>
      <c r="K812" s="34">
        <f t="shared" si="24"/>
        <v>2055.9</v>
      </c>
      <c r="L812" s="34">
        <v>2.77</v>
      </c>
      <c r="M812" s="34">
        <v>29595.5</v>
      </c>
      <c r="N812" s="34">
        <f t="shared" si="25"/>
        <v>14.38961038961039</v>
      </c>
    </row>
    <row r="813" spans="1:14" x14ac:dyDescent="0.45">
      <c r="A813" s="30">
        <v>2023</v>
      </c>
      <c r="B813" s="30" t="s">
        <v>12</v>
      </c>
      <c r="C813" s="30" t="s">
        <v>46</v>
      </c>
      <c r="D813" s="30" t="s">
        <v>47</v>
      </c>
      <c r="E813" s="31" t="s">
        <v>184</v>
      </c>
      <c r="F813" s="32" t="s">
        <v>57</v>
      </c>
      <c r="G813" s="32" t="s">
        <v>50</v>
      </c>
      <c r="H813" s="33">
        <v>243550</v>
      </c>
      <c r="I813" s="34">
        <f>Table3[[#This Row],[Volume, kg.]]/1000</f>
        <v>243.55</v>
      </c>
      <c r="J813" s="34">
        <v>0.21579999999999999</v>
      </c>
      <c r="K813" s="34">
        <f t="shared" si="24"/>
        <v>52558.09</v>
      </c>
      <c r="L813" s="34">
        <v>3.26</v>
      </c>
      <c r="M813" s="34">
        <v>793931.5</v>
      </c>
      <c r="N813" s="34">
        <f t="shared" si="25"/>
        <v>15.10658016682113</v>
      </c>
    </row>
    <row r="814" spans="1:14" x14ac:dyDescent="0.45">
      <c r="A814" s="30">
        <v>2023</v>
      </c>
      <c r="B814" s="30" t="s">
        <v>12</v>
      </c>
      <c r="C814" s="30" t="s">
        <v>46</v>
      </c>
      <c r="D814" s="30" t="s">
        <v>47</v>
      </c>
      <c r="E814" s="31" t="s">
        <v>187</v>
      </c>
      <c r="F814" s="32" t="s">
        <v>54</v>
      </c>
      <c r="G814" s="32" t="s">
        <v>50</v>
      </c>
      <c r="H814" s="33">
        <v>194660</v>
      </c>
      <c r="I814" s="34">
        <f>Table3[[#This Row],[Volume, kg.]]/1000</f>
        <v>194.66</v>
      </c>
      <c r="J814" s="34">
        <v>0.22899999999999998</v>
      </c>
      <c r="K814" s="34">
        <f t="shared" si="24"/>
        <v>44577.14</v>
      </c>
      <c r="L814" s="34">
        <v>3.18</v>
      </c>
      <c r="M814" s="34">
        <v>619103</v>
      </c>
      <c r="N814" s="34">
        <f t="shared" si="25"/>
        <v>13.886462882096072</v>
      </c>
    </row>
    <row r="815" spans="1:14" x14ac:dyDescent="0.45">
      <c r="A815" s="30">
        <v>2023</v>
      </c>
      <c r="B815" s="30" t="s">
        <v>12</v>
      </c>
      <c r="C815" s="30" t="s">
        <v>46</v>
      </c>
      <c r="D815" s="30" t="s">
        <v>47</v>
      </c>
      <c r="E815" s="31" t="s">
        <v>355</v>
      </c>
      <c r="F815" s="32" t="s">
        <v>60</v>
      </c>
      <c r="G815" s="32" t="s">
        <v>50</v>
      </c>
      <c r="H815" s="33">
        <v>17060</v>
      </c>
      <c r="I815" s="34">
        <f>Table3[[#This Row],[Volume, kg.]]/1000</f>
        <v>17.059999999999999</v>
      </c>
      <c r="J815" s="34">
        <v>0.20019999999999999</v>
      </c>
      <c r="K815" s="34">
        <f t="shared" si="24"/>
        <v>3415.4119999999998</v>
      </c>
      <c r="L815" s="34">
        <v>3.42</v>
      </c>
      <c r="M815" s="34">
        <v>58380</v>
      </c>
      <c r="N815" s="34">
        <f t="shared" si="25"/>
        <v>17.082917082917085</v>
      </c>
    </row>
    <row r="816" spans="1:14" x14ac:dyDescent="0.45">
      <c r="A816" s="30">
        <v>2023</v>
      </c>
      <c r="B816" s="30" t="s">
        <v>12</v>
      </c>
      <c r="C816" s="30" t="s">
        <v>46</v>
      </c>
      <c r="D816" s="30" t="s">
        <v>47</v>
      </c>
      <c r="E816" s="31" t="s">
        <v>191</v>
      </c>
      <c r="F816" s="32" t="s">
        <v>49</v>
      </c>
      <c r="G816" s="32" t="s">
        <v>50</v>
      </c>
      <c r="H816" s="33">
        <v>22470</v>
      </c>
      <c r="I816" s="34">
        <f>Table3[[#This Row],[Volume, kg.]]/1000</f>
        <v>22.47</v>
      </c>
      <c r="J816" s="34">
        <v>0.23180000000000001</v>
      </c>
      <c r="K816" s="34">
        <f t="shared" si="24"/>
        <v>5208.5460000000003</v>
      </c>
      <c r="L816" s="34">
        <v>3.23</v>
      </c>
      <c r="M816" s="34">
        <v>72649.5</v>
      </c>
      <c r="N816" s="34">
        <f t="shared" si="25"/>
        <v>13.934426229508196</v>
      </c>
    </row>
    <row r="817" spans="1:14" x14ac:dyDescent="0.45">
      <c r="A817" s="30">
        <v>2023</v>
      </c>
      <c r="B817" s="30" t="s">
        <v>12</v>
      </c>
      <c r="C817" s="30" t="s">
        <v>46</v>
      </c>
      <c r="D817" s="30" t="s">
        <v>47</v>
      </c>
      <c r="E817" s="31" t="s">
        <v>192</v>
      </c>
      <c r="F817" s="32" t="s">
        <v>49</v>
      </c>
      <c r="G817" s="32" t="s">
        <v>50</v>
      </c>
      <c r="H817" s="33">
        <v>37860</v>
      </c>
      <c r="I817" s="34">
        <f>Table3[[#This Row],[Volume, kg.]]/1000</f>
        <v>37.86</v>
      </c>
      <c r="J817" s="34">
        <v>0.2036</v>
      </c>
      <c r="K817" s="34">
        <f t="shared" si="24"/>
        <v>7708.2960000000003</v>
      </c>
      <c r="L817" s="34">
        <v>2.96</v>
      </c>
      <c r="M817" s="34">
        <v>112215</v>
      </c>
      <c r="N817" s="34">
        <f t="shared" si="25"/>
        <v>14.538310412573674</v>
      </c>
    </row>
    <row r="818" spans="1:14" x14ac:dyDescent="0.45">
      <c r="A818" s="30">
        <v>2023</v>
      </c>
      <c r="B818" s="30" t="s">
        <v>12</v>
      </c>
      <c r="C818" s="30" t="s">
        <v>46</v>
      </c>
      <c r="D818" s="30" t="s">
        <v>47</v>
      </c>
      <c r="E818" s="31" t="s">
        <v>193</v>
      </c>
      <c r="F818" s="32" t="s">
        <v>81</v>
      </c>
      <c r="G818" s="32" t="s">
        <v>50</v>
      </c>
      <c r="H818" s="33">
        <v>0</v>
      </c>
      <c r="I818" s="34">
        <f>Table3[[#This Row],[Volume, kg.]]/1000</f>
        <v>0</v>
      </c>
      <c r="J818" s="34">
        <v>0</v>
      </c>
      <c r="K818" s="34">
        <f t="shared" si="24"/>
        <v>0</v>
      </c>
      <c r="L818" s="34">
        <v>0</v>
      </c>
      <c r="M818" s="34">
        <v>0</v>
      </c>
      <c r="N818" s="34" t="e">
        <f t="shared" si="25"/>
        <v>#DIV/0!</v>
      </c>
    </row>
    <row r="819" spans="1:14" x14ac:dyDescent="0.45">
      <c r="A819" s="30">
        <v>2023</v>
      </c>
      <c r="B819" s="30" t="s">
        <v>12</v>
      </c>
      <c r="C819" s="30" t="s">
        <v>46</v>
      </c>
      <c r="D819" s="30" t="s">
        <v>47</v>
      </c>
      <c r="E819" s="31" t="s">
        <v>304</v>
      </c>
      <c r="F819" s="32" t="s">
        <v>64</v>
      </c>
      <c r="G819" s="32" t="s">
        <v>50</v>
      </c>
      <c r="H819" s="33">
        <v>9110</v>
      </c>
      <c r="I819" s="34">
        <f>Table3[[#This Row],[Volume, kg.]]/1000</f>
        <v>9.11</v>
      </c>
      <c r="J819" s="34">
        <v>0.20250000000000001</v>
      </c>
      <c r="K819" s="34">
        <f t="shared" si="24"/>
        <v>1844.7750000000001</v>
      </c>
      <c r="L819" s="34">
        <v>3.3</v>
      </c>
      <c r="M819" s="34">
        <v>30063</v>
      </c>
      <c r="N819" s="34">
        <f t="shared" si="25"/>
        <v>16.296296296296294</v>
      </c>
    </row>
    <row r="820" spans="1:14" x14ac:dyDescent="0.45">
      <c r="A820" s="30">
        <v>2023</v>
      </c>
      <c r="B820" s="30" t="s">
        <v>12</v>
      </c>
      <c r="C820" s="30" t="s">
        <v>46</v>
      </c>
      <c r="D820" s="30" t="s">
        <v>47</v>
      </c>
      <c r="E820" s="31" t="s">
        <v>197</v>
      </c>
      <c r="F820" s="32" t="s">
        <v>57</v>
      </c>
      <c r="G820" s="32" t="s">
        <v>50</v>
      </c>
      <c r="H820" s="33">
        <v>92320</v>
      </c>
      <c r="I820" s="34">
        <f>Table3[[#This Row],[Volume, kg.]]/1000</f>
        <v>92.32</v>
      </c>
      <c r="J820" s="34">
        <v>0.21539999999999998</v>
      </c>
      <c r="K820" s="34">
        <f t="shared" si="24"/>
        <v>19885.727999999999</v>
      </c>
      <c r="L820" s="34">
        <v>3.21</v>
      </c>
      <c r="M820" s="34">
        <v>295954</v>
      </c>
      <c r="N820" s="34">
        <f t="shared" si="25"/>
        <v>14.902506963788301</v>
      </c>
    </row>
    <row r="821" spans="1:14" x14ac:dyDescent="0.45">
      <c r="A821" s="30">
        <v>2023</v>
      </c>
      <c r="B821" s="30" t="s">
        <v>12</v>
      </c>
      <c r="C821" s="30" t="s">
        <v>46</v>
      </c>
      <c r="D821" s="30" t="s">
        <v>47</v>
      </c>
      <c r="E821" s="31" t="s">
        <v>442</v>
      </c>
      <c r="F821" s="32" t="s">
        <v>81</v>
      </c>
      <c r="G821" s="32" t="s">
        <v>50</v>
      </c>
      <c r="H821" s="33">
        <v>3540</v>
      </c>
      <c r="I821" s="34">
        <f>Table3[[#This Row],[Volume, kg.]]/1000</f>
        <v>3.54</v>
      </c>
      <c r="J821" s="34">
        <v>0.214</v>
      </c>
      <c r="K821" s="34">
        <f t="shared" si="24"/>
        <v>757.56</v>
      </c>
      <c r="L821" s="34">
        <v>2.85</v>
      </c>
      <c r="M821" s="34">
        <v>10089</v>
      </c>
      <c r="N821" s="34">
        <f t="shared" si="25"/>
        <v>13.317757009345796</v>
      </c>
    </row>
    <row r="822" spans="1:14" x14ac:dyDescent="0.45">
      <c r="A822" s="30">
        <v>2023</v>
      </c>
      <c r="B822" s="30" t="s">
        <v>12</v>
      </c>
      <c r="C822" s="30" t="s">
        <v>46</v>
      </c>
      <c r="D822" s="30" t="s">
        <v>47</v>
      </c>
      <c r="E822" s="31" t="s">
        <v>306</v>
      </c>
      <c r="F822" s="32" t="s">
        <v>60</v>
      </c>
      <c r="G822" s="32" t="s">
        <v>50</v>
      </c>
      <c r="H822" s="33">
        <v>43870</v>
      </c>
      <c r="I822" s="34">
        <f>Table3[[#This Row],[Volume, kg.]]/1000</f>
        <v>43.87</v>
      </c>
      <c r="J822" s="34">
        <v>0.20710000000000001</v>
      </c>
      <c r="K822" s="34">
        <f t="shared" si="24"/>
        <v>9085.4770000000008</v>
      </c>
      <c r="L822" s="34">
        <v>3.28</v>
      </c>
      <c r="M822" s="34">
        <v>143731.5</v>
      </c>
      <c r="N822" s="34">
        <f t="shared" si="25"/>
        <v>15.837759536455817</v>
      </c>
    </row>
    <row r="823" spans="1:14" x14ac:dyDescent="0.45">
      <c r="A823" s="30">
        <v>2023</v>
      </c>
      <c r="B823" s="30" t="s">
        <v>12</v>
      </c>
      <c r="C823" s="30" t="s">
        <v>46</v>
      </c>
      <c r="D823" s="30" t="s">
        <v>47</v>
      </c>
      <c r="E823" s="31" t="s">
        <v>198</v>
      </c>
      <c r="F823" s="32" t="s">
        <v>49</v>
      </c>
      <c r="G823" s="32" t="s">
        <v>50</v>
      </c>
      <c r="H823" s="33">
        <v>25980</v>
      </c>
      <c r="I823" s="34">
        <f>Table3[[#This Row],[Volume, kg.]]/1000</f>
        <v>25.98</v>
      </c>
      <c r="J823" s="34">
        <v>0.22170000000000001</v>
      </c>
      <c r="K823" s="34">
        <f t="shared" si="24"/>
        <v>5759.7660000000005</v>
      </c>
      <c r="L823" s="34">
        <v>3.19</v>
      </c>
      <c r="M823" s="34">
        <v>82851</v>
      </c>
      <c r="N823" s="34">
        <f t="shared" si="25"/>
        <v>14.388813712223724</v>
      </c>
    </row>
    <row r="824" spans="1:14" x14ac:dyDescent="0.45">
      <c r="A824" s="30">
        <v>2023</v>
      </c>
      <c r="B824" s="30" t="s">
        <v>12</v>
      </c>
      <c r="C824" s="30" t="s">
        <v>46</v>
      </c>
      <c r="D824" s="30" t="s">
        <v>47</v>
      </c>
      <c r="E824" s="31" t="s">
        <v>199</v>
      </c>
      <c r="F824" s="32" t="s">
        <v>60</v>
      </c>
      <c r="G824" s="32" t="s">
        <v>50</v>
      </c>
      <c r="H824" s="33">
        <v>17000</v>
      </c>
      <c r="I824" s="34">
        <f>Table3[[#This Row],[Volume, kg.]]/1000</f>
        <v>17</v>
      </c>
      <c r="J824" s="34">
        <v>0.2041</v>
      </c>
      <c r="K824" s="34">
        <f t="shared" si="24"/>
        <v>3469.7000000000003</v>
      </c>
      <c r="L824" s="34">
        <v>3.15</v>
      </c>
      <c r="M824" s="34">
        <v>53517</v>
      </c>
      <c r="N824" s="34">
        <f t="shared" si="25"/>
        <v>15.433610975012249</v>
      </c>
    </row>
    <row r="825" spans="1:14" x14ac:dyDescent="0.45">
      <c r="A825" s="30">
        <v>2023</v>
      </c>
      <c r="B825" s="30" t="s">
        <v>12</v>
      </c>
      <c r="C825" s="30" t="s">
        <v>46</v>
      </c>
      <c r="D825" s="30" t="s">
        <v>47</v>
      </c>
      <c r="E825" s="31" t="s">
        <v>309</v>
      </c>
      <c r="F825" s="32" t="s">
        <v>81</v>
      </c>
      <c r="G825" s="32" t="s">
        <v>50</v>
      </c>
      <c r="H825" s="33">
        <v>24440</v>
      </c>
      <c r="I825" s="34">
        <f>Table3[[#This Row],[Volume, kg.]]/1000</f>
        <v>24.44</v>
      </c>
      <c r="J825" s="34">
        <v>0.19359999999999999</v>
      </c>
      <c r="K825" s="34">
        <f t="shared" si="24"/>
        <v>4731.5839999999998</v>
      </c>
      <c r="L825" s="34">
        <v>3.22</v>
      </c>
      <c r="M825" s="34">
        <v>78673.5</v>
      </c>
      <c r="N825" s="34">
        <f t="shared" si="25"/>
        <v>16.632231404958681</v>
      </c>
    </row>
    <row r="826" spans="1:14" x14ac:dyDescent="0.45">
      <c r="A826" s="30">
        <v>2023</v>
      </c>
      <c r="B826" s="30" t="s">
        <v>12</v>
      </c>
      <c r="C826" s="30" t="s">
        <v>46</v>
      </c>
      <c r="D826" s="30" t="s">
        <v>47</v>
      </c>
      <c r="E826" s="31" t="s">
        <v>201</v>
      </c>
      <c r="F826" s="32" t="s">
        <v>49</v>
      </c>
      <c r="G826" s="32" t="s">
        <v>50</v>
      </c>
      <c r="H826" s="33">
        <v>18450</v>
      </c>
      <c r="I826" s="34">
        <f>Table3[[#This Row],[Volume, kg.]]/1000</f>
        <v>18.45</v>
      </c>
      <c r="J826" s="34">
        <v>0.19260000000000002</v>
      </c>
      <c r="K826" s="34">
        <f t="shared" si="24"/>
        <v>3553.4700000000003</v>
      </c>
      <c r="L826" s="34">
        <v>2.74</v>
      </c>
      <c r="M826" s="34">
        <v>50545</v>
      </c>
      <c r="N826" s="34">
        <f t="shared" si="25"/>
        <v>14.226375908618898</v>
      </c>
    </row>
    <row r="827" spans="1:14" x14ac:dyDescent="0.45">
      <c r="A827" s="30">
        <v>2023</v>
      </c>
      <c r="B827" s="30" t="s">
        <v>12</v>
      </c>
      <c r="C827" s="30" t="s">
        <v>46</v>
      </c>
      <c r="D827" s="30" t="s">
        <v>47</v>
      </c>
      <c r="E827" s="31" t="s">
        <v>356</v>
      </c>
      <c r="F827" s="32" t="s">
        <v>49</v>
      </c>
      <c r="G827" s="32" t="s">
        <v>50</v>
      </c>
      <c r="H827" s="33">
        <v>10060</v>
      </c>
      <c r="I827" s="34">
        <f>Table3[[#This Row],[Volume, kg.]]/1000</f>
        <v>10.06</v>
      </c>
      <c r="J827" s="34">
        <v>0.25009999999999999</v>
      </c>
      <c r="K827" s="34">
        <f t="shared" si="24"/>
        <v>2516.0059999999999</v>
      </c>
      <c r="L827" s="34">
        <v>3.56</v>
      </c>
      <c r="M827" s="34">
        <v>35794</v>
      </c>
      <c r="N827" s="34">
        <f t="shared" si="25"/>
        <v>14.234306277489006</v>
      </c>
    </row>
    <row r="828" spans="1:14" x14ac:dyDescent="0.45">
      <c r="A828" s="30">
        <v>2023</v>
      </c>
      <c r="B828" s="30" t="s">
        <v>12</v>
      </c>
      <c r="C828" s="30" t="s">
        <v>46</v>
      </c>
      <c r="D828" s="30" t="s">
        <v>47</v>
      </c>
      <c r="E828" s="31" t="s">
        <v>358</v>
      </c>
      <c r="F828" s="32" t="s">
        <v>60</v>
      </c>
      <c r="G828" s="32" t="s">
        <v>50</v>
      </c>
      <c r="H828" s="33">
        <v>12630</v>
      </c>
      <c r="I828" s="34">
        <f>Table3[[#This Row],[Volume, kg.]]/1000</f>
        <v>12.63</v>
      </c>
      <c r="J828" s="34">
        <v>0.2225</v>
      </c>
      <c r="K828" s="34">
        <f t="shared" si="24"/>
        <v>2810.1750000000002</v>
      </c>
      <c r="L828" s="34">
        <v>3.3</v>
      </c>
      <c r="M828" s="34">
        <v>41709.5</v>
      </c>
      <c r="N828" s="34">
        <f t="shared" si="25"/>
        <v>14.831460674157302</v>
      </c>
    </row>
    <row r="829" spans="1:14" x14ac:dyDescent="0.45">
      <c r="A829" s="30">
        <v>2023</v>
      </c>
      <c r="B829" s="30" t="s">
        <v>12</v>
      </c>
      <c r="C829" s="30" t="s">
        <v>46</v>
      </c>
      <c r="D829" s="30" t="s">
        <v>47</v>
      </c>
      <c r="E829" s="31" t="s">
        <v>311</v>
      </c>
      <c r="F829" s="32" t="s">
        <v>57</v>
      </c>
      <c r="G829" s="32" t="s">
        <v>50</v>
      </c>
      <c r="H829" s="33">
        <v>11710</v>
      </c>
      <c r="I829" s="34">
        <f>Table3[[#This Row],[Volume, kg.]]/1000</f>
        <v>11.71</v>
      </c>
      <c r="J829" s="34">
        <v>0.20250000000000001</v>
      </c>
      <c r="K829" s="34">
        <f t="shared" si="24"/>
        <v>2371.2750000000001</v>
      </c>
      <c r="L829" s="34">
        <v>3.14</v>
      </c>
      <c r="M829" s="34">
        <v>36720</v>
      </c>
      <c r="N829" s="34">
        <f t="shared" si="25"/>
        <v>15.506172839506172</v>
      </c>
    </row>
    <row r="830" spans="1:14" x14ac:dyDescent="0.45">
      <c r="A830" s="30">
        <v>2023</v>
      </c>
      <c r="B830" s="30" t="s">
        <v>12</v>
      </c>
      <c r="C830" s="30" t="s">
        <v>46</v>
      </c>
      <c r="D830" s="30" t="s">
        <v>47</v>
      </c>
      <c r="E830" s="31" t="s">
        <v>202</v>
      </c>
      <c r="F830" s="32" t="s">
        <v>57</v>
      </c>
      <c r="G830" s="32" t="s">
        <v>50</v>
      </c>
      <c r="H830" s="33">
        <v>32680</v>
      </c>
      <c r="I830" s="34">
        <f>Table3[[#This Row],[Volume, kg.]]/1000</f>
        <v>32.68</v>
      </c>
      <c r="J830" s="34">
        <v>0.25519999999999998</v>
      </c>
      <c r="K830" s="34">
        <f t="shared" si="24"/>
        <v>8339.9359999999997</v>
      </c>
      <c r="L830" s="34">
        <v>3.56</v>
      </c>
      <c r="M830" s="34">
        <v>116253</v>
      </c>
      <c r="N830" s="34">
        <f t="shared" si="25"/>
        <v>13.949843260188089</v>
      </c>
    </row>
    <row r="831" spans="1:14" x14ac:dyDescent="0.45">
      <c r="A831" s="30">
        <v>2023</v>
      </c>
      <c r="B831" s="30" t="s">
        <v>12</v>
      </c>
      <c r="C831" s="30" t="s">
        <v>46</v>
      </c>
      <c r="D831" s="30" t="s">
        <v>47</v>
      </c>
      <c r="E831" s="31" t="s">
        <v>203</v>
      </c>
      <c r="F831" s="32" t="s">
        <v>57</v>
      </c>
      <c r="G831" s="32" t="s">
        <v>50</v>
      </c>
      <c r="H831" s="33">
        <v>9570</v>
      </c>
      <c r="I831" s="34">
        <f>Table3[[#This Row],[Volume, kg.]]/1000</f>
        <v>9.57</v>
      </c>
      <c r="J831" s="34">
        <v>0.18640000000000001</v>
      </c>
      <c r="K831" s="34">
        <f t="shared" si="24"/>
        <v>1783.8480000000002</v>
      </c>
      <c r="L831" s="34">
        <v>2.84</v>
      </c>
      <c r="M831" s="34">
        <v>27136</v>
      </c>
      <c r="N831" s="34">
        <f t="shared" si="25"/>
        <v>15.236051502145921</v>
      </c>
    </row>
    <row r="832" spans="1:14" x14ac:dyDescent="0.45">
      <c r="A832" s="30">
        <v>2023</v>
      </c>
      <c r="B832" s="30" t="s">
        <v>12</v>
      </c>
      <c r="C832" s="30" t="s">
        <v>46</v>
      </c>
      <c r="D832" s="30" t="s">
        <v>47</v>
      </c>
      <c r="E832" s="31" t="s">
        <v>204</v>
      </c>
      <c r="F832" s="32" t="s">
        <v>49</v>
      </c>
      <c r="G832" s="32" t="s">
        <v>50</v>
      </c>
      <c r="H832" s="33">
        <v>13050</v>
      </c>
      <c r="I832" s="34">
        <f>Table3[[#This Row],[Volume, kg.]]/1000</f>
        <v>13.05</v>
      </c>
      <c r="J832" s="34">
        <v>0.20850000000000002</v>
      </c>
      <c r="K832" s="34">
        <f t="shared" si="24"/>
        <v>2720.9250000000002</v>
      </c>
      <c r="L832" s="34">
        <v>3.06</v>
      </c>
      <c r="M832" s="34">
        <v>39916.5</v>
      </c>
      <c r="N832" s="34">
        <f t="shared" si="25"/>
        <v>14.676258992805755</v>
      </c>
    </row>
    <row r="833" spans="1:14" x14ac:dyDescent="0.45">
      <c r="A833" s="30">
        <v>2023</v>
      </c>
      <c r="B833" s="30" t="s">
        <v>12</v>
      </c>
      <c r="C833" s="30" t="s">
        <v>46</v>
      </c>
      <c r="D833" s="30" t="s">
        <v>47</v>
      </c>
      <c r="E833" s="31" t="s">
        <v>412</v>
      </c>
      <c r="F833" s="32" t="s">
        <v>57</v>
      </c>
      <c r="G833" s="32" t="s">
        <v>50</v>
      </c>
      <c r="H833" s="33">
        <v>13880</v>
      </c>
      <c r="I833" s="34">
        <f>Table3[[#This Row],[Volume, kg.]]/1000</f>
        <v>13.88</v>
      </c>
      <c r="J833" s="34">
        <v>0.1925</v>
      </c>
      <c r="K833" s="34">
        <f t="shared" si="24"/>
        <v>2671.9</v>
      </c>
      <c r="L833" s="34">
        <v>2.87</v>
      </c>
      <c r="M833" s="34">
        <v>39808</v>
      </c>
      <c r="N833" s="34">
        <f t="shared" si="25"/>
        <v>14.90909090909091</v>
      </c>
    </row>
    <row r="834" spans="1:14" x14ac:dyDescent="0.45">
      <c r="A834" s="30">
        <v>2023</v>
      </c>
      <c r="B834" s="30" t="s">
        <v>12</v>
      </c>
      <c r="C834" s="30" t="s">
        <v>46</v>
      </c>
      <c r="D834" s="30" t="s">
        <v>47</v>
      </c>
      <c r="E834" s="31" t="s">
        <v>443</v>
      </c>
      <c r="F834" s="32" t="s">
        <v>134</v>
      </c>
      <c r="G834" s="32" t="s">
        <v>50</v>
      </c>
      <c r="H834" s="33">
        <v>44250</v>
      </c>
      <c r="I834" s="34">
        <f>Table3[[#This Row],[Volume, kg.]]/1000</f>
        <v>44.25</v>
      </c>
      <c r="J834" s="34">
        <v>0.2147</v>
      </c>
      <c r="K834" s="34">
        <f t="shared" si="24"/>
        <v>9500.4750000000004</v>
      </c>
      <c r="L834" s="34">
        <v>3.35</v>
      </c>
      <c r="M834" s="34">
        <v>148389.5</v>
      </c>
      <c r="N834" s="34">
        <f t="shared" si="25"/>
        <v>15.603167210060549</v>
      </c>
    </row>
    <row r="835" spans="1:14" x14ac:dyDescent="0.45">
      <c r="A835" s="30">
        <v>2023</v>
      </c>
      <c r="B835" s="30" t="s">
        <v>12</v>
      </c>
      <c r="C835" s="30" t="s">
        <v>46</v>
      </c>
      <c r="D835" s="30" t="s">
        <v>47</v>
      </c>
      <c r="E835" s="31" t="s">
        <v>205</v>
      </c>
      <c r="F835" s="32" t="s">
        <v>49</v>
      </c>
      <c r="G835" s="32" t="s">
        <v>50</v>
      </c>
      <c r="H835" s="33">
        <v>44130</v>
      </c>
      <c r="I835" s="34">
        <f>Table3[[#This Row],[Volume, kg.]]/1000</f>
        <v>44.13</v>
      </c>
      <c r="J835" s="34">
        <v>0.21840000000000001</v>
      </c>
      <c r="K835" s="34">
        <f t="shared" ref="K835:K898" si="26">H835*J835</f>
        <v>9637.9920000000002</v>
      </c>
      <c r="L835" s="34">
        <v>3.25</v>
      </c>
      <c r="M835" s="34">
        <v>143350.5</v>
      </c>
      <c r="N835" s="34">
        <f t="shared" si="25"/>
        <v>14.88095238095238</v>
      </c>
    </row>
    <row r="836" spans="1:14" x14ac:dyDescent="0.45">
      <c r="A836" s="30">
        <v>2023</v>
      </c>
      <c r="B836" s="30" t="s">
        <v>12</v>
      </c>
      <c r="C836" s="30" t="s">
        <v>46</v>
      </c>
      <c r="D836" s="30" t="s">
        <v>47</v>
      </c>
      <c r="E836" s="31" t="s">
        <v>208</v>
      </c>
      <c r="F836" s="32" t="s">
        <v>49</v>
      </c>
      <c r="G836" s="32" t="s">
        <v>50</v>
      </c>
      <c r="H836" s="33">
        <v>5890</v>
      </c>
      <c r="I836" s="34">
        <f>Table3[[#This Row],[Volume, kg.]]/1000</f>
        <v>5.89</v>
      </c>
      <c r="J836" s="34">
        <v>0.1905</v>
      </c>
      <c r="K836" s="34">
        <f t="shared" si="26"/>
        <v>1122.0450000000001</v>
      </c>
      <c r="L836" s="34">
        <v>3.1</v>
      </c>
      <c r="M836" s="34">
        <v>18259</v>
      </c>
      <c r="N836" s="34">
        <f t="shared" ref="N836:N899" si="27">L836/J836</f>
        <v>16.272965879265094</v>
      </c>
    </row>
    <row r="837" spans="1:14" x14ac:dyDescent="0.45">
      <c r="A837" s="30">
        <v>2023</v>
      </c>
      <c r="B837" s="30" t="s">
        <v>12</v>
      </c>
      <c r="C837" s="30" t="s">
        <v>46</v>
      </c>
      <c r="D837" s="30" t="s">
        <v>47</v>
      </c>
      <c r="E837" s="31" t="s">
        <v>312</v>
      </c>
      <c r="F837" s="32" t="s">
        <v>60</v>
      </c>
      <c r="G837" s="32" t="s">
        <v>50</v>
      </c>
      <c r="H837" s="33">
        <v>45460</v>
      </c>
      <c r="I837" s="34">
        <f>Table3[[#This Row],[Volume, kg.]]/1000</f>
        <v>45.46</v>
      </c>
      <c r="J837" s="34">
        <v>0.21</v>
      </c>
      <c r="K837" s="34">
        <f t="shared" si="26"/>
        <v>9546.6</v>
      </c>
      <c r="L837" s="34">
        <v>3.33</v>
      </c>
      <c r="M837" s="34">
        <v>151308.5</v>
      </c>
      <c r="N837" s="34">
        <f t="shared" si="27"/>
        <v>15.857142857142858</v>
      </c>
    </row>
    <row r="838" spans="1:14" x14ac:dyDescent="0.45">
      <c r="A838" s="30">
        <v>2023</v>
      </c>
      <c r="B838" s="30" t="s">
        <v>12</v>
      </c>
      <c r="C838" s="30" t="s">
        <v>46</v>
      </c>
      <c r="D838" s="30" t="s">
        <v>47</v>
      </c>
      <c r="E838" s="31" t="s">
        <v>361</v>
      </c>
      <c r="F838" s="32" t="s">
        <v>57</v>
      </c>
      <c r="G838" s="32" t="s">
        <v>50</v>
      </c>
      <c r="H838" s="33">
        <v>13870</v>
      </c>
      <c r="I838" s="34">
        <f>Table3[[#This Row],[Volume, kg.]]/1000</f>
        <v>13.87</v>
      </c>
      <c r="J838" s="34">
        <v>0.20379999999999998</v>
      </c>
      <c r="K838" s="34">
        <f t="shared" si="26"/>
        <v>2826.7059999999997</v>
      </c>
      <c r="L838" s="34">
        <v>3.07</v>
      </c>
      <c r="M838" s="34">
        <v>42515.5</v>
      </c>
      <c r="N838" s="34">
        <f t="shared" si="27"/>
        <v>15.063788027477921</v>
      </c>
    </row>
    <row r="839" spans="1:14" x14ac:dyDescent="0.45">
      <c r="A839" s="30">
        <v>2023</v>
      </c>
      <c r="B839" s="30" t="s">
        <v>12</v>
      </c>
      <c r="C839" s="30" t="s">
        <v>46</v>
      </c>
      <c r="D839" s="30" t="s">
        <v>47</v>
      </c>
      <c r="E839" s="31" t="s">
        <v>210</v>
      </c>
      <c r="F839" s="32" t="s">
        <v>60</v>
      </c>
      <c r="G839" s="32" t="s">
        <v>50</v>
      </c>
      <c r="H839" s="33">
        <v>5850</v>
      </c>
      <c r="I839" s="34">
        <f>Table3[[#This Row],[Volume, kg.]]/1000</f>
        <v>5.85</v>
      </c>
      <c r="J839" s="34">
        <v>0.21149999999999999</v>
      </c>
      <c r="K839" s="34">
        <f t="shared" si="26"/>
        <v>1237.2749999999999</v>
      </c>
      <c r="L839" s="34">
        <v>3.45</v>
      </c>
      <c r="M839" s="34">
        <v>20182.5</v>
      </c>
      <c r="N839" s="34">
        <f t="shared" si="27"/>
        <v>16.312056737588655</v>
      </c>
    </row>
    <row r="840" spans="1:14" x14ac:dyDescent="0.45">
      <c r="A840" s="30">
        <v>2023</v>
      </c>
      <c r="B840" s="30" t="s">
        <v>12</v>
      </c>
      <c r="C840" s="30" t="s">
        <v>46</v>
      </c>
      <c r="D840" s="30" t="s">
        <v>47</v>
      </c>
      <c r="E840" s="31" t="s">
        <v>212</v>
      </c>
      <c r="F840" s="32" t="s">
        <v>60</v>
      </c>
      <c r="G840" s="32" t="s">
        <v>50</v>
      </c>
      <c r="H840" s="33">
        <v>12620</v>
      </c>
      <c r="I840" s="34">
        <f>Table3[[#This Row],[Volume, kg.]]/1000</f>
        <v>12.62</v>
      </c>
      <c r="J840" s="34">
        <v>0.20749999999999999</v>
      </c>
      <c r="K840" s="34">
        <f t="shared" si="26"/>
        <v>2618.65</v>
      </c>
      <c r="L840" s="34">
        <v>3.45</v>
      </c>
      <c r="M840" s="34">
        <v>43539</v>
      </c>
      <c r="N840" s="34">
        <f t="shared" si="27"/>
        <v>16.626506024096386</v>
      </c>
    </row>
    <row r="841" spans="1:14" x14ac:dyDescent="0.45">
      <c r="A841" s="30">
        <v>2023</v>
      </c>
      <c r="B841" s="30" t="s">
        <v>12</v>
      </c>
      <c r="C841" s="30" t="s">
        <v>46</v>
      </c>
      <c r="D841" s="30" t="s">
        <v>47</v>
      </c>
      <c r="E841" s="31" t="s">
        <v>313</v>
      </c>
      <c r="F841" s="32" t="s">
        <v>60</v>
      </c>
      <c r="G841" s="32" t="s">
        <v>50</v>
      </c>
      <c r="H841" s="33">
        <v>21010</v>
      </c>
      <c r="I841" s="34">
        <f>Table3[[#This Row],[Volume, kg.]]/1000</f>
        <v>21.01</v>
      </c>
      <c r="J841" s="34">
        <v>0.20629999999999998</v>
      </c>
      <c r="K841" s="34">
        <f t="shared" si="26"/>
        <v>4334.3629999999994</v>
      </c>
      <c r="L841" s="34">
        <v>3.27</v>
      </c>
      <c r="M841" s="34">
        <v>68658</v>
      </c>
      <c r="N841" s="34">
        <f t="shared" si="27"/>
        <v>15.850702859912749</v>
      </c>
    </row>
    <row r="842" spans="1:14" x14ac:dyDescent="0.45">
      <c r="A842" s="30">
        <v>2023</v>
      </c>
      <c r="B842" s="30" t="s">
        <v>12</v>
      </c>
      <c r="C842" s="30" t="s">
        <v>46</v>
      </c>
      <c r="D842" s="30" t="s">
        <v>47</v>
      </c>
      <c r="E842" s="31" t="s">
        <v>213</v>
      </c>
      <c r="F842" s="32" t="s">
        <v>49</v>
      </c>
      <c r="G842" s="32" t="s">
        <v>50</v>
      </c>
      <c r="H842" s="33">
        <v>72030</v>
      </c>
      <c r="I842" s="34">
        <f>Table3[[#This Row],[Volume, kg.]]/1000</f>
        <v>72.03</v>
      </c>
      <c r="J842" s="34">
        <v>0.1913</v>
      </c>
      <c r="K842" s="34">
        <f t="shared" si="26"/>
        <v>13779.339</v>
      </c>
      <c r="L842" s="34">
        <v>2.92</v>
      </c>
      <c r="M842" s="34">
        <v>210260.5</v>
      </c>
      <c r="N842" s="34">
        <f t="shared" si="27"/>
        <v>15.263983272347099</v>
      </c>
    </row>
    <row r="843" spans="1:14" x14ac:dyDescent="0.45">
      <c r="A843" s="30">
        <v>2023</v>
      </c>
      <c r="B843" s="30" t="s">
        <v>12</v>
      </c>
      <c r="C843" s="30" t="s">
        <v>46</v>
      </c>
      <c r="D843" s="30" t="s">
        <v>47</v>
      </c>
      <c r="E843" s="31" t="s">
        <v>363</v>
      </c>
      <c r="F843" s="32" t="s">
        <v>60</v>
      </c>
      <c r="G843" s="32" t="s">
        <v>50</v>
      </c>
      <c r="H843" s="33">
        <v>11830</v>
      </c>
      <c r="I843" s="34">
        <f>Table3[[#This Row],[Volume, kg.]]/1000</f>
        <v>11.83</v>
      </c>
      <c r="J843" s="34">
        <v>0.222</v>
      </c>
      <c r="K843" s="34">
        <f t="shared" si="26"/>
        <v>2626.26</v>
      </c>
      <c r="L843" s="34">
        <v>3.4</v>
      </c>
      <c r="M843" s="34">
        <v>40222</v>
      </c>
      <c r="N843" s="34">
        <f t="shared" si="27"/>
        <v>15.315315315315315</v>
      </c>
    </row>
    <row r="844" spans="1:14" x14ac:dyDescent="0.45">
      <c r="A844" s="30">
        <v>2023</v>
      </c>
      <c r="B844" s="30" t="s">
        <v>12</v>
      </c>
      <c r="C844" s="30" t="s">
        <v>46</v>
      </c>
      <c r="D844" s="30" t="s">
        <v>47</v>
      </c>
      <c r="E844" s="31" t="s">
        <v>214</v>
      </c>
      <c r="F844" s="32" t="s">
        <v>64</v>
      </c>
      <c r="G844" s="32" t="s">
        <v>50</v>
      </c>
      <c r="H844" s="33">
        <v>54140</v>
      </c>
      <c r="I844" s="34">
        <f>Table3[[#This Row],[Volume, kg.]]/1000</f>
        <v>54.14</v>
      </c>
      <c r="J844" s="34">
        <v>0.19469999999999998</v>
      </c>
      <c r="K844" s="34">
        <f t="shared" si="26"/>
        <v>10541.057999999999</v>
      </c>
      <c r="L844" s="34">
        <v>2.94</v>
      </c>
      <c r="M844" s="34">
        <v>159368</v>
      </c>
      <c r="N844" s="34">
        <f t="shared" si="27"/>
        <v>15.100154083204931</v>
      </c>
    </row>
    <row r="845" spans="1:14" x14ac:dyDescent="0.45">
      <c r="A845" s="30">
        <v>2023</v>
      </c>
      <c r="B845" s="30" t="s">
        <v>12</v>
      </c>
      <c r="C845" s="30" t="s">
        <v>46</v>
      </c>
      <c r="D845" s="30" t="s">
        <v>47</v>
      </c>
      <c r="E845" s="31" t="s">
        <v>408</v>
      </c>
      <c r="F845" s="32" t="s">
        <v>238</v>
      </c>
      <c r="G845" s="32" t="s">
        <v>50</v>
      </c>
      <c r="H845" s="33">
        <v>302880</v>
      </c>
      <c r="I845" s="34">
        <f>Table3[[#This Row],[Volume, kg.]]/1000</f>
        <v>302.88</v>
      </c>
      <c r="J845" s="34">
        <v>0.20319999999999999</v>
      </c>
      <c r="K845" s="34">
        <f t="shared" si="26"/>
        <v>61545.216</v>
      </c>
      <c r="L845" s="34">
        <v>3.21</v>
      </c>
      <c r="M845" s="34">
        <v>972810.5</v>
      </c>
      <c r="N845" s="34">
        <f t="shared" si="27"/>
        <v>15.797244094488189</v>
      </c>
    </row>
    <row r="846" spans="1:14" x14ac:dyDescent="0.45">
      <c r="A846" s="30">
        <v>2023</v>
      </c>
      <c r="B846" s="30" t="s">
        <v>12</v>
      </c>
      <c r="C846" s="30" t="s">
        <v>46</v>
      </c>
      <c r="D846" s="30" t="s">
        <v>47</v>
      </c>
      <c r="E846" s="31" t="s">
        <v>215</v>
      </c>
      <c r="F846" s="32" t="s">
        <v>57</v>
      </c>
      <c r="G846" s="32" t="s">
        <v>50</v>
      </c>
      <c r="H846" s="33">
        <v>45840</v>
      </c>
      <c r="I846" s="34">
        <f>Table3[[#This Row],[Volume, kg.]]/1000</f>
        <v>45.84</v>
      </c>
      <c r="J846" s="34">
        <v>0.2034</v>
      </c>
      <c r="K846" s="34">
        <f t="shared" si="26"/>
        <v>9323.8559999999998</v>
      </c>
      <c r="L846" s="34">
        <v>3.25</v>
      </c>
      <c r="M846" s="34">
        <v>149206.5</v>
      </c>
      <c r="N846" s="34">
        <f t="shared" si="27"/>
        <v>15.978367748279252</v>
      </c>
    </row>
    <row r="847" spans="1:14" x14ac:dyDescent="0.45">
      <c r="A847" s="30">
        <v>2023</v>
      </c>
      <c r="B847" s="30" t="s">
        <v>12</v>
      </c>
      <c r="C847" s="30" t="s">
        <v>46</v>
      </c>
      <c r="D847" s="30" t="s">
        <v>47</v>
      </c>
      <c r="E847" s="31" t="s">
        <v>394</v>
      </c>
      <c r="F847" s="32" t="s">
        <v>64</v>
      </c>
      <c r="G847" s="32" t="s">
        <v>50</v>
      </c>
      <c r="H847" s="33">
        <v>290270</v>
      </c>
      <c r="I847" s="34">
        <f>Table3[[#This Row],[Volume, kg.]]/1000</f>
        <v>290.27</v>
      </c>
      <c r="J847" s="34">
        <v>0.21</v>
      </c>
      <c r="K847" s="34">
        <f t="shared" si="26"/>
        <v>60956.7</v>
      </c>
      <c r="L847" s="34">
        <v>3.35</v>
      </c>
      <c r="M847" s="34">
        <v>972474.5</v>
      </c>
      <c r="N847" s="34">
        <f t="shared" si="27"/>
        <v>15.952380952380953</v>
      </c>
    </row>
    <row r="848" spans="1:14" x14ac:dyDescent="0.45">
      <c r="A848" s="30">
        <v>2023</v>
      </c>
      <c r="B848" s="30" t="s">
        <v>12</v>
      </c>
      <c r="C848" s="30" t="s">
        <v>46</v>
      </c>
      <c r="D848" s="30" t="s">
        <v>47</v>
      </c>
      <c r="E848" s="31" t="s">
        <v>216</v>
      </c>
      <c r="F848" s="32" t="s">
        <v>64</v>
      </c>
      <c r="G848" s="32" t="s">
        <v>50</v>
      </c>
      <c r="H848" s="33">
        <v>29880</v>
      </c>
      <c r="I848" s="34">
        <f>Table3[[#This Row],[Volume, kg.]]/1000</f>
        <v>29.88</v>
      </c>
      <c r="J848" s="34">
        <v>0.18460000000000001</v>
      </c>
      <c r="K848" s="34">
        <f t="shared" si="26"/>
        <v>5515.8480000000009</v>
      </c>
      <c r="L848" s="34">
        <v>3.16</v>
      </c>
      <c r="M848" s="34">
        <v>94514.5</v>
      </c>
      <c r="N848" s="34">
        <f t="shared" si="27"/>
        <v>17.118093174431202</v>
      </c>
    </row>
    <row r="849" spans="1:14" x14ac:dyDescent="0.45">
      <c r="A849" s="30">
        <v>2023</v>
      </c>
      <c r="B849" s="30" t="s">
        <v>12</v>
      </c>
      <c r="C849" s="30" t="s">
        <v>46</v>
      </c>
      <c r="D849" s="30" t="s">
        <v>47</v>
      </c>
      <c r="E849" s="31" t="s">
        <v>444</v>
      </c>
      <c r="F849" s="32" t="s">
        <v>49</v>
      </c>
      <c r="G849" s="32" t="s">
        <v>50</v>
      </c>
      <c r="H849" s="33">
        <v>4340</v>
      </c>
      <c r="I849" s="34">
        <f>Table3[[#This Row],[Volume, kg.]]/1000</f>
        <v>4.34</v>
      </c>
      <c r="J849" s="34">
        <v>0.222</v>
      </c>
      <c r="K849" s="34">
        <f t="shared" si="26"/>
        <v>963.48</v>
      </c>
      <c r="L849" s="34">
        <v>3.4</v>
      </c>
      <c r="M849" s="34">
        <v>14756</v>
      </c>
      <c r="N849" s="34">
        <f t="shared" si="27"/>
        <v>15.315315315315315</v>
      </c>
    </row>
    <row r="850" spans="1:14" x14ac:dyDescent="0.45">
      <c r="A850" s="30">
        <v>2023</v>
      </c>
      <c r="B850" s="30" t="s">
        <v>12</v>
      </c>
      <c r="C850" s="30" t="s">
        <v>46</v>
      </c>
      <c r="D850" s="30" t="s">
        <v>47</v>
      </c>
      <c r="E850" s="31" t="s">
        <v>217</v>
      </c>
      <c r="F850" s="32" t="s">
        <v>49</v>
      </c>
      <c r="G850" s="32" t="s">
        <v>50</v>
      </c>
      <c r="H850" s="33">
        <v>72030</v>
      </c>
      <c r="I850" s="34">
        <f>Table3[[#This Row],[Volume, kg.]]/1000</f>
        <v>72.03</v>
      </c>
      <c r="J850" s="34">
        <v>0.21640000000000001</v>
      </c>
      <c r="K850" s="34">
        <f t="shared" si="26"/>
        <v>15587.292000000001</v>
      </c>
      <c r="L850" s="34">
        <v>3.28</v>
      </c>
      <c r="M850" s="34">
        <v>235908.5</v>
      </c>
      <c r="N850" s="34">
        <f t="shared" si="27"/>
        <v>15.157116451016634</v>
      </c>
    </row>
    <row r="851" spans="1:14" x14ac:dyDescent="0.45">
      <c r="A851" s="30">
        <v>2023</v>
      </c>
      <c r="B851" s="30" t="s">
        <v>12</v>
      </c>
      <c r="C851" s="30" t="s">
        <v>46</v>
      </c>
      <c r="D851" s="30" t="s">
        <v>47</v>
      </c>
      <c r="E851" s="31" t="s">
        <v>314</v>
      </c>
      <c r="F851" s="32" t="s">
        <v>57</v>
      </c>
      <c r="G851" s="32" t="s">
        <v>50</v>
      </c>
      <c r="H851" s="33">
        <v>11140</v>
      </c>
      <c r="I851" s="34">
        <f>Table3[[#This Row],[Volume, kg.]]/1000</f>
        <v>11.14</v>
      </c>
      <c r="J851" s="34">
        <v>0.20300000000000001</v>
      </c>
      <c r="K851" s="34">
        <f t="shared" si="26"/>
        <v>2261.42</v>
      </c>
      <c r="L851" s="34">
        <v>3.35</v>
      </c>
      <c r="M851" s="34">
        <v>37319</v>
      </c>
      <c r="N851" s="34">
        <f t="shared" si="27"/>
        <v>16.502463054187192</v>
      </c>
    </row>
    <row r="852" spans="1:14" x14ac:dyDescent="0.45">
      <c r="A852" s="30">
        <v>2023</v>
      </c>
      <c r="B852" s="30" t="s">
        <v>12</v>
      </c>
      <c r="C852" s="30" t="s">
        <v>46</v>
      </c>
      <c r="D852" s="30" t="s">
        <v>47</v>
      </c>
      <c r="E852" s="31" t="s">
        <v>220</v>
      </c>
      <c r="F852" s="32" t="s">
        <v>49</v>
      </c>
      <c r="G852" s="32" t="s">
        <v>50</v>
      </c>
      <c r="H852" s="33">
        <v>27680</v>
      </c>
      <c r="I852" s="34">
        <f>Table3[[#This Row],[Volume, kg.]]/1000</f>
        <v>27.68</v>
      </c>
      <c r="J852" s="34">
        <v>0.19039999999999999</v>
      </c>
      <c r="K852" s="34">
        <f t="shared" si="26"/>
        <v>5270.2719999999999</v>
      </c>
      <c r="L852" s="34">
        <v>3.09</v>
      </c>
      <c r="M852" s="34">
        <v>85397</v>
      </c>
      <c r="N852" s="34">
        <f t="shared" si="27"/>
        <v>16.228991596638657</v>
      </c>
    </row>
    <row r="853" spans="1:14" x14ac:dyDescent="0.45">
      <c r="A853" s="30">
        <v>2023</v>
      </c>
      <c r="B853" s="30" t="s">
        <v>12</v>
      </c>
      <c r="C853" s="30" t="s">
        <v>46</v>
      </c>
      <c r="D853" s="30" t="s">
        <v>47</v>
      </c>
      <c r="E853" s="31" t="s">
        <v>445</v>
      </c>
      <c r="F853" s="32" t="s">
        <v>49</v>
      </c>
      <c r="G853" s="32" t="s">
        <v>50</v>
      </c>
      <c r="H853" s="33">
        <v>7400</v>
      </c>
      <c r="I853" s="34">
        <f>Table3[[#This Row],[Volume, kg.]]/1000</f>
        <v>7.4</v>
      </c>
      <c r="J853" s="34">
        <v>0.17399999999999999</v>
      </c>
      <c r="K853" s="34">
        <f t="shared" si="26"/>
        <v>1287.5999999999999</v>
      </c>
      <c r="L853" s="34">
        <v>2.6</v>
      </c>
      <c r="M853" s="34">
        <v>19240</v>
      </c>
      <c r="N853" s="34">
        <f t="shared" si="27"/>
        <v>14.942528735632186</v>
      </c>
    </row>
    <row r="854" spans="1:14" x14ac:dyDescent="0.45">
      <c r="A854" s="30">
        <v>2023</v>
      </c>
      <c r="B854" s="30" t="s">
        <v>12</v>
      </c>
      <c r="C854" s="30" t="s">
        <v>46</v>
      </c>
      <c r="D854" s="30" t="s">
        <v>102</v>
      </c>
      <c r="E854" s="31" t="s">
        <v>222</v>
      </c>
      <c r="F854" s="32" t="s">
        <v>223</v>
      </c>
      <c r="G854" s="32" t="s">
        <v>50</v>
      </c>
      <c r="H854" s="33">
        <v>419630</v>
      </c>
      <c r="I854" s="34">
        <f>Table3[[#This Row],[Volume, kg.]]/1000</f>
        <v>419.63</v>
      </c>
      <c r="J854" s="34">
        <v>0.19210000000000002</v>
      </c>
      <c r="K854" s="34">
        <f t="shared" si="26"/>
        <v>80610.92300000001</v>
      </c>
      <c r="L854" s="34">
        <v>2.92</v>
      </c>
      <c r="M854" s="34">
        <v>1225995.5</v>
      </c>
      <c r="N854" s="34">
        <f t="shared" si="27"/>
        <v>15.200416449765745</v>
      </c>
    </row>
    <row r="855" spans="1:14" x14ac:dyDescent="0.45">
      <c r="A855" s="30">
        <v>2023</v>
      </c>
      <c r="B855" s="30" t="s">
        <v>12</v>
      </c>
      <c r="C855" s="30" t="s">
        <v>46</v>
      </c>
      <c r="D855" s="30" t="s">
        <v>47</v>
      </c>
      <c r="E855" s="31" t="s">
        <v>446</v>
      </c>
      <c r="F855" s="32" t="s">
        <v>240</v>
      </c>
      <c r="G855" s="32" t="s">
        <v>50</v>
      </c>
      <c r="H855" s="33">
        <v>350</v>
      </c>
      <c r="I855" s="34">
        <f>Table3[[#This Row],[Volume, kg.]]/1000</f>
        <v>0.35</v>
      </c>
      <c r="J855" s="34">
        <v>0.14849999999999999</v>
      </c>
      <c r="K855" s="34">
        <f t="shared" si="26"/>
        <v>51.974999999999994</v>
      </c>
      <c r="L855" s="34">
        <v>2.5</v>
      </c>
      <c r="M855" s="34">
        <v>875</v>
      </c>
      <c r="N855" s="34">
        <f t="shared" si="27"/>
        <v>16.835016835016837</v>
      </c>
    </row>
    <row r="856" spans="1:14" x14ac:dyDescent="0.45">
      <c r="A856" s="30">
        <v>2023</v>
      </c>
      <c r="B856" s="30" t="s">
        <v>12</v>
      </c>
      <c r="C856" s="30" t="s">
        <v>46</v>
      </c>
      <c r="D856" s="30" t="s">
        <v>47</v>
      </c>
      <c r="E856" s="31" t="s">
        <v>315</v>
      </c>
      <c r="F856" s="32" t="s">
        <v>134</v>
      </c>
      <c r="G856" s="32" t="s">
        <v>50</v>
      </c>
      <c r="H856" s="33">
        <v>165440</v>
      </c>
      <c r="I856" s="34">
        <f>Table3[[#This Row],[Volume, kg.]]/1000</f>
        <v>165.44</v>
      </c>
      <c r="J856" s="34">
        <v>0.21</v>
      </c>
      <c r="K856" s="34">
        <f t="shared" si="26"/>
        <v>34742.400000000001</v>
      </c>
      <c r="L856" s="34">
        <v>3.15</v>
      </c>
      <c r="M856" s="34">
        <v>521076</v>
      </c>
      <c r="N856" s="34">
        <f t="shared" si="27"/>
        <v>15</v>
      </c>
    </row>
    <row r="857" spans="1:14" x14ac:dyDescent="0.45">
      <c r="A857" s="30">
        <v>2023</v>
      </c>
      <c r="B857" s="30" t="s">
        <v>12</v>
      </c>
      <c r="C857" s="30" t="s">
        <v>46</v>
      </c>
      <c r="D857" s="30" t="s">
        <v>47</v>
      </c>
      <c r="E857" s="31" t="s">
        <v>447</v>
      </c>
      <c r="F857" s="32" t="s">
        <v>57</v>
      </c>
      <c r="G857" s="32" t="s">
        <v>50</v>
      </c>
      <c r="H857" s="33">
        <v>26690</v>
      </c>
      <c r="I857" s="34">
        <f>Table3[[#This Row],[Volume, kg.]]/1000</f>
        <v>26.69</v>
      </c>
      <c r="J857" s="34">
        <v>0.16589999999999999</v>
      </c>
      <c r="K857" s="34">
        <f t="shared" si="26"/>
        <v>4427.8710000000001</v>
      </c>
      <c r="L857" s="34">
        <v>2.63</v>
      </c>
      <c r="M857" s="34">
        <v>70217</v>
      </c>
      <c r="N857" s="34">
        <f t="shared" si="27"/>
        <v>15.852923447860157</v>
      </c>
    </row>
    <row r="858" spans="1:14" x14ac:dyDescent="0.45">
      <c r="A858" s="30">
        <v>2023</v>
      </c>
      <c r="B858" s="30" t="s">
        <v>12</v>
      </c>
      <c r="C858" s="30" t="s">
        <v>46</v>
      </c>
      <c r="D858" s="30" t="s">
        <v>47</v>
      </c>
      <c r="E858" s="31" t="s">
        <v>387</v>
      </c>
      <c r="F858" s="32" t="s">
        <v>57</v>
      </c>
      <c r="G858" s="32" t="s">
        <v>50</v>
      </c>
      <c r="H858" s="33">
        <v>8220</v>
      </c>
      <c r="I858" s="34">
        <f>Table3[[#This Row],[Volume, kg.]]/1000</f>
        <v>8.2200000000000006</v>
      </c>
      <c r="J858" s="34">
        <v>0.17129999999999998</v>
      </c>
      <c r="K858" s="34">
        <f t="shared" si="26"/>
        <v>1408.0859999999998</v>
      </c>
      <c r="L858" s="34">
        <v>2.85</v>
      </c>
      <c r="M858" s="34">
        <v>23427</v>
      </c>
      <c r="N858" s="34">
        <f t="shared" si="27"/>
        <v>16.637478108581437</v>
      </c>
    </row>
    <row r="859" spans="1:14" x14ac:dyDescent="0.45">
      <c r="A859" s="30">
        <v>2023</v>
      </c>
      <c r="B859" s="30" t="s">
        <v>12</v>
      </c>
      <c r="C859" s="30" t="s">
        <v>46</v>
      </c>
      <c r="D859" s="30" t="s">
        <v>47</v>
      </c>
      <c r="E859" s="31" t="s">
        <v>225</v>
      </c>
      <c r="F859" s="32" t="s">
        <v>64</v>
      </c>
      <c r="G859" s="32" t="s">
        <v>50</v>
      </c>
      <c r="H859" s="33">
        <v>166280</v>
      </c>
      <c r="I859" s="34">
        <f>Table3[[#This Row],[Volume, kg.]]/1000</f>
        <v>166.28</v>
      </c>
      <c r="J859" s="34">
        <v>0.19260000000000002</v>
      </c>
      <c r="K859" s="34">
        <f t="shared" si="26"/>
        <v>32025.528000000002</v>
      </c>
      <c r="L859" s="34">
        <v>3.15</v>
      </c>
      <c r="M859" s="34">
        <v>523213</v>
      </c>
      <c r="N859" s="34">
        <f t="shared" si="27"/>
        <v>16.355140186915886</v>
      </c>
    </row>
    <row r="860" spans="1:14" x14ac:dyDescent="0.45">
      <c r="A860" s="30">
        <v>2023</v>
      </c>
      <c r="B860" s="30" t="s">
        <v>12</v>
      </c>
      <c r="C860" s="30" t="s">
        <v>46</v>
      </c>
      <c r="D860" s="30" t="s">
        <v>47</v>
      </c>
      <c r="E860" s="31" t="s">
        <v>448</v>
      </c>
      <c r="F860" s="32" t="s">
        <v>238</v>
      </c>
      <c r="G860" s="32" t="s">
        <v>50</v>
      </c>
      <c r="H860" s="33">
        <v>151930</v>
      </c>
      <c r="I860" s="34">
        <f>Table3[[#This Row],[Volume, kg.]]/1000</f>
        <v>151.93</v>
      </c>
      <c r="J860" s="34">
        <v>0.21350000000000002</v>
      </c>
      <c r="K860" s="34">
        <f t="shared" si="26"/>
        <v>32437.055000000004</v>
      </c>
      <c r="L860" s="34">
        <v>3.2</v>
      </c>
      <c r="M860" s="34">
        <v>486222.5</v>
      </c>
      <c r="N860" s="34">
        <f t="shared" si="27"/>
        <v>14.988290398126463</v>
      </c>
    </row>
    <row r="861" spans="1:14" x14ac:dyDescent="0.45">
      <c r="A861" s="30">
        <v>2023</v>
      </c>
      <c r="B861" s="30" t="s">
        <v>12</v>
      </c>
      <c r="C861" s="30" t="s">
        <v>46</v>
      </c>
      <c r="D861" s="30" t="s">
        <v>47</v>
      </c>
      <c r="E861" s="31" t="s">
        <v>226</v>
      </c>
      <c r="F861" s="32" t="s">
        <v>60</v>
      </c>
      <c r="G861" s="32" t="s">
        <v>50</v>
      </c>
      <c r="H861" s="33">
        <v>23570</v>
      </c>
      <c r="I861" s="34">
        <f>Table3[[#This Row],[Volume, kg.]]/1000</f>
        <v>23.57</v>
      </c>
      <c r="J861" s="34">
        <v>0.20620000000000002</v>
      </c>
      <c r="K861" s="34">
        <f t="shared" si="26"/>
        <v>4860.1340000000009</v>
      </c>
      <c r="L861" s="34">
        <v>3.06</v>
      </c>
      <c r="M861" s="34">
        <v>72164</v>
      </c>
      <c r="N861" s="34">
        <f t="shared" si="27"/>
        <v>14.839961202715809</v>
      </c>
    </row>
    <row r="862" spans="1:14" x14ac:dyDescent="0.45">
      <c r="A862" s="30">
        <v>2023</v>
      </c>
      <c r="B862" s="30" t="s">
        <v>12</v>
      </c>
      <c r="C862" s="30" t="s">
        <v>46</v>
      </c>
      <c r="D862" s="30" t="s">
        <v>102</v>
      </c>
      <c r="E862" s="31" t="s">
        <v>366</v>
      </c>
      <c r="F862" s="32" t="s">
        <v>367</v>
      </c>
      <c r="G862" s="32" t="s">
        <v>368</v>
      </c>
      <c r="H862" s="33">
        <v>349630</v>
      </c>
      <c r="I862" s="34">
        <f>Table3[[#This Row],[Volume, kg.]]/1000</f>
        <v>349.63</v>
      </c>
      <c r="J862" s="34">
        <v>0.19570000000000001</v>
      </c>
      <c r="K862" s="34">
        <f t="shared" si="26"/>
        <v>68422.591</v>
      </c>
      <c r="L862" s="34">
        <v>3.06</v>
      </c>
      <c r="M862" s="34">
        <v>1070765</v>
      </c>
      <c r="N862" s="34">
        <f t="shared" si="27"/>
        <v>15.636177823198773</v>
      </c>
    </row>
    <row r="863" spans="1:14" x14ac:dyDescent="0.45">
      <c r="A863" s="30">
        <v>2023</v>
      </c>
      <c r="B863" s="30" t="s">
        <v>12</v>
      </c>
      <c r="C863" s="30" t="s">
        <v>46</v>
      </c>
      <c r="D863" s="30" t="s">
        <v>47</v>
      </c>
      <c r="E863" s="31" t="s">
        <v>227</v>
      </c>
      <c r="F863" s="32" t="s">
        <v>57</v>
      </c>
      <c r="G863" s="32" t="s">
        <v>50</v>
      </c>
      <c r="H863" s="33">
        <v>9600</v>
      </c>
      <c r="I863" s="34">
        <f>Table3[[#This Row],[Volume, kg.]]/1000</f>
        <v>9.6</v>
      </c>
      <c r="J863" s="34">
        <v>0.16399999999999998</v>
      </c>
      <c r="K863" s="34">
        <f t="shared" si="26"/>
        <v>1574.3999999999999</v>
      </c>
      <c r="L863" s="34">
        <v>3.01</v>
      </c>
      <c r="M863" s="34">
        <v>28912.5</v>
      </c>
      <c r="N863" s="34">
        <f t="shared" si="27"/>
        <v>18.353658536585368</v>
      </c>
    </row>
    <row r="864" spans="1:14" x14ac:dyDescent="0.45">
      <c r="A864" s="30">
        <v>2023</v>
      </c>
      <c r="B864" s="30" t="s">
        <v>12</v>
      </c>
      <c r="C864" s="30" t="s">
        <v>46</v>
      </c>
      <c r="D864" s="30" t="s">
        <v>47</v>
      </c>
      <c r="E864" s="31" t="s">
        <v>228</v>
      </c>
      <c r="F864" s="32" t="s">
        <v>64</v>
      </c>
      <c r="G864" s="32" t="s">
        <v>50</v>
      </c>
      <c r="H864" s="33">
        <v>15740</v>
      </c>
      <c r="I864" s="34">
        <f>Table3[[#This Row],[Volume, kg.]]/1000</f>
        <v>15.74</v>
      </c>
      <c r="J864" s="34">
        <v>0.1905</v>
      </c>
      <c r="K864" s="34">
        <f t="shared" si="26"/>
        <v>2998.4700000000003</v>
      </c>
      <c r="L864" s="34">
        <v>3.1</v>
      </c>
      <c r="M864" s="34">
        <v>48794</v>
      </c>
      <c r="N864" s="34">
        <f t="shared" si="27"/>
        <v>16.272965879265094</v>
      </c>
    </row>
    <row r="865" spans="1:14" x14ac:dyDescent="0.45">
      <c r="A865" s="30">
        <v>2023</v>
      </c>
      <c r="B865" s="30" t="s">
        <v>12</v>
      </c>
      <c r="C865" s="30" t="s">
        <v>46</v>
      </c>
      <c r="D865" s="30" t="s">
        <v>47</v>
      </c>
      <c r="E865" s="31" t="s">
        <v>369</v>
      </c>
      <c r="F865" s="32" t="s">
        <v>57</v>
      </c>
      <c r="G865" s="32" t="s">
        <v>50</v>
      </c>
      <c r="H865" s="33">
        <v>2820</v>
      </c>
      <c r="I865" s="34">
        <f>Table3[[#This Row],[Volume, kg.]]/1000</f>
        <v>2.82</v>
      </c>
      <c r="J865" s="34">
        <v>0.21010000000000001</v>
      </c>
      <c r="K865" s="34">
        <f t="shared" si="26"/>
        <v>592.48199999999997</v>
      </c>
      <c r="L865" s="34">
        <v>3.17</v>
      </c>
      <c r="M865" s="34">
        <v>8947.5</v>
      </c>
      <c r="N865" s="34">
        <f t="shared" si="27"/>
        <v>15.088053307948595</v>
      </c>
    </row>
    <row r="866" spans="1:14" x14ac:dyDescent="0.45">
      <c r="A866" s="30">
        <v>2023</v>
      </c>
      <c r="B866" s="30" t="s">
        <v>12</v>
      </c>
      <c r="C866" s="30" t="s">
        <v>46</v>
      </c>
      <c r="D866" s="30" t="s">
        <v>47</v>
      </c>
      <c r="E866" s="31" t="s">
        <v>371</v>
      </c>
      <c r="F866" s="32" t="s">
        <v>64</v>
      </c>
      <c r="G866" s="32" t="s">
        <v>50</v>
      </c>
      <c r="H866" s="33">
        <v>125070</v>
      </c>
      <c r="I866" s="34">
        <f>Table3[[#This Row],[Volume, kg.]]/1000</f>
        <v>125.07</v>
      </c>
      <c r="J866" s="34">
        <v>0.27260000000000001</v>
      </c>
      <c r="K866" s="34">
        <f t="shared" si="26"/>
        <v>34094.082000000002</v>
      </c>
      <c r="L866" s="34">
        <v>3.49</v>
      </c>
      <c r="M866" s="34">
        <v>436927.5</v>
      </c>
      <c r="N866" s="34">
        <f t="shared" si="27"/>
        <v>12.802641232575201</v>
      </c>
    </row>
    <row r="867" spans="1:14" x14ac:dyDescent="0.45">
      <c r="A867" s="30">
        <v>2023</v>
      </c>
      <c r="B867" s="30" t="s">
        <v>12</v>
      </c>
      <c r="C867" s="30" t="s">
        <v>46</v>
      </c>
      <c r="D867" s="30" t="s">
        <v>47</v>
      </c>
      <c r="E867" s="31" t="s">
        <v>449</v>
      </c>
      <c r="F867" s="32" t="s">
        <v>49</v>
      </c>
      <c r="G867" s="32" t="s">
        <v>50</v>
      </c>
      <c r="H867" s="33">
        <v>4500</v>
      </c>
      <c r="I867" s="34">
        <f>Table3[[#This Row],[Volume, kg.]]/1000</f>
        <v>4.5</v>
      </c>
      <c r="J867" s="34">
        <v>0.2225</v>
      </c>
      <c r="K867" s="34">
        <f t="shared" si="26"/>
        <v>1001.25</v>
      </c>
      <c r="L867" s="34">
        <v>3.25</v>
      </c>
      <c r="M867" s="34">
        <v>14625</v>
      </c>
      <c r="N867" s="34">
        <f t="shared" si="27"/>
        <v>14.606741573033707</v>
      </c>
    </row>
    <row r="868" spans="1:14" x14ac:dyDescent="0.45">
      <c r="A868" s="30">
        <v>2023</v>
      </c>
      <c r="B868" s="30" t="s">
        <v>12</v>
      </c>
      <c r="C868" s="30" t="s">
        <v>46</v>
      </c>
      <c r="D868" s="30" t="s">
        <v>47</v>
      </c>
      <c r="E868" s="31" t="s">
        <v>385</v>
      </c>
      <c r="F868" s="32" t="s">
        <v>57</v>
      </c>
      <c r="G868" s="32" t="s">
        <v>50</v>
      </c>
      <c r="H868" s="33">
        <v>13370</v>
      </c>
      <c r="I868" s="34">
        <f>Table3[[#This Row],[Volume, kg.]]/1000</f>
        <v>13.37</v>
      </c>
      <c r="J868" s="34">
        <v>0.17</v>
      </c>
      <c r="K868" s="34">
        <f t="shared" si="26"/>
        <v>2272.9</v>
      </c>
      <c r="L868" s="34">
        <v>2.75</v>
      </c>
      <c r="M868" s="34">
        <v>36704.5</v>
      </c>
      <c r="N868" s="34">
        <f t="shared" si="27"/>
        <v>16.176470588235293</v>
      </c>
    </row>
    <row r="869" spans="1:14" x14ac:dyDescent="0.45">
      <c r="A869" s="30">
        <v>2023</v>
      </c>
      <c r="B869" s="30" t="s">
        <v>12</v>
      </c>
      <c r="C869" s="30" t="s">
        <v>46</v>
      </c>
      <c r="D869" s="30" t="s">
        <v>47</v>
      </c>
      <c r="E869" s="31" t="s">
        <v>381</v>
      </c>
      <c r="F869" s="32" t="s">
        <v>49</v>
      </c>
      <c r="G869" s="32" t="s">
        <v>50</v>
      </c>
      <c r="H869" s="33">
        <v>29090</v>
      </c>
      <c r="I869" s="34">
        <f>Table3[[#This Row],[Volume, kg.]]/1000</f>
        <v>29.09</v>
      </c>
      <c r="J869" s="34">
        <v>0.21129999999999999</v>
      </c>
      <c r="K869" s="34">
        <f t="shared" si="26"/>
        <v>6146.7169999999996</v>
      </c>
      <c r="L869" s="34">
        <v>3.06</v>
      </c>
      <c r="M869" s="34">
        <v>89010</v>
      </c>
      <c r="N869" s="34">
        <f t="shared" si="27"/>
        <v>14.481779460482727</v>
      </c>
    </row>
    <row r="870" spans="1:14" x14ac:dyDescent="0.45">
      <c r="A870" s="30">
        <v>2023</v>
      </c>
      <c r="B870" s="30" t="s">
        <v>12</v>
      </c>
      <c r="C870" s="30" t="s">
        <v>46</v>
      </c>
      <c r="D870" s="30" t="s">
        <v>47</v>
      </c>
      <c r="E870" s="31" t="s">
        <v>318</v>
      </c>
      <c r="F870" s="32" t="s">
        <v>60</v>
      </c>
      <c r="G870" s="32" t="s">
        <v>50</v>
      </c>
      <c r="H870" s="33">
        <v>23430</v>
      </c>
      <c r="I870" s="34">
        <f>Table3[[#This Row],[Volume, kg.]]/1000</f>
        <v>23.43</v>
      </c>
      <c r="J870" s="34">
        <v>0.2422</v>
      </c>
      <c r="K870" s="34">
        <f t="shared" si="26"/>
        <v>5674.7460000000001</v>
      </c>
      <c r="L870" s="34">
        <v>3.54</v>
      </c>
      <c r="M870" s="34">
        <v>82926</v>
      </c>
      <c r="N870" s="34">
        <f t="shared" si="27"/>
        <v>14.616019818331957</v>
      </c>
    </row>
    <row r="871" spans="1:14" x14ac:dyDescent="0.45">
      <c r="A871" s="30">
        <v>2023</v>
      </c>
      <c r="B871" s="30" t="s">
        <v>12</v>
      </c>
      <c r="C871" s="30" t="s">
        <v>46</v>
      </c>
      <c r="D871" s="30" t="s">
        <v>47</v>
      </c>
      <c r="E871" s="31" t="s">
        <v>233</v>
      </c>
      <c r="F871" s="32" t="s">
        <v>57</v>
      </c>
      <c r="G871" s="32" t="s">
        <v>50</v>
      </c>
      <c r="H871" s="33">
        <v>15850</v>
      </c>
      <c r="I871" s="34">
        <f>Table3[[#This Row],[Volume, kg.]]/1000</f>
        <v>15.85</v>
      </c>
      <c r="J871" s="34">
        <v>0.24440000000000001</v>
      </c>
      <c r="K871" s="34">
        <f t="shared" si="26"/>
        <v>3873.7400000000002</v>
      </c>
      <c r="L871" s="34">
        <v>3.03</v>
      </c>
      <c r="M871" s="34">
        <v>47980</v>
      </c>
      <c r="N871" s="34">
        <f t="shared" si="27"/>
        <v>12.397708674304418</v>
      </c>
    </row>
    <row r="872" spans="1:14" x14ac:dyDescent="0.45">
      <c r="A872" s="30">
        <v>2023</v>
      </c>
      <c r="B872" s="30" t="s">
        <v>12</v>
      </c>
      <c r="C872" s="30" t="s">
        <v>46</v>
      </c>
      <c r="D872" s="30" t="s">
        <v>47</v>
      </c>
      <c r="E872" s="31" t="s">
        <v>450</v>
      </c>
      <c r="F872" s="32" t="s">
        <v>64</v>
      </c>
      <c r="G872" s="32" t="s">
        <v>50</v>
      </c>
      <c r="H872" s="33">
        <v>167080</v>
      </c>
      <c r="I872" s="34">
        <f>Table3[[#This Row],[Volume, kg.]]/1000</f>
        <v>167.08</v>
      </c>
      <c r="J872" s="34">
        <v>0.20129999999999998</v>
      </c>
      <c r="K872" s="34">
        <f t="shared" si="26"/>
        <v>33633.203999999998</v>
      </c>
      <c r="L872" s="34">
        <v>3.26</v>
      </c>
      <c r="M872" s="34">
        <v>544814.5</v>
      </c>
      <c r="N872" s="34">
        <f t="shared" si="27"/>
        <v>16.194734227521113</v>
      </c>
    </row>
    <row r="873" spans="1:14" x14ac:dyDescent="0.45">
      <c r="A873" s="30">
        <v>2023</v>
      </c>
      <c r="B873" s="30" t="s">
        <v>12</v>
      </c>
      <c r="C873" s="30" t="s">
        <v>46</v>
      </c>
      <c r="D873" s="30" t="s">
        <v>47</v>
      </c>
      <c r="E873" s="31" t="s">
        <v>236</v>
      </c>
      <c r="F873" s="32" t="s">
        <v>49</v>
      </c>
      <c r="G873" s="32" t="s">
        <v>50</v>
      </c>
      <c r="H873" s="33">
        <v>18060</v>
      </c>
      <c r="I873" s="34">
        <f>Table3[[#This Row],[Volume, kg.]]/1000</f>
        <v>18.059999999999999</v>
      </c>
      <c r="J873" s="34">
        <v>0.1885</v>
      </c>
      <c r="K873" s="34">
        <f t="shared" si="26"/>
        <v>3404.31</v>
      </c>
      <c r="L873" s="34">
        <v>2.7</v>
      </c>
      <c r="M873" s="34">
        <v>48762</v>
      </c>
      <c r="N873" s="34">
        <f t="shared" si="27"/>
        <v>14.323607427055704</v>
      </c>
    </row>
    <row r="874" spans="1:14" x14ac:dyDescent="0.45">
      <c r="A874" s="30">
        <v>2023</v>
      </c>
      <c r="B874" s="30" t="s">
        <v>12</v>
      </c>
      <c r="C874" s="30" t="s">
        <v>46</v>
      </c>
      <c r="D874" s="30" t="s">
        <v>102</v>
      </c>
      <c r="E874" s="31" t="s">
        <v>239</v>
      </c>
      <c r="F874" s="32" t="s">
        <v>240</v>
      </c>
      <c r="G874" s="32" t="s">
        <v>50</v>
      </c>
      <c r="H874" s="33">
        <v>267970</v>
      </c>
      <c r="I874" s="34">
        <f>Table3[[#This Row],[Volume, kg.]]/1000</f>
        <v>267.97000000000003</v>
      </c>
      <c r="J874" s="34">
        <v>0.19329999999999997</v>
      </c>
      <c r="K874" s="34">
        <f t="shared" si="26"/>
        <v>51798.600999999995</v>
      </c>
      <c r="L874" s="34">
        <v>3.06</v>
      </c>
      <c r="M874" s="34">
        <v>819851.5</v>
      </c>
      <c r="N874" s="34">
        <f t="shared" si="27"/>
        <v>15.830315571650287</v>
      </c>
    </row>
    <row r="875" spans="1:14" x14ac:dyDescent="0.45">
      <c r="A875" s="30">
        <v>2023</v>
      </c>
      <c r="B875" s="30" t="s">
        <v>12</v>
      </c>
      <c r="C875" s="30" t="s">
        <v>46</v>
      </c>
      <c r="D875" s="30" t="s">
        <v>47</v>
      </c>
      <c r="E875" s="31" t="s">
        <v>451</v>
      </c>
      <c r="F875" s="32" t="s">
        <v>54</v>
      </c>
      <c r="G875" s="32" t="s">
        <v>50</v>
      </c>
      <c r="H875" s="33">
        <v>40120</v>
      </c>
      <c r="I875" s="34">
        <f>Table3[[#This Row],[Volume, kg.]]/1000</f>
        <v>40.119999999999997</v>
      </c>
      <c r="J875" s="34">
        <v>0.1923</v>
      </c>
      <c r="K875" s="34">
        <f t="shared" si="26"/>
        <v>7715.076</v>
      </c>
      <c r="L875" s="34">
        <v>2.81</v>
      </c>
      <c r="M875" s="34">
        <v>112582.5</v>
      </c>
      <c r="N875" s="34">
        <f t="shared" si="27"/>
        <v>14.612584503380136</v>
      </c>
    </row>
    <row r="876" spans="1:14" x14ac:dyDescent="0.45">
      <c r="A876" s="30">
        <v>2023</v>
      </c>
      <c r="B876" s="30" t="s">
        <v>12</v>
      </c>
      <c r="C876" s="30" t="s">
        <v>46</v>
      </c>
      <c r="D876" s="30" t="s">
        <v>47</v>
      </c>
      <c r="E876" s="31" t="s">
        <v>320</v>
      </c>
      <c r="F876" s="32" t="s">
        <v>49</v>
      </c>
      <c r="G876" s="32" t="s">
        <v>50</v>
      </c>
      <c r="H876" s="33">
        <v>5340</v>
      </c>
      <c r="I876" s="34">
        <f>Table3[[#This Row],[Volume, kg.]]/1000</f>
        <v>5.34</v>
      </c>
      <c r="J876" s="34">
        <v>0.22949999999999998</v>
      </c>
      <c r="K876" s="34">
        <f t="shared" si="26"/>
        <v>1225.53</v>
      </c>
      <c r="L876" s="34">
        <v>3.5</v>
      </c>
      <c r="M876" s="34">
        <v>18690</v>
      </c>
      <c r="N876" s="34">
        <f t="shared" si="27"/>
        <v>15.25054466230937</v>
      </c>
    </row>
    <row r="877" spans="1:14" x14ac:dyDescent="0.45">
      <c r="A877" s="30">
        <v>2023</v>
      </c>
      <c r="B877" s="30" t="s">
        <v>12</v>
      </c>
      <c r="C877" s="30" t="s">
        <v>46</v>
      </c>
      <c r="D877" s="30" t="s">
        <v>47</v>
      </c>
      <c r="E877" s="31" t="s">
        <v>241</v>
      </c>
      <c r="F877" s="32" t="s">
        <v>57</v>
      </c>
      <c r="G877" s="32" t="s">
        <v>50</v>
      </c>
      <c r="H877" s="33">
        <v>10980</v>
      </c>
      <c r="I877" s="34">
        <f>Table3[[#This Row],[Volume, kg.]]/1000</f>
        <v>10.98</v>
      </c>
      <c r="J877" s="34">
        <v>0.2046</v>
      </c>
      <c r="K877" s="34">
        <f t="shared" si="26"/>
        <v>2246.5080000000003</v>
      </c>
      <c r="L877" s="34">
        <v>3.32</v>
      </c>
      <c r="M877" s="34">
        <v>36438</v>
      </c>
      <c r="N877" s="34">
        <f t="shared" si="27"/>
        <v>16.226783968719452</v>
      </c>
    </row>
    <row r="878" spans="1:14" x14ac:dyDescent="0.45">
      <c r="A878" s="30">
        <v>2023</v>
      </c>
      <c r="B878" s="30" t="s">
        <v>12</v>
      </c>
      <c r="C878" s="30" t="s">
        <v>46</v>
      </c>
      <c r="D878" s="30" t="s">
        <v>47</v>
      </c>
      <c r="E878" s="31" t="s">
        <v>242</v>
      </c>
      <c r="F878" s="32" t="s">
        <v>60</v>
      </c>
      <c r="G878" s="32" t="s">
        <v>50</v>
      </c>
      <c r="H878" s="33">
        <v>25140</v>
      </c>
      <c r="I878" s="34">
        <f>Table3[[#This Row],[Volume, kg.]]/1000</f>
        <v>25.14</v>
      </c>
      <c r="J878" s="34">
        <v>0.16639999999999999</v>
      </c>
      <c r="K878" s="34">
        <f t="shared" si="26"/>
        <v>4183.2959999999994</v>
      </c>
      <c r="L878" s="34">
        <v>2.71</v>
      </c>
      <c r="M878" s="34">
        <v>68188</v>
      </c>
      <c r="N878" s="34">
        <f t="shared" si="27"/>
        <v>16.286057692307693</v>
      </c>
    </row>
    <row r="879" spans="1:14" x14ac:dyDescent="0.45">
      <c r="A879" s="30">
        <v>2023</v>
      </c>
      <c r="B879" s="30" t="s">
        <v>12</v>
      </c>
      <c r="C879" s="30" t="s">
        <v>46</v>
      </c>
      <c r="D879" s="30" t="s">
        <v>47</v>
      </c>
      <c r="E879" s="31" t="s">
        <v>452</v>
      </c>
      <c r="F879" s="32" t="s">
        <v>134</v>
      </c>
      <c r="G879" s="32" t="s">
        <v>50</v>
      </c>
      <c r="H879" s="33">
        <v>36640</v>
      </c>
      <c r="I879" s="34">
        <f>Table3[[#This Row],[Volume, kg.]]/1000</f>
        <v>36.64</v>
      </c>
      <c r="J879" s="34">
        <v>0.22320000000000001</v>
      </c>
      <c r="K879" s="34">
        <f t="shared" si="26"/>
        <v>8178.0480000000007</v>
      </c>
      <c r="L879" s="34">
        <v>3.05</v>
      </c>
      <c r="M879" s="34">
        <v>111716</v>
      </c>
      <c r="N879" s="34">
        <f t="shared" si="27"/>
        <v>13.664874551971325</v>
      </c>
    </row>
    <row r="880" spans="1:14" x14ac:dyDescent="0.45">
      <c r="A880" s="30">
        <v>2023</v>
      </c>
      <c r="B880" s="30" t="s">
        <v>12</v>
      </c>
      <c r="C880" s="30" t="s">
        <v>46</v>
      </c>
      <c r="D880" s="30" t="s">
        <v>47</v>
      </c>
      <c r="E880" s="31" t="s">
        <v>243</v>
      </c>
      <c r="F880" s="32" t="s">
        <v>60</v>
      </c>
      <c r="G880" s="32" t="s">
        <v>50</v>
      </c>
      <c r="H880" s="33">
        <v>10590</v>
      </c>
      <c r="I880" s="34">
        <f>Table3[[#This Row],[Volume, kg.]]/1000</f>
        <v>10.59</v>
      </c>
      <c r="J880" s="34">
        <v>0.20569999999999999</v>
      </c>
      <c r="K880" s="34">
        <f t="shared" si="26"/>
        <v>2178.3629999999998</v>
      </c>
      <c r="L880" s="34">
        <v>3.04</v>
      </c>
      <c r="M880" s="34">
        <v>32158.5</v>
      </c>
      <c r="N880" s="34">
        <f t="shared" si="27"/>
        <v>14.778804083616919</v>
      </c>
    </row>
    <row r="881" spans="1:14" x14ac:dyDescent="0.45">
      <c r="A881" s="30">
        <v>2023</v>
      </c>
      <c r="B881" s="30" t="s">
        <v>12</v>
      </c>
      <c r="C881" s="30" t="s">
        <v>46</v>
      </c>
      <c r="D881" s="30" t="s">
        <v>47</v>
      </c>
      <c r="E881" s="31" t="s">
        <v>453</v>
      </c>
      <c r="F881" s="32" t="s">
        <v>57</v>
      </c>
      <c r="G881" s="32" t="s">
        <v>50</v>
      </c>
      <c r="H881" s="33">
        <v>68170</v>
      </c>
      <c r="I881" s="34">
        <f>Table3[[#This Row],[Volume, kg.]]/1000</f>
        <v>68.17</v>
      </c>
      <c r="J881" s="34">
        <v>0.20559999999999998</v>
      </c>
      <c r="K881" s="34">
        <f t="shared" si="26"/>
        <v>14015.751999999999</v>
      </c>
      <c r="L881" s="34">
        <v>2.9</v>
      </c>
      <c r="M881" s="34">
        <v>197455.5</v>
      </c>
      <c r="N881" s="34">
        <f t="shared" si="27"/>
        <v>14.105058365758756</v>
      </c>
    </row>
    <row r="882" spans="1:14" x14ac:dyDescent="0.45">
      <c r="A882" s="30">
        <v>2023</v>
      </c>
      <c r="B882" s="30" t="s">
        <v>12</v>
      </c>
      <c r="C882" s="30" t="s">
        <v>46</v>
      </c>
      <c r="D882" s="30" t="s">
        <v>47</v>
      </c>
      <c r="E882" s="31" t="s">
        <v>244</v>
      </c>
      <c r="F882" s="32" t="s">
        <v>60</v>
      </c>
      <c r="G882" s="32" t="s">
        <v>50</v>
      </c>
      <c r="H882" s="33">
        <v>13570</v>
      </c>
      <c r="I882" s="34">
        <f>Table3[[#This Row],[Volume, kg.]]/1000</f>
        <v>13.57</v>
      </c>
      <c r="J882" s="34">
        <v>0.20519999999999999</v>
      </c>
      <c r="K882" s="34">
        <f t="shared" si="26"/>
        <v>2784.5639999999999</v>
      </c>
      <c r="L882" s="34">
        <v>2.99</v>
      </c>
      <c r="M882" s="34">
        <v>40637</v>
      </c>
      <c r="N882" s="34">
        <f t="shared" si="27"/>
        <v>14.571150097465889</v>
      </c>
    </row>
    <row r="883" spans="1:14" x14ac:dyDescent="0.45">
      <c r="A883" s="30">
        <v>2023</v>
      </c>
      <c r="B883" s="30" t="s">
        <v>12</v>
      </c>
      <c r="C883" s="30" t="s">
        <v>46</v>
      </c>
      <c r="D883" s="30" t="s">
        <v>47</v>
      </c>
      <c r="E883" s="31" t="s">
        <v>375</v>
      </c>
      <c r="F883" s="32" t="s">
        <v>49</v>
      </c>
      <c r="G883" s="32" t="s">
        <v>50</v>
      </c>
      <c r="H883" s="33">
        <v>3750</v>
      </c>
      <c r="I883" s="34">
        <f>Table3[[#This Row],[Volume, kg.]]/1000</f>
        <v>3.75</v>
      </c>
      <c r="J883" s="34">
        <v>0.16649999999999998</v>
      </c>
      <c r="K883" s="34">
        <f t="shared" si="26"/>
        <v>624.37499999999989</v>
      </c>
      <c r="L883" s="34">
        <v>2.6</v>
      </c>
      <c r="M883" s="34">
        <v>9750</v>
      </c>
      <c r="N883" s="34">
        <f t="shared" si="27"/>
        <v>15.615615615615617</v>
      </c>
    </row>
    <row r="884" spans="1:14" x14ac:dyDescent="0.45">
      <c r="A884" s="30">
        <v>2023</v>
      </c>
      <c r="B884" s="30" t="s">
        <v>12</v>
      </c>
      <c r="C884" s="30" t="s">
        <v>46</v>
      </c>
      <c r="D884" s="30" t="s">
        <v>47</v>
      </c>
      <c r="E884" s="31" t="s">
        <v>454</v>
      </c>
      <c r="F884" s="32" t="s">
        <v>114</v>
      </c>
      <c r="G884" s="32" t="s">
        <v>108</v>
      </c>
      <c r="H884" s="33">
        <v>24490</v>
      </c>
      <c r="I884" s="34">
        <f>Table3[[#This Row],[Volume, kg.]]/1000</f>
        <v>24.49</v>
      </c>
      <c r="J884" s="34">
        <v>0.17859999999999998</v>
      </c>
      <c r="K884" s="34">
        <f t="shared" si="26"/>
        <v>4373.9139999999998</v>
      </c>
      <c r="L884" s="34">
        <v>3</v>
      </c>
      <c r="M884" s="34">
        <v>73443.5</v>
      </c>
      <c r="N884" s="34">
        <f t="shared" si="27"/>
        <v>16.7973124300112</v>
      </c>
    </row>
    <row r="885" spans="1:14" x14ac:dyDescent="0.45">
      <c r="A885" s="30">
        <v>2023</v>
      </c>
      <c r="B885" s="30" t="s">
        <v>12</v>
      </c>
      <c r="C885" s="30" t="s">
        <v>46</v>
      </c>
      <c r="D885" s="30" t="s">
        <v>47</v>
      </c>
      <c r="E885" s="31" t="s">
        <v>246</v>
      </c>
      <c r="F885" s="32" t="s">
        <v>49</v>
      </c>
      <c r="G885" s="32" t="s">
        <v>50</v>
      </c>
      <c r="H885" s="33">
        <v>2450</v>
      </c>
      <c r="I885" s="34">
        <f>Table3[[#This Row],[Volume, kg.]]/1000</f>
        <v>2.4500000000000002</v>
      </c>
      <c r="J885" s="34">
        <v>0.22850000000000001</v>
      </c>
      <c r="K885" s="34">
        <f t="shared" si="26"/>
        <v>559.82500000000005</v>
      </c>
      <c r="L885" s="34">
        <v>2.95</v>
      </c>
      <c r="M885" s="34">
        <v>7227.5</v>
      </c>
      <c r="N885" s="34">
        <f t="shared" si="27"/>
        <v>12.910284463894968</v>
      </c>
    </row>
    <row r="886" spans="1:14" x14ac:dyDescent="0.45">
      <c r="A886" s="30">
        <v>2023</v>
      </c>
      <c r="B886" s="30" t="s">
        <v>12</v>
      </c>
      <c r="C886" s="30" t="s">
        <v>46</v>
      </c>
      <c r="D886" s="30" t="s">
        <v>102</v>
      </c>
      <c r="E886" s="31" t="s">
        <v>378</v>
      </c>
      <c r="F886" s="32" t="s">
        <v>81</v>
      </c>
      <c r="G886" s="32" t="s">
        <v>50</v>
      </c>
      <c r="H886" s="33">
        <v>26770</v>
      </c>
      <c r="I886" s="34">
        <f>Table3[[#This Row],[Volume, kg.]]/1000</f>
        <v>26.77</v>
      </c>
      <c r="J886" s="34">
        <v>0.19489999999999999</v>
      </c>
      <c r="K886" s="34">
        <f t="shared" si="26"/>
        <v>5217.473</v>
      </c>
      <c r="L886" s="34">
        <v>2.95</v>
      </c>
      <c r="M886" s="34">
        <v>79013.5</v>
      </c>
      <c r="N886" s="34">
        <f t="shared" si="27"/>
        <v>15.135967162647514</v>
      </c>
    </row>
    <row r="887" spans="1:14" x14ac:dyDescent="0.45">
      <c r="A887" s="30">
        <v>2023</v>
      </c>
      <c r="B887" s="30" t="s">
        <v>12</v>
      </c>
      <c r="C887" s="30" t="s">
        <v>46</v>
      </c>
      <c r="D887" s="30" t="s">
        <v>47</v>
      </c>
      <c r="E887" s="31" t="s">
        <v>379</v>
      </c>
      <c r="F887" s="32" t="s">
        <v>49</v>
      </c>
      <c r="G887" s="32" t="s">
        <v>50</v>
      </c>
      <c r="H887" s="33">
        <v>11930</v>
      </c>
      <c r="I887" s="34">
        <f>Table3[[#This Row],[Volume, kg.]]/1000</f>
        <v>11.93</v>
      </c>
      <c r="J887" s="34">
        <v>0.19829999999999998</v>
      </c>
      <c r="K887" s="34">
        <f t="shared" si="26"/>
        <v>2365.7189999999996</v>
      </c>
      <c r="L887" s="34">
        <v>2.95</v>
      </c>
      <c r="M887" s="34">
        <v>35187</v>
      </c>
      <c r="N887" s="34">
        <f t="shared" si="27"/>
        <v>14.876449823499751</v>
      </c>
    </row>
    <row r="888" spans="1:14" x14ac:dyDescent="0.45">
      <c r="A888" s="30">
        <v>2023</v>
      </c>
      <c r="B888" s="30" t="s">
        <v>12</v>
      </c>
      <c r="C888" s="30" t="s">
        <v>46</v>
      </c>
      <c r="D888" s="30" t="s">
        <v>102</v>
      </c>
      <c r="E888" s="31" t="s">
        <v>250</v>
      </c>
      <c r="F888" s="32" t="s">
        <v>49</v>
      </c>
      <c r="G888" s="32" t="s">
        <v>50</v>
      </c>
      <c r="H888" s="33">
        <v>3068390</v>
      </c>
      <c r="I888" s="34">
        <f>Table3[[#This Row],[Volume, kg.]]/1000</f>
        <v>3068.39</v>
      </c>
      <c r="J888" s="34">
        <v>0.19670000000000001</v>
      </c>
      <c r="K888" s="34">
        <f t="shared" si="26"/>
        <v>603552.31300000008</v>
      </c>
      <c r="L888" s="34">
        <v>3.21</v>
      </c>
      <c r="M888" s="34">
        <v>9836799.5</v>
      </c>
      <c r="N888" s="34">
        <f t="shared" si="27"/>
        <v>16.319267920691406</v>
      </c>
    </row>
    <row r="889" spans="1:14" x14ac:dyDescent="0.45">
      <c r="A889" s="30">
        <v>2023</v>
      </c>
      <c r="B889" s="30" t="s">
        <v>12</v>
      </c>
      <c r="C889" s="30" t="s">
        <v>46</v>
      </c>
      <c r="D889" s="30" t="s">
        <v>47</v>
      </c>
      <c r="E889" s="31" t="s">
        <v>252</v>
      </c>
      <c r="F889" s="32" t="s">
        <v>49</v>
      </c>
      <c r="G889" s="32" t="s">
        <v>50</v>
      </c>
      <c r="H889" s="33">
        <v>9520</v>
      </c>
      <c r="I889" s="34">
        <f>Table3[[#This Row],[Volume, kg.]]/1000</f>
        <v>9.52</v>
      </c>
      <c r="J889" s="34">
        <v>0.18940000000000001</v>
      </c>
      <c r="K889" s="34">
        <f t="shared" si="26"/>
        <v>1803.0880000000002</v>
      </c>
      <c r="L889" s="34">
        <v>2.94</v>
      </c>
      <c r="M889" s="34">
        <v>27991.5</v>
      </c>
      <c r="N889" s="34">
        <f t="shared" si="27"/>
        <v>15.522703273495248</v>
      </c>
    </row>
    <row r="890" spans="1:14" x14ac:dyDescent="0.45">
      <c r="A890" s="30">
        <v>2023</v>
      </c>
      <c r="B890" s="30" t="s">
        <v>12</v>
      </c>
      <c r="C890" s="30" t="s">
        <v>46</v>
      </c>
      <c r="D890" s="30" t="s">
        <v>47</v>
      </c>
      <c r="E890" s="31" t="s">
        <v>455</v>
      </c>
      <c r="F890" s="32" t="s">
        <v>456</v>
      </c>
      <c r="G890" s="32" t="s">
        <v>341</v>
      </c>
      <c r="H890" s="33">
        <v>427900</v>
      </c>
      <c r="I890" s="34">
        <f>Table3[[#This Row],[Volume, kg.]]/1000</f>
        <v>427.9</v>
      </c>
      <c r="J890" s="34">
        <v>0.17149999999999999</v>
      </c>
      <c r="K890" s="34">
        <f t="shared" si="26"/>
        <v>73384.849999999991</v>
      </c>
      <c r="L890" s="34">
        <v>3.02</v>
      </c>
      <c r="M890" s="34">
        <v>1294309.5</v>
      </c>
      <c r="N890" s="34">
        <f t="shared" si="27"/>
        <v>17.609329446064141</v>
      </c>
    </row>
    <row r="891" spans="1:14" x14ac:dyDescent="0.45">
      <c r="A891" s="30">
        <v>2023</v>
      </c>
      <c r="B891" s="30" t="s">
        <v>12</v>
      </c>
      <c r="C891" s="30" t="s">
        <v>46</v>
      </c>
      <c r="D891" s="30" t="s">
        <v>47</v>
      </c>
      <c r="E891" s="31" t="s">
        <v>253</v>
      </c>
      <c r="F891" s="32" t="s">
        <v>57</v>
      </c>
      <c r="G891" s="32" t="s">
        <v>50</v>
      </c>
      <c r="H891" s="33">
        <v>17590</v>
      </c>
      <c r="I891" s="34">
        <f>Table3[[#This Row],[Volume, kg.]]/1000</f>
        <v>17.59</v>
      </c>
      <c r="J891" s="34">
        <v>0.20559999999999998</v>
      </c>
      <c r="K891" s="34">
        <f t="shared" si="26"/>
        <v>3616.5039999999995</v>
      </c>
      <c r="L891" s="34">
        <v>3.14</v>
      </c>
      <c r="M891" s="34">
        <v>55255</v>
      </c>
      <c r="N891" s="34">
        <f t="shared" si="27"/>
        <v>15.272373540856034</v>
      </c>
    </row>
    <row r="892" spans="1:14" x14ac:dyDescent="0.45">
      <c r="A892" s="30">
        <v>2023</v>
      </c>
      <c r="B892" s="30" t="s">
        <v>12</v>
      </c>
      <c r="C892" s="30" t="s">
        <v>46</v>
      </c>
      <c r="D892" s="30" t="s">
        <v>47</v>
      </c>
      <c r="E892" s="31" t="s">
        <v>457</v>
      </c>
      <c r="F892" s="32" t="s">
        <v>49</v>
      </c>
      <c r="G892" s="32" t="s">
        <v>50</v>
      </c>
      <c r="H892" s="33">
        <v>5490</v>
      </c>
      <c r="I892" s="34">
        <f>Table3[[#This Row],[Volume, kg.]]/1000</f>
        <v>5.49</v>
      </c>
      <c r="J892" s="34">
        <v>0.19649999999999998</v>
      </c>
      <c r="K892" s="34">
        <f t="shared" si="26"/>
        <v>1078.7849999999999</v>
      </c>
      <c r="L892" s="34">
        <v>2.9</v>
      </c>
      <c r="M892" s="34">
        <v>15921</v>
      </c>
      <c r="N892" s="34">
        <f t="shared" si="27"/>
        <v>14.758269720101783</v>
      </c>
    </row>
    <row r="893" spans="1:14" x14ac:dyDescent="0.45">
      <c r="A893" s="30">
        <v>2023</v>
      </c>
      <c r="B893" s="30" t="s">
        <v>12</v>
      </c>
      <c r="C893" s="30" t="s">
        <v>46</v>
      </c>
      <c r="D893" s="30" t="s">
        <v>47</v>
      </c>
      <c r="E893" s="31" t="s">
        <v>254</v>
      </c>
      <c r="F893" s="32" t="s">
        <v>49</v>
      </c>
      <c r="G893" s="32" t="s">
        <v>50</v>
      </c>
      <c r="H893" s="33">
        <v>1670</v>
      </c>
      <c r="I893" s="34">
        <f>Table3[[#This Row],[Volume, kg.]]/1000</f>
        <v>1.67</v>
      </c>
      <c r="J893" s="34">
        <v>0.22600000000000001</v>
      </c>
      <c r="K893" s="34">
        <f t="shared" si="26"/>
        <v>377.42</v>
      </c>
      <c r="L893" s="34">
        <v>3.3</v>
      </c>
      <c r="M893" s="34">
        <v>5511</v>
      </c>
      <c r="N893" s="34">
        <f t="shared" si="27"/>
        <v>14.601769911504423</v>
      </c>
    </row>
    <row r="894" spans="1:14" x14ac:dyDescent="0.45">
      <c r="A894" s="30">
        <v>2023</v>
      </c>
      <c r="B894" s="30" t="s">
        <v>12</v>
      </c>
      <c r="C894" s="30" t="s">
        <v>46</v>
      </c>
      <c r="D894" s="30" t="s">
        <v>47</v>
      </c>
      <c r="E894" s="31" t="s">
        <v>458</v>
      </c>
      <c r="F894" s="32" t="s">
        <v>60</v>
      </c>
      <c r="G894" s="32" t="s">
        <v>50</v>
      </c>
      <c r="H894" s="33">
        <v>5090</v>
      </c>
      <c r="I894" s="34">
        <f>Table3[[#This Row],[Volume, kg.]]/1000</f>
        <v>5.09</v>
      </c>
      <c r="J894" s="34">
        <v>0.1885</v>
      </c>
      <c r="K894" s="34">
        <f t="shared" si="26"/>
        <v>959.46500000000003</v>
      </c>
      <c r="L894" s="34">
        <v>2.75</v>
      </c>
      <c r="M894" s="34">
        <v>13997.5</v>
      </c>
      <c r="N894" s="34">
        <f t="shared" si="27"/>
        <v>14.588859416445624</v>
      </c>
    </row>
    <row r="895" spans="1:14" x14ac:dyDescent="0.45">
      <c r="A895" s="30">
        <v>2023</v>
      </c>
      <c r="B895" s="30" t="s">
        <v>12</v>
      </c>
      <c r="C895" s="30" t="s">
        <v>46</v>
      </c>
      <c r="D895" s="30" t="s">
        <v>47</v>
      </c>
      <c r="E895" s="31" t="s">
        <v>255</v>
      </c>
      <c r="F895" s="32" t="s">
        <v>60</v>
      </c>
      <c r="G895" s="32" t="s">
        <v>50</v>
      </c>
      <c r="H895" s="33">
        <v>14370</v>
      </c>
      <c r="I895" s="34">
        <f>Table3[[#This Row],[Volume, kg.]]/1000</f>
        <v>14.37</v>
      </c>
      <c r="J895" s="34">
        <v>0.23089999999999999</v>
      </c>
      <c r="K895" s="34">
        <f t="shared" si="26"/>
        <v>3318.0329999999999</v>
      </c>
      <c r="L895" s="34">
        <v>3.38</v>
      </c>
      <c r="M895" s="34">
        <v>48503</v>
      </c>
      <c r="N895" s="34">
        <f t="shared" si="27"/>
        <v>14.638371589432655</v>
      </c>
    </row>
    <row r="896" spans="1:14" x14ac:dyDescent="0.45">
      <c r="A896" s="30">
        <v>2023</v>
      </c>
      <c r="B896" s="30" t="s">
        <v>12</v>
      </c>
      <c r="C896" s="30" t="s">
        <v>46</v>
      </c>
      <c r="D896" s="30" t="s">
        <v>47</v>
      </c>
      <c r="E896" s="31" t="s">
        <v>380</v>
      </c>
      <c r="F896" s="32" t="s">
        <v>49</v>
      </c>
      <c r="G896" s="32" t="s">
        <v>50</v>
      </c>
      <c r="H896" s="33">
        <v>35880</v>
      </c>
      <c r="I896" s="34">
        <f>Table3[[#This Row],[Volume, kg.]]/1000</f>
        <v>35.880000000000003</v>
      </c>
      <c r="J896" s="34">
        <v>0.20760000000000001</v>
      </c>
      <c r="K896" s="34">
        <f t="shared" si="26"/>
        <v>7448.6880000000001</v>
      </c>
      <c r="L896" s="34">
        <v>3.12</v>
      </c>
      <c r="M896" s="34">
        <v>111928.5</v>
      </c>
      <c r="N896" s="34">
        <f t="shared" si="27"/>
        <v>15.028901734104046</v>
      </c>
    </row>
    <row r="897" spans="1:14" x14ac:dyDescent="0.45">
      <c r="A897" s="30">
        <v>2023</v>
      </c>
      <c r="B897" s="30" t="s">
        <v>12</v>
      </c>
      <c r="C897" s="30" t="s">
        <v>46</v>
      </c>
      <c r="D897" s="30" t="s">
        <v>47</v>
      </c>
      <c r="E897" s="31" t="s">
        <v>257</v>
      </c>
      <c r="F897" s="32" t="s">
        <v>64</v>
      </c>
      <c r="G897" s="32" t="s">
        <v>50</v>
      </c>
      <c r="H897" s="33">
        <v>1849820</v>
      </c>
      <c r="I897" s="34">
        <f>Table3[[#This Row],[Volume, kg.]]/1000</f>
        <v>1849.82</v>
      </c>
      <c r="J897" s="34">
        <v>0.20319999999999999</v>
      </c>
      <c r="K897" s="34">
        <f t="shared" si="26"/>
        <v>375883.424</v>
      </c>
      <c r="L897" s="34">
        <v>3.44</v>
      </c>
      <c r="M897" s="34">
        <v>6372325.5</v>
      </c>
      <c r="N897" s="34">
        <f t="shared" si="27"/>
        <v>16.929133858267718</v>
      </c>
    </row>
    <row r="898" spans="1:14" x14ac:dyDescent="0.45">
      <c r="A898" s="30">
        <v>2023</v>
      </c>
      <c r="B898" s="30" t="s">
        <v>12</v>
      </c>
      <c r="C898" s="30" t="s">
        <v>46</v>
      </c>
      <c r="D898" s="30" t="s">
        <v>47</v>
      </c>
      <c r="E898" s="31" t="s">
        <v>459</v>
      </c>
      <c r="F898" s="32" t="s">
        <v>134</v>
      </c>
      <c r="G898" s="32" t="s">
        <v>50</v>
      </c>
      <c r="H898" s="33">
        <v>38690</v>
      </c>
      <c r="I898" s="34">
        <f>Table3[[#This Row],[Volume, kg.]]/1000</f>
        <v>38.69</v>
      </c>
      <c r="J898" s="34">
        <v>0.1724</v>
      </c>
      <c r="K898" s="34">
        <f t="shared" si="26"/>
        <v>6670.1559999999999</v>
      </c>
      <c r="L898" s="34">
        <v>2.76</v>
      </c>
      <c r="M898" s="34">
        <v>106939</v>
      </c>
      <c r="N898" s="34">
        <f t="shared" si="27"/>
        <v>16.009280742459396</v>
      </c>
    </row>
    <row r="899" spans="1:14" x14ac:dyDescent="0.45">
      <c r="A899" s="30">
        <v>2023</v>
      </c>
      <c r="B899" s="30" t="s">
        <v>12</v>
      </c>
      <c r="C899" s="30" t="s">
        <v>46</v>
      </c>
      <c r="D899" s="30" t="s">
        <v>47</v>
      </c>
      <c r="E899" s="31" t="s">
        <v>258</v>
      </c>
      <c r="F899" s="32" t="s">
        <v>49</v>
      </c>
      <c r="G899" s="32" t="s">
        <v>50</v>
      </c>
      <c r="H899" s="33">
        <v>361690</v>
      </c>
      <c r="I899" s="34">
        <f>Table3[[#This Row],[Volume, kg.]]/1000</f>
        <v>361.69</v>
      </c>
      <c r="J899" s="34">
        <v>0.19829999999999998</v>
      </c>
      <c r="K899" s="34">
        <f t="shared" ref="K899:K962" si="28">H899*J899</f>
        <v>71723.126999999993</v>
      </c>
      <c r="L899" s="34">
        <v>3.06</v>
      </c>
      <c r="M899" s="34">
        <v>1106939.5</v>
      </c>
      <c r="N899" s="34">
        <f t="shared" si="27"/>
        <v>15.431164901664147</v>
      </c>
    </row>
    <row r="900" spans="1:14" x14ac:dyDescent="0.45">
      <c r="A900" s="30">
        <v>2023</v>
      </c>
      <c r="B900" s="30" t="s">
        <v>13</v>
      </c>
      <c r="C900" s="30" t="s">
        <v>46</v>
      </c>
      <c r="D900" s="30" t="s">
        <v>102</v>
      </c>
      <c r="E900" s="31" t="s">
        <v>239</v>
      </c>
      <c r="F900" s="32" t="s">
        <v>240</v>
      </c>
      <c r="G900" s="32" t="s">
        <v>50</v>
      </c>
      <c r="H900" s="33">
        <v>123740</v>
      </c>
      <c r="I900" s="34">
        <f>Table3[[#This Row],[Volume, kg.]]/1000</f>
        <v>123.74</v>
      </c>
      <c r="J900" s="34">
        <v>0.16239999999999999</v>
      </c>
      <c r="K900" s="34">
        <f t="shared" si="28"/>
        <v>20095.376</v>
      </c>
      <c r="L900" s="34">
        <v>2.61</v>
      </c>
      <c r="M900" s="34">
        <v>322637</v>
      </c>
      <c r="N900" s="34">
        <f t="shared" ref="N900:N963" si="29">L900/J900</f>
        <v>16.071428571428573</v>
      </c>
    </row>
    <row r="901" spans="1:14" x14ac:dyDescent="0.45">
      <c r="A901" s="30">
        <v>2023</v>
      </c>
      <c r="B901" s="30" t="s">
        <v>13</v>
      </c>
      <c r="C901" s="30" t="s">
        <v>46</v>
      </c>
      <c r="D901" s="30" t="s">
        <v>102</v>
      </c>
      <c r="E901" s="31" t="s">
        <v>222</v>
      </c>
      <c r="F901" s="32" t="s">
        <v>223</v>
      </c>
      <c r="G901" s="32" t="s">
        <v>50</v>
      </c>
      <c r="H901" s="33">
        <v>1123890</v>
      </c>
      <c r="I901" s="34">
        <f>Table3[[#This Row],[Volume, kg.]]/1000</f>
        <v>1123.8900000000001</v>
      </c>
      <c r="J901" s="34">
        <v>0.19440000000000002</v>
      </c>
      <c r="K901" s="34">
        <f t="shared" si="28"/>
        <v>218484.21600000001</v>
      </c>
      <c r="L901" s="34">
        <v>2.79</v>
      </c>
      <c r="M901" s="34">
        <v>3137297.5</v>
      </c>
      <c r="N901" s="34">
        <f t="shared" si="29"/>
        <v>14.351851851851851</v>
      </c>
    </row>
    <row r="902" spans="1:14" x14ac:dyDescent="0.45">
      <c r="A902" s="30">
        <v>2023</v>
      </c>
      <c r="B902" s="30" t="s">
        <v>13</v>
      </c>
      <c r="C902" s="30" t="s">
        <v>46</v>
      </c>
      <c r="D902" s="30" t="s">
        <v>47</v>
      </c>
      <c r="E902" s="31" t="s">
        <v>181</v>
      </c>
      <c r="F902" s="32" t="s">
        <v>57</v>
      </c>
      <c r="G902" s="32" t="s">
        <v>50</v>
      </c>
      <c r="H902" s="33">
        <v>11150</v>
      </c>
      <c r="I902" s="34">
        <f>Table3[[#This Row],[Volume, kg.]]/1000</f>
        <v>11.15</v>
      </c>
      <c r="J902" s="34">
        <v>0.21239999999999998</v>
      </c>
      <c r="K902" s="34">
        <f t="shared" si="28"/>
        <v>2368.2599999999998</v>
      </c>
      <c r="L902" s="34">
        <v>2.87</v>
      </c>
      <c r="M902" s="34">
        <v>32041</v>
      </c>
      <c r="N902" s="34">
        <f t="shared" si="29"/>
        <v>13.512241054613938</v>
      </c>
    </row>
    <row r="903" spans="1:14" x14ac:dyDescent="0.45">
      <c r="A903" s="30">
        <v>2023</v>
      </c>
      <c r="B903" s="30" t="s">
        <v>13</v>
      </c>
      <c r="C903" s="30" t="s">
        <v>46</v>
      </c>
      <c r="D903" s="30" t="s">
        <v>47</v>
      </c>
      <c r="E903" s="31" t="s">
        <v>138</v>
      </c>
      <c r="F903" s="32" t="s">
        <v>49</v>
      </c>
      <c r="G903" s="32" t="s">
        <v>50</v>
      </c>
      <c r="H903" s="33">
        <v>12190</v>
      </c>
      <c r="I903" s="34">
        <f>Table3[[#This Row],[Volume, kg.]]/1000</f>
        <v>12.19</v>
      </c>
      <c r="J903" s="34">
        <v>0.23749999999999999</v>
      </c>
      <c r="K903" s="34">
        <f t="shared" si="28"/>
        <v>2895.125</v>
      </c>
      <c r="L903" s="34">
        <v>3</v>
      </c>
      <c r="M903" s="34">
        <v>36570</v>
      </c>
      <c r="N903" s="34">
        <f t="shared" si="29"/>
        <v>12.631578947368421</v>
      </c>
    </row>
    <row r="904" spans="1:14" x14ac:dyDescent="0.45">
      <c r="A904" s="30">
        <v>2023</v>
      </c>
      <c r="B904" s="30" t="s">
        <v>13</v>
      </c>
      <c r="C904" s="30" t="s">
        <v>46</v>
      </c>
      <c r="D904" s="30" t="s">
        <v>47</v>
      </c>
      <c r="E904" s="31" t="s">
        <v>232</v>
      </c>
      <c r="F904" s="32" t="s">
        <v>49</v>
      </c>
      <c r="G904" s="32" t="s">
        <v>50</v>
      </c>
      <c r="H904" s="33">
        <v>18140</v>
      </c>
      <c r="I904" s="34">
        <f>Table3[[#This Row],[Volume, kg.]]/1000</f>
        <v>18.14</v>
      </c>
      <c r="J904" s="34">
        <v>0.2059</v>
      </c>
      <c r="K904" s="34">
        <f t="shared" si="28"/>
        <v>3735.0259999999998</v>
      </c>
      <c r="L904" s="34">
        <v>2.87</v>
      </c>
      <c r="M904" s="34">
        <v>52094</v>
      </c>
      <c r="N904" s="34">
        <f t="shared" si="29"/>
        <v>13.938805245264692</v>
      </c>
    </row>
    <row r="905" spans="1:14" x14ac:dyDescent="0.45">
      <c r="A905" s="30">
        <v>2023</v>
      </c>
      <c r="B905" s="30" t="s">
        <v>13</v>
      </c>
      <c r="C905" s="30" t="s">
        <v>46</v>
      </c>
      <c r="D905" s="30" t="s">
        <v>47</v>
      </c>
      <c r="E905" s="31" t="s">
        <v>213</v>
      </c>
      <c r="F905" s="32" t="s">
        <v>49</v>
      </c>
      <c r="G905" s="32" t="s">
        <v>50</v>
      </c>
      <c r="H905" s="33">
        <v>113860</v>
      </c>
      <c r="I905" s="34">
        <f>Table3[[#This Row],[Volume, kg.]]/1000</f>
        <v>113.86</v>
      </c>
      <c r="J905" s="34">
        <v>0.19670000000000001</v>
      </c>
      <c r="K905" s="34">
        <f t="shared" si="28"/>
        <v>22396.262000000002</v>
      </c>
      <c r="L905" s="34">
        <v>2.79</v>
      </c>
      <c r="M905" s="34">
        <v>317131.5</v>
      </c>
      <c r="N905" s="34">
        <f t="shared" si="29"/>
        <v>14.18403660396543</v>
      </c>
    </row>
    <row r="906" spans="1:14" x14ac:dyDescent="0.45">
      <c r="A906" s="30">
        <v>2023</v>
      </c>
      <c r="B906" s="30" t="s">
        <v>13</v>
      </c>
      <c r="C906" s="30" t="s">
        <v>46</v>
      </c>
      <c r="D906" s="30" t="s">
        <v>47</v>
      </c>
      <c r="E906" s="31" t="s">
        <v>69</v>
      </c>
      <c r="F906" s="32" t="s">
        <v>49</v>
      </c>
      <c r="G906" s="32" t="s">
        <v>50</v>
      </c>
      <c r="H906" s="33">
        <v>73090</v>
      </c>
      <c r="I906" s="34">
        <f>Table3[[#This Row],[Volume, kg.]]/1000</f>
        <v>73.09</v>
      </c>
      <c r="J906" s="34">
        <v>0.188</v>
      </c>
      <c r="K906" s="34">
        <f t="shared" si="28"/>
        <v>13740.92</v>
      </c>
      <c r="L906" s="34">
        <v>2.77</v>
      </c>
      <c r="M906" s="34">
        <v>202478</v>
      </c>
      <c r="N906" s="34">
        <f t="shared" si="29"/>
        <v>14.73404255319149</v>
      </c>
    </row>
    <row r="907" spans="1:14" x14ac:dyDescent="0.45">
      <c r="A907" s="30">
        <v>2023</v>
      </c>
      <c r="B907" s="30" t="s">
        <v>13</v>
      </c>
      <c r="C907" s="30" t="s">
        <v>46</v>
      </c>
      <c r="D907" s="30" t="s">
        <v>47</v>
      </c>
      <c r="E907" s="31" t="s">
        <v>460</v>
      </c>
      <c r="F907" s="32" t="s">
        <v>49</v>
      </c>
      <c r="G907" s="32" t="s">
        <v>50</v>
      </c>
      <c r="H907" s="33">
        <v>6370</v>
      </c>
      <c r="I907" s="34">
        <f>Table3[[#This Row],[Volume, kg.]]/1000</f>
        <v>6.37</v>
      </c>
      <c r="J907" s="34">
        <v>0.18049999999999999</v>
      </c>
      <c r="K907" s="34">
        <f t="shared" si="28"/>
        <v>1149.7849999999999</v>
      </c>
      <c r="L907" s="34">
        <v>2.7</v>
      </c>
      <c r="M907" s="34">
        <v>17199</v>
      </c>
      <c r="N907" s="34">
        <f t="shared" si="29"/>
        <v>14.958448753462605</v>
      </c>
    </row>
    <row r="908" spans="1:14" x14ac:dyDescent="0.45">
      <c r="A908" s="30">
        <v>2023</v>
      </c>
      <c r="B908" s="30" t="s">
        <v>13</v>
      </c>
      <c r="C908" s="30" t="s">
        <v>46</v>
      </c>
      <c r="D908" s="30" t="s">
        <v>47</v>
      </c>
      <c r="E908" s="31" t="s">
        <v>202</v>
      </c>
      <c r="F908" s="32" t="s">
        <v>57</v>
      </c>
      <c r="G908" s="32" t="s">
        <v>50</v>
      </c>
      <c r="H908" s="33">
        <v>8250</v>
      </c>
      <c r="I908" s="34">
        <f>Table3[[#This Row],[Volume, kg.]]/1000</f>
        <v>8.25</v>
      </c>
      <c r="J908" s="34">
        <v>0.1865</v>
      </c>
      <c r="K908" s="34">
        <f t="shared" si="28"/>
        <v>1538.625</v>
      </c>
      <c r="L908" s="34">
        <v>2.75</v>
      </c>
      <c r="M908" s="34">
        <v>22687.5</v>
      </c>
      <c r="N908" s="34">
        <f t="shared" si="29"/>
        <v>14.745308310991957</v>
      </c>
    </row>
    <row r="909" spans="1:14" x14ac:dyDescent="0.45">
      <c r="A909" s="30">
        <v>2023</v>
      </c>
      <c r="B909" s="30" t="s">
        <v>13</v>
      </c>
      <c r="C909" s="30" t="s">
        <v>46</v>
      </c>
      <c r="D909" s="30" t="s">
        <v>47</v>
      </c>
      <c r="E909" s="31" t="s">
        <v>52</v>
      </c>
      <c r="F909" s="32" t="s">
        <v>49</v>
      </c>
      <c r="G909" s="32" t="s">
        <v>50</v>
      </c>
      <c r="H909" s="33">
        <v>22000</v>
      </c>
      <c r="I909" s="34">
        <f>Table3[[#This Row],[Volume, kg.]]/1000</f>
        <v>22</v>
      </c>
      <c r="J909" s="34">
        <v>0.20800000000000002</v>
      </c>
      <c r="K909" s="34">
        <f t="shared" si="28"/>
        <v>4576</v>
      </c>
      <c r="L909" s="34">
        <v>2.84</v>
      </c>
      <c r="M909" s="34">
        <v>62394.5</v>
      </c>
      <c r="N909" s="34">
        <f t="shared" si="29"/>
        <v>13.653846153846152</v>
      </c>
    </row>
    <row r="910" spans="1:14" x14ac:dyDescent="0.45">
      <c r="A910" s="30">
        <v>2023</v>
      </c>
      <c r="B910" s="30" t="s">
        <v>13</v>
      </c>
      <c r="C910" s="30" t="s">
        <v>46</v>
      </c>
      <c r="D910" s="30" t="s">
        <v>47</v>
      </c>
      <c r="E910" s="31" t="s">
        <v>149</v>
      </c>
      <c r="F910" s="32" t="s">
        <v>49</v>
      </c>
      <c r="G910" s="32" t="s">
        <v>50</v>
      </c>
      <c r="H910" s="33">
        <v>7320</v>
      </c>
      <c r="I910" s="34">
        <f>Table3[[#This Row],[Volume, kg.]]/1000</f>
        <v>7.32</v>
      </c>
      <c r="J910" s="34">
        <v>0.2175</v>
      </c>
      <c r="K910" s="34">
        <f t="shared" si="28"/>
        <v>1592.1</v>
      </c>
      <c r="L910" s="34">
        <v>2.9</v>
      </c>
      <c r="M910" s="34">
        <v>21228</v>
      </c>
      <c r="N910" s="34">
        <f t="shared" si="29"/>
        <v>13.333333333333332</v>
      </c>
    </row>
    <row r="911" spans="1:14" x14ac:dyDescent="0.45">
      <c r="A911" s="30">
        <v>2023</v>
      </c>
      <c r="B911" s="30" t="s">
        <v>13</v>
      </c>
      <c r="C911" s="30" t="s">
        <v>46</v>
      </c>
      <c r="D911" s="30" t="s">
        <v>47</v>
      </c>
      <c r="E911" s="31" t="s">
        <v>71</v>
      </c>
      <c r="F911" s="32" t="s">
        <v>49</v>
      </c>
      <c r="G911" s="32" t="s">
        <v>50</v>
      </c>
      <c r="H911" s="33">
        <v>4500</v>
      </c>
      <c r="I911" s="34">
        <f>Table3[[#This Row],[Volume, kg.]]/1000</f>
        <v>4.5</v>
      </c>
      <c r="J911" s="34">
        <v>0.2218</v>
      </c>
      <c r="K911" s="34">
        <f t="shared" si="28"/>
        <v>998.1</v>
      </c>
      <c r="L911" s="34">
        <v>2.9</v>
      </c>
      <c r="M911" s="34">
        <v>13068</v>
      </c>
      <c r="N911" s="34">
        <f t="shared" si="29"/>
        <v>13.074842200180342</v>
      </c>
    </row>
    <row r="912" spans="1:14" x14ac:dyDescent="0.45">
      <c r="A912" s="30">
        <v>2023</v>
      </c>
      <c r="B912" s="30" t="s">
        <v>13</v>
      </c>
      <c r="C912" s="30" t="s">
        <v>46</v>
      </c>
      <c r="D912" s="30" t="s">
        <v>47</v>
      </c>
      <c r="E912" s="31" t="s">
        <v>123</v>
      </c>
      <c r="F912" s="32" t="s">
        <v>49</v>
      </c>
      <c r="G912" s="32" t="s">
        <v>50</v>
      </c>
      <c r="H912" s="33">
        <v>6000</v>
      </c>
      <c r="I912" s="34">
        <f>Table3[[#This Row],[Volume, kg.]]/1000</f>
        <v>6</v>
      </c>
      <c r="J912" s="34">
        <v>0.21899999999999997</v>
      </c>
      <c r="K912" s="34">
        <f t="shared" si="28"/>
        <v>1313.9999999999998</v>
      </c>
      <c r="L912" s="34">
        <v>2.9</v>
      </c>
      <c r="M912" s="34">
        <v>17400</v>
      </c>
      <c r="N912" s="34">
        <f t="shared" si="29"/>
        <v>13.242009132420092</v>
      </c>
    </row>
    <row r="913" spans="1:14" x14ac:dyDescent="0.45">
      <c r="A913" s="30">
        <v>2023</v>
      </c>
      <c r="B913" s="30" t="s">
        <v>13</v>
      </c>
      <c r="C913" s="30" t="s">
        <v>46</v>
      </c>
      <c r="D913" s="30" t="s">
        <v>47</v>
      </c>
      <c r="E913" s="31" t="s">
        <v>99</v>
      </c>
      <c r="F913" s="32" t="s">
        <v>49</v>
      </c>
      <c r="G913" s="32" t="s">
        <v>50</v>
      </c>
      <c r="H913" s="33">
        <v>45310</v>
      </c>
      <c r="I913" s="34">
        <f>Table3[[#This Row],[Volume, kg.]]/1000</f>
        <v>45.31</v>
      </c>
      <c r="J913" s="34">
        <v>0.21260000000000001</v>
      </c>
      <c r="K913" s="34">
        <f t="shared" si="28"/>
        <v>9632.9060000000009</v>
      </c>
      <c r="L913" s="34">
        <v>2.86</v>
      </c>
      <c r="M913" s="34">
        <v>129760</v>
      </c>
      <c r="N913" s="34">
        <f t="shared" si="29"/>
        <v>13.452492944496706</v>
      </c>
    </row>
    <row r="914" spans="1:14" x14ac:dyDescent="0.45">
      <c r="A914" s="30">
        <v>2023</v>
      </c>
      <c r="B914" s="30" t="s">
        <v>13</v>
      </c>
      <c r="C914" s="30" t="s">
        <v>46</v>
      </c>
      <c r="D914" s="30" t="s">
        <v>47</v>
      </c>
      <c r="E914" s="31" t="s">
        <v>165</v>
      </c>
      <c r="F914" s="32" t="s">
        <v>57</v>
      </c>
      <c r="G914" s="32" t="s">
        <v>50</v>
      </c>
      <c r="H914" s="33">
        <v>10610</v>
      </c>
      <c r="I914" s="34">
        <f>Table3[[#This Row],[Volume, kg.]]/1000</f>
        <v>10.61</v>
      </c>
      <c r="J914" s="34">
        <v>0.16690000000000002</v>
      </c>
      <c r="K914" s="34">
        <f t="shared" si="28"/>
        <v>1770.8090000000002</v>
      </c>
      <c r="L914" s="34">
        <v>2.65</v>
      </c>
      <c r="M914" s="34">
        <v>28067</v>
      </c>
      <c r="N914" s="34">
        <f t="shared" si="29"/>
        <v>15.877771120431394</v>
      </c>
    </row>
    <row r="915" spans="1:14" x14ac:dyDescent="0.45">
      <c r="A915" s="30">
        <v>2023</v>
      </c>
      <c r="B915" s="30" t="s">
        <v>13</v>
      </c>
      <c r="C915" s="30" t="s">
        <v>46</v>
      </c>
      <c r="D915" s="30" t="s">
        <v>47</v>
      </c>
      <c r="E915" s="31" t="s">
        <v>226</v>
      </c>
      <c r="F915" s="32" t="s">
        <v>60</v>
      </c>
      <c r="G915" s="32" t="s">
        <v>50</v>
      </c>
      <c r="H915" s="33">
        <v>99280</v>
      </c>
      <c r="I915" s="34">
        <f>Table3[[#This Row],[Volume, kg.]]/1000</f>
        <v>99.28</v>
      </c>
      <c r="J915" s="34">
        <v>0.23149999999999998</v>
      </c>
      <c r="K915" s="34">
        <f t="shared" si="28"/>
        <v>22983.32</v>
      </c>
      <c r="L915" s="34">
        <v>2.96</v>
      </c>
      <c r="M915" s="34">
        <v>293806.5</v>
      </c>
      <c r="N915" s="34">
        <f t="shared" si="29"/>
        <v>12.786177105831534</v>
      </c>
    </row>
    <row r="916" spans="1:14" x14ac:dyDescent="0.45">
      <c r="A916" s="30">
        <v>2023</v>
      </c>
      <c r="B916" s="30" t="s">
        <v>13</v>
      </c>
      <c r="C916" s="30" t="s">
        <v>46</v>
      </c>
      <c r="D916" s="30" t="s">
        <v>47</v>
      </c>
      <c r="E916" s="31" t="s">
        <v>182</v>
      </c>
      <c r="F916" s="32" t="s">
        <v>81</v>
      </c>
      <c r="G916" s="32" t="s">
        <v>50</v>
      </c>
      <c r="H916" s="33">
        <v>27960</v>
      </c>
      <c r="I916" s="34">
        <f>Table3[[#This Row],[Volume, kg.]]/1000</f>
        <v>27.96</v>
      </c>
      <c r="J916" s="34">
        <v>0.17329999999999998</v>
      </c>
      <c r="K916" s="34">
        <f t="shared" si="28"/>
        <v>4845.4679999999998</v>
      </c>
      <c r="L916" s="34">
        <v>2.66</v>
      </c>
      <c r="M916" s="34">
        <v>74416</v>
      </c>
      <c r="N916" s="34">
        <f t="shared" si="29"/>
        <v>15.349105597230238</v>
      </c>
    </row>
    <row r="917" spans="1:14" x14ac:dyDescent="0.45">
      <c r="A917" s="30">
        <v>2023</v>
      </c>
      <c r="B917" s="30" t="s">
        <v>13</v>
      </c>
      <c r="C917" s="30" t="s">
        <v>46</v>
      </c>
      <c r="D917" s="30" t="s">
        <v>47</v>
      </c>
      <c r="E917" s="31" t="s">
        <v>442</v>
      </c>
      <c r="F917" s="32" t="s">
        <v>81</v>
      </c>
      <c r="G917" s="32" t="s">
        <v>50</v>
      </c>
      <c r="H917" s="33">
        <v>3240</v>
      </c>
      <c r="I917" s="34">
        <f>Table3[[#This Row],[Volume, kg.]]/1000</f>
        <v>3.24</v>
      </c>
      <c r="J917" s="34">
        <v>0.21149999999999999</v>
      </c>
      <c r="K917" s="34">
        <f t="shared" si="28"/>
        <v>685.26</v>
      </c>
      <c r="L917" s="34">
        <v>2.85</v>
      </c>
      <c r="M917" s="34">
        <v>9234</v>
      </c>
      <c r="N917" s="34">
        <f t="shared" si="29"/>
        <v>13.475177304964539</v>
      </c>
    </row>
    <row r="918" spans="1:14" x14ac:dyDescent="0.45">
      <c r="A918" s="30">
        <v>2023</v>
      </c>
      <c r="B918" s="30" t="s">
        <v>13</v>
      </c>
      <c r="C918" s="30" t="s">
        <v>46</v>
      </c>
      <c r="D918" s="30" t="s">
        <v>47</v>
      </c>
      <c r="E918" s="31" t="s">
        <v>73</v>
      </c>
      <c r="F918" s="32" t="s">
        <v>49</v>
      </c>
      <c r="G918" s="32" t="s">
        <v>50</v>
      </c>
      <c r="H918" s="33">
        <v>6890</v>
      </c>
      <c r="I918" s="34">
        <f>Table3[[#This Row],[Volume, kg.]]/1000</f>
        <v>6.89</v>
      </c>
      <c r="J918" s="34">
        <v>0.1885</v>
      </c>
      <c r="K918" s="34">
        <f t="shared" si="28"/>
        <v>1298.7650000000001</v>
      </c>
      <c r="L918" s="34">
        <v>2.73</v>
      </c>
      <c r="M918" s="34">
        <v>18789.5</v>
      </c>
      <c r="N918" s="34">
        <f t="shared" si="29"/>
        <v>14.482758620689655</v>
      </c>
    </row>
    <row r="919" spans="1:14" x14ac:dyDescent="0.45">
      <c r="A919" s="30">
        <v>2023</v>
      </c>
      <c r="B919" s="30" t="s">
        <v>13</v>
      </c>
      <c r="C919" s="30" t="s">
        <v>46</v>
      </c>
      <c r="D919" s="30" t="s">
        <v>47</v>
      </c>
      <c r="E919" s="31" t="s">
        <v>65</v>
      </c>
      <c r="F919" s="32" t="s">
        <v>49</v>
      </c>
      <c r="G919" s="32" t="s">
        <v>50</v>
      </c>
      <c r="H919" s="33">
        <v>9000</v>
      </c>
      <c r="I919" s="34">
        <f>Table3[[#This Row],[Volume, kg.]]/1000</f>
        <v>9</v>
      </c>
      <c r="J919" s="34">
        <v>0.1845</v>
      </c>
      <c r="K919" s="34">
        <f t="shared" si="28"/>
        <v>1660.5</v>
      </c>
      <c r="L919" s="34">
        <v>2.75</v>
      </c>
      <c r="M919" s="34">
        <v>24714</v>
      </c>
      <c r="N919" s="34">
        <f t="shared" si="29"/>
        <v>14.905149051490515</v>
      </c>
    </row>
    <row r="920" spans="1:14" x14ac:dyDescent="0.45">
      <c r="A920" s="30">
        <v>2023</v>
      </c>
      <c r="B920" s="30" t="s">
        <v>13</v>
      </c>
      <c r="C920" s="30" t="s">
        <v>46</v>
      </c>
      <c r="D920" s="30" t="s">
        <v>47</v>
      </c>
      <c r="E920" s="31" t="s">
        <v>163</v>
      </c>
      <c r="F920" s="32" t="s">
        <v>60</v>
      </c>
      <c r="G920" s="32" t="s">
        <v>50</v>
      </c>
      <c r="H920" s="33">
        <v>95890</v>
      </c>
      <c r="I920" s="34">
        <f>Table3[[#This Row],[Volume, kg.]]/1000</f>
        <v>95.89</v>
      </c>
      <c r="J920" s="34">
        <v>0.22899999999999998</v>
      </c>
      <c r="K920" s="34">
        <f t="shared" si="28"/>
        <v>21958.809999999998</v>
      </c>
      <c r="L920" s="34">
        <v>2.95</v>
      </c>
      <c r="M920" s="34">
        <v>282793</v>
      </c>
      <c r="N920" s="34">
        <f t="shared" si="29"/>
        <v>12.882096069868997</v>
      </c>
    </row>
    <row r="921" spans="1:14" x14ac:dyDescent="0.45">
      <c r="A921" s="30">
        <v>2023</v>
      </c>
      <c r="B921" s="30" t="s">
        <v>13</v>
      </c>
      <c r="C921" s="30" t="s">
        <v>46</v>
      </c>
      <c r="D921" s="30" t="s">
        <v>47</v>
      </c>
      <c r="E921" s="31" t="s">
        <v>172</v>
      </c>
      <c r="F921" s="32" t="s">
        <v>57</v>
      </c>
      <c r="G921" s="32" t="s">
        <v>50</v>
      </c>
      <c r="H921" s="33">
        <v>6990</v>
      </c>
      <c r="I921" s="34">
        <f>Table3[[#This Row],[Volume, kg.]]/1000</f>
        <v>6.99</v>
      </c>
      <c r="J921" s="34">
        <v>0.2155</v>
      </c>
      <c r="K921" s="34">
        <f t="shared" si="28"/>
        <v>1506.345</v>
      </c>
      <c r="L921" s="34">
        <v>2.9</v>
      </c>
      <c r="M921" s="34">
        <v>20271</v>
      </c>
      <c r="N921" s="34">
        <f t="shared" si="29"/>
        <v>13.45707656612529</v>
      </c>
    </row>
    <row r="922" spans="1:14" x14ac:dyDescent="0.45">
      <c r="A922" s="30">
        <v>2023</v>
      </c>
      <c r="B922" s="30" t="s">
        <v>13</v>
      </c>
      <c r="C922" s="30" t="s">
        <v>46</v>
      </c>
      <c r="D922" s="30" t="s">
        <v>47</v>
      </c>
      <c r="E922" s="31" t="s">
        <v>302</v>
      </c>
      <c r="F922" s="32" t="s">
        <v>49</v>
      </c>
      <c r="G922" s="32" t="s">
        <v>50</v>
      </c>
      <c r="H922" s="33">
        <v>8690</v>
      </c>
      <c r="I922" s="34">
        <f>Table3[[#This Row],[Volume, kg.]]/1000</f>
        <v>8.69</v>
      </c>
      <c r="J922" s="34">
        <v>0.21109999999999998</v>
      </c>
      <c r="K922" s="34">
        <f t="shared" si="28"/>
        <v>1834.4589999999998</v>
      </c>
      <c r="L922" s="34">
        <v>2.85</v>
      </c>
      <c r="M922" s="34">
        <v>24766.5</v>
      </c>
      <c r="N922" s="34">
        <f t="shared" si="29"/>
        <v>13.500710563713881</v>
      </c>
    </row>
    <row r="923" spans="1:14" x14ac:dyDescent="0.45">
      <c r="A923" s="30">
        <v>2023</v>
      </c>
      <c r="B923" s="30" t="s">
        <v>13</v>
      </c>
      <c r="C923" s="30" t="s">
        <v>46</v>
      </c>
      <c r="D923" s="30" t="s">
        <v>47</v>
      </c>
      <c r="E923" s="31" t="s">
        <v>461</v>
      </c>
      <c r="F923" s="32" t="s">
        <v>54</v>
      </c>
      <c r="G923" s="32" t="s">
        <v>50</v>
      </c>
      <c r="H923" s="33">
        <v>62710</v>
      </c>
      <c r="I923" s="34">
        <f>Table3[[#This Row],[Volume, kg.]]/1000</f>
        <v>62.71</v>
      </c>
      <c r="J923" s="34">
        <v>0.18390000000000001</v>
      </c>
      <c r="K923" s="34">
        <f t="shared" si="28"/>
        <v>11532.369000000001</v>
      </c>
      <c r="L923" s="34">
        <v>2.72</v>
      </c>
      <c r="M923" s="34">
        <v>170396.5</v>
      </c>
      <c r="N923" s="34">
        <f t="shared" si="29"/>
        <v>14.790647090810223</v>
      </c>
    </row>
    <row r="924" spans="1:14" x14ac:dyDescent="0.45">
      <c r="A924" s="30">
        <v>2023</v>
      </c>
      <c r="B924" s="30" t="s">
        <v>13</v>
      </c>
      <c r="C924" s="30" t="s">
        <v>46</v>
      </c>
      <c r="D924" s="30" t="s">
        <v>47</v>
      </c>
      <c r="E924" s="31" t="s">
        <v>51</v>
      </c>
      <c r="F924" s="32" t="s">
        <v>49</v>
      </c>
      <c r="G924" s="32" t="s">
        <v>50</v>
      </c>
      <c r="H924" s="33">
        <v>34430</v>
      </c>
      <c r="I924" s="34">
        <f>Table3[[#This Row],[Volume, kg.]]/1000</f>
        <v>34.43</v>
      </c>
      <c r="J924" s="34">
        <v>0.20660000000000001</v>
      </c>
      <c r="K924" s="34">
        <f t="shared" si="28"/>
        <v>7113.2380000000003</v>
      </c>
      <c r="L924" s="34">
        <v>2.83</v>
      </c>
      <c r="M924" s="34">
        <v>97586.5</v>
      </c>
      <c r="N924" s="34">
        <f t="shared" si="29"/>
        <v>13.697967086156824</v>
      </c>
    </row>
    <row r="925" spans="1:14" x14ac:dyDescent="0.45">
      <c r="A925" s="30">
        <v>2023</v>
      </c>
      <c r="B925" s="30" t="s">
        <v>13</v>
      </c>
      <c r="C925" s="30" t="s">
        <v>46</v>
      </c>
      <c r="D925" s="30" t="s">
        <v>47</v>
      </c>
      <c r="E925" s="31" t="s">
        <v>462</v>
      </c>
      <c r="F925" s="32" t="s">
        <v>49</v>
      </c>
      <c r="G925" s="32" t="s">
        <v>50</v>
      </c>
      <c r="H925" s="33">
        <v>5020</v>
      </c>
      <c r="I925" s="34">
        <f>Table3[[#This Row],[Volume, kg.]]/1000</f>
        <v>5.0199999999999996</v>
      </c>
      <c r="J925" s="34">
        <v>0.16399999999999998</v>
      </c>
      <c r="K925" s="34">
        <f t="shared" si="28"/>
        <v>823.27999999999986</v>
      </c>
      <c r="L925" s="34">
        <v>2.65</v>
      </c>
      <c r="M925" s="34">
        <v>13303</v>
      </c>
      <c r="N925" s="34">
        <f t="shared" si="29"/>
        <v>16.158536585365855</v>
      </c>
    </row>
    <row r="926" spans="1:14" x14ac:dyDescent="0.45">
      <c r="A926" s="30">
        <v>2023</v>
      </c>
      <c r="B926" s="30" t="s">
        <v>13</v>
      </c>
      <c r="C926" s="30" t="s">
        <v>46</v>
      </c>
      <c r="D926" s="30" t="s">
        <v>47</v>
      </c>
      <c r="E926" s="31" t="s">
        <v>463</v>
      </c>
      <c r="F926" s="32" t="s">
        <v>49</v>
      </c>
      <c r="G926" s="32" t="s">
        <v>50</v>
      </c>
      <c r="H926" s="33">
        <v>12520</v>
      </c>
      <c r="I926" s="34">
        <f>Table3[[#This Row],[Volume, kg.]]/1000</f>
        <v>12.52</v>
      </c>
      <c r="J926" s="34">
        <v>0.18899999999999997</v>
      </c>
      <c r="K926" s="34">
        <f t="shared" si="28"/>
        <v>2366.2799999999997</v>
      </c>
      <c r="L926" s="34">
        <v>2.76</v>
      </c>
      <c r="M926" s="34">
        <v>34560.5</v>
      </c>
      <c r="N926" s="34">
        <f t="shared" si="29"/>
        <v>14.603174603174605</v>
      </c>
    </row>
    <row r="927" spans="1:14" x14ac:dyDescent="0.45">
      <c r="A927" s="30">
        <v>2023</v>
      </c>
      <c r="B927" s="30" t="s">
        <v>13</v>
      </c>
      <c r="C927" s="30" t="s">
        <v>46</v>
      </c>
      <c r="D927" s="30" t="s">
        <v>47</v>
      </c>
      <c r="E927" s="31" t="s">
        <v>258</v>
      </c>
      <c r="F927" s="32" t="s">
        <v>49</v>
      </c>
      <c r="G927" s="32" t="s">
        <v>50</v>
      </c>
      <c r="H927" s="33">
        <v>546760</v>
      </c>
      <c r="I927" s="34">
        <f>Table3[[#This Row],[Volume, kg.]]/1000</f>
        <v>546.76</v>
      </c>
      <c r="J927" s="34">
        <v>0.19949999999999998</v>
      </c>
      <c r="K927" s="34">
        <f t="shared" si="28"/>
        <v>109078.62</v>
      </c>
      <c r="L927" s="34">
        <v>2.8</v>
      </c>
      <c r="M927" s="34">
        <v>1531464.5</v>
      </c>
      <c r="N927" s="34">
        <f t="shared" si="29"/>
        <v>14.035087719298247</v>
      </c>
    </row>
    <row r="928" spans="1:14" x14ac:dyDescent="0.45">
      <c r="A928" s="30">
        <v>2023</v>
      </c>
      <c r="B928" s="30" t="s">
        <v>13</v>
      </c>
      <c r="C928" s="30" t="s">
        <v>46</v>
      </c>
      <c r="D928" s="30" t="s">
        <v>47</v>
      </c>
      <c r="E928" s="31" t="s">
        <v>375</v>
      </c>
      <c r="F928" s="32" t="s">
        <v>49</v>
      </c>
      <c r="G928" s="32" t="s">
        <v>50</v>
      </c>
      <c r="H928" s="33">
        <v>5330</v>
      </c>
      <c r="I928" s="34">
        <f>Table3[[#This Row],[Volume, kg.]]/1000</f>
        <v>5.33</v>
      </c>
      <c r="J928" s="34">
        <v>0.20800000000000002</v>
      </c>
      <c r="K928" s="34">
        <f t="shared" si="28"/>
        <v>1108.6400000000001</v>
      </c>
      <c r="L928" s="34">
        <v>2.85</v>
      </c>
      <c r="M928" s="34">
        <v>15190.5</v>
      </c>
      <c r="N928" s="34">
        <f t="shared" si="29"/>
        <v>13.701923076923077</v>
      </c>
    </row>
    <row r="929" spans="1:14" x14ac:dyDescent="0.45">
      <c r="A929" s="30">
        <v>2023</v>
      </c>
      <c r="B929" s="30" t="s">
        <v>13</v>
      </c>
      <c r="C929" s="30" t="s">
        <v>46</v>
      </c>
      <c r="D929" s="30" t="s">
        <v>47</v>
      </c>
      <c r="E929" s="31" t="s">
        <v>363</v>
      </c>
      <c r="F929" s="32" t="s">
        <v>60</v>
      </c>
      <c r="G929" s="32" t="s">
        <v>50</v>
      </c>
      <c r="H929" s="33">
        <v>52880</v>
      </c>
      <c r="I929" s="34">
        <f>Table3[[#This Row],[Volume, kg.]]/1000</f>
        <v>52.88</v>
      </c>
      <c r="J929" s="34">
        <v>0.2024</v>
      </c>
      <c r="K929" s="34">
        <f t="shared" si="28"/>
        <v>10702.912</v>
      </c>
      <c r="L929" s="34">
        <v>2.82</v>
      </c>
      <c r="M929" s="34">
        <v>149103.5</v>
      </c>
      <c r="N929" s="34">
        <f t="shared" si="29"/>
        <v>13.932806324110672</v>
      </c>
    </row>
    <row r="930" spans="1:14" x14ac:dyDescent="0.45">
      <c r="A930" s="30">
        <v>2023</v>
      </c>
      <c r="B930" s="30" t="s">
        <v>13</v>
      </c>
      <c r="C930" s="30" t="s">
        <v>46</v>
      </c>
      <c r="D930" s="30" t="s">
        <v>47</v>
      </c>
      <c r="E930" s="31" t="s">
        <v>231</v>
      </c>
      <c r="F930" s="32" t="s">
        <v>49</v>
      </c>
      <c r="G930" s="32" t="s">
        <v>50</v>
      </c>
      <c r="H930" s="33">
        <v>10760</v>
      </c>
      <c r="I930" s="34">
        <f>Table3[[#This Row],[Volume, kg.]]/1000</f>
        <v>10.76</v>
      </c>
      <c r="J930" s="34">
        <v>0.19899999999999998</v>
      </c>
      <c r="K930" s="34">
        <f t="shared" si="28"/>
        <v>2141.2399999999998</v>
      </c>
      <c r="L930" s="34">
        <v>2.8</v>
      </c>
      <c r="M930" s="34">
        <v>30128</v>
      </c>
      <c r="N930" s="34">
        <f t="shared" si="29"/>
        <v>14.07035175879397</v>
      </c>
    </row>
    <row r="931" spans="1:14" x14ac:dyDescent="0.45">
      <c r="A931" s="30">
        <v>2023</v>
      </c>
      <c r="B931" s="30" t="s">
        <v>13</v>
      </c>
      <c r="C931" s="30" t="s">
        <v>46</v>
      </c>
      <c r="D931" s="30" t="s">
        <v>47</v>
      </c>
      <c r="E931" s="31" t="s">
        <v>166</v>
      </c>
      <c r="F931" s="32" t="s">
        <v>49</v>
      </c>
      <c r="G931" s="32" t="s">
        <v>50</v>
      </c>
      <c r="H931" s="33">
        <v>32360</v>
      </c>
      <c r="I931" s="34">
        <f>Table3[[#This Row],[Volume, kg.]]/1000</f>
        <v>32.36</v>
      </c>
      <c r="J931" s="34">
        <v>0.18920000000000001</v>
      </c>
      <c r="K931" s="34">
        <f t="shared" si="28"/>
        <v>6122.5120000000006</v>
      </c>
      <c r="L931" s="34">
        <v>2.74</v>
      </c>
      <c r="M931" s="34">
        <v>88597.5</v>
      </c>
      <c r="N931" s="34">
        <f t="shared" si="29"/>
        <v>14.482029598308669</v>
      </c>
    </row>
    <row r="932" spans="1:14" x14ac:dyDescent="0.45">
      <c r="A932" s="30">
        <v>2023</v>
      </c>
      <c r="B932" s="30" t="s">
        <v>13</v>
      </c>
      <c r="C932" s="30" t="s">
        <v>46</v>
      </c>
      <c r="D932" s="30" t="s">
        <v>47</v>
      </c>
      <c r="E932" s="31" t="s">
        <v>242</v>
      </c>
      <c r="F932" s="32" t="s">
        <v>60</v>
      </c>
      <c r="G932" s="32" t="s">
        <v>50</v>
      </c>
      <c r="H932" s="33">
        <v>49310</v>
      </c>
      <c r="I932" s="34">
        <f>Table3[[#This Row],[Volume, kg.]]/1000</f>
        <v>49.31</v>
      </c>
      <c r="J932" s="34">
        <v>0.19670000000000001</v>
      </c>
      <c r="K932" s="34">
        <f t="shared" si="28"/>
        <v>9699.277</v>
      </c>
      <c r="L932" s="34">
        <v>2.8</v>
      </c>
      <c r="M932" s="34">
        <v>138004</v>
      </c>
      <c r="N932" s="34">
        <f t="shared" si="29"/>
        <v>14.234875444839856</v>
      </c>
    </row>
    <row r="933" spans="1:14" x14ac:dyDescent="0.45">
      <c r="A933" s="30">
        <v>2023</v>
      </c>
      <c r="B933" s="30" t="s">
        <v>13</v>
      </c>
      <c r="C933" s="30" t="s">
        <v>46</v>
      </c>
      <c r="D933" s="30" t="s">
        <v>47</v>
      </c>
      <c r="E933" s="31" t="s">
        <v>244</v>
      </c>
      <c r="F933" s="32" t="s">
        <v>60</v>
      </c>
      <c r="G933" s="32" t="s">
        <v>50</v>
      </c>
      <c r="H933" s="33">
        <v>34280</v>
      </c>
      <c r="I933" s="34">
        <f>Table3[[#This Row],[Volume, kg.]]/1000</f>
        <v>34.28</v>
      </c>
      <c r="J933" s="34">
        <v>0.21129999999999999</v>
      </c>
      <c r="K933" s="34">
        <f t="shared" si="28"/>
        <v>7243.3639999999996</v>
      </c>
      <c r="L933" s="34">
        <v>2.86</v>
      </c>
      <c r="M933" s="34">
        <v>98040.5</v>
      </c>
      <c r="N933" s="34">
        <f t="shared" si="29"/>
        <v>13.535257927117842</v>
      </c>
    </row>
    <row r="934" spans="1:14" x14ac:dyDescent="0.45">
      <c r="A934" s="30">
        <v>2023</v>
      </c>
      <c r="B934" s="30" t="s">
        <v>13</v>
      </c>
      <c r="C934" s="30" t="s">
        <v>46</v>
      </c>
      <c r="D934" s="30" t="s">
        <v>47</v>
      </c>
      <c r="E934" s="31" t="s">
        <v>256</v>
      </c>
      <c r="F934" s="32" t="s">
        <v>81</v>
      </c>
      <c r="G934" s="32" t="s">
        <v>50</v>
      </c>
      <c r="H934" s="33">
        <v>8100</v>
      </c>
      <c r="I934" s="34">
        <f>Table3[[#This Row],[Volume, kg.]]/1000</f>
        <v>8.1</v>
      </c>
      <c r="J934" s="34">
        <v>0.18329999999999999</v>
      </c>
      <c r="K934" s="34">
        <f t="shared" si="28"/>
        <v>1484.73</v>
      </c>
      <c r="L934" s="34">
        <v>2.7</v>
      </c>
      <c r="M934" s="34">
        <v>21870</v>
      </c>
      <c r="N934" s="34">
        <f t="shared" si="29"/>
        <v>14.729950900163669</v>
      </c>
    </row>
    <row r="935" spans="1:14" x14ac:dyDescent="0.45">
      <c r="A935" s="30">
        <v>2023</v>
      </c>
      <c r="B935" s="30" t="s">
        <v>13</v>
      </c>
      <c r="C935" s="30" t="s">
        <v>46</v>
      </c>
      <c r="D935" s="30" t="s">
        <v>47</v>
      </c>
      <c r="E935" s="31" t="s">
        <v>198</v>
      </c>
      <c r="F935" s="32" t="s">
        <v>49</v>
      </c>
      <c r="G935" s="32" t="s">
        <v>50</v>
      </c>
      <c r="H935" s="33">
        <v>2080</v>
      </c>
      <c r="I935" s="34">
        <f>Table3[[#This Row],[Volume, kg.]]/1000</f>
        <v>2.08</v>
      </c>
      <c r="J935" s="34">
        <v>0.20199999999999999</v>
      </c>
      <c r="K935" s="34">
        <f t="shared" si="28"/>
        <v>420.15999999999997</v>
      </c>
      <c r="L935" s="34">
        <v>2.8</v>
      </c>
      <c r="M935" s="34">
        <v>5824</v>
      </c>
      <c r="N935" s="34">
        <f t="shared" si="29"/>
        <v>13.861386138613861</v>
      </c>
    </row>
    <row r="936" spans="1:14" x14ac:dyDescent="0.45">
      <c r="A936" s="30">
        <v>2023</v>
      </c>
      <c r="B936" s="30" t="s">
        <v>13</v>
      </c>
      <c r="C936" s="30" t="s">
        <v>46</v>
      </c>
      <c r="D936" s="30" t="s">
        <v>47</v>
      </c>
      <c r="E936" s="31" t="s">
        <v>380</v>
      </c>
      <c r="F936" s="32" t="s">
        <v>49</v>
      </c>
      <c r="G936" s="32" t="s">
        <v>50</v>
      </c>
      <c r="H936" s="33">
        <v>16240</v>
      </c>
      <c r="I936" s="34">
        <f>Table3[[#This Row],[Volume, kg.]]/1000</f>
        <v>16.239999999999998</v>
      </c>
      <c r="J936" s="34">
        <v>0.1804</v>
      </c>
      <c r="K936" s="34">
        <f t="shared" si="28"/>
        <v>2929.6959999999999</v>
      </c>
      <c r="L936" s="34">
        <v>2.7</v>
      </c>
      <c r="M936" s="34">
        <v>43854</v>
      </c>
      <c r="N936" s="34">
        <f t="shared" si="29"/>
        <v>14.966740576496674</v>
      </c>
    </row>
    <row r="937" spans="1:14" x14ac:dyDescent="0.45">
      <c r="A937" s="30">
        <v>2023</v>
      </c>
      <c r="B937" s="30" t="s">
        <v>13</v>
      </c>
      <c r="C937" s="30" t="s">
        <v>46</v>
      </c>
      <c r="D937" s="30" t="s">
        <v>47</v>
      </c>
      <c r="E937" s="31" t="s">
        <v>287</v>
      </c>
      <c r="F937" s="32" t="s">
        <v>60</v>
      </c>
      <c r="G937" s="32" t="s">
        <v>50</v>
      </c>
      <c r="H937" s="33">
        <v>18570</v>
      </c>
      <c r="I937" s="34">
        <f>Table3[[#This Row],[Volume, kg.]]/1000</f>
        <v>18.57</v>
      </c>
      <c r="J937" s="34">
        <v>0.22750000000000001</v>
      </c>
      <c r="K937" s="34">
        <f t="shared" si="28"/>
        <v>4224.6750000000002</v>
      </c>
      <c r="L937" s="34">
        <v>2.93</v>
      </c>
      <c r="M937" s="34">
        <v>54427.5</v>
      </c>
      <c r="N937" s="34">
        <f t="shared" si="29"/>
        <v>12.87912087912088</v>
      </c>
    </row>
    <row r="938" spans="1:14" x14ac:dyDescent="0.45">
      <c r="A938" s="30">
        <v>2023</v>
      </c>
      <c r="B938" s="30" t="s">
        <v>13</v>
      </c>
      <c r="C938" s="30" t="s">
        <v>46</v>
      </c>
      <c r="D938" s="30" t="s">
        <v>47</v>
      </c>
      <c r="E938" s="31" t="s">
        <v>164</v>
      </c>
      <c r="F938" s="32" t="s">
        <v>49</v>
      </c>
      <c r="G938" s="32" t="s">
        <v>50</v>
      </c>
      <c r="H938" s="33">
        <v>63090</v>
      </c>
      <c r="I938" s="34">
        <f>Table3[[#This Row],[Volume, kg.]]/1000</f>
        <v>63.09</v>
      </c>
      <c r="J938" s="34">
        <v>0.20910000000000001</v>
      </c>
      <c r="K938" s="34">
        <f t="shared" si="28"/>
        <v>13192.119000000001</v>
      </c>
      <c r="L938" s="34">
        <v>2.85</v>
      </c>
      <c r="M938" s="34">
        <v>179928</v>
      </c>
      <c r="N938" s="34">
        <f t="shared" si="29"/>
        <v>13.629842180774748</v>
      </c>
    </row>
    <row r="939" spans="1:14" x14ac:dyDescent="0.45">
      <c r="A939" s="30">
        <v>2023</v>
      </c>
      <c r="B939" s="30" t="s">
        <v>13</v>
      </c>
      <c r="C939" s="30" t="s">
        <v>46</v>
      </c>
      <c r="D939" s="30" t="s">
        <v>47</v>
      </c>
      <c r="E939" s="31" t="s">
        <v>294</v>
      </c>
      <c r="F939" s="32" t="s">
        <v>81</v>
      </c>
      <c r="G939" s="32" t="s">
        <v>50</v>
      </c>
      <c r="H939" s="33">
        <v>23410</v>
      </c>
      <c r="I939" s="34">
        <f>Table3[[#This Row],[Volume, kg.]]/1000</f>
        <v>23.41</v>
      </c>
      <c r="J939" s="34">
        <v>0.2</v>
      </c>
      <c r="K939" s="34">
        <f t="shared" si="28"/>
        <v>4682</v>
      </c>
      <c r="L939" s="34">
        <v>2.79</v>
      </c>
      <c r="M939" s="34">
        <v>65308</v>
      </c>
      <c r="N939" s="34">
        <f t="shared" si="29"/>
        <v>13.95</v>
      </c>
    </row>
    <row r="940" spans="1:14" x14ac:dyDescent="0.45">
      <c r="A940" s="30">
        <v>2023</v>
      </c>
      <c r="B940" s="30" t="s">
        <v>13</v>
      </c>
      <c r="C940" s="30" t="s">
        <v>46</v>
      </c>
      <c r="D940" s="30" t="s">
        <v>47</v>
      </c>
      <c r="E940" s="31" t="s">
        <v>358</v>
      </c>
      <c r="F940" s="32" t="s">
        <v>60</v>
      </c>
      <c r="G940" s="32" t="s">
        <v>50</v>
      </c>
      <c r="H940" s="33">
        <v>4530</v>
      </c>
      <c r="I940" s="34">
        <f>Table3[[#This Row],[Volume, kg.]]/1000</f>
        <v>4.53</v>
      </c>
      <c r="J940" s="34">
        <v>0.21899999999999997</v>
      </c>
      <c r="K940" s="34">
        <f t="shared" si="28"/>
        <v>992.06999999999982</v>
      </c>
      <c r="L940" s="34">
        <v>2.9</v>
      </c>
      <c r="M940" s="34">
        <v>13137</v>
      </c>
      <c r="N940" s="34">
        <f t="shared" si="29"/>
        <v>13.242009132420092</v>
      </c>
    </row>
    <row r="941" spans="1:14" x14ac:dyDescent="0.45">
      <c r="A941" s="30">
        <v>2023</v>
      </c>
      <c r="B941" s="30" t="s">
        <v>13</v>
      </c>
      <c r="C941" s="30" t="s">
        <v>46</v>
      </c>
      <c r="D941" s="30" t="s">
        <v>47</v>
      </c>
      <c r="E941" s="31" t="s">
        <v>464</v>
      </c>
      <c r="F941" s="32" t="s">
        <v>57</v>
      </c>
      <c r="G941" s="32" t="s">
        <v>50</v>
      </c>
      <c r="H941" s="33">
        <v>97220</v>
      </c>
      <c r="I941" s="34">
        <f>Table3[[#This Row],[Volume, kg.]]/1000</f>
        <v>97.22</v>
      </c>
      <c r="J941" s="34">
        <v>0.20850000000000002</v>
      </c>
      <c r="K941" s="34">
        <f t="shared" si="28"/>
        <v>20270.370000000003</v>
      </c>
      <c r="L941" s="34">
        <v>2.85</v>
      </c>
      <c r="M941" s="34">
        <v>276673</v>
      </c>
      <c r="N941" s="34">
        <f t="shared" si="29"/>
        <v>13.669064748201437</v>
      </c>
    </row>
    <row r="942" spans="1:14" x14ac:dyDescent="0.45">
      <c r="A942" s="30">
        <v>2023</v>
      </c>
      <c r="B942" s="30" t="s">
        <v>13</v>
      </c>
      <c r="C942" s="30" t="s">
        <v>46</v>
      </c>
      <c r="D942" s="30" t="s">
        <v>47</v>
      </c>
      <c r="E942" s="31" t="s">
        <v>260</v>
      </c>
      <c r="F942" s="32" t="s">
        <v>49</v>
      </c>
      <c r="G942" s="32" t="s">
        <v>50</v>
      </c>
      <c r="H942" s="33">
        <v>28400</v>
      </c>
      <c r="I942" s="34">
        <f>Table3[[#This Row],[Volume, kg.]]/1000</f>
        <v>28.4</v>
      </c>
      <c r="J942" s="34">
        <v>0.1845</v>
      </c>
      <c r="K942" s="34">
        <f t="shared" si="28"/>
        <v>5239.8</v>
      </c>
      <c r="L942" s="34">
        <v>2.71</v>
      </c>
      <c r="M942" s="34">
        <v>77048.5</v>
      </c>
      <c r="N942" s="34">
        <f t="shared" si="29"/>
        <v>14.688346883468835</v>
      </c>
    </row>
    <row r="943" spans="1:14" x14ac:dyDescent="0.45">
      <c r="A943" s="30">
        <v>2023</v>
      </c>
      <c r="B943" s="30" t="s">
        <v>13</v>
      </c>
      <c r="C943" s="30" t="s">
        <v>46</v>
      </c>
      <c r="D943" s="30" t="s">
        <v>47</v>
      </c>
      <c r="E943" s="31" t="s">
        <v>429</v>
      </c>
      <c r="F943" s="32" t="s">
        <v>54</v>
      </c>
      <c r="G943" s="32" t="s">
        <v>50</v>
      </c>
      <c r="H943" s="33">
        <v>10740</v>
      </c>
      <c r="I943" s="34">
        <f>Table3[[#This Row],[Volume, kg.]]/1000</f>
        <v>10.74</v>
      </c>
      <c r="J943" s="34">
        <v>0.25850000000000001</v>
      </c>
      <c r="K943" s="34">
        <f t="shared" si="28"/>
        <v>2776.29</v>
      </c>
      <c r="L943" s="34">
        <v>3.1</v>
      </c>
      <c r="M943" s="34">
        <v>33292</v>
      </c>
      <c r="N943" s="34">
        <f t="shared" si="29"/>
        <v>11.992263056092844</v>
      </c>
    </row>
    <row r="944" spans="1:14" x14ac:dyDescent="0.45">
      <c r="A944" s="30">
        <v>2023</v>
      </c>
      <c r="B944" s="30" t="s">
        <v>13</v>
      </c>
      <c r="C944" s="30" t="s">
        <v>46</v>
      </c>
      <c r="D944" s="30" t="s">
        <v>47</v>
      </c>
      <c r="E944" s="31" t="s">
        <v>187</v>
      </c>
      <c r="F944" s="32" t="s">
        <v>54</v>
      </c>
      <c r="G944" s="32" t="s">
        <v>50</v>
      </c>
      <c r="H944" s="33">
        <v>56270</v>
      </c>
      <c r="I944" s="34">
        <f>Table3[[#This Row],[Volume, kg.]]/1000</f>
        <v>56.27</v>
      </c>
      <c r="J944" s="34">
        <v>0.20600000000000002</v>
      </c>
      <c r="K944" s="34">
        <f t="shared" si="28"/>
        <v>11591.62</v>
      </c>
      <c r="L944" s="34">
        <v>2.83</v>
      </c>
      <c r="M944" s="34">
        <v>159466.5</v>
      </c>
      <c r="N944" s="34">
        <f t="shared" si="29"/>
        <v>13.737864077669903</v>
      </c>
    </row>
    <row r="945" spans="1:14" x14ac:dyDescent="0.45">
      <c r="A945" s="30">
        <v>2023</v>
      </c>
      <c r="B945" s="30" t="s">
        <v>13</v>
      </c>
      <c r="C945" s="30" t="s">
        <v>46</v>
      </c>
      <c r="D945" s="30" t="s">
        <v>47</v>
      </c>
      <c r="E945" s="31" t="s">
        <v>191</v>
      </c>
      <c r="F945" s="32" t="s">
        <v>49</v>
      </c>
      <c r="G945" s="32" t="s">
        <v>50</v>
      </c>
      <c r="H945" s="33">
        <v>30850</v>
      </c>
      <c r="I945" s="34">
        <f>Table3[[#This Row],[Volume, kg.]]/1000</f>
        <v>30.85</v>
      </c>
      <c r="J945" s="34">
        <v>0.20300000000000001</v>
      </c>
      <c r="K945" s="34">
        <f t="shared" si="28"/>
        <v>6262.55</v>
      </c>
      <c r="L945" s="34">
        <v>2.83</v>
      </c>
      <c r="M945" s="34">
        <v>87171.5</v>
      </c>
      <c r="N945" s="34">
        <f t="shared" si="29"/>
        <v>13.940886699507388</v>
      </c>
    </row>
    <row r="946" spans="1:14" x14ac:dyDescent="0.45">
      <c r="A946" s="30">
        <v>2023</v>
      </c>
      <c r="B946" s="30" t="s">
        <v>13</v>
      </c>
      <c r="C946" s="30" t="s">
        <v>46</v>
      </c>
      <c r="D946" s="30" t="s">
        <v>47</v>
      </c>
      <c r="E946" s="31" t="s">
        <v>291</v>
      </c>
      <c r="F946" s="32" t="s">
        <v>57</v>
      </c>
      <c r="G946" s="32" t="s">
        <v>50</v>
      </c>
      <c r="H946" s="33">
        <v>24820</v>
      </c>
      <c r="I946" s="34">
        <f>Table3[[#This Row],[Volume, kg.]]/1000</f>
        <v>24.82</v>
      </c>
      <c r="J946" s="34">
        <v>0.18260000000000001</v>
      </c>
      <c r="K946" s="34">
        <f t="shared" si="28"/>
        <v>4532.1320000000005</v>
      </c>
      <c r="L946" s="34">
        <v>2.73</v>
      </c>
      <c r="M946" s="34">
        <v>67636.5</v>
      </c>
      <c r="N946" s="34">
        <f t="shared" si="29"/>
        <v>14.950711938663744</v>
      </c>
    </row>
    <row r="947" spans="1:14" x14ac:dyDescent="0.45">
      <c r="A947" s="30">
        <v>2023</v>
      </c>
      <c r="B947" s="30" t="s">
        <v>13</v>
      </c>
      <c r="C947" s="30" t="s">
        <v>46</v>
      </c>
      <c r="D947" s="30" t="s">
        <v>47</v>
      </c>
      <c r="E947" s="31" t="s">
        <v>352</v>
      </c>
      <c r="F947" s="32" t="s">
        <v>54</v>
      </c>
      <c r="G947" s="32" t="s">
        <v>50</v>
      </c>
      <c r="H947" s="33">
        <v>90320</v>
      </c>
      <c r="I947" s="34">
        <f>Table3[[#This Row],[Volume, kg.]]/1000</f>
        <v>90.32</v>
      </c>
      <c r="J947" s="34">
        <v>0.19640000000000002</v>
      </c>
      <c r="K947" s="34">
        <f t="shared" si="28"/>
        <v>17738.848000000002</v>
      </c>
      <c r="L947" s="34">
        <v>2.8</v>
      </c>
      <c r="M947" s="34">
        <v>252485</v>
      </c>
      <c r="N947" s="34">
        <f t="shared" si="29"/>
        <v>14.256619144602849</v>
      </c>
    </row>
    <row r="948" spans="1:14" x14ac:dyDescent="0.45">
      <c r="A948" s="30">
        <v>2023</v>
      </c>
      <c r="B948" s="30" t="s">
        <v>13</v>
      </c>
      <c r="C948" s="30" t="s">
        <v>46</v>
      </c>
      <c r="D948" s="30" t="s">
        <v>47</v>
      </c>
      <c r="E948" s="31" t="s">
        <v>465</v>
      </c>
      <c r="F948" s="32" t="s">
        <v>57</v>
      </c>
      <c r="G948" s="32" t="s">
        <v>50</v>
      </c>
      <c r="H948" s="33">
        <v>13240</v>
      </c>
      <c r="I948" s="34">
        <f>Table3[[#This Row],[Volume, kg.]]/1000</f>
        <v>13.24</v>
      </c>
      <c r="J948" s="34">
        <v>0.16250000000000001</v>
      </c>
      <c r="K948" s="34">
        <f t="shared" si="28"/>
        <v>2151.5</v>
      </c>
      <c r="L948" s="34">
        <v>2.61</v>
      </c>
      <c r="M948" s="34">
        <v>34608</v>
      </c>
      <c r="N948" s="34">
        <f t="shared" si="29"/>
        <v>16.061538461538461</v>
      </c>
    </row>
    <row r="949" spans="1:14" x14ac:dyDescent="0.45">
      <c r="A949" s="30">
        <v>2023</v>
      </c>
      <c r="B949" s="30" t="s">
        <v>13</v>
      </c>
      <c r="C949" s="30" t="s">
        <v>46</v>
      </c>
      <c r="D949" s="30" t="s">
        <v>47</v>
      </c>
      <c r="E949" s="31" t="s">
        <v>110</v>
      </c>
      <c r="F949" s="32" t="s">
        <v>57</v>
      </c>
      <c r="G949" s="32" t="s">
        <v>50</v>
      </c>
      <c r="H949" s="33">
        <v>6950</v>
      </c>
      <c r="I949" s="34">
        <f>Table3[[#This Row],[Volume, kg.]]/1000</f>
        <v>6.95</v>
      </c>
      <c r="J949" s="34">
        <v>0.18780000000000002</v>
      </c>
      <c r="K949" s="34">
        <f t="shared" si="28"/>
        <v>1305.2100000000003</v>
      </c>
      <c r="L949" s="34">
        <v>2.75</v>
      </c>
      <c r="M949" s="34">
        <v>19112.5</v>
      </c>
      <c r="N949" s="34">
        <f t="shared" si="29"/>
        <v>14.643237486687964</v>
      </c>
    </row>
    <row r="950" spans="1:14" x14ac:dyDescent="0.45">
      <c r="A950" s="30">
        <v>2023</v>
      </c>
      <c r="B950" s="30" t="s">
        <v>13</v>
      </c>
      <c r="C950" s="30" t="s">
        <v>46</v>
      </c>
      <c r="D950" s="30" t="s">
        <v>47</v>
      </c>
      <c r="E950" s="31" t="s">
        <v>385</v>
      </c>
      <c r="F950" s="32" t="s">
        <v>57</v>
      </c>
      <c r="G950" s="32" t="s">
        <v>50</v>
      </c>
      <c r="H950" s="33">
        <v>41400</v>
      </c>
      <c r="I950" s="34">
        <f>Table3[[#This Row],[Volume, kg.]]/1000</f>
        <v>41.4</v>
      </c>
      <c r="J950" s="34">
        <v>0.20019999999999999</v>
      </c>
      <c r="K950" s="34">
        <f t="shared" si="28"/>
        <v>8288.2799999999988</v>
      </c>
      <c r="L950" s="34">
        <v>2.82</v>
      </c>
      <c r="M950" s="34">
        <v>116829</v>
      </c>
      <c r="N950" s="34">
        <f t="shared" si="29"/>
        <v>14.085914085914085</v>
      </c>
    </row>
    <row r="951" spans="1:14" x14ac:dyDescent="0.45">
      <c r="A951" s="30">
        <v>2023</v>
      </c>
      <c r="B951" s="30" t="s">
        <v>13</v>
      </c>
      <c r="C951" s="30" t="s">
        <v>46</v>
      </c>
      <c r="D951" s="30" t="s">
        <v>47</v>
      </c>
      <c r="E951" s="31" t="s">
        <v>142</v>
      </c>
      <c r="F951" s="32" t="s">
        <v>57</v>
      </c>
      <c r="G951" s="32" t="s">
        <v>50</v>
      </c>
      <c r="H951" s="33">
        <v>52800</v>
      </c>
      <c r="I951" s="34">
        <f>Table3[[#This Row],[Volume, kg.]]/1000</f>
        <v>52.8</v>
      </c>
      <c r="J951" s="34">
        <v>0.20100000000000001</v>
      </c>
      <c r="K951" s="34">
        <f t="shared" si="28"/>
        <v>10612.800000000001</v>
      </c>
      <c r="L951" s="34">
        <v>2.81</v>
      </c>
      <c r="M951" s="34">
        <v>148219</v>
      </c>
      <c r="N951" s="34">
        <f t="shared" si="29"/>
        <v>13.980099502487562</v>
      </c>
    </row>
    <row r="952" spans="1:14" x14ac:dyDescent="0.45">
      <c r="A952" s="30">
        <v>2023</v>
      </c>
      <c r="B952" s="30" t="s">
        <v>13</v>
      </c>
      <c r="C952" s="30" t="s">
        <v>46</v>
      </c>
      <c r="D952" s="30" t="s">
        <v>47</v>
      </c>
      <c r="E952" s="31" t="s">
        <v>160</v>
      </c>
      <c r="F952" s="32" t="s">
        <v>49</v>
      </c>
      <c r="G952" s="32" t="s">
        <v>50</v>
      </c>
      <c r="H952" s="33">
        <v>26700</v>
      </c>
      <c r="I952" s="34">
        <f>Table3[[#This Row],[Volume, kg.]]/1000</f>
        <v>26.7</v>
      </c>
      <c r="J952" s="34">
        <v>0.2069</v>
      </c>
      <c r="K952" s="34">
        <f t="shared" si="28"/>
        <v>5524.23</v>
      </c>
      <c r="L952" s="34">
        <v>2.83</v>
      </c>
      <c r="M952" s="34">
        <v>75557.5</v>
      </c>
      <c r="N952" s="34">
        <f t="shared" si="29"/>
        <v>13.678105364910586</v>
      </c>
    </row>
    <row r="953" spans="1:14" x14ac:dyDescent="0.45">
      <c r="A953" s="30">
        <v>2023</v>
      </c>
      <c r="B953" s="30" t="s">
        <v>13</v>
      </c>
      <c r="C953" s="30" t="s">
        <v>46</v>
      </c>
      <c r="D953" s="30" t="s">
        <v>47</v>
      </c>
      <c r="E953" s="31" t="s">
        <v>86</v>
      </c>
      <c r="F953" s="32" t="s">
        <v>49</v>
      </c>
      <c r="G953" s="32" t="s">
        <v>50</v>
      </c>
      <c r="H953" s="33">
        <v>21850</v>
      </c>
      <c r="I953" s="34">
        <f>Table3[[#This Row],[Volume, kg.]]/1000</f>
        <v>21.85</v>
      </c>
      <c r="J953" s="34">
        <v>0.19579999999999997</v>
      </c>
      <c r="K953" s="34">
        <f t="shared" si="28"/>
        <v>4278.2299999999996</v>
      </c>
      <c r="L953" s="34">
        <v>2.8</v>
      </c>
      <c r="M953" s="34">
        <v>61105</v>
      </c>
      <c r="N953" s="34">
        <f t="shared" si="29"/>
        <v>14.300306435137896</v>
      </c>
    </row>
    <row r="954" spans="1:14" x14ac:dyDescent="0.45">
      <c r="A954" s="30">
        <v>2023</v>
      </c>
      <c r="B954" s="30" t="s">
        <v>13</v>
      </c>
      <c r="C954" s="30" t="s">
        <v>46</v>
      </c>
      <c r="D954" s="30" t="s">
        <v>47</v>
      </c>
      <c r="E954" s="31" t="s">
        <v>451</v>
      </c>
      <c r="F954" s="32" t="s">
        <v>54</v>
      </c>
      <c r="G954" s="32" t="s">
        <v>50</v>
      </c>
      <c r="H954" s="33">
        <v>7880</v>
      </c>
      <c r="I954" s="34">
        <f>Table3[[#This Row],[Volume, kg.]]/1000</f>
        <v>7.88</v>
      </c>
      <c r="J954" s="34">
        <v>0.182</v>
      </c>
      <c r="K954" s="34">
        <f t="shared" si="28"/>
        <v>1434.1599999999999</v>
      </c>
      <c r="L954" s="34">
        <v>2.7</v>
      </c>
      <c r="M954" s="34">
        <v>21276</v>
      </c>
      <c r="N954" s="34">
        <f t="shared" si="29"/>
        <v>14.835164835164836</v>
      </c>
    </row>
    <row r="955" spans="1:14" x14ac:dyDescent="0.45">
      <c r="A955" s="30">
        <v>2023</v>
      </c>
      <c r="B955" s="30" t="s">
        <v>13</v>
      </c>
      <c r="C955" s="30" t="s">
        <v>46</v>
      </c>
      <c r="D955" s="30" t="s">
        <v>47</v>
      </c>
      <c r="E955" s="31" t="s">
        <v>431</v>
      </c>
      <c r="F955" s="32" t="s">
        <v>49</v>
      </c>
      <c r="G955" s="32" t="s">
        <v>50</v>
      </c>
      <c r="H955" s="33">
        <v>61110</v>
      </c>
      <c r="I955" s="34">
        <f>Table3[[#This Row],[Volume, kg.]]/1000</f>
        <v>61.11</v>
      </c>
      <c r="J955" s="34">
        <v>0.17319999999999999</v>
      </c>
      <c r="K955" s="34">
        <f t="shared" si="28"/>
        <v>10584.252</v>
      </c>
      <c r="L955" s="34">
        <v>2.68</v>
      </c>
      <c r="M955" s="34">
        <v>163872.5</v>
      </c>
      <c r="N955" s="34">
        <f t="shared" si="29"/>
        <v>15.473441108545035</v>
      </c>
    </row>
    <row r="956" spans="1:14" x14ac:dyDescent="0.45">
      <c r="A956" s="30">
        <v>2023</v>
      </c>
      <c r="B956" s="30" t="s">
        <v>13</v>
      </c>
      <c r="C956" s="30" t="s">
        <v>46</v>
      </c>
      <c r="D956" s="30" t="s">
        <v>47</v>
      </c>
      <c r="E956" s="31" t="s">
        <v>167</v>
      </c>
      <c r="F956" s="32" t="s">
        <v>49</v>
      </c>
      <c r="G956" s="32" t="s">
        <v>50</v>
      </c>
      <c r="H956" s="33">
        <v>106840</v>
      </c>
      <c r="I956" s="34">
        <f>Table3[[#This Row],[Volume, kg.]]/1000</f>
        <v>106.84</v>
      </c>
      <c r="J956" s="34">
        <v>0.20440000000000003</v>
      </c>
      <c r="K956" s="34">
        <f t="shared" si="28"/>
        <v>21838.096000000001</v>
      </c>
      <c r="L956" s="34">
        <v>2.82</v>
      </c>
      <c r="M956" s="34">
        <v>301793</v>
      </c>
      <c r="N956" s="34">
        <f t="shared" si="29"/>
        <v>13.796477495107629</v>
      </c>
    </row>
    <row r="957" spans="1:14" x14ac:dyDescent="0.45">
      <c r="A957" s="30">
        <v>2023</v>
      </c>
      <c r="B957" s="30" t="s">
        <v>13</v>
      </c>
      <c r="C957" s="30" t="s">
        <v>46</v>
      </c>
      <c r="D957" s="30" t="s">
        <v>47</v>
      </c>
      <c r="E957" s="31" t="s">
        <v>77</v>
      </c>
      <c r="F957" s="32" t="s">
        <v>49</v>
      </c>
      <c r="G957" s="32" t="s">
        <v>50</v>
      </c>
      <c r="H957" s="33">
        <v>40460</v>
      </c>
      <c r="I957" s="34">
        <f>Table3[[#This Row],[Volume, kg.]]/1000</f>
        <v>40.46</v>
      </c>
      <c r="J957" s="34">
        <v>0.18190000000000001</v>
      </c>
      <c r="K957" s="34">
        <f t="shared" si="28"/>
        <v>7359.674</v>
      </c>
      <c r="L957" s="34">
        <v>2.71</v>
      </c>
      <c r="M957" s="34">
        <v>109578.5</v>
      </c>
      <c r="N957" s="34">
        <f t="shared" si="29"/>
        <v>14.898295766904893</v>
      </c>
    </row>
    <row r="958" spans="1:14" x14ac:dyDescent="0.45">
      <c r="A958" s="30">
        <v>2023</v>
      </c>
      <c r="B958" s="30" t="s">
        <v>13</v>
      </c>
      <c r="C958" s="30" t="s">
        <v>46</v>
      </c>
      <c r="D958" s="30" t="s">
        <v>47</v>
      </c>
      <c r="E958" s="31" t="s">
        <v>466</v>
      </c>
      <c r="F958" s="32" t="s">
        <v>57</v>
      </c>
      <c r="G958" s="32" t="s">
        <v>50</v>
      </c>
      <c r="H958" s="33">
        <v>25480</v>
      </c>
      <c r="I958" s="34">
        <f>Table3[[#This Row],[Volume, kg.]]/1000</f>
        <v>25.48</v>
      </c>
      <c r="J958" s="34">
        <v>0.19500000000000001</v>
      </c>
      <c r="K958" s="34">
        <f t="shared" si="28"/>
        <v>4968.6000000000004</v>
      </c>
      <c r="L958" s="34">
        <v>2.78</v>
      </c>
      <c r="M958" s="34">
        <v>70805.5</v>
      </c>
      <c r="N958" s="34">
        <f t="shared" si="29"/>
        <v>14.256410256410255</v>
      </c>
    </row>
    <row r="959" spans="1:14" x14ac:dyDescent="0.45">
      <c r="A959" s="30">
        <v>2023</v>
      </c>
      <c r="B959" s="30" t="s">
        <v>13</v>
      </c>
      <c r="C959" s="30" t="s">
        <v>46</v>
      </c>
      <c r="D959" s="30" t="s">
        <v>47</v>
      </c>
      <c r="E959" s="31" t="s">
        <v>263</v>
      </c>
      <c r="F959" s="32" t="s">
        <v>81</v>
      </c>
      <c r="G959" s="32" t="s">
        <v>50</v>
      </c>
      <c r="H959" s="33">
        <v>70670</v>
      </c>
      <c r="I959" s="34">
        <f>Table3[[#This Row],[Volume, kg.]]/1000</f>
        <v>70.67</v>
      </c>
      <c r="J959" s="34">
        <v>0.18469999999999998</v>
      </c>
      <c r="K959" s="34">
        <f t="shared" si="28"/>
        <v>13052.748999999998</v>
      </c>
      <c r="L959" s="34">
        <v>2.73</v>
      </c>
      <c r="M959" s="34">
        <v>193079.5</v>
      </c>
      <c r="N959" s="34">
        <f t="shared" si="29"/>
        <v>14.78072550081213</v>
      </c>
    </row>
    <row r="960" spans="1:14" x14ac:dyDescent="0.45">
      <c r="A960" s="30">
        <v>2023</v>
      </c>
      <c r="B960" s="30" t="s">
        <v>13</v>
      </c>
      <c r="C960" s="30" t="s">
        <v>46</v>
      </c>
      <c r="D960" s="30" t="s">
        <v>47</v>
      </c>
      <c r="E960" s="31" t="s">
        <v>449</v>
      </c>
      <c r="F960" s="32" t="s">
        <v>49</v>
      </c>
      <c r="G960" s="32" t="s">
        <v>50</v>
      </c>
      <c r="H960" s="33">
        <v>9810</v>
      </c>
      <c r="I960" s="34">
        <f>Table3[[#This Row],[Volume, kg.]]/1000</f>
        <v>9.81</v>
      </c>
      <c r="J960" s="34">
        <v>0.18049999999999999</v>
      </c>
      <c r="K960" s="34">
        <f t="shared" si="28"/>
        <v>1770.7049999999999</v>
      </c>
      <c r="L960" s="34">
        <v>2.7</v>
      </c>
      <c r="M960" s="34">
        <v>26487</v>
      </c>
      <c r="N960" s="34">
        <f t="shared" si="29"/>
        <v>14.958448753462605</v>
      </c>
    </row>
    <row r="961" spans="1:14" x14ac:dyDescent="0.45">
      <c r="A961" s="30">
        <v>2023</v>
      </c>
      <c r="B961" s="30" t="s">
        <v>13</v>
      </c>
      <c r="C961" s="30" t="s">
        <v>46</v>
      </c>
      <c r="D961" s="30" t="s">
        <v>47</v>
      </c>
      <c r="E961" s="31" t="s">
        <v>313</v>
      </c>
      <c r="F961" s="32" t="s">
        <v>60</v>
      </c>
      <c r="G961" s="32" t="s">
        <v>50</v>
      </c>
      <c r="H961" s="33">
        <v>28680</v>
      </c>
      <c r="I961" s="34">
        <f>Table3[[#This Row],[Volume, kg.]]/1000</f>
        <v>28.68</v>
      </c>
      <c r="J961" s="34">
        <v>0.22519999999999998</v>
      </c>
      <c r="K961" s="34">
        <f t="shared" si="28"/>
        <v>6458.7359999999999</v>
      </c>
      <c r="L961" s="34">
        <v>2.93</v>
      </c>
      <c r="M961" s="34">
        <v>83894.5</v>
      </c>
      <c r="N961" s="34">
        <f t="shared" si="29"/>
        <v>13.010657193605686</v>
      </c>
    </row>
    <row r="962" spans="1:14" x14ac:dyDescent="0.45">
      <c r="A962" s="30">
        <v>2023</v>
      </c>
      <c r="B962" s="30" t="s">
        <v>13</v>
      </c>
      <c r="C962" s="30" t="s">
        <v>46</v>
      </c>
      <c r="D962" s="30" t="s">
        <v>47</v>
      </c>
      <c r="E962" s="31" t="s">
        <v>288</v>
      </c>
      <c r="F962" s="32" t="s">
        <v>49</v>
      </c>
      <c r="G962" s="32" t="s">
        <v>50</v>
      </c>
      <c r="H962" s="33">
        <v>36240</v>
      </c>
      <c r="I962" s="34">
        <f>Table3[[#This Row],[Volume, kg.]]/1000</f>
        <v>36.24</v>
      </c>
      <c r="J962" s="34">
        <v>0.20980000000000001</v>
      </c>
      <c r="K962" s="34">
        <f t="shared" si="28"/>
        <v>7603.152000000001</v>
      </c>
      <c r="L962" s="34">
        <v>2.83</v>
      </c>
      <c r="M962" s="34">
        <v>102720.5</v>
      </c>
      <c r="N962" s="34">
        <f t="shared" si="29"/>
        <v>13.489037178265013</v>
      </c>
    </row>
    <row r="963" spans="1:14" x14ac:dyDescent="0.45">
      <c r="A963" s="30">
        <v>2023</v>
      </c>
      <c r="B963" s="30" t="s">
        <v>13</v>
      </c>
      <c r="C963" s="30" t="s">
        <v>46</v>
      </c>
      <c r="D963" s="30" t="s">
        <v>47</v>
      </c>
      <c r="E963" s="31" t="s">
        <v>70</v>
      </c>
      <c r="F963" s="32" t="s">
        <v>49</v>
      </c>
      <c r="G963" s="32" t="s">
        <v>50</v>
      </c>
      <c r="H963" s="33">
        <v>241660</v>
      </c>
      <c r="I963" s="34">
        <f>Table3[[#This Row],[Volume, kg.]]/1000</f>
        <v>241.66</v>
      </c>
      <c r="J963" s="34">
        <v>0.19889999999999999</v>
      </c>
      <c r="K963" s="34">
        <f t="shared" ref="K963:K1026" si="30">H963*J963</f>
        <v>48066.173999999999</v>
      </c>
      <c r="L963" s="34">
        <v>2.8</v>
      </c>
      <c r="M963" s="34">
        <v>675832.5</v>
      </c>
      <c r="N963" s="34">
        <f t="shared" si="29"/>
        <v>14.077425842131724</v>
      </c>
    </row>
    <row r="964" spans="1:14" x14ac:dyDescent="0.45">
      <c r="A964" s="30">
        <v>2023</v>
      </c>
      <c r="B964" s="30" t="s">
        <v>13</v>
      </c>
      <c r="C964" s="30" t="s">
        <v>46</v>
      </c>
      <c r="D964" s="30" t="s">
        <v>47</v>
      </c>
      <c r="E964" s="31" t="s">
        <v>265</v>
      </c>
      <c r="F964" s="32" t="s">
        <v>49</v>
      </c>
      <c r="G964" s="32" t="s">
        <v>50</v>
      </c>
      <c r="H964" s="33">
        <v>24100</v>
      </c>
      <c r="I964" s="34">
        <f>Table3[[#This Row],[Volume, kg.]]/1000</f>
        <v>24.1</v>
      </c>
      <c r="J964" s="34">
        <v>0.1721</v>
      </c>
      <c r="K964" s="34">
        <f t="shared" si="30"/>
        <v>4147.6099999999997</v>
      </c>
      <c r="L964" s="34">
        <v>2.7</v>
      </c>
      <c r="M964" s="34">
        <v>65078</v>
      </c>
      <c r="N964" s="34">
        <f t="shared" ref="N964:N1027" si="31">L964/J964</f>
        <v>15.68855316676351</v>
      </c>
    </row>
    <row r="965" spans="1:14" x14ac:dyDescent="0.45">
      <c r="A965" s="30">
        <v>2023</v>
      </c>
      <c r="B965" s="30" t="s">
        <v>13</v>
      </c>
      <c r="C965" s="30" t="s">
        <v>46</v>
      </c>
      <c r="D965" s="30" t="s">
        <v>47</v>
      </c>
      <c r="E965" s="31" t="s">
        <v>467</v>
      </c>
      <c r="F965" s="32" t="s">
        <v>57</v>
      </c>
      <c r="G965" s="32" t="s">
        <v>50</v>
      </c>
      <c r="H965" s="33">
        <v>38520</v>
      </c>
      <c r="I965" s="34">
        <f>Table3[[#This Row],[Volume, kg.]]/1000</f>
        <v>38.520000000000003</v>
      </c>
      <c r="J965" s="34">
        <v>0.20469999999999999</v>
      </c>
      <c r="K965" s="34">
        <f t="shared" si="30"/>
        <v>7885.0439999999999</v>
      </c>
      <c r="L965" s="34">
        <v>2.82</v>
      </c>
      <c r="M965" s="34">
        <v>108757.5</v>
      </c>
      <c r="N965" s="34">
        <f t="shared" si="31"/>
        <v>13.776257938446507</v>
      </c>
    </row>
    <row r="966" spans="1:14" x14ac:dyDescent="0.45">
      <c r="A966" s="30">
        <v>2023</v>
      </c>
      <c r="B966" s="30" t="s">
        <v>13</v>
      </c>
      <c r="C966" s="30" t="s">
        <v>46</v>
      </c>
      <c r="D966" s="30" t="s">
        <v>47</v>
      </c>
      <c r="E966" s="31" t="s">
        <v>192</v>
      </c>
      <c r="F966" s="32" t="s">
        <v>49</v>
      </c>
      <c r="G966" s="32" t="s">
        <v>50</v>
      </c>
      <c r="H966" s="33">
        <v>920</v>
      </c>
      <c r="I966" s="34">
        <f>Table3[[#This Row],[Volume, kg.]]/1000</f>
        <v>0.92</v>
      </c>
      <c r="J966" s="34">
        <v>0.13650000000000001</v>
      </c>
      <c r="K966" s="34">
        <f t="shared" si="30"/>
        <v>125.58000000000001</v>
      </c>
      <c r="L966" s="34">
        <v>2.5</v>
      </c>
      <c r="M966" s="34">
        <v>2300</v>
      </c>
      <c r="N966" s="34">
        <f t="shared" si="31"/>
        <v>18.315018315018314</v>
      </c>
    </row>
    <row r="967" spans="1:14" x14ac:dyDescent="0.45">
      <c r="A967" s="30">
        <v>2023</v>
      </c>
      <c r="B967" s="30" t="s">
        <v>13</v>
      </c>
      <c r="C967" s="30" t="s">
        <v>46</v>
      </c>
      <c r="D967" s="30" t="s">
        <v>47</v>
      </c>
      <c r="E967" s="31" t="s">
        <v>324</v>
      </c>
      <c r="F967" s="32" t="s">
        <v>81</v>
      </c>
      <c r="G967" s="32" t="s">
        <v>50</v>
      </c>
      <c r="H967" s="33">
        <v>19790</v>
      </c>
      <c r="I967" s="34">
        <f>Table3[[#This Row],[Volume, kg.]]/1000</f>
        <v>19.79</v>
      </c>
      <c r="J967" s="34">
        <v>0.16200000000000001</v>
      </c>
      <c r="K967" s="34">
        <f t="shared" si="30"/>
        <v>3205.98</v>
      </c>
      <c r="L967" s="34">
        <v>2.62</v>
      </c>
      <c r="M967" s="34">
        <v>51780</v>
      </c>
      <c r="N967" s="34">
        <f t="shared" si="31"/>
        <v>16.172839506172838</v>
      </c>
    </row>
    <row r="968" spans="1:14" x14ac:dyDescent="0.45">
      <c r="A968" s="30">
        <v>2023</v>
      </c>
      <c r="B968" s="30" t="s">
        <v>13</v>
      </c>
      <c r="C968" s="30" t="s">
        <v>46</v>
      </c>
      <c r="D968" s="30" t="s">
        <v>47</v>
      </c>
      <c r="E968" s="31" t="s">
        <v>74</v>
      </c>
      <c r="F968" s="32" t="s">
        <v>49</v>
      </c>
      <c r="G968" s="32" t="s">
        <v>50</v>
      </c>
      <c r="H968" s="33">
        <v>19300</v>
      </c>
      <c r="I968" s="34">
        <f>Table3[[#This Row],[Volume, kg.]]/1000</f>
        <v>19.3</v>
      </c>
      <c r="J968" s="34">
        <v>0.17010000000000003</v>
      </c>
      <c r="K968" s="34">
        <f t="shared" si="30"/>
        <v>3282.9300000000007</v>
      </c>
      <c r="L968" s="34">
        <v>2.65</v>
      </c>
      <c r="M968" s="34">
        <v>51165</v>
      </c>
      <c r="N968" s="34">
        <f t="shared" si="31"/>
        <v>15.579071134626687</v>
      </c>
    </row>
    <row r="969" spans="1:14" x14ac:dyDescent="0.45">
      <c r="A969" s="30">
        <v>2023</v>
      </c>
      <c r="B969" s="30" t="s">
        <v>13</v>
      </c>
      <c r="C969" s="30" t="s">
        <v>46</v>
      </c>
      <c r="D969" s="30" t="s">
        <v>47</v>
      </c>
      <c r="E969" s="31" t="s">
        <v>125</v>
      </c>
      <c r="F969" s="32" t="s">
        <v>60</v>
      </c>
      <c r="G969" s="32" t="s">
        <v>50</v>
      </c>
      <c r="H969" s="33">
        <v>43960</v>
      </c>
      <c r="I969" s="34">
        <f>Table3[[#This Row],[Volume, kg.]]/1000</f>
        <v>43.96</v>
      </c>
      <c r="J969" s="34">
        <v>0.1946</v>
      </c>
      <c r="K969" s="34">
        <f t="shared" si="30"/>
        <v>8554.616</v>
      </c>
      <c r="L969" s="34">
        <v>2.79</v>
      </c>
      <c r="M969" s="34">
        <v>122792.5</v>
      </c>
      <c r="N969" s="34">
        <f t="shared" si="31"/>
        <v>14.337101747173691</v>
      </c>
    </row>
    <row r="970" spans="1:14" x14ac:dyDescent="0.45">
      <c r="A970" s="30">
        <v>2023</v>
      </c>
      <c r="B970" s="30" t="s">
        <v>13</v>
      </c>
      <c r="C970" s="30" t="s">
        <v>46</v>
      </c>
      <c r="D970" s="30" t="s">
        <v>47</v>
      </c>
      <c r="E970" s="31" t="s">
        <v>390</v>
      </c>
      <c r="F970" s="32" t="s">
        <v>60</v>
      </c>
      <c r="G970" s="32" t="s">
        <v>50</v>
      </c>
      <c r="H970" s="33">
        <v>31360</v>
      </c>
      <c r="I970" s="34">
        <f>Table3[[#This Row],[Volume, kg.]]/1000</f>
        <v>31.36</v>
      </c>
      <c r="J970" s="34">
        <v>0.19469999999999998</v>
      </c>
      <c r="K970" s="34">
        <f t="shared" si="30"/>
        <v>6105.7919999999995</v>
      </c>
      <c r="L970" s="34">
        <v>2.76</v>
      </c>
      <c r="M970" s="34">
        <v>86546</v>
      </c>
      <c r="N970" s="34">
        <f t="shared" si="31"/>
        <v>14.175654853620955</v>
      </c>
    </row>
    <row r="971" spans="1:14" x14ac:dyDescent="0.45">
      <c r="A971" s="30">
        <v>2023</v>
      </c>
      <c r="B971" s="30" t="s">
        <v>13</v>
      </c>
      <c r="C971" s="30" t="s">
        <v>46</v>
      </c>
      <c r="D971" s="30" t="s">
        <v>47</v>
      </c>
      <c r="E971" s="31" t="s">
        <v>444</v>
      </c>
      <c r="F971" s="32" t="s">
        <v>49</v>
      </c>
      <c r="G971" s="32" t="s">
        <v>50</v>
      </c>
      <c r="H971" s="33">
        <v>12160</v>
      </c>
      <c r="I971" s="34">
        <f>Table3[[#This Row],[Volume, kg.]]/1000</f>
        <v>12.16</v>
      </c>
      <c r="J971" s="34">
        <v>0.20180000000000001</v>
      </c>
      <c r="K971" s="34">
        <f t="shared" si="30"/>
        <v>2453.8879999999999</v>
      </c>
      <c r="L971" s="34">
        <v>2.84</v>
      </c>
      <c r="M971" s="34">
        <v>34529</v>
      </c>
      <c r="N971" s="34">
        <f t="shared" si="31"/>
        <v>14.073339940535183</v>
      </c>
    </row>
    <row r="972" spans="1:14" x14ac:dyDescent="0.45">
      <c r="A972" s="30">
        <v>2023</v>
      </c>
      <c r="B972" s="30" t="s">
        <v>13</v>
      </c>
      <c r="C972" s="30" t="s">
        <v>46</v>
      </c>
      <c r="D972" s="30" t="s">
        <v>47</v>
      </c>
      <c r="E972" s="31" t="s">
        <v>144</v>
      </c>
      <c r="F972" s="32" t="s">
        <v>49</v>
      </c>
      <c r="G972" s="32" t="s">
        <v>50</v>
      </c>
      <c r="H972" s="33">
        <v>44460</v>
      </c>
      <c r="I972" s="34">
        <f>Table3[[#This Row],[Volume, kg.]]/1000</f>
        <v>44.46</v>
      </c>
      <c r="J972" s="34">
        <v>0.19070000000000001</v>
      </c>
      <c r="K972" s="34">
        <f t="shared" si="30"/>
        <v>8478.5220000000008</v>
      </c>
      <c r="L972" s="34">
        <v>2.79</v>
      </c>
      <c r="M972" s="34">
        <v>124161.5</v>
      </c>
      <c r="N972" s="34">
        <f t="shared" si="31"/>
        <v>14.630309386470897</v>
      </c>
    </row>
    <row r="973" spans="1:14" x14ac:dyDescent="0.45">
      <c r="A973" s="30">
        <v>2023</v>
      </c>
      <c r="B973" s="30" t="s">
        <v>13</v>
      </c>
      <c r="C973" s="30" t="s">
        <v>46</v>
      </c>
      <c r="D973" s="30" t="s">
        <v>47</v>
      </c>
      <c r="E973" s="31" t="s">
        <v>468</v>
      </c>
      <c r="F973" s="32" t="s">
        <v>240</v>
      </c>
      <c r="G973" s="32" t="s">
        <v>50</v>
      </c>
      <c r="H973" s="33">
        <v>256220</v>
      </c>
      <c r="I973" s="34">
        <f>Table3[[#This Row],[Volume, kg.]]/1000</f>
        <v>256.22000000000003</v>
      </c>
      <c r="J973" s="34">
        <v>0.18510000000000001</v>
      </c>
      <c r="K973" s="34">
        <f t="shared" si="30"/>
        <v>47426.322</v>
      </c>
      <c r="L973" s="34">
        <v>2.73</v>
      </c>
      <c r="M973" s="34">
        <v>698509.5</v>
      </c>
      <c r="N973" s="34">
        <f t="shared" si="31"/>
        <v>14.748784440842787</v>
      </c>
    </row>
    <row r="974" spans="1:14" x14ac:dyDescent="0.45">
      <c r="A974" s="30">
        <v>2023</v>
      </c>
      <c r="B974" s="30" t="s">
        <v>13</v>
      </c>
      <c r="C974" s="30" t="s">
        <v>46</v>
      </c>
      <c r="D974" s="30" t="s">
        <v>47</v>
      </c>
      <c r="E974" s="31" t="s">
        <v>469</v>
      </c>
      <c r="F974" s="32" t="s">
        <v>57</v>
      </c>
      <c r="G974" s="32" t="s">
        <v>50</v>
      </c>
      <c r="H974" s="33">
        <v>5980</v>
      </c>
      <c r="I974" s="34">
        <f>Table3[[#This Row],[Volume, kg.]]/1000</f>
        <v>5.98</v>
      </c>
      <c r="J974" s="34">
        <v>0.17749999999999999</v>
      </c>
      <c r="K974" s="34">
        <f t="shared" si="30"/>
        <v>1061.45</v>
      </c>
      <c r="L974" s="34">
        <v>2.7</v>
      </c>
      <c r="M974" s="34">
        <v>16146</v>
      </c>
      <c r="N974" s="34">
        <f t="shared" si="31"/>
        <v>15.211267605633804</v>
      </c>
    </row>
    <row r="975" spans="1:14" x14ac:dyDescent="0.45">
      <c r="A975" s="30">
        <v>2023</v>
      </c>
      <c r="B975" s="30" t="s">
        <v>13</v>
      </c>
      <c r="C975" s="30" t="s">
        <v>46</v>
      </c>
      <c r="D975" s="30" t="s">
        <v>47</v>
      </c>
      <c r="E975" s="31" t="s">
        <v>283</v>
      </c>
      <c r="F975" s="32" t="s">
        <v>49</v>
      </c>
      <c r="G975" s="32" t="s">
        <v>50</v>
      </c>
      <c r="H975" s="33">
        <v>1920</v>
      </c>
      <c r="I975" s="34">
        <f>Table3[[#This Row],[Volume, kg.]]/1000</f>
        <v>1.92</v>
      </c>
      <c r="J975" s="34">
        <v>0.23499999999999999</v>
      </c>
      <c r="K975" s="34">
        <f t="shared" si="30"/>
        <v>451.2</v>
      </c>
      <c r="L975" s="34">
        <v>3</v>
      </c>
      <c r="M975" s="34">
        <v>5760</v>
      </c>
      <c r="N975" s="34">
        <f t="shared" si="31"/>
        <v>12.765957446808512</v>
      </c>
    </row>
    <row r="976" spans="1:14" x14ac:dyDescent="0.45">
      <c r="A976" s="30">
        <v>2023</v>
      </c>
      <c r="B976" s="30" t="s">
        <v>13</v>
      </c>
      <c r="C976" s="30" t="s">
        <v>46</v>
      </c>
      <c r="D976" s="30" t="s">
        <v>47</v>
      </c>
      <c r="E976" s="31" t="s">
        <v>268</v>
      </c>
      <c r="F976" s="32" t="s">
        <v>57</v>
      </c>
      <c r="G976" s="32" t="s">
        <v>50</v>
      </c>
      <c r="H976" s="33">
        <v>23820</v>
      </c>
      <c r="I976" s="34">
        <f>Table3[[#This Row],[Volume, kg.]]/1000</f>
        <v>23.82</v>
      </c>
      <c r="J976" s="34">
        <v>0.18710000000000002</v>
      </c>
      <c r="K976" s="34">
        <f t="shared" si="30"/>
        <v>4456.7220000000007</v>
      </c>
      <c r="L976" s="34">
        <v>2.72</v>
      </c>
      <c r="M976" s="34">
        <v>64888</v>
      </c>
      <c r="N976" s="34">
        <f t="shared" si="31"/>
        <v>14.537680384820952</v>
      </c>
    </row>
    <row r="977" spans="1:14" x14ac:dyDescent="0.45">
      <c r="A977" s="30">
        <v>2023</v>
      </c>
      <c r="B977" s="30" t="s">
        <v>13</v>
      </c>
      <c r="C977" s="30" t="s">
        <v>46</v>
      </c>
      <c r="D977" s="30" t="s">
        <v>47</v>
      </c>
      <c r="E977" s="31" t="s">
        <v>299</v>
      </c>
      <c r="F977" s="32" t="s">
        <v>49</v>
      </c>
      <c r="G977" s="32" t="s">
        <v>50</v>
      </c>
      <c r="H977" s="33">
        <v>1220</v>
      </c>
      <c r="I977" s="34">
        <f>Table3[[#This Row],[Volume, kg.]]/1000</f>
        <v>1.22</v>
      </c>
      <c r="J977" s="34">
        <v>0.15670000000000001</v>
      </c>
      <c r="K977" s="34">
        <f t="shared" si="30"/>
        <v>191.17400000000001</v>
      </c>
      <c r="L977" s="34">
        <v>2.6</v>
      </c>
      <c r="M977" s="34">
        <v>3172</v>
      </c>
      <c r="N977" s="34">
        <f t="shared" si="31"/>
        <v>16.592214422463307</v>
      </c>
    </row>
    <row r="978" spans="1:14" x14ac:dyDescent="0.45">
      <c r="A978" s="30">
        <v>2023</v>
      </c>
      <c r="B978" s="30" t="s">
        <v>13</v>
      </c>
      <c r="C978" s="30" t="s">
        <v>46</v>
      </c>
      <c r="D978" s="30" t="s">
        <v>47</v>
      </c>
      <c r="E978" s="31" t="s">
        <v>470</v>
      </c>
      <c r="F978" s="32" t="s">
        <v>57</v>
      </c>
      <c r="G978" s="32" t="s">
        <v>50</v>
      </c>
      <c r="H978" s="33">
        <v>7030</v>
      </c>
      <c r="I978" s="34">
        <f>Table3[[#This Row],[Volume, kg.]]/1000</f>
        <v>7.03</v>
      </c>
      <c r="J978" s="34">
        <v>0.16800000000000001</v>
      </c>
      <c r="K978" s="34">
        <f t="shared" si="30"/>
        <v>1181.04</v>
      </c>
      <c r="L978" s="34">
        <v>2.65</v>
      </c>
      <c r="M978" s="34">
        <v>18646</v>
      </c>
      <c r="N978" s="34">
        <f t="shared" si="31"/>
        <v>15.773809523809522</v>
      </c>
    </row>
    <row r="979" spans="1:14" x14ac:dyDescent="0.45">
      <c r="A979" s="30">
        <v>2023</v>
      </c>
      <c r="B979" s="30" t="s">
        <v>13</v>
      </c>
      <c r="C979" s="30" t="s">
        <v>46</v>
      </c>
      <c r="D979" s="30" t="s">
        <v>47</v>
      </c>
      <c r="E979" s="31" t="s">
        <v>147</v>
      </c>
      <c r="F979" s="32" t="s">
        <v>57</v>
      </c>
      <c r="G979" s="32" t="s">
        <v>50</v>
      </c>
      <c r="H979" s="33">
        <v>63580</v>
      </c>
      <c r="I979" s="34">
        <f>Table3[[#This Row],[Volume, kg.]]/1000</f>
        <v>63.58</v>
      </c>
      <c r="J979" s="34">
        <v>0.22760000000000002</v>
      </c>
      <c r="K979" s="34">
        <f t="shared" si="30"/>
        <v>14470.808000000001</v>
      </c>
      <c r="L979" s="34">
        <v>2.94</v>
      </c>
      <c r="M979" s="34">
        <v>187067</v>
      </c>
      <c r="N979" s="34">
        <f t="shared" si="31"/>
        <v>12.917398945518451</v>
      </c>
    </row>
    <row r="980" spans="1:14" x14ac:dyDescent="0.45">
      <c r="A980" s="30">
        <v>2023</v>
      </c>
      <c r="B980" s="30" t="s">
        <v>13</v>
      </c>
      <c r="C980" s="30" t="s">
        <v>46</v>
      </c>
      <c r="D980" s="30" t="s">
        <v>47</v>
      </c>
      <c r="E980" s="31" t="s">
        <v>253</v>
      </c>
      <c r="F980" s="32" t="s">
        <v>57</v>
      </c>
      <c r="G980" s="32" t="s">
        <v>50</v>
      </c>
      <c r="H980" s="33">
        <v>36830</v>
      </c>
      <c r="I980" s="34">
        <f>Table3[[#This Row],[Volume, kg.]]/1000</f>
        <v>36.83</v>
      </c>
      <c r="J980" s="34">
        <v>0.2009</v>
      </c>
      <c r="K980" s="34">
        <f t="shared" si="30"/>
        <v>7399.1469999999999</v>
      </c>
      <c r="L980" s="34">
        <v>2.8</v>
      </c>
      <c r="M980" s="34">
        <v>103122.5</v>
      </c>
      <c r="N980" s="34">
        <f t="shared" si="31"/>
        <v>13.937282229965156</v>
      </c>
    </row>
    <row r="981" spans="1:14" x14ac:dyDescent="0.45">
      <c r="A981" s="30">
        <v>2023</v>
      </c>
      <c r="B981" s="30" t="s">
        <v>13</v>
      </c>
      <c r="C981" s="30" t="s">
        <v>46</v>
      </c>
      <c r="D981" s="30" t="s">
        <v>47</v>
      </c>
      <c r="E981" s="31" t="s">
        <v>471</v>
      </c>
      <c r="F981" s="32" t="s">
        <v>57</v>
      </c>
      <c r="G981" s="32" t="s">
        <v>50</v>
      </c>
      <c r="H981" s="33">
        <v>28110</v>
      </c>
      <c r="I981" s="34">
        <f>Table3[[#This Row],[Volume, kg.]]/1000</f>
        <v>28.11</v>
      </c>
      <c r="J981" s="34">
        <v>0.21760000000000002</v>
      </c>
      <c r="K981" s="34">
        <f t="shared" si="30"/>
        <v>6116.7360000000008</v>
      </c>
      <c r="L981" s="34">
        <v>2.88</v>
      </c>
      <c r="M981" s="34">
        <v>80994</v>
      </c>
      <c r="N981" s="34">
        <f t="shared" si="31"/>
        <v>13.235294117647058</v>
      </c>
    </row>
    <row r="982" spans="1:14" x14ac:dyDescent="0.45">
      <c r="A982" s="30">
        <v>2023</v>
      </c>
      <c r="B982" s="30" t="s">
        <v>13</v>
      </c>
      <c r="C982" s="30" t="s">
        <v>46</v>
      </c>
      <c r="D982" s="30" t="s">
        <v>47</v>
      </c>
      <c r="E982" s="31" t="s">
        <v>217</v>
      </c>
      <c r="F982" s="32" t="s">
        <v>49</v>
      </c>
      <c r="G982" s="32" t="s">
        <v>50</v>
      </c>
      <c r="H982" s="33">
        <v>8980</v>
      </c>
      <c r="I982" s="34">
        <f>Table3[[#This Row],[Volume, kg.]]/1000</f>
        <v>8.98</v>
      </c>
      <c r="J982" s="34">
        <v>0.1837</v>
      </c>
      <c r="K982" s="34">
        <f t="shared" si="30"/>
        <v>1649.626</v>
      </c>
      <c r="L982" s="34">
        <v>2.77</v>
      </c>
      <c r="M982" s="34">
        <v>24836.5</v>
      </c>
      <c r="N982" s="34">
        <f t="shared" si="31"/>
        <v>15.078933043004898</v>
      </c>
    </row>
    <row r="983" spans="1:14" x14ac:dyDescent="0.45">
      <c r="A983" s="30">
        <v>2023</v>
      </c>
      <c r="B983" s="30" t="s">
        <v>13</v>
      </c>
      <c r="C983" s="30" t="s">
        <v>46</v>
      </c>
      <c r="D983" s="30" t="s">
        <v>47</v>
      </c>
      <c r="E983" s="31" t="s">
        <v>233</v>
      </c>
      <c r="F983" s="32" t="s">
        <v>57</v>
      </c>
      <c r="G983" s="32" t="s">
        <v>50</v>
      </c>
      <c r="H983" s="33">
        <v>27170</v>
      </c>
      <c r="I983" s="34">
        <f>Table3[[#This Row],[Volume, kg.]]/1000</f>
        <v>27.17</v>
      </c>
      <c r="J983" s="34">
        <v>0.20489999999999997</v>
      </c>
      <c r="K983" s="34">
        <f t="shared" si="30"/>
        <v>5567.1329999999989</v>
      </c>
      <c r="L983" s="34">
        <v>2.84</v>
      </c>
      <c r="M983" s="34">
        <v>77241</v>
      </c>
      <c r="N983" s="34">
        <f t="shared" si="31"/>
        <v>13.860419716935091</v>
      </c>
    </row>
    <row r="984" spans="1:14" x14ac:dyDescent="0.45">
      <c r="A984" s="30">
        <v>2023</v>
      </c>
      <c r="B984" s="30" t="s">
        <v>13</v>
      </c>
      <c r="C984" s="30" t="s">
        <v>46</v>
      </c>
      <c r="D984" s="30" t="s">
        <v>47</v>
      </c>
      <c r="E984" s="31" t="s">
        <v>445</v>
      </c>
      <c r="F984" s="32" t="s">
        <v>49</v>
      </c>
      <c r="G984" s="32" t="s">
        <v>50</v>
      </c>
      <c r="H984" s="33">
        <v>24420</v>
      </c>
      <c r="I984" s="34">
        <f>Table3[[#This Row],[Volume, kg.]]/1000</f>
        <v>24.42</v>
      </c>
      <c r="J984" s="34">
        <v>0.22949999999999998</v>
      </c>
      <c r="K984" s="34">
        <f t="shared" si="30"/>
        <v>5604.3899999999994</v>
      </c>
      <c r="L984" s="34">
        <v>2.95</v>
      </c>
      <c r="M984" s="34">
        <v>72129</v>
      </c>
      <c r="N984" s="34">
        <f t="shared" si="31"/>
        <v>12.854030501089326</v>
      </c>
    </row>
    <row r="985" spans="1:14" x14ac:dyDescent="0.45">
      <c r="A985" s="30">
        <v>2023</v>
      </c>
      <c r="B985" s="30" t="s">
        <v>13</v>
      </c>
      <c r="C985" s="30" t="s">
        <v>46</v>
      </c>
      <c r="D985" s="30" t="s">
        <v>47</v>
      </c>
      <c r="E985" s="31" t="s">
        <v>89</v>
      </c>
      <c r="F985" s="32" t="s">
        <v>81</v>
      </c>
      <c r="G985" s="32" t="s">
        <v>50</v>
      </c>
      <c r="H985" s="33">
        <v>3600</v>
      </c>
      <c r="I985" s="34">
        <f>Table3[[#This Row],[Volume, kg.]]/1000</f>
        <v>3.6</v>
      </c>
      <c r="J985" s="34">
        <v>0.22600000000000001</v>
      </c>
      <c r="K985" s="34">
        <f t="shared" si="30"/>
        <v>813.6</v>
      </c>
      <c r="L985" s="34">
        <v>2.95</v>
      </c>
      <c r="M985" s="34">
        <v>10620</v>
      </c>
      <c r="N985" s="34">
        <f t="shared" si="31"/>
        <v>13.053097345132743</v>
      </c>
    </row>
    <row r="986" spans="1:14" x14ac:dyDescent="0.45">
      <c r="A986" s="30">
        <v>2023</v>
      </c>
      <c r="B986" s="30" t="s">
        <v>13</v>
      </c>
      <c r="C986" s="30" t="s">
        <v>46</v>
      </c>
      <c r="D986" s="30" t="s">
        <v>47</v>
      </c>
      <c r="E986" s="31" t="s">
        <v>56</v>
      </c>
      <c r="F986" s="32" t="s">
        <v>57</v>
      </c>
      <c r="G986" s="32" t="s">
        <v>50</v>
      </c>
      <c r="H986" s="33">
        <v>5160</v>
      </c>
      <c r="I986" s="34">
        <f>Table3[[#This Row],[Volume, kg.]]/1000</f>
        <v>5.16</v>
      </c>
      <c r="J986" s="34">
        <v>0.17550000000000002</v>
      </c>
      <c r="K986" s="34">
        <f t="shared" si="30"/>
        <v>905.58</v>
      </c>
      <c r="L986" s="34">
        <v>2.7</v>
      </c>
      <c r="M986" s="34">
        <v>13932</v>
      </c>
      <c r="N986" s="34">
        <f t="shared" si="31"/>
        <v>15.384615384615383</v>
      </c>
    </row>
    <row r="987" spans="1:14" x14ac:dyDescent="0.45">
      <c r="A987" s="30">
        <v>2023</v>
      </c>
      <c r="B987" s="30" t="s">
        <v>13</v>
      </c>
      <c r="C987" s="30" t="s">
        <v>46</v>
      </c>
      <c r="D987" s="30" t="s">
        <v>47</v>
      </c>
      <c r="E987" s="31" t="s">
        <v>90</v>
      </c>
      <c r="F987" s="32" t="s">
        <v>49</v>
      </c>
      <c r="G987" s="32" t="s">
        <v>50</v>
      </c>
      <c r="H987" s="33">
        <v>51030</v>
      </c>
      <c r="I987" s="34">
        <f>Table3[[#This Row],[Volume, kg.]]/1000</f>
        <v>51.03</v>
      </c>
      <c r="J987" s="34">
        <v>0.2145</v>
      </c>
      <c r="K987" s="34">
        <f t="shared" si="30"/>
        <v>10945.934999999999</v>
      </c>
      <c r="L987" s="34">
        <v>2.88</v>
      </c>
      <c r="M987" s="34">
        <v>146961.5</v>
      </c>
      <c r="N987" s="34">
        <f t="shared" si="31"/>
        <v>13.426573426573427</v>
      </c>
    </row>
    <row r="988" spans="1:14" x14ac:dyDescent="0.45">
      <c r="A988" s="30">
        <v>2023</v>
      </c>
      <c r="B988" s="30" t="s">
        <v>13</v>
      </c>
      <c r="C988" s="30" t="s">
        <v>46</v>
      </c>
      <c r="D988" s="30" t="s">
        <v>47</v>
      </c>
      <c r="E988" s="31" t="s">
        <v>311</v>
      </c>
      <c r="F988" s="32" t="s">
        <v>57</v>
      </c>
      <c r="G988" s="32" t="s">
        <v>50</v>
      </c>
      <c r="H988" s="33">
        <v>17840</v>
      </c>
      <c r="I988" s="34">
        <f>Table3[[#This Row],[Volume, kg.]]/1000</f>
        <v>17.84</v>
      </c>
      <c r="J988" s="34">
        <v>0.2447</v>
      </c>
      <c r="K988" s="34">
        <f t="shared" si="30"/>
        <v>4365.4480000000003</v>
      </c>
      <c r="L988" s="34">
        <v>3.03</v>
      </c>
      <c r="M988" s="34">
        <v>54068</v>
      </c>
      <c r="N988" s="34">
        <f t="shared" si="31"/>
        <v>12.38250919493257</v>
      </c>
    </row>
    <row r="989" spans="1:14" x14ac:dyDescent="0.45">
      <c r="A989" s="30">
        <v>2023</v>
      </c>
      <c r="B989" s="30" t="s">
        <v>13</v>
      </c>
      <c r="C989" s="30" t="s">
        <v>46</v>
      </c>
      <c r="D989" s="30" t="s">
        <v>47</v>
      </c>
      <c r="E989" s="31" t="s">
        <v>361</v>
      </c>
      <c r="F989" s="32" t="s">
        <v>57</v>
      </c>
      <c r="G989" s="32" t="s">
        <v>50</v>
      </c>
      <c r="H989" s="33">
        <v>49080</v>
      </c>
      <c r="I989" s="34">
        <f>Table3[[#This Row],[Volume, kg.]]/1000</f>
        <v>49.08</v>
      </c>
      <c r="J989" s="34">
        <v>0.21109999999999998</v>
      </c>
      <c r="K989" s="34">
        <f t="shared" si="30"/>
        <v>10360.787999999999</v>
      </c>
      <c r="L989" s="34">
        <v>2.87</v>
      </c>
      <c r="M989" s="34">
        <v>140904.5</v>
      </c>
      <c r="N989" s="34">
        <f t="shared" si="31"/>
        <v>13.595452392231172</v>
      </c>
    </row>
    <row r="990" spans="1:14" x14ac:dyDescent="0.45">
      <c r="A990" s="30">
        <v>2023</v>
      </c>
      <c r="B990" s="30" t="s">
        <v>13</v>
      </c>
      <c r="C990" s="30" t="s">
        <v>46</v>
      </c>
      <c r="D990" s="30" t="s">
        <v>47</v>
      </c>
      <c r="E990" s="31" t="s">
        <v>153</v>
      </c>
      <c r="F990" s="32" t="s">
        <v>57</v>
      </c>
      <c r="G990" s="32" t="s">
        <v>50</v>
      </c>
      <c r="H990" s="33">
        <v>34010</v>
      </c>
      <c r="I990" s="34">
        <f>Table3[[#This Row],[Volume, kg.]]/1000</f>
        <v>34.01</v>
      </c>
      <c r="J990" s="34">
        <v>0.2114</v>
      </c>
      <c r="K990" s="34">
        <f t="shared" si="30"/>
        <v>7189.7139999999999</v>
      </c>
      <c r="L990" s="34">
        <v>2.86</v>
      </c>
      <c r="M990" s="34">
        <v>97283.5</v>
      </c>
      <c r="N990" s="34">
        <f t="shared" si="31"/>
        <v>13.528855250709555</v>
      </c>
    </row>
    <row r="991" spans="1:14" x14ac:dyDescent="0.45">
      <c r="A991" s="30">
        <v>2023</v>
      </c>
      <c r="B991" s="30" t="s">
        <v>13</v>
      </c>
      <c r="C991" s="30" t="s">
        <v>46</v>
      </c>
      <c r="D991" s="30" t="s">
        <v>47</v>
      </c>
      <c r="E991" s="31" t="s">
        <v>472</v>
      </c>
      <c r="F991" s="32" t="s">
        <v>57</v>
      </c>
      <c r="G991" s="32" t="s">
        <v>50</v>
      </c>
      <c r="H991" s="33">
        <v>8040</v>
      </c>
      <c r="I991" s="34">
        <f>Table3[[#This Row],[Volume, kg.]]/1000</f>
        <v>8.0399999999999991</v>
      </c>
      <c r="J991" s="34">
        <v>0.17249999999999999</v>
      </c>
      <c r="K991" s="34">
        <f t="shared" si="30"/>
        <v>1386.8999999999999</v>
      </c>
      <c r="L991" s="34">
        <v>2.65</v>
      </c>
      <c r="M991" s="34">
        <v>21306</v>
      </c>
      <c r="N991" s="34">
        <f t="shared" si="31"/>
        <v>15.362318840579711</v>
      </c>
    </row>
    <row r="992" spans="1:14" x14ac:dyDescent="0.45">
      <c r="A992" s="30">
        <v>2023</v>
      </c>
      <c r="B992" s="30" t="s">
        <v>13</v>
      </c>
      <c r="C992" s="30" t="s">
        <v>46</v>
      </c>
      <c r="D992" s="30" t="s">
        <v>47</v>
      </c>
      <c r="E992" s="31" t="s">
        <v>450</v>
      </c>
      <c r="F992" s="32" t="s">
        <v>64</v>
      </c>
      <c r="G992" s="32" t="s">
        <v>50</v>
      </c>
      <c r="H992" s="33">
        <v>96380</v>
      </c>
      <c r="I992" s="34">
        <f>Table3[[#This Row],[Volume, kg.]]/1000</f>
        <v>96.38</v>
      </c>
      <c r="J992" s="34">
        <v>0.15759999999999999</v>
      </c>
      <c r="K992" s="34">
        <f t="shared" si="30"/>
        <v>15189.487999999999</v>
      </c>
      <c r="L992" s="34">
        <v>2.61</v>
      </c>
      <c r="M992" s="34">
        <v>251404</v>
      </c>
      <c r="N992" s="34">
        <f t="shared" si="31"/>
        <v>16.560913705583758</v>
      </c>
    </row>
    <row r="993" spans="1:14" x14ac:dyDescent="0.45">
      <c r="A993" s="30">
        <v>2023</v>
      </c>
      <c r="B993" s="30" t="s">
        <v>13</v>
      </c>
      <c r="C993" s="30" t="s">
        <v>46</v>
      </c>
      <c r="D993" s="30" t="s">
        <v>47</v>
      </c>
      <c r="E993" s="31" t="s">
        <v>306</v>
      </c>
      <c r="F993" s="32" t="s">
        <v>60</v>
      </c>
      <c r="G993" s="32" t="s">
        <v>50</v>
      </c>
      <c r="H993" s="33">
        <v>12720</v>
      </c>
      <c r="I993" s="34">
        <f>Table3[[#This Row],[Volume, kg.]]/1000</f>
        <v>12.72</v>
      </c>
      <c r="J993" s="34">
        <v>0.19159999999999999</v>
      </c>
      <c r="K993" s="34">
        <f t="shared" si="30"/>
        <v>2437.152</v>
      </c>
      <c r="L993" s="34">
        <v>2.76</v>
      </c>
      <c r="M993" s="34">
        <v>35100.5</v>
      </c>
      <c r="N993" s="34">
        <f t="shared" si="31"/>
        <v>14.405010438413361</v>
      </c>
    </row>
    <row r="994" spans="1:14" x14ac:dyDescent="0.45">
      <c r="A994" s="30">
        <v>2023</v>
      </c>
      <c r="B994" s="30" t="s">
        <v>13</v>
      </c>
      <c r="C994" s="30" t="s">
        <v>46</v>
      </c>
      <c r="D994" s="30" t="s">
        <v>47</v>
      </c>
      <c r="E994" s="31" t="s">
        <v>197</v>
      </c>
      <c r="F994" s="32" t="s">
        <v>57</v>
      </c>
      <c r="G994" s="32" t="s">
        <v>50</v>
      </c>
      <c r="H994" s="33">
        <v>98100</v>
      </c>
      <c r="I994" s="34">
        <f>Table3[[#This Row],[Volume, kg.]]/1000</f>
        <v>98.1</v>
      </c>
      <c r="J994" s="34">
        <v>0.20929999999999999</v>
      </c>
      <c r="K994" s="34">
        <f t="shared" si="30"/>
        <v>20532.329999999998</v>
      </c>
      <c r="L994" s="34">
        <v>2.86</v>
      </c>
      <c r="M994" s="34">
        <v>280974</v>
      </c>
      <c r="N994" s="34">
        <f t="shared" si="31"/>
        <v>13.664596273291925</v>
      </c>
    </row>
    <row r="995" spans="1:14" x14ac:dyDescent="0.45">
      <c r="A995" s="30">
        <v>2023</v>
      </c>
      <c r="B995" s="30" t="s">
        <v>13</v>
      </c>
      <c r="C995" s="30" t="s">
        <v>46</v>
      </c>
      <c r="D995" s="30" t="s">
        <v>47</v>
      </c>
      <c r="E995" s="31" t="s">
        <v>177</v>
      </c>
      <c r="F995" s="32" t="s">
        <v>49</v>
      </c>
      <c r="G995" s="32" t="s">
        <v>50</v>
      </c>
      <c r="H995" s="33">
        <v>7370</v>
      </c>
      <c r="I995" s="34">
        <f>Table3[[#This Row],[Volume, kg.]]/1000</f>
        <v>7.37</v>
      </c>
      <c r="J995" s="34">
        <v>0.21899999999999997</v>
      </c>
      <c r="K995" s="34">
        <f t="shared" si="30"/>
        <v>1614.0299999999997</v>
      </c>
      <c r="L995" s="34">
        <v>2.9</v>
      </c>
      <c r="M995" s="34">
        <v>21373</v>
      </c>
      <c r="N995" s="34">
        <f t="shared" si="31"/>
        <v>13.242009132420092</v>
      </c>
    </row>
    <row r="996" spans="1:14" x14ac:dyDescent="0.45">
      <c r="A996" s="30">
        <v>2023</v>
      </c>
      <c r="B996" s="30" t="s">
        <v>13</v>
      </c>
      <c r="C996" s="30" t="s">
        <v>46</v>
      </c>
      <c r="D996" s="30" t="s">
        <v>47</v>
      </c>
      <c r="E996" s="31" t="s">
        <v>206</v>
      </c>
      <c r="F996" s="32" t="s">
        <v>81</v>
      </c>
      <c r="G996" s="32" t="s">
        <v>50</v>
      </c>
      <c r="H996" s="33">
        <v>15740</v>
      </c>
      <c r="I996" s="34">
        <f>Table3[[#This Row],[Volume, kg.]]/1000</f>
        <v>15.74</v>
      </c>
      <c r="J996" s="34">
        <v>0.22329999999999997</v>
      </c>
      <c r="K996" s="34">
        <f t="shared" si="30"/>
        <v>3514.7419999999997</v>
      </c>
      <c r="L996" s="34">
        <v>2.91</v>
      </c>
      <c r="M996" s="34">
        <v>45841</v>
      </c>
      <c r="N996" s="34">
        <f t="shared" si="31"/>
        <v>13.031795790416483</v>
      </c>
    </row>
    <row r="997" spans="1:14" x14ac:dyDescent="0.45">
      <c r="A997" s="30">
        <v>2023</v>
      </c>
      <c r="B997" s="30" t="s">
        <v>13</v>
      </c>
      <c r="C997" s="30" t="s">
        <v>46</v>
      </c>
      <c r="D997" s="30" t="s">
        <v>47</v>
      </c>
      <c r="E997" s="31" t="s">
        <v>282</v>
      </c>
      <c r="F997" s="32" t="s">
        <v>49</v>
      </c>
      <c r="G997" s="32" t="s">
        <v>50</v>
      </c>
      <c r="H997" s="33">
        <v>7520</v>
      </c>
      <c r="I997" s="34">
        <f>Table3[[#This Row],[Volume, kg.]]/1000</f>
        <v>7.52</v>
      </c>
      <c r="J997" s="34">
        <v>0.17800000000000002</v>
      </c>
      <c r="K997" s="34">
        <f t="shared" si="30"/>
        <v>1338.5600000000002</v>
      </c>
      <c r="L997" s="34">
        <v>2.75</v>
      </c>
      <c r="M997" s="34">
        <v>20680</v>
      </c>
      <c r="N997" s="34">
        <f t="shared" si="31"/>
        <v>15.449438202247189</v>
      </c>
    </row>
    <row r="998" spans="1:14" x14ac:dyDescent="0.45">
      <c r="A998" s="30">
        <v>2023</v>
      </c>
      <c r="B998" s="30" t="s">
        <v>13</v>
      </c>
      <c r="C998" s="30" t="s">
        <v>46</v>
      </c>
      <c r="D998" s="30" t="s">
        <v>47</v>
      </c>
      <c r="E998" s="31" t="s">
        <v>169</v>
      </c>
      <c r="F998" s="32" t="s">
        <v>49</v>
      </c>
      <c r="G998" s="32" t="s">
        <v>50</v>
      </c>
      <c r="H998" s="33">
        <v>2090</v>
      </c>
      <c r="I998" s="34">
        <f>Table3[[#This Row],[Volume, kg.]]/1000</f>
        <v>2.09</v>
      </c>
      <c r="J998" s="34">
        <v>0.17550000000000002</v>
      </c>
      <c r="K998" s="34">
        <f t="shared" si="30"/>
        <v>366.79500000000002</v>
      </c>
      <c r="L998" s="34">
        <v>2.7</v>
      </c>
      <c r="M998" s="34">
        <v>5643</v>
      </c>
      <c r="N998" s="34">
        <f t="shared" si="31"/>
        <v>15.384615384615383</v>
      </c>
    </row>
    <row r="999" spans="1:14" x14ac:dyDescent="0.45">
      <c r="A999" s="30">
        <v>2023</v>
      </c>
      <c r="B999" s="30" t="s">
        <v>13</v>
      </c>
      <c r="C999" s="30" t="s">
        <v>46</v>
      </c>
      <c r="D999" s="30" t="s">
        <v>47</v>
      </c>
      <c r="E999" s="31" t="s">
        <v>350</v>
      </c>
      <c r="F999" s="32" t="s">
        <v>49</v>
      </c>
      <c r="G999" s="32" t="s">
        <v>50</v>
      </c>
      <c r="H999" s="33">
        <v>6920</v>
      </c>
      <c r="I999" s="34">
        <f>Table3[[#This Row],[Volume, kg.]]/1000</f>
        <v>6.92</v>
      </c>
      <c r="J999" s="34">
        <v>0.22850000000000001</v>
      </c>
      <c r="K999" s="34">
        <f t="shared" si="30"/>
        <v>1581.22</v>
      </c>
      <c r="L999" s="34">
        <v>2.95</v>
      </c>
      <c r="M999" s="34">
        <v>20414</v>
      </c>
      <c r="N999" s="34">
        <f t="shared" si="31"/>
        <v>12.910284463894968</v>
      </c>
    </row>
    <row r="1000" spans="1:14" x14ac:dyDescent="0.45">
      <c r="A1000" s="30">
        <v>2023</v>
      </c>
      <c r="B1000" s="30" t="s">
        <v>13</v>
      </c>
      <c r="C1000" s="30" t="s">
        <v>46</v>
      </c>
      <c r="D1000" s="30" t="s">
        <v>47</v>
      </c>
      <c r="E1000" s="31" t="s">
        <v>395</v>
      </c>
      <c r="F1000" s="32" t="s">
        <v>81</v>
      </c>
      <c r="G1000" s="32" t="s">
        <v>50</v>
      </c>
      <c r="H1000" s="33">
        <v>203240</v>
      </c>
      <c r="I1000" s="34">
        <f>Table3[[#This Row],[Volume, kg.]]/1000</f>
        <v>203.24</v>
      </c>
      <c r="J1000" s="34">
        <v>0.19699999999999998</v>
      </c>
      <c r="K1000" s="34">
        <f t="shared" si="30"/>
        <v>40038.28</v>
      </c>
      <c r="L1000" s="34">
        <v>2.79</v>
      </c>
      <c r="M1000" s="34">
        <v>567581</v>
      </c>
      <c r="N1000" s="34">
        <f t="shared" si="31"/>
        <v>14.162436548223353</v>
      </c>
    </row>
    <row r="1001" spans="1:14" x14ac:dyDescent="0.45">
      <c r="A1001" s="30">
        <v>2023</v>
      </c>
      <c r="B1001" s="30" t="s">
        <v>13</v>
      </c>
      <c r="C1001" s="30" t="s">
        <v>46</v>
      </c>
      <c r="D1001" s="30" t="s">
        <v>47</v>
      </c>
      <c r="E1001" s="31" t="s">
        <v>312</v>
      </c>
      <c r="F1001" s="32" t="s">
        <v>60</v>
      </c>
      <c r="G1001" s="32" t="s">
        <v>50</v>
      </c>
      <c r="H1001" s="33">
        <v>41230</v>
      </c>
      <c r="I1001" s="34">
        <f>Table3[[#This Row],[Volume, kg.]]/1000</f>
        <v>41.23</v>
      </c>
      <c r="J1001" s="34">
        <v>0.2147</v>
      </c>
      <c r="K1001" s="34">
        <f t="shared" si="30"/>
        <v>8852.0810000000001</v>
      </c>
      <c r="L1001" s="34">
        <v>2.86</v>
      </c>
      <c r="M1001" s="34">
        <v>118080</v>
      </c>
      <c r="N1001" s="34">
        <f t="shared" si="31"/>
        <v>13.320912901723334</v>
      </c>
    </row>
    <row r="1002" spans="1:14" x14ac:dyDescent="0.45">
      <c r="A1002" s="30">
        <v>2023</v>
      </c>
      <c r="B1002" s="30" t="s">
        <v>13</v>
      </c>
      <c r="C1002" s="30" t="s">
        <v>46</v>
      </c>
      <c r="D1002" s="30" t="s">
        <v>47</v>
      </c>
      <c r="E1002" s="31" t="s">
        <v>98</v>
      </c>
      <c r="F1002" s="32" t="s">
        <v>49</v>
      </c>
      <c r="G1002" s="32" t="s">
        <v>50</v>
      </c>
      <c r="H1002" s="33">
        <v>88320</v>
      </c>
      <c r="I1002" s="34">
        <f>Table3[[#This Row],[Volume, kg.]]/1000</f>
        <v>88.32</v>
      </c>
      <c r="J1002" s="34">
        <v>0.20980000000000001</v>
      </c>
      <c r="K1002" s="34">
        <f t="shared" si="30"/>
        <v>18529.536</v>
      </c>
      <c r="L1002" s="34">
        <v>2.86</v>
      </c>
      <c r="M1002" s="34">
        <v>252373.5</v>
      </c>
      <c r="N1002" s="34">
        <f t="shared" si="31"/>
        <v>13.632030505243087</v>
      </c>
    </row>
    <row r="1003" spans="1:14" x14ac:dyDescent="0.45">
      <c r="A1003" s="30">
        <v>2023</v>
      </c>
      <c r="B1003" s="30" t="s">
        <v>13</v>
      </c>
      <c r="C1003" s="30" t="s">
        <v>46</v>
      </c>
      <c r="D1003" s="30" t="s">
        <v>47</v>
      </c>
      <c r="E1003" s="31" t="s">
        <v>354</v>
      </c>
      <c r="F1003" s="32" t="s">
        <v>60</v>
      </c>
      <c r="G1003" s="32" t="s">
        <v>50</v>
      </c>
      <c r="H1003" s="33">
        <v>35960</v>
      </c>
      <c r="I1003" s="34">
        <f>Table3[[#This Row],[Volume, kg.]]/1000</f>
        <v>35.96</v>
      </c>
      <c r="J1003" s="34">
        <v>0.19359999999999999</v>
      </c>
      <c r="K1003" s="34">
        <f t="shared" si="30"/>
        <v>6961.8559999999998</v>
      </c>
      <c r="L1003" s="34">
        <v>2.8</v>
      </c>
      <c r="M1003" s="34">
        <v>100622</v>
      </c>
      <c r="N1003" s="34">
        <f t="shared" si="31"/>
        <v>14.462809917355372</v>
      </c>
    </row>
    <row r="1004" spans="1:14" x14ac:dyDescent="0.45">
      <c r="A1004" s="30">
        <v>2023</v>
      </c>
      <c r="B1004" s="30" t="s">
        <v>13</v>
      </c>
      <c r="C1004" s="30" t="s">
        <v>46</v>
      </c>
      <c r="D1004" s="30" t="s">
        <v>47</v>
      </c>
      <c r="E1004" s="31" t="s">
        <v>129</v>
      </c>
      <c r="F1004" s="32" t="s">
        <v>57</v>
      </c>
      <c r="G1004" s="32" t="s">
        <v>50</v>
      </c>
      <c r="H1004" s="33">
        <v>11830</v>
      </c>
      <c r="I1004" s="34">
        <f>Table3[[#This Row],[Volume, kg.]]/1000</f>
        <v>11.83</v>
      </c>
      <c r="J1004" s="34">
        <v>0.1893</v>
      </c>
      <c r="K1004" s="34">
        <f t="shared" si="30"/>
        <v>2239.4189999999999</v>
      </c>
      <c r="L1004" s="34">
        <v>2.75</v>
      </c>
      <c r="M1004" s="34">
        <v>32497.5</v>
      </c>
      <c r="N1004" s="34">
        <f t="shared" si="31"/>
        <v>14.527205493924987</v>
      </c>
    </row>
    <row r="1005" spans="1:14" x14ac:dyDescent="0.45">
      <c r="A1005" s="30">
        <v>2023</v>
      </c>
      <c r="B1005" s="30" t="s">
        <v>13</v>
      </c>
      <c r="C1005" s="30" t="s">
        <v>46</v>
      </c>
      <c r="D1005" s="30" t="s">
        <v>47</v>
      </c>
      <c r="E1005" s="31" t="s">
        <v>80</v>
      </c>
      <c r="F1005" s="32" t="s">
        <v>81</v>
      </c>
      <c r="G1005" s="32" t="s">
        <v>50</v>
      </c>
      <c r="H1005" s="33">
        <v>14820</v>
      </c>
      <c r="I1005" s="34">
        <f>Table3[[#This Row],[Volume, kg.]]/1000</f>
        <v>14.82</v>
      </c>
      <c r="J1005" s="34">
        <v>0.17050000000000001</v>
      </c>
      <c r="K1005" s="34">
        <f t="shared" si="30"/>
        <v>2526.8100000000004</v>
      </c>
      <c r="L1005" s="34">
        <v>2.65</v>
      </c>
      <c r="M1005" s="34">
        <v>39273</v>
      </c>
      <c r="N1005" s="34">
        <f t="shared" si="31"/>
        <v>15.542521994134896</v>
      </c>
    </row>
    <row r="1006" spans="1:14" x14ac:dyDescent="0.45">
      <c r="A1006" s="30">
        <v>2023</v>
      </c>
      <c r="B1006" s="30" t="s">
        <v>13</v>
      </c>
      <c r="C1006" s="30" t="s">
        <v>46</v>
      </c>
      <c r="D1006" s="30" t="s">
        <v>47</v>
      </c>
      <c r="E1006" s="31" t="s">
        <v>473</v>
      </c>
      <c r="F1006" s="32" t="s">
        <v>57</v>
      </c>
      <c r="G1006" s="32" t="s">
        <v>50</v>
      </c>
      <c r="H1006" s="33">
        <v>3160</v>
      </c>
      <c r="I1006" s="34">
        <f>Table3[[#This Row],[Volume, kg.]]/1000</f>
        <v>3.16</v>
      </c>
      <c r="J1006" s="34">
        <v>0.18100000000000002</v>
      </c>
      <c r="K1006" s="34">
        <f t="shared" si="30"/>
        <v>571.96</v>
      </c>
      <c r="L1006" s="34">
        <v>2.7</v>
      </c>
      <c r="M1006" s="34">
        <v>8532</v>
      </c>
      <c r="N1006" s="34">
        <f t="shared" si="31"/>
        <v>14.917127071823204</v>
      </c>
    </row>
    <row r="1007" spans="1:14" x14ac:dyDescent="0.45">
      <c r="A1007" s="30">
        <v>2023</v>
      </c>
      <c r="B1007" s="30" t="s">
        <v>13</v>
      </c>
      <c r="C1007" s="30" t="s">
        <v>46</v>
      </c>
      <c r="D1007" s="30" t="s">
        <v>47</v>
      </c>
      <c r="E1007" s="31" t="s">
        <v>296</v>
      </c>
      <c r="F1007" s="32" t="s">
        <v>60</v>
      </c>
      <c r="G1007" s="32" t="s">
        <v>50</v>
      </c>
      <c r="H1007" s="33">
        <v>6140</v>
      </c>
      <c r="I1007" s="34">
        <f>Table3[[#This Row],[Volume, kg.]]/1000</f>
        <v>6.14</v>
      </c>
      <c r="J1007" s="34">
        <v>0.2195</v>
      </c>
      <c r="K1007" s="34">
        <f t="shared" si="30"/>
        <v>1347.73</v>
      </c>
      <c r="L1007" s="34">
        <v>2.95</v>
      </c>
      <c r="M1007" s="34">
        <v>18113</v>
      </c>
      <c r="N1007" s="34">
        <f t="shared" si="31"/>
        <v>13.439635535307518</v>
      </c>
    </row>
    <row r="1008" spans="1:14" x14ac:dyDescent="0.45">
      <c r="A1008" s="30">
        <v>2023</v>
      </c>
      <c r="B1008" s="30" t="s">
        <v>13</v>
      </c>
      <c r="C1008" s="30" t="s">
        <v>46</v>
      </c>
      <c r="D1008" s="30" t="s">
        <v>47</v>
      </c>
      <c r="E1008" s="31" t="s">
        <v>267</v>
      </c>
      <c r="F1008" s="32" t="s">
        <v>57</v>
      </c>
      <c r="G1008" s="32" t="s">
        <v>50</v>
      </c>
      <c r="H1008" s="33">
        <v>4960</v>
      </c>
      <c r="I1008" s="34">
        <f>Table3[[#This Row],[Volume, kg.]]/1000</f>
        <v>4.96</v>
      </c>
      <c r="J1008" s="34">
        <v>0.248</v>
      </c>
      <c r="K1008" s="34">
        <f t="shared" si="30"/>
        <v>1230.08</v>
      </c>
      <c r="L1008" s="34">
        <v>3.05</v>
      </c>
      <c r="M1008" s="34">
        <v>15128</v>
      </c>
      <c r="N1008" s="34">
        <f t="shared" si="31"/>
        <v>12.298387096774192</v>
      </c>
    </row>
    <row r="1009" spans="1:14" x14ac:dyDescent="0.45">
      <c r="A1009" s="30">
        <v>2023</v>
      </c>
      <c r="B1009" s="30" t="s">
        <v>13</v>
      </c>
      <c r="C1009" s="30" t="s">
        <v>46</v>
      </c>
      <c r="D1009" s="30" t="s">
        <v>47</v>
      </c>
      <c r="E1009" s="31" t="s">
        <v>203</v>
      </c>
      <c r="F1009" s="32" t="s">
        <v>57</v>
      </c>
      <c r="G1009" s="32" t="s">
        <v>50</v>
      </c>
      <c r="H1009" s="33">
        <v>10740</v>
      </c>
      <c r="I1009" s="34">
        <f>Table3[[#This Row],[Volume, kg.]]/1000</f>
        <v>10.74</v>
      </c>
      <c r="J1009" s="34">
        <v>0.2036</v>
      </c>
      <c r="K1009" s="34">
        <f t="shared" si="30"/>
        <v>2186.6640000000002</v>
      </c>
      <c r="L1009" s="34">
        <v>2.83</v>
      </c>
      <c r="M1009" s="34">
        <v>30343.5</v>
      </c>
      <c r="N1009" s="34">
        <f t="shared" si="31"/>
        <v>13.899803536345777</v>
      </c>
    </row>
    <row r="1010" spans="1:14" x14ac:dyDescent="0.45">
      <c r="A1010" s="30">
        <v>2023</v>
      </c>
      <c r="B1010" s="30" t="s">
        <v>13</v>
      </c>
      <c r="C1010" s="30" t="s">
        <v>46</v>
      </c>
      <c r="D1010" s="30" t="s">
        <v>47</v>
      </c>
      <c r="E1010" s="31" t="s">
        <v>58</v>
      </c>
      <c r="F1010" s="32" t="s">
        <v>49</v>
      </c>
      <c r="G1010" s="32" t="s">
        <v>50</v>
      </c>
      <c r="H1010" s="33">
        <v>8970</v>
      </c>
      <c r="I1010" s="34">
        <f>Table3[[#This Row],[Volume, kg.]]/1000</f>
        <v>8.9700000000000006</v>
      </c>
      <c r="J1010" s="34">
        <v>0.20730000000000001</v>
      </c>
      <c r="K1010" s="34">
        <f t="shared" si="30"/>
        <v>1859.481</v>
      </c>
      <c r="L1010" s="34">
        <v>2.83</v>
      </c>
      <c r="M1010" s="34">
        <v>25353</v>
      </c>
      <c r="N1010" s="34">
        <f t="shared" si="31"/>
        <v>13.651712493970091</v>
      </c>
    </row>
    <row r="1011" spans="1:14" x14ac:dyDescent="0.45">
      <c r="A1011" s="30">
        <v>2023</v>
      </c>
      <c r="B1011" s="30" t="s">
        <v>13</v>
      </c>
      <c r="C1011" s="30" t="s">
        <v>46</v>
      </c>
      <c r="D1011" s="30" t="s">
        <v>47</v>
      </c>
      <c r="E1011" s="31" t="s">
        <v>474</v>
      </c>
      <c r="F1011" s="32" t="s">
        <v>60</v>
      </c>
      <c r="G1011" s="32" t="s">
        <v>50</v>
      </c>
      <c r="H1011" s="33">
        <v>2730</v>
      </c>
      <c r="I1011" s="34">
        <f>Table3[[#This Row],[Volume, kg.]]/1000</f>
        <v>2.73</v>
      </c>
      <c r="J1011" s="34">
        <v>0.193</v>
      </c>
      <c r="K1011" s="34">
        <f t="shared" si="30"/>
        <v>526.89</v>
      </c>
      <c r="L1011" s="34">
        <v>2.75</v>
      </c>
      <c r="M1011" s="34">
        <v>7507.5</v>
      </c>
      <c r="N1011" s="34">
        <f t="shared" si="31"/>
        <v>14.248704663212434</v>
      </c>
    </row>
    <row r="1012" spans="1:14" x14ac:dyDescent="0.45">
      <c r="A1012" s="30">
        <v>2023</v>
      </c>
      <c r="B1012" s="30" t="s">
        <v>13</v>
      </c>
      <c r="C1012" s="30" t="s">
        <v>46</v>
      </c>
      <c r="D1012" s="30" t="s">
        <v>102</v>
      </c>
      <c r="E1012" s="31" t="s">
        <v>126</v>
      </c>
      <c r="F1012" s="32" t="s">
        <v>127</v>
      </c>
      <c r="G1012" s="32" t="s">
        <v>128</v>
      </c>
      <c r="H1012" s="33">
        <v>186940</v>
      </c>
      <c r="I1012" s="34">
        <f>Table3[[#This Row],[Volume, kg.]]/1000</f>
        <v>186.94</v>
      </c>
      <c r="J1012" s="34">
        <v>0.1741</v>
      </c>
      <c r="K1012" s="34">
        <f t="shared" si="30"/>
        <v>32546.254000000001</v>
      </c>
      <c r="L1012" s="34">
        <v>2.69</v>
      </c>
      <c r="M1012" s="34">
        <v>501952.5</v>
      </c>
      <c r="N1012" s="34">
        <f t="shared" si="31"/>
        <v>15.450890292935094</v>
      </c>
    </row>
    <row r="1013" spans="1:14" x14ac:dyDescent="0.45">
      <c r="A1013" s="30">
        <v>2023</v>
      </c>
      <c r="B1013" s="30" t="s">
        <v>13</v>
      </c>
      <c r="C1013" s="30" t="s">
        <v>46</v>
      </c>
      <c r="D1013" s="30" t="s">
        <v>47</v>
      </c>
      <c r="E1013" s="31" t="s">
        <v>447</v>
      </c>
      <c r="F1013" s="32" t="s">
        <v>57</v>
      </c>
      <c r="G1013" s="32" t="s">
        <v>50</v>
      </c>
      <c r="H1013" s="33">
        <v>103760</v>
      </c>
      <c r="I1013" s="34">
        <f>Table3[[#This Row],[Volume, kg.]]/1000</f>
        <v>103.76</v>
      </c>
      <c r="J1013" s="34">
        <v>0.19820000000000002</v>
      </c>
      <c r="K1013" s="34">
        <f t="shared" si="30"/>
        <v>20565.232</v>
      </c>
      <c r="L1013" s="34">
        <v>2.81</v>
      </c>
      <c r="M1013" s="34">
        <v>291051.5</v>
      </c>
      <c r="N1013" s="34">
        <f t="shared" si="31"/>
        <v>14.177598385469222</v>
      </c>
    </row>
    <row r="1014" spans="1:14" x14ac:dyDescent="0.45">
      <c r="A1014" s="30">
        <v>2023</v>
      </c>
      <c r="B1014" s="30" t="s">
        <v>13</v>
      </c>
      <c r="C1014" s="30" t="s">
        <v>46</v>
      </c>
      <c r="D1014" s="30" t="s">
        <v>47</v>
      </c>
      <c r="E1014" s="31" t="s">
        <v>400</v>
      </c>
      <c r="F1014" s="32" t="s">
        <v>281</v>
      </c>
      <c r="G1014" s="32" t="s">
        <v>50</v>
      </c>
      <c r="H1014" s="33">
        <v>942210</v>
      </c>
      <c r="I1014" s="34">
        <f>Table3[[#This Row],[Volume, kg.]]/1000</f>
        <v>942.21</v>
      </c>
      <c r="J1014" s="34">
        <v>0.17829999999999999</v>
      </c>
      <c r="K1014" s="34">
        <f t="shared" si="30"/>
        <v>167996.04299999998</v>
      </c>
      <c r="L1014" s="34">
        <v>2.7</v>
      </c>
      <c r="M1014" s="34">
        <v>2547854</v>
      </c>
      <c r="N1014" s="34">
        <f t="shared" si="31"/>
        <v>15.143017386427372</v>
      </c>
    </row>
    <row r="1015" spans="1:14" x14ac:dyDescent="0.45">
      <c r="A1015" s="30">
        <v>2023</v>
      </c>
      <c r="B1015" s="30" t="s">
        <v>13</v>
      </c>
      <c r="C1015" s="30" t="s">
        <v>46</v>
      </c>
      <c r="D1015" s="30" t="s">
        <v>47</v>
      </c>
      <c r="E1015" s="31" t="s">
        <v>193</v>
      </c>
      <c r="F1015" s="32" t="s">
        <v>81</v>
      </c>
      <c r="G1015" s="32" t="s">
        <v>50</v>
      </c>
      <c r="H1015" s="33">
        <v>280060</v>
      </c>
      <c r="I1015" s="34">
        <f>Table3[[#This Row],[Volume, kg.]]/1000</f>
        <v>280.06</v>
      </c>
      <c r="J1015" s="34">
        <v>0.18479999999999999</v>
      </c>
      <c r="K1015" s="34">
        <f t="shared" si="30"/>
        <v>51755.087999999996</v>
      </c>
      <c r="L1015" s="34">
        <v>2.74</v>
      </c>
      <c r="M1015" s="34">
        <v>767286</v>
      </c>
      <c r="N1015" s="34">
        <f t="shared" si="31"/>
        <v>14.826839826839828</v>
      </c>
    </row>
    <row r="1016" spans="1:14" x14ac:dyDescent="0.45">
      <c r="A1016" s="30">
        <v>2023</v>
      </c>
      <c r="B1016" s="30" t="s">
        <v>13</v>
      </c>
      <c r="C1016" s="30" t="s">
        <v>46</v>
      </c>
      <c r="D1016" s="30" t="s">
        <v>47</v>
      </c>
      <c r="E1016" s="31" t="s">
        <v>475</v>
      </c>
      <c r="F1016" s="32" t="s">
        <v>281</v>
      </c>
      <c r="G1016" s="32" t="s">
        <v>50</v>
      </c>
      <c r="H1016" s="33">
        <v>97190</v>
      </c>
      <c r="I1016" s="34">
        <f>Table3[[#This Row],[Volume, kg.]]/1000</f>
        <v>97.19</v>
      </c>
      <c r="J1016" s="34">
        <v>0.18600000000000003</v>
      </c>
      <c r="K1016" s="34">
        <f t="shared" si="30"/>
        <v>18077.340000000004</v>
      </c>
      <c r="L1016" s="34">
        <v>2.73</v>
      </c>
      <c r="M1016" s="34">
        <v>265288.5</v>
      </c>
      <c r="N1016" s="34">
        <f t="shared" si="31"/>
        <v>14.677419354838708</v>
      </c>
    </row>
    <row r="1017" spans="1:14" x14ac:dyDescent="0.45">
      <c r="A1017" s="30">
        <v>2023</v>
      </c>
      <c r="B1017" s="30" t="s">
        <v>13</v>
      </c>
      <c r="C1017" s="30" t="s">
        <v>46</v>
      </c>
      <c r="D1017" s="30" t="s">
        <v>47</v>
      </c>
      <c r="E1017" s="31" t="s">
        <v>476</v>
      </c>
      <c r="F1017" s="32" t="s">
        <v>49</v>
      </c>
      <c r="G1017" s="32" t="s">
        <v>50</v>
      </c>
      <c r="H1017" s="33">
        <v>5130</v>
      </c>
      <c r="I1017" s="34">
        <f>Table3[[#This Row],[Volume, kg.]]/1000</f>
        <v>5.13</v>
      </c>
      <c r="J1017" s="34">
        <v>0.20449999999999999</v>
      </c>
      <c r="K1017" s="34">
        <f t="shared" si="30"/>
        <v>1049.085</v>
      </c>
      <c r="L1017" s="34">
        <v>2.8</v>
      </c>
      <c r="M1017" s="34">
        <v>14364</v>
      </c>
      <c r="N1017" s="34">
        <f t="shared" si="31"/>
        <v>13.691931540342297</v>
      </c>
    </row>
    <row r="1018" spans="1:14" x14ac:dyDescent="0.45">
      <c r="A1018" s="30">
        <v>2023</v>
      </c>
      <c r="B1018" s="30" t="s">
        <v>13</v>
      </c>
      <c r="C1018" s="30" t="s">
        <v>46</v>
      </c>
      <c r="D1018" s="30" t="s">
        <v>47</v>
      </c>
      <c r="E1018" s="31" t="s">
        <v>401</v>
      </c>
      <c r="F1018" s="32" t="s">
        <v>57</v>
      </c>
      <c r="G1018" s="32" t="s">
        <v>50</v>
      </c>
      <c r="H1018" s="33">
        <v>16160</v>
      </c>
      <c r="I1018" s="34">
        <f>Table3[[#This Row],[Volume, kg.]]/1000</f>
        <v>16.16</v>
      </c>
      <c r="J1018" s="34">
        <v>0.20629999999999998</v>
      </c>
      <c r="K1018" s="34">
        <f t="shared" si="30"/>
        <v>3333.8079999999995</v>
      </c>
      <c r="L1018" s="34">
        <v>2.86</v>
      </c>
      <c r="M1018" s="34">
        <v>46139</v>
      </c>
      <c r="N1018" s="34">
        <f t="shared" si="31"/>
        <v>13.86330586524479</v>
      </c>
    </row>
    <row r="1019" spans="1:14" x14ac:dyDescent="0.45">
      <c r="A1019" s="30">
        <v>2023</v>
      </c>
      <c r="B1019" s="30" t="s">
        <v>13</v>
      </c>
      <c r="C1019" s="30" t="s">
        <v>46</v>
      </c>
      <c r="D1019" s="30" t="s">
        <v>47</v>
      </c>
      <c r="E1019" s="31" t="s">
        <v>243</v>
      </c>
      <c r="F1019" s="32" t="s">
        <v>60</v>
      </c>
      <c r="G1019" s="32" t="s">
        <v>50</v>
      </c>
      <c r="H1019" s="33">
        <v>4900</v>
      </c>
      <c r="I1019" s="34">
        <f>Table3[[#This Row],[Volume, kg.]]/1000</f>
        <v>4.9000000000000004</v>
      </c>
      <c r="J1019" s="34">
        <v>0.23449999999999999</v>
      </c>
      <c r="K1019" s="34">
        <f t="shared" si="30"/>
        <v>1149.05</v>
      </c>
      <c r="L1019" s="34">
        <v>3</v>
      </c>
      <c r="M1019" s="34">
        <v>14700</v>
      </c>
      <c r="N1019" s="34">
        <f t="shared" si="31"/>
        <v>12.793176972281451</v>
      </c>
    </row>
    <row r="1020" spans="1:14" x14ac:dyDescent="0.45">
      <c r="A1020" s="30">
        <v>2023</v>
      </c>
      <c r="B1020" s="30" t="s">
        <v>13</v>
      </c>
      <c r="C1020" s="30" t="s">
        <v>46</v>
      </c>
      <c r="D1020" s="30" t="s">
        <v>47</v>
      </c>
      <c r="E1020" s="31" t="s">
        <v>148</v>
      </c>
      <c r="F1020" s="32" t="s">
        <v>49</v>
      </c>
      <c r="G1020" s="32" t="s">
        <v>50</v>
      </c>
      <c r="H1020" s="33">
        <v>7650</v>
      </c>
      <c r="I1020" s="34">
        <f>Table3[[#This Row],[Volume, kg.]]/1000</f>
        <v>7.65</v>
      </c>
      <c r="J1020" s="34">
        <v>0.19120000000000001</v>
      </c>
      <c r="K1020" s="34">
        <f t="shared" si="30"/>
        <v>1462.68</v>
      </c>
      <c r="L1020" s="34">
        <v>2.8</v>
      </c>
      <c r="M1020" s="34">
        <v>21388.5</v>
      </c>
      <c r="N1020" s="34">
        <f t="shared" si="31"/>
        <v>14.644351464435145</v>
      </c>
    </row>
    <row r="1021" spans="1:14" x14ac:dyDescent="0.45">
      <c r="A1021" s="30">
        <v>2023</v>
      </c>
      <c r="B1021" s="30" t="s">
        <v>13</v>
      </c>
      <c r="C1021" s="30" t="s">
        <v>46</v>
      </c>
      <c r="D1021" s="30" t="s">
        <v>47</v>
      </c>
      <c r="E1021" s="31" t="s">
        <v>477</v>
      </c>
      <c r="F1021" s="32" t="s">
        <v>54</v>
      </c>
      <c r="G1021" s="32" t="s">
        <v>50</v>
      </c>
      <c r="H1021" s="33">
        <v>2240</v>
      </c>
      <c r="I1021" s="34">
        <f>Table3[[#This Row],[Volume, kg.]]/1000</f>
        <v>2.2400000000000002</v>
      </c>
      <c r="J1021" s="34">
        <v>0.182</v>
      </c>
      <c r="K1021" s="34">
        <f t="shared" si="30"/>
        <v>407.68</v>
      </c>
      <c r="L1021" s="34">
        <v>2.7</v>
      </c>
      <c r="M1021" s="34">
        <v>6048</v>
      </c>
      <c r="N1021" s="34">
        <f t="shared" si="31"/>
        <v>14.835164835164836</v>
      </c>
    </row>
    <row r="1022" spans="1:14" x14ac:dyDescent="0.45">
      <c r="A1022" s="30">
        <v>2023</v>
      </c>
      <c r="B1022" s="30" t="s">
        <v>13</v>
      </c>
      <c r="C1022" s="30" t="s">
        <v>46</v>
      </c>
      <c r="D1022" s="30" t="s">
        <v>47</v>
      </c>
      <c r="E1022" s="31" t="s">
        <v>204</v>
      </c>
      <c r="F1022" s="32" t="s">
        <v>49</v>
      </c>
      <c r="G1022" s="32" t="s">
        <v>50</v>
      </c>
      <c r="H1022" s="33">
        <v>90000</v>
      </c>
      <c r="I1022" s="34">
        <f>Table3[[#This Row],[Volume, kg.]]/1000</f>
        <v>90</v>
      </c>
      <c r="J1022" s="34">
        <v>0.1978</v>
      </c>
      <c r="K1022" s="34">
        <f t="shared" si="30"/>
        <v>17802</v>
      </c>
      <c r="L1022" s="34">
        <v>2.78</v>
      </c>
      <c r="M1022" s="34">
        <v>250230.5</v>
      </c>
      <c r="N1022" s="34">
        <f t="shared" si="31"/>
        <v>14.054600606673405</v>
      </c>
    </row>
    <row r="1023" spans="1:14" x14ac:dyDescent="0.45">
      <c r="A1023" s="30">
        <v>2023</v>
      </c>
      <c r="B1023" s="30" t="s">
        <v>13</v>
      </c>
      <c r="C1023" s="30" t="s">
        <v>46</v>
      </c>
      <c r="D1023" s="30" t="s">
        <v>102</v>
      </c>
      <c r="E1023" s="31" t="s">
        <v>378</v>
      </c>
      <c r="F1023" s="32" t="s">
        <v>81</v>
      </c>
      <c r="G1023" s="32" t="s">
        <v>50</v>
      </c>
      <c r="H1023" s="33">
        <v>292500</v>
      </c>
      <c r="I1023" s="34">
        <f>Table3[[#This Row],[Volume, kg.]]/1000</f>
        <v>292.5</v>
      </c>
      <c r="J1023" s="34">
        <v>0.187</v>
      </c>
      <c r="K1023" s="34">
        <f t="shared" si="30"/>
        <v>54697.5</v>
      </c>
      <c r="L1023" s="34">
        <v>2.75</v>
      </c>
      <c r="M1023" s="34">
        <v>803338</v>
      </c>
      <c r="N1023" s="34">
        <f t="shared" si="31"/>
        <v>14.705882352941176</v>
      </c>
    </row>
    <row r="1024" spans="1:14" x14ac:dyDescent="0.45">
      <c r="A1024" s="30">
        <v>2023</v>
      </c>
      <c r="B1024" s="30" t="s">
        <v>13</v>
      </c>
      <c r="C1024" s="30" t="s">
        <v>46</v>
      </c>
      <c r="D1024" s="30" t="s">
        <v>47</v>
      </c>
      <c r="E1024" s="31" t="s">
        <v>154</v>
      </c>
      <c r="F1024" s="32" t="s">
        <v>60</v>
      </c>
      <c r="G1024" s="32" t="s">
        <v>50</v>
      </c>
      <c r="H1024" s="33">
        <v>2340</v>
      </c>
      <c r="I1024" s="34">
        <f>Table3[[#This Row],[Volume, kg.]]/1000</f>
        <v>2.34</v>
      </c>
      <c r="J1024" s="34">
        <v>0.17800000000000002</v>
      </c>
      <c r="K1024" s="34">
        <f t="shared" si="30"/>
        <v>416.52000000000004</v>
      </c>
      <c r="L1024" s="34">
        <v>2.7</v>
      </c>
      <c r="M1024" s="34">
        <v>6318</v>
      </c>
      <c r="N1024" s="34">
        <f t="shared" si="31"/>
        <v>15.168539325842696</v>
      </c>
    </row>
    <row r="1025" spans="1:14" x14ac:dyDescent="0.45">
      <c r="A1025" s="30">
        <v>2023</v>
      </c>
      <c r="B1025" s="30" t="s">
        <v>13</v>
      </c>
      <c r="C1025" s="30" t="s">
        <v>46</v>
      </c>
      <c r="D1025" s="30" t="s">
        <v>47</v>
      </c>
      <c r="E1025" s="31" t="s">
        <v>211</v>
      </c>
      <c r="F1025" s="32" t="s">
        <v>57</v>
      </c>
      <c r="G1025" s="32" t="s">
        <v>50</v>
      </c>
      <c r="H1025" s="33">
        <v>5420</v>
      </c>
      <c r="I1025" s="34">
        <f>Table3[[#This Row],[Volume, kg.]]/1000</f>
        <v>5.42</v>
      </c>
      <c r="J1025" s="34">
        <v>0.20370000000000002</v>
      </c>
      <c r="K1025" s="34">
        <f t="shared" si="30"/>
        <v>1104.0540000000001</v>
      </c>
      <c r="L1025" s="34">
        <v>2.8</v>
      </c>
      <c r="M1025" s="34">
        <v>15176</v>
      </c>
      <c r="N1025" s="34">
        <f t="shared" si="31"/>
        <v>13.745704467353949</v>
      </c>
    </row>
    <row r="1026" spans="1:14" x14ac:dyDescent="0.45">
      <c r="A1026" s="30">
        <v>2023</v>
      </c>
      <c r="B1026" s="30" t="s">
        <v>13</v>
      </c>
      <c r="C1026" s="30" t="s">
        <v>46</v>
      </c>
      <c r="D1026" s="30" t="s">
        <v>102</v>
      </c>
      <c r="E1026" s="31" t="s">
        <v>157</v>
      </c>
      <c r="F1026" s="32" t="s">
        <v>127</v>
      </c>
      <c r="G1026" s="32" t="s">
        <v>128</v>
      </c>
      <c r="H1026" s="33">
        <v>58960</v>
      </c>
      <c r="I1026" s="34">
        <f>Table3[[#This Row],[Volume, kg.]]/1000</f>
        <v>58.96</v>
      </c>
      <c r="J1026" s="34">
        <v>0.15710000000000002</v>
      </c>
      <c r="K1026" s="34">
        <f t="shared" si="30"/>
        <v>9262.6160000000018</v>
      </c>
      <c r="L1026" s="34">
        <v>2.62</v>
      </c>
      <c r="M1026" s="34">
        <v>154769.5</v>
      </c>
      <c r="N1026" s="34">
        <f t="shared" si="31"/>
        <v>16.677275620623806</v>
      </c>
    </row>
    <row r="1027" spans="1:14" x14ac:dyDescent="0.45">
      <c r="A1027" s="30">
        <v>2023</v>
      </c>
      <c r="B1027" s="30" t="s">
        <v>13</v>
      </c>
      <c r="C1027" s="30" t="s">
        <v>46</v>
      </c>
      <c r="D1027" s="30" t="s">
        <v>47</v>
      </c>
      <c r="E1027" s="31" t="s">
        <v>75</v>
      </c>
      <c r="F1027" s="32" t="s">
        <v>49</v>
      </c>
      <c r="G1027" s="32" t="s">
        <v>50</v>
      </c>
      <c r="H1027" s="33">
        <v>7960</v>
      </c>
      <c r="I1027" s="34">
        <f>Table3[[#This Row],[Volume, kg.]]/1000</f>
        <v>7.96</v>
      </c>
      <c r="J1027" s="34">
        <v>0.1696</v>
      </c>
      <c r="K1027" s="34">
        <f t="shared" ref="K1027:K1090" si="32">H1027*J1027</f>
        <v>1350.0160000000001</v>
      </c>
      <c r="L1027" s="34">
        <v>2.65</v>
      </c>
      <c r="M1027" s="34">
        <v>21094</v>
      </c>
      <c r="N1027" s="34">
        <f t="shared" si="31"/>
        <v>15.625</v>
      </c>
    </row>
    <row r="1028" spans="1:14" x14ac:dyDescent="0.45">
      <c r="A1028" s="30">
        <v>2023</v>
      </c>
      <c r="B1028" s="30" t="s">
        <v>13</v>
      </c>
      <c r="C1028" s="30" t="s">
        <v>46</v>
      </c>
      <c r="D1028" s="30" t="s">
        <v>47</v>
      </c>
      <c r="E1028" s="31" t="s">
        <v>97</v>
      </c>
      <c r="F1028" s="32" t="s">
        <v>49</v>
      </c>
      <c r="G1028" s="32" t="s">
        <v>50</v>
      </c>
      <c r="H1028" s="33">
        <v>55460</v>
      </c>
      <c r="I1028" s="34">
        <f>Table3[[#This Row],[Volume, kg.]]/1000</f>
        <v>55.46</v>
      </c>
      <c r="J1028" s="34">
        <v>0.1704</v>
      </c>
      <c r="K1028" s="34">
        <f t="shared" si="32"/>
        <v>9450.384</v>
      </c>
      <c r="L1028" s="34">
        <v>2.67</v>
      </c>
      <c r="M1028" s="34">
        <v>148247.5</v>
      </c>
      <c r="N1028" s="34">
        <f t="shared" ref="N1028:N1091" si="33">L1028/J1028</f>
        <v>15.669014084507042</v>
      </c>
    </row>
    <row r="1029" spans="1:14" x14ac:dyDescent="0.45">
      <c r="A1029" s="30">
        <v>2023</v>
      </c>
      <c r="B1029" s="30" t="s">
        <v>13</v>
      </c>
      <c r="C1029" s="30" t="s">
        <v>46</v>
      </c>
      <c r="D1029" s="30" t="s">
        <v>47</v>
      </c>
      <c r="E1029" s="31" t="s">
        <v>345</v>
      </c>
      <c r="F1029" s="32" t="s">
        <v>81</v>
      </c>
      <c r="G1029" s="32" t="s">
        <v>50</v>
      </c>
      <c r="H1029" s="33">
        <v>9190</v>
      </c>
      <c r="I1029" s="34">
        <f>Table3[[#This Row],[Volume, kg.]]/1000</f>
        <v>9.19</v>
      </c>
      <c r="J1029" s="34">
        <v>0.21899999999999997</v>
      </c>
      <c r="K1029" s="34">
        <f t="shared" si="32"/>
        <v>2012.6099999999997</v>
      </c>
      <c r="L1029" s="34">
        <v>2.9</v>
      </c>
      <c r="M1029" s="34">
        <v>26651</v>
      </c>
      <c r="N1029" s="34">
        <f t="shared" si="33"/>
        <v>13.242009132420092</v>
      </c>
    </row>
    <row r="1030" spans="1:14" x14ac:dyDescent="0.45">
      <c r="A1030" s="30">
        <v>2023</v>
      </c>
      <c r="B1030" s="30" t="s">
        <v>13</v>
      </c>
      <c r="C1030" s="30" t="s">
        <v>46</v>
      </c>
      <c r="D1030" s="30" t="s">
        <v>47</v>
      </c>
      <c r="E1030" s="31" t="s">
        <v>96</v>
      </c>
      <c r="F1030" s="32" t="s">
        <v>49</v>
      </c>
      <c r="G1030" s="32" t="s">
        <v>50</v>
      </c>
      <c r="H1030" s="33">
        <v>76870</v>
      </c>
      <c r="I1030" s="34">
        <f>Table3[[#This Row],[Volume, kg.]]/1000</f>
        <v>76.87</v>
      </c>
      <c r="J1030" s="34">
        <v>0.21760000000000002</v>
      </c>
      <c r="K1030" s="34">
        <f t="shared" si="32"/>
        <v>16726.912</v>
      </c>
      <c r="L1030" s="34">
        <v>2.9</v>
      </c>
      <c r="M1030" s="34">
        <v>223022.5</v>
      </c>
      <c r="N1030" s="34">
        <f t="shared" si="33"/>
        <v>13.32720588235294</v>
      </c>
    </row>
    <row r="1031" spans="1:14" x14ac:dyDescent="0.45">
      <c r="A1031" s="30">
        <v>2023</v>
      </c>
      <c r="B1031" s="30" t="s">
        <v>13</v>
      </c>
      <c r="C1031" s="30" t="s">
        <v>46</v>
      </c>
      <c r="D1031" s="30" t="s">
        <v>47</v>
      </c>
      <c r="E1031" s="31" t="s">
        <v>369</v>
      </c>
      <c r="F1031" s="32" t="s">
        <v>57</v>
      </c>
      <c r="G1031" s="32" t="s">
        <v>50</v>
      </c>
      <c r="H1031" s="33">
        <v>32420</v>
      </c>
      <c r="I1031" s="34">
        <f>Table3[[#This Row],[Volume, kg.]]/1000</f>
        <v>32.42</v>
      </c>
      <c r="J1031" s="34">
        <v>0.20010000000000003</v>
      </c>
      <c r="K1031" s="34">
        <f t="shared" si="32"/>
        <v>6487.2420000000011</v>
      </c>
      <c r="L1031" s="34">
        <v>2.8</v>
      </c>
      <c r="M1031" s="34">
        <v>90897</v>
      </c>
      <c r="N1031" s="34">
        <f t="shared" si="33"/>
        <v>13.993003498250872</v>
      </c>
    </row>
    <row r="1032" spans="1:14" x14ac:dyDescent="0.45">
      <c r="A1032" s="30">
        <v>2023</v>
      </c>
      <c r="B1032" s="30" t="s">
        <v>13</v>
      </c>
      <c r="C1032" s="30" t="s">
        <v>46</v>
      </c>
      <c r="D1032" s="30" t="s">
        <v>102</v>
      </c>
      <c r="E1032" s="31" t="s">
        <v>250</v>
      </c>
      <c r="F1032" s="32" t="s">
        <v>49</v>
      </c>
      <c r="G1032" s="32" t="s">
        <v>50</v>
      </c>
      <c r="H1032" s="33">
        <v>2094870</v>
      </c>
      <c r="I1032" s="34">
        <f>Table3[[#This Row],[Volume, kg.]]/1000</f>
        <v>2094.87</v>
      </c>
      <c r="J1032" s="34">
        <v>0.18579999999999999</v>
      </c>
      <c r="K1032" s="34">
        <f t="shared" si="32"/>
        <v>389226.84599999996</v>
      </c>
      <c r="L1032" s="34">
        <v>2.79</v>
      </c>
      <c r="M1032" s="34">
        <v>5853418.5</v>
      </c>
      <c r="N1032" s="34">
        <f t="shared" si="33"/>
        <v>15.016146393972013</v>
      </c>
    </row>
    <row r="1033" spans="1:14" x14ac:dyDescent="0.45">
      <c r="A1033" s="30">
        <v>2023</v>
      </c>
      <c r="B1033" s="30" t="s">
        <v>13</v>
      </c>
      <c r="C1033" s="30" t="s">
        <v>46</v>
      </c>
      <c r="D1033" s="30" t="s">
        <v>47</v>
      </c>
      <c r="E1033" s="31" t="s">
        <v>87</v>
      </c>
      <c r="F1033" s="32" t="s">
        <v>49</v>
      </c>
      <c r="G1033" s="32" t="s">
        <v>50</v>
      </c>
      <c r="H1033" s="33">
        <v>5310</v>
      </c>
      <c r="I1033" s="34">
        <f>Table3[[#This Row],[Volume, kg.]]/1000</f>
        <v>5.31</v>
      </c>
      <c r="J1033" s="34">
        <v>0.2515</v>
      </c>
      <c r="K1033" s="34">
        <f t="shared" si="32"/>
        <v>1335.4649999999999</v>
      </c>
      <c r="L1033" s="34">
        <v>3.05</v>
      </c>
      <c r="M1033" s="34">
        <v>16195.5</v>
      </c>
      <c r="N1033" s="34">
        <f t="shared" si="33"/>
        <v>12.127236580516898</v>
      </c>
    </row>
    <row r="1034" spans="1:14" x14ac:dyDescent="0.45">
      <c r="A1034" s="30">
        <v>2023</v>
      </c>
      <c r="B1034" s="30" t="s">
        <v>13</v>
      </c>
      <c r="C1034" s="30" t="s">
        <v>46</v>
      </c>
      <c r="D1034" s="30" t="s">
        <v>47</v>
      </c>
      <c r="E1034" s="31" t="s">
        <v>68</v>
      </c>
      <c r="F1034" s="32" t="s">
        <v>49</v>
      </c>
      <c r="G1034" s="32" t="s">
        <v>50</v>
      </c>
      <c r="H1034" s="33">
        <v>124600</v>
      </c>
      <c r="I1034" s="34">
        <f>Table3[[#This Row],[Volume, kg.]]/1000</f>
        <v>124.6</v>
      </c>
      <c r="J1034" s="34">
        <v>0.18340000000000001</v>
      </c>
      <c r="K1034" s="34">
        <f t="shared" si="32"/>
        <v>22851.64</v>
      </c>
      <c r="L1034" s="34">
        <v>2.72</v>
      </c>
      <c r="M1034" s="34">
        <v>338421.5</v>
      </c>
      <c r="N1034" s="34">
        <f t="shared" si="33"/>
        <v>14.830970556161397</v>
      </c>
    </row>
    <row r="1035" spans="1:14" x14ac:dyDescent="0.45">
      <c r="A1035" s="30">
        <v>2023</v>
      </c>
      <c r="B1035" s="30" t="s">
        <v>13</v>
      </c>
      <c r="C1035" s="30" t="s">
        <v>46</v>
      </c>
      <c r="D1035" s="30" t="s">
        <v>47</v>
      </c>
      <c r="E1035" s="31" t="s">
        <v>155</v>
      </c>
      <c r="F1035" s="32" t="s">
        <v>64</v>
      </c>
      <c r="G1035" s="32" t="s">
        <v>50</v>
      </c>
      <c r="H1035" s="33">
        <v>17170</v>
      </c>
      <c r="I1035" s="34">
        <f>Table3[[#This Row],[Volume, kg.]]/1000</f>
        <v>17.170000000000002</v>
      </c>
      <c r="J1035" s="34">
        <v>0.14219999999999999</v>
      </c>
      <c r="K1035" s="34">
        <f t="shared" si="32"/>
        <v>2441.5740000000001</v>
      </c>
      <c r="L1035" s="34">
        <v>2.5</v>
      </c>
      <c r="M1035" s="34">
        <v>42925</v>
      </c>
      <c r="N1035" s="34">
        <f t="shared" si="33"/>
        <v>17.58087201125176</v>
      </c>
    </row>
    <row r="1036" spans="1:14" x14ac:dyDescent="0.45">
      <c r="A1036" s="30">
        <v>2023</v>
      </c>
      <c r="B1036" s="30" t="s">
        <v>13</v>
      </c>
      <c r="C1036" s="30" t="s">
        <v>46</v>
      </c>
      <c r="D1036" s="30" t="s">
        <v>47</v>
      </c>
      <c r="E1036" s="31" t="s">
        <v>314</v>
      </c>
      <c r="F1036" s="32" t="s">
        <v>57</v>
      </c>
      <c r="G1036" s="32" t="s">
        <v>50</v>
      </c>
      <c r="H1036" s="33">
        <v>20650</v>
      </c>
      <c r="I1036" s="34">
        <f>Table3[[#This Row],[Volume, kg.]]/1000</f>
        <v>20.65</v>
      </c>
      <c r="J1036" s="34">
        <v>0.17600000000000002</v>
      </c>
      <c r="K1036" s="34">
        <f t="shared" si="32"/>
        <v>3634.4000000000005</v>
      </c>
      <c r="L1036" s="34">
        <v>2.71</v>
      </c>
      <c r="M1036" s="34">
        <v>56017</v>
      </c>
      <c r="N1036" s="34">
        <f t="shared" si="33"/>
        <v>15.397727272727272</v>
      </c>
    </row>
    <row r="1037" spans="1:14" x14ac:dyDescent="0.45">
      <c r="A1037" s="30">
        <v>2023</v>
      </c>
      <c r="B1037" s="30" t="s">
        <v>13</v>
      </c>
      <c r="C1037" s="30" t="s">
        <v>46</v>
      </c>
      <c r="D1037" s="30" t="s">
        <v>47</v>
      </c>
      <c r="E1037" s="31" t="s">
        <v>478</v>
      </c>
      <c r="F1037" s="32" t="s">
        <v>281</v>
      </c>
      <c r="G1037" s="32" t="s">
        <v>50</v>
      </c>
      <c r="H1037" s="33">
        <v>9330</v>
      </c>
      <c r="I1037" s="34">
        <f>Table3[[#This Row],[Volume, kg.]]/1000</f>
        <v>9.33</v>
      </c>
      <c r="J1037" s="34">
        <v>0.20949999999999999</v>
      </c>
      <c r="K1037" s="34">
        <f t="shared" si="32"/>
        <v>1954.635</v>
      </c>
      <c r="L1037" s="34">
        <v>2.85</v>
      </c>
      <c r="M1037" s="34">
        <v>26590.5</v>
      </c>
      <c r="N1037" s="34">
        <f t="shared" si="33"/>
        <v>13.603818615751791</v>
      </c>
    </row>
    <row r="1038" spans="1:14" x14ac:dyDescent="0.45">
      <c r="A1038" s="30">
        <v>2023</v>
      </c>
      <c r="B1038" s="30" t="s">
        <v>13</v>
      </c>
      <c r="C1038" s="30" t="s">
        <v>46</v>
      </c>
      <c r="D1038" s="30" t="s">
        <v>47</v>
      </c>
      <c r="E1038" s="31" t="s">
        <v>215</v>
      </c>
      <c r="F1038" s="32" t="s">
        <v>57</v>
      </c>
      <c r="G1038" s="32" t="s">
        <v>50</v>
      </c>
      <c r="H1038" s="33">
        <v>20110</v>
      </c>
      <c r="I1038" s="34">
        <f>Table3[[#This Row],[Volume, kg.]]/1000</f>
        <v>20.11</v>
      </c>
      <c r="J1038" s="34">
        <v>0.1885</v>
      </c>
      <c r="K1038" s="34">
        <f t="shared" si="32"/>
        <v>3790.7350000000001</v>
      </c>
      <c r="L1038" s="34">
        <v>2.75</v>
      </c>
      <c r="M1038" s="34">
        <v>55212.5</v>
      </c>
      <c r="N1038" s="34">
        <f t="shared" si="33"/>
        <v>14.588859416445624</v>
      </c>
    </row>
    <row r="1039" spans="1:14" x14ac:dyDescent="0.45">
      <c r="A1039" s="30">
        <v>2023</v>
      </c>
      <c r="B1039" s="30" t="s">
        <v>13</v>
      </c>
      <c r="C1039" s="30" t="s">
        <v>46</v>
      </c>
      <c r="D1039" s="30" t="s">
        <v>47</v>
      </c>
      <c r="E1039" s="31" t="s">
        <v>453</v>
      </c>
      <c r="F1039" s="32" t="s">
        <v>57</v>
      </c>
      <c r="G1039" s="32" t="s">
        <v>50</v>
      </c>
      <c r="H1039" s="33">
        <v>97620</v>
      </c>
      <c r="I1039" s="34">
        <f>Table3[[#This Row],[Volume, kg.]]/1000</f>
        <v>97.62</v>
      </c>
      <c r="J1039" s="34">
        <v>0.2137</v>
      </c>
      <c r="K1039" s="34">
        <f t="shared" si="32"/>
        <v>20861.394</v>
      </c>
      <c r="L1039" s="34">
        <v>2.87</v>
      </c>
      <c r="M1039" s="34">
        <v>280077.5</v>
      </c>
      <c r="N1039" s="34">
        <f t="shared" si="33"/>
        <v>13.430042115114647</v>
      </c>
    </row>
    <row r="1040" spans="1:14" x14ac:dyDescent="0.45">
      <c r="A1040" s="30">
        <v>2023</v>
      </c>
      <c r="B1040" s="30" t="s">
        <v>13</v>
      </c>
      <c r="C1040" s="30" t="s">
        <v>46</v>
      </c>
      <c r="D1040" s="30" t="s">
        <v>47</v>
      </c>
      <c r="E1040" s="31" t="s">
        <v>141</v>
      </c>
      <c r="F1040" s="32" t="s">
        <v>49</v>
      </c>
      <c r="G1040" s="32" t="s">
        <v>50</v>
      </c>
      <c r="H1040" s="33">
        <v>10540</v>
      </c>
      <c r="I1040" s="34">
        <f>Table3[[#This Row],[Volume, kg.]]/1000</f>
        <v>10.54</v>
      </c>
      <c r="J1040" s="34">
        <v>0.18350000000000002</v>
      </c>
      <c r="K1040" s="34">
        <f t="shared" si="32"/>
        <v>1934.0900000000001</v>
      </c>
      <c r="L1040" s="34">
        <v>2.7</v>
      </c>
      <c r="M1040" s="34">
        <v>28458</v>
      </c>
      <c r="N1040" s="34">
        <f t="shared" si="33"/>
        <v>14.713896457765667</v>
      </c>
    </row>
    <row r="1041" spans="1:14" x14ac:dyDescent="0.45">
      <c r="A1041" s="30">
        <v>2023</v>
      </c>
      <c r="B1041" s="30" t="s">
        <v>13</v>
      </c>
      <c r="C1041" s="30" t="s">
        <v>46</v>
      </c>
      <c r="D1041" s="30" t="s">
        <v>47</v>
      </c>
      <c r="E1041" s="31" t="s">
        <v>479</v>
      </c>
      <c r="F1041" s="32" t="s">
        <v>57</v>
      </c>
      <c r="G1041" s="32" t="s">
        <v>50</v>
      </c>
      <c r="H1041" s="33">
        <v>5100</v>
      </c>
      <c r="I1041" s="34">
        <f>Table3[[#This Row],[Volume, kg.]]/1000</f>
        <v>5.0999999999999996</v>
      </c>
      <c r="J1041" s="34">
        <v>0.20050000000000001</v>
      </c>
      <c r="K1041" s="34">
        <f t="shared" si="32"/>
        <v>1022.5500000000001</v>
      </c>
      <c r="L1041" s="34">
        <v>2.8</v>
      </c>
      <c r="M1041" s="34">
        <v>14280</v>
      </c>
      <c r="N1041" s="34">
        <f t="shared" si="33"/>
        <v>13.96508728179551</v>
      </c>
    </row>
    <row r="1042" spans="1:14" x14ac:dyDescent="0.45">
      <c r="A1042" s="30">
        <v>2023</v>
      </c>
      <c r="B1042" s="30" t="s">
        <v>13</v>
      </c>
      <c r="C1042" s="30" t="s">
        <v>46</v>
      </c>
      <c r="D1042" s="30" t="s">
        <v>47</v>
      </c>
      <c r="E1042" s="31" t="s">
        <v>480</v>
      </c>
      <c r="F1042" s="32" t="s">
        <v>49</v>
      </c>
      <c r="G1042" s="32" t="s">
        <v>50</v>
      </c>
      <c r="H1042" s="33">
        <v>2560</v>
      </c>
      <c r="I1042" s="34">
        <f>Table3[[#This Row],[Volume, kg.]]/1000</f>
        <v>2.56</v>
      </c>
      <c r="J1042" s="34">
        <v>0.2475</v>
      </c>
      <c r="K1042" s="34">
        <f t="shared" si="32"/>
        <v>633.6</v>
      </c>
      <c r="L1042" s="34">
        <v>3.05</v>
      </c>
      <c r="M1042" s="34">
        <v>7808</v>
      </c>
      <c r="N1042" s="34">
        <f t="shared" si="33"/>
        <v>12.323232323232322</v>
      </c>
    </row>
    <row r="1043" spans="1:14" x14ac:dyDescent="0.45">
      <c r="A1043" s="30">
        <v>2023</v>
      </c>
      <c r="B1043" s="30" t="s">
        <v>13</v>
      </c>
      <c r="C1043" s="30" t="s">
        <v>46</v>
      </c>
      <c r="D1043" s="30" t="s">
        <v>47</v>
      </c>
      <c r="E1043" s="31" t="s">
        <v>159</v>
      </c>
      <c r="F1043" s="32" t="s">
        <v>81</v>
      </c>
      <c r="G1043" s="32" t="s">
        <v>50</v>
      </c>
      <c r="H1043" s="33">
        <v>36470</v>
      </c>
      <c r="I1043" s="34">
        <f>Table3[[#This Row],[Volume, kg.]]/1000</f>
        <v>36.47</v>
      </c>
      <c r="J1043" s="34">
        <v>0.21230000000000002</v>
      </c>
      <c r="K1043" s="34">
        <f t="shared" si="32"/>
        <v>7742.581000000001</v>
      </c>
      <c r="L1043" s="34">
        <v>2.87</v>
      </c>
      <c r="M1043" s="34">
        <v>104569</v>
      </c>
      <c r="N1043" s="34">
        <f t="shared" si="33"/>
        <v>13.51860574658502</v>
      </c>
    </row>
    <row r="1044" spans="1:14" x14ac:dyDescent="0.45">
      <c r="A1044" s="30">
        <v>2023</v>
      </c>
      <c r="B1044" s="30" t="s">
        <v>13</v>
      </c>
      <c r="C1044" s="30" t="s">
        <v>46</v>
      </c>
      <c r="D1044" s="30" t="s">
        <v>102</v>
      </c>
      <c r="E1044" s="31" t="s">
        <v>481</v>
      </c>
      <c r="F1044" s="32" t="s">
        <v>49</v>
      </c>
      <c r="G1044" s="32" t="s">
        <v>50</v>
      </c>
      <c r="H1044" s="33">
        <v>10190</v>
      </c>
      <c r="I1044" s="34">
        <f>Table3[[#This Row],[Volume, kg.]]/1000</f>
        <v>10.19</v>
      </c>
      <c r="J1044" s="34">
        <v>0.16200000000000001</v>
      </c>
      <c r="K1044" s="34">
        <f t="shared" si="32"/>
        <v>1650.78</v>
      </c>
      <c r="L1044" s="34">
        <v>2.65</v>
      </c>
      <c r="M1044" s="34">
        <v>27003.5</v>
      </c>
      <c r="N1044" s="34">
        <f t="shared" si="33"/>
        <v>16.358024691358025</v>
      </c>
    </row>
    <row r="1045" spans="1:14" x14ac:dyDescent="0.45">
      <c r="A1045" s="30">
        <v>2023</v>
      </c>
      <c r="B1045" s="30" t="s">
        <v>13</v>
      </c>
      <c r="C1045" s="30" t="s">
        <v>46</v>
      </c>
      <c r="D1045" s="30" t="s">
        <v>47</v>
      </c>
      <c r="E1045" s="31" t="s">
        <v>83</v>
      </c>
      <c r="F1045" s="32" t="s">
        <v>64</v>
      </c>
      <c r="G1045" s="32" t="s">
        <v>50</v>
      </c>
      <c r="H1045" s="33">
        <v>2370</v>
      </c>
      <c r="I1045" s="34">
        <f>Table3[[#This Row],[Volume, kg.]]/1000</f>
        <v>2.37</v>
      </c>
      <c r="J1045" s="34">
        <v>0.1275</v>
      </c>
      <c r="K1045" s="34">
        <f t="shared" si="32"/>
        <v>302.17500000000001</v>
      </c>
      <c r="L1045" s="34">
        <v>2.4500000000000002</v>
      </c>
      <c r="M1045" s="34">
        <v>5806.5</v>
      </c>
      <c r="N1045" s="34">
        <f t="shared" si="33"/>
        <v>19.215686274509807</v>
      </c>
    </row>
    <row r="1046" spans="1:14" x14ac:dyDescent="0.45">
      <c r="A1046" s="30">
        <v>2023</v>
      </c>
      <c r="B1046" s="30" t="s">
        <v>13</v>
      </c>
      <c r="C1046" s="30" t="s">
        <v>46</v>
      </c>
      <c r="D1046" s="30" t="s">
        <v>47</v>
      </c>
      <c r="E1046" s="31" t="s">
        <v>420</v>
      </c>
      <c r="F1046" s="32" t="s">
        <v>57</v>
      </c>
      <c r="G1046" s="32" t="s">
        <v>50</v>
      </c>
      <c r="H1046" s="33">
        <v>11340</v>
      </c>
      <c r="I1046" s="34">
        <f>Table3[[#This Row],[Volume, kg.]]/1000</f>
        <v>11.34</v>
      </c>
      <c r="J1046" s="34">
        <v>0.20929999999999999</v>
      </c>
      <c r="K1046" s="34">
        <f t="shared" si="32"/>
        <v>2373.462</v>
      </c>
      <c r="L1046" s="34">
        <v>2.87</v>
      </c>
      <c r="M1046" s="34">
        <v>32504.5</v>
      </c>
      <c r="N1046" s="34">
        <f t="shared" si="33"/>
        <v>13.7123745819398</v>
      </c>
    </row>
    <row r="1047" spans="1:14" x14ac:dyDescent="0.45">
      <c r="A1047" s="30">
        <v>2023</v>
      </c>
      <c r="B1047" s="30" t="s">
        <v>13</v>
      </c>
      <c r="C1047" s="30" t="s">
        <v>46</v>
      </c>
      <c r="D1047" s="30" t="s">
        <v>47</v>
      </c>
      <c r="E1047" s="31" t="s">
        <v>161</v>
      </c>
      <c r="F1047" s="32" t="s">
        <v>57</v>
      </c>
      <c r="G1047" s="32" t="s">
        <v>50</v>
      </c>
      <c r="H1047" s="33">
        <v>1500</v>
      </c>
      <c r="I1047" s="34">
        <f>Table3[[#This Row],[Volume, kg.]]/1000</f>
        <v>1.5</v>
      </c>
      <c r="J1047" s="34">
        <v>0.10929999999999999</v>
      </c>
      <c r="K1047" s="34">
        <f t="shared" si="32"/>
        <v>163.95</v>
      </c>
      <c r="L1047" s="34">
        <v>2.35</v>
      </c>
      <c r="M1047" s="34">
        <v>3525</v>
      </c>
      <c r="N1047" s="34">
        <f t="shared" si="33"/>
        <v>21.500457456541632</v>
      </c>
    </row>
    <row r="1048" spans="1:14" x14ac:dyDescent="0.45">
      <c r="A1048" s="30">
        <v>2023</v>
      </c>
      <c r="B1048" s="30" t="s">
        <v>13</v>
      </c>
      <c r="C1048" s="30" t="s">
        <v>46</v>
      </c>
      <c r="D1048" s="30" t="s">
        <v>47</v>
      </c>
      <c r="E1048" s="31" t="s">
        <v>286</v>
      </c>
      <c r="F1048" s="32" t="s">
        <v>49</v>
      </c>
      <c r="G1048" s="32" t="s">
        <v>50</v>
      </c>
      <c r="H1048" s="33">
        <v>37070</v>
      </c>
      <c r="I1048" s="34">
        <f>Table3[[#This Row],[Volume, kg.]]/1000</f>
        <v>37.07</v>
      </c>
      <c r="J1048" s="34">
        <v>0.18160000000000001</v>
      </c>
      <c r="K1048" s="34">
        <f t="shared" si="32"/>
        <v>6731.9120000000003</v>
      </c>
      <c r="L1048" s="34">
        <v>2.71</v>
      </c>
      <c r="M1048" s="34">
        <v>100550.5</v>
      </c>
      <c r="N1048" s="34">
        <f t="shared" si="33"/>
        <v>14.922907488986784</v>
      </c>
    </row>
    <row r="1049" spans="1:14" x14ac:dyDescent="0.45">
      <c r="A1049" s="30">
        <v>2023</v>
      </c>
      <c r="B1049" s="30" t="s">
        <v>13</v>
      </c>
      <c r="C1049" s="30" t="s">
        <v>46</v>
      </c>
      <c r="D1049" s="30" t="s">
        <v>47</v>
      </c>
      <c r="E1049" s="31" t="s">
        <v>255</v>
      </c>
      <c r="F1049" s="32" t="s">
        <v>60</v>
      </c>
      <c r="G1049" s="32" t="s">
        <v>50</v>
      </c>
      <c r="H1049" s="33">
        <v>19250</v>
      </c>
      <c r="I1049" s="34">
        <f>Table3[[#This Row],[Volume, kg.]]/1000</f>
        <v>19.25</v>
      </c>
      <c r="J1049" s="34">
        <v>0.22440000000000002</v>
      </c>
      <c r="K1049" s="34">
        <f t="shared" si="32"/>
        <v>4319.7000000000007</v>
      </c>
      <c r="L1049" s="34">
        <v>2.94</v>
      </c>
      <c r="M1049" s="34">
        <v>56550</v>
      </c>
      <c r="N1049" s="34">
        <f t="shared" si="33"/>
        <v>13.101604278074864</v>
      </c>
    </row>
    <row r="1050" spans="1:14" x14ac:dyDescent="0.45">
      <c r="A1050" s="30">
        <v>2023</v>
      </c>
      <c r="B1050" s="30" t="s">
        <v>13</v>
      </c>
      <c r="C1050" s="30" t="s">
        <v>46</v>
      </c>
      <c r="D1050" s="30" t="s">
        <v>47</v>
      </c>
      <c r="E1050" s="31" t="s">
        <v>309</v>
      </c>
      <c r="F1050" s="32" t="s">
        <v>81</v>
      </c>
      <c r="G1050" s="32" t="s">
        <v>50</v>
      </c>
      <c r="H1050" s="33">
        <v>43860</v>
      </c>
      <c r="I1050" s="34">
        <f>Table3[[#This Row],[Volume, kg.]]/1000</f>
        <v>43.86</v>
      </c>
      <c r="J1050" s="34">
        <v>0.2152</v>
      </c>
      <c r="K1050" s="34">
        <f t="shared" si="32"/>
        <v>9438.6720000000005</v>
      </c>
      <c r="L1050" s="34">
        <v>2.87</v>
      </c>
      <c r="M1050" s="34">
        <v>125990</v>
      </c>
      <c r="N1050" s="34">
        <f t="shared" si="33"/>
        <v>13.3364312267658</v>
      </c>
    </row>
    <row r="1051" spans="1:14" x14ac:dyDescent="0.45">
      <c r="A1051" s="30">
        <v>2023</v>
      </c>
      <c r="B1051" s="30" t="s">
        <v>13</v>
      </c>
      <c r="C1051" s="30" t="s">
        <v>46</v>
      </c>
      <c r="D1051" s="30" t="s">
        <v>47</v>
      </c>
      <c r="E1051" s="31" t="s">
        <v>136</v>
      </c>
      <c r="F1051" s="32" t="s">
        <v>49</v>
      </c>
      <c r="G1051" s="32" t="s">
        <v>50</v>
      </c>
      <c r="H1051" s="33">
        <v>4580</v>
      </c>
      <c r="I1051" s="34">
        <f>Table3[[#This Row],[Volume, kg.]]/1000</f>
        <v>4.58</v>
      </c>
      <c r="J1051" s="34">
        <v>0.23449999999999999</v>
      </c>
      <c r="K1051" s="34">
        <f t="shared" si="32"/>
        <v>1074.01</v>
      </c>
      <c r="L1051" s="34">
        <v>2.95</v>
      </c>
      <c r="M1051" s="34">
        <v>13511</v>
      </c>
      <c r="N1051" s="34">
        <f t="shared" si="33"/>
        <v>12.579957356076761</v>
      </c>
    </row>
    <row r="1052" spans="1:14" x14ac:dyDescent="0.45">
      <c r="A1052" s="30">
        <v>2023</v>
      </c>
      <c r="B1052" s="30" t="s">
        <v>13</v>
      </c>
      <c r="C1052" s="30" t="s">
        <v>46</v>
      </c>
      <c r="D1052" s="30" t="s">
        <v>47</v>
      </c>
      <c r="E1052" s="31" t="s">
        <v>482</v>
      </c>
      <c r="F1052" s="32" t="s">
        <v>49</v>
      </c>
      <c r="G1052" s="32" t="s">
        <v>50</v>
      </c>
      <c r="H1052" s="33">
        <v>10300</v>
      </c>
      <c r="I1052" s="34">
        <f>Table3[[#This Row],[Volume, kg.]]/1000</f>
        <v>10.3</v>
      </c>
      <c r="J1052" s="34">
        <v>0.19600000000000001</v>
      </c>
      <c r="K1052" s="34">
        <f t="shared" si="32"/>
        <v>2018.8000000000002</v>
      </c>
      <c r="L1052" s="34">
        <v>2.8</v>
      </c>
      <c r="M1052" s="34">
        <v>28840</v>
      </c>
      <c r="N1052" s="34">
        <f t="shared" si="33"/>
        <v>14.285714285714285</v>
      </c>
    </row>
    <row r="1053" spans="1:14" x14ac:dyDescent="0.45">
      <c r="A1053" s="30">
        <v>2023</v>
      </c>
      <c r="B1053" s="30" t="s">
        <v>13</v>
      </c>
      <c r="C1053" s="30" t="s">
        <v>46</v>
      </c>
      <c r="D1053" s="30" t="s">
        <v>47</v>
      </c>
      <c r="E1053" s="31" t="s">
        <v>53</v>
      </c>
      <c r="F1053" s="32" t="s">
        <v>54</v>
      </c>
      <c r="G1053" s="32" t="s">
        <v>50</v>
      </c>
      <c r="H1053" s="33">
        <v>29550</v>
      </c>
      <c r="I1053" s="34">
        <f>Table3[[#This Row],[Volume, kg.]]/1000</f>
        <v>29.55</v>
      </c>
      <c r="J1053" s="34">
        <v>0.20420000000000002</v>
      </c>
      <c r="K1053" s="34">
        <f t="shared" si="32"/>
        <v>6034.1100000000006</v>
      </c>
      <c r="L1053" s="34">
        <v>2.84</v>
      </c>
      <c r="M1053" s="34">
        <v>83978.5</v>
      </c>
      <c r="N1053" s="34">
        <f t="shared" si="33"/>
        <v>13.907933398628794</v>
      </c>
    </row>
    <row r="1054" spans="1:14" x14ac:dyDescent="0.45">
      <c r="A1054" s="30">
        <v>2023</v>
      </c>
      <c r="B1054" s="30" t="s">
        <v>13</v>
      </c>
      <c r="C1054" s="30" t="s">
        <v>46</v>
      </c>
      <c r="D1054" s="30" t="s">
        <v>47</v>
      </c>
      <c r="E1054" s="31" t="s">
        <v>151</v>
      </c>
      <c r="F1054" s="32" t="s">
        <v>60</v>
      </c>
      <c r="G1054" s="32" t="s">
        <v>50</v>
      </c>
      <c r="H1054" s="33">
        <v>25390</v>
      </c>
      <c r="I1054" s="34">
        <f>Table3[[#This Row],[Volume, kg.]]/1000</f>
        <v>25.39</v>
      </c>
      <c r="J1054" s="34">
        <v>0.22030000000000002</v>
      </c>
      <c r="K1054" s="34">
        <f t="shared" si="32"/>
        <v>5593.4170000000004</v>
      </c>
      <c r="L1054" s="34">
        <v>2.92</v>
      </c>
      <c r="M1054" s="34">
        <v>74192</v>
      </c>
      <c r="N1054" s="34">
        <f t="shared" si="33"/>
        <v>13.254652746255106</v>
      </c>
    </row>
    <row r="1055" spans="1:14" x14ac:dyDescent="0.45">
      <c r="A1055" s="30">
        <v>2023</v>
      </c>
      <c r="B1055" s="30" t="s">
        <v>13</v>
      </c>
      <c r="C1055" s="30" t="s">
        <v>46</v>
      </c>
      <c r="D1055" s="30" t="s">
        <v>47</v>
      </c>
      <c r="E1055" s="31" t="s">
        <v>408</v>
      </c>
      <c r="F1055" s="32" t="s">
        <v>238</v>
      </c>
      <c r="G1055" s="32" t="s">
        <v>50</v>
      </c>
      <c r="H1055" s="33">
        <v>129060</v>
      </c>
      <c r="I1055" s="34">
        <f>Table3[[#This Row],[Volume, kg.]]/1000</f>
        <v>129.06</v>
      </c>
      <c r="J1055" s="34">
        <v>0.1686</v>
      </c>
      <c r="K1055" s="34">
        <f t="shared" si="32"/>
        <v>21759.516</v>
      </c>
      <c r="L1055" s="34">
        <v>2.66</v>
      </c>
      <c r="M1055" s="34">
        <v>343680.5</v>
      </c>
      <c r="N1055" s="34">
        <f t="shared" si="33"/>
        <v>15.776986951364176</v>
      </c>
    </row>
    <row r="1056" spans="1:14" x14ac:dyDescent="0.45">
      <c r="A1056" s="30">
        <v>2023</v>
      </c>
      <c r="B1056" s="30" t="s">
        <v>13</v>
      </c>
      <c r="C1056" s="30" t="s">
        <v>46</v>
      </c>
      <c r="D1056" s="30" t="s">
        <v>47</v>
      </c>
      <c r="E1056" s="31" t="s">
        <v>184</v>
      </c>
      <c r="F1056" s="32" t="s">
        <v>57</v>
      </c>
      <c r="G1056" s="32" t="s">
        <v>50</v>
      </c>
      <c r="H1056" s="33">
        <v>20950</v>
      </c>
      <c r="I1056" s="34">
        <f>Table3[[#This Row],[Volume, kg.]]/1000</f>
        <v>20.95</v>
      </c>
      <c r="J1056" s="34">
        <v>0.14480000000000001</v>
      </c>
      <c r="K1056" s="34">
        <f t="shared" si="32"/>
        <v>3033.5600000000004</v>
      </c>
      <c r="L1056" s="34">
        <v>2.5299999999999998</v>
      </c>
      <c r="M1056" s="34">
        <v>52942</v>
      </c>
      <c r="N1056" s="34">
        <f t="shared" si="33"/>
        <v>17.472375690607731</v>
      </c>
    </row>
    <row r="1057" spans="1:14" x14ac:dyDescent="0.45">
      <c r="A1057" s="30">
        <v>2023</v>
      </c>
      <c r="B1057" s="30" t="s">
        <v>13</v>
      </c>
      <c r="C1057" s="30" t="s">
        <v>46</v>
      </c>
      <c r="D1057" s="30" t="s">
        <v>47</v>
      </c>
      <c r="E1057" s="31" t="s">
        <v>257</v>
      </c>
      <c r="F1057" s="32" t="s">
        <v>64</v>
      </c>
      <c r="G1057" s="32" t="s">
        <v>50</v>
      </c>
      <c r="H1057" s="33">
        <v>26500</v>
      </c>
      <c r="I1057" s="34">
        <f>Table3[[#This Row],[Volume, kg.]]/1000</f>
        <v>26.5</v>
      </c>
      <c r="J1057" s="34">
        <v>0.20300000000000001</v>
      </c>
      <c r="K1057" s="34">
        <f t="shared" si="32"/>
        <v>5379.5</v>
      </c>
      <c r="L1057" s="34">
        <v>2.85</v>
      </c>
      <c r="M1057" s="34">
        <v>75525</v>
      </c>
      <c r="N1057" s="34">
        <f t="shared" si="33"/>
        <v>14.039408866995073</v>
      </c>
    </row>
    <row r="1058" spans="1:14" x14ac:dyDescent="0.45">
      <c r="A1058" s="30">
        <v>2023</v>
      </c>
      <c r="B1058" s="30" t="s">
        <v>13</v>
      </c>
      <c r="C1058" s="30" t="s">
        <v>46</v>
      </c>
      <c r="D1058" s="30" t="s">
        <v>47</v>
      </c>
      <c r="E1058" s="31" t="s">
        <v>351</v>
      </c>
      <c r="F1058" s="32" t="s">
        <v>49</v>
      </c>
      <c r="G1058" s="32" t="s">
        <v>50</v>
      </c>
      <c r="H1058" s="33">
        <v>10870</v>
      </c>
      <c r="I1058" s="34">
        <f>Table3[[#This Row],[Volume, kg.]]/1000</f>
        <v>10.87</v>
      </c>
      <c r="J1058" s="34">
        <v>0.19949999999999998</v>
      </c>
      <c r="K1058" s="34">
        <f t="shared" si="32"/>
        <v>2168.5649999999996</v>
      </c>
      <c r="L1058" s="34">
        <v>2.8</v>
      </c>
      <c r="M1058" s="34">
        <v>30436</v>
      </c>
      <c r="N1058" s="34">
        <f t="shared" si="33"/>
        <v>14.035087719298247</v>
      </c>
    </row>
    <row r="1059" spans="1:14" x14ac:dyDescent="0.45">
      <c r="A1059" s="30">
        <v>2023</v>
      </c>
      <c r="B1059" s="30" t="s">
        <v>13</v>
      </c>
      <c r="C1059" s="30" t="s">
        <v>46</v>
      </c>
      <c r="D1059" s="30" t="s">
        <v>47</v>
      </c>
      <c r="E1059" s="31" t="s">
        <v>133</v>
      </c>
      <c r="F1059" s="32" t="s">
        <v>134</v>
      </c>
      <c r="G1059" s="32" t="s">
        <v>50</v>
      </c>
      <c r="H1059" s="33">
        <v>126010</v>
      </c>
      <c r="I1059" s="34">
        <f>Table3[[#This Row],[Volume, kg.]]/1000</f>
        <v>126.01</v>
      </c>
      <c r="J1059" s="34">
        <v>0.17399999999999999</v>
      </c>
      <c r="K1059" s="34">
        <f t="shared" si="32"/>
        <v>21925.739999999998</v>
      </c>
      <c r="L1059" s="34">
        <v>2.69</v>
      </c>
      <c r="M1059" s="34">
        <v>338751.5</v>
      </c>
      <c r="N1059" s="34">
        <f t="shared" si="33"/>
        <v>15.459770114942529</v>
      </c>
    </row>
    <row r="1060" spans="1:14" x14ac:dyDescent="0.45">
      <c r="A1060" s="30">
        <v>2023</v>
      </c>
      <c r="B1060" s="30" t="s">
        <v>13</v>
      </c>
      <c r="C1060" s="30" t="s">
        <v>46</v>
      </c>
      <c r="D1060" s="30" t="s">
        <v>47</v>
      </c>
      <c r="E1060" s="31" t="s">
        <v>72</v>
      </c>
      <c r="F1060" s="32" t="s">
        <v>49</v>
      </c>
      <c r="G1060" s="32" t="s">
        <v>50</v>
      </c>
      <c r="H1060" s="33">
        <v>44630</v>
      </c>
      <c r="I1060" s="34">
        <f>Table3[[#This Row],[Volume, kg.]]/1000</f>
        <v>44.63</v>
      </c>
      <c r="J1060" s="34">
        <v>0.17219999999999999</v>
      </c>
      <c r="K1060" s="34">
        <f t="shared" si="32"/>
        <v>7685.2860000000001</v>
      </c>
      <c r="L1060" s="34">
        <v>2.67</v>
      </c>
      <c r="M1060" s="34">
        <v>119304.5</v>
      </c>
      <c r="N1060" s="34">
        <f t="shared" si="33"/>
        <v>15.505226480836237</v>
      </c>
    </row>
    <row r="1061" spans="1:14" x14ac:dyDescent="0.45">
      <c r="A1061" s="30">
        <v>2023</v>
      </c>
      <c r="B1061" s="30" t="s">
        <v>13</v>
      </c>
      <c r="C1061" s="30" t="s">
        <v>46</v>
      </c>
      <c r="D1061" s="30" t="s">
        <v>47</v>
      </c>
      <c r="E1061" s="31" t="s">
        <v>252</v>
      </c>
      <c r="F1061" s="32" t="s">
        <v>49</v>
      </c>
      <c r="G1061" s="32" t="s">
        <v>50</v>
      </c>
      <c r="H1061" s="33">
        <v>7520</v>
      </c>
      <c r="I1061" s="34">
        <f>Table3[[#This Row],[Volume, kg.]]/1000</f>
        <v>7.52</v>
      </c>
      <c r="J1061" s="34">
        <v>0.2248</v>
      </c>
      <c r="K1061" s="34">
        <f t="shared" si="32"/>
        <v>1690.4960000000001</v>
      </c>
      <c r="L1061" s="34">
        <v>2.93</v>
      </c>
      <c r="M1061" s="34">
        <v>22040</v>
      </c>
      <c r="N1061" s="34">
        <f t="shared" si="33"/>
        <v>13.033807829181494</v>
      </c>
    </row>
    <row r="1062" spans="1:14" x14ac:dyDescent="0.45">
      <c r="A1062" s="30">
        <v>2023</v>
      </c>
      <c r="B1062" s="30" t="s">
        <v>13</v>
      </c>
      <c r="C1062" s="30" t="s">
        <v>46</v>
      </c>
      <c r="D1062" s="30" t="s">
        <v>102</v>
      </c>
      <c r="E1062" s="31" t="s">
        <v>437</v>
      </c>
      <c r="F1062" s="32" t="s">
        <v>49</v>
      </c>
      <c r="G1062" s="32" t="s">
        <v>50</v>
      </c>
      <c r="H1062" s="33">
        <v>1687100</v>
      </c>
      <c r="I1062" s="34">
        <f>Table3[[#This Row],[Volume, kg.]]/1000</f>
        <v>1687.1</v>
      </c>
      <c r="J1062" s="34">
        <v>0.17829999999999999</v>
      </c>
      <c r="K1062" s="34">
        <f t="shared" si="32"/>
        <v>300809.93</v>
      </c>
      <c r="L1062" s="34">
        <v>2.75</v>
      </c>
      <c r="M1062" s="34">
        <v>4645346.5</v>
      </c>
      <c r="N1062" s="34">
        <f t="shared" si="33"/>
        <v>15.423443634324174</v>
      </c>
    </row>
    <row r="1063" spans="1:14" x14ac:dyDescent="0.45">
      <c r="A1063" s="30">
        <v>2023</v>
      </c>
      <c r="B1063" s="30" t="s">
        <v>13</v>
      </c>
      <c r="C1063" s="30" t="s">
        <v>46</v>
      </c>
      <c r="D1063" s="30" t="s">
        <v>47</v>
      </c>
      <c r="E1063" s="31" t="s">
        <v>410</v>
      </c>
      <c r="F1063" s="32" t="s">
        <v>54</v>
      </c>
      <c r="G1063" s="32" t="s">
        <v>50</v>
      </c>
      <c r="H1063" s="33">
        <v>3360</v>
      </c>
      <c r="I1063" s="34">
        <f>Table3[[#This Row],[Volume, kg.]]/1000</f>
        <v>3.36</v>
      </c>
      <c r="J1063" s="34">
        <v>0.214</v>
      </c>
      <c r="K1063" s="34">
        <f t="shared" si="32"/>
        <v>719.04</v>
      </c>
      <c r="L1063" s="34">
        <v>2.85</v>
      </c>
      <c r="M1063" s="34">
        <v>9576</v>
      </c>
      <c r="N1063" s="34">
        <f t="shared" si="33"/>
        <v>13.317757009345796</v>
      </c>
    </row>
    <row r="1064" spans="1:14" x14ac:dyDescent="0.45">
      <c r="A1064" s="30">
        <v>2023</v>
      </c>
      <c r="B1064" s="30" t="s">
        <v>13</v>
      </c>
      <c r="C1064" s="30" t="s">
        <v>46</v>
      </c>
      <c r="D1064" s="30" t="s">
        <v>47</v>
      </c>
      <c r="E1064" s="31" t="s">
        <v>412</v>
      </c>
      <c r="F1064" s="32" t="s">
        <v>57</v>
      </c>
      <c r="G1064" s="32" t="s">
        <v>50</v>
      </c>
      <c r="H1064" s="33">
        <v>13610</v>
      </c>
      <c r="I1064" s="34">
        <f>Table3[[#This Row],[Volume, kg.]]/1000</f>
        <v>13.61</v>
      </c>
      <c r="J1064" s="34">
        <v>0.19800000000000001</v>
      </c>
      <c r="K1064" s="34">
        <f t="shared" si="32"/>
        <v>2694.78</v>
      </c>
      <c r="L1064" s="34">
        <v>2.8</v>
      </c>
      <c r="M1064" s="34">
        <v>38087.5</v>
      </c>
      <c r="N1064" s="34">
        <f t="shared" si="33"/>
        <v>14.14141414141414</v>
      </c>
    </row>
    <row r="1065" spans="1:14" x14ac:dyDescent="0.45">
      <c r="A1065" s="30">
        <v>2023</v>
      </c>
      <c r="B1065" s="30" t="s">
        <v>13</v>
      </c>
      <c r="C1065" s="30" t="s">
        <v>46</v>
      </c>
      <c r="D1065" s="30" t="s">
        <v>47</v>
      </c>
      <c r="E1065" s="31" t="s">
        <v>413</v>
      </c>
      <c r="F1065" s="32" t="s">
        <v>49</v>
      </c>
      <c r="G1065" s="32" t="s">
        <v>50</v>
      </c>
      <c r="H1065" s="33">
        <v>123730</v>
      </c>
      <c r="I1065" s="34">
        <f>Table3[[#This Row],[Volume, kg.]]/1000</f>
        <v>123.73</v>
      </c>
      <c r="J1065" s="34">
        <v>0.17120000000000002</v>
      </c>
      <c r="K1065" s="34">
        <f t="shared" si="32"/>
        <v>21182.576000000001</v>
      </c>
      <c r="L1065" s="34">
        <v>2.67</v>
      </c>
      <c r="M1065" s="34">
        <v>330454.5</v>
      </c>
      <c r="N1065" s="34">
        <f t="shared" si="33"/>
        <v>15.595794392523363</v>
      </c>
    </row>
    <row r="1066" spans="1:14" x14ac:dyDescent="0.45">
      <c r="A1066" s="30">
        <v>2023</v>
      </c>
      <c r="B1066" s="30" t="s">
        <v>13</v>
      </c>
      <c r="C1066" s="30" t="s">
        <v>46</v>
      </c>
      <c r="D1066" s="30" t="s">
        <v>47</v>
      </c>
      <c r="E1066" s="31" t="s">
        <v>455</v>
      </c>
      <c r="F1066" s="32" t="s">
        <v>456</v>
      </c>
      <c r="G1066" s="32" t="s">
        <v>341</v>
      </c>
      <c r="H1066" s="33">
        <v>266900</v>
      </c>
      <c r="I1066" s="34">
        <f>Table3[[#This Row],[Volume, kg.]]/1000</f>
        <v>266.89999999999998</v>
      </c>
      <c r="J1066" s="34">
        <v>0.16930000000000001</v>
      </c>
      <c r="K1066" s="34">
        <f t="shared" si="32"/>
        <v>45186.17</v>
      </c>
      <c r="L1066" s="34">
        <v>2.73</v>
      </c>
      <c r="M1066" s="34">
        <v>728690</v>
      </c>
      <c r="N1066" s="34">
        <f t="shared" si="33"/>
        <v>16.125221500295332</v>
      </c>
    </row>
    <row r="1067" spans="1:14" x14ac:dyDescent="0.45">
      <c r="A1067" s="30">
        <v>2023</v>
      </c>
      <c r="B1067" s="30" t="s">
        <v>13</v>
      </c>
      <c r="C1067" s="30" t="s">
        <v>46</v>
      </c>
      <c r="D1067" s="30" t="s">
        <v>47</v>
      </c>
      <c r="E1067" s="31" t="s">
        <v>448</v>
      </c>
      <c r="F1067" s="32" t="s">
        <v>238</v>
      </c>
      <c r="G1067" s="32" t="s">
        <v>50</v>
      </c>
      <c r="H1067" s="33">
        <v>125240</v>
      </c>
      <c r="I1067" s="34">
        <f>Table3[[#This Row],[Volume, kg.]]/1000</f>
        <v>125.24</v>
      </c>
      <c r="J1067" s="34">
        <v>0.16600000000000001</v>
      </c>
      <c r="K1067" s="34">
        <f t="shared" si="32"/>
        <v>20789.84</v>
      </c>
      <c r="L1067" s="34">
        <v>2.62</v>
      </c>
      <c r="M1067" s="34">
        <v>328489.5</v>
      </c>
      <c r="N1067" s="34">
        <f t="shared" si="33"/>
        <v>15.783132530120481</v>
      </c>
    </row>
    <row r="1068" spans="1:14" x14ac:dyDescent="0.45">
      <c r="A1068" s="30">
        <v>2023</v>
      </c>
      <c r="B1068" s="30" t="s">
        <v>13</v>
      </c>
      <c r="C1068" s="30" t="s">
        <v>46</v>
      </c>
      <c r="D1068" s="30" t="s">
        <v>47</v>
      </c>
      <c r="E1068" s="31" t="s">
        <v>434</v>
      </c>
      <c r="F1068" s="32" t="s">
        <v>57</v>
      </c>
      <c r="G1068" s="32" t="s">
        <v>50</v>
      </c>
      <c r="H1068" s="33">
        <v>23330</v>
      </c>
      <c r="I1068" s="34">
        <f>Table3[[#This Row],[Volume, kg.]]/1000</f>
        <v>23.33</v>
      </c>
      <c r="J1068" s="34">
        <v>0.1787</v>
      </c>
      <c r="K1068" s="34">
        <f t="shared" si="32"/>
        <v>4169.0709999999999</v>
      </c>
      <c r="L1068" s="34">
        <v>2.7</v>
      </c>
      <c r="M1068" s="34">
        <v>62993</v>
      </c>
      <c r="N1068" s="34">
        <f t="shared" si="33"/>
        <v>15.109121432568552</v>
      </c>
    </row>
    <row r="1069" spans="1:14" x14ac:dyDescent="0.45">
      <c r="A1069" s="30">
        <v>2023</v>
      </c>
      <c r="B1069" s="30" t="s">
        <v>13</v>
      </c>
      <c r="C1069" s="30" t="s">
        <v>46</v>
      </c>
      <c r="D1069" s="30" t="s">
        <v>47</v>
      </c>
      <c r="E1069" s="31" t="s">
        <v>459</v>
      </c>
      <c r="F1069" s="32" t="s">
        <v>134</v>
      </c>
      <c r="G1069" s="32" t="s">
        <v>50</v>
      </c>
      <c r="H1069" s="33">
        <v>243300</v>
      </c>
      <c r="I1069" s="34">
        <f>Table3[[#This Row],[Volume, kg.]]/1000</f>
        <v>243.3</v>
      </c>
      <c r="J1069" s="34">
        <v>0.16350000000000001</v>
      </c>
      <c r="K1069" s="34">
        <f t="shared" si="32"/>
        <v>39779.550000000003</v>
      </c>
      <c r="L1069" s="34">
        <v>2.7</v>
      </c>
      <c r="M1069" s="34">
        <v>657713</v>
      </c>
      <c r="N1069" s="34">
        <f t="shared" si="33"/>
        <v>16.513761467889907</v>
      </c>
    </row>
    <row r="1070" spans="1:14" x14ac:dyDescent="0.45">
      <c r="A1070" s="30">
        <v>2023</v>
      </c>
      <c r="B1070" s="30" t="s">
        <v>13</v>
      </c>
      <c r="C1070" s="30" t="s">
        <v>46</v>
      </c>
      <c r="D1070" s="30" t="s">
        <v>47</v>
      </c>
      <c r="E1070" s="31" t="s">
        <v>483</v>
      </c>
      <c r="F1070" s="32" t="s">
        <v>238</v>
      </c>
      <c r="G1070" s="32" t="s">
        <v>50</v>
      </c>
      <c r="H1070" s="33">
        <v>51120</v>
      </c>
      <c r="I1070" s="34">
        <f>Table3[[#This Row],[Volume, kg.]]/1000</f>
        <v>51.12</v>
      </c>
      <c r="J1070" s="34">
        <v>0.1489</v>
      </c>
      <c r="K1070" s="34">
        <f t="shared" si="32"/>
        <v>7611.768</v>
      </c>
      <c r="L1070" s="34">
        <v>2.5499999999999998</v>
      </c>
      <c r="M1070" s="34">
        <v>130248</v>
      </c>
      <c r="N1070" s="34">
        <f t="shared" si="33"/>
        <v>17.125587642713228</v>
      </c>
    </row>
    <row r="1071" spans="1:14" x14ac:dyDescent="0.45">
      <c r="A1071" s="30">
        <v>2023</v>
      </c>
      <c r="B1071" s="30" t="s">
        <v>13</v>
      </c>
      <c r="C1071" s="30" t="s">
        <v>46</v>
      </c>
      <c r="D1071" s="30" t="s">
        <v>47</v>
      </c>
      <c r="E1071" s="31" t="s">
        <v>484</v>
      </c>
      <c r="F1071" s="32" t="s">
        <v>81</v>
      </c>
      <c r="G1071" s="32" t="s">
        <v>50</v>
      </c>
      <c r="H1071" s="33">
        <v>15020</v>
      </c>
      <c r="I1071" s="34">
        <f>Table3[[#This Row],[Volume, kg.]]/1000</f>
        <v>15.02</v>
      </c>
      <c r="J1071" s="34">
        <v>0.21149999999999999</v>
      </c>
      <c r="K1071" s="34">
        <f t="shared" si="32"/>
        <v>3176.73</v>
      </c>
      <c r="L1071" s="34">
        <v>2.85</v>
      </c>
      <c r="M1071" s="34">
        <v>42807</v>
      </c>
      <c r="N1071" s="34">
        <f t="shared" si="33"/>
        <v>13.475177304964539</v>
      </c>
    </row>
    <row r="1072" spans="1:14" x14ac:dyDescent="0.45">
      <c r="A1072" s="30">
        <v>2023</v>
      </c>
      <c r="B1072" s="30" t="s">
        <v>13</v>
      </c>
      <c r="C1072" s="30" t="s">
        <v>46</v>
      </c>
      <c r="D1072" s="30" t="s">
        <v>47</v>
      </c>
      <c r="E1072" s="31" t="s">
        <v>485</v>
      </c>
      <c r="F1072" s="32" t="s">
        <v>134</v>
      </c>
      <c r="G1072" s="32" t="s">
        <v>50</v>
      </c>
      <c r="H1072" s="33">
        <v>82000</v>
      </c>
      <c r="I1072" s="34">
        <f>Table3[[#This Row],[Volume, kg.]]/1000</f>
        <v>82</v>
      </c>
      <c r="J1072" s="34">
        <v>0.18600000000000003</v>
      </c>
      <c r="K1072" s="34">
        <f t="shared" si="32"/>
        <v>15252.000000000002</v>
      </c>
      <c r="L1072" s="34">
        <v>2.74</v>
      </c>
      <c r="M1072" s="34">
        <v>224462</v>
      </c>
      <c r="N1072" s="34">
        <f t="shared" si="33"/>
        <v>14.731182795698924</v>
      </c>
    </row>
    <row r="1073" spans="1:14" x14ac:dyDescent="0.45">
      <c r="A1073" s="30">
        <v>2023</v>
      </c>
      <c r="B1073" s="30" t="s">
        <v>13</v>
      </c>
      <c r="C1073" s="30" t="s">
        <v>46</v>
      </c>
      <c r="D1073" s="30" t="s">
        <v>47</v>
      </c>
      <c r="E1073" s="31" t="s">
        <v>486</v>
      </c>
      <c r="F1073" s="32" t="s">
        <v>487</v>
      </c>
      <c r="G1073" s="32" t="s">
        <v>341</v>
      </c>
      <c r="H1073" s="33">
        <v>8250</v>
      </c>
      <c r="I1073" s="34">
        <f>Table3[[#This Row],[Volume, kg.]]/1000</f>
        <v>8.25</v>
      </c>
      <c r="J1073" s="34">
        <v>0.19949999999999998</v>
      </c>
      <c r="K1073" s="34">
        <f t="shared" si="32"/>
        <v>1645.8749999999998</v>
      </c>
      <c r="L1073" s="34">
        <v>2.85</v>
      </c>
      <c r="M1073" s="34">
        <v>23512.5</v>
      </c>
      <c r="N1073" s="34">
        <f t="shared" si="33"/>
        <v>14.285714285714288</v>
      </c>
    </row>
    <row r="1074" spans="1:14" x14ac:dyDescent="0.45">
      <c r="A1074" s="30">
        <v>2023</v>
      </c>
      <c r="B1074" s="30" t="s">
        <v>13</v>
      </c>
      <c r="C1074" s="30" t="s">
        <v>46</v>
      </c>
      <c r="D1074" s="30" t="s">
        <v>47</v>
      </c>
      <c r="E1074" s="31" t="s">
        <v>488</v>
      </c>
      <c r="F1074" s="32" t="s">
        <v>57</v>
      </c>
      <c r="G1074" s="32" t="s">
        <v>50</v>
      </c>
      <c r="H1074" s="33">
        <v>13130</v>
      </c>
      <c r="I1074" s="34">
        <f>Table3[[#This Row],[Volume, kg.]]/1000</f>
        <v>13.13</v>
      </c>
      <c r="J1074" s="34">
        <v>0.23089999999999999</v>
      </c>
      <c r="K1074" s="34">
        <f t="shared" si="32"/>
        <v>3031.7170000000001</v>
      </c>
      <c r="L1074" s="34">
        <v>2.96</v>
      </c>
      <c r="M1074" s="34">
        <v>38915</v>
      </c>
      <c r="N1074" s="34">
        <f t="shared" si="33"/>
        <v>12.819402338674751</v>
      </c>
    </row>
    <row r="1075" spans="1:14" x14ac:dyDescent="0.45">
      <c r="A1075" s="30">
        <v>2023</v>
      </c>
      <c r="B1075" s="30" t="s">
        <v>13</v>
      </c>
      <c r="C1075" s="30" t="s">
        <v>46</v>
      </c>
      <c r="D1075" s="30" t="s">
        <v>47</v>
      </c>
      <c r="E1075" s="31" t="s">
        <v>489</v>
      </c>
      <c r="F1075" s="32" t="s">
        <v>81</v>
      </c>
      <c r="G1075" s="32" t="s">
        <v>50</v>
      </c>
      <c r="H1075" s="33">
        <v>46750</v>
      </c>
      <c r="I1075" s="34">
        <f>Table3[[#This Row],[Volume, kg.]]/1000</f>
        <v>46.75</v>
      </c>
      <c r="J1075" s="34">
        <v>0.1855</v>
      </c>
      <c r="K1075" s="34">
        <f t="shared" si="32"/>
        <v>8672.125</v>
      </c>
      <c r="L1075" s="34">
        <v>2.73</v>
      </c>
      <c r="M1075" s="34">
        <v>127664.5</v>
      </c>
      <c r="N1075" s="34">
        <f t="shared" si="33"/>
        <v>14.716981132075471</v>
      </c>
    </row>
    <row r="1076" spans="1:14" x14ac:dyDescent="0.45">
      <c r="A1076" s="30">
        <v>2023</v>
      </c>
      <c r="B1076" s="30" t="s">
        <v>13</v>
      </c>
      <c r="C1076" s="30" t="s">
        <v>46</v>
      </c>
      <c r="D1076" s="30" t="s">
        <v>47</v>
      </c>
      <c r="E1076" s="31" t="s">
        <v>490</v>
      </c>
      <c r="F1076" s="32" t="s">
        <v>49</v>
      </c>
      <c r="G1076" s="32" t="s">
        <v>50</v>
      </c>
      <c r="H1076" s="33">
        <v>62030</v>
      </c>
      <c r="I1076" s="34">
        <f>Table3[[#This Row],[Volume, kg.]]/1000</f>
        <v>62.03</v>
      </c>
      <c r="J1076" s="34">
        <v>0.1784</v>
      </c>
      <c r="K1076" s="34">
        <f t="shared" si="32"/>
        <v>11066.152</v>
      </c>
      <c r="L1076" s="34">
        <v>2.69</v>
      </c>
      <c r="M1076" s="34">
        <v>166567.5</v>
      </c>
      <c r="N1076" s="34">
        <f t="shared" si="33"/>
        <v>15.078475336322869</v>
      </c>
    </row>
    <row r="1077" spans="1:14" x14ac:dyDescent="0.45">
      <c r="A1077" s="30">
        <v>2023</v>
      </c>
      <c r="B1077" s="30" t="s">
        <v>13</v>
      </c>
      <c r="C1077" s="30" t="s">
        <v>46</v>
      </c>
      <c r="D1077" s="30" t="s">
        <v>47</v>
      </c>
      <c r="E1077" s="31" t="s">
        <v>491</v>
      </c>
      <c r="F1077" s="32" t="s">
        <v>81</v>
      </c>
      <c r="G1077" s="32" t="s">
        <v>50</v>
      </c>
      <c r="H1077" s="33">
        <v>97900</v>
      </c>
      <c r="I1077" s="34">
        <f>Table3[[#This Row],[Volume, kg.]]/1000</f>
        <v>97.9</v>
      </c>
      <c r="J1077" s="34">
        <v>0.18359999999999999</v>
      </c>
      <c r="K1077" s="34">
        <f t="shared" si="32"/>
        <v>17974.439999999999</v>
      </c>
      <c r="L1077" s="34">
        <v>2.73</v>
      </c>
      <c r="M1077" s="34">
        <v>266785</v>
      </c>
      <c r="N1077" s="34">
        <f t="shared" si="33"/>
        <v>14.869281045751634</v>
      </c>
    </row>
    <row r="1078" spans="1:14" x14ac:dyDescent="0.45">
      <c r="A1078" s="30">
        <v>2023</v>
      </c>
      <c r="B1078" s="30" t="s">
        <v>13</v>
      </c>
      <c r="C1078" s="30" t="s">
        <v>46</v>
      </c>
      <c r="D1078" s="30" t="s">
        <v>47</v>
      </c>
      <c r="E1078" s="31" t="s">
        <v>492</v>
      </c>
      <c r="F1078" s="32" t="s">
        <v>57</v>
      </c>
      <c r="G1078" s="32" t="s">
        <v>50</v>
      </c>
      <c r="H1078" s="33">
        <v>9210</v>
      </c>
      <c r="I1078" s="34">
        <f>Table3[[#This Row],[Volume, kg.]]/1000</f>
        <v>9.2100000000000009</v>
      </c>
      <c r="J1078" s="34">
        <v>0.17249999999999999</v>
      </c>
      <c r="K1078" s="34">
        <f t="shared" si="32"/>
        <v>1588.7249999999999</v>
      </c>
      <c r="L1078" s="34">
        <v>2.65</v>
      </c>
      <c r="M1078" s="34">
        <v>24406.5</v>
      </c>
      <c r="N1078" s="34">
        <f t="shared" si="33"/>
        <v>15.362318840579711</v>
      </c>
    </row>
    <row r="1079" spans="1:14" x14ac:dyDescent="0.45">
      <c r="A1079" s="30">
        <v>2023</v>
      </c>
      <c r="B1079" s="30" t="s">
        <v>14</v>
      </c>
      <c r="C1079" s="30" t="s">
        <v>46</v>
      </c>
      <c r="D1079" s="30" t="s">
        <v>102</v>
      </c>
      <c r="E1079" s="31" t="s">
        <v>239</v>
      </c>
      <c r="F1079" s="32" t="s">
        <v>240</v>
      </c>
      <c r="G1079" s="32" t="s">
        <v>50</v>
      </c>
      <c r="H1079" s="33">
        <v>100170</v>
      </c>
      <c r="I1079" s="34">
        <f>Table3[[#This Row],[Volume, kg.]]/1000</f>
        <v>100.17</v>
      </c>
      <c r="J1079" s="34">
        <v>0.17920000000000003</v>
      </c>
      <c r="K1079" s="34">
        <f t="shared" si="32"/>
        <v>17950.464000000004</v>
      </c>
      <c r="L1079" s="34">
        <v>2.86</v>
      </c>
      <c r="M1079" s="34">
        <v>286918</v>
      </c>
      <c r="N1079" s="34">
        <f t="shared" si="33"/>
        <v>15.959821428571425</v>
      </c>
    </row>
    <row r="1080" spans="1:14" x14ac:dyDescent="0.45">
      <c r="A1080" s="30">
        <v>2023</v>
      </c>
      <c r="B1080" s="30" t="s">
        <v>14</v>
      </c>
      <c r="C1080" s="30" t="s">
        <v>46</v>
      </c>
      <c r="D1080" s="30" t="s">
        <v>102</v>
      </c>
      <c r="E1080" s="31" t="s">
        <v>188</v>
      </c>
      <c r="F1080" s="32" t="s">
        <v>189</v>
      </c>
      <c r="G1080" s="32" t="s">
        <v>128</v>
      </c>
      <c r="H1080" s="33">
        <v>28230</v>
      </c>
      <c r="I1080" s="34">
        <f>Table3[[#This Row],[Volume, kg.]]/1000</f>
        <v>28.23</v>
      </c>
      <c r="J1080" s="34">
        <v>0.19120000000000001</v>
      </c>
      <c r="K1080" s="34">
        <f t="shared" si="32"/>
        <v>5397.576</v>
      </c>
      <c r="L1080" s="34">
        <v>3.06</v>
      </c>
      <c r="M1080" s="34">
        <v>86451</v>
      </c>
      <c r="N1080" s="34">
        <f t="shared" si="33"/>
        <v>16.00418410041841</v>
      </c>
    </row>
    <row r="1081" spans="1:14" x14ac:dyDescent="0.45">
      <c r="A1081" s="30">
        <v>2023</v>
      </c>
      <c r="B1081" s="30" t="s">
        <v>14</v>
      </c>
      <c r="C1081" s="30" t="s">
        <v>46</v>
      </c>
      <c r="D1081" s="30" t="s">
        <v>102</v>
      </c>
      <c r="E1081" s="31" t="s">
        <v>222</v>
      </c>
      <c r="F1081" s="32" t="s">
        <v>223</v>
      </c>
      <c r="G1081" s="32" t="s">
        <v>50</v>
      </c>
      <c r="H1081" s="33">
        <v>357920</v>
      </c>
      <c r="I1081" s="34">
        <f>Table3[[#This Row],[Volume, kg.]]/1000</f>
        <v>357.92</v>
      </c>
      <c r="J1081" s="34">
        <v>0.22460000000000002</v>
      </c>
      <c r="K1081" s="34">
        <f t="shared" si="32"/>
        <v>80388.832000000009</v>
      </c>
      <c r="L1081" s="34">
        <v>3.04</v>
      </c>
      <c r="M1081" s="34">
        <v>1086322.5</v>
      </c>
      <c r="N1081" s="34">
        <f t="shared" si="33"/>
        <v>13.535173642030275</v>
      </c>
    </row>
    <row r="1082" spans="1:14" x14ac:dyDescent="0.45">
      <c r="A1082" s="30">
        <v>2023</v>
      </c>
      <c r="B1082" s="30" t="s">
        <v>14</v>
      </c>
      <c r="C1082" s="30" t="s">
        <v>46</v>
      </c>
      <c r="D1082" s="30" t="s">
        <v>47</v>
      </c>
      <c r="E1082" s="31" t="s">
        <v>181</v>
      </c>
      <c r="F1082" s="32" t="s">
        <v>57</v>
      </c>
      <c r="G1082" s="32" t="s">
        <v>50</v>
      </c>
      <c r="H1082" s="33">
        <v>10410</v>
      </c>
      <c r="I1082" s="34">
        <f>Table3[[#This Row],[Volume, kg.]]/1000</f>
        <v>10.41</v>
      </c>
      <c r="J1082" s="34">
        <v>0.21530000000000002</v>
      </c>
      <c r="K1082" s="34">
        <f t="shared" si="32"/>
        <v>2241.2730000000001</v>
      </c>
      <c r="L1082" s="34">
        <v>3.03</v>
      </c>
      <c r="M1082" s="34">
        <v>31522.5</v>
      </c>
      <c r="N1082" s="34">
        <f t="shared" si="33"/>
        <v>14.073385973060843</v>
      </c>
    </row>
    <row r="1083" spans="1:14" x14ac:dyDescent="0.45">
      <c r="A1083" s="30">
        <v>2023</v>
      </c>
      <c r="B1083" s="30" t="s">
        <v>14</v>
      </c>
      <c r="C1083" s="30" t="s">
        <v>46</v>
      </c>
      <c r="D1083" s="30" t="s">
        <v>47</v>
      </c>
      <c r="E1083" s="31" t="s">
        <v>138</v>
      </c>
      <c r="F1083" s="32" t="s">
        <v>49</v>
      </c>
      <c r="G1083" s="32" t="s">
        <v>50</v>
      </c>
      <c r="H1083" s="33">
        <v>13820</v>
      </c>
      <c r="I1083" s="34">
        <f>Table3[[#This Row],[Volume, kg.]]/1000</f>
        <v>13.82</v>
      </c>
      <c r="J1083" s="34">
        <v>0.23749999999999999</v>
      </c>
      <c r="K1083" s="34">
        <f t="shared" si="32"/>
        <v>3282.25</v>
      </c>
      <c r="L1083" s="34">
        <v>2.95</v>
      </c>
      <c r="M1083" s="34">
        <v>40769</v>
      </c>
      <c r="N1083" s="34">
        <f t="shared" si="33"/>
        <v>12.421052631578949</v>
      </c>
    </row>
    <row r="1084" spans="1:14" x14ac:dyDescent="0.45">
      <c r="A1084" s="30">
        <v>2023</v>
      </c>
      <c r="B1084" s="30" t="s">
        <v>14</v>
      </c>
      <c r="C1084" s="30" t="s">
        <v>46</v>
      </c>
      <c r="D1084" s="30" t="s">
        <v>47</v>
      </c>
      <c r="E1084" s="31" t="s">
        <v>232</v>
      </c>
      <c r="F1084" s="32" t="s">
        <v>49</v>
      </c>
      <c r="G1084" s="32" t="s">
        <v>50</v>
      </c>
      <c r="H1084" s="33">
        <v>55340</v>
      </c>
      <c r="I1084" s="34">
        <f>Table3[[#This Row],[Volume, kg.]]/1000</f>
        <v>55.34</v>
      </c>
      <c r="J1084" s="34">
        <v>0.2266</v>
      </c>
      <c r="K1084" s="34">
        <f t="shared" si="32"/>
        <v>12540.044</v>
      </c>
      <c r="L1084" s="34">
        <v>2.93</v>
      </c>
      <c r="M1084" s="34">
        <v>162105.5</v>
      </c>
      <c r="N1084" s="34">
        <f t="shared" si="33"/>
        <v>12.930273609885262</v>
      </c>
    </row>
    <row r="1085" spans="1:14" x14ac:dyDescent="0.45">
      <c r="A1085" s="30">
        <v>2023</v>
      </c>
      <c r="B1085" s="30" t="s">
        <v>14</v>
      </c>
      <c r="C1085" s="30" t="s">
        <v>46</v>
      </c>
      <c r="D1085" s="30" t="s">
        <v>47</v>
      </c>
      <c r="E1085" s="31" t="s">
        <v>213</v>
      </c>
      <c r="F1085" s="32" t="s">
        <v>49</v>
      </c>
      <c r="G1085" s="32" t="s">
        <v>50</v>
      </c>
      <c r="H1085" s="33">
        <v>165110</v>
      </c>
      <c r="I1085" s="34">
        <f>Table3[[#This Row],[Volume, kg.]]/1000</f>
        <v>165.11</v>
      </c>
      <c r="J1085" s="34">
        <v>0.21829999999999999</v>
      </c>
      <c r="K1085" s="34">
        <f t="shared" si="32"/>
        <v>36043.512999999999</v>
      </c>
      <c r="L1085" s="34">
        <v>2.94</v>
      </c>
      <c r="M1085" s="34">
        <v>485190</v>
      </c>
      <c r="N1085" s="34">
        <f t="shared" si="33"/>
        <v>13.467704993128722</v>
      </c>
    </row>
    <row r="1086" spans="1:14" x14ac:dyDescent="0.45">
      <c r="A1086" s="30">
        <v>2023</v>
      </c>
      <c r="B1086" s="30" t="s">
        <v>14</v>
      </c>
      <c r="C1086" s="30" t="s">
        <v>46</v>
      </c>
      <c r="D1086" s="30" t="s">
        <v>47</v>
      </c>
      <c r="E1086" s="31" t="s">
        <v>69</v>
      </c>
      <c r="F1086" s="32" t="s">
        <v>49</v>
      </c>
      <c r="G1086" s="32" t="s">
        <v>50</v>
      </c>
      <c r="H1086" s="33">
        <v>143360</v>
      </c>
      <c r="I1086" s="34">
        <f>Table3[[#This Row],[Volume, kg.]]/1000</f>
        <v>143.36000000000001</v>
      </c>
      <c r="J1086" s="34">
        <v>0.20699999999999999</v>
      </c>
      <c r="K1086" s="34">
        <f t="shared" si="32"/>
        <v>29675.519999999997</v>
      </c>
      <c r="L1086" s="34">
        <v>2.89</v>
      </c>
      <c r="M1086" s="34">
        <v>413867</v>
      </c>
      <c r="N1086" s="34">
        <f t="shared" si="33"/>
        <v>13.961352657004833</v>
      </c>
    </row>
    <row r="1087" spans="1:14" x14ac:dyDescent="0.45">
      <c r="A1087" s="30">
        <v>2023</v>
      </c>
      <c r="B1087" s="30" t="s">
        <v>14</v>
      </c>
      <c r="C1087" s="30" t="s">
        <v>46</v>
      </c>
      <c r="D1087" s="30" t="s">
        <v>47</v>
      </c>
      <c r="E1087" s="31" t="s">
        <v>202</v>
      </c>
      <c r="F1087" s="32" t="s">
        <v>57</v>
      </c>
      <c r="G1087" s="32" t="s">
        <v>50</v>
      </c>
      <c r="H1087" s="33">
        <v>59430</v>
      </c>
      <c r="I1087" s="34">
        <f>Table3[[#This Row],[Volume, kg.]]/1000</f>
        <v>59.43</v>
      </c>
      <c r="J1087" s="34">
        <v>0.23230000000000001</v>
      </c>
      <c r="K1087" s="34">
        <f t="shared" si="32"/>
        <v>13805.589</v>
      </c>
      <c r="L1087" s="34">
        <v>3.05</v>
      </c>
      <c r="M1087" s="34">
        <v>181251.5</v>
      </c>
      <c r="N1087" s="34">
        <f t="shared" si="33"/>
        <v>13.129573826947912</v>
      </c>
    </row>
    <row r="1088" spans="1:14" x14ac:dyDescent="0.45">
      <c r="A1088" s="30">
        <v>2023</v>
      </c>
      <c r="B1088" s="30" t="s">
        <v>14</v>
      </c>
      <c r="C1088" s="30" t="s">
        <v>46</v>
      </c>
      <c r="D1088" s="30" t="s">
        <v>47</v>
      </c>
      <c r="E1088" s="31" t="s">
        <v>150</v>
      </c>
      <c r="F1088" s="32" t="s">
        <v>49</v>
      </c>
      <c r="G1088" s="32" t="s">
        <v>50</v>
      </c>
      <c r="H1088" s="33">
        <v>10280</v>
      </c>
      <c r="I1088" s="34">
        <f>Table3[[#This Row],[Volume, kg.]]/1000</f>
        <v>10.28</v>
      </c>
      <c r="J1088" s="34">
        <v>0.20430000000000001</v>
      </c>
      <c r="K1088" s="34">
        <f t="shared" si="32"/>
        <v>2100.2040000000002</v>
      </c>
      <c r="L1088" s="34">
        <v>2.93</v>
      </c>
      <c r="M1088" s="34">
        <v>30139.5</v>
      </c>
      <c r="N1088" s="34">
        <f t="shared" si="33"/>
        <v>14.341654429760156</v>
      </c>
    </row>
    <row r="1089" spans="1:14" x14ac:dyDescent="0.45">
      <c r="A1089" s="30">
        <v>2023</v>
      </c>
      <c r="B1089" s="30" t="s">
        <v>14</v>
      </c>
      <c r="C1089" s="30" t="s">
        <v>46</v>
      </c>
      <c r="D1089" s="30" t="s">
        <v>47</v>
      </c>
      <c r="E1089" s="31" t="s">
        <v>326</v>
      </c>
      <c r="F1089" s="32" t="s">
        <v>57</v>
      </c>
      <c r="G1089" s="32" t="s">
        <v>50</v>
      </c>
      <c r="H1089" s="33">
        <v>14520</v>
      </c>
      <c r="I1089" s="34">
        <f>Table3[[#This Row],[Volume, kg.]]/1000</f>
        <v>14.52</v>
      </c>
      <c r="J1089" s="34">
        <v>0.2339</v>
      </c>
      <c r="K1089" s="34">
        <f t="shared" si="32"/>
        <v>3396.2280000000001</v>
      </c>
      <c r="L1089" s="34">
        <v>2.93</v>
      </c>
      <c r="M1089" s="34">
        <v>42504</v>
      </c>
      <c r="N1089" s="34">
        <f t="shared" si="33"/>
        <v>12.526720820863618</v>
      </c>
    </row>
    <row r="1090" spans="1:14" x14ac:dyDescent="0.45">
      <c r="A1090" s="30">
        <v>2023</v>
      </c>
      <c r="B1090" s="30" t="s">
        <v>14</v>
      </c>
      <c r="C1090" s="30" t="s">
        <v>46</v>
      </c>
      <c r="D1090" s="30" t="s">
        <v>47</v>
      </c>
      <c r="E1090" s="31" t="s">
        <v>381</v>
      </c>
      <c r="F1090" s="32" t="s">
        <v>49</v>
      </c>
      <c r="G1090" s="32" t="s">
        <v>50</v>
      </c>
      <c r="H1090" s="33">
        <v>63190</v>
      </c>
      <c r="I1090" s="34">
        <f>Table3[[#This Row],[Volume, kg.]]/1000</f>
        <v>63.19</v>
      </c>
      <c r="J1090" s="34">
        <v>0.217</v>
      </c>
      <c r="K1090" s="34">
        <f t="shared" si="32"/>
        <v>13712.23</v>
      </c>
      <c r="L1090" s="34">
        <v>2.95</v>
      </c>
      <c r="M1090" s="34">
        <v>186695.5</v>
      </c>
      <c r="N1090" s="34">
        <f t="shared" si="33"/>
        <v>13.59447004608295</v>
      </c>
    </row>
    <row r="1091" spans="1:14" x14ac:dyDescent="0.45">
      <c r="A1091" s="30">
        <v>2023</v>
      </c>
      <c r="B1091" s="30" t="s">
        <v>14</v>
      </c>
      <c r="C1091" s="30" t="s">
        <v>46</v>
      </c>
      <c r="D1091" s="30" t="s">
        <v>47</v>
      </c>
      <c r="E1091" s="31" t="s">
        <v>382</v>
      </c>
      <c r="F1091" s="32" t="s">
        <v>60</v>
      </c>
      <c r="G1091" s="32" t="s">
        <v>50</v>
      </c>
      <c r="H1091" s="33">
        <v>14390</v>
      </c>
      <c r="I1091" s="34">
        <f>Table3[[#This Row],[Volume, kg.]]/1000</f>
        <v>14.39</v>
      </c>
      <c r="J1091" s="34">
        <v>0.22989999999999999</v>
      </c>
      <c r="K1091" s="34">
        <f t="shared" ref="K1091:K1154" si="34">H1091*J1091</f>
        <v>3308.261</v>
      </c>
      <c r="L1091" s="34">
        <v>3</v>
      </c>
      <c r="M1091" s="34">
        <v>43170</v>
      </c>
      <c r="N1091" s="34">
        <f t="shared" si="33"/>
        <v>13.049151805132666</v>
      </c>
    </row>
    <row r="1092" spans="1:14" x14ac:dyDescent="0.45">
      <c r="A1092" s="30">
        <v>2023</v>
      </c>
      <c r="B1092" s="30" t="s">
        <v>14</v>
      </c>
      <c r="C1092" s="30" t="s">
        <v>46</v>
      </c>
      <c r="D1092" s="30" t="s">
        <v>47</v>
      </c>
      <c r="E1092" s="31" t="s">
        <v>235</v>
      </c>
      <c r="F1092" s="32" t="s">
        <v>57</v>
      </c>
      <c r="G1092" s="32" t="s">
        <v>50</v>
      </c>
      <c r="H1092" s="33">
        <v>11590</v>
      </c>
      <c r="I1092" s="34">
        <f>Table3[[#This Row],[Volume, kg.]]/1000</f>
        <v>11.59</v>
      </c>
      <c r="J1092" s="34">
        <v>0.24309999999999998</v>
      </c>
      <c r="K1092" s="34">
        <f t="shared" si="34"/>
        <v>2817.529</v>
      </c>
      <c r="L1092" s="34">
        <v>2.98</v>
      </c>
      <c r="M1092" s="34">
        <v>34526.5</v>
      </c>
      <c r="N1092" s="34">
        <f t="shared" ref="N1092:N1155" si="35">L1092/J1092</f>
        <v>12.258329905388729</v>
      </c>
    </row>
    <row r="1093" spans="1:14" x14ac:dyDescent="0.45">
      <c r="A1093" s="30">
        <v>2023</v>
      </c>
      <c r="B1093" s="30" t="s">
        <v>14</v>
      </c>
      <c r="C1093" s="30" t="s">
        <v>46</v>
      </c>
      <c r="D1093" s="30" t="s">
        <v>47</v>
      </c>
      <c r="E1093" s="31" t="s">
        <v>48</v>
      </c>
      <c r="F1093" s="32" t="s">
        <v>49</v>
      </c>
      <c r="G1093" s="32" t="s">
        <v>50</v>
      </c>
      <c r="H1093" s="33">
        <v>5220</v>
      </c>
      <c r="I1093" s="34">
        <f>Table3[[#This Row],[Volume, kg.]]/1000</f>
        <v>5.22</v>
      </c>
      <c r="J1093" s="34">
        <v>0.23149999999999998</v>
      </c>
      <c r="K1093" s="34">
        <f t="shared" si="34"/>
        <v>1208.4299999999998</v>
      </c>
      <c r="L1093" s="34">
        <v>3.1</v>
      </c>
      <c r="M1093" s="34">
        <v>16182</v>
      </c>
      <c r="N1093" s="34">
        <f t="shared" si="35"/>
        <v>13.390928725701945</v>
      </c>
    </row>
    <row r="1094" spans="1:14" x14ac:dyDescent="0.45">
      <c r="A1094" s="30">
        <v>2023</v>
      </c>
      <c r="B1094" s="30" t="s">
        <v>14</v>
      </c>
      <c r="C1094" s="30" t="s">
        <v>46</v>
      </c>
      <c r="D1094" s="30" t="s">
        <v>47</v>
      </c>
      <c r="E1094" s="31" t="s">
        <v>234</v>
      </c>
      <c r="F1094" s="32" t="s">
        <v>49</v>
      </c>
      <c r="G1094" s="32" t="s">
        <v>50</v>
      </c>
      <c r="H1094" s="33">
        <v>38510</v>
      </c>
      <c r="I1094" s="34">
        <f>Table3[[#This Row],[Volume, kg.]]/1000</f>
        <v>38.51</v>
      </c>
      <c r="J1094" s="34">
        <v>0.18909999999999999</v>
      </c>
      <c r="K1094" s="34">
        <f t="shared" si="34"/>
        <v>7282.241</v>
      </c>
      <c r="L1094" s="34">
        <v>2.71</v>
      </c>
      <c r="M1094" s="34">
        <v>104226</v>
      </c>
      <c r="N1094" s="34">
        <f t="shared" si="35"/>
        <v>14.331041776837653</v>
      </c>
    </row>
    <row r="1095" spans="1:14" x14ac:dyDescent="0.45">
      <c r="A1095" s="30">
        <v>2023</v>
      </c>
      <c r="B1095" s="30" t="s">
        <v>14</v>
      </c>
      <c r="C1095" s="30" t="s">
        <v>46</v>
      </c>
      <c r="D1095" s="30" t="s">
        <v>47</v>
      </c>
      <c r="E1095" s="31" t="s">
        <v>149</v>
      </c>
      <c r="F1095" s="32" t="s">
        <v>49</v>
      </c>
      <c r="G1095" s="32" t="s">
        <v>50</v>
      </c>
      <c r="H1095" s="33">
        <v>79770</v>
      </c>
      <c r="I1095" s="34">
        <f>Table3[[#This Row],[Volume, kg.]]/1000</f>
        <v>79.77</v>
      </c>
      <c r="J1095" s="34">
        <v>0.2334</v>
      </c>
      <c r="K1095" s="34">
        <f t="shared" si="34"/>
        <v>18618.317999999999</v>
      </c>
      <c r="L1095" s="34">
        <v>3.04</v>
      </c>
      <c r="M1095" s="34">
        <v>242354</v>
      </c>
      <c r="N1095" s="34">
        <f t="shared" si="35"/>
        <v>13.024850042844902</v>
      </c>
    </row>
    <row r="1096" spans="1:14" x14ac:dyDescent="0.45">
      <c r="A1096" s="30">
        <v>2023</v>
      </c>
      <c r="B1096" s="30" t="s">
        <v>14</v>
      </c>
      <c r="C1096" s="30" t="s">
        <v>46</v>
      </c>
      <c r="D1096" s="30" t="s">
        <v>47</v>
      </c>
      <c r="E1096" s="31" t="s">
        <v>383</v>
      </c>
      <c r="F1096" s="32" t="s">
        <v>49</v>
      </c>
      <c r="G1096" s="32" t="s">
        <v>50</v>
      </c>
      <c r="H1096" s="33">
        <v>16060</v>
      </c>
      <c r="I1096" s="34">
        <f>Table3[[#This Row],[Volume, kg.]]/1000</f>
        <v>16.059999999999999</v>
      </c>
      <c r="J1096" s="34">
        <v>0.20620000000000002</v>
      </c>
      <c r="K1096" s="34">
        <f t="shared" si="34"/>
        <v>3311.5720000000006</v>
      </c>
      <c r="L1096" s="34">
        <v>2.87</v>
      </c>
      <c r="M1096" s="34">
        <v>46085.5</v>
      </c>
      <c r="N1096" s="34">
        <f t="shared" si="35"/>
        <v>13.918525703200775</v>
      </c>
    </row>
    <row r="1097" spans="1:14" x14ac:dyDescent="0.45">
      <c r="A1097" s="30">
        <v>2023</v>
      </c>
      <c r="B1097" s="30" t="s">
        <v>14</v>
      </c>
      <c r="C1097" s="30" t="s">
        <v>46</v>
      </c>
      <c r="D1097" s="30" t="s">
        <v>47</v>
      </c>
      <c r="E1097" s="31" t="s">
        <v>493</v>
      </c>
      <c r="F1097" s="32" t="s">
        <v>49</v>
      </c>
      <c r="G1097" s="32" t="s">
        <v>50</v>
      </c>
      <c r="H1097" s="33">
        <v>25210</v>
      </c>
      <c r="I1097" s="34">
        <f>Table3[[#This Row],[Volume, kg.]]/1000</f>
        <v>25.21</v>
      </c>
      <c r="J1097" s="34">
        <v>0.22320000000000001</v>
      </c>
      <c r="K1097" s="34">
        <f t="shared" si="34"/>
        <v>5626.8720000000003</v>
      </c>
      <c r="L1097" s="34">
        <v>2.97</v>
      </c>
      <c r="M1097" s="34">
        <v>74888</v>
      </c>
      <c r="N1097" s="34">
        <f t="shared" si="35"/>
        <v>13.306451612903226</v>
      </c>
    </row>
    <row r="1098" spans="1:14" x14ac:dyDescent="0.45">
      <c r="A1098" s="30">
        <v>2023</v>
      </c>
      <c r="B1098" s="30" t="s">
        <v>14</v>
      </c>
      <c r="C1098" s="30" t="s">
        <v>46</v>
      </c>
      <c r="D1098" s="30" t="s">
        <v>47</v>
      </c>
      <c r="E1098" s="31" t="s">
        <v>208</v>
      </c>
      <c r="F1098" s="32" t="s">
        <v>49</v>
      </c>
      <c r="G1098" s="32" t="s">
        <v>50</v>
      </c>
      <c r="H1098" s="33">
        <v>76590</v>
      </c>
      <c r="I1098" s="34">
        <f>Table3[[#This Row],[Volume, kg.]]/1000</f>
        <v>76.59</v>
      </c>
      <c r="J1098" s="34">
        <v>0.2213</v>
      </c>
      <c r="K1098" s="34">
        <f t="shared" si="34"/>
        <v>16949.366999999998</v>
      </c>
      <c r="L1098" s="34">
        <v>2.98</v>
      </c>
      <c r="M1098" s="34">
        <v>228491</v>
      </c>
      <c r="N1098" s="34">
        <f t="shared" si="35"/>
        <v>13.465883416177135</v>
      </c>
    </row>
    <row r="1099" spans="1:14" x14ac:dyDescent="0.45">
      <c r="A1099" s="30">
        <v>2023</v>
      </c>
      <c r="B1099" s="30" t="s">
        <v>14</v>
      </c>
      <c r="C1099" s="30" t="s">
        <v>46</v>
      </c>
      <c r="D1099" s="30" t="s">
        <v>47</v>
      </c>
      <c r="E1099" s="31" t="s">
        <v>71</v>
      </c>
      <c r="F1099" s="32" t="s">
        <v>49</v>
      </c>
      <c r="G1099" s="32" t="s">
        <v>50</v>
      </c>
      <c r="H1099" s="33">
        <v>25660</v>
      </c>
      <c r="I1099" s="34">
        <f>Table3[[#This Row],[Volume, kg.]]/1000</f>
        <v>25.66</v>
      </c>
      <c r="J1099" s="34">
        <v>0.23050000000000001</v>
      </c>
      <c r="K1099" s="34">
        <f t="shared" si="34"/>
        <v>5914.63</v>
      </c>
      <c r="L1099" s="34">
        <v>2.97</v>
      </c>
      <c r="M1099" s="34">
        <v>76203.5</v>
      </c>
      <c r="N1099" s="34">
        <f t="shared" si="35"/>
        <v>12.885032537960955</v>
      </c>
    </row>
    <row r="1100" spans="1:14" x14ac:dyDescent="0.45">
      <c r="A1100" s="30">
        <v>2023</v>
      </c>
      <c r="B1100" s="30" t="s">
        <v>14</v>
      </c>
      <c r="C1100" s="30" t="s">
        <v>46</v>
      </c>
      <c r="D1100" s="30" t="s">
        <v>47</v>
      </c>
      <c r="E1100" s="31" t="s">
        <v>123</v>
      </c>
      <c r="F1100" s="32" t="s">
        <v>49</v>
      </c>
      <c r="G1100" s="32" t="s">
        <v>50</v>
      </c>
      <c r="H1100" s="33">
        <v>11880</v>
      </c>
      <c r="I1100" s="34">
        <f>Table3[[#This Row],[Volume, kg.]]/1000</f>
        <v>11.88</v>
      </c>
      <c r="J1100" s="34">
        <v>0.23550000000000001</v>
      </c>
      <c r="K1100" s="34">
        <f t="shared" si="34"/>
        <v>2797.7400000000002</v>
      </c>
      <c r="L1100" s="34">
        <v>2.95</v>
      </c>
      <c r="M1100" s="34">
        <v>35046</v>
      </c>
      <c r="N1100" s="34">
        <f t="shared" si="35"/>
        <v>12.526539278131635</v>
      </c>
    </row>
    <row r="1101" spans="1:14" x14ac:dyDescent="0.45">
      <c r="A1101" s="30">
        <v>2023</v>
      </c>
      <c r="B1101" s="30" t="s">
        <v>14</v>
      </c>
      <c r="C1101" s="30" t="s">
        <v>46</v>
      </c>
      <c r="D1101" s="30" t="s">
        <v>47</v>
      </c>
      <c r="E1101" s="31" t="s">
        <v>99</v>
      </c>
      <c r="F1101" s="32" t="s">
        <v>49</v>
      </c>
      <c r="G1101" s="32" t="s">
        <v>50</v>
      </c>
      <c r="H1101" s="33">
        <v>112280</v>
      </c>
      <c r="I1101" s="34">
        <f>Table3[[#This Row],[Volume, kg.]]/1000</f>
        <v>112.28</v>
      </c>
      <c r="J1101" s="34">
        <v>0.24780000000000002</v>
      </c>
      <c r="K1101" s="34">
        <f t="shared" si="34"/>
        <v>27822.984000000004</v>
      </c>
      <c r="L1101" s="34">
        <v>3.09</v>
      </c>
      <c r="M1101" s="34">
        <v>347253</v>
      </c>
      <c r="N1101" s="34">
        <f t="shared" si="35"/>
        <v>12.469733656174332</v>
      </c>
    </row>
    <row r="1102" spans="1:14" x14ac:dyDescent="0.45">
      <c r="A1102" s="30">
        <v>2023</v>
      </c>
      <c r="B1102" s="30" t="s">
        <v>14</v>
      </c>
      <c r="C1102" s="30" t="s">
        <v>46</v>
      </c>
      <c r="D1102" s="30" t="s">
        <v>47</v>
      </c>
      <c r="E1102" s="31" t="s">
        <v>165</v>
      </c>
      <c r="F1102" s="32" t="s">
        <v>57</v>
      </c>
      <c r="G1102" s="32" t="s">
        <v>50</v>
      </c>
      <c r="H1102" s="33">
        <v>13010</v>
      </c>
      <c r="I1102" s="34">
        <f>Table3[[#This Row],[Volume, kg.]]/1000</f>
        <v>13.01</v>
      </c>
      <c r="J1102" s="34">
        <v>0.23809999999999998</v>
      </c>
      <c r="K1102" s="34">
        <f t="shared" si="34"/>
        <v>3097.6809999999996</v>
      </c>
      <c r="L1102" s="34">
        <v>3.03</v>
      </c>
      <c r="M1102" s="34">
        <v>39377.5</v>
      </c>
      <c r="N1102" s="34">
        <f t="shared" si="35"/>
        <v>12.725745485090298</v>
      </c>
    </row>
    <row r="1103" spans="1:14" x14ac:dyDescent="0.45">
      <c r="A1103" s="30">
        <v>2023</v>
      </c>
      <c r="B1103" s="30" t="s">
        <v>14</v>
      </c>
      <c r="C1103" s="30" t="s">
        <v>46</v>
      </c>
      <c r="D1103" s="30" t="s">
        <v>47</v>
      </c>
      <c r="E1103" s="31" t="s">
        <v>226</v>
      </c>
      <c r="F1103" s="32" t="s">
        <v>60</v>
      </c>
      <c r="G1103" s="32" t="s">
        <v>50</v>
      </c>
      <c r="H1103" s="33">
        <v>198910</v>
      </c>
      <c r="I1103" s="34">
        <f>Table3[[#This Row],[Volume, kg.]]/1000</f>
        <v>198.91</v>
      </c>
      <c r="J1103" s="34">
        <v>0.24429999999999999</v>
      </c>
      <c r="K1103" s="34">
        <f t="shared" si="34"/>
        <v>48593.712999999996</v>
      </c>
      <c r="L1103" s="34">
        <v>3.07</v>
      </c>
      <c r="M1103" s="34">
        <v>611640</v>
      </c>
      <c r="N1103" s="34">
        <f t="shared" si="35"/>
        <v>12.566516577977897</v>
      </c>
    </row>
    <row r="1104" spans="1:14" x14ac:dyDescent="0.45">
      <c r="A1104" s="30">
        <v>2023</v>
      </c>
      <c r="B1104" s="30" t="s">
        <v>14</v>
      </c>
      <c r="C1104" s="30" t="s">
        <v>46</v>
      </c>
      <c r="D1104" s="30" t="s">
        <v>47</v>
      </c>
      <c r="E1104" s="31" t="s">
        <v>219</v>
      </c>
      <c r="F1104" s="32" t="s">
        <v>57</v>
      </c>
      <c r="G1104" s="32" t="s">
        <v>50</v>
      </c>
      <c r="H1104" s="33">
        <v>10290</v>
      </c>
      <c r="I1104" s="34">
        <f>Table3[[#This Row],[Volume, kg.]]/1000</f>
        <v>10.29</v>
      </c>
      <c r="J1104" s="34">
        <v>0.19889999999999999</v>
      </c>
      <c r="K1104" s="34">
        <f t="shared" si="34"/>
        <v>2046.681</v>
      </c>
      <c r="L1104" s="34">
        <v>2.93</v>
      </c>
      <c r="M1104" s="34">
        <v>30177</v>
      </c>
      <c r="N1104" s="34">
        <f t="shared" si="35"/>
        <v>14.731020613373556</v>
      </c>
    </row>
    <row r="1105" spans="1:14" x14ac:dyDescent="0.45">
      <c r="A1105" s="30">
        <v>2023</v>
      </c>
      <c r="B1105" s="30" t="s">
        <v>14</v>
      </c>
      <c r="C1105" s="30" t="s">
        <v>46</v>
      </c>
      <c r="D1105" s="30" t="s">
        <v>47</v>
      </c>
      <c r="E1105" s="31" t="s">
        <v>182</v>
      </c>
      <c r="F1105" s="32" t="s">
        <v>81</v>
      </c>
      <c r="G1105" s="32" t="s">
        <v>50</v>
      </c>
      <c r="H1105" s="33">
        <v>249200</v>
      </c>
      <c r="I1105" s="34">
        <f>Table3[[#This Row],[Volume, kg.]]/1000</f>
        <v>249.2</v>
      </c>
      <c r="J1105" s="34">
        <v>0.2213</v>
      </c>
      <c r="K1105" s="34">
        <f t="shared" si="34"/>
        <v>55147.96</v>
      </c>
      <c r="L1105" s="34">
        <v>2.98</v>
      </c>
      <c r="M1105" s="34">
        <v>743311.5</v>
      </c>
      <c r="N1105" s="34">
        <f t="shared" si="35"/>
        <v>13.465883416177135</v>
      </c>
    </row>
    <row r="1106" spans="1:14" x14ac:dyDescent="0.45">
      <c r="A1106" s="30">
        <v>2023</v>
      </c>
      <c r="B1106" s="30" t="s">
        <v>14</v>
      </c>
      <c r="C1106" s="30" t="s">
        <v>46</v>
      </c>
      <c r="D1106" s="30" t="s">
        <v>47</v>
      </c>
      <c r="E1106" s="31" t="s">
        <v>442</v>
      </c>
      <c r="F1106" s="32" t="s">
        <v>81</v>
      </c>
      <c r="G1106" s="32" t="s">
        <v>50</v>
      </c>
      <c r="H1106" s="33">
        <v>20400</v>
      </c>
      <c r="I1106" s="34">
        <f>Table3[[#This Row],[Volume, kg.]]/1000</f>
        <v>20.399999999999999</v>
      </c>
      <c r="J1106" s="34">
        <v>0.24010000000000001</v>
      </c>
      <c r="K1106" s="34">
        <f t="shared" si="34"/>
        <v>4898.04</v>
      </c>
      <c r="L1106" s="34">
        <v>3.08</v>
      </c>
      <c r="M1106" s="34">
        <v>62836</v>
      </c>
      <c r="N1106" s="34">
        <f t="shared" si="35"/>
        <v>12.827988338192419</v>
      </c>
    </row>
    <row r="1107" spans="1:14" x14ac:dyDescent="0.45">
      <c r="A1107" s="30">
        <v>2023</v>
      </c>
      <c r="B1107" s="30" t="s">
        <v>14</v>
      </c>
      <c r="C1107" s="30" t="s">
        <v>46</v>
      </c>
      <c r="D1107" s="30" t="s">
        <v>47</v>
      </c>
      <c r="E1107" s="31" t="s">
        <v>195</v>
      </c>
      <c r="F1107" s="32" t="s">
        <v>57</v>
      </c>
      <c r="G1107" s="32" t="s">
        <v>50</v>
      </c>
      <c r="H1107" s="33">
        <v>21650</v>
      </c>
      <c r="I1107" s="34">
        <f>Table3[[#This Row],[Volume, kg.]]/1000</f>
        <v>21.65</v>
      </c>
      <c r="J1107" s="34">
        <v>0.21640000000000001</v>
      </c>
      <c r="K1107" s="34">
        <f t="shared" si="34"/>
        <v>4685.0600000000004</v>
      </c>
      <c r="L1107" s="34">
        <v>2.9</v>
      </c>
      <c r="M1107" s="34">
        <v>62717</v>
      </c>
      <c r="N1107" s="34">
        <f t="shared" si="35"/>
        <v>13.401109057301293</v>
      </c>
    </row>
    <row r="1108" spans="1:14" x14ac:dyDescent="0.45">
      <c r="A1108" s="30">
        <v>2023</v>
      </c>
      <c r="B1108" s="30" t="s">
        <v>14</v>
      </c>
      <c r="C1108" s="30" t="s">
        <v>46</v>
      </c>
      <c r="D1108" s="30" t="s">
        <v>47</v>
      </c>
      <c r="E1108" s="31" t="s">
        <v>73</v>
      </c>
      <c r="F1108" s="32" t="s">
        <v>49</v>
      </c>
      <c r="G1108" s="32" t="s">
        <v>50</v>
      </c>
      <c r="H1108" s="33">
        <v>29360</v>
      </c>
      <c r="I1108" s="34">
        <f>Table3[[#This Row],[Volume, kg.]]/1000</f>
        <v>29.36</v>
      </c>
      <c r="J1108" s="34">
        <v>0.22239999999999999</v>
      </c>
      <c r="K1108" s="34">
        <f t="shared" si="34"/>
        <v>6529.6639999999998</v>
      </c>
      <c r="L1108" s="34">
        <v>2.93</v>
      </c>
      <c r="M1108" s="34">
        <v>86055</v>
      </c>
      <c r="N1108" s="34">
        <f t="shared" si="35"/>
        <v>13.174460431654678</v>
      </c>
    </row>
    <row r="1109" spans="1:14" x14ac:dyDescent="0.45">
      <c r="A1109" s="30">
        <v>2023</v>
      </c>
      <c r="B1109" s="30" t="s">
        <v>14</v>
      </c>
      <c r="C1109" s="30" t="s">
        <v>46</v>
      </c>
      <c r="D1109" s="30" t="s">
        <v>47</v>
      </c>
      <c r="E1109" s="31" t="s">
        <v>82</v>
      </c>
      <c r="F1109" s="32" t="s">
        <v>57</v>
      </c>
      <c r="G1109" s="32" t="s">
        <v>50</v>
      </c>
      <c r="H1109" s="33">
        <v>8970</v>
      </c>
      <c r="I1109" s="34">
        <f>Table3[[#This Row],[Volume, kg.]]/1000</f>
        <v>8.9700000000000006</v>
      </c>
      <c r="J1109" s="34">
        <v>0.21299999999999999</v>
      </c>
      <c r="K1109" s="34">
        <f t="shared" si="34"/>
        <v>1910.61</v>
      </c>
      <c r="L1109" s="34">
        <v>2.83</v>
      </c>
      <c r="M1109" s="34">
        <v>25342.5</v>
      </c>
      <c r="N1109" s="34">
        <f t="shared" si="35"/>
        <v>13.286384976525822</v>
      </c>
    </row>
    <row r="1110" spans="1:14" x14ac:dyDescent="0.45">
      <c r="A1110" s="30">
        <v>2023</v>
      </c>
      <c r="B1110" s="30" t="s">
        <v>14</v>
      </c>
      <c r="C1110" s="30" t="s">
        <v>46</v>
      </c>
      <c r="D1110" s="30" t="s">
        <v>47</v>
      </c>
      <c r="E1110" s="31" t="s">
        <v>65</v>
      </c>
      <c r="F1110" s="32" t="s">
        <v>49</v>
      </c>
      <c r="G1110" s="32" t="s">
        <v>50</v>
      </c>
      <c r="H1110" s="33">
        <v>118300</v>
      </c>
      <c r="I1110" s="34">
        <f>Table3[[#This Row],[Volume, kg.]]/1000</f>
        <v>118.3</v>
      </c>
      <c r="J1110" s="34">
        <v>0.22850000000000001</v>
      </c>
      <c r="K1110" s="34">
        <f t="shared" si="34"/>
        <v>27031.55</v>
      </c>
      <c r="L1110" s="34">
        <v>3.02</v>
      </c>
      <c r="M1110" s="34">
        <v>356947</v>
      </c>
      <c r="N1110" s="34">
        <f t="shared" si="35"/>
        <v>13.216630196936542</v>
      </c>
    </row>
    <row r="1111" spans="1:14" x14ac:dyDescent="0.45">
      <c r="A1111" s="30">
        <v>2023</v>
      </c>
      <c r="B1111" s="30" t="s">
        <v>14</v>
      </c>
      <c r="C1111" s="30" t="s">
        <v>46</v>
      </c>
      <c r="D1111" s="30" t="s">
        <v>47</v>
      </c>
      <c r="E1111" s="31" t="s">
        <v>245</v>
      </c>
      <c r="F1111" s="32" t="s">
        <v>57</v>
      </c>
      <c r="G1111" s="32" t="s">
        <v>50</v>
      </c>
      <c r="H1111" s="33">
        <v>99720</v>
      </c>
      <c r="I1111" s="34">
        <f>Table3[[#This Row],[Volume, kg.]]/1000</f>
        <v>99.72</v>
      </c>
      <c r="J1111" s="34">
        <v>0.22210000000000002</v>
      </c>
      <c r="K1111" s="34">
        <f t="shared" si="34"/>
        <v>22147.812000000002</v>
      </c>
      <c r="L1111" s="34">
        <v>2.97</v>
      </c>
      <c r="M1111" s="34">
        <v>295906</v>
      </c>
      <c r="N1111" s="34">
        <f t="shared" si="35"/>
        <v>13.372354795137325</v>
      </c>
    </row>
    <row r="1112" spans="1:14" x14ac:dyDescent="0.45">
      <c r="A1112" s="30">
        <v>2023</v>
      </c>
      <c r="B1112" s="30" t="s">
        <v>14</v>
      </c>
      <c r="C1112" s="30" t="s">
        <v>46</v>
      </c>
      <c r="D1112" s="30" t="s">
        <v>47</v>
      </c>
      <c r="E1112" s="31" t="s">
        <v>303</v>
      </c>
      <c r="F1112" s="32" t="s">
        <v>57</v>
      </c>
      <c r="G1112" s="32" t="s">
        <v>50</v>
      </c>
      <c r="H1112" s="33">
        <v>27520</v>
      </c>
      <c r="I1112" s="34">
        <f>Table3[[#This Row],[Volume, kg.]]/1000</f>
        <v>27.52</v>
      </c>
      <c r="J1112" s="34">
        <v>0.22640000000000002</v>
      </c>
      <c r="K1112" s="34">
        <f t="shared" si="34"/>
        <v>6230.5280000000002</v>
      </c>
      <c r="L1112" s="34">
        <v>2.91</v>
      </c>
      <c r="M1112" s="34">
        <v>80021</v>
      </c>
      <c r="N1112" s="34">
        <f t="shared" si="35"/>
        <v>12.853356890459363</v>
      </c>
    </row>
    <row r="1113" spans="1:14" x14ac:dyDescent="0.45">
      <c r="A1113" s="30">
        <v>2023</v>
      </c>
      <c r="B1113" s="30" t="s">
        <v>14</v>
      </c>
      <c r="C1113" s="30" t="s">
        <v>46</v>
      </c>
      <c r="D1113" s="30" t="s">
        <v>47</v>
      </c>
      <c r="E1113" s="31" t="s">
        <v>163</v>
      </c>
      <c r="F1113" s="32" t="s">
        <v>60</v>
      </c>
      <c r="G1113" s="32" t="s">
        <v>50</v>
      </c>
      <c r="H1113" s="33">
        <v>316720</v>
      </c>
      <c r="I1113" s="34">
        <f>Table3[[#This Row],[Volume, kg.]]/1000</f>
        <v>316.72000000000003</v>
      </c>
      <c r="J1113" s="34">
        <v>0.24640000000000001</v>
      </c>
      <c r="K1113" s="34">
        <f t="shared" si="34"/>
        <v>78039.808000000005</v>
      </c>
      <c r="L1113" s="34">
        <v>3.08</v>
      </c>
      <c r="M1113" s="34">
        <v>976154</v>
      </c>
      <c r="N1113" s="34">
        <f t="shared" si="35"/>
        <v>12.5</v>
      </c>
    </row>
    <row r="1114" spans="1:14" x14ac:dyDescent="0.45">
      <c r="A1114" s="30">
        <v>2023</v>
      </c>
      <c r="B1114" s="30" t="s">
        <v>14</v>
      </c>
      <c r="C1114" s="30" t="s">
        <v>46</v>
      </c>
      <c r="D1114" s="30" t="s">
        <v>47</v>
      </c>
      <c r="E1114" s="31" t="s">
        <v>229</v>
      </c>
      <c r="F1114" s="32" t="s">
        <v>57</v>
      </c>
      <c r="G1114" s="32" t="s">
        <v>50</v>
      </c>
      <c r="H1114" s="33">
        <v>2710</v>
      </c>
      <c r="I1114" s="34">
        <f>Table3[[#This Row],[Volume, kg.]]/1000</f>
        <v>2.71</v>
      </c>
      <c r="J1114" s="34">
        <v>0.20399999999999999</v>
      </c>
      <c r="K1114" s="34">
        <f t="shared" si="34"/>
        <v>552.83999999999992</v>
      </c>
      <c r="L1114" s="34">
        <v>2.85</v>
      </c>
      <c r="M1114" s="34">
        <v>7723.5</v>
      </c>
      <c r="N1114" s="34">
        <f t="shared" si="35"/>
        <v>13.97058823529412</v>
      </c>
    </row>
    <row r="1115" spans="1:14" x14ac:dyDescent="0.45">
      <c r="A1115" s="30">
        <v>2023</v>
      </c>
      <c r="B1115" s="30" t="s">
        <v>14</v>
      </c>
      <c r="C1115" s="30" t="s">
        <v>46</v>
      </c>
      <c r="D1115" s="30" t="s">
        <v>47</v>
      </c>
      <c r="E1115" s="31" t="s">
        <v>156</v>
      </c>
      <c r="F1115" s="32" t="s">
        <v>49</v>
      </c>
      <c r="G1115" s="32" t="s">
        <v>50</v>
      </c>
      <c r="H1115" s="33">
        <v>28300</v>
      </c>
      <c r="I1115" s="34">
        <f>Table3[[#This Row],[Volume, kg.]]/1000</f>
        <v>28.3</v>
      </c>
      <c r="J1115" s="34">
        <v>0.22739999999999999</v>
      </c>
      <c r="K1115" s="34">
        <f t="shared" si="34"/>
        <v>6435.42</v>
      </c>
      <c r="L1115" s="34">
        <v>3.04</v>
      </c>
      <c r="M1115" s="34">
        <v>86049</v>
      </c>
      <c r="N1115" s="34">
        <f t="shared" si="35"/>
        <v>13.368513632365875</v>
      </c>
    </row>
    <row r="1116" spans="1:14" x14ac:dyDescent="0.45">
      <c r="A1116" s="30">
        <v>2023</v>
      </c>
      <c r="B1116" s="30" t="s">
        <v>14</v>
      </c>
      <c r="C1116" s="30" t="s">
        <v>46</v>
      </c>
      <c r="D1116" s="30" t="s">
        <v>47</v>
      </c>
      <c r="E1116" s="31" t="s">
        <v>170</v>
      </c>
      <c r="F1116" s="32" t="s">
        <v>49</v>
      </c>
      <c r="G1116" s="32" t="s">
        <v>50</v>
      </c>
      <c r="H1116" s="33">
        <v>40700</v>
      </c>
      <c r="I1116" s="34">
        <f>Table3[[#This Row],[Volume, kg.]]/1000</f>
        <v>40.700000000000003</v>
      </c>
      <c r="J1116" s="34">
        <v>0.23089999999999999</v>
      </c>
      <c r="K1116" s="34">
        <f t="shared" si="34"/>
        <v>9397.6299999999992</v>
      </c>
      <c r="L1116" s="34">
        <v>3.04</v>
      </c>
      <c r="M1116" s="34">
        <v>123675</v>
      </c>
      <c r="N1116" s="34">
        <f t="shared" si="35"/>
        <v>13.165872672152448</v>
      </c>
    </row>
    <row r="1117" spans="1:14" x14ac:dyDescent="0.45">
      <c r="A1117" s="30">
        <v>2023</v>
      </c>
      <c r="B1117" s="30" t="s">
        <v>14</v>
      </c>
      <c r="C1117" s="30" t="s">
        <v>46</v>
      </c>
      <c r="D1117" s="30" t="s">
        <v>47</v>
      </c>
      <c r="E1117" s="31" t="s">
        <v>320</v>
      </c>
      <c r="F1117" s="32" t="s">
        <v>49</v>
      </c>
      <c r="G1117" s="32" t="s">
        <v>50</v>
      </c>
      <c r="H1117" s="33">
        <v>20390</v>
      </c>
      <c r="I1117" s="34">
        <f>Table3[[#This Row],[Volume, kg.]]/1000</f>
        <v>20.39</v>
      </c>
      <c r="J1117" s="34">
        <v>0.20620000000000002</v>
      </c>
      <c r="K1117" s="34">
        <f t="shared" si="34"/>
        <v>4204.4180000000006</v>
      </c>
      <c r="L1117" s="34">
        <v>2.86</v>
      </c>
      <c r="M1117" s="34">
        <v>58413.5</v>
      </c>
      <c r="N1117" s="34">
        <f t="shared" si="35"/>
        <v>13.87002909796314</v>
      </c>
    </row>
    <row r="1118" spans="1:14" x14ac:dyDescent="0.45">
      <c r="A1118" s="30">
        <v>2023</v>
      </c>
      <c r="B1118" s="30" t="s">
        <v>14</v>
      </c>
      <c r="C1118" s="30" t="s">
        <v>46</v>
      </c>
      <c r="D1118" s="30" t="s">
        <v>47</v>
      </c>
      <c r="E1118" s="31" t="s">
        <v>300</v>
      </c>
      <c r="F1118" s="32" t="s">
        <v>57</v>
      </c>
      <c r="G1118" s="32" t="s">
        <v>50</v>
      </c>
      <c r="H1118" s="33">
        <v>3920</v>
      </c>
      <c r="I1118" s="34">
        <f>Table3[[#This Row],[Volume, kg.]]/1000</f>
        <v>3.92</v>
      </c>
      <c r="J1118" s="34">
        <v>0.21100000000000002</v>
      </c>
      <c r="K1118" s="34">
        <f t="shared" si="34"/>
        <v>827.12000000000012</v>
      </c>
      <c r="L1118" s="34">
        <v>3</v>
      </c>
      <c r="M1118" s="34">
        <v>11760</v>
      </c>
      <c r="N1118" s="34">
        <f t="shared" si="35"/>
        <v>14.218009478672984</v>
      </c>
    </row>
    <row r="1119" spans="1:14" x14ac:dyDescent="0.45">
      <c r="A1119" s="30">
        <v>2023</v>
      </c>
      <c r="B1119" s="30" t="s">
        <v>14</v>
      </c>
      <c r="C1119" s="30" t="s">
        <v>46</v>
      </c>
      <c r="D1119" s="30" t="s">
        <v>47</v>
      </c>
      <c r="E1119" s="31" t="s">
        <v>494</v>
      </c>
      <c r="F1119" s="32" t="s">
        <v>49</v>
      </c>
      <c r="G1119" s="32" t="s">
        <v>50</v>
      </c>
      <c r="H1119" s="33">
        <v>13240</v>
      </c>
      <c r="I1119" s="34">
        <f>Table3[[#This Row],[Volume, kg.]]/1000</f>
        <v>13.24</v>
      </c>
      <c r="J1119" s="34">
        <v>0.23149999999999998</v>
      </c>
      <c r="K1119" s="34">
        <f t="shared" si="34"/>
        <v>3065.06</v>
      </c>
      <c r="L1119" s="34">
        <v>3</v>
      </c>
      <c r="M1119" s="34">
        <v>39720</v>
      </c>
      <c r="N1119" s="34">
        <f t="shared" si="35"/>
        <v>12.958963282937367</v>
      </c>
    </row>
    <row r="1120" spans="1:14" x14ac:dyDescent="0.45">
      <c r="A1120" s="30">
        <v>2023</v>
      </c>
      <c r="B1120" s="30" t="s">
        <v>14</v>
      </c>
      <c r="C1120" s="30" t="s">
        <v>46</v>
      </c>
      <c r="D1120" s="30" t="s">
        <v>47</v>
      </c>
      <c r="E1120" s="31" t="s">
        <v>302</v>
      </c>
      <c r="F1120" s="32" t="s">
        <v>49</v>
      </c>
      <c r="G1120" s="32" t="s">
        <v>50</v>
      </c>
      <c r="H1120" s="33">
        <v>40360</v>
      </c>
      <c r="I1120" s="34">
        <f>Table3[[#This Row],[Volume, kg.]]/1000</f>
        <v>40.36</v>
      </c>
      <c r="J1120" s="34">
        <v>0.21440000000000001</v>
      </c>
      <c r="K1120" s="34">
        <f t="shared" si="34"/>
        <v>8653.1840000000011</v>
      </c>
      <c r="L1120" s="34">
        <v>2.9</v>
      </c>
      <c r="M1120" s="34">
        <v>117138.5</v>
      </c>
      <c r="N1120" s="34">
        <f t="shared" si="35"/>
        <v>13.526119402985074</v>
      </c>
    </row>
    <row r="1121" spans="1:14" x14ac:dyDescent="0.45">
      <c r="A1121" s="30">
        <v>2023</v>
      </c>
      <c r="B1121" s="30" t="s">
        <v>14</v>
      </c>
      <c r="C1121" s="30" t="s">
        <v>46</v>
      </c>
      <c r="D1121" s="30" t="s">
        <v>47</v>
      </c>
      <c r="E1121" s="31" t="s">
        <v>301</v>
      </c>
      <c r="F1121" s="32" t="s">
        <v>60</v>
      </c>
      <c r="G1121" s="32" t="s">
        <v>50</v>
      </c>
      <c r="H1121" s="33">
        <v>163850</v>
      </c>
      <c r="I1121" s="34">
        <f>Table3[[#This Row],[Volume, kg.]]/1000</f>
        <v>163.85</v>
      </c>
      <c r="J1121" s="34">
        <v>0.24760000000000001</v>
      </c>
      <c r="K1121" s="34">
        <f t="shared" si="34"/>
        <v>40569.26</v>
      </c>
      <c r="L1121" s="34">
        <v>3.07</v>
      </c>
      <c r="M1121" s="34">
        <v>503653.5</v>
      </c>
      <c r="N1121" s="34">
        <f t="shared" si="35"/>
        <v>12.39903069466882</v>
      </c>
    </row>
    <row r="1122" spans="1:14" x14ac:dyDescent="0.45">
      <c r="A1122" s="30">
        <v>2023</v>
      </c>
      <c r="B1122" s="30" t="s">
        <v>14</v>
      </c>
      <c r="C1122" s="30" t="s">
        <v>46</v>
      </c>
      <c r="D1122" s="30" t="s">
        <v>47</v>
      </c>
      <c r="E1122" s="31" t="s">
        <v>325</v>
      </c>
      <c r="F1122" s="32" t="s">
        <v>60</v>
      </c>
      <c r="G1122" s="32" t="s">
        <v>50</v>
      </c>
      <c r="H1122" s="33">
        <v>63310</v>
      </c>
      <c r="I1122" s="34">
        <f>Table3[[#This Row],[Volume, kg.]]/1000</f>
        <v>63.31</v>
      </c>
      <c r="J1122" s="34">
        <v>0.2477</v>
      </c>
      <c r="K1122" s="34">
        <f t="shared" si="34"/>
        <v>15681.887000000001</v>
      </c>
      <c r="L1122" s="34">
        <v>3.1</v>
      </c>
      <c r="M1122" s="34">
        <v>196300.5</v>
      </c>
      <c r="N1122" s="34">
        <f t="shared" si="35"/>
        <v>12.515139281388777</v>
      </c>
    </row>
    <row r="1123" spans="1:14" x14ac:dyDescent="0.45">
      <c r="A1123" s="30">
        <v>2023</v>
      </c>
      <c r="B1123" s="30" t="s">
        <v>14</v>
      </c>
      <c r="C1123" s="30" t="s">
        <v>46</v>
      </c>
      <c r="D1123" s="30" t="s">
        <v>47</v>
      </c>
      <c r="E1123" s="31" t="s">
        <v>51</v>
      </c>
      <c r="F1123" s="32" t="s">
        <v>49</v>
      </c>
      <c r="G1123" s="32" t="s">
        <v>50</v>
      </c>
      <c r="H1123" s="33">
        <v>75250</v>
      </c>
      <c r="I1123" s="34">
        <f>Table3[[#This Row],[Volume, kg.]]/1000</f>
        <v>75.25</v>
      </c>
      <c r="J1123" s="34">
        <v>0.22769999999999999</v>
      </c>
      <c r="K1123" s="34">
        <f t="shared" si="34"/>
        <v>17134.424999999999</v>
      </c>
      <c r="L1123" s="34">
        <v>3.04</v>
      </c>
      <c r="M1123" s="34">
        <v>228614</v>
      </c>
      <c r="N1123" s="34">
        <f t="shared" si="35"/>
        <v>13.350900307422048</v>
      </c>
    </row>
    <row r="1124" spans="1:14" x14ac:dyDescent="0.45">
      <c r="A1124" s="30">
        <v>2023</v>
      </c>
      <c r="B1124" s="30" t="s">
        <v>14</v>
      </c>
      <c r="C1124" s="30" t="s">
        <v>46</v>
      </c>
      <c r="D1124" s="30" t="s">
        <v>47</v>
      </c>
      <c r="E1124" s="31" t="s">
        <v>179</v>
      </c>
      <c r="F1124" s="32" t="s">
        <v>60</v>
      </c>
      <c r="G1124" s="32" t="s">
        <v>50</v>
      </c>
      <c r="H1124" s="33">
        <v>52710</v>
      </c>
      <c r="I1124" s="34">
        <f>Table3[[#This Row],[Volume, kg.]]/1000</f>
        <v>52.71</v>
      </c>
      <c r="J1124" s="34">
        <v>0.25319999999999998</v>
      </c>
      <c r="K1124" s="34">
        <f t="shared" si="34"/>
        <v>13346.171999999999</v>
      </c>
      <c r="L1124" s="34">
        <v>3.14</v>
      </c>
      <c r="M1124" s="34">
        <v>165532.5</v>
      </c>
      <c r="N1124" s="34">
        <f t="shared" si="35"/>
        <v>12.401263823064772</v>
      </c>
    </row>
    <row r="1125" spans="1:14" x14ac:dyDescent="0.45">
      <c r="A1125" s="30">
        <v>2023</v>
      </c>
      <c r="B1125" s="30" t="s">
        <v>14</v>
      </c>
      <c r="C1125" s="30" t="s">
        <v>46</v>
      </c>
      <c r="D1125" s="30" t="s">
        <v>47</v>
      </c>
      <c r="E1125" s="31" t="s">
        <v>463</v>
      </c>
      <c r="F1125" s="32" t="s">
        <v>49</v>
      </c>
      <c r="G1125" s="32" t="s">
        <v>50</v>
      </c>
      <c r="H1125" s="33">
        <v>2790</v>
      </c>
      <c r="I1125" s="34">
        <f>Table3[[#This Row],[Volume, kg.]]/1000</f>
        <v>2.79</v>
      </c>
      <c r="J1125" s="34">
        <v>0.13849999999999998</v>
      </c>
      <c r="K1125" s="34">
        <f t="shared" si="34"/>
        <v>386.41499999999996</v>
      </c>
      <c r="L1125" s="34">
        <v>2.6</v>
      </c>
      <c r="M1125" s="34">
        <v>7254</v>
      </c>
      <c r="N1125" s="34">
        <f t="shared" si="35"/>
        <v>18.772563176895311</v>
      </c>
    </row>
    <row r="1126" spans="1:14" x14ac:dyDescent="0.45">
      <c r="A1126" s="30">
        <v>2023</v>
      </c>
      <c r="B1126" s="30" t="s">
        <v>14</v>
      </c>
      <c r="C1126" s="30" t="s">
        <v>46</v>
      </c>
      <c r="D1126" s="30" t="s">
        <v>47</v>
      </c>
      <c r="E1126" s="31" t="s">
        <v>258</v>
      </c>
      <c r="F1126" s="32" t="s">
        <v>49</v>
      </c>
      <c r="G1126" s="32" t="s">
        <v>50</v>
      </c>
      <c r="H1126" s="33">
        <v>1627780</v>
      </c>
      <c r="I1126" s="34">
        <f>Table3[[#This Row],[Volume, kg.]]/1000</f>
        <v>1627.78</v>
      </c>
      <c r="J1126" s="34">
        <v>0.21969999999999998</v>
      </c>
      <c r="K1126" s="34">
        <f t="shared" si="34"/>
        <v>357623.26599999995</v>
      </c>
      <c r="L1126" s="34">
        <v>2.95</v>
      </c>
      <c r="M1126" s="34">
        <v>4808284</v>
      </c>
      <c r="N1126" s="34">
        <f t="shared" si="35"/>
        <v>13.427401001365501</v>
      </c>
    </row>
    <row r="1127" spans="1:14" x14ac:dyDescent="0.45">
      <c r="A1127" s="30">
        <v>2023</v>
      </c>
      <c r="B1127" s="30" t="s">
        <v>14</v>
      </c>
      <c r="C1127" s="30" t="s">
        <v>46</v>
      </c>
      <c r="D1127" s="30" t="s">
        <v>47</v>
      </c>
      <c r="E1127" s="31" t="s">
        <v>375</v>
      </c>
      <c r="F1127" s="32" t="s">
        <v>49</v>
      </c>
      <c r="G1127" s="32" t="s">
        <v>50</v>
      </c>
      <c r="H1127" s="33">
        <v>67840</v>
      </c>
      <c r="I1127" s="34">
        <f>Table3[[#This Row],[Volume, kg.]]/1000</f>
        <v>67.84</v>
      </c>
      <c r="J1127" s="34">
        <v>0.2278</v>
      </c>
      <c r="K1127" s="34">
        <f t="shared" si="34"/>
        <v>15453.951999999999</v>
      </c>
      <c r="L1127" s="34">
        <v>3.01</v>
      </c>
      <c r="M1127" s="34">
        <v>204471.5</v>
      </c>
      <c r="N1127" s="34">
        <f t="shared" si="35"/>
        <v>13.21334503950834</v>
      </c>
    </row>
    <row r="1128" spans="1:14" x14ac:dyDescent="0.45">
      <c r="A1128" s="30">
        <v>2023</v>
      </c>
      <c r="B1128" s="30" t="s">
        <v>14</v>
      </c>
      <c r="C1128" s="30" t="s">
        <v>46</v>
      </c>
      <c r="D1128" s="30" t="s">
        <v>47</v>
      </c>
      <c r="E1128" s="31" t="s">
        <v>363</v>
      </c>
      <c r="F1128" s="32" t="s">
        <v>60</v>
      </c>
      <c r="G1128" s="32" t="s">
        <v>50</v>
      </c>
      <c r="H1128" s="33">
        <v>78950</v>
      </c>
      <c r="I1128" s="34">
        <f>Table3[[#This Row],[Volume, kg.]]/1000</f>
        <v>78.95</v>
      </c>
      <c r="J1128" s="34">
        <v>0.245</v>
      </c>
      <c r="K1128" s="34">
        <f t="shared" si="34"/>
        <v>19342.75</v>
      </c>
      <c r="L1128" s="34">
        <v>3.07</v>
      </c>
      <c r="M1128" s="34">
        <v>242053</v>
      </c>
      <c r="N1128" s="34">
        <f t="shared" si="35"/>
        <v>12.530612244897959</v>
      </c>
    </row>
    <row r="1129" spans="1:14" x14ac:dyDescent="0.45">
      <c r="A1129" s="30">
        <v>2023</v>
      </c>
      <c r="B1129" s="30" t="s">
        <v>14</v>
      </c>
      <c r="C1129" s="30" t="s">
        <v>46</v>
      </c>
      <c r="D1129" s="30" t="s">
        <v>47</v>
      </c>
      <c r="E1129" s="31" t="s">
        <v>231</v>
      </c>
      <c r="F1129" s="32" t="s">
        <v>49</v>
      </c>
      <c r="G1129" s="32" t="s">
        <v>50</v>
      </c>
      <c r="H1129" s="33">
        <v>70300</v>
      </c>
      <c r="I1129" s="34">
        <f>Table3[[#This Row],[Volume, kg.]]/1000</f>
        <v>70.3</v>
      </c>
      <c r="J1129" s="34">
        <v>0.24590000000000001</v>
      </c>
      <c r="K1129" s="34">
        <f t="shared" si="34"/>
        <v>17286.77</v>
      </c>
      <c r="L1129" s="34">
        <v>3.1</v>
      </c>
      <c r="M1129" s="34">
        <v>217859.5</v>
      </c>
      <c r="N1129" s="34">
        <f t="shared" si="35"/>
        <v>12.606750711671411</v>
      </c>
    </row>
    <row r="1130" spans="1:14" x14ac:dyDescent="0.45">
      <c r="A1130" s="30">
        <v>2023</v>
      </c>
      <c r="B1130" s="30" t="s">
        <v>14</v>
      </c>
      <c r="C1130" s="30" t="s">
        <v>46</v>
      </c>
      <c r="D1130" s="30" t="s">
        <v>47</v>
      </c>
      <c r="E1130" s="31" t="s">
        <v>166</v>
      </c>
      <c r="F1130" s="32" t="s">
        <v>49</v>
      </c>
      <c r="G1130" s="32" t="s">
        <v>50</v>
      </c>
      <c r="H1130" s="33">
        <v>174940</v>
      </c>
      <c r="I1130" s="34">
        <f>Table3[[#This Row],[Volume, kg.]]/1000</f>
        <v>174.94</v>
      </c>
      <c r="J1130" s="34">
        <v>0.21429999999999999</v>
      </c>
      <c r="K1130" s="34">
        <f t="shared" si="34"/>
        <v>37489.642</v>
      </c>
      <c r="L1130" s="34">
        <v>2.92</v>
      </c>
      <c r="M1130" s="34">
        <v>510827</v>
      </c>
      <c r="N1130" s="34">
        <f t="shared" si="35"/>
        <v>13.625758282781149</v>
      </c>
    </row>
    <row r="1131" spans="1:14" x14ac:dyDescent="0.45">
      <c r="A1131" s="30">
        <v>2023</v>
      </c>
      <c r="B1131" s="30" t="s">
        <v>14</v>
      </c>
      <c r="C1131" s="30" t="s">
        <v>46</v>
      </c>
      <c r="D1131" s="30" t="s">
        <v>47</v>
      </c>
      <c r="E1131" s="31" t="s">
        <v>293</v>
      </c>
      <c r="F1131" s="32" t="s">
        <v>60</v>
      </c>
      <c r="G1131" s="32" t="s">
        <v>50</v>
      </c>
      <c r="H1131" s="33">
        <v>214790</v>
      </c>
      <c r="I1131" s="34">
        <f>Table3[[#This Row],[Volume, kg.]]/1000</f>
        <v>214.79</v>
      </c>
      <c r="J1131" s="34">
        <v>0.24710000000000001</v>
      </c>
      <c r="K1131" s="34">
        <f t="shared" si="34"/>
        <v>53074.609000000004</v>
      </c>
      <c r="L1131" s="34">
        <v>3.09</v>
      </c>
      <c r="M1131" s="34">
        <v>663648</v>
      </c>
      <c r="N1131" s="34">
        <f t="shared" si="35"/>
        <v>12.505058680696074</v>
      </c>
    </row>
    <row r="1132" spans="1:14" x14ac:dyDescent="0.45">
      <c r="A1132" s="30">
        <v>2023</v>
      </c>
      <c r="B1132" s="30" t="s">
        <v>14</v>
      </c>
      <c r="C1132" s="30" t="s">
        <v>46</v>
      </c>
      <c r="D1132" s="30" t="s">
        <v>47</v>
      </c>
      <c r="E1132" s="31" t="s">
        <v>242</v>
      </c>
      <c r="F1132" s="32" t="s">
        <v>60</v>
      </c>
      <c r="G1132" s="32" t="s">
        <v>50</v>
      </c>
      <c r="H1132" s="33">
        <v>99800</v>
      </c>
      <c r="I1132" s="34">
        <f>Table3[[#This Row],[Volume, kg.]]/1000</f>
        <v>99.8</v>
      </c>
      <c r="J1132" s="34">
        <v>0.2545</v>
      </c>
      <c r="K1132" s="34">
        <f t="shared" si="34"/>
        <v>25399.100000000002</v>
      </c>
      <c r="L1132" s="34">
        <v>3.13</v>
      </c>
      <c r="M1132" s="34">
        <v>312471.5</v>
      </c>
      <c r="N1132" s="34">
        <f t="shared" si="35"/>
        <v>12.298624754420432</v>
      </c>
    </row>
    <row r="1133" spans="1:14" x14ac:dyDescent="0.45">
      <c r="A1133" s="30">
        <v>2023</v>
      </c>
      <c r="B1133" s="30" t="s">
        <v>14</v>
      </c>
      <c r="C1133" s="30" t="s">
        <v>46</v>
      </c>
      <c r="D1133" s="30" t="s">
        <v>47</v>
      </c>
      <c r="E1133" s="31" t="s">
        <v>384</v>
      </c>
      <c r="F1133" s="32" t="s">
        <v>60</v>
      </c>
      <c r="G1133" s="32" t="s">
        <v>50</v>
      </c>
      <c r="H1133" s="33">
        <v>28390</v>
      </c>
      <c r="I1133" s="34">
        <f>Table3[[#This Row],[Volume, kg.]]/1000</f>
        <v>28.39</v>
      </c>
      <c r="J1133" s="34">
        <v>0.248</v>
      </c>
      <c r="K1133" s="34">
        <f t="shared" si="34"/>
        <v>7040.72</v>
      </c>
      <c r="L1133" s="34">
        <v>3.12</v>
      </c>
      <c r="M1133" s="34">
        <v>88563</v>
      </c>
      <c r="N1133" s="34">
        <f t="shared" si="35"/>
        <v>12.580645161290324</v>
      </c>
    </row>
    <row r="1134" spans="1:14" x14ac:dyDescent="0.45">
      <c r="A1134" s="30">
        <v>2023</v>
      </c>
      <c r="B1134" s="30" t="s">
        <v>14</v>
      </c>
      <c r="C1134" s="30" t="s">
        <v>46</v>
      </c>
      <c r="D1134" s="30" t="s">
        <v>47</v>
      </c>
      <c r="E1134" s="31" t="s">
        <v>244</v>
      </c>
      <c r="F1134" s="32" t="s">
        <v>60</v>
      </c>
      <c r="G1134" s="32" t="s">
        <v>50</v>
      </c>
      <c r="H1134" s="33">
        <v>90450</v>
      </c>
      <c r="I1134" s="34">
        <f>Table3[[#This Row],[Volume, kg.]]/1000</f>
        <v>90.45</v>
      </c>
      <c r="J1134" s="34">
        <v>0.23050000000000001</v>
      </c>
      <c r="K1134" s="34">
        <f t="shared" si="34"/>
        <v>20848.725000000002</v>
      </c>
      <c r="L1134" s="34">
        <v>3.03</v>
      </c>
      <c r="M1134" s="34">
        <v>273971</v>
      </c>
      <c r="N1134" s="34">
        <f t="shared" si="35"/>
        <v>13.145336225596528</v>
      </c>
    </row>
    <row r="1135" spans="1:14" x14ac:dyDescent="0.45">
      <c r="A1135" s="30">
        <v>2023</v>
      </c>
      <c r="B1135" s="30" t="s">
        <v>14</v>
      </c>
      <c r="C1135" s="30" t="s">
        <v>46</v>
      </c>
      <c r="D1135" s="30" t="s">
        <v>47</v>
      </c>
      <c r="E1135" s="31" t="s">
        <v>256</v>
      </c>
      <c r="F1135" s="32" t="s">
        <v>81</v>
      </c>
      <c r="G1135" s="32" t="s">
        <v>50</v>
      </c>
      <c r="H1135" s="33">
        <v>116350</v>
      </c>
      <c r="I1135" s="34">
        <f>Table3[[#This Row],[Volume, kg.]]/1000</f>
        <v>116.35</v>
      </c>
      <c r="J1135" s="34">
        <v>0.23079999999999998</v>
      </c>
      <c r="K1135" s="34">
        <f t="shared" si="34"/>
        <v>26853.579999999998</v>
      </c>
      <c r="L1135" s="34">
        <v>3.01</v>
      </c>
      <c r="M1135" s="34">
        <v>350304</v>
      </c>
      <c r="N1135" s="34">
        <f t="shared" si="35"/>
        <v>13.04159445407279</v>
      </c>
    </row>
    <row r="1136" spans="1:14" x14ac:dyDescent="0.45">
      <c r="A1136" s="30">
        <v>2023</v>
      </c>
      <c r="B1136" s="30" t="s">
        <v>14</v>
      </c>
      <c r="C1136" s="30" t="s">
        <v>46</v>
      </c>
      <c r="D1136" s="30" t="s">
        <v>47</v>
      </c>
      <c r="E1136" s="31" t="s">
        <v>198</v>
      </c>
      <c r="F1136" s="32" t="s">
        <v>49</v>
      </c>
      <c r="G1136" s="32" t="s">
        <v>50</v>
      </c>
      <c r="H1136" s="33">
        <v>16320</v>
      </c>
      <c r="I1136" s="34">
        <f>Table3[[#This Row],[Volume, kg.]]/1000</f>
        <v>16.32</v>
      </c>
      <c r="J1136" s="34">
        <v>0.21239999999999998</v>
      </c>
      <c r="K1136" s="34">
        <f t="shared" si="34"/>
        <v>3466.3679999999995</v>
      </c>
      <c r="L1136" s="34">
        <v>2.92</v>
      </c>
      <c r="M1136" s="34">
        <v>47667.5</v>
      </c>
      <c r="N1136" s="34">
        <f t="shared" si="35"/>
        <v>13.747645951035782</v>
      </c>
    </row>
    <row r="1137" spans="1:14" x14ac:dyDescent="0.45">
      <c r="A1137" s="30">
        <v>2023</v>
      </c>
      <c r="B1137" s="30" t="s">
        <v>14</v>
      </c>
      <c r="C1137" s="30" t="s">
        <v>46</v>
      </c>
      <c r="D1137" s="30" t="s">
        <v>47</v>
      </c>
      <c r="E1137" s="31" t="s">
        <v>380</v>
      </c>
      <c r="F1137" s="32" t="s">
        <v>49</v>
      </c>
      <c r="G1137" s="32" t="s">
        <v>50</v>
      </c>
      <c r="H1137" s="33">
        <v>2970</v>
      </c>
      <c r="I1137" s="34">
        <f>Table3[[#This Row],[Volume, kg.]]/1000</f>
        <v>2.97</v>
      </c>
      <c r="J1137" s="34">
        <v>0.20600000000000002</v>
      </c>
      <c r="K1137" s="34">
        <f t="shared" si="34"/>
        <v>611.82000000000005</v>
      </c>
      <c r="L1137" s="34">
        <v>2.9</v>
      </c>
      <c r="M1137" s="34">
        <v>8613</v>
      </c>
      <c r="N1137" s="34">
        <f t="shared" si="35"/>
        <v>14.07766990291262</v>
      </c>
    </row>
    <row r="1138" spans="1:14" x14ac:dyDescent="0.45">
      <c r="A1138" s="30">
        <v>2023</v>
      </c>
      <c r="B1138" s="30" t="s">
        <v>14</v>
      </c>
      <c r="C1138" s="30" t="s">
        <v>46</v>
      </c>
      <c r="D1138" s="30" t="s">
        <v>47</v>
      </c>
      <c r="E1138" s="31" t="s">
        <v>379</v>
      </c>
      <c r="F1138" s="32" t="s">
        <v>49</v>
      </c>
      <c r="G1138" s="32" t="s">
        <v>50</v>
      </c>
      <c r="H1138" s="33">
        <v>21040</v>
      </c>
      <c r="I1138" s="34">
        <f>Table3[[#This Row],[Volume, kg.]]/1000</f>
        <v>21.04</v>
      </c>
      <c r="J1138" s="34">
        <v>0.23949999999999999</v>
      </c>
      <c r="K1138" s="34">
        <f t="shared" si="34"/>
        <v>5039.08</v>
      </c>
      <c r="L1138" s="34">
        <v>2.96</v>
      </c>
      <c r="M1138" s="34">
        <v>62228.5</v>
      </c>
      <c r="N1138" s="34">
        <f t="shared" si="35"/>
        <v>12.359081419624218</v>
      </c>
    </row>
    <row r="1139" spans="1:14" x14ac:dyDescent="0.45">
      <c r="A1139" s="30">
        <v>2023</v>
      </c>
      <c r="B1139" s="30" t="s">
        <v>14</v>
      </c>
      <c r="C1139" s="30" t="s">
        <v>46</v>
      </c>
      <c r="D1139" s="30" t="s">
        <v>47</v>
      </c>
      <c r="E1139" s="31" t="s">
        <v>287</v>
      </c>
      <c r="F1139" s="32" t="s">
        <v>60</v>
      </c>
      <c r="G1139" s="32" t="s">
        <v>50</v>
      </c>
      <c r="H1139" s="33">
        <v>207880</v>
      </c>
      <c r="I1139" s="34">
        <f>Table3[[#This Row],[Volume, kg.]]/1000</f>
        <v>207.88</v>
      </c>
      <c r="J1139" s="34">
        <v>0.2445</v>
      </c>
      <c r="K1139" s="34">
        <f t="shared" si="34"/>
        <v>50826.659999999996</v>
      </c>
      <c r="L1139" s="34">
        <v>3.08</v>
      </c>
      <c r="M1139" s="34">
        <v>639651</v>
      </c>
      <c r="N1139" s="34">
        <f t="shared" si="35"/>
        <v>12.59713701431493</v>
      </c>
    </row>
    <row r="1140" spans="1:14" x14ac:dyDescent="0.45">
      <c r="A1140" s="30">
        <v>2023</v>
      </c>
      <c r="B1140" s="30" t="s">
        <v>14</v>
      </c>
      <c r="C1140" s="30" t="s">
        <v>46</v>
      </c>
      <c r="D1140" s="30" t="s">
        <v>47</v>
      </c>
      <c r="E1140" s="31" t="s">
        <v>164</v>
      </c>
      <c r="F1140" s="32" t="s">
        <v>49</v>
      </c>
      <c r="G1140" s="32" t="s">
        <v>50</v>
      </c>
      <c r="H1140" s="33">
        <v>76720</v>
      </c>
      <c r="I1140" s="34">
        <f>Table3[[#This Row],[Volume, kg.]]/1000</f>
        <v>76.72</v>
      </c>
      <c r="J1140" s="34">
        <v>0.24280000000000002</v>
      </c>
      <c r="K1140" s="34">
        <f t="shared" si="34"/>
        <v>18627.616000000002</v>
      </c>
      <c r="L1140" s="34">
        <v>3.07</v>
      </c>
      <c r="M1140" s="34">
        <v>235231.5</v>
      </c>
      <c r="N1140" s="34">
        <f t="shared" si="35"/>
        <v>12.644151565074134</v>
      </c>
    </row>
    <row r="1141" spans="1:14" x14ac:dyDescent="0.45">
      <c r="A1141" s="30">
        <v>2023</v>
      </c>
      <c r="B1141" s="30" t="s">
        <v>14</v>
      </c>
      <c r="C1141" s="30" t="s">
        <v>46</v>
      </c>
      <c r="D1141" s="30" t="s">
        <v>47</v>
      </c>
      <c r="E1141" s="31" t="s">
        <v>294</v>
      </c>
      <c r="F1141" s="32" t="s">
        <v>81</v>
      </c>
      <c r="G1141" s="32" t="s">
        <v>50</v>
      </c>
      <c r="H1141" s="33">
        <v>75640</v>
      </c>
      <c r="I1141" s="34">
        <f>Table3[[#This Row],[Volume, kg.]]/1000</f>
        <v>75.64</v>
      </c>
      <c r="J1141" s="34">
        <v>0.23129999999999998</v>
      </c>
      <c r="K1141" s="34">
        <f t="shared" si="34"/>
        <v>17495.531999999999</v>
      </c>
      <c r="L1141" s="34">
        <v>2.99</v>
      </c>
      <c r="M1141" s="34">
        <v>226534</v>
      </c>
      <c r="N1141" s="34">
        <f t="shared" si="35"/>
        <v>12.926934716817987</v>
      </c>
    </row>
    <row r="1142" spans="1:14" x14ac:dyDescent="0.45">
      <c r="A1142" s="30">
        <v>2023</v>
      </c>
      <c r="B1142" s="30" t="s">
        <v>14</v>
      </c>
      <c r="C1142" s="30" t="s">
        <v>46</v>
      </c>
      <c r="D1142" s="30" t="s">
        <v>47</v>
      </c>
      <c r="E1142" s="31" t="s">
        <v>358</v>
      </c>
      <c r="F1142" s="32" t="s">
        <v>60</v>
      </c>
      <c r="G1142" s="32" t="s">
        <v>50</v>
      </c>
      <c r="H1142" s="33">
        <v>198410</v>
      </c>
      <c r="I1142" s="34">
        <f>Table3[[#This Row],[Volume, kg.]]/1000</f>
        <v>198.41</v>
      </c>
      <c r="J1142" s="34">
        <v>0.24690000000000001</v>
      </c>
      <c r="K1142" s="34">
        <f t="shared" si="34"/>
        <v>48987.429000000004</v>
      </c>
      <c r="L1142" s="34">
        <v>3.1</v>
      </c>
      <c r="M1142" s="34">
        <v>616032.5</v>
      </c>
      <c r="N1142" s="34">
        <f t="shared" si="35"/>
        <v>12.555690562980963</v>
      </c>
    </row>
    <row r="1143" spans="1:14" x14ac:dyDescent="0.45">
      <c r="A1143" s="30">
        <v>2023</v>
      </c>
      <c r="B1143" s="30" t="s">
        <v>14</v>
      </c>
      <c r="C1143" s="30" t="s">
        <v>46</v>
      </c>
      <c r="D1143" s="30" t="s">
        <v>47</v>
      </c>
      <c r="E1143" s="31" t="s">
        <v>464</v>
      </c>
      <c r="F1143" s="32" t="s">
        <v>57</v>
      </c>
      <c r="G1143" s="32" t="s">
        <v>50</v>
      </c>
      <c r="H1143" s="33">
        <v>268140</v>
      </c>
      <c r="I1143" s="34">
        <f>Table3[[#This Row],[Volume, kg.]]/1000</f>
        <v>268.14</v>
      </c>
      <c r="J1143" s="34">
        <v>0.2361</v>
      </c>
      <c r="K1143" s="34">
        <f t="shared" si="34"/>
        <v>63307.853999999999</v>
      </c>
      <c r="L1143" s="34">
        <v>3.06</v>
      </c>
      <c r="M1143" s="34">
        <v>819538.5</v>
      </c>
      <c r="N1143" s="34">
        <f t="shared" si="35"/>
        <v>12.960609911054638</v>
      </c>
    </row>
    <row r="1144" spans="1:14" x14ac:dyDescent="0.45">
      <c r="A1144" s="30">
        <v>2023</v>
      </c>
      <c r="B1144" s="30" t="s">
        <v>14</v>
      </c>
      <c r="C1144" s="30" t="s">
        <v>46</v>
      </c>
      <c r="D1144" s="30" t="s">
        <v>47</v>
      </c>
      <c r="E1144" s="31" t="s">
        <v>260</v>
      </c>
      <c r="F1144" s="32" t="s">
        <v>49</v>
      </c>
      <c r="G1144" s="32" t="s">
        <v>50</v>
      </c>
      <c r="H1144" s="33">
        <v>99230</v>
      </c>
      <c r="I1144" s="34">
        <f>Table3[[#This Row],[Volume, kg.]]/1000</f>
        <v>99.23</v>
      </c>
      <c r="J1144" s="34">
        <v>0.21929999999999999</v>
      </c>
      <c r="K1144" s="34">
        <f t="shared" si="34"/>
        <v>21761.138999999999</v>
      </c>
      <c r="L1144" s="34">
        <v>2.95</v>
      </c>
      <c r="M1144" s="34">
        <v>293100.5</v>
      </c>
      <c r="N1144" s="34">
        <f t="shared" si="35"/>
        <v>13.451892384860923</v>
      </c>
    </row>
    <row r="1145" spans="1:14" x14ac:dyDescent="0.45">
      <c r="A1145" s="30">
        <v>2023</v>
      </c>
      <c r="B1145" s="30" t="s">
        <v>14</v>
      </c>
      <c r="C1145" s="30" t="s">
        <v>46</v>
      </c>
      <c r="D1145" s="30" t="s">
        <v>47</v>
      </c>
      <c r="E1145" s="31" t="s">
        <v>429</v>
      </c>
      <c r="F1145" s="32" t="s">
        <v>54</v>
      </c>
      <c r="G1145" s="32" t="s">
        <v>50</v>
      </c>
      <c r="H1145" s="33">
        <v>11710</v>
      </c>
      <c r="I1145" s="34">
        <f>Table3[[#This Row],[Volume, kg.]]/1000</f>
        <v>11.71</v>
      </c>
      <c r="J1145" s="34">
        <v>0.23719999999999999</v>
      </c>
      <c r="K1145" s="34">
        <f t="shared" si="34"/>
        <v>2777.6120000000001</v>
      </c>
      <c r="L1145" s="34">
        <v>3.01</v>
      </c>
      <c r="M1145" s="34">
        <v>35279</v>
      </c>
      <c r="N1145" s="34">
        <f t="shared" si="35"/>
        <v>12.689713322091063</v>
      </c>
    </row>
    <row r="1146" spans="1:14" x14ac:dyDescent="0.45">
      <c r="A1146" s="30">
        <v>2023</v>
      </c>
      <c r="B1146" s="30" t="s">
        <v>14</v>
      </c>
      <c r="C1146" s="30" t="s">
        <v>46</v>
      </c>
      <c r="D1146" s="30" t="s">
        <v>47</v>
      </c>
      <c r="E1146" s="31" t="s">
        <v>187</v>
      </c>
      <c r="F1146" s="32" t="s">
        <v>54</v>
      </c>
      <c r="G1146" s="32" t="s">
        <v>50</v>
      </c>
      <c r="H1146" s="33">
        <v>31350</v>
      </c>
      <c r="I1146" s="34">
        <f>Table3[[#This Row],[Volume, kg.]]/1000</f>
        <v>31.35</v>
      </c>
      <c r="J1146" s="34">
        <v>0.24390000000000001</v>
      </c>
      <c r="K1146" s="34">
        <f t="shared" si="34"/>
        <v>7646.2650000000003</v>
      </c>
      <c r="L1146" s="34">
        <v>3.08</v>
      </c>
      <c r="M1146" s="34">
        <v>96462.5</v>
      </c>
      <c r="N1146" s="34">
        <f t="shared" si="35"/>
        <v>12.628126281262812</v>
      </c>
    </row>
    <row r="1147" spans="1:14" x14ac:dyDescent="0.45">
      <c r="A1147" s="30">
        <v>2023</v>
      </c>
      <c r="B1147" s="30" t="s">
        <v>14</v>
      </c>
      <c r="C1147" s="30" t="s">
        <v>46</v>
      </c>
      <c r="D1147" s="30" t="s">
        <v>47</v>
      </c>
      <c r="E1147" s="31" t="s">
        <v>191</v>
      </c>
      <c r="F1147" s="32" t="s">
        <v>49</v>
      </c>
      <c r="G1147" s="32" t="s">
        <v>50</v>
      </c>
      <c r="H1147" s="33">
        <v>34290</v>
      </c>
      <c r="I1147" s="34">
        <f>Table3[[#This Row],[Volume, kg.]]/1000</f>
        <v>34.29</v>
      </c>
      <c r="J1147" s="34">
        <v>0.2266</v>
      </c>
      <c r="K1147" s="34">
        <f t="shared" si="34"/>
        <v>7770.1139999999996</v>
      </c>
      <c r="L1147" s="34">
        <v>3.01</v>
      </c>
      <c r="M1147" s="34">
        <v>103189.5</v>
      </c>
      <c r="N1147" s="34">
        <f t="shared" si="35"/>
        <v>13.283318623124448</v>
      </c>
    </row>
    <row r="1148" spans="1:14" x14ac:dyDescent="0.45">
      <c r="A1148" s="30">
        <v>2023</v>
      </c>
      <c r="B1148" s="30" t="s">
        <v>14</v>
      </c>
      <c r="C1148" s="30" t="s">
        <v>46</v>
      </c>
      <c r="D1148" s="30" t="s">
        <v>47</v>
      </c>
      <c r="E1148" s="31" t="s">
        <v>291</v>
      </c>
      <c r="F1148" s="32" t="s">
        <v>57</v>
      </c>
      <c r="G1148" s="32" t="s">
        <v>50</v>
      </c>
      <c r="H1148" s="33">
        <v>182520</v>
      </c>
      <c r="I1148" s="34">
        <f>Table3[[#This Row],[Volume, kg.]]/1000</f>
        <v>182.52</v>
      </c>
      <c r="J1148" s="34">
        <v>0.2397</v>
      </c>
      <c r="K1148" s="34">
        <f t="shared" si="34"/>
        <v>43750.044000000002</v>
      </c>
      <c r="L1148" s="34">
        <v>3.08</v>
      </c>
      <c r="M1148" s="34">
        <v>561388</v>
      </c>
      <c r="N1148" s="34">
        <f t="shared" si="35"/>
        <v>12.849395077179809</v>
      </c>
    </row>
    <row r="1149" spans="1:14" x14ac:dyDescent="0.45">
      <c r="A1149" s="30">
        <v>2023</v>
      </c>
      <c r="B1149" s="30" t="s">
        <v>14</v>
      </c>
      <c r="C1149" s="30" t="s">
        <v>46</v>
      </c>
      <c r="D1149" s="30" t="s">
        <v>47</v>
      </c>
      <c r="E1149" s="31" t="s">
        <v>352</v>
      </c>
      <c r="F1149" s="32" t="s">
        <v>54</v>
      </c>
      <c r="G1149" s="32" t="s">
        <v>50</v>
      </c>
      <c r="H1149" s="33">
        <v>275230</v>
      </c>
      <c r="I1149" s="34">
        <f>Table3[[#This Row],[Volume, kg.]]/1000</f>
        <v>275.23</v>
      </c>
      <c r="J1149" s="34">
        <v>0.21350000000000002</v>
      </c>
      <c r="K1149" s="34">
        <f t="shared" si="34"/>
        <v>58761.605000000003</v>
      </c>
      <c r="L1149" s="34">
        <v>2.94</v>
      </c>
      <c r="M1149" s="34">
        <v>808996</v>
      </c>
      <c r="N1149" s="34">
        <f t="shared" si="35"/>
        <v>13.770491803278686</v>
      </c>
    </row>
    <row r="1150" spans="1:14" x14ac:dyDescent="0.45">
      <c r="A1150" s="30">
        <v>2023</v>
      </c>
      <c r="B1150" s="30" t="s">
        <v>14</v>
      </c>
      <c r="C1150" s="30" t="s">
        <v>46</v>
      </c>
      <c r="D1150" s="30" t="s">
        <v>47</v>
      </c>
      <c r="E1150" s="31" t="s">
        <v>465</v>
      </c>
      <c r="F1150" s="32" t="s">
        <v>57</v>
      </c>
      <c r="G1150" s="32" t="s">
        <v>50</v>
      </c>
      <c r="H1150" s="33">
        <v>13560</v>
      </c>
      <c r="I1150" s="34">
        <f>Table3[[#This Row],[Volume, kg.]]/1000</f>
        <v>13.56</v>
      </c>
      <c r="J1150" s="34">
        <v>0.22870000000000001</v>
      </c>
      <c r="K1150" s="34">
        <f t="shared" si="34"/>
        <v>3101.172</v>
      </c>
      <c r="L1150" s="34">
        <v>3.09</v>
      </c>
      <c r="M1150" s="34">
        <v>41866.5</v>
      </c>
      <c r="N1150" s="34">
        <f t="shared" si="35"/>
        <v>13.511149978137297</v>
      </c>
    </row>
    <row r="1151" spans="1:14" x14ac:dyDescent="0.45">
      <c r="A1151" s="30">
        <v>2023</v>
      </c>
      <c r="B1151" s="30" t="s">
        <v>14</v>
      </c>
      <c r="C1151" s="30" t="s">
        <v>46</v>
      </c>
      <c r="D1151" s="30" t="s">
        <v>47</v>
      </c>
      <c r="E1151" s="31" t="s">
        <v>110</v>
      </c>
      <c r="F1151" s="32" t="s">
        <v>57</v>
      </c>
      <c r="G1151" s="32" t="s">
        <v>50</v>
      </c>
      <c r="H1151" s="33">
        <v>11180</v>
      </c>
      <c r="I1151" s="34">
        <f>Table3[[#This Row],[Volume, kg.]]/1000</f>
        <v>11.18</v>
      </c>
      <c r="J1151" s="34">
        <v>0.2457</v>
      </c>
      <c r="K1151" s="34">
        <f t="shared" si="34"/>
        <v>2746.9259999999999</v>
      </c>
      <c r="L1151" s="34">
        <v>3.16</v>
      </c>
      <c r="M1151" s="34">
        <v>35289.5</v>
      </c>
      <c r="N1151" s="34">
        <f t="shared" si="35"/>
        <v>12.861212861212861</v>
      </c>
    </row>
    <row r="1152" spans="1:14" x14ac:dyDescent="0.45">
      <c r="A1152" s="30">
        <v>2023</v>
      </c>
      <c r="B1152" s="30" t="s">
        <v>14</v>
      </c>
      <c r="C1152" s="30" t="s">
        <v>46</v>
      </c>
      <c r="D1152" s="30" t="s">
        <v>47</v>
      </c>
      <c r="E1152" s="31" t="s">
        <v>495</v>
      </c>
      <c r="F1152" s="32" t="s">
        <v>54</v>
      </c>
      <c r="G1152" s="32" t="s">
        <v>50</v>
      </c>
      <c r="H1152" s="33">
        <v>14590</v>
      </c>
      <c r="I1152" s="34">
        <f>Table3[[#This Row],[Volume, kg.]]/1000</f>
        <v>14.59</v>
      </c>
      <c r="J1152" s="34">
        <v>0.22600000000000001</v>
      </c>
      <c r="K1152" s="34">
        <f t="shared" si="34"/>
        <v>3297.34</v>
      </c>
      <c r="L1152" s="34">
        <v>3</v>
      </c>
      <c r="M1152" s="34">
        <v>43770</v>
      </c>
      <c r="N1152" s="34">
        <f t="shared" si="35"/>
        <v>13.274336283185841</v>
      </c>
    </row>
    <row r="1153" spans="1:14" x14ac:dyDescent="0.45">
      <c r="A1153" s="30">
        <v>2023</v>
      </c>
      <c r="B1153" s="30" t="s">
        <v>14</v>
      </c>
      <c r="C1153" s="30" t="s">
        <v>46</v>
      </c>
      <c r="D1153" s="30" t="s">
        <v>47</v>
      </c>
      <c r="E1153" s="31" t="s">
        <v>385</v>
      </c>
      <c r="F1153" s="32" t="s">
        <v>57</v>
      </c>
      <c r="G1153" s="32" t="s">
        <v>50</v>
      </c>
      <c r="H1153" s="33">
        <v>78330</v>
      </c>
      <c r="I1153" s="34">
        <f>Table3[[#This Row],[Volume, kg.]]/1000</f>
        <v>78.33</v>
      </c>
      <c r="J1153" s="34">
        <v>0.23680000000000001</v>
      </c>
      <c r="K1153" s="34">
        <f t="shared" si="34"/>
        <v>18548.544000000002</v>
      </c>
      <c r="L1153" s="34">
        <v>3.11</v>
      </c>
      <c r="M1153" s="34">
        <v>243908</v>
      </c>
      <c r="N1153" s="34">
        <f t="shared" si="35"/>
        <v>13.133445945945946</v>
      </c>
    </row>
    <row r="1154" spans="1:14" x14ac:dyDescent="0.45">
      <c r="A1154" s="30">
        <v>2023</v>
      </c>
      <c r="B1154" s="30" t="s">
        <v>14</v>
      </c>
      <c r="C1154" s="30" t="s">
        <v>46</v>
      </c>
      <c r="D1154" s="30" t="s">
        <v>47</v>
      </c>
      <c r="E1154" s="31" t="s">
        <v>142</v>
      </c>
      <c r="F1154" s="32" t="s">
        <v>57</v>
      </c>
      <c r="G1154" s="32" t="s">
        <v>50</v>
      </c>
      <c r="H1154" s="33">
        <v>88130</v>
      </c>
      <c r="I1154" s="34">
        <f>Table3[[#This Row],[Volume, kg.]]/1000</f>
        <v>88.13</v>
      </c>
      <c r="J1154" s="34">
        <v>0.2339</v>
      </c>
      <c r="K1154" s="34">
        <f t="shared" si="34"/>
        <v>20613.607</v>
      </c>
      <c r="L1154" s="34">
        <v>3.05</v>
      </c>
      <c r="M1154" s="34">
        <v>268986</v>
      </c>
      <c r="N1154" s="34">
        <f t="shared" si="35"/>
        <v>13.039760581445062</v>
      </c>
    </row>
    <row r="1155" spans="1:14" x14ac:dyDescent="0.45">
      <c r="A1155" s="30">
        <v>2023</v>
      </c>
      <c r="B1155" s="30" t="s">
        <v>14</v>
      </c>
      <c r="C1155" s="30" t="s">
        <v>46</v>
      </c>
      <c r="D1155" s="30" t="s">
        <v>47</v>
      </c>
      <c r="E1155" s="31" t="s">
        <v>160</v>
      </c>
      <c r="F1155" s="32" t="s">
        <v>49</v>
      </c>
      <c r="G1155" s="32" t="s">
        <v>50</v>
      </c>
      <c r="H1155" s="33">
        <v>76430</v>
      </c>
      <c r="I1155" s="34">
        <f>Table3[[#This Row],[Volume, kg.]]/1000</f>
        <v>76.430000000000007</v>
      </c>
      <c r="J1155" s="34">
        <v>0.22210000000000002</v>
      </c>
      <c r="K1155" s="34">
        <f t="shared" ref="K1155:K1218" si="36">H1155*J1155</f>
        <v>16975.103000000003</v>
      </c>
      <c r="L1155" s="34">
        <v>2.96</v>
      </c>
      <c r="M1155" s="34">
        <v>226431</v>
      </c>
      <c r="N1155" s="34">
        <f t="shared" si="35"/>
        <v>13.327330031517333</v>
      </c>
    </row>
    <row r="1156" spans="1:14" x14ac:dyDescent="0.45">
      <c r="A1156" s="30">
        <v>2023</v>
      </c>
      <c r="B1156" s="30" t="s">
        <v>14</v>
      </c>
      <c r="C1156" s="30" t="s">
        <v>46</v>
      </c>
      <c r="D1156" s="30" t="s">
        <v>47</v>
      </c>
      <c r="E1156" s="31" t="s">
        <v>86</v>
      </c>
      <c r="F1156" s="32" t="s">
        <v>49</v>
      </c>
      <c r="G1156" s="32" t="s">
        <v>50</v>
      </c>
      <c r="H1156" s="33">
        <v>177650</v>
      </c>
      <c r="I1156" s="34">
        <f>Table3[[#This Row],[Volume, kg.]]/1000</f>
        <v>177.65</v>
      </c>
      <c r="J1156" s="34">
        <v>0.2278</v>
      </c>
      <c r="K1156" s="34">
        <f t="shared" si="36"/>
        <v>40468.67</v>
      </c>
      <c r="L1156" s="34">
        <v>3</v>
      </c>
      <c r="M1156" s="34">
        <v>533430</v>
      </c>
      <c r="N1156" s="34">
        <f t="shared" ref="N1156:N1219" si="37">L1156/J1156</f>
        <v>13.169446883230904</v>
      </c>
    </row>
    <row r="1157" spans="1:14" x14ac:dyDescent="0.45">
      <c r="A1157" s="30">
        <v>2023</v>
      </c>
      <c r="B1157" s="30" t="s">
        <v>14</v>
      </c>
      <c r="C1157" s="30" t="s">
        <v>46</v>
      </c>
      <c r="D1157" s="30" t="s">
        <v>47</v>
      </c>
      <c r="E1157" s="31" t="s">
        <v>496</v>
      </c>
      <c r="F1157" s="32" t="s">
        <v>49</v>
      </c>
      <c r="G1157" s="32" t="s">
        <v>50</v>
      </c>
      <c r="H1157" s="33">
        <v>1360</v>
      </c>
      <c r="I1157" s="34">
        <f>Table3[[#This Row],[Volume, kg.]]/1000</f>
        <v>1.36</v>
      </c>
      <c r="J1157" s="34">
        <v>0.14050000000000001</v>
      </c>
      <c r="K1157" s="34">
        <f t="shared" si="36"/>
        <v>191.08</v>
      </c>
      <c r="L1157" s="34">
        <v>2.5499999999999998</v>
      </c>
      <c r="M1157" s="34">
        <v>3468</v>
      </c>
      <c r="N1157" s="34">
        <f t="shared" si="37"/>
        <v>18.149466192170816</v>
      </c>
    </row>
    <row r="1158" spans="1:14" x14ac:dyDescent="0.45">
      <c r="A1158" s="30">
        <v>2023</v>
      </c>
      <c r="B1158" s="30" t="s">
        <v>14</v>
      </c>
      <c r="C1158" s="30" t="s">
        <v>46</v>
      </c>
      <c r="D1158" s="30" t="s">
        <v>47</v>
      </c>
      <c r="E1158" s="31" t="s">
        <v>421</v>
      </c>
      <c r="F1158" s="32" t="s">
        <v>49</v>
      </c>
      <c r="G1158" s="32" t="s">
        <v>50</v>
      </c>
      <c r="H1158" s="33">
        <v>65600</v>
      </c>
      <c r="I1158" s="34">
        <f>Table3[[#This Row],[Volume, kg.]]/1000</f>
        <v>65.599999999999994</v>
      </c>
      <c r="J1158" s="34">
        <v>0.2369</v>
      </c>
      <c r="K1158" s="34">
        <f t="shared" si="36"/>
        <v>15540.64</v>
      </c>
      <c r="L1158" s="34">
        <v>3.04</v>
      </c>
      <c r="M1158" s="34">
        <v>199475.5</v>
      </c>
      <c r="N1158" s="34">
        <f t="shared" si="37"/>
        <v>12.832418742085268</v>
      </c>
    </row>
    <row r="1159" spans="1:14" x14ac:dyDescent="0.45">
      <c r="A1159" s="30">
        <v>2023</v>
      </c>
      <c r="B1159" s="30" t="s">
        <v>14</v>
      </c>
      <c r="C1159" s="30" t="s">
        <v>46</v>
      </c>
      <c r="D1159" s="30" t="s">
        <v>47</v>
      </c>
      <c r="E1159" s="31" t="s">
        <v>497</v>
      </c>
      <c r="F1159" s="32" t="s">
        <v>57</v>
      </c>
      <c r="G1159" s="32" t="s">
        <v>50</v>
      </c>
      <c r="H1159" s="33">
        <v>9990</v>
      </c>
      <c r="I1159" s="34">
        <f>Table3[[#This Row],[Volume, kg.]]/1000</f>
        <v>9.99</v>
      </c>
      <c r="J1159" s="34">
        <v>0.19989999999999999</v>
      </c>
      <c r="K1159" s="34">
        <f t="shared" si="36"/>
        <v>1997.001</v>
      </c>
      <c r="L1159" s="34">
        <v>2.85</v>
      </c>
      <c r="M1159" s="34">
        <v>28489</v>
      </c>
      <c r="N1159" s="34">
        <f t="shared" si="37"/>
        <v>14.257128564282143</v>
      </c>
    </row>
    <row r="1160" spans="1:14" x14ac:dyDescent="0.45">
      <c r="A1160" s="30">
        <v>2023</v>
      </c>
      <c r="B1160" s="30" t="s">
        <v>14</v>
      </c>
      <c r="C1160" s="30" t="s">
        <v>46</v>
      </c>
      <c r="D1160" s="30" t="s">
        <v>47</v>
      </c>
      <c r="E1160" s="31" t="s">
        <v>112</v>
      </c>
      <c r="F1160" s="32" t="s">
        <v>49</v>
      </c>
      <c r="G1160" s="32" t="s">
        <v>50</v>
      </c>
      <c r="H1160" s="33">
        <v>60</v>
      </c>
      <c r="I1160" s="34">
        <f>Table3[[#This Row],[Volume, kg.]]/1000</f>
        <v>0.06</v>
      </c>
      <c r="J1160" s="34">
        <v>0.1275</v>
      </c>
      <c r="K1160" s="34">
        <f t="shared" si="36"/>
        <v>7.65</v>
      </c>
      <c r="L1160" s="34">
        <v>2.4</v>
      </c>
      <c r="M1160" s="34">
        <v>144</v>
      </c>
      <c r="N1160" s="34">
        <f t="shared" si="37"/>
        <v>18.823529411764707</v>
      </c>
    </row>
    <row r="1161" spans="1:14" x14ac:dyDescent="0.45">
      <c r="A1161" s="30">
        <v>2023</v>
      </c>
      <c r="B1161" s="30" t="s">
        <v>14</v>
      </c>
      <c r="C1161" s="30" t="s">
        <v>46</v>
      </c>
      <c r="D1161" s="30" t="s">
        <v>47</v>
      </c>
      <c r="E1161" s="31" t="s">
        <v>167</v>
      </c>
      <c r="F1161" s="32" t="s">
        <v>49</v>
      </c>
      <c r="G1161" s="32" t="s">
        <v>50</v>
      </c>
      <c r="H1161" s="33">
        <v>186080</v>
      </c>
      <c r="I1161" s="34">
        <f>Table3[[#This Row],[Volume, kg.]]/1000</f>
        <v>186.08</v>
      </c>
      <c r="J1161" s="34">
        <v>0.21190000000000001</v>
      </c>
      <c r="K1161" s="34">
        <f t="shared" si="36"/>
        <v>39430.351999999999</v>
      </c>
      <c r="L1161" s="34">
        <v>2.94</v>
      </c>
      <c r="M1161" s="34">
        <v>546145.5</v>
      </c>
      <c r="N1161" s="34">
        <f t="shared" si="37"/>
        <v>13.874469089193015</v>
      </c>
    </row>
    <row r="1162" spans="1:14" x14ac:dyDescent="0.45">
      <c r="A1162" s="30">
        <v>2023</v>
      </c>
      <c r="B1162" s="30" t="s">
        <v>14</v>
      </c>
      <c r="C1162" s="30" t="s">
        <v>46</v>
      </c>
      <c r="D1162" s="30" t="s">
        <v>47</v>
      </c>
      <c r="E1162" s="31" t="s">
        <v>329</v>
      </c>
      <c r="F1162" s="32" t="s">
        <v>49</v>
      </c>
      <c r="G1162" s="32" t="s">
        <v>50</v>
      </c>
      <c r="H1162" s="33">
        <v>20220</v>
      </c>
      <c r="I1162" s="34">
        <f>Table3[[#This Row],[Volume, kg.]]/1000</f>
        <v>20.22</v>
      </c>
      <c r="J1162" s="34">
        <v>0.2152</v>
      </c>
      <c r="K1162" s="34">
        <f t="shared" si="36"/>
        <v>4351.3440000000001</v>
      </c>
      <c r="L1162" s="34">
        <v>2.85</v>
      </c>
      <c r="M1162" s="34">
        <v>57587</v>
      </c>
      <c r="N1162" s="34">
        <f t="shared" si="37"/>
        <v>13.243494423791821</v>
      </c>
    </row>
    <row r="1163" spans="1:14" x14ac:dyDescent="0.45">
      <c r="A1163" s="30">
        <v>2023</v>
      </c>
      <c r="B1163" s="30" t="s">
        <v>14</v>
      </c>
      <c r="C1163" s="30" t="s">
        <v>46</v>
      </c>
      <c r="D1163" s="30" t="s">
        <v>47</v>
      </c>
      <c r="E1163" s="31" t="s">
        <v>190</v>
      </c>
      <c r="F1163" s="32" t="s">
        <v>81</v>
      </c>
      <c r="G1163" s="32" t="s">
        <v>50</v>
      </c>
      <c r="H1163" s="33">
        <v>9200</v>
      </c>
      <c r="I1163" s="34">
        <f>Table3[[#This Row],[Volume, kg.]]/1000</f>
        <v>9.1999999999999993</v>
      </c>
      <c r="J1163" s="34">
        <v>0.22500000000000001</v>
      </c>
      <c r="K1163" s="34">
        <f t="shared" si="36"/>
        <v>2070</v>
      </c>
      <c r="L1163" s="34">
        <v>3</v>
      </c>
      <c r="M1163" s="34">
        <v>27600</v>
      </c>
      <c r="N1163" s="34">
        <f t="shared" si="37"/>
        <v>13.333333333333332</v>
      </c>
    </row>
    <row r="1164" spans="1:14" x14ac:dyDescent="0.45">
      <c r="A1164" s="30">
        <v>2023</v>
      </c>
      <c r="B1164" s="30" t="s">
        <v>14</v>
      </c>
      <c r="C1164" s="30" t="s">
        <v>46</v>
      </c>
      <c r="D1164" s="30" t="s">
        <v>47</v>
      </c>
      <c r="E1164" s="31" t="s">
        <v>498</v>
      </c>
      <c r="F1164" s="32" t="s">
        <v>49</v>
      </c>
      <c r="G1164" s="32" t="s">
        <v>50</v>
      </c>
      <c r="H1164" s="33">
        <v>26860</v>
      </c>
      <c r="I1164" s="34">
        <f>Table3[[#This Row],[Volume, kg.]]/1000</f>
        <v>26.86</v>
      </c>
      <c r="J1164" s="34">
        <v>0.21129999999999999</v>
      </c>
      <c r="K1164" s="34">
        <f t="shared" si="36"/>
        <v>5675.518</v>
      </c>
      <c r="L1164" s="34">
        <v>2.85</v>
      </c>
      <c r="M1164" s="34">
        <v>76450.5</v>
      </c>
      <c r="N1164" s="34">
        <f t="shared" si="37"/>
        <v>13.487931850449598</v>
      </c>
    </row>
    <row r="1165" spans="1:14" x14ac:dyDescent="0.45">
      <c r="A1165" s="30">
        <v>2023</v>
      </c>
      <c r="B1165" s="30" t="s">
        <v>14</v>
      </c>
      <c r="C1165" s="30" t="s">
        <v>46</v>
      </c>
      <c r="D1165" s="30" t="s">
        <v>47</v>
      </c>
      <c r="E1165" s="31" t="s">
        <v>319</v>
      </c>
      <c r="F1165" s="32" t="s">
        <v>81</v>
      </c>
      <c r="G1165" s="32" t="s">
        <v>50</v>
      </c>
      <c r="H1165" s="33">
        <v>65500</v>
      </c>
      <c r="I1165" s="34">
        <f>Table3[[#This Row],[Volume, kg.]]/1000</f>
        <v>65.5</v>
      </c>
      <c r="J1165" s="34">
        <v>0.2351</v>
      </c>
      <c r="K1165" s="34">
        <f t="shared" si="36"/>
        <v>15399.050000000001</v>
      </c>
      <c r="L1165" s="34">
        <v>3.03</v>
      </c>
      <c r="M1165" s="34">
        <v>198590</v>
      </c>
      <c r="N1165" s="34">
        <f t="shared" si="37"/>
        <v>12.888132709485324</v>
      </c>
    </row>
    <row r="1166" spans="1:14" x14ac:dyDescent="0.45">
      <c r="A1166" s="30">
        <v>2023</v>
      </c>
      <c r="B1166" s="30" t="s">
        <v>14</v>
      </c>
      <c r="C1166" s="30" t="s">
        <v>46</v>
      </c>
      <c r="D1166" s="30" t="s">
        <v>47</v>
      </c>
      <c r="E1166" s="31" t="s">
        <v>77</v>
      </c>
      <c r="F1166" s="32" t="s">
        <v>49</v>
      </c>
      <c r="G1166" s="32" t="s">
        <v>50</v>
      </c>
      <c r="H1166" s="33">
        <v>37920</v>
      </c>
      <c r="I1166" s="34">
        <f>Table3[[#This Row],[Volume, kg.]]/1000</f>
        <v>37.92</v>
      </c>
      <c r="J1166" s="34">
        <v>0.23280000000000001</v>
      </c>
      <c r="K1166" s="34">
        <f t="shared" si="36"/>
        <v>8827.7759999999998</v>
      </c>
      <c r="L1166" s="34">
        <v>3.02</v>
      </c>
      <c r="M1166" s="34">
        <v>114601</v>
      </c>
      <c r="N1166" s="34">
        <f t="shared" si="37"/>
        <v>12.972508591065292</v>
      </c>
    </row>
    <row r="1167" spans="1:14" x14ac:dyDescent="0.45">
      <c r="A1167" s="30">
        <v>2023</v>
      </c>
      <c r="B1167" s="30" t="s">
        <v>14</v>
      </c>
      <c r="C1167" s="30" t="s">
        <v>46</v>
      </c>
      <c r="D1167" s="30" t="s">
        <v>47</v>
      </c>
      <c r="E1167" s="31" t="s">
        <v>466</v>
      </c>
      <c r="F1167" s="32" t="s">
        <v>57</v>
      </c>
      <c r="G1167" s="32" t="s">
        <v>50</v>
      </c>
      <c r="H1167" s="33">
        <v>59900</v>
      </c>
      <c r="I1167" s="34">
        <f>Table3[[#This Row],[Volume, kg.]]/1000</f>
        <v>59.9</v>
      </c>
      <c r="J1167" s="34">
        <v>0.23050000000000001</v>
      </c>
      <c r="K1167" s="34">
        <f t="shared" si="36"/>
        <v>13806.95</v>
      </c>
      <c r="L1167" s="34">
        <v>3.04</v>
      </c>
      <c r="M1167" s="34">
        <v>181899</v>
      </c>
      <c r="N1167" s="34">
        <f t="shared" si="37"/>
        <v>13.188720173535792</v>
      </c>
    </row>
    <row r="1168" spans="1:14" x14ac:dyDescent="0.45">
      <c r="A1168" s="30">
        <v>2023</v>
      </c>
      <c r="B1168" s="30" t="s">
        <v>14</v>
      </c>
      <c r="C1168" s="30" t="s">
        <v>46</v>
      </c>
      <c r="D1168" s="30" t="s">
        <v>47</v>
      </c>
      <c r="E1168" s="31" t="s">
        <v>241</v>
      </c>
      <c r="F1168" s="32" t="s">
        <v>57</v>
      </c>
      <c r="G1168" s="32" t="s">
        <v>50</v>
      </c>
      <c r="H1168" s="33">
        <v>19230</v>
      </c>
      <c r="I1168" s="34">
        <f>Table3[[#This Row],[Volume, kg.]]/1000</f>
        <v>19.23</v>
      </c>
      <c r="J1168" s="34">
        <v>0.2334</v>
      </c>
      <c r="K1168" s="34">
        <f t="shared" si="36"/>
        <v>4488.2820000000002</v>
      </c>
      <c r="L1168" s="34">
        <v>3.06</v>
      </c>
      <c r="M1168" s="34">
        <v>58757.5</v>
      </c>
      <c r="N1168" s="34">
        <f t="shared" si="37"/>
        <v>13.110539845758355</v>
      </c>
    </row>
    <row r="1169" spans="1:14" x14ac:dyDescent="0.45">
      <c r="A1169" s="30">
        <v>2023</v>
      </c>
      <c r="B1169" s="30" t="s">
        <v>14</v>
      </c>
      <c r="C1169" s="30" t="s">
        <v>46</v>
      </c>
      <c r="D1169" s="30" t="s">
        <v>47</v>
      </c>
      <c r="E1169" s="31" t="s">
        <v>263</v>
      </c>
      <c r="F1169" s="32" t="s">
        <v>81</v>
      </c>
      <c r="G1169" s="32" t="s">
        <v>50</v>
      </c>
      <c r="H1169" s="33">
        <v>187830</v>
      </c>
      <c r="I1169" s="34">
        <f>Table3[[#This Row],[Volume, kg.]]/1000</f>
        <v>187.83</v>
      </c>
      <c r="J1169" s="34">
        <v>0.20699999999999999</v>
      </c>
      <c r="K1169" s="34">
        <f t="shared" si="36"/>
        <v>38880.81</v>
      </c>
      <c r="L1169" s="34">
        <v>2.91</v>
      </c>
      <c r="M1169" s="34">
        <v>545944</v>
      </c>
      <c r="N1169" s="34">
        <f t="shared" si="37"/>
        <v>14.057971014492756</v>
      </c>
    </row>
    <row r="1170" spans="1:14" x14ac:dyDescent="0.45">
      <c r="A1170" s="30">
        <v>2023</v>
      </c>
      <c r="B1170" s="30" t="s">
        <v>14</v>
      </c>
      <c r="C1170" s="30" t="s">
        <v>46</v>
      </c>
      <c r="D1170" s="30" t="s">
        <v>47</v>
      </c>
      <c r="E1170" s="31" t="s">
        <v>333</v>
      </c>
      <c r="F1170" s="32" t="s">
        <v>57</v>
      </c>
      <c r="G1170" s="32" t="s">
        <v>50</v>
      </c>
      <c r="H1170" s="33">
        <v>45250</v>
      </c>
      <c r="I1170" s="34">
        <f>Table3[[#This Row],[Volume, kg.]]/1000</f>
        <v>45.25</v>
      </c>
      <c r="J1170" s="34">
        <v>0.19989999999999999</v>
      </c>
      <c r="K1170" s="34">
        <f t="shared" si="36"/>
        <v>9045.4750000000004</v>
      </c>
      <c r="L1170" s="34">
        <v>2.92</v>
      </c>
      <c r="M1170" s="34">
        <v>131958</v>
      </c>
      <c r="N1170" s="34">
        <f t="shared" si="37"/>
        <v>14.607303651825912</v>
      </c>
    </row>
    <row r="1171" spans="1:14" x14ac:dyDescent="0.45">
      <c r="A1171" s="30">
        <v>2023</v>
      </c>
      <c r="B1171" s="30" t="s">
        <v>14</v>
      </c>
      <c r="C1171" s="30" t="s">
        <v>46</v>
      </c>
      <c r="D1171" s="30" t="s">
        <v>47</v>
      </c>
      <c r="E1171" s="31" t="s">
        <v>284</v>
      </c>
      <c r="F1171" s="32" t="s">
        <v>49</v>
      </c>
      <c r="G1171" s="32" t="s">
        <v>50</v>
      </c>
      <c r="H1171" s="33">
        <v>9790</v>
      </c>
      <c r="I1171" s="34">
        <f>Table3[[#This Row],[Volume, kg.]]/1000</f>
        <v>9.7899999999999991</v>
      </c>
      <c r="J1171" s="34">
        <v>0.27899999999999997</v>
      </c>
      <c r="K1171" s="34">
        <f t="shared" si="36"/>
        <v>2731.41</v>
      </c>
      <c r="L1171" s="34">
        <v>3.25</v>
      </c>
      <c r="M1171" s="34">
        <v>31817.5</v>
      </c>
      <c r="N1171" s="34">
        <f t="shared" si="37"/>
        <v>11.648745519713263</v>
      </c>
    </row>
    <row r="1172" spans="1:14" x14ac:dyDescent="0.45">
      <c r="A1172" s="30">
        <v>2023</v>
      </c>
      <c r="B1172" s="30" t="s">
        <v>14</v>
      </c>
      <c r="C1172" s="30" t="s">
        <v>46</v>
      </c>
      <c r="D1172" s="30" t="s">
        <v>47</v>
      </c>
      <c r="E1172" s="31" t="s">
        <v>111</v>
      </c>
      <c r="F1172" s="32" t="s">
        <v>60</v>
      </c>
      <c r="G1172" s="32" t="s">
        <v>50</v>
      </c>
      <c r="H1172" s="33">
        <v>32740</v>
      </c>
      <c r="I1172" s="34">
        <f>Table3[[#This Row],[Volume, kg.]]/1000</f>
        <v>32.74</v>
      </c>
      <c r="J1172" s="34">
        <v>0.22839999999999999</v>
      </c>
      <c r="K1172" s="34">
        <f t="shared" si="36"/>
        <v>7477.8159999999998</v>
      </c>
      <c r="L1172" s="34">
        <v>3.04</v>
      </c>
      <c r="M1172" s="34">
        <v>99400.5</v>
      </c>
      <c r="N1172" s="34">
        <f t="shared" si="37"/>
        <v>13.309982486865149</v>
      </c>
    </row>
    <row r="1173" spans="1:14" x14ac:dyDescent="0.45">
      <c r="A1173" s="30">
        <v>2023</v>
      </c>
      <c r="B1173" s="30" t="s">
        <v>14</v>
      </c>
      <c r="C1173" s="30" t="s">
        <v>46</v>
      </c>
      <c r="D1173" s="30" t="s">
        <v>47</v>
      </c>
      <c r="E1173" s="31" t="s">
        <v>499</v>
      </c>
      <c r="F1173" s="32" t="s">
        <v>81</v>
      </c>
      <c r="G1173" s="32" t="s">
        <v>50</v>
      </c>
      <c r="H1173" s="33">
        <v>27090</v>
      </c>
      <c r="I1173" s="34">
        <f>Table3[[#This Row],[Volume, kg.]]/1000</f>
        <v>27.09</v>
      </c>
      <c r="J1173" s="34">
        <v>0.23309999999999997</v>
      </c>
      <c r="K1173" s="34">
        <f t="shared" si="36"/>
        <v>6314.6789999999992</v>
      </c>
      <c r="L1173" s="34">
        <v>3</v>
      </c>
      <c r="M1173" s="34">
        <v>81181.5</v>
      </c>
      <c r="N1173" s="34">
        <f t="shared" si="37"/>
        <v>12.870012870012872</v>
      </c>
    </row>
    <row r="1174" spans="1:14" x14ac:dyDescent="0.45">
      <c r="A1174" s="30">
        <v>2023</v>
      </c>
      <c r="B1174" s="30" t="s">
        <v>14</v>
      </c>
      <c r="C1174" s="30" t="s">
        <v>46</v>
      </c>
      <c r="D1174" s="30" t="s">
        <v>47</v>
      </c>
      <c r="E1174" s="31" t="s">
        <v>313</v>
      </c>
      <c r="F1174" s="32" t="s">
        <v>60</v>
      </c>
      <c r="G1174" s="32" t="s">
        <v>50</v>
      </c>
      <c r="H1174" s="33">
        <v>140090</v>
      </c>
      <c r="I1174" s="34">
        <f>Table3[[#This Row],[Volume, kg.]]/1000</f>
        <v>140.09</v>
      </c>
      <c r="J1174" s="34">
        <v>0.2361</v>
      </c>
      <c r="K1174" s="34">
        <f t="shared" si="36"/>
        <v>33075.249000000003</v>
      </c>
      <c r="L1174" s="34">
        <v>3.06</v>
      </c>
      <c r="M1174" s="34">
        <v>428790</v>
      </c>
      <c r="N1174" s="34">
        <f t="shared" si="37"/>
        <v>12.960609911054638</v>
      </c>
    </row>
    <row r="1175" spans="1:14" x14ac:dyDescent="0.45">
      <c r="A1175" s="30">
        <v>2023</v>
      </c>
      <c r="B1175" s="30" t="s">
        <v>14</v>
      </c>
      <c r="C1175" s="30" t="s">
        <v>46</v>
      </c>
      <c r="D1175" s="30" t="s">
        <v>102</v>
      </c>
      <c r="E1175" s="31" t="s">
        <v>389</v>
      </c>
      <c r="F1175" s="32" t="s">
        <v>238</v>
      </c>
      <c r="G1175" s="32" t="s">
        <v>50</v>
      </c>
      <c r="H1175" s="33">
        <v>214850</v>
      </c>
      <c r="I1175" s="34">
        <f>Table3[[#This Row],[Volume, kg.]]/1000</f>
        <v>214.85</v>
      </c>
      <c r="J1175" s="34">
        <v>0.17730000000000001</v>
      </c>
      <c r="K1175" s="34">
        <f t="shared" si="36"/>
        <v>38092.905000000006</v>
      </c>
      <c r="L1175" s="34">
        <v>2.85</v>
      </c>
      <c r="M1175" s="34">
        <v>612012.5</v>
      </c>
      <c r="N1175" s="34">
        <f t="shared" si="37"/>
        <v>16.074450084602368</v>
      </c>
    </row>
    <row r="1176" spans="1:14" x14ac:dyDescent="0.45">
      <c r="A1176" s="30">
        <v>2023</v>
      </c>
      <c r="B1176" s="30" t="s">
        <v>14</v>
      </c>
      <c r="C1176" s="30" t="s">
        <v>46</v>
      </c>
      <c r="D1176" s="30" t="s">
        <v>47</v>
      </c>
      <c r="E1176" s="31" t="s">
        <v>288</v>
      </c>
      <c r="F1176" s="32" t="s">
        <v>49</v>
      </c>
      <c r="G1176" s="32" t="s">
        <v>50</v>
      </c>
      <c r="H1176" s="33">
        <v>213660</v>
      </c>
      <c r="I1176" s="34">
        <f>Table3[[#This Row],[Volume, kg.]]/1000</f>
        <v>213.66</v>
      </c>
      <c r="J1176" s="34">
        <v>0.22370000000000001</v>
      </c>
      <c r="K1176" s="34">
        <f t="shared" si="36"/>
        <v>47795.742000000006</v>
      </c>
      <c r="L1176" s="34">
        <v>2.95</v>
      </c>
      <c r="M1176" s="34">
        <v>631077.5</v>
      </c>
      <c r="N1176" s="34">
        <f t="shared" si="37"/>
        <v>13.187304425569961</v>
      </c>
    </row>
    <row r="1177" spans="1:14" x14ac:dyDescent="0.45">
      <c r="A1177" s="30">
        <v>2023</v>
      </c>
      <c r="B1177" s="30" t="s">
        <v>14</v>
      </c>
      <c r="C1177" s="30" t="s">
        <v>46</v>
      </c>
      <c r="D1177" s="30" t="s">
        <v>47</v>
      </c>
      <c r="E1177" s="31" t="s">
        <v>70</v>
      </c>
      <c r="F1177" s="32" t="s">
        <v>49</v>
      </c>
      <c r="G1177" s="32" t="s">
        <v>50</v>
      </c>
      <c r="H1177" s="33">
        <v>296990</v>
      </c>
      <c r="I1177" s="34">
        <f>Table3[[#This Row],[Volume, kg.]]/1000</f>
        <v>296.99</v>
      </c>
      <c r="J1177" s="34">
        <v>0.22390000000000002</v>
      </c>
      <c r="K1177" s="34">
        <f t="shared" si="36"/>
        <v>66496.061000000002</v>
      </c>
      <c r="L1177" s="34">
        <v>3.01</v>
      </c>
      <c r="M1177" s="34">
        <v>893276.5</v>
      </c>
      <c r="N1177" s="34">
        <f t="shared" si="37"/>
        <v>13.443501563197854</v>
      </c>
    </row>
    <row r="1178" spans="1:14" x14ac:dyDescent="0.45">
      <c r="A1178" s="30">
        <v>2023</v>
      </c>
      <c r="B1178" s="30" t="s">
        <v>14</v>
      </c>
      <c r="C1178" s="30" t="s">
        <v>46</v>
      </c>
      <c r="D1178" s="30" t="s">
        <v>47</v>
      </c>
      <c r="E1178" s="31" t="s">
        <v>265</v>
      </c>
      <c r="F1178" s="32" t="s">
        <v>49</v>
      </c>
      <c r="G1178" s="32" t="s">
        <v>50</v>
      </c>
      <c r="H1178" s="33">
        <v>21570</v>
      </c>
      <c r="I1178" s="34">
        <f>Table3[[#This Row],[Volume, kg.]]/1000</f>
        <v>21.57</v>
      </c>
      <c r="J1178" s="34">
        <v>0.2122</v>
      </c>
      <c r="K1178" s="34">
        <f t="shared" si="36"/>
        <v>4577.1539999999995</v>
      </c>
      <c r="L1178" s="34">
        <v>2.85</v>
      </c>
      <c r="M1178" s="34">
        <v>61567.5</v>
      </c>
      <c r="N1178" s="34">
        <f t="shared" si="37"/>
        <v>13.430725730442978</v>
      </c>
    </row>
    <row r="1179" spans="1:14" x14ac:dyDescent="0.45">
      <c r="A1179" s="30">
        <v>2023</v>
      </c>
      <c r="B1179" s="30" t="s">
        <v>14</v>
      </c>
      <c r="C1179" s="30" t="s">
        <v>46</v>
      </c>
      <c r="D1179" s="30" t="s">
        <v>47</v>
      </c>
      <c r="E1179" s="31" t="s">
        <v>467</v>
      </c>
      <c r="F1179" s="32" t="s">
        <v>57</v>
      </c>
      <c r="G1179" s="32" t="s">
        <v>50</v>
      </c>
      <c r="H1179" s="33">
        <v>93770</v>
      </c>
      <c r="I1179" s="34">
        <f>Table3[[#This Row],[Volume, kg.]]/1000</f>
        <v>93.77</v>
      </c>
      <c r="J1179" s="34">
        <v>0.2281</v>
      </c>
      <c r="K1179" s="34">
        <f t="shared" si="36"/>
        <v>21388.936999999998</v>
      </c>
      <c r="L1179" s="34">
        <v>3.02</v>
      </c>
      <c r="M1179" s="34">
        <v>283416</v>
      </c>
      <c r="N1179" s="34">
        <f t="shared" si="37"/>
        <v>13.23980710214818</v>
      </c>
    </row>
    <row r="1180" spans="1:14" x14ac:dyDescent="0.45">
      <c r="A1180" s="30">
        <v>2023</v>
      </c>
      <c r="B1180" s="30" t="s">
        <v>14</v>
      </c>
      <c r="C1180" s="30" t="s">
        <v>46</v>
      </c>
      <c r="D1180" s="30" t="s">
        <v>47</v>
      </c>
      <c r="E1180" s="31" t="s">
        <v>500</v>
      </c>
      <c r="F1180" s="32" t="s">
        <v>49</v>
      </c>
      <c r="G1180" s="32" t="s">
        <v>50</v>
      </c>
      <c r="H1180" s="33">
        <v>140940</v>
      </c>
      <c r="I1180" s="34">
        <f>Table3[[#This Row],[Volume, kg.]]/1000</f>
        <v>140.94</v>
      </c>
      <c r="J1180" s="34">
        <v>0.21850000000000003</v>
      </c>
      <c r="K1180" s="34">
        <f t="shared" si="36"/>
        <v>30795.390000000003</v>
      </c>
      <c r="L1180" s="34">
        <v>2.94</v>
      </c>
      <c r="M1180" s="34">
        <v>414817</v>
      </c>
      <c r="N1180" s="34">
        <f t="shared" si="37"/>
        <v>13.455377574370708</v>
      </c>
    </row>
    <row r="1181" spans="1:14" x14ac:dyDescent="0.45">
      <c r="A1181" s="30">
        <v>2023</v>
      </c>
      <c r="B1181" s="30" t="s">
        <v>14</v>
      </c>
      <c r="C1181" s="30" t="s">
        <v>46</v>
      </c>
      <c r="D1181" s="30" t="s">
        <v>47</v>
      </c>
      <c r="E1181" s="31" t="s">
        <v>277</v>
      </c>
      <c r="F1181" s="32" t="s">
        <v>60</v>
      </c>
      <c r="G1181" s="32" t="s">
        <v>50</v>
      </c>
      <c r="H1181" s="33">
        <v>23750</v>
      </c>
      <c r="I1181" s="34">
        <f>Table3[[#This Row],[Volume, kg.]]/1000</f>
        <v>23.75</v>
      </c>
      <c r="J1181" s="34">
        <v>0.23649999999999999</v>
      </c>
      <c r="K1181" s="34">
        <f t="shared" si="36"/>
        <v>5616.875</v>
      </c>
      <c r="L1181" s="34">
        <v>3.11</v>
      </c>
      <c r="M1181" s="34">
        <v>73962.5</v>
      </c>
      <c r="N1181" s="34">
        <f t="shared" si="37"/>
        <v>13.150105708245244</v>
      </c>
    </row>
    <row r="1182" spans="1:14" x14ac:dyDescent="0.45">
      <c r="A1182" s="30">
        <v>2023</v>
      </c>
      <c r="B1182" s="30" t="s">
        <v>14</v>
      </c>
      <c r="C1182" s="30" t="s">
        <v>46</v>
      </c>
      <c r="D1182" s="30" t="s">
        <v>47</v>
      </c>
      <c r="E1182" s="31" t="s">
        <v>324</v>
      </c>
      <c r="F1182" s="32" t="s">
        <v>81</v>
      </c>
      <c r="G1182" s="32" t="s">
        <v>50</v>
      </c>
      <c r="H1182" s="33">
        <v>108800</v>
      </c>
      <c r="I1182" s="34">
        <f>Table3[[#This Row],[Volume, kg.]]/1000</f>
        <v>108.8</v>
      </c>
      <c r="J1182" s="34">
        <v>0.22769999999999999</v>
      </c>
      <c r="K1182" s="34">
        <f t="shared" si="36"/>
        <v>24773.759999999998</v>
      </c>
      <c r="L1182" s="34">
        <v>3.02</v>
      </c>
      <c r="M1182" s="34">
        <v>328415.5</v>
      </c>
      <c r="N1182" s="34">
        <f t="shared" si="37"/>
        <v>13.263065436978481</v>
      </c>
    </row>
    <row r="1183" spans="1:14" x14ac:dyDescent="0.45">
      <c r="A1183" s="30">
        <v>2023</v>
      </c>
      <c r="B1183" s="30" t="s">
        <v>14</v>
      </c>
      <c r="C1183" s="30" t="s">
        <v>46</v>
      </c>
      <c r="D1183" s="30" t="s">
        <v>47</v>
      </c>
      <c r="E1183" s="31" t="s">
        <v>74</v>
      </c>
      <c r="F1183" s="32" t="s">
        <v>49</v>
      </c>
      <c r="G1183" s="32" t="s">
        <v>50</v>
      </c>
      <c r="H1183" s="33">
        <v>138040</v>
      </c>
      <c r="I1183" s="34">
        <f>Table3[[#This Row],[Volume, kg.]]/1000</f>
        <v>138.04</v>
      </c>
      <c r="J1183" s="34">
        <v>0.20660000000000001</v>
      </c>
      <c r="K1183" s="34">
        <f t="shared" si="36"/>
        <v>28519.064000000002</v>
      </c>
      <c r="L1183" s="34">
        <v>2.93</v>
      </c>
      <c r="M1183" s="34">
        <v>404221</v>
      </c>
      <c r="N1183" s="34">
        <f t="shared" si="37"/>
        <v>14.181994191674734</v>
      </c>
    </row>
    <row r="1184" spans="1:14" x14ac:dyDescent="0.45">
      <c r="A1184" s="30">
        <v>2023</v>
      </c>
      <c r="B1184" s="30" t="s">
        <v>14</v>
      </c>
      <c r="C1184" s="30" t="s">
        <v>46</v>
      </c>
      <c r="D1184" s="30" t="s">
        <v>47</v>
      </c>
      <c r="E1184" s="31" t="s">
        <v>135</v>
      </c>
      <c r="F1184" s="32" t="s">
        <v>49</v>
      </c>
      <c r="G1184" s="32" t="s">
        <v>50</v>
      </c>
      <c r="H1184" s="33">
        <v>29130</v>
      </c>
      <c r="I1184" s="34">
        <f>Table3[[#This Row],[Volume, kg.]]/1000</f>
        <v>29.13</v>
      </c>
      <c r="J1184" s="34">
        <v>0.22969999999999999</v>
      </c>
      <c r="K1184" s="34">
        <f t="shared" si="36"/>
        <v>6691.1610000000001</v>
      </c>
      <c r="L1184" s="34">
        <v>2.94</v>
      </c>
      <c r="M1184" s="34">
        <v>85668.5</v>
      </c>
      <c r="N1184" s="34">
        <f t="shared" si="37"/>
        <v>12.799303439268611</v>
      </c>
    </row>
    <row r="1185" spans="1:14" x14ac:dyDescent="0.45">
      <c r="A1185" s="30">
        <v>2023</v>
      </c>
      <c r="B1185" s="30" t="s">
        <v>14</v>
      </c>
      <c r="C1185" s="30" t="s">
        <v>46</v>
      </c>
      <c r="D1185" s="30" t="s">
        <v>47</v>
      </c>
      <c r="E1185" s="31" t="s">
        <v>125</v>
      </c>
      <c r="F1185" s="32" t="s">
        <v>60</v>
      </c>
      <c r="G1185" s="32" t="s">
        <v>50</v>
      </c>
      <c r="H1185" s="33">
        <v>176760</v>
      </c>
      <c r="I1185" s="34">
        <f>Table3[[#This Row],[Volume, kg.]]/1000</f>
        <v>176.76</v>
      </c>
      <c r="J1185" s="34">
        <v>0.24100000000000002</v>
      </c>
      <c r="K1185" s="34">
        <f t="shared" si="36"/>
        <v>42599.16</v>
      </c>
      <c r="L1185" s="34">
        <v>3.04</v>
      </c>
      <c r="M1185" s="34">
        <v>537168.5</v>
      </c>
      <c r="N1185" s="34">
        <f t="shared" si="37"/>
        <v>12.614107883817427</v>
      </c>
    </row>
    <row r="1186" spans="1:14" x14ac:dyDescent="0.45">
      <c r="A1186" s="30">
        <v>2023</v>
      </c>
      <c r="B1186" s="30" t="s">
        <v>14</v>
      </c>
      <c r="C1186" s="30" t="s">
        <v>46</v>
      </c>
      <c r="D1186" s="30" t="s">
        <v>47</v>
      </c>
      <c r="E1186" s="31" t="s">
        <v>390</v>
      </c>
      <c r="F1186" s="32" t="s">
        <v>60</v>
      </c>
      <c r="G1186" s="32" t="s">
        <v>50</v>
      </c>
      <c r="H1186" s="33">
        <v>39980</v>
      </c>
      <c r="I1186" s="34">
        <f>Table3[[#This Row],[Volume, kg.]]/1000</f>
        <v>39.979999999999997</v>
      </c>
      <c r="J1186" s="34">
        <v>0.18609999999999999</v>
      </c>
      <c r="K1186" s="34">
        <f t="shared" si="36"/>
        <v>7440.2779999999993</v>
      </c>
      <c r="L1186" s="34">
        <v>2.77</v>
      </c>
      <c r="M1186" s="34">
        <v>110756</v>
      </c>
      <c r="N1186" s="34">
        <f t="shared" si="37"/>
        <v>14.884470714669533</v>
      </c>
    </row>
    <row r="1187" spans="1:14" x14ac:dyDescent="0.45">
      <c r="A1187" s="30">
        <v>2023</v>
      </c>
      <c r="B1187" s="30" t="s">
        <v>14</v>
      </c>
      <c r="C1187" s="30" t="s">
        <v>46</v>
      </c>
      <c r="D1187" s="30" t="s">
        <v>47</v>
      </c>
      <c r="E1187" s="31" t="s">
        <v>144</v>
      </c>
      <c r="F1187" s="32" t="s">
        <v>49</v>
      </c>
      <c r="G1187" s="32" t="s">
        <v>50</v>
      </c>
      <c r="H1187" s="33">
        <v>146300</v>
      </c>
      <c r="I1187" s="34">
        <f>Table3[[#This Row],[Volume, kg.]]/1000</f>
        <v>146.30000000000001</v>
      </c>
      <c r="J1187" s="34">
        <v>0.21559999999999999</v>
      </c>
      <c r="K1187" s="34">
        <f t="shared" si="36"/>
        <v>31542.28</v>
      </c>
      <c r="L1187" s="34">
        <v>2.94</v>
      </c>
      <c r="M1187" s="34">
        <v>430096.5</v>
      </c>
      <c r="N1187" s="34">
        <f t="shared" si="37"/>
        <v>13.636363636363637</v>
      </c>
    </row>
    <row r="1188" spans="1:14" x14ac:dyDescent="0.45">
      <c r="A1188" s="30">
        <v>2023</v>
      </c>
      <c r="B1188" s="30" t="s">
        <v>14</v>
      </c>
      <c r="C1188" s="30" t="s">
        <v>46</v>
      </c>
      <c r="D1188" s="30" t="s">
        <v>47</v>
      </c>
      <c r="E1188" s="31" t="s">
        <v>100</v>
      </c>
      <c r="F1188" s="32" t="s">
        <v>60</v>
      </c>
      <c r="G1188" s="32" t="s">
        <v>50</v>
      </c>
      <c r="H1188" s="33">
        <v>32160</v>
      </c>
      <c r="I1188" s="34">
        <f>Table3[[#This Row],[Volume, kg.]]/1000</f>
        <v>32.159999999999997</v>
      </c>
      <c r="J1188" s="34">
        <v>0.2389</v>
      </c>
      <c r="K1188" s="34">
        <f t="shared" si="36"/>
        <v>7683.0240000000003</v>
      </c>
      <c r="L1188" s="34">
        <v>3.08</v>
      </c>
      <c r="M1188" s="34">
        <v>99002</v>
      </c>
      <c r="N1188" s="34">
        <f t="shared" si="37"/>
        <v>12.89242360820427</v>
      </c>
    </row>
    <row r="1189" spans="1:14" x14ac:dyDescent="0.45">
      <c r="A1189" s="30">
        <v>2023</v>
      </c>
      <c r="B1189" s="30" t="s">
        <v>14</v>
      </c>
      <c r="C1189" s="30" t="s">
        <v>46</v>
      </c>
      <c r="D1189" s="30" t="s">
        <v>47</v>
      </c>
      <c r="E1189" s="31" t="s">
        <v>468</v>
      </c>
      <c r="F1189" s="32" t="s">
        <v>240</v>
      </c>
      <c r="G1189" s="32" t="s">
        <v>50</v>
      </c>
      <c r="H1189" s="33">
        <v>79860</v>
      </c>
      <c r="I1189" s="34">
        <f>Table3[[#This Row],[Volume, kg.]]/1000</f>
        <v>79.86</v>
      </c>
      <c r="J1189" s="34">
        <v>0.20190000000000002</v>
      </c>
      <c r="K1189" s="34">
        <f t="shared" si="36"/>
        <v>16123.734000000002</v>
      </c>
      <c r="L1189" s="34">
        <v>2.91</v>
      </c>
      <c r="M1189" s="34">
        <v>232530.5</v>
      </c>
      <c r="N1189" s="34">
        <f t="shared" si="37"/>
        <v>14.413075780089152</v>
      </c>
    </row>
    <row r="1190" spans="1:14" x14ac:dyDescent="0.45">
      <c r="A1190" s="30">
        <v>2023</v>
      </c>
      <c r="B1190" s="30" t="s">
        <v>14</v>
      </c>
      <c r="C1190" s="30" t="s">
        <v>46</v>
      </c>
      <c r="D1190" s="30" t="s">
        <v>47</v>
      </c>
      <c r="E1190" s="31" t="s">
        <v>501</v>
      </c>
      <c r="F1190" s="32" t="s">
        <v>81</v>
      </c>
      <c r="G1190" s="32" t="s">
        <v>50</v>
      </c>
      <c r="H1190" s="33">
        <v>42990</v>
      </c>
      <c r="I1190" s="34">
        <f>Table3[[#This Row],[Volume, kg.]]/1000</f>
        <v>42.99</v>
      </c>
      <c r="J1190" s="34">
        <v>0.23379999999999998</v>
      </c>
      <c r="K1190" s="34">
        <f t="shared" si="36"/>
        <v>10051.062</v>
      </c>
      <c r="L1190" s="34">
        <v>3.03</v>
      </c>
      <c r="M1190" s="34">
        <v>130090.5</v>
      </c>
      <c r="N1190" s="34">
        <f t="shared" si="37"/>
        <v>12.959794696321643</v>
      </c>
    </row>
    <row r="1191" spans="1:14" x14ac:dyDescent="0.45">
      <c r="A1191" s="30">
        <v>2023</v>
      </c>
      <c r="B1191" s="30" t="s">
        <v>14</v>
      </c>
      <c r="C1191" s="30" t="s">
        <v>46</v>
      </c>
      <c r="D1191" s="30" t="s">
        <v>47</v>
      </c>
      <c r="E1191" s="31" t="s">
        <v>469</v>
      </c>
      <c r="F1191" s="32" t="s">
        <v>57</v>
      </c>
      <c r="G1191" s="32" t="s">
        <v>50</v>
      </c>
      <c r="H1191" s="33">
        <v>18860</v>
      </c>
      <c r="I1191" s="34">
        <f>Table3[[#This Row],[Volume, kg.]]/1000</f>
        <v>18.86</v>
      </c>
      <c r="J1191" s="34">
        <v>0.2432</v>
      </c>
      <c r="K1191" s="34">
        <f t="shared" si="36"/>
        <v>4586.7520000000004</v>
      </c>
      <c r="L1191" s="34">
        <v>3.07</v>
      </c>
      <c r="M1191" s="34">
        <v>57939</v>
      </c>
      <c r="N1191" s="34">
        <f t="shared" si="37"/>
        <v>12.623355263157894</v>
      </c>
    </row>
    <row r="1192" spans="1:14" x14ac:dyDescent="0.45">
      <c r="A1192" s="30">
        <v>2023</v>
      </c>
      <c r="B1192" s="30" t="s">
        <v>14</v>
      </c>
      <c r="C1192" s="30" t="s">
        <v>46</v>
      </c>
      <c r="D1192" s="30" t="s">
        <v>47</v>
      </c>
      <c r="E1192" s="31" t="s">
        <v>283</v>
      </c>
      <c r="F1192" s="32" t="s">
        <v>49</v>
      </c>
      <c r="G1192" s="32" t="s">
        <v>50</v>
      </c>
      <c r="H1192" s="33">
        <v>9780</v>
      </c>
      <c r="I1192" s="34">
        <f>Table3[[#This Row],[Volume, kg.]]/1000</f>
        <v>9.7799999999999994</v>
      </c>
      <c r="J1192" s="34">
        <v>0.22899999999999998</v>
      </c>
      <c r="K1192" s="34">
        <f t="shared" si="36"/>
        <v>2239.62</v>
      </c>
      <c r="L1192" s="34">
        <v>3</v>
      </c>
      <c r="M1192" s="34">
        <v>29340</v>
      </c>
      <c r="N1192" s="34">
        <f t="shared" si="37"/>
        <v>13.100436681222709</v>
      </c>
    </row>
    <row r="1193" spans="1:14" x14ac:dyDescent="0.45">
      <c r="A1193" s="30">
        <v>2023</v>
      </c>
      <c r="B1193" s="30" t="s">
        <v>14</v>
      </c>
      <c r="C1193" s="30" t="s">
        <v>46</v>
      </c>
      <c r="D1193" s="30" t="s">
        <v>47</v>
      </c>
      <c r="E1193" s="31" t="s">
        <v>268</v>
      </c>
      <c r="F1193" s="32" t="s">
        <v>57</v>
      </c>
      <c r="G1193" s="32" t="s">
        <v>50</v>
      </c>
      <c r="H1193" s="33">
        <v>23800</v>
      </c>
      <c r="I1193" s="34">
        <f>Table3[[#This Row],[Volume, kg.]]/1000</f>
        <v>23.8</v>
      </c>
      <c r="J1193" s="34">
        <v>0.24739999999999998</v>
      </c>
      <c r="K1193" s="34">
        <f t="shared" si="36"/>
        <v>5888.12</v>
      </c>
      <c r="L1193" s="34">
        <v>3.12</v>
      </c>
      <c r="M1193" s="34">
        <v>74306</v>
      </c>
      <c r="N1193" s="34">
        <f t="shared" si="37"/>
        <v>12.611156022635409</v>
      </c>
    </row>
    <row r="1194" spans="1:14" x14ac:dyDescent="0.45">
      <c r="A1194" s="30">
        <v>2023</v>
      </c>
      <c r="B1194" s="30" t="s">
        <v>14</v>
      </c>
      <c r="C1194" s="30" t="s">
        <v>46</v>
      </c>
      <c r="D1194" s="30" t="s">
        <v>47</v>
      </c>
      <c r="E1194" s="31" t="s">
        <v>470</v>
      </c>
      <c r="F1194" s="32" t="s">
        <v>57</v>
      </c>
      <c r="G1194" s="32" t="s">
        <v>50</v>
      </c>
      <c r="H1194" s="33">
        <v>25380</v>
      </c>
      <c r="I1194" s="34">
        <f>Table3[[#This Row],[Volume, kg.]]/1000</f>
        <v>25.38</v>
      </c>
      <c r="J1194" s="34">
        <v>0.22190000000000001</v>
      </c>
      <c r="K1194" s="34">
        <f t="shared" si="36"/>
        <v>5631.8220000000001</v>
      </c>
      <c r="L1194" s="34">
        <v>2.93</v>
      </c>
      <c r="M1194" s="34">
        <v>74255</v>
      </c>
      <c r="N1194" s="34">
        <f t="shared" si="37"/>
        <v>13.20414601171699</v>
      </c>
    </row>
    <row r="1195" spans="1:14" x14ac:dyDescent="0.45">
      <c r="A1195" s="30">
        <v>2023</v>
      </c>
      <c r="B1195" s="30" t="s">
        <v>14</v>
      </c>
      <c r="C1195" s="30" t="s">
        <v>46</v>
      </c>
      <c r="D1195" s="30" t="s">
        <v>47</v>
      </c>
      <c r="E1195" s="31" t="s">
        <v>147</v>
      </c>
      <c r="F1195" s="32" t="s">
        <v>57</v>
      </c>
      <c r="G1195" s="32" t="s">
        <v>50</v>
      </c>
      <c r="H1195" s="33">
        <v>81760</v>
      </c>
      <c r="I1195" s="34">
        <f>Table3[[#This Row],[Volume, kg.]]/1000</f>
        <v>81.760000000000005</v>
      </c>
      <c r="J1195" s="34">
        <v>0.22760000000000002</v>
      </c>
      <c r="K1195" s="34">
        <f t="shared" si="36"/>
        <v>18608.576000000001</v>
      </c>
      <c r="L1195" s="34">
        <v>3.07</v>
      </c>
      <c r="M1195" s="34">
        <v>251091</v>
      </c>
      <c r="N1195" s="34">
        <f t="shared" si="37"/>
        <v>13.488576449912124</v>
      </c>
    </row>
    <row r="1196" spans="1:14" x14ac:dyDescent="0.45">
      <c r="A1196" s="30">
        <v>2023</v>
      </c>
      <c r="B1196" s="30" t="s">
        <v>14</v>
      </c>
      <c r="C1196" s="30" t="s">
        <v>46</v>
      </c>
      <c r="D1196" s="30" t="s">
        <v>47</v>
      </c>
      <c r="E1196" s="31" t="s">
        <v>502</v>
      </c>
      <c r="F1196" s="32" t="s">
        <v>49</v>
      </c>
      <c r="G1196" s="32" t="s">
        <v>50</v>
      </c>
      <c r="H1196" s="33">
        <v>6880</v>
      </c>
      <c r="I1196" s="34">
        <f>Table3[[#This Row],[Volume, kg.]]/1000</f>
        <v>6.88</v>
      </c>
      <c r="J1196" s="34">
        <v>0.2205</v>
      </c>
      <c r="K1196" s="34">
        <f t="shared" si="36"/>
        <v>1517.04</v>
      </c>
      <c r="L1196" s="34">
        <v>2.95</v>
      </c>
      <c r="M1196" s="34">
        <v>20296</v>
      </c>
      <c r="N1196" s="34">
        <f t="shared" si="37"/>
        <v>13.378684807256237</v>
      </c>
    </row>
    <row r="1197" spans="1:14" x14ac:dyDescent="0.45">
      <c r="A1197" s="30">
        <v>2023</v>
      </c>
      <c r="B1197" s="30" t="s">
        <v>14</v>
      </c>
      <c r="C1197" s="30" t="s">
        <v>46</v>
      </c>
      <c r="D1197" s="30" t="s">
        <v>47</v>
      </c>
      <c r="E1197" s="31" t="s">
        <v>210</v>
      </c>
      <c r="F1197" s="32" t="s">
        <v>60</v>
      </c>
      <c r="G1197" s="32" t="s">
        <v>50</v>
      </c>
      <c r="H1197" s="33">
        <v>17980</v>
      </c>
      <c r="I1197" s="34">
        <f>Table3[[#This Row],[Volume, kg.]]/1000</f>
        <v>17.98</v>
      </c>
      <c r="J1197" s="34">
        <v>0.26519999999999999</v>
      </c>
      <c r="K1197" s="34">
        <f t="shared" si="36"/>
        <v>4768.2960000000003</v>
      </c>
      <c r="L1197" s="34">
        <v>3.2</v>
      </c>
      <c r="M1197" s="34">
        <v>57566</v>
      </c>
      <c r="N1197" s="34">
        <f t="shared" si="37"/>
        <v>12.06636500754148</v>
      </c>
    </row>
    <row r="1198" spans="1:14" x14ac:dyDescent="0.45">
      <c r="A1198" s="30">
        <v>2023</v>
      </c>
      <c r="B1198" s="30" t="s">
        <v>14</v>
      </c>
      <c r="C1198" s="30" t="s">
        <v>46</v>
      </c>
      <c r="D1198" s="30" t="s">
        <v>47</v>
      </c>
      <c r="E1198" s="31" t="s">
        <v>253</v>
      </c>
      <c r="F1198" s="32" t="s">
        <v>57</v>
      </c>
      <c r="G1198" s="32" t="s">
        <v>50</v>
      </c>
      <c r="H1198" s="33">
        <v>83510</v>
      </c>
      <c r="I1198" s="34">
        <f>Table3[[#This Row],[Volume, kg.]]/1000</f>
        <v>83.51</v>
      </c>
      <c r="J1198" s="34">
        <v>0.21530000000000002</v>
      </c>
      <c r="K1198" s="34">
        <f t="shared" si="36"/>
        <v>17979.703000000001</v>
      </c>
      <c r="L1198" s="34">
        <v>2.99</v>
      </c>
      <c r="M1198" s="34">
        <v>249602.5</v>
      </c>
      <c r="N1198" s="34">
        <f t="shared" si="37"/>
        <v>13.887598699489084</v>
      </c>
    </row>
    <row r="1199" spans="1:14" x14ac:dyDescent="0.45">
      <c r="A1199" s="30">
        <v>2023</v>
      </c>
      <c r="B1199" s="30" t="s">
        <v>14</v>
      </c>
      <c r="C1199" s="30" t="s">
        <v>46</v>
      </c>
      <c r="D1199" s="30" t="s">
        <v>47</v>
      </c>
      <c r="E1199" s="31" t="s">
        <v>471</v>
      </c>
      <c r="F1199" s="32" t="s">
        <v>57</v>
      </c>
      <c r="G1199" s="32" t="s">
        <v>50</v>
      </c>
      <c r="H1199" s="33">
        <v>14050</v>
      </c>
      <c r="I1199" s="34">
        <f>Table3[[#This Row],[Volume, kg.]]/1000</f>
        <v>14.05</v>
      </c>
      <c r="J1199" s="34">
        <v>0.2278</v>
      </c>
      <c r="K1199" s="34">
        <f t="shared" si="36"/>
        <v>3200.59</v>
      </c>
      <c r="L1199" s="34">
        <v>3.08</v>
      </c>
      <c r="M1199" s="34">
        <v>43344</v>
      </c>
      <c r="N1199" s="34">
        <f t="shared" si="37"/>
        <v>13.520632133450395</v>
      </c>
    </row>
    <row r="1200" spans="1:14" x14ac:dyDescent="0.45">
      <c r="A1200" s="30">
        <v>2023</v>
      </c>
      <c r="B1200" s="30" t="s">
        <v>14</v>
      </c>
      <c r="C1200" s="30" t="s">
        <v>46</v>
      </c>
      <c r="D1200" s="30" t="s">
        <v>47</v>
      </c>
      <c r="E1200" s="31" t="s">
        <v>171</v>
      </c>
      <c r="F1200" s="32" t="s">
        <v>49</v>
      </c>
      <c r="G1200" s="32" t="s">
        <v>50</v>
      </c>
      <c r="H1200" s="33">
        <v>64060</v>
      </c>
      <c r="I1200" s="34">
        <f>Table3[[#This Row],[Volume, kg.]]/1000</f>
        <v>64.06</v>
      </c>
      <c r="J1200" s="34">
        <v>0.24390000000000001</v>
      </c>
      <c r="K1200" s="34">
        <f t="shared" si="36"/>
        <v>15624.234</v>
      </c>
      <c r="L1200" s="34">
        <v>3.09</v>
      </c>
      <c r="M1200" s="34">
        <v>198052</v>
      </c>
      <c r="N1200" s="34">
        <f t="shared" si="37"/>
        <v>12.669126691266912</v>
      </c>
    </row>
    <row r="1201" spans="1:14" x14ac:dyDescent="0.45">
      <c r="A1201" s="30">
        <v>2023</v>
      </c>
      <c r="B1201" s="30" t="s">
        <v>14</v>
      </c>
      <c r="C1201" s="30" t="s">
        <v>46</v>
      </c>
      <c r="D1201" s="30" t="s">
        <v>47</v>
      </c>
      <c r="E1201" s="31" t="s">
        <v>217</v>
      </c>
      <c r="F1201" s="32" t="s">
        <v>49</v>
      </c>
      <c r="G1201" s="32" t="s">
        <v>50</v>
      </c>
      <c r="H1201" s="33">
        <v>56620</v>
      </c>
      <c r="I1201" s="34">
        <f>Table3[[#This Row],[Volume, kg.]]/1000</f>
        <v>56.62</v>
      </c>
      <c r="J1201" s="34">
        <v>0.25120000000000003</v>
      </c>
      <c r="K1201" s="34">
        <f t="shared" si="36"/>
        <v>14222.944000000001</v>
      </c>
      <c r="L1201" s="34">
        <v>3.11</v>
      </c>
      <c r="M1201" s="34">
        <v>175838.5</v>
      </c>
      <c r="N1201" s="34">
        <f t="shared" si="37"/>
        <v>12.380573248407641</v>
      </c>
    </row>
    <row r="1202" spans="1:14" x14ac:dyDescent="0.45">
      <c r="A1202" s="30">
        <v>2023</v>
      </c>
      <c r="B1202" s="30" t="s">
        <v>14</v>
      </c>
      <c r="C1202" s="30" t="s">
        <v>46</v>
      </c>
      <c r="D1202" s="30" t="s">
        <v>47</v>
      </c>
      <c r="E1202" s="31" t="s">
        <v>233</v>
      </c>
      <c r="F1202" s="32" t="s">
        <v>57</v>
      </c>
      <c r="G1202" s="32" t="s">
        <v>50</v>
      </c>
      <c r="H1202" s="33">
        <v>105570</v>
      </c>
      <c r="I1202" s="34">
        <f>Table3[[#This Row],[Volume, kg.]]/1000</f>
        <v>105.57</v>
      </c>
      <c r="J1202" s="34">
        <v>0.24429999999999999</v>
      </c>
      <c r="K1202" s="34">
        <f t="shared" si="36"/>
        <v>25790.751</v>
      </c>
      <c r="L1202" s="34">
        <v>3.09</v>
      </c>
      <c r="M1202" s="34">
        <v>326726</v>
      </c>
      <c r="N1202" s="34">
        <f t="shared" si="37"/>
        <v>12.648383135489153</v>
      </c>
    </row>
    <row r="1203" spans="1:14" x14ac:dyDescent="0.45">
      <c r="A1203" s="30">
        <v>2023</v>
      </c>
      <c r="B1203" s="30" t="s">
        <v>14</v>
      </c>
      <c r="C1203" s="30" t="s">
        <v>46</v>
      </c>
      <c r="D1203" s="30" t="s">
        <v>47</v>
      </c>
      <c r="E1203" s="31" t="s">
        <v>445</v>
      </c>
      <c r="F1203" s="32" t="s">
        <v>49</v>
      </c>
      <c r="G1203" s="32" t="s">
        <v>50</v>
      </c>
      <c r="H1203" s="33">
        <v>107700</v>
      </c>
      <c r="I1203" s="34">
        <f>Table3[[#This Row],[Volume, kg.]]/1000</f>
        <v>107.7</v>
      </c>
      <c r="J1203" s="34">
        <v>0.24</v>
      </c>
      <c r="K1203" s="34">
        <f t="shared" si="36"/>
        <v>25848</v>
      </c>
      <c r="L1203" s="34">
        <v>3.09</v>
      </c>
      <c r="M1203" s="34">
        <v>333042.5</v>
      </c>
      <c r="N1203" s="34">
        <f t="shared" si="37"/>
        <v>12.875</v>
      </c>
    </row>
    <row r="1204" spans="1:14" x14ac:dyDescent="0.45">
      <c r="A1204" s="30">
        <v>2023</v>
      </c>
      <c r="B1204" s="30" t="s">
        <v>14</v>
      </c>
      <c r="C1204" s="30" t="s">
        <v>46</v>
      </c>
      <c r="D1204" s="30" t="s">
        <v>47</v>
      </c>
      <c r="E1204" s="31" t="s">
        <v>89</v>
      </c>
      <c r="F1204" s="32" t="s">
        <v>81</v>
      </c>
      <c r="G1204" s="32" t="s">
        <v>50</v>
      </c>
      <c r="H1204" s="33">
        <v>65530</v>
      </c>
      <c r="I1204" s="34">
        <f>Table3[[#This Row],[Volume, kg.]]/1000</f>
        <v>65.53</v>
      </c>
      <c r="J1204" s="34">
        <v>0.2213</v>
      </c>
      <c r="K1204" s="34">
        <f t="shared" si="36"/>
        <v>14501.789000000001</v>
      </c>
      <c r="L1204" s="34">
        <v>2.97</v>
      </c>
      <c r="M1204" s="34">
        <v>194529.5</v>
      </c>
      <c r="N1204" s="34">
        <f t="shared" si="37"/>
        <v>13.420695887934931</v>
      </c>
    </row>
    <row r="1205" spans="1:14" x14ac:dyDescent="0.45">
      <c r="A1205" s="30">
        <v>2023</v>
      </c>
      <c r="B1205" s="30" t="s">
        <v>14</v>
      </c>
      <c r="C1205" s="30" t="s">
        <v>46</v>
      </c>
      <c r="D1205" s="30" t="s">
        <v>47</v>
      </c>
      <c r="E1205" s="31" t="s">
        <v>503</v>
      </c>
      <c r="F1205" s="32" t="s">
        <v>49</v>
      </c>
      <c r="G1205" s="32" t="s">
        <v>50</v>
      </c>
      <c r="H1205" s="33">
        <v>13910</v>
      </c>
      <c r="I1205" s="34">
        <f>Table3[[#This Row],[Volume, kg.]]/1000</f>
        <v>13.91</v>
      </c>
      <c r="J1205" s="34">
        <v>0.21729999999999999</v>
      </c>
      <c r="K1205" s="34">
        <f t="shared" si="36"/>
        <v>3022.643</v>
      </c>
      <c r="L1205" s="34">
        <v>2.93</v>
      </c>
      <c r="M1205" s="34">
        <v>40812</v>
      </c>
      <c r="N1205" s="34">
        <f t="shared" si="37"/>
        <v>13.483663138518178</v>
      </c>
    </row>
    <row r="1206" spans="1:14" x14ac:dyDescent="0.45">
      <c r="A1206" s="30">
        <v>2023</v>
      </c>
      <c r="B1206" s="30" t="s">
        <v>14</v>
      </c>
      <c r="C1206" s="30" t="s">
        <v>46</v>
      </c>
      <c r="D1206" s="30" t="s">
        <v>47</v>
      </c>
      <c r="E1206" s="31" t="s">
        <v>56</v>
      </c>
      <c r="F1206" s="32" t="s">
        <v>57</v>
      </c>
      <c r="G1206" s="32" t="s">
        <v>50</v>
      </c>
      <c r="H1206" s="33">
        <v>12750</v>
      </c>
      <c r="I1206" s="34">
        <f>Table3[[#This Row],[Volume, kg.]]/1000</f>
        <v>12.75</v>
      </c>
      <c r="J1206" s="34">
        <v>0.19829999999999998</v>
      </c>
      <c r="K1206" s="34">
        <f t="shared" si="36"/>
        <v>2528.3249999999998</v>
      </c>
      <c r="L1206" s="34">
        <v>2.76</v>
      </c>
      <c r="M1206" s="34">
        <v>35163</v>
      </c>
      <c r="N1206" s="34">
        <f t="shared" si="37"/>
        <v>13.918305597579426</v>
      </c>
    </row>
    <row r="1207" spans="1:14" x14ac:dyDescent="0.45">
      <c r="A1207" s="30">
        <v>2023</v>
      </c>
      <c r="B1207" s="30" t="s">
        <v>14</v>
      </c>
      <c r="C1207" s="30" t="s">
        <v>46</v>
      </c>
      <c r="D1207" s="30" t="s">
        <v>47</v>
      </c>
      <c r="E1207" s="31" t="s">
        <v>90</v>
      </c>
      <c r="F1207" s="32" t="s">
        <v>49</v>
      </c>
      <c r="G1207" s="32" t="s">
        <v>50</v>
      </c>
      <c r="H1207" s="33">
        <v>178740</v>
      </c>
      <c r="I1207" s="34">
        <f>Table3[[#This Row],[Volume, kg.]]/1000</f>
        <v>178.74</v>
      </c>
      <c r="J1207" s="34">
        <v>0.23300000000000001</v>
      </c>
      <c r="K1207" s="34">
        <f t="shared" si="36"/>
        <v>41646.420000000006</v>
      </c>
      <c r="L1207" s="34">
        <v>3.03</v>
      </c>
      <c r="M1207" s="34">
        <v>540742.5</v>
      </c>
      <c r="N1207" s="34">
        <f t="shared" si="37"/>
        <v>13.00429184549356</v>
      </c>
    </row>
    <row r="1208" spans="1:14" x14ac:dyDescent="0.45">
      <c r="A1208" s="30">
        <v>2023</v>
      </c>
      <c r="B1208" s="30" t="s">
        <v>14</v>
      </c>
      <c r="C1208" s="30" t="s">
        <v>46</v>
      </c>
      <c r="D1208" s="30" t="s">
        <v>47</v>
      </c>
      <c r="E1208" s="31" t="s">
        <v>275</v>
      </c>
      <c r="F1208" s="32" t="s">
        <v>54</v>
      </c>
      <c r="G1208" s="32" t="s">
        <v>50</v>
      </c>
      <c r="H1208" s="33">
        <v>57920</v>
      </c>
      <c r="I1208" s="34">
        <f>Table3[[#This Row],[Volume, kg.]]/1000</f>
        <v>57.92</v>
      </c>
      <c r="J1208" s="34">
        <v>0.2104</v>
      </c>
      <c r="K1208" s="34">
        <f t="shared" si="36"/>
        <v>12186.368</v>
      </c>
      <c r="L1208" s="34">
        <v>2.86</v>
      </c>
      <c r="M1208" s="34">
        <v>165849</v>
      </c>
      <c r="N1208" s="34">
        <f t="shared" si="37"/>
        <v>13.593155893536121</v>
      </c>
    </row>
    <row r="1209" spans="1:14" x14ac:dyDescent="0.45">
      <c r="A1209" s="30">
        <v>2023</v>
      </c>
      <c r="B1209" s="30" t="s">
        <v>14</v>
      </c>
      <c r="C1209" s="30" t="s">
        <v>46</v>
      </c>
      <c r="D1209" s="30" t="s">
        <v>47</v>
      </c>
      <c r="E1209" s="31" t="s">
        <v>278</v>
      </c>
      <c r="F1209" s="32" t="s">
        <v>49</v>
      </c>
      <c r="G1209" s="32" t="s">
        <v>50</v>
      </c>
      <c r="H1209" s="33">
        <v>42220</v>
      </c>
      <c r="I1209" s="34">
        <f>Table3[[#This Row],[Volume, kg.]]/1000</f>
        <v>42.22</v>
      </c>
      <c r="J1209" s="34">
        <v>0.2452</v>
      </c>
      <c r="K1209" s="34">
        <f t="shared" si="36"/>
        <v>10352.344000000001</v>
      </c>
      <c r="L1209" s="34">
        <v>3.07</v>
      </c>
      <c r="M1209" s="34">
        <v>129641</v>
      </c>
      <c r="N1209" s="34">
        <f t="shared" si="37"/>
        <v>12.520391517128873</v>
      </c>
    </row>
    <row r="1210" spans="1:14" x14ac:dyDescent="0.45">
      <c r="A1210" s="30">
        <v>2023</v>
      </c>
      <c r="B1210" s="30" t="s">
        <v>14</v>
      </c>
      <c r="C1210" s="30" t="s">
        <v>46</v>
      </c>
      <c r="D1210" s="30" t="s">
        <v>47</v>
      </c>
      <c r="E1210" s="31" t="s">
        <v>362</v>
      </c>
      <c r="F1210" s="32" t="s">
        <v>49</v>
      </c>
      <c r="G1210" s="32" t="s">
        <v>50</v>
      </c>
      <c r="H1210" s="33">
        <v>16300</v>
      </c>
      <c r="I1210" s="34">
        <f>Table3[[#This Row],[Volume, kg.]]/1000</f>
        <v>16.3</v>
      </c>
      <c r="J1210" s="34">
        <v>0.22850000000000001</v>
      </c>
      <c r="K1210" s="34">
        <f t="shared" si="36"/>
        <v>3724.55</v>
      </c>
      <c r="L1210" s="34">
        <v>3.06</v>
      </c>
      <c r="M1210" s="34">
        <v>49822</v>
      </c>
      <c r="N1210" s="34">
        <f t="shared" si="37"/>
        <v>13.391684901531729</v>
      </c>
    </row>
    <row r="1211" spans="1:14" x14ac:dyDescent="0.45">
      <c r="A1211" s="30">
        <v>2023</v>
      </c>
      <c r="B1211" s="30" t="s">
        <v>14</v>
      </c>
      <c r="C1211" s="30" t="s">
        <v>46</v>
      </c>
      <c r="D1211" s="30" t="s">
        <v>47</v>
      </c>
      <c r="E1211" s="31" t="s">
        <v>311</v>
      </c>
      <c r="F1211" s="32" t="s">
        <v>57</v>
      </c>
      <c r="G1211" s="32" t="s">
        <v>50</v>
      </c>
      <c r="H1211" s="33">
        <v>26350</v>
      </c>
      <c r="I1211" s="34">
        <f>Table3[[#This Row],[Volume, kg.]]/1000</f>
        <v>26.35</v>
      </c>
      <c r="J1211" s="34">
        <v>0.23039999999999999</v>
      </c>
      <c r="K1211" s="34">
        <f t="shared" si="36"/>
        <v>6071.04</v>
      </c>
      <c r="L1211" s="34">
        <v>3.05</v>
      </c>
      <c r="M1211" s="34">
        <v>80284.5</v>
      </c>
      <c r="N1211" s="34">
        <f t="shared" si="37"/>
        <v>13.237847222222221</v>
      </c>
    </row>
    <row r="1212" spans="1:14" x14ac:dyDescent="0.45">
      <c r="A1212" s="30">
        <v>2023</v>
      </c>
      <c r="B1212" s="30" t="s">
        <v>14</v>
      </c>
      <c r="C1212" s="30" t="s">
        <v>46</v>
      </c>
      <c r="D1212" s="30" t="s">
        <v>47</v>
      </c>
      <c r="E1212" s="31" t="s">
        <v>361</v>
      </c>
      <c r="F1212" s="32" t="s">
        <v>57</v>
      </c>
      <c r="G1212" s="32" t="s">
        <v>50</v>
      </c>
      <c r="H1212" s="33">
        <v>45690</v>
      </c>
      <c r="I1212" s="34">
        <f>Table3[[#This Row],[Volume, kg.]]/1000</f>
        <v>45.69</v>
      </c>
      <c r="J1212" s="34">
        <v>0.2316</v>
      </c>
      <c r="K1212" s="34">
        <f t="shared" si="36"/>
        <v>10581.804</v>
      </c>
      <c r="L1212" s="34">
        <v>3.1</v>
      </c>
      <c r="M1212" s="34">
        <v>141490.5</v>
      </c>
      <c r="N1212" s="34">
        <f t="shared" si="37"/>
        <v>13.385146804835925</v>
      </c>
    </row>
    <row r="1213" spans="1:14" x14ac:dyDescent="0.45">
      <c r="A1213" s="30">
        <v>2023</v>
      </c>
      <c r="B1213" s="30" t="s">
        <v>14</v>
      </c>
      <c r="C1213" s="30" t="s">
        <v>46</v>
      </c>
      <c r="D1213" s="30" t="s">
        <v>47</v>
      </c>
      <c r="E1213" s="31" t="s">
        <v>356</v>
      </c>
      <c r="F1213" s="32" t="s">
        <v>49</v>
      </c>
      <c r="G1213" s="32" t="s">
        <v>50</v>
      </c>
      <c r="H1213" s="33">
        <v>12690</v>
      </c>
      <c r="I1213" s="34">
        <f>Table3[[#This Row],[Volume, kg.]]/1000</f>
        <v>12.69</v>
      </c>
      <c r="J1213" s="34">
        <v>0.22059999999999999</v>
      </c>
      <c r="K1213" s="34">
        <f t="shared" si="36"/>
        <v>2799.4139999999998</v>
      </c>
      <c r="L1213" s="34">
        <v>3.02</v>
      </c>
      <c r="M1213" s="34">
        <v>38280.5</v>
      </c>
      <c r="N1213" s="34">
        <f t="shared" si="37"/>
        <v>13.689936536718042</v>
      </c>
    </row>
    <row r="1214" spans="1:14" x14ac:dyDescent="0.45">
      <c r="A1214" s="30">
        <v>2023</v>
      </c>
      <c r="B1214" s="30" t="s">
        <v>14</v>
      </c>
      <c r="C1214" s="30" t="s">
        <v>46</v>
      </c>
      <c r="D1214" s="30" t="s">
        <v>47</v>
      </c>
      <c r="E1214" s="31" t="s">
        <v>153</v>
      </c>
      <c r="F1214" s="32" t="s">
        <v>57</v>
      </c>
      <c r="G1214" s="32" t="s">
        <v>50</v>
      </c>
      <c r="H1214" s="33">
        <v>78940</v>
      </c>
      <c r="I1214" s="34">
        <f>Table3[[#This Row],[Volume, kg.]]/1000</f>
        <v>78.94</v>
      </c>
      <c r="J1214" s="34">
        <v>0.23</v>
      </c>
      <c r="K1214" s="34">
        <f t="shared" si="36"/>
        <v>18156.2</v>
      </c>
      <c r="L1214" s="34">
        <v>3.03</v>
      </c>
      <c r="M1214" s="34">
        <v>239334.5</v>
      </c>
      <c r="N1214" s="34">
        <f t="shared" si="37"/>
        <v>13.17391304347826</v>
      </c>
    </row>
    <row r="1215" spans="1:14" x14ac:dyDescent="0.45">
      <c r="A1215" s="30">
        <v>2023</v>
      </c>
      <c r="B1215" s="30" t="s">
        <v>14</v>
      </c>
      <c r="C1215" s="30" t="s">
        <v>46</v>
      </c>
      <c r="D1215" s="30" t="s">
        <v>47</v>
      </c>
      <c r="E1215" s="31" t="s">
        <v>472</v>
      </c>
      <c r="F1215" s="32" t="s">
        <v>57</v>
      </c>
      <c r="G1215" s="32" t="s">
        <v>50</v>
      </c>
      <c r="H1215" s="33">
        <v>34150</v>
      </c>
      <c r="I1215" s="34">
        <f>Table3[[#This Row],[Volume, kg.]]/1000</f>
        <v>34.15</v>
      </c>
      <c r="J1215" s="34">
        <v>0.2228</v>
      </c>
      <c r="K1215" s="34">
        <f t="shared" si="36"/>
        <v>7608.62</v>
      </c>
      <c r="L1215" s="34">
        <v>3.03</v>
      </c>
      <c r="M1215" s="34">
        <v>103495</v>
      </c>
      <c r="N1215" s="34">
        <f t="shared" si="37"/>
        <v>13.59964093357271</v>
      </c>
    </row>
    <row r="1216" spans="1:14" x14ac:dyDescent="0.45">
      <c r="A1216" s="30">
        <v>2023</v>
      </c>
      <c r="B1216" s="30" t="s">
        <v>14</v>
      </c>
      <c r="C1216" s="30" t="s">
        <v>46</v>
      </c>
      <c r="D1216" s="30" t="s">
        <v>47</v>
      </c>
      <c r="E1216" s="31" t="s">
        <v>504</v>
      </c>
      <c r="F1216" s="32" t="s">
        <v>60</v>
      </c>
      <c r="G1216" s="32" t="s">
        <v>50</v>
      </c>
      <c r="H1216" s="33">
        <v>27460</v>
      </c>
      <c r="I1216" s="34">
        <f>Table3[[#This Row],[Volume, kg.]]/1000</f>
        <v>27.46</v>
      </c>
      <c r="J1216" s="34">
        <v>0.21050000000000002</v>
      </c>
      <c r="K1216" s="34">
        <f t="shared" si="36"/>
        <v>5780.3300000000008</v>
      </c>
      <c r="L1216" s="34">
        <v>2.91</v>
      </c>
      <c r="M1216" s="34">
        <v>79958.5</v>
      </c>
      <c r="N1216" s="34">
        <f t="shared" si="37"/>
        <v>13.824228028503562</v>
      </c>
    </row>
    <row r="1217" spans="1:14" x14ac:dyDescent="0.45">
      <c r="A1217" s="30">
        <v>2023</v>
      </c>
      <c r="B1217" s="30" t="s">
        <v>14</v>
      </c>
      <c r="C1217" s="30" t="s">
        <v>46</v>
      </c>
      <c r="D1217" s="30" t="s">
        <v>47</v>
      </c>
      <c r="E1217" s="31" t="s">
        <v>116</v>
      </c>
      <c r="F1217" s="32" t="s">
        <v>81</v>
      </c>
      <c r="G1217" s="32" t="s">
        <v>50</v>
      </c>
      <c r="H1217" s="33">
        <v>6470</v>
      </c>
      <c r="I1217" s="34">
        <f>Table3[[#This Row],[Volume, kg.]]/1000</f>
        <v>6.47</v>
      </c>
      <c r="J1217" s="34">
        <v>0.185</v>
      </c>
      <c r="K1217" s="34">
        <f t="shared" si="36"/>
        <v>1196.95</v>
      </c>
      <c r="L1217" s="34">
        <v>2.7</v>
      </c>
      <c r="M1217" s="34">
        <v>17469</v>
      </c>
      <c r="N1217" s="34">
        <f t="shared" si="37"/>
        <v>14.594594594594597</v>
      </c>
    </row>
    <row r="1218" spans="1:14" x14ac:dyDescent="0.45">
      <c r="A1218" s="30">
        <v>2023</v>
      </c>
      <c r="B1218" s="30" t="s">
        <v>14</v>
      </c>
      <c r="C1218" s="30" t="s">
        <v>46</v>
      </c>
      <c r="D1218" s="30" t="s">
        <v>47</v>
      </c>
      <c r="E1218" s="31" t="s">
        <v>200</v>
      </c>
      <c r="F1218" s="32" t="s">
        <v>64</v>
      </c>
      <c r="G1218" s="32" t="s">
        <v>50</v>
      </c>
      <c r="H1218" s="33">
        <v>37590</v>
      </c>
      <c r="I1218" s="34">
        <f>Table3[[#This Row],[Volume, kg.]]/1000</f>
        <v>37.590000000000003</v>
      </c>
      <c r="J1218" s="34">
        <v>0.21249999999999999</v>
      </c>
      <c r="K1218" s="34">
        <f t="shared" si="36"/>
        <v>7987.875</v>
      </c>
      <c r="L1218" s="34">
        <v>2.91</v>
      </c>
      <c r="M1218" s="34">
        <v>109252.5</v>
      </c>
      <c r="N1218" s="34">
        <f t="shared" si="37"/>
        <v>13.694117647058825</v>
      </c>
    </row>
    <row r="1219" spans="1:14" x14ac:dyDescent="0.45">
      <c r="A1219" s="30">
        <v>2023</v>
      </c>
      <c r="B1219" s="30" t="s">
        <v>14</v>
      </c>
      <c r="C1219" s="30" t="s">
        <v>46</v>
      </c>
      <c r="D1219" s="30" t="s">
        <v>47</v>
      </c>
      <c r="E1219" s="31" t="s">
        <v>306</v>
      </c>
      <c r="F1219" s="32" t="s">
        <v>60</v>
      </c>
      <c r="G1219" s="32" t="s">
        <v>50</v>
      </c>
      <c r="H1219" s="33">
        <v>56470</v>
      </c>
      <c r="I1219" s="34">
        <f>Table3[[#This Row],[Volume, kg.]]/1000</f>
        <v>56.47</v>
      </c>
      <c r="J1219" s="34">
        <v>0.24670000000000003</v>
      </c>
      <c r="K1219" s="34">
        <f t="shared" ref="K1219:K1282" si="38">H1219*J1219</f>
        <v>13931.149000000001</v>
      </c>
      <c r="L1219" s="34">
        <v>3.11</v>
      </c>
      <c r="M1219" s="34">
        <v>175622.5</v>
      </c>
      <c r="N1219" s="34">
        <f t="shared" si="37"/>
        <v>12.606404539927034</v>
      </c>
    </row>
    <row r="1220" spans="1:14" x14ac:dyDescent="0.45">
      <c r="A1220" s="30">
        <v>2023</v>
      </c>
      <c r="B1220" s="30" t="s">
        <v>14</v>
      </c>
      <c r="C1220" s="30" t="s">
        <v>46</v>
      </c>
      <c r="D1220" s="30" t="s">
        <v>47</v>
      </c>
      <c r="E1220" s="31" t="s">
        <v>458</v>
      </c>
      <c r="F1220" s="32" t="s">
        <v>60</v>
      </c>
      <c r="G1220" s="32" t="s">
        <v>50</v>
      </c>
      <c r="H1220" s="33">
        <v>5210</v>
      </c>
      <c r="I1220" s="34">
        <f>Table3[[#This Row],[Volume, kg.]]/1000</f>
        <v>5.21</v>
      </c>
      <c r="J1220" s="34">
        <v>0.217</v>
      </c>
      <c r="K1220" s="34">
        <f t="shared" si="38"/>
        <v>1130.57</v>
      </c>
      <c r="L1220" s="34">
        <v>2.95</v>
      </c>
      <c r="M1220" s="34">
        <v>15369.5</v>
      </c>
      <c r="N1220" s="34">
        <f t="shared" ref="N1220:N1283" si="39">L1220/J1220</f>
        <v>13.59447004608295</v>
      </c>
    </row>
    <row r="1221" spans="1:14" x14ac:dyDescent="0.45">
      <c r="A1221" s="30">
        <v>2023</v>
      </c>
      <c r="B1221" s="30" t="s">
        <v>14</v>
      </c>
      <c r="C1221" s="30" t="s">
        <v>46</v>
      </c>
      <c r="D1221" s="30" t="s">
        <v>102</v>
      </c>
      <c r="E1221" s="31" t="s">
        <v>330</v>
      </c>
      <c r="F1221" s="32" t="s">
        <v>331</v>
      </c>
      <c r="G1221" s="32" t="s">
        <v>105</v>
      </c>
      <c r="H1221" s="33">
        <v>114380</v>
      </c>
      <c r="I1221" s="34">
        <f>Table3[[#This Row],[Volume, kg.]]/1000</f>
        <v>114.38</v>
      </c>
      <c r="J1221" s="34">
        <v>0.18899999999999997</v>
      </c>
      <c r="K1221" s="34">
        <f t="shared" si="38"/>
        <v>21617.819999999996</v>
      </c>
      <c r="L1221" s="34">
        <v>2.95</v>
      </c>
      <c r="M1221" s="34">
        <v>337379</v>
      </c>
      <c r="N1221" s="34">
        <f t="shared" si="39"/>
        <v>15.608465608465611</v>
      </c>
    </row>
    <row r="1222" spans="1:14" x14ac:dyDescent="0.45">
      <c r="A1222" s="30">
        <v>2023</v>
      </c>
      <c r="B1222" s="30" t="s">
        <v>14</v>
      </c>
      <c r="C1222" s="30" t="s">
        <v>46</v>
      </c>
      <c r="D1222" s="30" t="s">
        <v>47</v>
      </c>
      <c r="E1222" s="31" t="s">
        <v>197</v>
      </c>
      <c r="F1222" s="32" t="s">
        <v>57</v>
      </c>
      <c r="G1222" s="32" t="s">
        <v>50</v>
      </c>
      <c r="H1222" s="33">
        <v>181840</v>
      </c>
      <c r="I1222" s="34">
        <f>Table3[[#This Row],[Volume, kg.]]/1000</f>
        <v>181.84</v>
      </c>
      <c r="J1222" s="34">
        <v>0.21829999999999999</v>
      </c>
      <c r="K1222" s="34">
        <f t="shared" si="38"/>
        <v>39695.671999999999</v>
      </c>
      <c r="L1222" s="34">
        <v>2.95</v>
      </c>
      <c r="M1222" s="34">
        <v>535650</v>
      </c>
      <c r="N1222" s="34">
        <f t="shared" si="39"/>
        <v>13.513513513513514</v>
      </c>
    </row>
    <row r="1223" spans="1:14" x14ac:dyDescent="0.45">
      <c r="A1223" s="30">
        <v>2023</v>
      </c>
      <c r="B1223" s="30" t="s">
        <v>14</v>
      </c>
      <c r="C1223" s="30" t="s">
        <v>46</v>
      </c>
      <c r="D1223" s="30" t="s">
        <v>47</v>
      </c>
      <c r="E1223" s="31" t="s">
        <v>177</v>
      </c>
      <c r="F1223" s="32" t="s">
        <v>49</v>
      </c>
      <c r="G1223" s="32" t="s">
        <v>50</v>
      </c>
      <c r="H1223" s="33">
        <v>132970</v>
      </c>
      <c r="I1223" s="34">
        <f>Table3[[#This Row],[Volume, kg.]]/1000</f>
        <v>132.97</v>
      </c>
      <c r="J1223" s="34">
        <v>0.21829999999999999</v>
      </c>
      <c r="K1223" s="34">
        <f t="shared" si="38"/>
        <v>29027.350999999999</v>
      </c>
      <c r="L1223" s="34">
        <v>2.95</v>
      </c>
      <c r="M1223" s="34">
        <v>392008</v>
      </c>
      <c r="N1223" s="34">
        <f t="shared" si="39"/>
        <v>13.513513513513514</v>
      </c>
    </row>
    <row r="1224" spans="1:14" x14ac:dyDescent="0.45">
      <c r="A1224" s="30">
        <v>2023</v>
      </c>
      <c r="B1224" s="30" t="s">
        <v>14</v>
      </c>
      <c r="C1224" s="30" t="s">
        <v>46</v>
      </c>
      <c r="D1224" s="30" t="s">
        <v>47</v>
      </c>
      <c r="E1224" s="31" t="s">
        <v>206</v>
      </c>
      <c r="F1224" s="32" t="s">
        <v>81</v>
      </c>
      <c r="G1224" s="32" t="s">
        <v>50</v>
      </c>
      <c r="H1224" s="33">
        <v>82000</v>
      </c>
      <c r="I1224" s="34">
        <f>Table3[[#This Row],[Volume, kg.]]/1000</f>
        <v>82</v>
      </c>
      <c r="J1224" s="34">
        <v>0.22920000000000001</v>
      </c>
      <c r="K1224" s="34">
        <f t="shared" si="38"/>
        <v>18794.400000000001</v>
      </c>
      <c r="L1224" s="34">
        <v>2.99</v>
      </c>
      <c r="M1224" s="34">
        <v>245318</v>
      </c>
      <c r="N1224" s="34">
        <f t="shared" si="39"/>
        <v>13.045375218150088</v>
      </c>
    </row>
    <row r="1225" spans="1:14" x14ac:dyDescent="0.45">
      <c r="A1225" s="30">
        <v>2023</v>
      </c>
      <c r="B1225" s="30" t="s">
        <v>14</v>
      </c>
      <c r="C1225" s="30" t="s">
        <v>46</v>
      </c>
      <c r="D1225" s="30" t="s">
        <v>47</v>
      </c>
      <c r="E1225" s="31" t="s">
        <v>282</v>
      </c>
      <c r="F1225" s="32" t="s">
        <v>49</v>
      </c>
      <c r="G1225" s="32" t="s">
        <v>50</v>
      </c>
      <c r="H1225" s="33">
        <v>11600</v>
      </c>
      <c r="I1225" s="34">
        <f>Table3[[#This Row],[Volume, kg.]]/1000</f>
        <v>11.6</v>
      </c>
      <c r="J1225" s="34">
        <v>0.22550000000000001</v>
      </c>
      <c r="K1225" s="34">
        <f t="shared" si="38"/>
        <v>2615.8000000000002</v>
      </c>
      <c r="L1225" s="34">
        <v>3</v>
      </c>
      <c r="M1225" s="34">
        <v>34800</v>
      </c>
      <c r="N1225" s="34">
        <f t="shared" si="39"/>
        <v>13.303769401330376</v>
      </c>
    </row>
    <row r="1226" spans="1:14" x14ac:dyDescent="0.45">
      <c r="A1226" s="30">
        <v>2023</v>
      </c>
      <c r="B1226" s="30" t="s">
        <v>14</v>
      </c>
      <c r="C1226" s="30" t="s">
        <v>46</v>
      </c>
      <c r="D1226" s="30" t="s">
        <v>47</v>
      </c>
      <c r="E1226" s="31" t="s">
        <v>350</v>
      </c>
      <c r="F1226" s="32" t="s">
        <v>49</v>
      </c>
      <c r="G1226" s="32" t="s">
        <v>50</v>
      </c>
      <c r="H1226" s="33">
        <v>151350</v>
      </c>
      <c r="I1226" s="34">
        <f>Table3[[#This Row],[Volume, kg.]]/1000</f>
        <v>151.35</v>
      </c>
      <c r="J1226" s="34">
        <v>0.2462</v>
      </c>
      <c r="K1226" s="34">
        <f t="shared" si="38"/>
        <v>37262.370000000003</v>
      </c>
      <c r="L1226" s="34">
        <v>3.09</v>
      </c>
      <c r="M1226" s="34">
        <v>467658.5</v>
      </c>
      <c r="N1226" s="34">
        <f t="shared" si="39"/>
        <v>12.550771730300568</v>
      </c>
    </row>
    <row r="1227" spans="1:14" x14ac:dyDescent="0.45">
      <c r="A1227" s="30">
        <v>2023</v>
      </c>
      <c r="B1227" s="30" t="s">
        <v>14</v>
      </c>
      <c r="C1227" s="30" t="s">
        <v>46</v>
      </c>
      <c r="D1227" s="30" t="s">
        <v>47</v>
      </c>
      <c r="E1227" s="31" t="s">
        <v>505</v>
      </c>
      <c r="F1227" s="32" t="s">
        <v>81</v>
      </c>
      <c r="G1227" s="32" t="s">
        <v>50</v>
      </c>
      <c r="H1227" s="33">
        <v>14000</v>
      </c>
      <c r="I1227" s="34">
        <f>Table3[[#This Row],[Volume, kg.]]/1000</f>
        <v>14</v>
      </c>
      <c r="J1227" s="34">
        <v>0.20860000000000001</v>
      </c>
      <c r="K1227" s="34">
        <f t="shared" si="38"/>
        <v>2920.4</v>
      </c>
      <c r="L1227" s="34">
        <v>2.94</v>
      </c>
      <c r="M1227" s="34">
        <v>41181.5</v>
      </c>
      <c r="N1227" s="34">
        <f t="shared" si="39"/>
        <v>14.093959731543624</v>
      </c>
    </row>
    <row r="1228" spans="1:14" x14ac:dyDescent="0.45">
      <c r="A1228" s="30">
        <v>2023</v>
      </c>
      <c r="B1228" s="30" t="s">
        <v>14</v>
      </c>
      <c r="C1228" s="30" t="s">
        <v>46</v>
      </c>
      <c r="D1228" s="30" t="s">
        <v>47</v>
      </c>
      <c r="E1228" s="31" t="s">
        <v>292</v>
      </c>
      <c r="F1228" s="32" t="s">
        <v>60</v>
      </c>
      <c r="G1228" s="32" t="s">
        <v>50</v>
      </c>
      <c r="H1228" s="33">
        <v>4810</v>
      </c>
      <c r="I1228" s="34">
        <f>Table3[[#This Row],[Volume, kg.]]/1000</f>
        <v>4.8099999999999996</v>
      </c>
      <c r="J1228" s="34">
        <v>0.23600000000000002</v>
      </c>
      <c r="K1228" s="34">
        <f t="shared" si="38"/>
        <v>1135.1600000000001</v>
      </c>
      <c r="L1228" s="34">
        <v>3.05</v>
      </c>
      <c r="M1228" s="34">
        <v>14670.5</v>
      </c>
      <c r="N1228" s="34">
        <f t="shared" si="39"/>
        <v>12.92372881355932</v>
      </c>
    </row>
    <row r="1229" spans="1:14" x14ac:dyDescent="0.45">
      <c r="A1229" s="30">
        <v>2023</v>
      </c>
      <c r="B1229" s="30" t="s">
        <v>14</v>
      </c>
      <c r="C1229" s="30" t="s">
        <v>46</v>
      </c>
      <c r="D1229" s="30" t="s">
        <v>47</v>
      </c>
      <c r="E1229" s="31" t="s">
        <v>506</v>
      </c>
      <c r="F1229" s="32" t="s">
        <v>57</v>
      </c>
      <c r="G1229" s="32" t="s">
        <v>50</v>
      </c>
      <c r="H1229" s="33">
        <v>9600</v>
      </c>
      <c r="I1229" s="34">
        <f>Table3[[#This Row],[Volume, kg.]]/1000</f>
        <v>9.6</v>
      </c>
      <c r="J1229" s="34">
        <v>0.1837</v>
      </c>
      <c r="K1229" s="34">
        <f t="shared" si="38"/>
        <v>1763.52</v>
      </c>
      <c r="L1229" s="34">
        <v>2.82</v>
      </c>
      <c r="M1229" s="34">
        <v>27060</v>
      </c>
      <c r="N1229" s="34">
        <f t="shared" si="39"/>
        <v>15.351115949918345</v>
      </c>
    </row>
    <row r="1230" spans="1:14" x14ac:dyDescent="0.45">
      <c r="A1230" s="30">
        <v>2023</v>
      </c>
      <c r="B1230" s="30" t="s">
        <v>14</v>
      </c>
      <c r="C1230" s="30" t="s">
        <v>46</v>
      </c>
      <c r="D1230" s="30" t="s">
        <v>47</v>
      </c>
      <c r="E1230" s="31" t="s">
        <v>395</v>
      </c>
      <c r="F1230" s="32" t="s">
        <v>81</v>
      </c>
      <c r="G1230" s="32" t="s">
        <v>50</v>
      </c>
      <c r="H1230" s="33">
        <v>139110</v>
      </c>
      <c r="I1230" s="34">
        <f>Table3[[#This Row],[Volume, kg.]]/1000</f>
        <v>139.11000000000001</v>
      </c>
      <c r="J1230" s="34">
        <v>0.2014</v>
      </c>
      <c r="K1230" s="34">
        <f t="shared" si="38"/>
        <v>28016.754000000001</v>
      </c>
      <c r="L1230" s="34">
        <v>2.89</v>
      </c>
      <c r="M1230" s="34">
        <v>401694</v>
      </c>
      <c r="N1230" s="34">
        <f t="shared" si="39"/>
        <v>14.349553128103278</v>
      </c>
    </row>
    <row r="1231" spans="1:14" x14ac:dyDescent="0.45">
      <c r="A1231" s="30">
        <v>2023</v>
      </c>
      <c r="B1231" s="30" t="s">
        <v>14</v>
      </c>
      <c r="C1231" s="30" t="s">
        <v>46</v>
      </c>
      <c r="D1231" s="30" t="s">
        <v>47</v>
      </c>
      <c r="E1231" s="31" t="s">
        <v>312</v>
      </c>
      <c r="F1231" s="32" t="s">
        <v>60</v>
      </c>
      <c r="G1231" s="32" t="s">
        <v>50</v>
      </c>
      <c r="H1231" s="33">
        <v>86400</v>
      </c>
      <c r="I1231" s="34">
        <f>Table3[[#This Row],[Volume, kg.]]/1000</f>
        <v>86.4</v>
      </c>
      <c r="J1231" s="34">
        <v>0.20649999999999999</v>
      </c>
      <c r="K1231" s="34">
        <f t="shared" si="38"/>
        <v>17841.599999999999</v>
      </c>
      <c r="L1231" s="34">
        <v>2.94</v>
      </c>
      <c r="M1231" s="34">
        <v>253759.5</v>
      </c>
      <c r="N1231" s="34">
        <f t="shared" si="39"/>
        <v>14.237288135593221</v>
      </c>
    </row>
    <row r="1232" spans="1:14" x14ac:dyDescent="0.45">
      <c r="A1232" s="30">
        <v>2023</v>
      </c>
      <c r="B1232" s="30" t="s">
        <v>14</v>
      </c>
      <c r="C1232" s="30" t="s">
        <v>46</v>
      </c>
      <c r="D1232" s="30" t="s">
        <v>47</v>
      </c>
      <c r="E1232" s="31" t="s">
        <v>342</v>
      </c>
      <c r="F1232" s="32" t="s">
        <v>81</v>
      </c>
      <c r="G1232" s="32" t="s">
        <v>50</v>
      </c>
      <c r="H1232" s="33">
        <v>17590</v>
      </c>
      <c r="I1232" s="34">
        <f>Table3[[#This Row],[Volume, kg.]]/1000</f>
        <v>17.59</v>
      </c>
      <c r="J1232" s="34">
        <v>0.1787</v>
      </c>
      <c r="K1232" s="34">
        <f t="shared" si="38"/>
        <v>3143.3330000000001</v>
      </c>
      <c r="L1232" s="34">
        <v>2.85</v>
      </c>
      <c r="M1232" s="34">
        <v>50131.5</v>
      </c>
      <c r="N1232" s="34">
        <f t="shared" si="39"/>
        <v>15.948517067711249</v>
      </c>
    </row>
    <row r="1233" spans="1:14" x14ac:dyDescent="0.45">
      <c r="A1233" s="30">
        <v>2023</v>
      </c>
      <c r="B1233" s="30" t="s">
        <v>14</v>
      </c>
      <c r="C1233" s="30" t="s">
        <v>46</v>
      </c>
      <c r="D1233" s="30" t="s">
        <v>47</v>
      </c>
      <c r="E1233" s="31" t="s">
        <v>98</v>
      </c>
      <c r="F1233" s="32" t="s">
        <v>49</v>
      </c>
      <c r="G1233" s="32" t="s">
        <v>50</v>
      </c>
      <c r="H1233" s="33">
        <v>184670</v>
      </c>
      <c r="I1233" s="34">
        <f>Table3[[#This Row],[Volume, kg.]]/1000</f>
        <v>184.67</v>
      </c>
      <c r="J1233" s="34">
        <v>0.23370000000000002</v>
      </c>
      <c r="K1233" s="34">
        <f t="shared" si="38"/>
        <v>43157.379000000001</v>
      </c>
      <c r="L1233" s="34">
        <v>3.02</v>
      </c>
      <c r="M1233" s="34">
        <v>557726</v>
      </c>
      <c r="N1233" s="34">
        <f t="shared" si="39"/>
        <v>12.922550278134359</v>
      </c>
    </row>
    <row r="1234" spans="1:14" x14ac:dyDescent="0.45">
      <c r="A1234" s="30">
        <v>2023</v>
      </c>
      <c r="B1234" s="30" t="s">
        <v>14</v>
      </c>
      <c r="C1234" s="30" t="s">
        <v>46</v>
      </c>
      <c r="D1234" s="30" t="s">
        <v>47</v>
      </c>
      <c r="E1234" s="31" t="s">
        <v>354</v>
      </c>
      <c r="F1234" s="32" t="s">
        <v>60</v>
      </c>
      <c r="G1234" s="32" t="s">
        <v>50</v>
      </c>
      <c r="H1234" s="33">
        <v>26550</v>
      </c>
      <c r="I1234" s="34">
        <f>Table3[[#This Row],[Volume, kg.]]/1000</f>
        <v>26.55</v>
      </c>
      <c r="J1234" s="34">
        <v>0.254</v>
      </c>
      <c r="K1234" s="34">
        <f t="shared" si="38"/>
        <v>6743.7</v>
      </c>
      <c r="L1234" s="34">
        <v>3.1</v>
      </c>
      <c r="M1234" s="34">
        <v>82317.5</v>
      </c>
      <c r="N1234" s="34">
        <f t="shared" si="39"/>
        <v>12.204724409448819</v>
      </c>
    </row>
    <row r="1235" spans="1:14" x14ac:dyDescent="0.45">
      <c r="A1235" s="30">
        <v>2023</v>
      </c>
      <c r="B1235" s="30" t="s">
        <v>14</v>
      </c>
      <c r="C1235" s="30" t="s">
        <v>46</v>
      </c>
      <c r="D1235" s="30" t="s">
        <v>47</v>
      </c>
      <c r="E1235" s="31" t="s">
        <v>129</v>
      </c>
      <c r="F1235" s="32" t="s">
        <v>57</v>
      </c>
      <c r="G1235" s="32" t="s">
        <v>50</v>
      </c>
      <c r="H1235" s="33">
        <v>77570</v>
      </c>
      <c r="I1235" s="34">
        <f>Table3[[#This Row],[Volume, kg.]]/1000</f>
        <v>77.569999999999993</v>
      </c>
      <c r="J1235" s="34">
        <v>0.1918</v>
      </c>
      <c r="K1235" s="34">
        <f t="shared" si="38"/>
        <v>14877.925999999999</v>
      </c>
      <c r="L1235" s="34">
        <v>2.82</v>
      </c>
      <c r="M1235" s="34">
        <v>218714</v>
      </c>
      <c r="N1235" s="34">
        <f t="shared" si="39"/>
        <v>14.702815432742439</v>
      </c>
    </row>
    <row r="1236" spans="1:14" x14ac:dyDescent="0.45">
      <c r="A1236" s="30">
        <v>2023</v>
      </c>
      <c r="B1236" s="30" t="s">
        <v>14</v>
      </c>
      <c r="C1236" s="30" t="s">
        <v>46</v>
      </c>
      <c r="D1236" s="30" t="s">
        <v>47</v>
      </c>
      <c r="E1236" s="31" t="s">
        <v>80</v>
      </c>
      <c r="F1236" s="32" t="s">
        <v>81</v>
      </c>
      <c r="G1236" s="32" t="s">
        <v>50</v>
      </c>
      <c r="H1236" s="33">
        <v>135000</v>
      </c>
      <c r="I1236" s="34">
        <f>Table3[[#This Row],[Volume, kg.]]/1000</f>
        <v>135</v>
      </c>
      <c r="J1236" s="34">
        <v>0.20749999999999999</v>
      </c>
      <c r="K1236" s="34">
        <f t="shared" si="38"/>
        <v>28012.5</v>
      </c>
      <c r="L1236" s="34">
        <v>2.9</v>
      </c>
      <c r="M1236" s="34">
        <v>391054</v>
      </c>
      <c r="N1236" s="34">
        <f t="shared" si="39"/>
        <v>13.975903614457831</v>
      </c>
    </row>
    <row r="1237" spans="1:14" x14ac:dyDescent="0.45">
      <c r="A1237" s="30">
        <v>2023</v>
      </c>
      <c r="B1237" s="30" t="s">
        <v>14</v>
      </c>
      <c r="C1237" s="30" t="s">
        <v>46</v>
      </c>
      <c r="D1237" s="30" t="s">
        <v>47</v>
      </c>
      <c r="E1237" s="31" t="s">
        <v>473</v>
      </c>
      <c r="F1237" s="32" t="s">
        <v>57</v>
      </c>
      <c r="G1237" s="32" t="s">
        <v>50</v>
      </c>
      <c r="H1237" s="33">
        <v>34470</v>
      </c>
      <c r="I1237" s="34">
        <f>Table3[[#This Row],[Volume, kg.]]/1000</f>
        <v>34.47</v>
      </c>
      <c r="J1237" s="34">
        <v>0.24149999999999999</v>
      </c>
      <c r="K1237" s="34">
        <f t="shared" si="38"/>
        <v>8324.5049999999992</v>
      </c>
      <c r="L1237" s="34">
        <v>3.01</v>
      </c>
      <c r="M1237" s="34">
        <v>103817.5</v>
      </c>
      <c r="N1237" s="34">
        <f t="shared" si="39"/>
        <v>12.463768115942029</v>
      </c>
    </row>
    <row r="1238" spans="1:14" x14ac:dyDescent="0.45">
      <c r="A1238" s="30">
        <v>2023</v>
      </c>
      <c r="B1238" s="30" t="s">
        <v>14</v>
      </c>
      <c r="C1238" s="30" t="s">
        <v>46</v>
      </c>
      <c r="D1238" s="30" t="s">
        <v>47</v>
      </c>
      <c r="E1238" s="31" t="s">
        <v>374</v>
      </c>
      <c r="F1238" s="32" t="s">
        <v>81</v>
      </c>
      <c r="G1238" s="32" t="s">
        <v>50</v>
      </c>
      <c r="H1238" s="33">
        <v>39640</v>
      </c>
      <c r="I1238" s="34">
        <f>Table3[[#This Row],[Volume, kg.]]/1000</f>
        <v>39.64</v>
      </c>
      <c r="J1238" s="34">
        <v>0.2177</v>
      </c>
      <c r="K1238" s="34">
        <f t="shared" si="38"/>
        <v>8629.6280000000006</v>
      </c>
      <c r="L1238" s="34">
        <v>3.01</v>
      </c>
      <c r="M1238" s="34">
        <v>119186</v>
      </c>
      <c r="N1238" s="34">
        <f t="shared" si="39"/>
        <v>13.82636655948553</v>
      </c>
    </row>
    <row r="1239" spans="1:14" x14ac:dyDescent="0.45">
      <c r="A1239" s="30">
        <v>2023</v>
      </c>
      <c r="B1239" s="30" t="s">
        <v>14</v>
      </c>
      <c r="C1239" s="30" t="s">
        <v>46</v>
      </c>
      <c r="D1239" s="30" t="s">
        <v>47</v>
      </c>
      <c r="E1239" s="31" t="s">
        <v>296</v>
      </c>
      <c r="F1239" s="32" t="s">
        <v>60</v>
      </c>
      <c r="G1239" s="32" t="s">
        <v>50</v>
      </c>
      <c r="H1239" s="33">
        <v>73780</v>
      </c>
      <c r="I1239" s="34">
        <f>Table3[[#This Row],[Volume, kg.]]/1000</f>
        <v>73.78</v>
      </c>
      <c r="J1239" s="34">
        <v>0.24440000000000001</v>
      </c>
      <c r="K1239" s="34">
        <f t="shared" si="38"/>
        <v>18031.832000000002</v>
      </c>
      <c r="L1239" s="34">
        <v>3.13</v>
      </c>
      <c r="M1239" s="34">
        <v>231264</v>
      </c>
      <c r="N1239" s="34">
        <f t="shared" si="39"/>
        <v>12.806873977086742</v>
      </c>
    </row>
    <row r="1240" spans="1:14" x14ac:dyDescent="0.45">
      <c r="A1240" s="30">
        <v>2023</v>
      </c>
      <c r="B1240" s="30" t="s">
        <v>14</v>
      </c>
      <c r="C1240" s="30" t="s">
        <v>46</v>
      </c>
      <c r="D1240" s="30" t="s">
        <v>47</v>
      </c>
      <c r="E1240" s="31" t="s">
        <v>194</v>
      </c>
      <c r="F1240" s="32" t="s">
        <v>49</v>
      </c>
      <c r="G1240" s="32" t="s">
        <v>50</v>
      </c>
      <c r="H1240" s="33">
        <v>7770</v>
      </c>
      <c r="I1240" s="34">
        <f>Table3[[#This Row],[Volume, kg.]]/1000</f>
        <v>7.77</v>
      </c>
      <c r="J1240" s="34">
        <v>0.21100000000000002</v>
      </c>
      <c r="K1240" s="34">
        <f t="shared" si="38"/>
        <v>1639.4700000000003</v>
      </c>
      <c r="L1240" s="34">
        <v>2.95</v>
      </c>
      <c r="M1240" s="34">
        <v>22921.5</v>
      </c>
      <c r="N1240" s="34">
        <f t="shared" si="39"/>
        <v>13.981042654028435</v>
      </c>
    </row>
    <row r="1241" spans="1:14" x14ac:dyDescent="0.45">
      <c r="A1241" s="30">
        <v>2023</v>
      </c>
      <c r="B1241" s="30" t="s">
        <v>14</v>
      </c>
      <c r="C1241" s="30" t="s">
        <v>46</v>
      </c>
      <c r="D1241" s="30" t="s">
        <v>47</v>
      </c>
      <c r="E1241" s="31" t="s">
        <v>267</v>
      </c>
      <c r="F1241" s="32" t="s">
        <v>57</v>
      </c>
      <c r="G1241" s="32" t="s">
        <v>50</v>
      </c>
      <c r="H1241" s="33">
        <v>45860</v>
      </c>
      <c r="I1241" s="34">
        <f>Table3[[#This Row],[Volume, kg.]]/1000</f>
        <v>45.86</v>
      </c>
      <c r="J1241" s="34">
        <v>0.2351</v>
      </c>
      <c r="K1241" s="34">
        <f t="shared" si="38"/>
        <v>10781.686</v>
      </c>
      <c r="L1241" s="34">
        <v>3.04</v>
      </c>
      <c r="M1241" s="34">
        <v>139382</v>
      </c>
      <c r="N1241" s="34">
        <f t="shared" si="39"/>
        <v>12.930667800935773</v>
      </c>
    </row>
    <row r="1242" spans="1:14" x14ac:dyDescent="0.45">
      <c r="A1242" s="30">
        <v>2023</v>
      </c>
      <c r="B1242" s="30" t="s">
        <v>14</v>
      </c>
      <c r="C1242" s="30" t="s">
        <v>46</v>
      </c>
      <c r="D1242" s="30" t="s">
        <v>102</v>
      </c>
      <c r="E1242" s="31" t="s">
        <v>103</v>
      </c>
      <c r="F1242" s="32" t="s">
        <v>104</v>
      </c>
      <c r="G1242" s="32" t="s">
        <v>105</v>
      </c>
      <c r="H1242" s="33">
        <v>336220</v>
      </c>
      <c r="I1242" s="34">
        <f>Table3[[#This Row],[Volume, kg.]]/1000</f>
        <v>336.22</v>
      </c>
      <c r="J1242" s="34">
        <v>0.19329999999999997</v>
      </c>
      <c r="K1242" s="34">
        <f t="shared" si="38"/>
        <v>64991.325999999994</v>
      </c>
      <c r="L1242" s="34">
        <v>3.05</v>
      </c>
      <c r="M1242" s="34">
        <v>1026872.5</v>
      </c>
      <c r="N1242" s="34">
        <f t="shared" si="39"/>
        <v>15.778582514226592</v>
      </c>
    </row>
    <row r="1243" spans="1:14" x14ac:dyDescent="0.45">
      <c r="A1243" s="30">
        <v>2023</v>
      </c>
      <c r="B1243" s="30" t="s">
        <v>14</v>
      </c>
      <c r="C1243" s="30" t="s">
        <v>46</v>
      </c>
      <c r="D1243" s="30" t="s">
        <v>47</v>
      </c>
      <c r="E1243" s="31" t="s">
        <v>203</v>
      </c>
      <c r="F1243" s="32" t="s">
        <v>57</v>
      </c>
      <c r="G1243" s="32" t="s">
        <v>50</v>
      </c>
      <c r="H1243" s="33">
        <v>85570</v>
      </c>
      <c r="I1243" s="34">
        <f>Table3[[#This Row],[Volume, kg.]]/1000</f>
        <v>85.57</v>
      </c>
      <c r="J1243" s="34">
        <v>0.21879999999999999</v>
      </c>
      <c r="K1243" s="34">
        <f t="shared" si="38"/>
        <v>18722.716</v>
      </c>
      <c r="L1243" s="34">
        <v>2.95</v>
      </c>
      <c r="M1243" s="34">
        <v>252048</v>
      </c>
      <c r="N1243" s="34">
        <f t="shared" si="39"/>
        <v>13.482632541133457</v>
      </c>
    </row>
    <row r="1244" spans="1:14" x14ac:dyDescent="0.45">
      <c r="A1244" s="30">
        <v>2023</v>
      </c>
      <c r="B1244" s="30" t="s">
        <v>14</v>
      </c>
      <c r="C1244" s="30" t="s">
        <v>46</v>
      </c>
      <c r="D1244" s="30" t="s">
        <v>47</v>
      </c>
      <c r="E1244" s="31" t="s">
        <v>261</v>
      </c>
      <c r="F1244" s="32" t="s">
        <v>81</v>
      </c>
      <c r="G1244" s="32" t="s">
        <v>50</v>
      </c>
      <c r="H1244" s="33">
        <v>19770</v>
      </c>
      <c r="I1244" s="34">
        <f>Table3[[#This Row],[Volume, kg.]]/1000</f>
        <v>19.77</v>
      </c>
      <c r="J1244" s="34">
        <v>0.253</v>
      </c>
      <c r="K1244" s="34">
        <f t="shared" si="38"/>
        <v>5001.8100000000004</v>
      </c>
      <c r="L1244" s="34">
        <v>3.1</v>
      </c>
      <c r="M1244" s="34">
        <v>61287</v>
      </c>
      <c r="N1244" s="34">
        <f t="shared" si="39"/>
        <v>12.252964426877471</v>
      </c>
    </row>
    <row r="1245" spans="1:14" x14ac:dyDescent="0.45">
      <c r="A1245" s="30">
        <v>2023</v>
      </c>
      <c r="B1245" s="30" t="s">
        <v>14</v>
      </c>
      <c r="C1245" s="30" t="s">
        <v>46</v>
      </c>
      <c r="D1245" s="30" t="s">
        <v>47</v>
      </c>
      <c r="E1245" s="31" t="s">
        <v>137</v>
      </c>
      <c r="F1245" s="32" t="s">
        <v>49</v>
      </c>
      <c r="G1245" s="32" t="s">
        <v>50</v>
      </c>
      <c r="H1245" s="33">
        <v>72720</v>
      </c>
      <c r="I1245" s="34">
        <f>Table3[[#This Row],[Volume, kg.]]/1000</f>
        <v>72.72</v>
      </c>
      <c r="J1245" s="34">
        <v>0.2339</v>
      </c>
      <c r="K1245" s="34">
        <f t="shared" si="38"/>
        <v>17009.207999999999</v>
      </c>
      <c r="L1245" s="34">
        <v>2.96</v>
      </c>
      <c r="M1245" s="34">
        <v>215006.5</v>
      </c>
      <c r="N1245" s="34">
        <f t="shared" si="39"/>
        <v>12.654980761008979</v>
      </c>
    </row>
    <row r="1246" spans="1:14" x14ac:dyDescent="0.45">
      <c r="A1246" s="30">
        <v>2023</v>
      </c>
      <c r="B1246" s="30" t="s">
        <v>14</v>
      </c>
      <c r="C1246" s="30" t="s">
        <v>46</v>
      </c>
      <c r="D1246" s="30" t="s">
        <v>47</v>
      </c>
      <c r="E1246" s="31" t="s">
        <v>334</v>
      </c>
      <c r="F1246" s="32" t="s">
        <v>81</v>
      </c>
      <c r="G1246" s="32" t="s">
        <v>50</v>
      </c>
      <c r="H1246" s="33">
        <v>88410</v>
      </c>
      <c r="I1246" s="34">
        <f>Table3[[#This Row],[Volume, kg.]]/1000</f>
        <v>88.41</v>
      </c>
      <c r="J1246" s="34">
        <v>0.2288</v>
      </c>
      <c r="K1246" s="34">
        <f t="shared" si="38"/>
        <v>20228.207999999999</v>
      </c>
      <c r="L1246" s="34">
        <v>3.06</v>
      </c>
      <c r="M1246" s="34">
        <v>270113</v>
      </c>
      <c r="N1246" s="34">
        <f t="shared" si="39"/>
        <v>13.374125874125873</v>
      </c>
    </row>
    <row r="1247" spans="1:14" x14ac:dyDescent="0.45">
      <c r="A1247" s="30">
        <v>2023</v>
      </c>
      <c r="B1247" s="30" t="s">
        <v>14</v>
      </c>
      <c r="C1247" s="30" t="s">
        <v>46</v>
      </c>
      <c r="D1247" s="30" t="s">
        <v>47</v>
      </c>
      <c r="E1247" s="31" t="s">
        <v>58</v>
      </c>
      <c r="F1247" s="32" t="s">
        <v>49</v>
      </c>
      <c r="G1247" s="32" t="s">
        <v>50</v>
      </c>
      <c r="H1247" s="33">
        <v>55680</v>
      </c>
      <c r="I1247" s="34">
        <f>Table3[[#This Row],[Volume, kg.]]/1000</f>
        <v>55.68</v>
      </c>
      <c r="J1247" s="34">
        <v>0.22030000000000002</v>
      </c>
      <c r="K1247" s="34">
        <f t="shared" si="38"/>
        <v>12266.304000000002</v>
      </c>
      <c r="L1247" s="34">
        <v>2.91</v>
      </c>
      <c r="M1247" s="34">
        <v>162026</v>
      </c>
      <c r="N1247" s="34">
        <f t="shared" si="39"/>
        <v>13.209260099863821</v>
      </c>
    </row>
    <row r="1248" spans="1:14" x14ac:dyDescent="0.45">
      <c r="A1248" s="30">
        <v>2023</v>
      </c>
      <c r="B1248" s="30" t="s">
        <v>14</v>
      </c>
      <c r="C1248" s="30" t="s">
        <v>46</v>
      </c>
      <c r="D1248" s="30" t="s">
        <v>102</v>
      </c>
      <c r="E1248" s="31" t="s">
        <v>126</v>
      </c>
      <c r="F1248" s="32" t="s">
        <v>127</v>
      </c>
      <c r="G1248" s="32" t="s">
        <v>128</v>
      </c>
      <c r="H1248" s="33">
        <v>278740</v>
      </c>
      <c r="I1248" s="34">
        <f>Table3[[#This Row],[Volume, kg.]]/1000</f>
        <v>278.74</v>
      </c>
      <c r="J1248" s="34">
        <v>0.20120000000000002</v>
      </c>
      <c r="K1248" s="34">
        <f t="shared" si="38"/>
        <v>56082.488000000005</v>
      </c>
      <c r="L1248" s="34">
        <v>2.9</v>
      </c>
      <c r="M1248" s="34">
        <v>809061.5</v>
      </c>
      <c r="N1248" s="34">
        <f t="shared" si="39"/>
        <v>14.413518886679919</v>
      </c>
    </row>
    <row r="1249" spans="1:14" x14ac:dyDescent="0.45">
      <c r="A1249" s="30">
        <v>2023</v>
      </c>
      <c r="B1249" s="30" t="s">
        <v>14</v>
      </c>
      <c r="C1249" s="30" t="s">
        <v>46</v>
      </c>
      <c r="D1249" s="30" t="s">
        <v>47</v>
      </c>
      <c r="E1249" s="31" t="s">
        <v>400</v>
      </c>
      <c r="F1249" s="32" t="s">
        <v>281</v>
      </c>
      <c r="G1249" s="32" t="s">
        <v>50</v>
      </c>
      <c r="H1249" s="33">
        <v>57590</v>
      </c>
      <c r="I1249" s="34">
        <f>Table3[[#This Row],[Volume, kg.]]/1000</f>
        <v>57.59</v>
      </c>
      <c r="J1249" s="34">
        <v>0.1996</v>
      </c>
      <c r="K1249" s="34">
        <f t="shared" si="38"/>
        <v>11494.964</v>
      </c>
      <c r="L1249" s="34">
        <v>2.94</v>
      </c>
      <c r="M1249" s="34">
        <v>169080</v>
      </c>
      <c r="N1249" s="34">
        <f t="shared" si="39"/>
        <v>14.729458917835672</v>
      </c>
    </row>
    <row r="1250" spans="1:14" x14ac:dyDescent="0.45">
      <c r="A1250" s="30">
        <v>2023</v>
      </c>
      <c r="B1250" s="30" t="s">
        <v>14</v>
      </c>
      <c r="C1250" s="30" t="s">
        <v>46</v>
      </c>
      <c r="D1250" s="30" t="s">
        <v>47</v>
      </c>
      <c r="E1250" s="31" t="s">
        <v>335</v>
      </c>
      <c r="F1250" s="32" t="s">
        <v>54</v>
      </c>
      <c r="G1250" s="32" t="s">
        <v>50</v>
      </c>
      <c r="H1250" s="33">
        <v>225840</v>
      </c>
      <c r="I1250" s="34">
        <f>Table3[[#This Row],[Volume, kg.]]/1000</f>
        <v>225.84</v>
      </c>
      <c r="J1250" s="34">
        <v>0.20949999999999999</v>
      </c>
      <c r="K1250" s="34">
        <f t="shared" si="38"/>
        <v>47313.479999999996</v>
      </c>
      <c r="L1250" s="34">
        <v>2.93</v>
      </c>
      <c r="M1250" s="34">
        <v>660886</v>
      </c>
      <c r="N1250" s="34">
        <f t="shared" si="39"/>
        <v>13.98568019093079</v>
      </c>
    </row>
    <row r="1251" spans="1:14" x14ac:dyDescent="0.45">
      <c r="A1251" s="30">
        <v>2023</v>
      </c>
      <c r="B1251" s="30" t="s">
        <v>14</v>
      </c>
      <c r="C1251" s="30" t="s">
        <v>46</v>
      </c>
      <c r="D1251" s="30" t="s">
        <v>47</v>
      </c>
      <c r="E1251" s="31" t="s">
        <v>193</v>
      </c>
      <c r="F1251" s="32" t="s">
        <v>81</v>
      </c>
      <c r="G1251" s="32" t="s">
        <v>50</v>
      </c>
      <c r="H1251" s="33">
        <v>13750</v>
      </c>
      <c r="I1251" s="34">
        <f>Table3[[#This Row],[Volume, kg.]]/1000</f>
        <v>13.75</v>
      </c>
      <c r="J1251" s="34">
        <v>0.21050000000000002</v>
      </c>
      <c r="K1251" s="34">
        <f t="shared" si="38"/>
        <v>2894.3750000000005</v>
      </c>
      <c r="L1251" s="34">
        <v>3</v>
      </c>
      <c r="M1251" s="34">
        <v>41250</v>
      </c>
      <c r="N1251" s="34">
        <f t="shared" si="39"/>
        <v>14.251781472684083</v>
      </c>
    </row>
    <row r="1252" spans="1:14" x14ac:dyDescent="0.45">
      <c r="A1252" s="30">
        <v>2023</v>
      </c>
      <c r="B1252" s="30" t="s">
        <v>14</v>
      </c>
      <c r="C1252" s="30" t="s">
        <v>46</v>
      </c>
      <c r="D1252" s="30" t="s">
        <v>47</v>
      </c>
      <c r="E1252" s="31" t="s">
        <v>476</v>
      </c>
      <c r="F1252" s="32" t="s">
        <v>49</v>
      </c>
      <c r="G1252" s="32" t="s">
        <v>50</v>
      </c>
      <c r="H1252" s="33">
        <v>5220</v>
      </c>
      <c r="I1252" s="34">
        <f>Table3[[#This Row],[Volume, kg.]]/1000</f>
        <v>5.22</v>
      </c>
      <c r="J1252" s="34">
        <v>0.253</v>
      </c>
      <c r="K1252" s="34">
        <f t="shared" si="38"/>
        <v>1320.66</v>
      </c>
      <c r="L1252" s="34">
        <v>3.1</v>
      </c>
      <c r="M1252" s="34">
        <v>16182</v>
      </c>
      <c r="N1252" s="34">
        <f t="shared" si="39"/>
        <v>12.252964426877471</v>
      </c>
    </row>
    <row r="1253" spans="1:14" x14ac:dyDescent="0.45">
      <c r="A1253" s="30">
        <v>2023</v>
      </c>
      <c r="B1253" s="30" t="s">
        <v>14</v>
      </c>
      <c r="C1253" s="30" t="s">
        <v>46</v>
      </c>
      <c r="D1253" s="30" t="s">
        <v>47</v>
      </c>
      <c r="E1253" s="31" t="s">
        <v>507</v>
      </c>
      <c r="F1253" s="32" t="s">
        <v>60</v>
      </c>
      <c r="G1253" s="32" t="s">
        <v>50</v>
      </c>
      <c r="H1253" s="33">
        <v>5630</v>
      </c>
      <c r="I1253" s="34">
        <f>Table3[[#This Row],[Volume, kg.]]/1000</f>
        <v>5.63</v>
      </c>
      <c r="J1253" s="34">
        <v>0.17749999999999999</v>
      </c>
      <c r="K1253" s="34">
        <f t="shared" si="38"/>
        <v>999.32499999999993</v>
      </c>
      <c r="L1253" s="34">
        <v>2.85</v>
      </c>
      <c r="M1253" s="34">
        <v>16045.5</v>
      </c>
      <c r="N1253" s="34">
        <f t="shared" si="39"/>
        <v>16.056338028169016</v>
      </c>
    </row>
    <row r="1254" spans="1:14" x14ac:dyDescent="0.45">
      <c r="A1254" s="30">
        <v>2023</v>
      </c>
      <c r="B1254" s="30" t="s">
        <v>14</v>
      </c>
      <c r="C1254" s="30" t="s">
        <v>46</v>
      </c>
      <c r="D1254" s="30" t="s">
        <v>47</v>
      </c>
      <c r="E1254" s="31" t="s">
        <v>214</v>
      </c>
      <c r="F1254" s="32" t="s">
        <v>64</v>
      </c>
      <c r="G1254" s="32" t="s">
        <v>50</v>
      </c>
      <c r="H1254" s="33">
        <v>31570</v>
      </c>
      <c r="I1254" s="34">
        <f>Table3[[#This Row],[Volume, kg.]]/1000</f>
        <v>31.57</v>
      </c>
      <c r="J1254" s="34">
        <v>0.21350000000000002</v>
      </c>
      <c r="K1254" s="34">
        <f t="shared" si="38"/>
        <v>6740.1950000000006</v>
      </c>
      <c r="L1254" s="34">
        <v>2.85</v>
      </c>
      <c r="M1254" s="34">
        <v>89846</v>
      </c>
      <c r="N1254" s="34">
        <f t="shared" si="39"/>
        <v>13.348946135831381</v>
      </c>
    </row>
    <row r="1255" spans="1:14" x14ac:dyDescent="0.45">
      <c r="A1255" s="30">
        <v>2023</v>
      </c>
      <c r="B1255" s="30" t="s">
        <v>14</v>
      </c>
      <c r="C1255" s="30" t="s">
        <v>46</v>
      </c>
      <c r="D1255" s="30" t="s">
        <v>47</v>
      </c>
      <c r="E1255" s="31" t="s">
        <v>243</v>
      </c>
      <c r="F1255" s="32" t="s">
        <v>60</v>
      </c>
      <c r="G1255" s="32" t="s">
        <v>50</v>
      </c>
      <c r="H1255" s="33">
        <v>111280</v>
      </c>
      <c r="I1255" s="34">
        <f>Table3[[#This Row],[Volume, kg.]]/1000</f>
        <v>111.28</v>
      </c>
      <c r="J1255" s="34">
        <v>0.24170000000000003</v>
      </c>
      <c r="K1255" s="34">
        <f t="shared" si="38"/>
        <v>26896.376000000004</v>
      </c>
      <c r="L1255" s="34">
        <v>3.07</v>
      </c>
      <c r="M1255" s="34">
        <v>341152</v>
      </c>
      <c r="N1255" s="34">
        <f t="shared" si="39"/>
        <v>12.701696317749274</v>
      </c>
    </row>
    <row r="1256" spans="1:14" x14ac:dyDescent="0.45">
      <c r="A1256" s="30">
        <v>2023</v>
      </c>
      <c r="B1256" s="30" t="s">
        <v>14</v>
      </c>
      <c r="C1256" s="30" t="s">
        <v>46</v>
      </c>
      <c r="D1256" s="30" t="s">
        <v>47</v>
      </c>
      <c r="E1256" s="31" t="s">
        <v>259</v>
      </c>
      <c r="F1256" s="32" t="s">
        <v>54</v>
      </c>
      <c r="G1256" s="32" t="s">
        <v>50</v>
      </c>
      <c r="H1256" s="33">
        <v>34470</v>
      </c>
      <c r="I1256" s="34">
        <f>Table3[[#This Row],[Volume, kg.]]/1000</f>
        <v>34.47</v>
      </c>
      <c r="J1256" s="34">
        <v>0.23269999999999999</v>
      </c>
      <c r="K1256" s="34">
        <f t="shared" si="38"/>
        <v>8021.1689999999999</v>
      </c>
      <c r="L1256" s="34">
        <v>3.06</v>
      </c>
      <c r="M1256" s="34">
        <v>105369.5</v>
      </c>
      <c r="N1256" s="34">
        <f t="shared" si="39"/>
        <v>13.149978513107005</v>
      </c>
    </row>
    <row r="1257" spans="1:14" x14ac:dyDescent="0.45">
      <c r="A1257" s="30">
        <v>2023</v>
      </c>
      <c r="B1257" s="30" t="s">
        <v>14</v>
      </c>
      <c r="C1257" s="30" t="s">
        <v>46</v>
      </c>
      <c r="D1257" s="30" t="s">
        <v>47</v>
      </c>
      <c r="E1257" s="31" t="s">
        <v>148</v>
      </c>
      <c r="F1257" s="32" t="s">
        <v>49</v>
      </c>
      <c r="G1257" s="32" t="s">
        <v>50</v>
      </c>
      <c r="H1257" s="33">
        <v>18400</v>
      </c>
      <c r="I1257" s="34">
        <f>Table3[[#This Row],[Volume, kg.]]/1000</f>
        <v>18.399999999999999</v>
      </c>
      <c r="J1257" s="34">
        <v>0.20269999999999999</v>
      </c>
      <c r="K1257" s="34">
        <f t="shared" si="38"/>
        <v>3729.68</v>
      </c>
      <c r="L1257" s="34">
        <v>2.81</v>
      </c>
      <c r="M1257" s="34">
        <v>51757</v>
      </c>
      <c r="N1257" s="34">
        <f t="shared" si="39"/>
        <v>13.862851504686731</v>
      </c>
    </row>
    <row r="1258" spans="1:14" x14ac:dyDescent="0.45">
      <c r="A1258" s="30">
        <v>2023</v>
      </c>
      <c r="B1258" s="30" t="s">
        <v>14</v>
      </c>
      <c r="C1258" s="30" t="s">
        <v>46</v>
      </c>
      <c r="D1258" s="30" t="s">
        <v>47</v>
      </c>
      <c r="E1258" s="31" t="s">
        <v>204</v>
      </c>
      <c r="F1258" s="32" t="s">
        <v>49</v>
      </c>
      <c r="G1258" s="32" t="s">
        <v>50</v>
      </c>
      <c r="H1258" s="33">
        <v>192110</v>
      </c>
      <c r="I1258" s="34">
        <f>Table3[[#This Row],[Volume, kg.]]/1000</f>
        <v>192.11</v>
      </c>
      <c r="J1258" s="34">
        <v>0.23530000000000001</v>
      </c>
      <c r="K1258" s="34">
        <f t="shared" si="38"/>
        <v>45203.483</v>
      </c>
      <c r="L1258" s="34">
        <v>3.04</v>
      </c>
      <c r="M1258" s="34">
        <v>583342</v>
      </c>
      <c r="N1258" s="34">
        <f t="shared" si="39"/>
        <v>12.919677008074798</v>
      </c>
    </row>
    <row r="1259" spans="1:14" x14ac:dyDescent="0.45">
      <c r="A1259" s="30">
        <v>2023</v>
      </c>
      <c r="B1259" s="30" t="s">
        <v>14</v>
      </c>
      <c r="C1259" s="30" t="s">
        <v>46</v>
      </c>
      <c r="D1259" s="30" t="s">
        <v>102</v>
      </c>
      <c r="E1259" s="31" t="s">
        <v>378</v>
      </c>
      <c r="F1259" s="32" t="s">
        <v>81</v>
      </c>
      <c r="G1259" s="32" t="s">
        <v>50</v>
      </c>
      <c r="H1259" s="33">
        <v>71860</v>
      </c>
      <c r="I1259" s="34">
        <f>Table3[[#This Row],[Volume, kg.]]/1000</f>
        <v>71.86</v>
      </c>
      <c r="J1259" s="34">
        <v>0.20050000000000001</v>
      </c>
      <c r="K1259" s="34">
        <f t="shared" si="38"/>
        <v>14407.93</v>
      </c>
      <c r="L1259" s="34">
        <v>2.92</v>
      </c>
      <c r="M1259" s="34">
        <v>209593</v>
      </c>
      <c r="N1259" s="34">
        <f t="shared" si="39"/>
        <v>14.563591022443889</v>
      </c>
    </row>
    <row r="1260" spans="1:14" x14ac:dyDescent="0.45">
      <c r="A1260" s="30">
        <v>2023</v>
      </c>
      <c r="B1260" s="30" t="s">
        <v>14</v>
      </c>
      <c r="C1260" s="30" t="s">
        <v>46</v>
      </c>
      <c r="D1260" s="30" t="s">
        <v>47</v>
      </c>
      <c r="E1260" s="31" t="s">
        <v>154</v>
      </c>
      <c r="F1260" s="32" t="s">
        <v>60</v>
      </c>
      <c r="G1260" s="32" t="s">
        <v>50</v>
      </c>
      <c r="H1260" s="33">
        <v>15610</v>
      </c>
      <c r="I1260" s="34">
        <f>Table3[[#This Row],[Volume, kg.]]/1000</f>
        <v>15.61</v>
      </c>
      <c r="J1260" s="34">
        <v>0.21479999999999999</v>
      </c>
      <c r="K1260" s="34">
        <f t="shared" si="38"/>
        <v>3353.0279999999998</v>
      </c>
      <c r="L1260" s="34">
        <v>2.94</v>
      </c>
      <c r="M1260" s="34">
        <v>45855</v>
      </c>
      <c r="N1260" s="34">
        <f t="shared" si="39"/>
        <v>13.687150837988828</v>
      </c>
    </row>
    <row r="1261" spans="1:14" x14ac:dyDescent="0.45">
      <c r="A1261" s="30">
        <v>2023</v>
      </c>
      <c r="B1261" s="30" t="s">
        <v>14</v>
      </c>
      <c r="C1261" s="30" t="s">
        <v>46</v>
      </c>
      <c r="D1261" s="30" t="s">
        <v>47</v>
      </c>
      <c r="E1261" s="31" t="s">
        <v>75</v>
      </c>
      <c r="F1261" s="32" t="s">
        <v>49</v>
      </c>
      <c r="G1261" s="32" t="s">
        <v>50</v>
      </c>
      <c r="H1261" s="33">
        <v>59160</v>
      </c>
      <c r="I1261" s="34">
        <f>Table3[[#This Row],[Volume, kg.]]/1000</f>
        <v>59.16</v>
      </c>
      <c r="J1261" s="34">
        <v>0.21899999999999997</v>
      </c>
      <c r="K1261" s="34">
        <f t="shared" si="38"/>
        <v>12956.039999999999</v>
      </c>
      <c r="L1261" s="34">
        <v>2.95</v>
      </c>
      <c r="M1261" s="34">
        <v>174633</v>
      </c>
      <c r="N1261" s="34">
        <f t="shared" si="39"/>
        <v>13.470319634703198</v>
      </c>
    </row>
    <row r="1262" spans="1:14" x14ac:dyDescent="0.45">
      <c r="A1262" s="30">
        <v>2023</v>
      </c>
      <c r="B1262" s="30" t="s">
        <v>14</v>
      </c>
      <c r="C1262" s="30" t="s">
        <v>46</v>
      </c>
      <c r="D1262" s="30" t="s">
        <v>47</v>
      </c>
      <c r="E1262" s="31" t="s">
        <v>97</v>
      </c>
      <c r="F1262" s="32" t="s">
        <v>49</v>
      </c>
      <c r="G1262" s="32" t="s">
        <v>50</v>
      </c>
      <c r="H1262" s="33">
        <v>110090</v>
      </c>
      <c r="I1262" s="34">
        <f>Table3[[#This Row],[Volume, kg.]]/1000</f>
        <v>110.09</v>
      </c>
      <c r="J1262" s="34">
        <v>0.2278</v>
      </c>
      <c r="K1262" s="34">
        <f t="shared" si="38"/>
        <v>25078.502</v>
      </c>
      <c r="L1262" s="34">
        <v>3.04</v>
      </c>
      <c r="M1262" s="34">
        <v>334591.5</v>
      </c>
      <c r="N1262" s="34">
        <f t="shared" si="39"/>
        <v>13.345039508340649</v>
      </c>
    </row>
    <row r="1263" spans="1:14" x14ac:dyDescent="0.45">
      <c r="A1263" s="30">
        <v>2023</v>
      </c>
      <c r="B1263" s="30" t="s">
        <v>14</v>
      </c>
      <c r="C1263" s="30" t="s">
        <v>46</v>
      </c>
      <c r="D1263" s="30" t="s">
        <v>47</v>
      </c>
      <c r="E1263" s="31" t="s">
        <v>355</v>
      </c>
      <c r="F1263" s="32" t="s">
        <v>60</v>
      </c>
      <c r="G1263" s="32" t="s">
        <v>50</v>
      </c>
      <c r="H1263" s="33">
        <v>59260</v>
      </c>
      <c r="I1263" s="34">
        <f>Table3[[#This Row],[Volume, kg.]]/1000</f>
        <v>59.26</v>
      </c>
      <c r="J1263" s="34">
        <v>0.19750000000000001</v>
      </c>
      <c r="K1263" s="34">
        <f t="shared" si="38"/>
        <v>11703.85</v>
      </c>
      <c r="L1263" s="34">
        <v>2.8</v>
      </c>
      <c r="M1263" s="34">
        <v>165951.5</v>
      </c>
      <c r="N1263" s="34">
        <f t="shared" si="39"/>
        <v>14.177215189873417</v>
      </c>
    </row>
    <row r="1264" spans="1:14" x14ac:dyDescent="0.45">
      <c r="A1264" s="30">
        <v>2023</v>
      </c>
      <c r="B1264" s="30" t="s">
        <v>14</v>
      </c>
      <c r="C1264" s="30" t="s">
        <v>46</v>
      </c>
      <c r="D1264" s="30" t="s">
        <v>102</v>
      </c>
      <c r="E1264" s="31" t="s">
        <v>295</v>
      </c>
      <c r="F1264" s="32" t="s">
        <v>127</v>
      </c>
      <c r="G1264" s="32" t="s">
        <v>128</v>
      </c>
      <c r="H1264" s="33">
        <v>27400</v>
      </c>
      <c r="I1264" s="34">
        <f>Table3[[#This Row],[Volume, kg.]]/1000</f>
        <v>27.4</v>
      </c>
      <c r="J1264" s="34">
        <v>0.18100000000000002</v>
      </c>
      <c r="K1264" s="34">
        <f t="shared" si="38"/>
        <v>4959.4000000000005</v>
      </c>
      <c r="L1264" s="34">
        <v>2.84</v>
      </c>
      <c r="M1264" s="34">
        <v>77684</v>
      </c>
      <c r="N1264" s="34">
        <f t="shared" si="39"/>
        <v>15.690607734806628</v>
      </c>
    </row>
    <row r="1265" spans="1:14" x14ac:dyDescent="0.45">
      <c r="A1265" s="30">
        <v>2023</v>
      </c>
      <c r="B1265" s="30" t="s">
        <v>14</v>
      </c>
      <c r="C1265" s="30" t="s">
        <v>46</v>
      </c>
      <c r="D1265" s="30" t="s">
        <v>47</v>
      </c>
      <c r="E1265" s="31" t="s">
        <v>345</v>
      </c>
      <c r="F1265" s="32" t="s">
        <v>81</v>
      </c>
      <c r="G1265" s="32" t="s">
        <v>50</v>
      </c>
      <c r="H1265" s="33">
        <v>94360</v>
      </c>
      <c r="I1265" s="34">
        <f>Table3[[#This Row],[Volume, kg.]]/1000</f>
        <v>94.36</v>
      </c>
      <c r="J1265" s="34">
        <v>0.20899999999999999</v>
      </c>
      <c r="K1265" s="34">
        <f t="shared" si="38"/>
        <v>19721.239999999998</v>
      </c>
      <c r="L1265" s="34">
        <v>2.88</v>
      </c>
      <c r="M1265" s="34">
        <v>271824.5</v>
      </c>
      <c r="N1265" s="34">
        <f t="shared" si="39"/>
        <v>13.779904306220097</v>
      </c>
    </row>
    <row r="1266" spans="1:14" x14ac:dyDescent="0.45">
      <c r="A1266" s="30">
        <v>2023</v>
      </c>
      <c r="B1266" s="30" t="s">
        <v>14</v>
      </c>
      <c r="C1266" s="30" t="s">
        <v>46</v>
      </c>
      <c r="D1266" s="30" t="s">
        <v>47</v>
      </c>
      <c r="E1266" s="31" t="s">
        <v>96</v>
      </c>
      <c r="F1266" s="32" t="s">
        <v>49</v>
      </c>
      <c r="G1266" s="32" t="s">
        <v>50</v>
      </c>
      <c r="H1266" s="33">
        <v>130730</v>
      </c>
      <c r="I1266" s="34">
        <f>Table3[[#This Row],[Volume, kg.]]/1000</f>
        <v>130.72999999999999</v>
      </c>
      <c r="J1266" s="34">
        <v>0.22500000000000001</v>
      </c>
      <c r="K1266" s="34">
        <f t="shared" si="38"/>
        <v>29414.25</v>
      </c>
      <c r="L1266" s="34">
        <v>2.98</v>
      </c>
      <c r="M1266" s="34">
        <v>390035</v>
      </c>
      <c r="N1266" s="34">
        <f t="shared" si="39"/>
        <v>13.244444444444444</v>
      </c>
    </row>
    <row r="1267" spans="1:14" x14ac:dyDescent="0.45">
      <c r="A1267" s="30">
        <v>2023</v>
      </c>
      <c r="B1267" s="30" t="s">
        <v>14</v>
      </c>
      <c r="C1267" s="30" t="s">
        <v>46</v>
      </c>
      <c r="D1267" s="30" t="s">
        <v>47</v>
      </c>
      <c r="E1267" s="31" t="s">
        <v>143</v>
      </c>
      <c r="F1267" s="32" t="s">
        <v>49</v>
      </c>
      <c r="G1267" s="32" t="s">
        <v>50</v>
      </c>
      <c r="H1267" s="33">
        <v>62620</v>
      </c>
      <c r="I1267" s="34">
        <f>Table3[[#This Row],[Volume, kg.]]/1000</f>
        <v>62.62</v>
      </c>
      <c r="J1267" s="34">
        <v>0.2122</v>
      </c>
      <c r="K1267" s="34">
        <f t="shared" si="38"/>
        <v>13287.964</v>
      </c>
      <c r="L1267" s="34">
        <v>2.92</v>
      </c>
      <c r="M1267" s="34">
        <v>182594</v>
      </c>
      <c r="N1267" s="34">
        <f t="shared" si="39"/>
        <v>13.760603204524033</v>
      </c>
    </row>
    <row r="1268" spans="1:14" x14ac:dyDescent="0.45">
      <c r="A1268" s="30">
        <v>2023</v>
      </c>
      <c r="B1268" s="30" t="s">
        <v>14</v>
      </c>
      <c r="C1268" s="30" t="s">
        <v>46</v>
      </c>
      <c r="D1268" s="30" t="s">
        <v>47</v>
      </c>
      <c r="E1268" s="31" t="s">
        <v>369</v>
      </c>
      <c r="F1268" s="32" t="s">
        <v>57</v>
      </c>
      <c r="G1268" s="32" t="s">
        <v>50</v>
      </c>
      <c r="H1268" s="33">
        <v>38080</v>
      </c>
      <c r="I1268" s="34">
        <f>Table3[[#This Row],[Volume, kg.]]/1000</f>
        <v>38.08</v>
      </c>
      <c r="J1268" s="34">
        <v>0.22219999999999998</v>
      </c>
      <c r="K1268" s="34">
        <f t="shared" si="38"/>
        <v>8461.3759999999984</v>
      </c>
      <c r="L1268" s="34">
        <v>3.04</v>
      </c>
      <c r="M1268" s="34">
        <v>115698.5</v>
      </c>
      <c r="N1268" s="34">
        <f t="shared" si="39"/>
        <v>13.681368136813683</v>
      </c>
    </row>
    <row r="1269" spans="1:14" x14ac:dyDescent="0.45">
      <c r="A1269" s="30">
        <v>2023</v>
      </c>
      <c r="B1269" s="30" t="s">
        <v>14</v>
      </c>
      <c r="C1269" s="30" t="s">
        <v>46</v>
      </c>
      <c r="D1269" s="30" t="s">
        <v>102</v>
      </c>
      <c r="E1269" s="31" t="s">
        <v>250</v>
      </c>
      <c r="F1269" s="32" t="s">
        <v>49</v>
      </c>
      <c r="G1269" s="32" t="s">
        <v>50</v>
      </c>
      <c r="H1269" s="33">
        <v>944350</v>
      </c>
      <c r="I1269" s="34">
        <f>Table3[[#This Row],[Volume, kg.]]/1000</f>
        <v>944.35</v>
      </c>
      <c r="J1269" s="34">
        <v>0.20629999999999998</v>
      </c>
      <c r="K1269" s="34">
        <f t="shared" si="38"/>
        <v>194819.405</v>
      </c>
      <c r="L1269" s="34">
        <v>3.04</v>
      </c>
      <c r="M1269" s="34">
        <v>2871271.5</v>
      </c>
      <c r="N1269" s="34">
        <f t="shared" si="39"/>
        <v>14.735821619001456</v>
      </c>
    </row>
    <row r="1270" spans="1:14" x14ac:dyDescent="0.45">
      <c r="A1270" s="30">
        <v>2023</v>
      </c>
      <c r="B1270" s="30" t="s">
        <v>14</v>
      </c>
      <c r="C1270" s="30" t="s">
        <v>46</v>
      </c>
      <c r="D1270" s="30" t="s">
        <v>47</v>
      </c>
      <c r="E1270" s="31" t="s">
        <v>87</v>
      </c>
      <c r="F1270" s="32" t="s">
        <v>49</v>
      </c>
      <c r="G1270" s="32" t="s">
        <v>50</v>
      </c>
      <c r="H1270" s="33">
        <v>14230</v>
      </c>
      <c r="I1270" s="34">
        <f>Table3[[#This Row],[Volume, kg.]]/1000</f>
        <v>14.23</v>
      </c>
      <c r="J1270" s="34">
        <v>0.21239999999999998</v>
      </c>
      <c r="K1270" s="34">
        <f t="shared" si="38"/>
        <v>3022.4519999999998</v>
      </c>
      <c r="L1270" s="34">
        <v>2.96</v>
      </c>
      <c r="M1270" s="34">
        <v>42140</v>
      </c>
      <c r="N1270" s="34">
        <f t="shared" si="39"/>
        <v>13.93596986817326</v>
      </c>
    </row>
    <row r="1271" spans="1:14" x14ac:dyDescent="0.45">
      <c r="A1271" s="30">
        <v>2023</v>
      </c>
      <c r="B1271" s="30" t="s">
        <v>14</v>
      </c>
      <c r="C1271" s="30" t="s">
        <v>46</v>
      </c>
      <c r="D1271" s="30" t="s">
        <v>47</v>
      </c>
      <c r="E1271" s="31" t="s">
        <v>285</v>
      </c>
      <c r="F1271" s="32" t="s">
        <v>49</v>
      </c>
      <c r="G1271" s="32" t="s">
        <v>50</v>
      </c>
      <c r="H1271" s="33">
        <v>40810</v>
      </c>
      <c r="I1271" s="34">
        <f>Table3[[#This Row],[Volume, kg.]]/1000</f>
        <v>40.81</v>
      </c>
      <c r="J1271" s="34">
        <v>0.2069</v>
      </c>
      <c r="K1271" s="34">
        <f t="shared" si="38"/>
        <v>8443.5889999999999</v>
      </c>
      <c r="L1271" s="34">
        <v>2.9</v>
      </c>
      <c r="M1271" s="34">
        <v>118150</v>
      </c>
      <c r="N1271" s="34">
        <f t="shared" si="39"/>
        <v>14.016433059449009</v>
      </c>
    </row>
    <row r="1272" spans="1:14" x14ac:dyDescent="0.45">
      <c r="A1272" s="30">
        <v>2023</v>
      </c>
      <c r="B1272" s="30" t="s">
        <v>14</v>
      </c>
      <c r="C1272" s="30" t="s">
        <v>46</v>
      </c>
      <c r="D1272" s="30" t="s">
        <v>47</v>
      </c>
      <c r="E1272" s="31" t="s">
        <v>404</v>
      </c>
      <c r="F1272" s="32" t="s">
        <v>60</v>
      </c>
      <c r="G1272" s="32" t="s">
        <v>50</v>
      </c>
      <c r="H1272" s="33">
        <v>5950</v>
      </c>
      <c r="I1272" s="34">
        <f>Table3[[#This Row],[Volume, kg.]]/1000</f>
        <v>5.95</v>
      </c>
      <c r="J1272" s="34">
        <v>0.218</v>
      </c>
      <c r="K1272" s="34">
        <f t="shared" si="38"/>
        <v>1297.0999999999999</v>
      </c>
      <c r="L1272" s="34">
        <v>2.95</v>
      </c>
      <c r="M1272" s="34">
        <v>17552.5</v>
      </c>
      <c r="N1272" s="34">
        <f t="shared" si="39"/>
        <v>13.532110091743121</v>
      </c>
    </row>
    <row r="1273" spans="1:14" x14ac:dyDescent="0.45">
      <c r="A1273" s="30">
        <v>2023</v>
      </c>
      <c r="B1273" s="30" t="s">
        <v>14</v>
      </c>
      <c r="C1273" s="30" t="s">
        <v>46</v>
      </c>
      <c r="D1273" s="30" t="s">
        <v>47</v>
      </c>
      <c r="E1273" s="31" t="s">
        <v>254</v>
      </c>
      <c r="F1273" s="32" t="s">
        <v>49</v>
      </c>
      <c r="G1273" s="32" t="s">
        <v>50</v>
      </c>
      <c r="H1273" s="33">
        <v>57740</v>
      </c>
      <c r="I1273" s="34">
        <f>Table3[[#This Row],[Volume, kg.]]/1000</f>
        <v>57.74</v>
      </c>
      <c r="J1273" s="34">
        <v>0.22920000000000001</v>
      </c>
      <c r="K1273" s="34">
        <f t="shared" si="38"/>
        <v>13234.008000000002</v>
      </c>
      <c r="L1273" s="34">
        <v>2.99</v>
      </c>
      <c r="M1273" s="34">
        <v>172492</v>
      </c>
      <c r="N1273" s="34">
        <f t="shared" si="39"/>
        <v>13.045375218150088</v>
      </c>
    </row>
    <row r="1274" spans="1:14" x14ac:dyDescent="0.45">
      <c r="A1274" s="30">
        <v>2023</v>
      </c>
      <c r="B1274" s="30" t="s">
        <v>14</v>
      </c>
      <c r="C1274" s="30" t="s">
        <v>46</v>
      </c>
      <c r="D1274" s="30" t="s">
        <v>47</v>
      </c>
      <c r="E1274" s="31" t="s">
        <v>508</v>
      </c>
      <c r="F1274" s="32" t="s">
        <v>60</v>
      </c>
      <c r="G1274" s="32" t="s">
        <v>50</v>
      </c>
      <c r="H1274" s="33">
        <v>89200</v>
      </c>
      <c r="I1274" s="34">
        <f>Table3[[#This Row],[Volume, kg.]]/1000</f>
        <v>89.2</v>
      </c>
      <c r="J1274" s="34">
        <v>0.23559999999999998</v>
      </c>
      <c r="K1274" s="34">
        <f t="shared" si="38"/>
        <v>21015.519999999997</v>
      </c>
      <c r="L1274" s="34">
        <v>3.06</v>
      </c>
      <c r="M1274" s="34">
        <v>272713.5</v>
      </c>
      <c r="N1274" s="34">
        <f t="shared" si="39"/>
        <v>12.988115449915112</v>
      </c>
    </row>
    <row r="1275" spans="1:14" x14ac:dyDescent="0.45">
      <c r="A1275" s="30">
        <v>2023</v>
      </c>
      <c r="B1275" s="30" t="s">
        <v>14</v>
      </c>
      <c r="C1275" s="30" t="s">
        <v>46</v>
      </c>
      <c r="D1275" s="30" t="s">
        <v>47</v>
      </c>
      <c r="E1275" s="31" t="s">
        <v>430</v>
      </c>
      <c r="F1275" s="32" t="s">
        <v>49</v>
      </c>
      <c r="G1275" s="32" t="s">
        <v>50</v>
      </c>
      <c r="H1275" s="33">
        <v>18350</v>
      </c>
      <c r="I1275" s="34">
        <f>Table3[[#This Row],[Volume, kg.]]/1000</f>
        <v>18.350000000000001</v>
      </c>
      <c r="J1275" s="34">
        <v>0.22850000000000001</v>
      </c>
      <c r="K1275" s="34">
        <f t="shared" si="38"/>
        <v>4192.9750000000004</v>
      </c>
      <c r="L1275" s="34">
        <v>3.02</v>
      </c>
      <c r="M1275" s="34">
        <v>55335</v>
      </c>
      <c r="N1275" s="34">
        <f t="shared" si="39"/>
        <v>13.216630196936542</v>
      </c>
    </row>
    <row r="1276" spans="1:14" x14ac:dyDescent="0.45">
      <c r="A1276" s="30">
        <v>2023</v>
      </c>
      <c r="B1276" s="30" t="s">
        <v>14</v>
      </c>
      <c r="C1276" s="30" t="s">
        <v>46</v>
      </c>
      <c r="D1276" s="30" t="s">
        <v>47</v>
      </c>
      <c r="E1276" s="31" t="s">
        <v>314</v>
      </c>
      <c r="F1276" s="32" t="s">
        <v>57</v>
      </c>
      <c r="G1276" s="32" t="s">
        <v>50</v>
      </c>
      <c r="H1276" s="33">
        <v>59920</v>
      </c>
      <c r="I1276" s="34">
        <f>Table3[[#This Row],[Volume, kg.]]/1000</f>
        <v>59.92</v>
      </c>
      <c r="J1276" s="34">
        <v>0.23739999999999997</v>
      </c>
      <c r="K1276" s="34">
        <f t="shared" si="38"/>
        <v>14225.007999999998</v>
      </c>
      <c r="L1276" s="34">
        <v>3.06</v>
      </c>
      <c r="M1276" s="34">
        <v>183486.5</v>
      </c>
      <c r="N1276" s="34">
        <f t="shared" si="39"/>
        <v>12.889637742207247</v>
      </c>
    </row>
    <row r="1277" spans="1:14" x14ac:dyDescent="0.45">
      <c r="A1277" s="30">
        <v>2023</v>
      </c>
      <c r="B1277" s="30" t="s">
        <v>14</v>
      </c>
      <c r="C1277" s="30" t="s">
        <v>46</v>
      </c>
      <c r="D1277" s="30" t="s">
        <v>47</v>
      </c>
      <c r="E1277" s="31" t="s">
        <v>215</v>
      </c>
      <c r="F1277" s="32" t="s">
        <v>57</v>
      </c>
      <c r="G1277" s="32" t="s">
        <v>50</v>
      </c>
      <c r="H1277" s="33">
        <v>63200</v>
      </c>
      <c r="I1277" s="34">
        <f>Table3[[#This Row],[Volume, kg.]]/1000</f>
        <v>63.2</v>
      </c>
      <c r="J1277" s="34">
        <v>0.21289999999999998</v>
      </c>
      <c r="K1277" s="34">
        <f t="shared" si="38"/>
        <v>13455.279999999999</v>
      </c>
      <c r="L1277" s="34">
        <v>2.97</v>
      </c>
      <c r="M1277" s="34">
        <v>187783.5</v>
      </c>
      <c r="N1277" s="34">
        <f t="shared" si="39"/>
        <v>13.950211366838895</v>
      </c>
    </row>
    <row r="1278" spans="1:14" x14ac:dyDescent="0.45">
      <c r="A1278" s="30">
        <v>2023</v>
      </c>
      <c r="B1278" s="30" t="s">
        <v>14</v>
      </c>
      <c r="C1278" s="30" t="s">
        <v>46</v>
      </c>
      <c r="D1278" s="30" t="s">
        <v>47</v>
      </c>
      <c r="E1278" s="31" t="s">
        <v>453</v>
      </c>
      <c r="F1278" s="32" t="s">
        <v>57</v>
      </c>
      <c r="G1278" s="32" t="s">
        <v>50</v>
      </c>
      <c r="H1278" s="33">
        <v>250940</v>
      </c>
      <c r="I1278" s="34">
        <f>Table3[[#This Row],[Volume, kg.]]/1000</f>
        <v>250.94</v>
      </c>
      <c r="J1278" s="34">
        <v>0.22010000000000002</v>
      </c>
      <c r="K1278" s="34">
        <f t="shared" si="38"/>
        <v>55231.894000000008</v>
      </c>
      <c r="L1278" s="34">
        <v>2.96</v>
      </c>
      <c r="M1278" s="34">
        <v>743337.5</v>
      </c>
      <c r="N1278" s="34">
        <f t="shared" si="39"/>
        <v>13.448432530667876</v>
      </c>
    </row>
    <row r="1279" spans="1:14" x14ac:dyDescent="0.45">
      <c r="A1279" s="30">
        <v>2023</v>
      </c>
      <c r="B1279" s="30" t="s">
        <v>14</v>
      </c>
      <c r="C1279" s="30" t="s">
        <v>46</v>
      </c>
      <c r="D1279" s="30" t="s">
        <v>47</v>
      </c>
      <c r="E1279" s="31" t="s">
        <v>479</v>
      </c>
      <c r="F1279" s="32" t="s">
        <v>57</v>
      </c>
      <c r="G1279" s="32" t="s">
        <v>50</v>
      </c>
      <c r="H1279" s="33">
        <v>24860</v>
      </c>
      <c r="I1279" s="34">
        <f>Table3[[#This Row],[Volume, kg.]]/1000</f>
        <v>24.86</v>
      </c>
      <c r="J1279" s="34">
        <v>0.23480000000000001</v>
      </c>
      <c r="K1279" s="34">
        <f t="shared" si="38"/>
        <v>5837.1280000000006</v>
      </c>
      <c r="L1279" s="34">
        <v>2.96</v>
      </c>
      <c r="M1279" s="34">
        <v>73615</v>
      </c>
      <c r="N1279" s="34">
        <f t="shared" si="39"/>
        <v>12.606473594548552</v>
      </c>
    </row>
    <row r="1280" spans="1:14" x14ac:dyDescent="0.45">
      <c r="A1280" s="30">
        <v>2023</v>
      </c>
      <c r="B1280" s="30" t="s">
        <v>14</v>
      </c>
      <c r="C1280" s="30" t="s">
        <v>46</v>
      </c>
      <c r="D1280" s="30" t="s">
        <v>47</v>
      </c>
      <c r="E1280" s="31" t="s">
        <v>227</v>
      </c>
      <c r="F1280" s="32" t="s">
        <v>57</v>
      </c>
      <c r="G1280" s="32" t="s">
        <v>50</v>
      </c>
      <c r="H1280" s="33">
        <v>39340</v>
      </c>
      <c r="I1280" s="34">
        <f>Table3[[#This Row],[Volume, kg.]]/1000</f>
        <v>39.340000000000003</v>
      </c>
      <c r="J1280" s="34">
        <v>0.20910000000000001</v>
      </c>
      <c r="K1280" s="34">
        <f t="shared" si="38"/>
        <v>8225.9940000000006</v>
      </c>
      <c r="L1280" s="34">
        <v>2.91</v>
      </c>
      <c r="M1280" s="34">
        <v>114557.5</v>
      </c>
      <c r="N1280" s="34">
        <f t="shared" si="39"/>
        <v>13.916786226685796</v>
      </c>
    </row>
    <row r="1281" spans="1:14" x14ac:dyDescent="0.45">
      <c r="A1281" s="30">
        <v>2023</v>
      </c>
      <c r="B1281" s="30" t="s">
        <v>14</v>
      </c>
      <c r="C1281" s="30" t="s">
        <v>46</v>
      </c>
      <c r="D1281" s="30" t="s">
        <v>47</v>
      </c>
      <c r="E1281" s="31" t="s">
        <v>509</v>
      </c>
      <c r="F1281" s="32" t="s">
        <v>49</v>
      </c>
      <c r="G1281" s="32" t="s">
        <v>50</v>
      </c>
      <c r="H1281" s="33">
        <v>27060</v>
      </c>
      <c r="I1281" s="34">
        <f>Table3[[#This Row],[Volume, kg.]]/1000</f>
        <v>27.06</v>
      </c>
      <c r="J1281" s="34">
        <v>0.21440000000000001</v>
      </c>
      <c r="K1281" s="34">
        <f t="shared" si="38"/>
        <v>5801.6639999999998</v>
      </c>
      <c r="L1281" s="34">
        <v>2.94</v>
      </c>
      <c r="M1281" s="34">
        <v>79502.5</v>
      </c>
      <c r="N1281" s="34">
        <f t="shared" si="39"/>
        <v>13.712686567164178</v>
      </c>
    </row>
    <row r="1282" spans="1:14" x14ac:dyDescent="0.45">
      <c r="A1282" s="30">
        <v>2023</v>
      </c>
      <c r="B1282" s="30" t="s">
        <v>14</v>
      </c>
      <c r="C1282" s="30" t="s">
        <v>46</v>
      </c>
      <c r="D1282" s="30" t="s">
        <v>47</v>
      </c>
      <c r="E1282" s="31" t="s">
        <v>66</v>
      </c>
      <c r="F1282" s="32" t="s">
        <v>49</v>
      </c>
      <c r="G1282" s="32" t="s">
        <v>50</v>
      </c>
      <c r="H1282" s="33">
        <v>6320</v>
      </c>
      <c r="I1282" s="34">
        <f>Table3[[#This Row],[Volume, kg.]]/1000</f>
        <v>6.32</v>
      </c>
      <c r="J1282" s="34">
        <v>0.17850000000000002</v>
      </c>
      <c r="K1282" s="34">
        <f t="shared" si="38"/>
        <v>1128.1200000000001</v>
      </c>
      <c r="L1282" s="34">
        <v>2.8</v>
      </c>
      <c r="M1282" s="34">
        <v>17696</v>
      </c>
      <c r="N1282" s="34">
        <f t="shared" si="39"/>
        <v>15.686274509803919</v>
      </c>
    </row>
    <row r="1283" spans="1:14" x14ac:dyDescent="0.45">
      <c r="A1283" s="30">
        <v>2023</v>
      </c>
      <c r="B1283" s="30" t="s">
        <v>14</v>
      </c>
      <c r="C1283" s="30" t="s">
        <v>46</v>
      </c>
      <c r="D1283" s="30" t="s">
        <v>47</v>
      </c>
      <c r="E1283" s="31" t="s">
        <v>480</v>
      </c>
      <c r="F1283" s="32" t="s">
        <v>49</v>
      </c>
      <c r="G1283" s="32" t="s">
        <v>50</v>
      </c>
      <c r="H1283" s="33">
        <v>23320</v>
      </c>
      <c r="I1283" s="34">
        <f>Table3[[#This Row],[Volume, kg.]]/1000</f>
        <v>23.32</v>
      </c>
      <c r="J1283" s="34">
        <v>0.2324</v>
      </c>
      <c r="K1283" s="34">
        <f t="shared" ref="K1283:K1346" si="40">H1283*J1283</f>
        <v>5419.5680000000002</v>
      </c>
      <c r="L1283" s="34">
        <v>2.95</v>
      </c>
      <c r="M1283" s="34">
        <v>68794</v>
      </c>
      <c r="N1283" s="34">
        <f t="shared" si="39"/>
        <v>12.693631669535286</v>
      </c>
    </row>
    <row r="1284" spans="1:14" x14ac:dyDescent="0.45">
      <c r="A1284" s="30">
        <v>2023</v>
      </c>
      <c r="B1284" s="30" t="s">
        <v>14</v>
      </c>
      <c r="C1284" s="30" t="s">
        <v>46</v>
      </c>
      <c r="D1284" s="30" t="s">
        <v>47</v>
      </c>
      <c r="E1284" s="31" t="s">
        <v>159</v>
      </c>
      <c r="F1284" s="32" t="s">
        <v>81</v>
      </c>
      <c r="G1284" s="32" t="s">
        <v>50</v>
      </c>
      <c r="H1284" s="33">
        <v>71610</v>
      </c>
      <c r="I1284" s="34">
        <f>Table3[[#This Row],[Volume, kg.]]/1000</f>
        <v>71.61</v>
      </c>
      <c r="J1284" s="34">
        <v>0.20039999999999999</v>
      </c>
      <c r="K1284" s="34">
        <f t="shared" si="40"/>
        <v>14350.644</v>
      </c>
      <c r="L1284" s="34">
        <v>2.89</v>
      </c>
      <c r="M1284" s="34">
        <v>206785.5</v>
      </c>
      <c r="N1284" s="34">
        <f t="shared" ref="N1284:N1347" si="41">L1284/J1284</f>
        <v>14.421157684630739</v>
      </c>
    </row>
    <row r="1285" spans="1:14" x14ac:dyDescent="0.45">
      <c r="A1285" s="30">
        <v>2023</v>
      </c>
      <c r="B1285" s="30" t="s">
        <v>14</v>
      </c>
      <c r="C1285" s="30" t="s">
        <v>46</v>
      </c>
      <c r="D1285" s="30" t="s">
        <v>47</v>
      </c>
      <c r="E1285" s="31" t="s">
        <v>420</v>
      </c>
      <c r="F1285" s="32" t="s">
        <v>57</v>
      </c>
      <c r="G1285" s="32" t="s">
        <v>50</v>
      </c>
      <c r="H1285" s="33">
        <v>15690</v>
      </c>
      <c r="I1285" s="34">
        <f>Table3[[#This Row],[Volume, kg.]]/1000</f>
        <v>15.69</v>
      </c>
      <c r="J1285" s="34">
        <v>0.185</v>
      </c>
      <c r="K1285" s="34">
        <f t="shared" si="40"/>
        <v>2902.65</v>
      </c>
      <c r="L1285" s="34">
        <v>2.85</v>
      </c>
      <c r="M1285" s="34">
        <v>44686.5</v>
      </c>
      <c r="N1285" s="34">
        <f t="shared" si="41"/>
        <v>15.405405405405405</v>
      </c>
    </row>
    <row r="1286" spans="1:14" x14ac:dyDescent="0.45">
      <c r="A1286" s="30">
        <v>2023</v>
      </c>
      <c r="B1286" s="30" t="s">
        <v>14</v>
      </c>
      <c r="C1286" s="30" t="s">
        <v>46</v>
      </c>
      <c r="D1286" s="30" t="s">
        <v>47</v>
      </c>
      <c r="E1286" s="31" t="s">
        <v>405</v>
      </c>
      <c r="F1286" s="32" t="s">
        <v>240</v>
      </c>
      <c r="G1286" s="32" t="s">
        <v>50</v>
      </c>
      <c r="H1286" s="33">
        <v>4880</v>
      </c>
      <c r="I1286" s="34">
        <f>Table3[[#This Row],[Volume, kg.]]/1000</f>
        <v>4.88</v>
      </c>
      <c r="J1286" s="34">
        <v>0.17499999999999999</v>
      </c>
      <c r="K1286" s="34">
        <f t="shared" si="40"/>
        <v>854</v>
      </c>
      <c r="L1286" s="34">
        <v>2.75</v>
      </c>
      <c r="M1286" s="34">
        <v>13420</v>
      </c>
      <c r="N1286" s="34">
        <f t="shared" si="41"/>
        <v>15.714285714285715</v>
      </c>
    </row>
    <row r="1287" spans="1:14" x14ac:dyDescent="0.45">
      <c r="A1287" s="30">
        <v>2023</v>
      </c>
      <c r="B1287" s="30" t="s">
        <v>14</v>
      </c>
      <c r="C1287" s="30" t="s">
        <v>46</v>
      </c>
      <c r="D1287" s="30" t="s">
        <v>47</v>
      </c>
      <c r="E1287" s="31" t="s">
        <v>255</v>
      </c>
      <c r="F1287" s="32" t="s">
        <v>60</v>
      </c>
      <c r="G1287" s="32" t="s">
        <v>50</v>
      </c>
      <c r="H1287" s="33">
        <v>78350</v>
      </c>
      <c r="I1287" s="34">
        <f>Table3[[#This Row],[Volume, kg.]]/1000</f>
        <v>78.349999999999994</v>
      </c>
      <c r="J1287" s="34">
        <v>0.24859999999999999</v>
      </c>
      <c r="K1287" s="34">
        <f t="shared" si="40"/>
        <v>19477.809999999998</v>
      </c>
      <c r="L1287" s="34">
        <v>3.14</v>
      </c>
      <c r="M1287" s="34">
        <v>246390</v>
      </c>
      <c r="N1287" s="34">
        <f t="shared" si="41"/>
        <v>12.630732099758649</v>
      </c>
    </row>
    <row r="1288" spans="1:14" x14ac:dyDescent="0.45">
      <c r="A1288" s="30">
        <v>2023</v>
      </c>
      <c r="B1288" s="30" t="s">
        <v>14</v>
      </c>
      <c r="C1288" s="30" t="s">
        <v>46</v>
      </c>
      <c r="D1288" s="30" t="s">
        <v>47</v>
      </c>
      <c r="E1288" s="31" t="s">
        <v>309</v>
      </c>
      <c r="F1288" s="32" t="s">
        <v>81</v>
      </c>
      <c r="G1288" s="32" t="s">
        <v>50</v>
      </c>
      <c r="H1288" s="33">
        <v>106120</v>
      </c>
      <c r="I1288" s="34">
        <f>Table3[[#This Row],[Volume, kg.]]/1000</f>
        <v>106.12</v>
      </c>
      <c r="J1288" s="34">
        <v>0.23680000000000001</v>
      </c>
      <c r="K1288" s="34">
        <f t="shared" si="40"/>
        <v>25129.216</v>
      </c>
      <c r="L1288" s="34">
        <v>3.03</v>
      </c>
      <c r="M1288" s="34">
        <v>321359.5</v>
      </c>
      <c r="N1288" s="34">
        <f t="shared" si="41"/>
        <v>12.795608108108107</v>
      </c>
    </row>
    <row r="1289" spans="1:14" x14ac:dyDescent="0.45">
      <c r="A1289" s="30">
        <v>2023</v>
      </c>
      <c r="B1289" s="30" t="s">
        <v>14</v>
      </c>
      <c r="C1289" s="30" t="s">
        <v>46</v>
      </c>
      <c r="D1289" s="30" t="s">
        <v>47</v>
      </c>
      <c r="E1289" s="31" t="s">
        <v>510</v>
      </c>
      <c r="F1289" s="32" t="s">
        <v>49</v>
      </c>
      <c r="G1289" s="32" t="s">
        <v>50</v>
      </c>
      <c r="H1289" s="33">
        <v>94900</v>
      </c>
      <c r="I1289" s="34">
        <f>Table3[[#This Row],[Volume, kg.]]/1000</f>
        <v>94.9</v>
      </c>
      <c r="J1289" s="34">
        <v>0.2077</v>
      </c>
      <c r="K1289" s="34">
        <f t="shared" si="40"/>
        <v>19710.73</v>
      </c>
      <c r="L1289" s="34">
        <v>2.84</v>
      </c>
      <c r="M1289" s="34">
        <v>269267</v>
      </c>
      <c r="N1289" s="34">
        <f t="shared" si="41"/>
        <v>13.673567645642754</v>
      </c>
    </row>
    <row r="1290" spans="1:14" x14ac:dyDescent="0.45">
      <c r="A1290" s="30">
        <v>2023</v>
      </c>
      <c r="B1290" s="30" t="s">
        <v>14</v>
      </c>
      <c r="C1290" s="30" t="s">
        <v>46</v>
      </c>
      <c r="D1290" s="30" t="s">
        <v>47</v>
      </c>
      <c r="E1290" s="31" t="s">
        <v>136</v>
      </c>
      <c r="F1290" s="32" t="s">
        <v>49</v>
      </c>
      <c r="G1290" s="32" t="s">
        <v>50</v>
      </c>
      <c r="H1290" s="33">
        <v>10050</v>
      </c>
      <c r="I1290" s="34">
        <f>Table3[[#This Row],[Volume, kg.]]/1000</f>
        <v>10.050000000000001</v>
      </c>
      <c r="J1290" s="34">
        <v>0.24600000000000002</v>
      </c>
      <c r="K1290" s="34">
        <f t="shared" si="40"/>
        <v>2472.3000000000002</v>
      </c>
      <c r="L1290" s="34">
        <v>3.2</v>
      </c>
      <c r="M1290" s="34">
        <v>32160</v>
      </c>
      <c r="N1290" s="34">
        <f t="shared" si="41"/>
        <v>13.008130081300813</v>
      </c>
    </row>
    <row r="1291" spans="1:14" x14ac:dyDescent="0.45">
      <c r="A1291" s="30">
        <v>2023</v>
      </c>
      <c r="B1291" s="30" t="s">
        <v>14</v>
      </c>
      <c r="C1291" s="30" t="s">
        <v>46</v>
      </c>
      <c r="D1291" s="30" t="s">
        <v>47</v>
      </c>
      <c r="E1291" s="31" t="s">
        <v>316</v>
      </c>
      <c r="F1291" s="32" t="s">
        <v>57</v>
      </c>
      <c r="G1291" s="32" t="s">
        <v>50</v>
      </c>
      <c r="H1291" s="33">
        <v>31880</v>
      </c>
      <c r="I1291" s="34">
        <f>Table3[[#This Row],[Volume, kg.]]/1000</f>
        <v>31.88</v>
      </c>
      <c r="J1291" s="34">
        <v>0.2208</v>
      </c>
      <c r="K1291" s="34">
        <f t="shared" si="40"/>
        <v>7039.1040000000003</v>
      </c>
      <c r="L1291" s="34">
        <v>3.02</v>
      </c>
      <c r="M1291" s="34">
        <v>96130.5</v>
      </c>
      <c r="N1291" s="34">
        <f t="shared" si="41"/>
        <v>13.677536231884059</v>
      </c>
    </row>
    <row r="1292" spans="1:14" x14ac:dyDescent="0.45">
      <c r="A1292" s="30">
        <v>2023</v>
      </c>
      <c r="B1292" s="30" t="s">
        <v>14</v>
      </c>
      <c r="C1292" s="30" t="s">
        <v>46</v>
      </c>
      <c r="D1292" s="30" t="s">
        <v>47</v>
      </c>
      <c r="E1292" s="31" t="s">
        <v>457</v>
      </c>
      <c r="F1292" s="32" t="s">
        <v>49</v>
      </c>
      <c r="G1292" s="32" t="s">
        <v>50</v>
      </c>
      <c r="H1292" s="33">
        <v>2420</v>
      </c>
      <c r="I1292" s="34">
        <f>Table3[[#This Row],[Volume, kg.]]/1000</f>
        <v>2.42</v>
      </c>
      <c r="J1292" s="34">
        <v>0.1525</v>
      </c>
      <c r="K1292" s="34">
        <f t="shared" si="40"/>
        <v>369.05</v>
      </c>
      <c r="L1292" s="34">
        <v>2.65</v>
      </c>
      <c r="M1292" s="34">
        <v>6413</v>
      </c>
      <c r="N1292" s="34">
        <f t="shared" si="41"/>
        <v>17.377049180327869</v>
      </c>
    </row>
    <row r="1293" spans="1:14" x14ac:dyDescent="0.45">
      <c r="A1293" s="30">
        <v>2023</v>
      </c>
      <c r="B1293" s="30" t="s">
        <v>14</v>
      </c>
      <c r="C1293" s="30" t="s">
        <v>46</v>
      </c>
      <c r="D1293" s="30" t="s">
        <v>47</v>
      </c>
      <c r="E1293" s="31" t="s">
        <v>53</v>
      </c>
      <c r="F1293" s="32" t="s">
        <v>54</v>
      </c>
      <c r="G1293" s="32" t="s">
        <v>50</v>
      </c>
      <c r="H1293" s="33">
        <v>29030</v>
      </c>
      <c r="I1293" s="34">
        <f>Table3[[#This Row],[Volume, kg.]]/1000</f>
        <v>29.03</v>
      </c>
      <c r="J1293" s="34">
        <v>0.18989999999999999</v>
      </c>
      <c r="K1293" s="34">
        <f t="shared" si="40"/>
        <v>5512.7969999999996</v>
      </c>
      <c r="L1293" s="34">
        <v>2.82</v>
      </c>
      <c r="M1293" s="34">
        <v>81853.5</v>
      </c>
      <c r="N1293" s="34">
        <f t="shared" si="41"/>
        <v>14.849921011058452</v>
      </c>
    </row>
    <row r="1294" spans="1:14" x14ac:dyDescent="0.45">
      <c r="A1294" s="30">
        <v>2023</v>
      </c>
      <c r="B1294" s="30" t="s">
        <v>14</v>
      </c>
      <c r="C1294" s="30" t="s">
        <v>46</v>
      </c>
      <c r="D1294" s="30" t="s">
        <v>47</v>
      </c>
      <c r="E1294" s="31" t="s">
        <v>120</v>
      </c>
      <c r="F1294" s="32" t="s">
        <v>49</v>
      </c>
      <c r="G1294" s="32" t="s">
        <v>50</v>
      </c>
      <c r="H1294" s="33">
        <v>82050</v>
      </c>
      <c r="I1294" s="34">
        <f>Table3[[#This Row],[Volume, kg.]]/1000</f>
        <v>82.05</v>
      </c>
      <c r="J1294" s="34">
        <v>0.21530000000000002</v>
      </c>
      <c r="K1294" s="34">
        <f t="shared" si="40"/>
        <v>17665.365000000002</v>
      </c>
      <c r="L1294" s="34">
        <v>2.96</v>
      </c>
      <c r="M1294" s="34">
        <v>243122</v>
      </c>
      <c r="N1294" s="34">
        <f t="shared" si="41"/>
        <v>13.748258244310263</v>
      </c>
    </row>
    <row r="1295" spans="1:14" x14ac:dyDescent="0.45">
      <c r="A1295" s="30">
        <v>2023</v>
      </c>
      <c r="B1295" s="30" t="s">
        <v>14</v>
      </c>
      <c r="C1295" s="30" t="s">
        <v>46</v>
      </c>
      <c r="D1295" s="30" t="s">
        <v>47</v>
      </c>
      <c r="E1295" s="31" t="s">
        <v>407</v>
      </c>
      <c r="F1295" s="32" t="s">
        <v>49</v>
      </c>
      <c r="G1295" s="32" t="s">
        <v>50</v>
      </c>
      <c r="H1295" s="33">
        <v>31720</v>
      </c>
      <c r="I1295" s="34">
        <f>Table3[[#This Row],[Volume, kg.]]/1000</f>
        <v>31.72</v>
      </c>
      <c r="J1295" s="34">
        <v>0.2046</v>
      </c>
      <c r="K1295" s="34">
        <f t="shared" si="40"/>
        <v>6489.9120000000003</v>
      </c>
      <c r="L1295" s="34">
        <v>2.89</v>
      </c>
      <c r="M1295" s="34">
        <v>91690</v>
      </c>
      <c r="N1295" s="34">
        <f t="shared" si="41"/>
        <v>14.125122189638319</v>
      </c>
    </row>
    <row r="1296" spans="1:14" x14ac:dyDescent="0.45">
      <c r="A1296" s="30">
        <v>2023</v>
      </c>
      <c r="B1296" s="30" t="s">
        <v>14</v>
      </c>
      <c r="C1296" s="30" t="s">
        <v>46</v>
      </c>
      <c r="D1296" s="30" t="s">
        <v>47</v>
      </c>
      <c r="E1296" s="31" t="s">
        <v>151</v>
      </c>
      <c r="F1296" s="32" t="s">
        <v>60</v>
      </c>
      <c r="G1296" s="32" t="s">
        <v>50</v>
      </c>
      <c r="H1296" s="33">
        <v>74510</v>
      </c>
      <c r="I1296" s="34">
        <f>Table3[[#This Row],[Volume, kg.]]/1000</f>
        <v>74.510000000000005</v>
      </c>
      <c r="J1296" s="34">
        <v>0.22010000000000002</v>
      </c>
      <c r="K1296" s="34">
        <f t="shared" si="40"/>
        <v>16399.651000000002</v>
      </c>
      <c r="L1296" s="34">
        <v>2.97</v>
      </c>
      <c r="M1296" s="34">
        <v>221124</v>
      </c>
      <c r="N1296" s="34">
        <f t="shared" si="41"/>
        <v>13.493866424352566</v>
      </c>
    </row>
    <row r="1297" spans="1:14" x14ac:dyDescent="0.45">
      <c r="A1297" s="30">
        <v>2023</v>
      </c>
      <c r="B1297" s="30" t="s">
        <v>14</v>
      </c>
      <c r="C1297" s="30" t="s">
        <v>46</v>
      </c>
      <c r="D1297" s="30" t="s">
        <v>47</v>
      </c>
      <c r="E1297" s="31" t="s">
        <v>408</v>
      </c>
      <c r="F1297" s="32" t="s">
        <v>238</v>
      </c>
      <c r="G1297" s="32" t="s">
        <v>50</v>
      </c>
      <c r="H1297" s="33">
        <v>54730</v>
      </c>
      <c r="I1297" s="34">
        <f>Table3[[#This Row],[Volume, kg.]]/1000</f>
        <v>54.73</v>
      </c>
      <c r="J1297" s="34">
        <v>0.16260000000000002</v>
      </c>
      <c r="K1297" s="34">
        <f t="shared" si="40"/>
        <v>8899.0980000000018</v>
      </c>
      <c r="L1297" s="34">
        <v>2.75</v>
      </c>
      <c r="M1297" s="34">
        <v>150388.5</v>
      </c>
      <c r="N1297" s="34">
        <f t="shared" si="41"/>
        <v>16.912669126691263</v>
      </c>
    </row>
    <row r="1298" spans="1:14" x14ac:dyDescent="0.45">
      <c r="A1298" s="30">
        <v>2023</v>
      </c>
      <c r="B1298" s="30" t="s">
        <v>14</v>
      </c>
      <c r="C1298" s="30" t="s">
        <v>46</v>
      </c>
      <c r="D1298" s="30" t="s">
        <v>47</v>
      </c>
      <c r="E1298" s="31" t="s">
        <v>351</v>
      </c>
      <c r="F1298" s="32" t="s">
        <v>49</v>
      </c>
      <c r="G1298" s="32" t="s">
        <v>50</v>
      </c>
      <c r="H1298" s="33">
        <v>63920</v>
      </c>
      <c r="I1298" s="34">
        <f>Table3[[#This Row],[Volume, kg.]]/1000</f>
        <v>63.92</v>
      </c>
      <c r="J1298" s="34">
        <v>0.23139999999999999</v>
      </c>
      <c r="K1298" s="34">
        <f t="shared" si="40"/>
        <v>14791.088</v>
      </c>
      <c r="L1298" s="34">
        <v>3</v>
      </c>
      <c r="M1298" s="34">
        <v>191918</v>
      </c>
      <c r="N1298" s="34">
        <f t="shared" si="41"/>
        <v>12.96456352636128</v>
      </c>
    </row>
    <row r="1299" spans="1:14" x14ac:dyDescent="0.45">
      <c r="A1299" s="30">
        <v>2023</v>
      </c>
      <c r="B1299" s="30" t="s">
        <v>14</v>
      </c>
      <c r="C1299" s="30" t="s">
        <v>46</v>
      </c>
      <c r="D1299" s="30" t="s">
        <v>47</v>
      </c>
      <c r="E1299" s="31" t="s">
        <v>133</v>
      </c>
      <c r="F1299" s="32" t="s">
        <v>134</v>
      </c>
      <c r="G1299" s="32" t="s">
        <v>50</v>
      </c>
      <c r="H1299" s="33">
        <v>14650</v>
      </c>
      <c r="I1299" s="34">
        <f>Table3[[#This Row],[Volume, kg.]]/1000</f>
        <v>14.65</v>
      </c>
      <c r="J1299" s="34">
        <v>0.14529999999999998</v>
      </c>
      <c r="K1299" s="34">
        <f t="shared" si="40"/>
        <v>2128.645</v>
      </c>
      <c r="L1299" s="34">
        <v>2.7</v>
      </c>
      <c r="M1299" s="34">
        <v>39555</v>
      </c>
      <c r="N1299" s="34">
        <f t="shared" si="41"/>
        <v>18.58224363386098</v>
      </c>
    </row>
    <row r="1300" spans="1:14" x14ac:dyDescent="0.45">
      <c r="A1300" s="30">
        <v>2023</v>
      </c>
      <c r="B1300" s="30" t="s">
        <v>14</v>
      </c>
      <c r="C1300" s="30" t="s">
        <v>46</v>
      </c>
      <c r="D1300" s="30" t="s">
        <v>47</v>
      </c>
      <c r="E1300" s="31" t="s">
        <v>72</v>
      </c>
      <c r="F1300" s="32" t="s">
        <v>49</v>
      </c>
      <c r="G1300" s="32" t="s">
        <v>50</v>
      </c>
      <c r="H1300" s="33">
        <v>102950</v>
      </c>
      <c r="I1300" s="34">
        <f>Table3[[#This Row],[Volume, kg.]]/1000</f>
        <v>102.95</v>
      </c>
      <c r="J1300" s="34">
        <v>0.193</v>
      </c>
      <c r="K1300" s="34">
        <f t="shared" si="40"/>
        <v>19869.350000000002</v>
      </c>
      <c r="L1300" s="34">
        <v>2.83</v>
      </c>
      <c r="M1300" s="34">
        <v>291210</v>
      </c>
      <c r="N1300" s="34">
        <f t="shared" si="41"/>
        <v>14.663212435233161</v>
      </c>
    </row>
    <row r="1301" spans="1:14" x14ac:dyDescent="0.45">
      <c r="A1301" s="30">
        <v>2023</v>
      </c>
      <c r="B1301" s="30" t="s">
        <v>14</v>
      </c>
      <c r="C1301" s="30" t="s">
        <v>46</v>
      </c>
      <c r="D1301" s="30" t="s">
        <v>47</v>
      </c>
      <c r="E1301" s="31" t="s">
        <v>78</v>
      </c>
      <c r="F1301" s="32" t="s">
        <v>49</v>
      </c>
      <c r="G1301" s="32" t="s">
        <v>50</v>
      </c>
      <c r="H1301" s="33">
        <v>5230</v>
      </c>
      <c r="I1301" s="34">
        <f>Table3[[#This Row],[Volume, kg.]]/1000</f>
        <v>5.23</v>
      </c>
      <c r="J1301" s="34">
        <v>0.222</v>
      </c>
      <c r="K1301" s="34">
        <f t="shared" si="40"/>
        <v>1161.06</v>
      </c>
      <c r="L1301" s="34">
        <v>2.95</v>
      </c>
      <c r="M1301" s="34">
        <v>15428.5</v>
      </c>
      <c r="N1301" s="34">
        <f t="shared" si="41"/>
        <v>13.288288288288289</v>
      </c>
    </row>
    <row r="1302" spans="1:14" x14ac:dyDescent="0.45">
      <c r="A1302" s="30">
        <v>2023</v>
      </c>
      <c r="B1302" s="30" t="s">
        <v>14</v>
      </c>
      <c r="C1302" s="30" t="s">
        <v>46</v>
      </c>
      <c r="D1302" s="30" t="s">
        <v>47</v>
      </c>
      <c r="E1302" s="31" t="s">
        <v>180</v>
      </c>
      <c r="F1302" s="32" t="s">
        <v>64</v>
      </c>
      <c r="G1302" s="32" t="s">
        <v>50</v>
      </c>
      <c r="H1302" s="33">
        <v>50000</v>
      </c>
      <c r="I1302" s="34">
        <f>Table3[[#This Row],[Volume, kg.]]/1000</f>
        <v>50</v>
      </c>
      <c r="J1302" s="34">
        <v>0.1686</v>
      </c>
      <c r="K1302" s="34">
        <f t="shared" si="40"/>
        <v>8430</v>
      </c>
      <c r="L1302" s="34">
        <v>2.88</v>
      </c>
      <c r="M1302" s="34">
        <v>143761.5</v>
      </c>
      <c r="N1302" s="34">
        <f t="shared" si="41"/>
        <v>17.081850533807827</v>
      </c>
    </row>
    <row r="1303" spans="1:14" x14ac:dyDescent="0.45">
      <c r="A1303" s="30">
        <v>2023</v>
      </c>
      <c r="B1303" s="30" t="s">
        <v>14</v>
      </c>
      <c r="C1303" s="30" t="s">
        <v>46</v>
      </c>
      <c r="D1303" s="30" t="s">
        <v>47</v>
      </c>
      <c r="E1303" s="31" t="s">
        <v>252</v>
      </c>
      <c r="F1303" s="32" t="s">
        <v>49</v>
      </c>
      <c r="G1303" s="32" t="s">
        <v>50</v>
      </c>
      <c r="H1303" s="33">
        <v>16480</v>
      </c>
      <c r="I1303" s="34">
        <f>Table3[[#This Row],[Volume, kg.]]/1000</f>
        <v>16.48</v>
      </c>
      <c r="J1303" s="34">
        <v>0.2102</v>
      </c>
      <c r="K1303" s="34">
        <f t="shared" si="40"/>
        <v>3464.096</v>
      </c>
      <c r="L1303" s="34">
        <v>2.87</v>
      </c>
      <c r="M1303" s="34">
        <v>47349</v>
      </c>
      <c r="N1303" s="34">
        <f t="shared" si="41"/>
        <v>13.653663177925786</v>
      </c>
    </row>
    <row r="1304" spans="1:14" x14ac:dyDescent="0.45">
      <c r="A1304" s="30">
        <v>2023</v>
      </c>
      <c r="B1304" s="30" t="s">
        <v>14</v>
      </c>
      <c r="C1304" s="30" t="s">
        <v>46</v>
      </c>
      <c r="D1304" s="30" t="s">
        <v>47</v>
      </c>
      <c r="E1304" s="31" t="s">
        <v>95</v>
      </c>
      <c r="F1304" s="32" t="s">
        <v>49</v>
      </c>
      <c r="G1304" s="32" t="s">
        <v>50</v>
      </c>
      <c r="H1304" s="33">
        <v>30530</v>
      </c>
      <c r="I1304" s="34">
        <f>Table3[[#This Row],[Volume, kg.]]/1000</f>
        <v>30.53</v>
      </c>
      <c r="J1304" s="34">
        <v>0.20929999999999999</v>
      </c>
      <c r="K1304" s="34">
        <f t="shared" si="40"/>
        <v>6389.9289999999992</v>
      </c>
      <c r="L1304" s="34">
        <v>2.88</v>
      </c>
      <c r="M1304" s="34">
        <v>87849.5</v>
      </c>
      <c r="N1304" s="34">
        <f t="shared" si="41"/>
        <v>13.760152890587674</v>
      </c>
    </row>
    <row r="1305" spans="1:14" x14ac:dyDescent="0.45">
      <c r="A1305" s="30">
        <v>2023</v>
      </c>
      <c r="B1305" s="30" t="s">
        <v>14</v>
      </c>
      <c r="C1305" s="30" t="s">
        <v>46</v>
      </c>
      <c r="D1305" s="30" t="s">
        <v>47</v>
      </c>
      <c r="E1305" s="31" t="s">
        <v>205</v>
      </c>
      <c r="F1305" s="32" t="s">
        <v>49</v>
      </c>
      <c r="G1305" s="32" t="s">
        <v>50</v>
      </c>
      <c r="H1305" s="33">
        <v>27740</v>
      </c>
      <c r="I1305" s="34">
        <f>Table3[[#This Row],[Volume, kg.]]/1000</f>
        <v>27.74</v>
      </c>
      <c r="J1305" s="34">
        <v>0.20180000000000001</v>
      </c>
      <c r="K1305" s="34">
        <f t="shared" si="40"/>
        <v>5597.9319999999998</v>
      </c>
      <c r="L1305" s="34">
        <v>2.83</v>
      </c>
      <c r="M1305" s="34">
        <v>78490.5</v>
      </c>
      <c r="N1305" s="34">
        <f t="shared" si="41"/>
        <v>14.023785926660059</v>
      </c>
    </row>
    <row r="1306" spans="1:14" x14ac:dyDescent="0.45">
      <c r="A1306" s="30">
        <v>2023</v>
      </c>
      <c r="B1306" s="30" t="s">
        <v>14</v>
      </c>
      <c r="C1306" s="30" t="s">
        <v>46</v>
      </c>
      <c r="D1306" s="30" t="s">
        <v>47</v>
      </c>
      <c r="E1306" s="31" t="s">
        <v>511</v>
      </c>
      <c r="F1306" s="32" t="s">
        <v>60</v>
      </c>
      <c r="G1306" s="32" t="s">
        <v>50</v>
      </c>
      <c r="H1306" s="33">
        <v>29000</v>
      </c>
      <c r="I1306" s="34">
        <f>Table3[[#This Row],[Volume, kg.]]/1000</f>
        <v>29</v>
      </c>
      <c r="J1306" s="34">
        <v>0.24210000000000001</v>
      </c>
      <c r="K1306" s="34">
        <f t="shared" si="40"/>
        <v>7020.9000000000005</v>
      </c>
      <c r="L1306" s="34">
        <v>3.08</v>
      </c>
      <c r="M1306" s="34">
        <v>89326</v>
      </c>
      <c r="N1306" s="34">
        <f t="shared" si="41"/>
        <v>12.722015695993392</v>
      </c>
    </row>
    <row r="1307" spans="1:14" x14ac:dyDescent="0.45">
      <c r="A1307" s="30">
        <v>2023</v>
      </c>
      <c r="B1307" s="30" t="s">
        <v>14</v>
      </c>
      <c r="C1307" s="30" t="s">
        <v>46</v>
      </c>
      <c r="D1307" s="30" t="s">
        <v>102</v>
      </c>
      <c r="E1307" s="31" t="s">
        <v>366</v>
      </c>
      <c r="F1307" s="32" t="s">
        <v>367</v>
      </c>
      <c r="G1307" s="32" t="s">
        <v>368</v>
      </c>
      <c r="H1307" s="33">
        <v>92010</v>
      </c>
      <c r="I1307" s="34">
        <f>Table3[[#This Row],[Volume, kg.]]/1000</f>
        <v>92.01</v>
      </c>
      <c r="J1307" s="34">
        <v>0.18789999999999998</v>
      </c>
      <c r="K1307" s="34">
        <f t="shared" si="40"/>
        <v>17288.679</v>
      </c>
      <c r="L1307" s="34">
        <v>2.86</v>
      </c>
      <c r="M1307" s="34">
        <v>263586.5</v>
      </c>
      <c r="N1307" s="34">
        <f t="shared" si="41"/>
        <v>15.22086216072379</v>
      </c>
    </row>
    <row r="1308" spans="1:14" x14ac:dyDescent="0.45">
      <c r="A1308" s="30">
        <v>2023</v>
      </c>
      <c r="B1308" s="30" t="s">
        <v>14</v>
      </c>
      <c r="C1308" s="30" t="s">
        <v>46</v>
      </c>
      <c r="D1308" s="30" t="s">
        <v>102</v>
      </c>
      <c r="E1308" s="31" t="s">
        <v>437</v>
      </c>
      <c r="F1308" s="32" t="s">
        <v>49</v>
      </c>
      <c r="G1308" s="32" t="s">
        <v>50</v>
      </c>
      <c r="H1308" s="33">
        <v>724070</v>
      </c>
      <c r="I1308" s="34">
        <f>Table3[[#This Row],[Volume, kg.]]/1000</f>
        <v>724.07</v>
      </c>
      <c r="J1308" s="34">
        <v>0.21429999999999999</v>
      </c>
      <c r="K1308" s="34">
        <f t="shared" si="40"/>
        <v>155168.201</v>
      </c>
      <c r="L1308" s="34">
        <v>3.06</v>
      </c>
      <c r="M1308" s="34">
        <v>2215603.5</v>
      </c>
      <c r="N1308" s="34">
        <f t="shared" si="41"/>
        <v>14.279048063462437</v>
      </c>
    </row>
    <row r="1309" spans="1:14" x14ac:dyDescent="0.45">
      <c r="A1309" s="30">
        <v>2023</v>
      </c>
      <c r="B1309" s="30" t="s">
        <v>14</v>
      </c>
      <c r="C1309" s="30" t="s">
        <v>46</v>
      </c>
      <c r="D1309" s="30" t="s">
        <v>102</v>
      </c>
      <c r="E1309" s="31" t="s">
        <v>339</v>
      </c>
      <c r="F1309" s="32" t="s">
        <v>340</v>
      </c>
      <c r="G1309" s="32" t="s">
        <v>341</v>
      </c>
      <c r="H1309" s="33">
        <v>113480</v>
      </c>
      <c r="I1309" s="34">
        <f>Table3[[#This Row],[Volume, kg.]]/1000</f>
        <v>113.48</v>
      </c>
      <c r="J1309" s="34">
        <v>0.185</v>
      </c>
      <c r="K1309" s="34">
        <f t="shared" si="40"/>
        <v>20993.8</v>
      </c>
      <c r="L1309" s="34">
        <v>2.9</v>
      </c>
      <c r="M1309" s="34">
        <v>328606.5</v>
      </c>
      <c r="N1309" s="34">
        <f t="shared" si="41"/>
        <v>15.675675675675675</v>
      </c>
    </row>
    <row r="1310" spans="1:14" x14ac:dyDescent="0.45">
      <c r="A1310" s="30">
        <v>2023</v>
      </c>
      <c r="B1310" s="30" t="s">
        <v>14</v>
      </c>
      <c r="C1310" s="30" t="s">
        <v>46</v>
      </c>
      <c r="D1310" s="30" t="s">
        <v>47</v>
      </c>
      <c r="E1310" s="31" t="s">
        <v>412</v>
      </c>
      <c r="F1310" s="32" t="s">
        <v>57</v>
      </c>
      <c r="G1310" s="32" t="s">
        <v>50</v>
      </c>
      <c r="H1310" s="33">
        <v>102420</v>
      </c>
      <c r="I1310" s="34">
        <f>Table3[[#This Row],[Volume, kg.]]/1000</f>
        <v>102.42</v>
      </c>
      <c r="J1310" s="34">
        <v>0.23949999999999999</v>
      </c>
      <c r="K1310" s="34">
        <f t="shared" si="40"/>
        <v>24529.59</v>
      </c>
      <c r="L1310" s="34">
        <v>3.09</v>
      </c>
      <c r="M1310" s="34">
        <v>316590</v>
      </c>
      <c r="N1310" s="34">
        <f t="shared" si="41"/>
        <v>12.90187891440501</v>
      </c>
    </row>
    <row r="1311" spans="1:14" x14ac:dyDescent="0.45">
      <c r="A1311" s="30">
        <v>2023</v>
      </c>
      <c r="B1311" s="30" t="s">
        <v>14</v>
      </c>
      <c r="C1311" s="30" t="s">
        <v>46</v>
      </c>
      <c r="D1311" s="30" t="s">
        <v>47</v>
      </c>
      <c r="E1311" s="31" t="s">
        <v>413</v>
      </c>
      <c r="F1311" s="32" t="s">
        <v>49</v>
      </c>
      <c r="G1311" s="32" t="s">
        <v>50</v>
      </c>
      <c r="H1311" s="33">
        <v>41480</v>
      </c>
      <c r="I1311" s="34">
        <f>Table3[[#This Row],[Volume, kg.]]/1000</f>
        <v>41.48</v>
      </c>
      <c r="J1311" s="34">
        <v>0.21729999999999999</v>
      </c>
      <c r="K1311" s="34">
        <f t="shared" si="40"/>
        <v>9013.6039999999994</v>
      </c>
      <c r="L1311" s="34">
        <v>2.95</v>
      </c>
      <c r="M1311" s="34">
        <v>122208.5</v>
      </c>
      <c r="N1311" s="34">
        <f t="shared" si="41"/>
        <v>13.575701794753797</v>
      </c>
    </row>
    <row r="1312" spans="1:14" x14ac:dyDescent="0.45">
      <c r="A1312" s="30">
        <v>2023</v>
      </c>
      <c r="B1312" s="30" t="s">
        <v>14</v>
      </c>
      <c r="C1312" s="30" t="s">
        <v>46</v>
      </c>
      <c r="D1312" s="30" t="s">
        <v>102</v>
      </c>
      <c r="E1312" s="31" t="s">
        <v>414</v>
      </c>
      <c r="F1312" s="32" t="s">
        <v>415</v>
      </c>
      <c r="G1312" s="32" t="s">
        <v>50</v>
      </c>
      <c r="H1312" s="33">
        <v>144400</v>
      </c>
      <c r="I1312" s="34">
        <f>Table3[[#This Row],[Volume, kg.]]/1000</f>
        <v>144.4</v>
      </c>
      <c r="J1312" s="34">
        <v>0.17899999999999999</v>
      </c>
      <c r="K1312" s="34">
        <f t="shared" si="40"/>
        <v>25847.599999999999</v>
      </c>
      <c r="L1312" s="34">
        <v>2.87</v>
      </c>
      <c r="M1312" s="34">
        <v>414435</v>
      </c>
      <c r="N1312" s="34">
        <f t="shared" si="41"/>
        <v>16.033519553072626</v>
      </c>
    </row>
    <row r="1313" spans="1:14" x14ac:dyDescent="0.45">
      <c r="A1313" s="30">
        <v>2023</v>
      </c>
      <c r="B1313" s="30" t="s">
        <v>14</v>
      </c>
      <c r="C1313" s="30" t="s">
        <v>46</v>
      </c>
      <c r="D1313" s="30" t="s">
        <v>47</v>
      </c>
      <c r="E1313" s="31" t="s">
        <v>455</v>
      </c>
      <c r="F1313" s="32" t="s">
        <v>456</v>
      </c>
      <c r="G1313" s="32" t="s">
        <v>341</v>
      </c>
      <c r="H1313" s="33">
        <v>58290</v>
      </c>
      <c r="I1313" s="34">
        <f>Table3[[#This Row],[Volume, kg.]]/1000</f>
        <v>58.29</v>
      </c>
      <c r="J1313" s="34">
        <v>0.18079999999999999</v>
      </c>
      <c r="K1313" s="34">
        <f t="shared" si="40"/>
        <v>10538.831999999999</v>
      </c>
      <c r="L1313" s="34">
        <v>2.94</v>
      </c>
      <c r="M1313" s="34">
        <v>171536</v>
      </c>
      <c r="N1313" s="34">
        <f t="shared" si="41"/>
        <v>16.261061946902657</v>
      </c>
    </row>
    <row r="1314" spans="1:14" x14ac:dyDescent="0.45">
      <c r="A1314" s="30">
        <v>2023</v>
      </c>
      <c r="B1314" s="30" t="s">
        <v>14</v>
      </c>
      <c r="C1314" s="30" t="s">
        <v>46</v>
      </c>
      <c r="D1314" s="30" t="s">
        <v>47</v>
      </c>
      <c r="E1314" s="31" t="s">
        <v>448</v>
      </c>
      <c r="F1314" s="32" t="s">
        <v>238</v>
      </c>
      <c r="G1314" s="32" t="s">
        <v>50</v>
      </c>
      <c r="H1314" s="33">
        <v>3200</v>
      </c>
      <c r="I1314" s="34">
        <f>Table3[[#This Row],[Volume, kg.]]/1000</f>
        <v>3.2</v>
      </c>
      <c r="J1314" s="34">
        <v>0.13200000000000001</v>
      </c>
      <c r="K1314" s="34">
        <f t="shared" si="40"/>
        <v>422.40000000000003</v>
      </c>
      <c r="L1314" s="34">
        <v>2.6</v>
      </c>
      <c r="M1314" s="34">
        <v>8320</v>
      </c>
      <c r="N1314" s="34">
        <f t="shared" si="41"/>
        <v>19.696969696969695</v>
      </c>
    </row>
    <row r="1315" spans="1:14" x14ac:dyDescent="0.45">
      <c r="A1315" s="30">
        <v>2023</v>
      </c>
      <c r="B1315" s="30" t="s">
        <v>14</v>
      </c>
      <c r="C1315" s="30" t="s">
        <v>46</v>
      </c>
      <c r="D1315" s="30" t="s">
        <v>47</v>
      </c>
      <c r="E1315" s="31" t="s">
        <v>459</v>
      </c>
      <c r="F1315" s="32" t="s">
        <v>134</v>
      </c>
      <c r="G1315" s="32" t="s">
        <v>50</v>
      </c>
      <c r="H1315" s="33">
        <v>70560</v>
      </c>
      <c r="I1315" s="34">
        <f>Table3[[#This Row],[Volume, kg.]]/1000</f>
        <v>70.56</v>
      </c>
      <c r="J1315" s="34">
        <v>0.17699999999999999</v>
      </c>
      <c r="K1315" s="34">
        <f t="shared" si="40"/>
        <v>12489.119999999999</v>
      </c>
      <c r="L1315" s="34">
        <v>2.84</v>
      </c>
      <c r="M1315" s="34">
        <v>200480.5</v>
      </c>
      <c r="N1315" s="34">
        <f t="shared" si="41"/>
        <v>16.045197740112993</v>
      </c>
    </row>
    <row r="1316" spans="1:14" x14ac:dyDescent="0.45">
      <c r="A1316" s="30">
        <v>2023</v>
      </c>
      <c r="B1316" s="30" t="s">
        <v>14</v>
      </c>
      <c r="C1316" s="30" t="s">
        <v>46</v>
      </c>
      <c r="D1316" s="30" t="s">
        <v>47</v>
      </c>
      <c r="E1316" s="31" t="s">
        <v>485</v>
      </c>
      <c r="F1316" s="32" t="s">
        <v>134</v>
      </c>
      <c r="G1316" s="32" t="s">
        <v>50</v>
      </c>
      <c r="H1316" s="33">
        <v>5110</v>
      </c>
      <c r="I1316" s="34">
        <f>Table3[[#This Row],[Volume, kg.]]/1000</f>
        <v>5.1100000000000003</v>
      </c>
      <c r="J1316" s="34">
        <v>0.14199999999999999</v>
      </c>
      <c r="K1316" s="34">
        <f t="shared" si="40"/>
        <v>725.61999999999989</v>
      </c>
      <c r="L1316" s="34">
        <v>2.5499999999999998</v>
      </c>
      <c r="M1316" s="34">
        <v>13030.5</v>
      </c>
      <c r="N1316" s="34">
        <f t="shared" si="41"/>
        <v>17.95774647887324</v>
      </c>
    </row>
    <row r="1317" spans="1:14" x14ac:dyDescent="0.45">
      <c r="A1317" s="30">
        <v>2023</v>
      </c>
      <c r="B1317" s="30" t="s">
        <v>14</v>
      </c>
      <c r="C1317" s="30" t="s">
        <v>46</v>
      </c>
      <c r="D1317" s="30" t="s">
        <v>47</v>
      </c>
      <c r="E1317" s="31" t="s">
        <v>488</v>
      </c>
      <c r="F1317" s="32" t="s">
        <v>57</v>
      </c>
      <c r="G1317" s="32" t="s">
        <v>50</v>
      </c>
      <c r="H1317" s="33">
        <v>159280</v>
      </c>
      <c r="I1317" s="34">
        <f>Table3[[#This Row],[Volume, kg.]]/1000</f>
        <v>159.28</v>
      </c>
      <c r="J1317" s="34">
        <v>0.24379999999999999</v>
      </c>
      <c r="K1317" s="34">
        <f t="shared" si="40"/>
        <v>38832.464</v>
      </c>
      <c r="L1317" s="34">
        <v>3.09</v>
      </c>
      <c r="M1317" s="34">
        <v>492010.5</v>
      </c>
      <c r="N1317" s="34">
        <f t="shared" si="41"/>
        <v>12.674323215750615</v>
      </c>
    </row>
    <row r="1318" spans="1:14" x14ac:dyDescent="0.45">
      <c r="A1318" s="30">
        <v>2023</v>
      </c>
      <c r="B1318" s="30" t="s">
        <v>14</v>
      </c>
      <c r="C1318" s="30" t="s">
        <v>46</v>
      </c>
      <c r="D1318" s="30" t="s">
        <v>47</v>
      </c>
      <c r="E1318" s="31" t="s">
        <v>489</v>
      </c>
      <c r="F1318" s="32" t="s">
        <v>81</v>
      </c>
      <c r="G1318" s="32" t="s">
        <v>50</v>
      </c>
      <c r="H1318" s="33">
        <v>64740</v>
      </c>
      <c r="I1318" s="34">
        <f>Table3[[#This Row],[Volume, kg.]]/1000</f>
        <v>64.739999999999995</v>
      </c>
      <c r="J1318" s="34">
        <v>0.23129999999999998</v>
      </c>
      <c r="K1318" s="34">
        <f t="shared" si="40"/>
        <v>14974.361999999999</v>
      </c>
      <c r="L1318" s="34">
        <v>3.02</v>
      </c>
      <c r="M1318" s="34">
        <v>195726.5</v>
      </c>
      <c r="N1318" s="34">
        <f t="shared" si="41"/>
        <v>13.056636402939906</v>
      </c>
    </row>
    <row r="1319" spans="1:14" x14ac:dyDescent="0.45">
      <c r="A1319" s="30">
        <v>2023</v>
      </c>
      <c r="B1319" s="30" t="s">
        <v>14</v>
      </c>
      <c r="C1319" s="30" t="s">
        <v>46</v>
      </c>
      <c r="D1319" s="30" t="s">
        <v>47</v>
      </c>
      <c r="E1319" s="31" t="s">
        <v>491</v>
      </c>
      <c r="F1319" s="32" t="s">
        <v>81</v>
      </c>
      <c r="G1319" s="32" t="s">
        <v>50</v>
      </c>
      <c r="H1319" s="33">
        <v>23180</v>
      </c>
      <c r="I1319" s="34">
        <f>Table3[[#This Row],[Volume, kg.]]/1000</f>
        <v>23.18</v>
      </c>
      <c r="J1319" s="34">
        <v>0.2024</v>
      </c>
      <c r="K1319" s="34">
        <f t="shared" si="40"/>
        <v>4691.6319999999996</v>
      </c>
      <c r="L1319" s="34">
        <v>2.96</v>
      </c>
      <c r="M1319" s="34">
        <v>68547</v>
      </c>
      <c r="N1319" s="34">
        <f t="shared" si="41"/>
        <v>14.624505928853756</v>
      </c>
    </row>
    <row r="1320" spans="1:14" x14ac:dyDescent="0.45">
      <c r="A1320" s="30">
        <v>2023</v>
      </c>
      <c r="B1320" s="30" t="s">
        <v>14</v>
      </c>
      <c r="C1320" s="30" t="s">
        <v>46</v>
      </c>
      <c r="D1320" s="30" t="s">
        <v>47</v>
      </c>
      <c r="E1320" s="31" t="s">
        <v>512</v>
      </c>
      <c r="F1320" s="32" t="s">
        <v>81</v>
      </c>
      <c r="G1320" s="32" t="s">
        <v>50</v>
      </c>
      <c r="H1320" s="33">
        <v>18810</v>
      </c>
      <c r="I1320" s="34">
        <f>Table3[[#This Row],[Volume, kg.]]/1000</f>
        <v>18.809999999999999</v>
      </c>
      <c r="J1320" s="34">
        <v>0.1724</v>
      </c>
      <c r="K1320" s="34">
        <f t="shared" si="40"/>
        <v>3242.8440000000001</v>
      </c>
      <c r="L1320" s="34">
        <v>2.71</v>
      </c>
      <c r="M1320" s="34">
        <v>51033</v>
      </c>
      <c r="N1320" s="34">
        <f t="shared" si="41"/>
        <v>15.719257540603248</v>
      </c>
    </row>
    <row r="1321" spans="1:14" x14ac:dyDescent="0.45">
      <c r="A1321" s="30">
        <v>2023</v>
      </c>
      <c r="B1321" s="30" t="s">
        <v>14</v>
      </c>
      <c r="C1321" s="30" t="s">
        <v>46</v>
      </c>
      <c r="D1321" s="30" t="s">
        <v>47</v>
      </c>
      <c r="E1321" s="31" t="s">
        <v>513</v>
      </c>
      <c r="F1321" s="32" t="s">
        <v>57</v>
      </c>
      <c r="G1321" s="32" t="s">
        <v>50</v>
      </c>
      <c r="H1321" s="33">
        <v>35760</v>
      </c>
      <c r="I1321" s="34">
        <f>Table3[[#This Row],[Volume, kg.]]/1000</f>
        <v>35.76</v>
      </c>
      <c r="J1321" s="34">
        <v>0.2266</v>
      </c>
      <c r="K1321" s="34">
        <f t="shared" si="40"/>
        <v>8103.2159999999994</v>
      </c>
      <c r="L1321" s="34">
        <v>3.06</v>
      </c>
      <c r="M1321" s="34">
        <v>109328</v>
      </c>
      <c r="N1321" s="34">
        <f t="shared" si="41"/>
        <v>13.503971756398942</v>
      </c>
    </row>
    <row r="1322" spans="1:14" x14ac:dyDescent="0.45">
      <c r="A1322" s="30">
        <v>2023</v>
      </c>
      <c r="B1322" s="30" t="s">
        <v>14</v>
      </c>
      <c r="C1322" s="30" t="s">
        <v>46</v>
      </c>
      <c r="D1322" s="30" t="s">
        <v>47</v>
      </c>
      <c r="E1322" s="31" t="s">
        <v>514</v>
      </c>
      <c r="F1322" s="32" t="s">
        <v>515</v>
      </c>
      <c r="G1322" s="32" t="s">
        <v>50</v>
      </c>
      <c r="H1322" s="33">
        <v>9990</v>
      </c>
      <c r="I1322" s="34">
        <f>Table3[[#This Row],[Volume, kg.]]/1000</f>
        <v>9.99</v>
      </c>
      <c r="J1322" s="34">
        <v>0.17699999999999999</v>
      </c>
      <c r="K1322" s="34">
        <f t="shared" si="40"/>
        <v>1768.23</v>
      </c>
      <c r="L1322" s="34">
        <v>2.85</v>
      </c>
      <c r="M1322" s="34">
        <v>28471.5</v>
      </c>
      <c r="N1322" s="34">
        <f t="shared" si="41"/>
        <v>16.101694915254239</v>
      </c>
    </row>
    <row r="1323" spans="1:14" x14ac:dyDescent="0.45">
      <c r="A1323" s="30">
        <v>2023</v>
      </c>
      <c r="B1323" s="30" t="s">
        <v>14</v>
      </c>
      <c r="C1323" s="30" t="s">
        <v>46</v>
      </c>
      <c r="D1323" s="30" t="s">
        <v>47</v>
      </c>
      <c r="E1323" s="31" t="s">
        <v>516</v>
      </c>
      <c r="F1323" s="32" t="s">
        <v>64</v>
      </c>
      <c r="G1323" s="32" t="s">
        <v>50</v>
      </c>
      <c r="H1323" s="33">
        <v>35600</v>
      </c>
      <c r="I1323" s="34">
        <f>Table3[[#This Row],[Volume, kg.]]/1000</f>
        <v>35.6</v>
      </c>
      <c r="J1323" s="34">
        <v>0.18989999999999999</v>
      </c>
      <c r="K1323" s="34">
        <f t="shared" si="40"/>
        <v>6760.44</v>
      </c>
      <c r="L1323" s="34">
        <v>2.83</v>
      </c>
      <c r="M1323" s="34">
        <v>100817</v>
      </c>
      <c r="N1323" s="34">
        <f t="shared" si="41"/>
        <v>14.902580305423909</v>
      </c>
    </row>
    <row r="1324" spans="1:14" x14ac:dyDescent="0.45">
      <c r="A1324" s="30">
        <v>2023</v>
      </c>
      <c r="B1324" s="30" t="s">
        <v>14</v>
      </c>
      <c r="C1324" s="30" t="s">
        <v>46</v>
      </c>
      <c r="D1324" s="30" t="s">
        <v>47</v>
      </c>
      <c r="E1324" s="31" t="s">
        <v>517</v>
      </c>
      <c r="F1324" s="32" t="s">
        <v>57</v>
      </c>
      <c r="G1324" s="32" t="s">
        <v>50</v>
      </c>
      <c r="H1324" s="33">
        <v>36590</v>
      </c>
      <c r="I1324" s="34">
        <f>Table3[[#This Row],[Volume, kg.]]/1000</f>
        <v>36.590000000000003</v>
      </c>
      <c r="J1324" s="34">
        <v>0.24679999999999999</v>
      </c>
      <c r="K1324" s="34">
        <f t="shared" si="40"/>
        <v>9030.4120000000003</v>
      </c>
      <c r="L1324" s="34">
        <v>3.08</v>
      </c>
      <c r="M1324" s="34">
        <v>112657.5</v>
      </c>
      <c r="N1324" s="34">
        <f t="shared" si="41"/>
        <v>12.479740680713128</v>
      </c>
    </row>
    <row r="1325" spans="1:14" x14ac:dyDescent="0.45">
      <c r="A1325" s="30">
        <v>2023</v>
      </c>
      <c r="B1325" s="30" t="s">
        <v>15</v>
      </c>
      <c r="C1325" s="30" t="s">
        <v>46</v>
      </c>
      <c r="D1325" s="30" t="s">
        <v>47</v>
      </c>
      <c r="E1325" s="31" t="s">
        <v>259</v>
      </c>
      <c r="F1325" s="32" t="s">
        <v>54</v>
      </c>
      <c r="G1325" s="32" t="s">
        <v>50</v>
      </c>
      <c r="H1325" s="33">
        <v>26240</v>
      </c>
      <c r="I1325" s="34">
        <f>Table3[[#This Row],[Volume, kg.]]/1000</f>
        <v>26.24</v>
      </c>
      <c r="J1325" s="34">
        <v>0.18719999999999998</v>
      </c>
      <c r="K1325" s="34">
        <f t="shared" si="40"/>
        <v>4912.1279999999997</v>
      </c>
      <c r="L1325" s="34">
        <v>2.67</v>
      </c>
      <c r="M1325" s="34">
        <v>69971.5</v>
      </c>
      <c r="N1325" s="34">
        <f t="shared" si="41"/>
        <v>14.262820512820515</v>
      </c>
    </row>
    <row r="1326" spans="1:14" x14ac:dyDescent="0.45">
      <c r="A1326" s="30">
        <v>2023</v>
      </c>
      <c r="B1326" s="30" t="s">
        <v>15</v>
      </c>
      <c r="C1326" s="30" t="s">
        <v>46</v>
      </c>
      <c r="D1326" s="30" t="s">
        <v>47</v>
      </c>
      <c r="E1326" s="31" t="s">
        <v>260</v>
      </c>
      <c r="F1326" s="32" t="s">
        <v>49</v>
      </c>
      <c r="G1326" s="32" t="s">
        <v>50</v>
      </c>
      <c r="H1326" s="33">
        <v>35820</v>
      </c>
      <c r="I1326" s="34">
        <f>Table3[[#This Row],[Volume, kg.]]/1000</f>
        <v>35.82</v>
      </c>
      <c r="J1326" s="34">
        <v>0.22800000000000001</v>
      </c>
      <c r="K1326" s="34">
        <f t="shared" si="40"/>
        <v>8166.96</v>
      </c>
      <c r="L1326" s="34">
        <v>2.82</v>
      </c>
      <c r="M1326" s="34">
        <v>101082.5</v>
      </c>
      <c r="N1326" s="34">
        <f t="shared" si="41"/>
        <v>12.368421052631577</v>
      </c>
    </row>
    <row r="1327" spans="1:14" x14ac:dyDescent="0.45">
      <c r="A1327" s="30">
        <v>2023</v>
      </c>
      <c r="B1327" s="30" t="s">
        <v>15</v>
      </c>
      <c r="C1327" s="30" t="s">
        <v>46</v>
      </c>
      <c r="D1327" s="30" t="s">
        <v>47</v>
      </c>
      <c r="E1327" s="31" t="s">
        <v>51</v>
      </c>
      <c r="F1327" s="32" t="s">
        <v>49</v>
      </c>
      <c r="G1327" s="32" t="s">
        <v>50</v>
      </c>
      <c r="H1327" s="33">
        <v>70970</v>
      </c>
      <c r="I1327" s="34">
        <f>Table3[[#This Row],[Volume, kg.]]/1000</f>
        <v>70.97</v>
      </c>
      <c r="J1327" s="34">
        <v>0.24309999999999998</v>
      </c>
      <c r="K1327" s="34">
        <f t="shared" si="40"/>
        <v>17252.806999999997</v>
      </c>
      <c r="L1327" s="34">
        <v>2.99</v>
      </c>
      <c r="M1327" s="34">
        <v>212271.5</v>
      </c>
      <c r="N1327" s="34">
        <f t="shared" si="41"/>
        <v>12.299465240641712</v>
      </c>
    </row>
    <row r="1328" spans="1:14" x14ac:dyDescent="0.45">
      <c r="A1328" s="30">
        <v>2023</v>
      </c>
      <c r="B1328" s="30" t="s">
        <v>15</v>
      </c>
      <c r="C1328" s="30" t="s">
        <v>46</v>
      </c>
      <c r="D1328" s="30" t="s">
        <v>47</v>
      </c>
      <c r="E1328" s="31" t="s">
        <v>53</v>
      </c>
      <c r="F1328" s="32" t="s">
        <v>54</v>
      </c>
      <c r="G1328" s="32" t="s">
        <v>50</v>
      </c>
      <c r="H1328" s="33">
        <v>96760</v>
      </c>
      <c r="I1328" s="34">
        <f>Table3[[#This Row],[Volume, kg.]]/1000</f>
        <v>96.76</v>
      </c>
      <c r="J1328" s="34">
        <v>0.22239999999999999</v>
      </c>
      <c r="K1328" s="34">
        <f t="shared" si="40"/>
        <v>21519.423999999999</v>
      </c>
      <c r="L1328" s="34">
        <v>2.83</v>
      </c>
      <c r="M1328" s="34">
        <v>273968.5</v>
      </c>
      <c r="N1328" s="34">
        <f t="shared" si="41"/>
        <v>12.724820143884893</v>
      </c>
    </row>
    <row r="1329" spans="1:14" x14ac:dyDescent="0.45">
      <c r="A1329" s="30">
        <v>2023</v>
      </c>
      <c r="B1329" s="30" t="s">
        <v>15</v>
      </c>
      <c r="C1329" s="30" t="s">
        <v>46</v>
      </c>
      <c r="D1329" s="30" t="s">
        <v>47</v>
      </c>
      <c r="E1329" s="31" t="s">
        <v>58</v>
      </c>
      <c r="F1329" s="32" t="s">
        <v>49</v>
      </c>
      <c r="G1329" s="32" t="s">
        <v>50</v>
      </c>
      <c r="H1329" s="33">
        <v>67460</v>
      </c>
      <c r="I1329" s="34">
        <f>Table3[[#This Row],[Volume, kg.]]/1000</f>
        <v>67.459999999999994</v>
      </c>
      <c r="J1329" s="34">
        <v>0.21530000000000002</v>
      </c>
      <c r="K1329" s="34">
        <f t="shared" si="40"/>
        <v>14524.138000000001</v>
      </c>
      <c r="L1329" s="34">
        <v>2.81</v>
      </c>
      <c r="M1329" s="34">
        <v>189293</v>
      </c>
      <c r="N1329" s="34">
        <f t="shared" si="41"/>
        <v>13.051555968416162</v>
      </c>
    </row>
    <row r="1330" spans="1:14" x14ac:dyDescent="0.45">
      <c r="A1330" s="30">
        <v>2023</v>
      </c>
      <c r="B1330" s="30" t="s">
        <v>15</v>
      </c>
      <c r="C1330" s="30" t="s">
        <v>46</v>
      </c>
      <c r="D1330" s="30" t="s">
        <v>47</v>
      </c>
      <c r="E1330" s="31" t="s">
        <v>59</v>
      </c>
      <c r="F1330" s="32" t="s">
        <v>60</v>
      </c>
      <c r="G1330" s="32" t="s">
        <v>50</v>
      </c>
      <c r="H1330" s="33">
        <v>47830</v>
      </c>
      <c r="I1330" s="34">
        <f>Table3[[#This Row],[Volume, kg.]]/1000</f>
        <v>47.83</v>
      </c>
      <c r="J1330" s="34">
        <v>0.25800000000000001</v>
      </c>
      <c r="K1330" s="34">
        <f t="shared" si="40"/>
        <v>12340.140000000001</v>
      </c>
      <c r="L1330" s="34">
        <v>3.01</v>
      </c>
      <c r="M1330" s="34">
        <v>143930.5</v>
      </c>
      <c r="N1330" s="34">
        <f t="shared" si="41"/>
        <v>11.666666666666666</v>
      </c>
    </row>
    <row r="1331" spans="1:14" x14ac:dyDescent="0.45">
      <c r="A1331" s="30">
        <v>2023</v>
      </c>
      <c r="B1331" s="30" t="s">
        <v>15</v>
      </c>
      <c r="C1331" s="30" t="s">
        <v>46</v>
      </c>
      <c r="D1331" s="30" t="s">
        <v>47</v>
      </c>
      <c r="E1331" s="31" t="s">
        <v>329</v>
      </c>
      <c r="F1331" s="32" t="s">
        <v>49</v>
      </c>
      <c r="G1331" s="32" t="s">
        <v>50</v>
      </c>
      <c r="H1331" s="33">
        <v>107700</v>
      </c>
      <c r="I1331" s="34">
        <f>Table3[[#This Row],[Volume, kg.]]/1000</f>
        <v>107.7</v>
      </c>
      <c r="J1331" s="34">
        <v>0.23</v>
      </c>
      <c r="K1331" s="34">
        <f t="shared" si="40"/>
        <v>24771</v>
      </c>
      <c r="L1331" s="34">
        <v>2.89</v>
      </c>
      <c r="M1331" s="34">
        <v>311197</v>
      </c>
      <c r="N1331" s="34">
        <f t="shared" si="41"/>
        <v>12.565217391304348</v>
      </c>
    </row>
    <row r="1332" spans="1:14" x14ac:dyDescent="0.45">
      <c r="A1332" s="30">
        <v>2023</v>
      </c>
      <c r="B1332" s="30" t="s">
        <v>15</v>
      </c>
      <c r="C1332" s="30" t="s">
        <v>46</v>
      </c>
      <c r="D1332" s="30" t="s">
        <v>47</v>
      </c>
      <c r="E1332" s="31" t="s">
        <v>65</v>
      </c>
      <c r="F1332" s="32" t="s">
        <v>49</v>
      </c>
      <c r="G1332" s="32" t="s">
        <v>50</v>
      </c>
      <c r="H1332" s="33">
        <v>206610</v>
      </c>
      <c r="I1332" s="34">
        <f>Table3[[#This Row],[Volume, kg.]]/1000</f>
        <v>206.61</v>
      </c>
      <c r="J1332" s="34">
        <v>0.2324</v>
      </c>
      <c r="K1332" s="34">
        <f t="shared" si="40"/>
        <v>48016.163999999997</v>
      </c>
      <c r="L1332" s="34">
        <v>2.88</v>
      </c>
      <c r="M1332" s="34">
        <v>596041</v>
      </c>
      <c r="N1332" s="34">
        <f t="shared" si="41"/>
        <v>12.392426850258175</v>
      </c>
    </row>
    <row r="1333" spans="1:14" x14ac:dyDescent="0.45">
      <c r="A1333" s="30">
        <v>2023</v>
      </c>
      <c r="B1333" s="30" t="s">
        <v>15</v>
      </c>
      <c r="C1333" s="30" t="s">
        <v>46</v>
      </c>
      <c r="D1333" s="30" t="s">
        <v>47</v>
      </c>
      <c r="E1333" s="31" t="s">
        <v>66</v>
      </c>
      <c r="F1333" s="32" t="s">
        <v>49</v>
      </c>
      <c r="G1333" s="32" t="s">
        <v>50</v>
      </c>
      <c r="H1333" s="33">
        <v>41990</v>
      </c>
      <c r="I1333" s="34">
        <f>Table3[[#This Row],[Volume, kg.]]/1000</f>
        <v>41.99</v>
      </c>
      <c r="J1333" s="34">
        <v>0.20879999999999999</v>
      </c>
      <c r="K1333" s="34">
        <f t="shared" si="40"/>
        <v>8767.5119999999988</v>
      </c>
      <c r="L1333" s="34">
        <v>2.75</v>
      </c>
      <c r="M1333" s="34">
        <v>115367</v>
      </c>
      <c r="N1333" s="34">
        <f t="shared" si="41"/>
        <v>13.170498084291189</v>
      </c>
    </row>
    <row r="1334" spans="1:14" x14ac:dyDescent="0.45">
      <c r="A1334" s="30">
        <v>2023</v>
      </c>
      <c r="B1334" s="30" t="s">
        <v>15</v>
      </c>
      <c r="C1334" s="30" t="s">
        <v>46</v>
      </c>
      <c r="D1334" s="30" t="s">
        <v>47</v>
      </c>
      <c r="E1334" s="31" t="s">
        <v>498</v>
      </c>
      <c r="F1334" s="32" t="s">
        <v>49</v>
      </c>
      <c r="G1334" s="32" t="s">
        <v>50</v>
      </c>
      <c r="H1334" s="33">
        <v>27960</v>
      </c>
      <c r="I1334" s="34">
        <f>Table3[[#This Row],[Volume, kg.]]/1000</f>
        <v>27.96</v>
      </c>
      <c r="J1334" s="34">
        <v>0.23250000000000001</v>
      </c>
      <c r="K1334" s="34">
        <f t="shared" si="40"/>
        <v>6500.7000000000007</v>
      </c>
      <c r="L1334" s="34">
        <v>2.89</v>
      </c>
      <c r="M1334" s="34">
        <v>80837.5</v>
      </c>
      <c r="N1334" s="34">
        <f t="shared" si="41"/>
        <v>12.43010752688172</v>
      </c>
    </row>
    <row r="1335" spans="1:14" x14ac:dyDescent="0.45">
      <c r="A1335" s="30">
        <v>2023</v>
      </c>
      <c r="B1335" s="30" t="s">
        <v>15</v>
      </c>
      <c r="C1335" s="30" t="s">
        <v>46</v>
      </c>
      <c r="D1335" s="30" t="s">
        <v>47</v>
      </c>
      <c r="E1335" s="31" t="s">
        <v>263</v>
      </c>
      <c r="F1335" s="32" t="s">
        <v>81</v>
      </c>
      <c r="G1335" s="32" t="s">
        <v>50</v>
      </c>
      <c r="H1335" s="33">
        <v>168170</v>
      </c>
      <c r="I1335" s="34">
        <f>Table3[[#This Row],[Volume, kg.]]/1000</f>
        <v>168.17</v>
      </c>
      <c r="J1335" s="34">
        <v>0.22870000000000001</v>
      </c>
      <c r="K1335" s="34">
        <f t="shared" si="40"/>
        <v>38460.478999999999</v>
      </c>
      <c r="L1335" s="34">
        <v>2.84</v>
      </c>
      <c r="M1335" s="34">
        <v>478018.5</v>
      </c>
      <c r="N1335" s="34">
        <f t="shared" si="41"/>
        <v>12.418014866637515</v>
      </c>
    </row>
    <row r="1336" spans="1:14" x14ac:dyDescent="0.45">
      <c r="A1336" s="30">
        <v>2023</v>
      </c>
      <c r="B1336" s="30" t="s">
        <v>15</v>
      </c>
      <c r="C1336" s="30" t="s">
        <v>46</v>
      </c>
      <c r="D1336" s="30" t="s">
        <v>47</v>
      </c>
      <c r="E1336" s="31" t="s">
        <v>69</v>
      </c>
      <c r="F1336" s="32" t="s">
        <v>49</v>
      </c>
      <c r="G1336" s="32" t="s">
        <v>50</v>
      </c>
      <c r="H1336" s="33">
        <v>170250</v>
      </c>
      <c r="I1336" s="34">
        <f>Table3[[#This Row],[Volume, kg.]]/1000</f>
        <v>170.25</v>
      </c>
      <c r="J1336" s="34">
        <v>0.23749999999999999</v>
      </c>
      <c r="K1336" s="34">
        <f t="shared" si="40"/>
        <v>40434.375</v>
      </c>
      <c r="L1336" s="34">
        <v>2.93</v>
      </c>
      <c r="M1336" s="34">
        <v>499191</v>
      </c>
      <c r="N1336" s="34">
        <f t="shared" si="41"/>
        <v>12.336842105263159</v>
      </c>
    </row>
    <row r="1337" spans="1:14" x14ac:dyDescent="0.45">
      <c r="A1337" s="30">
        <v>2023</v>
      </c>
      <c r="B1337" s="30" t="s">
        <v>15</v>
      </c>
      <c r="C1337" s="30" t="s">
        <v>46</v>
      </c>
      <c r="D1337" s="30" t="s">
        <v>47</v>
      </c>
      <c r="E1337" s="31" t="s">
        <v>70</v>
      </c>
      <c r="F1337" s="32" t="s">
        <v>49</v>
      </c>
      <c r="G1337" s="32" t="s">
        <v>50</v>
      </c>
      <c r="H1337" s="33">
        <v>113820</v>
      </c>
      <c r="I1337" s="34">
        <f>Table3[[#This Row],[Volume, kg.]]/1000</f>
        <v>113.82</v>
      </c>
      <c r="J1337" s="34">
        <v>0.23829999999999998</v>
      </c>
      <c r="K1337" s="34">
        <f t="shared" si="40"/>
        <v>27123.305999999997</v>
      </c>
      <c r="L1337" s="34">
        <v>2.94</v>
      </c>
      <c r="M1337" s="34">
        <v>334259</v>
      </c>
      <c r="N1337" s="34">
        <f t="shared" si="41"/>
        <v>12.337389844733529</v>
      </c>
    </row>
    <row r="1338" spans="1:14" x14ac:dyDescent="0.45">
      <c r="A1338" s="30">
        <v>2023</v>
      </c>
      <c r="B1338" s="30" t="s">
        <v>15</v>
      </c>
      <c r="C1338" s="30" t="s">
        <v>46</v>
      </c>
      <c r="D1338" s="30" t="s">
        <v>47</v>
      </c>
      <c r="E1338" s="31" t="s">
        <v>71</v>
      </c>
      <c r="F1338" s="32" t="s">
        <v>49</v>
      </c>
      <c r="G1338" s="32" t="s">
        <v>50</v>
      </c>
      <c r="H1338" s="33">
        <v>41340</v>
      </c>
      <c r="I1338" s="34">
        <f>Table3[[#This Row],[Volume, kg.]]/1000</f>
        <v>41.34</v>
      </c>
      <c r="J1338" s="34">
        <v>0.24640000000000001</v>
      </c>
      <c r="K1338" s="34">
        <f t="shared" si="40"/>
        <v>10186.175999999999</v>
      </c>
      <c r="L1338" s="34">
        <v>2.88</v>
      </c>
      <c r="M1338" s="34">
        <v>119245</v>
      </c>
      <c r="N1338" s="34">
        <f t="shared" si="41"/>
        <v>11.688311688311687</v>
      </c>
    </row>
    <row r="1339" spans="1:14" x14ac:dyDescent="0.45">
      <c r="A1339" s="30">
        <v>2023</v>
      </c>
      <c r="B1339" s="30" t="s">
        <v>15</v>
      </c>
      <c r="C1339" s="30" t="s">
        <v>46</v>
      </c>
      <c r="D1339" s="30" t="s">
        <v>47</v>
      </c>
      <c r="E1339" s="31" t="s">
        <v>502</v>
      </c>
      <c r="F1339" s="32" t="s">
        <v>49</v>
      </c>
      <c r="G1339" s="32" t="s">
        <v>50</v>
      </c>
      <c r="H1339" s="33">
        <v>860</v>
      </c>
      <c r="I1339" s="34">
        <f>Table3[[#This Row],[Volume, kg.]]/1000</f>
        <v>0.86</v>
      </c>
      <c r="J1339" s="34">
        <v>0.222</v>
      </c>
      <c r="K1339" s="34">
        <f t="shared" si="40"/>
        <v>190.92000000000002</v>
      </c>
      <c r="L1339" s="34">
        <v>2.85</v>
      </c>
      <c r="M1339" s="34">
        <v>2451</v>
      </c>
      <c r="N1339" s="34">
        <f t="shared" si="41"/>
        <v>12.837837837837839</v>
      </c>
    </row>
    <row r="1340" spans="1:14" x14ac:dyDescent="0.45">
      <c r="A1340" s="30">
        <v>2023</v>
      </c>
      <c r="B1340" s="30" t="s">
        <v>15</v>
      </c>
      <c r="C1340" s="30" t="s">
        <v>46</v>
      </c>
      <c r="D1340" s="30" t="s">
        <v>47</v>
      </c>
      <c r="E1340" s="31" t="s">
        <v>503</v>
      </c>
      <c r="F1340" s="32" t="s">
        <v>49</v>
      </c>
      <c r="G1340" s="32" t="s">
        <v>50</v>
      </c>
      <c r="H1340" s="33">
        <v>4950</v>
      </c>
      <c r="I1340" s="34">
        <f>Table3[[#This Row],[Volume, kg.]]/1000</f>
        <v>4.95</v>
      </c>
      <c r="J1340" s="34">
        <v>0.22399999999999998</v>
      </c>
      <c r="K1340" s="34">
        <f t="shared" si="40"/>
        <v>1108.8</v>
      </c>
      <c r="L1340" s="34">
        <v>2.85</v>
      </c>
      <c r="M1340" s="34">
        <v>14107.5</v>
      </c>
      <c r="N1340" s="34">
        <f t="shared" si="41"/>
        <v>12.723214285714288</v>
      </c>
    </row>
    <row r="1341" spans="1:14" x14ac:dyDescent="0.45">
      <c r="A1341" s="30">
        <v>2023</v>
      </c>
      <c r="B1341" s="30" t="s">
        <v>15</v>
      </c>
      <c r="C1341" s="30" t="s">
        <v>46</v>
      </c>
      <c r="D1341" s="30" t="s">
        <v>47</v>
      </c>
      <c r="E1341" s="31" t="s">
        <v>72</v>
      </c>
      <c r="F1341" s="32" t="s">
        <v>49</v>
      </c>
      <c r="G1341" s="32" t="s">
        <v>50</v>
      </c>
      <c r="H1341" s="33">
        <v>117080</v>
      </c>
      <c r="I1341" s="34">
        <f>Table3[[#This Row],[Volume, kg.]]/1000</f>
        <v>117.08</v>
      </c>
      <c r="J1341" s="34">
        <v>0.2021</v>
      </c>
      <c r="K1341" s="34">
        <f t="shared" si="40"/>
        <v>23661.867999999999</v>
      </c>
      <c r="L1341" s="34">
        <v>2.75</v>
      </c>
      <c r="M1341" s="34">
        <v>321413.5</v>
      </c>
      <c r="N1341" s="34">
        <f t="shared" si="41"/>
        <v>13.607125185551707</v>
      </c>
    </row>
    <row r="1342" spans="1:14" x14ac:dyDescent="0.45">
      <c r="A1342" s="30">
        <v>2023</v>
      </c>
      <c r="B1342" s="30" t="s">
        <v>15</v>
      </c>
      <c r="C1342" s="30" t="s">
        <v>46</v>
      </c>
      <c r="D1342" s="30" t="s">
        <v>47</v>
      </c>
      <c r="E1342" s="31" t="s">
        <v>73</v>
      </c>
      <c r="F1342" s="32" t="s">
        <v>49</v>
      </c>
      <c r="G1342" s="32" t="s">
        <v>50</v>
      </c>
      <c r="H1342" s="33">
        <v>9890</v>
      </c>
      <c r="I1342" s="34">
        <f>Table3[[#This Row],[Volume, kg.]]/1000</f>
        <v>9.89</v>
      </c>
      <c r="J1342" s="34">
        <v>0.2447</v>
      </c>
      <c r="K1342" s="34">
        <f t="shared" si="40"/>
        <v>2420.0830000000001</v>
      </c>
      <c r="L1342" s="34">
        <v>2.96</v>
      </c>
      <c r="M1342" s="34">
        <v>29226</v>
      </c>
      <c r="N1342" s="34">
        <f t="shared" si="41"/>
        <v>12.096444626072742</v>
      </c>
    </row>
    <row r="1343" spans="1:14" x14ac:dyDescent="0.45">
      <c r="A1343" s="30">
        <v>2023</v>
      </c>
      <c r="B1343" s="30" t="s">
        <v>15</v>
      </c>
      <c r="C1343" s="30" t="s">
        <v>46</v>
      </c>
      <c r="D1343" s="30" t="s">
        <v>47</v>
      </c>
      <c r="E1343" s="31" t="s">
        <v>74</v>
      </c>
      <c r="F1343" s="32" t="s">
        <v>49</v>
      </c>
      <c r="G1343" s="32" t="s">
        <v>50</v>
      </c>
      <c r="H1343" s="33">
        <v>97830</v>
      </c>
      <c r="I1343" s="34">
        <f>Table3[[#This Row],[Volume, kg.]]/1000</f>
        <v>97.83</v>
      </c>
      <c r="J1343" s="34">
        <v>0.22800000000000001</v>
      </c>
      <c r="K1343" s="34">
        <f t="shared" si="40"/>
        <v>22305.24</v>
      </c>
      <c r="L1343" s="34">
        <v>2.86</v>
      </c>
      <c r="M1343" s="34">
        <v>279559.5</v>
      </c>
      <c r="N1343" s="34">
        <f t="shared" si="41"/>
        <v>12.543859649122806</v>
      </c>
    </row>
    <row r="1344" spans="1:14" x14ac:dyDescent="0.45">
      <c r="A1344" s="30">
        <v>2023</v>
      </c>
      <c r="B1344" s="30" t="s">
        <v>15</v>
      </c>
      <c r="C1344" s="30" t="s">
        <v>46</v>
      </c>
      <c r="D1344" s="30" t="s">
        <v>47</v>
      </c>
      <c r="E1344" s="31" t="s">
        <v>501</v>
      </c>
      <c r="F1344" s="32" t="s">
        <v>81</v>
      </c>
      <c r="G1344" s="32" t="s">
        <v>50</v>
      </c>
      <c r="H1344" s="33">
        <v>101070</v>
      </c>
      <c r="I1344" s="34">
        <f>Table3[[#This Row],[Volume, kg.]]/1000</f>
        <v>101.07</v>
      </c>
      <c r="J1344" s="34">
        <v>0.23280000000000001</v>
      </c>
      <c r="K1344" s="34">
        <f t="shared" si="40"/>
        <v>23529.096000000001</v>
      </c>
      <c r="L1344" s="34">
        <v>2.86</v>
      </c>
      <c r="M1344" s="34">
        <v>289255</v>
      </c>
      <c r="N1344" s="34">
        <f t="shared" si="41"/>
        <v>12.285223367697593</v>
      </c>
    </row>
    <row r="1345" spans="1:14" x14ac:dyDescent="0.45">
      <c r="A1345" s="30">
        <v>2023</v>
      </c>
      <c r="B1345" s="30" t="s">
        <v>15</v>
      </c>
      <c r="C1345" s="30" t="s">
        <v>46</v>
      </c>
      <c r="D1345" s="30" t="s">
        <v>47</v>
      </c>
      <c r="E1345" s="31" t="s">
        <v>335</v>
      </c>
      <c r="F1345" s="32" t="s">
        <v>54</v>
      </c>
      <c r="G1345" s="32" t="s">
        <v>50</v>
      </c>
      <c r="H1345" s="33">
        <v>40000</v>
      </c>
      <c r="I1345" s="34">
        <f>Table3[[#This Row],[Volume, kg.]]/1000</f>
        <v>40</v>
      </c>
      <c r="J1345" s="34">
        <v>0.1867</v>
      </c>
      <c r="K1345" s="34">
        <f t="shared" si="40"/>
        <v>7468</v>
      </c>
      <c r="L1345" s="34">
        <v>2.67</v>
      </c>
      <c r="M1345" s="34">
        <v>106928</v>
      </c>
      <c r="N1345" s="34">
        <f t="shared" si="41"/>
        <v>14.301017675415103</v>
      </c>
    </row>
    <row r="1346" spans="1:14" x14ac:dyDescent="0.45">
      <c r="A1346" s="30">
        <v>2023</v>
      </c>
      <c r="B1346" s="30" t="s">
        <v>15</v>
      </c>
      <c r="C1346" s="30" t="s">
        <v>46</v>
      </c>
      <c r="D1346" s="30" t="s">
        <v>47</v>
      </c>
      <c r="E1346" s="31" t="s">
        <v>75</v>
      </c>
      <c r="F1346" s="32" t="s">
        <v>49</v>
      </c>
      <c r="G1346" s="32" t="s">
        <v>50</v>
      </c>
      <c r="H1346" s="33">
        <v>92960</v>
      </c>
      <c r="I1346" s="34">
        <f>Table3[[#This Row],[Volume, kg.]]/1000</f>
        <v>92.96</v>
      </c>
      <c r="J1346" s="34">
        <v>0.22940000000000002</v>
      </c>
      <c r="K1346" s="34">
        <f t="shared" si="40"/>
        <v>21325.024000000001</v>
      </c>
      <c r="L1346" s="34">
        <v>2.85</v>
      </c>
      <c r="M1346" s="34">
        <v>265090.5</v>
      </c>
      <c r="N1346" s="34">
        <f t="shared" si="41"/>
        <v>12.423714036617262</v>
      </c>
    </row>
    <row r="1347" spans="1:14" x14ac:dyDescent="0.45">
      <c r="A1347" s="30">
        <v>2023</v>
      </c>
      <c r="B1347" s="30" t="s">
        <v>15</v>
      </c>
      <c r="C1347" s="30" t="s">
        <v>46</v>
      </c>
      <c r="D1347" s="30" t="s">
        <v>47</v>
      </c>
      <c r="E1347" s="31" t="s">
        <v>76</v>
      </c>
      <c r="F1347" s="32" t="s">
        <v>60</v>
      </c>
      <c r="G1347" s="32" t="s">
        <v>50</v>
      </c>
      <c r="H1347" s="33">
        <v>16120</v>
      </c>
      <c r="I1347" s="34">
        <f>Table3[[#This Row],[Volume, kg.]]/1000</f>
        <v>16.12</v>
      </c>
      <c r="J1347" s="34">
        <v>0.25879999999999997</v>
      </c>
      <c r="K1347" s="34">
        <f t="shared" ref="K1347:K1410" si="42">H1347*J1347</f>
        <v>4171.8559999999998</v>
      </c>
      <c r="L1347" s="34">
        <v>2.93</v>
      </c>
      <c r="M1347" s="34">
        <v>47235.5</v>
      </c>
      <c r="N1347" s="34">
        <f t="shared" si="41"/>
        <v>11.321483771251934</v>
      </c>
    </row>
    <row r="1348" spans="1:14" x14ac:dyDescent="0.45">
      <c r="A1348" s="30">
        <v>2023</v>
      </c>
      <c r="B1348" s="30" t="s">
        <v>15</v>
      </c>
      <c r="C1348" s="30" t="s">
        <v>46</v>
      </c>
      <c r="D1348" s="30" t="s">
        <v>47</v>
      </c>
      <c r="E1348" s="31" t="s">
        <v>265</v>
      </c>
      <c r="F1348" s="32" t="s">
        <v>49</v>
      </c>
      <c r="G1348" s="32" t="s">
        <v>50</v>
      </c>
      <c r="H1348" s="33">
        <v>56700</v>
      </c>
      <c r="I1348" s="34">
        <f>Table3[[#This Row],[Volume, kg.]]/1000</f>
        <v>56.7</v>
      </c>
      <c r="J1348" s="34">
        <v>0.20989999999999998</v>
      </c>
      <c r="K1348" s="34">
        <f t="shared" si="42"/>
        <v>11901.329999999998</v>
      </c>
      <c r="L1348" s="34">
        <v>2.84</v>
      </c>
      <c r="M1348" s="34">
        <v>161017.5</v>
      </c>
      <c r="N1348" s="34">
        <f t="shared" ref="N1348:N1411" si="43">L1348/J1348</f>
        <v>13.530252501191045</v>
      </c>
    </row>
    <row r="1349" spans="1:14" x14ac:dyDescent="0.45">
      <c r="A1349" s="30">
        <v>2023</v>
      </c>
      <c r="B1349" s="30" t="s">
        <v>15</v>
      </c>
      <c r="C1349" s="30" t="s">
        <v>46</v>
      </c>
      <c r="D1349" s="30" t="s">
        <v>47</v>
      </c>
      <c r="E1349" s="31" t="s">
        <v>77</v>
      </c>
      <c r="F1349" s="32" t="s">
        <v>49</v>
      </c>
      <c r="G1349" s="32" t="s">
        <v>50</v>
      </c>
      <c r="H1349" s="33">
        <v>39960</v>
      </c>
      <c r="I1349" s="34">
        <f>Table3[[#This Row],[Volume, kg.]]/1000</f>
        <v>39.96</v>
      </c>
      <c r="J1349" s="34">
        <v>0.2394</v>
      </c>
      <c r="K1349" s="34">
        <f t="shared" si="42"/>
        <v>9566.4240000000009</v>
      </c>
      <c r="L1349" s="34">
        <v>2.91</v>
      </c>
      <c r="M1349" s="34">
        <v>116391</v>
      </c>
      <c r="N1349" s="34">
        <f t="shared" si="43"/>
        <v>12.155388471177945</v>
      </c>
    </row>
    <row r="1350" spans="1:14" x14ac:dyDescent="0.45">
      <c r="A1350" s="30">
        <v>2023</v>
      </c>
      <c r="B1350" s="30" t="s">
        <v>15</v>
      </c>
      <c r="C1350" s="30" t="s">
        <v>46</v>
      </c>
      <c r="D1350" s="30" t="s">
        <v>47</v>
      </c>
      <c r="E1350" s="31" t="s">
        <v>78</v>
      </c>
      <c r="F1350" s="32" t="s">
        <v>49</v>
      </c>
      <c r="G1350" s="32" t="s">
        <v>50</v>
      </c>
      <c r="H1350" s="33">
        <v>9900</v>
      </c>
      <c r="I1350" s="34">
        <f>Table3[[#This Row],[Volume, kg.]]/1000</f>
        <v>9.9</v>
      </c>
      <c r="J1350" s="34">
        <v>0.2397</v>
      </c>
      <c r="K1350" s="34">
        <f t="shared" si="42"/>
        <v>2373.0299999999997</v>
      </c>
      <c r="L1350" s="34">
        <v>2.88</v>
      </c>
      <c r="M1350" s="34">
        <v>28512.5</v>
      </c>
      <c r="N1350" s="34">
        <f t="shared" si="43"/>
        <v>12.015018773466833</v>
      </c>
    </row>
    <row r="1351" spans="1:14" x14ac:dyDescent="0.45">
      <c r="A1351" s="30">
        <v>2023</v>
      </c>
      <c r="B1351" s="30" t="s">
        <v>15</v>
      </c>
      <c r="C1351" s="30" t="s">
        <v>46</v>
      </c>
      <c r="D1351" s="30" t="s">
        <v>47</v>
      </c>
      <c r="E1351" s="31" t="s">
        <v>518</v>
      </c>
      <c r="F1351" s="32" t="s">
        <v>49</v>
      </c>
      <c r="G1351" s="32" t="s">
        <v>50</v>
      </c>
      <c r="H1351" s="33">
        <v>139500</v>
      </c>
      <c r="I1351" s="34">
        <f>Table3[[#This Row],[Volume, kg.]]/1000</f>
        <v>139.5</v>
      </c>
      <c r="J1351" s="34">
        <v>0.25670000000000004</v>
      </c>
      <c r="K1351" s="34">
        <f t="shared" si="42"/>
        <v>35809.650000000009</v>
      </c>
      <c r="L1351" s="34">
        <v>3.01</v>
      </c>
      <c r="M1351" s="34">
        <v>419690</v>
      </c>
      <c r="N1351" s="34">
        <f t="shared" si="43"/>
        <v>11.725749902610048</v>
      </c>
    </row>
    <row r="1352" spans="1:14" x14ac:dyDescent="0.45">
      <c r="A1352" s="30">
        <v>2023</v>
      </c>
      <c r="B1352" s="30" t="s">
        <v>15</v>
      </c>
      <c r="C1352" s="30" t="s">
        <v>46</v>
      </c>
      <c r="D1352" s="30" t="s">
        <v>47</v>
      </c>
      <c r="E1352" s="31" t="s">
        <v>80</v>
      </c>
      <c r="F1352" s="32" t="s">
        <v>81</v>
      </c>
      <c r="G1352" s="32" t="s">
        <v>50</v>
      </c>
      <c r="H1352" s="33">
        <v>120740</v>
      </c>
      <c r="I1352" s="34">
        <f>Table3[[#This Row],[Volume, kg.]]/1000</f>
        <v>120.74</v>
      </c>
      <c r="J1352" s="34">
        <v>0.22699999999999998</v>
      </c>
      <c r="K1352" s="34">
        <f t="shared" si="42"/>
        <v>27407.979999999996</v>
      </c>
      <c r="L1352" s="34">
        <v>2.89</v>
      </c>
      <c r="M1352" s="34">
        <v>348568</v>
      </c>
      <c r="N1352" s="34">
        <f t="shared" si="43"/>
        <v>12.73127753303965</v>
      </c>
    </row>
    <row r="1353" spans="1:14" x14ac:dyDescent="0.45">
      <c r="A1353" s="30">
        <v>2023</v>
      </c>
      <c r="B1353" s="30" t="s">
        <v>15</v>
      </c>
      <c r="C1353" s="30" t="s">
        <v>46</v>
      </c>
      <c r="D1353" s="30" t="s">
        <v>47</v>
      </c>
      <c r="E1353" s="31" t="s">
        <v>267</v>
      </c>
      <c r="F1353" s="32" t="s">
        <v>57</v>
      </c>
      <c r="G1353" s="32" t="s">
        <v>50</v>
      </c>
      <c r="H1353" s="33">
        <v>37910</v>
      </c>
      <c r="I1353" s="34">
        <f>Table3[[#This Row],[Volume, kg.]]/1000</f>
        <v>37.909999999999997</v>
      </c>
      <c r="J1353" s="34">
        <v>0.25140000000000001</v>
      </c>
      <c r="K1353" s="34">
        <f t="shared" si="42"/>
        <v>9530.5740000000005</v>
      </c>
      <c r="L1353" s="34">
        <v>2.97</v>
      </c>
      <c r="M1353" s="34">
        <v>112695</v>
      </c>
      <c r="N1353" s="34">
        <f t="shared" si="43"/>
        <v>11.813842482100238</v>
      </c>
    </row>
    <row r="1354" spans="1:14" x14ac:dyDescent="0.45">
      <c r="A1354" s="30">
        <v>2023</v>
      </c>
      <c r="B1354" s="30" t="s">
        <v>15</v>
      </c>
      <c r="C1354" s="30" t="s">
        <v>46</v>
      </c>
      <c r="D1354" s="30" t="s">
        <v>47</v>
      </c>
      <c r="E1354" s="31" t="s">
        <v>269</v>
      </c>
      <c r="F1354" s="32" t="s">
        <v>60</v>
      </c>
      <c r="G1354" s="32" t="s">
        <v>50</v>
      </c>
      <c r="H1354" s="33">
        <v>35570</v>
      </c>
      <c r="I1354" s="34">
        <f>Table3[[#This Row],[Volume, kg.]]/1000</f>
        <v>35.57</v>
      </c>
      <c r="J1354" s="34">
        <v>0.25009999999999999</v>
      </c>
      <c r="K1354" s="34">
        <f t="shared" si="42"/>
        <v>8896.0569999999989</v>
      </c>
      <c r="L1354" s="34">
        <v>2.91</v>
      </c>
      <c r="M1354" s="34">
        <v>103637</v>
      </c>
      <c r="N1354" s="34">
        <f t="shared" si="43"/>
        <v>11.635345861655338</v>
      </c>
    </row>
    <row r="1355" spans="1:14" x14ac:dyDescent="0.45">
      <c r="A1355" s="30">
        <v>2023</v>
      </c>
      <c r="B1355" s="30" t="s">
        <v>15</v>
      </c>
      <c r="C1355" s="30" t="s">
        <v>46</v>
      </c>
      <c r="D1355" s="30" t="s">
        <v>47</v>
      </c>
      <c r="E1355" s="31" t="s">
        <v>83</v>
      </c>
      <c r="F1355" s="32" t="s">
        <v>64</v>
      </c>
      <c r="G1355" s="32" t="s">
        <v>50</v>
      </c>
      <c r="H1355" s="33">
        <v>950</v>
      </c>
      <c r="I1355" s="34">
        <f>Table3[[#This Row],[Volume, kg.]]/1000</f>
        <v>0.95</v>
      </c>
      <c r="J1355" s="34">
        <v>0.16550000000000001</v>
      </c>
      <c r="K1355" s="34">
        <f t="shared" si="42"/>
        <v>157.22499999999999</v>
      </c>
      <c r="L1355" s="34">
        <v>2.5</v>
      </c>
      <c r="M1355" s="34">
        <v>2375</v>
      </c>
      <c r="N1355" s="34">
        <f t="shared" si="43"/>
        <v>15.105740181268882</v>
      </c>
    </row>
    <row r="1356" spans="1:14" x14ac:dyDescent="0.45">
      <c r="A1356" s="30">
        <v>2023</v>
      </c>
      <c r="B1356" s="30" t="s">
        <v>15</v>
      </c>
      <c r="C1356" s="30" t="s">
        <v>46</v>
      </c>
      <c r="D1356" s="30" t="s">
        <v>47</v>
      </c>
      <c r="E1356" s="31" t="s">
        <v>84</v>
      </c>
      <c r="F1356" s="32" t="s">
        <v>57</v>
      </c>
      <c r="G1356" s="32" t="s">
        <v>50</v>
      </c>
      <c r="H1356" s="33">
        <v>2490</v>
      </c>
      <c r="I1356" s="34">
        <f>Table3[[#This Row],[Volume, kg.]]/1000</f>
        <v>2.4900000000000002</v>
      </c>
      <c r="J1356" s="34">
        <v>0.22699999999999998</v>
      </c>
      <c r="K1356" s="34">
        <f t="shared" si="42"/>
        <v>565.2299999999999</v>
      </c>
      <c r="L1356" s="34">
        <v>2.85</v>
      </c>
      <c r="M1356" s="34">
        <v>7096.5</v>
      </c>
      <c r="N1356" s="34">
        <f t="shared" si="43"/>
        <v>12.555066079295155</v>
      </c>
    </row>
    <row r="1357" spans="1:14" x14ac:dyDescent="0.45">
      <c r="A1357" s="30">
        <v>2023</v>
      </c>
      <c r="B1357" s="30" t="s">
        <v>15</v>
      </c>
      <c r="C1357" s="30" t="s">
        <v>46</v>
      </c>
      <c r="D1357" s="30" t="s">
        <v>47</v>
      </c>
      <c r="E1357" s="31" t="s">
        <v>85</v>
      </c>
      <c r="F1357" s="32" t="s">
        <v>49</v>
      </c>
      <c r="G1357" s="32" t="s">
        <v>50</v>
      </c>
      <c r="H1357" s="33">
        <v>11690</v>
      </c>
      <c r="I1357" s="34">
        <f>Table3[[#This Row],[Volume, kg.]]/1000</f>
        <v>11.69</v>
      </c>
      <c r="J1357" s="34">
        <v>0.24559999999999998</v>
      </c>
      <c r="K1357" s="34">
        <f t="shared" si="42"/>
        <v>2871.0639999999999</v>
      </c>
      <c r="L1357" s="34">
        <v>2.88</v>
      </c>
      <c r="M1357" s="34">
        <v>33716</v>
      </c>
      <c r="N1357" s="34">
        <f t="shared" si="43"/>
        <v>11.726384364820847</v>
      </c>
    </row>
    <row r="1358" spans="1:14" x14ac:dyDescent="0.45">
      <c r="A1358" s="30">
        <v>2023</v>
      </c>
      <c r="B1358" s="30" t="s">
        <v>15</v>
      </c>
      <c r="C1358" s="30" t="s">
        <v>46</v>
      </c>
      <c r="D1358" s="30" t="s">
        <v>47</v>
      </c>
      <c r="E1358" s="31" t="s">
        <v>86</v>
      </c>
      <c r="F1358" s="32" t="s">
        <v>49</v>
      </c>
      <c r="G1358" s="32" t="s">
        <v>50</v>
      </c>
      <c r="H1358" s="33">
        <v>282830</v>
      </c>
      <c r="I1358" s="34">
        <f>Table3[[#This Row],[Volume, kg.]]/1000</f>
        <v>282.83</v>
      </c>
      <c r="J1358" s="34">
        <v>0.23730000000000001</v>
      </c>
      <c r="K1358" s="34">
        <f t="shared" si="42"/>
        <v>67115.559000000008</v>
      </c>
      <c r="L1358" s="34">
        <v>2.9</v>
      </c>
      <c r="M1358" s="34">
        <v>821455.5</v>
      </c>
      <c r="N1358" s="34">
        <f t="shared" si="43"/>
        <v>12.220817530552043</v>
      </c>
    </row>
    <row r="1359" spans="1:14" x14ac:dyDescent="0.45">
      <c r="A1359" s="30">
        <v>2023</v>
      </c>
      <c r="B1359" s="30" t="s">
        <v>15</v>
      </c>
      <c r="C1359" s="30" t="s">
        <v>46</v>
      </c>
      <c r="D1359" s="30" t="s">
        <v>47</v>
      </c>
      <c r="E1359" s="31" t="s">
        <v>87</v>
      </c>
      <c r="F1359" s="32" t="s">
        <v>49</v>
      </c>
      <c r="G1359" s="32" t="s">
        <v>50</v>
      </c>
      <c r="H1359" s="33">
        <v>75680</v>
      </c>
      <c r="I1359" s="34">
        <f>Table3[[#This Row],[Volume, kg.]]/1000</f>
        <v>75.680000000000007</v>
      </c>
      <c r="J1359" s="34">
        <v>0.22460000000000002</v>
      </c>
      <c r="K1359" s="34">
        <f t="shared" si="42"/>
        <v>16997.728000000003</v>
      </c>
      <c r="L1359" s="34">
        <v>2.82</v>
      </c>
      <c r="M1359" s="34">
        <v>213422.5</v>
      </c>
      <c r="N1359" s="34">
        <f t="shared" si="43"/>
        <v>12.555654496883346</v>
      </c>
    </row>
    <row r="1360" spans="1:14" x14ac:dyDescent="0.45">
      <c r="A1360" s="30">
        <v>2023</v>
      </c>
      <c r="B1360" s="30" t="s">
        <v>15</v>
      </c>
      <c r="C1360" s="30" t="s">
        <v>46</v>
      </c>
      <c r="D1360" s="30" t="s">
        <v>47</v>
      </c>
      <c r="E1360" s="31" t="s">
        <v>519</v>
      </c>
      <c r="F1360" s="32" t="s">
        <v>134</v>
      </c>
      <c r="G1360" s="32" t="s">
        <v>50</v>
      </c>
      <c r="H1360" s="33">
        <v>24690</v>
      </c>
      <c r="I1360" s="34">
        <f>Table3[[#This Row],[Volume, kg.]]/1000</f>
        <v>24.69</v>
      </c>
      <c r="J1360" s="34">
        <v>0.23260000000000003</v>
      </c>
      <c r="K1360" s="34">
        <f t="shared" si="42"/>
        <v>5742.8940000000011</v>
      </c>
      <c r="L1360" s="34">
        <v>2.86</v>
      </c>
      <c r="M1360" s="34">
        <v>70495.5</v>
      </c>
      <c r="N1360" s="34">
        <f t="shared" si="43"/>
        <v>12.295786758383489</v>
      </c>
    </row>
    <row r="1361" spans="1:14" x14ac:dyDescent="0.45">
      <c r="A1361" s="30">
        <v>2023</v>
      </c>
      <c r="B1361" s="30" t="s">
        <v>15</v>
      </c>
      <c r="C1361" s="30" t="s">
        <v>46</v>
      </c>
      <c r="D1361" s="30" t="s">
        <v>47</v>
      </c>
      <c r="E1361" s="31" t="s">
        <v>520</v>
      </c>
      <c r="F1361" s="32" t="s">
        <v>49</v>
      </c>
      <c r="G1361" s="32" t="s">
        <v>50</v>
      </c>
      <c r="H1361" s="33">
        <v>11080</v>
      </c>
      <c r="I1361" s="34">
        <f>Table3[[#This Row],[Volume, kg.]]/1000</f>
        <v>11.08</v>
      </c>
      <c r="J1361" s="34">
        <v>0.1875</v>
      </c>
      <c r="K1361" s="34">
        <f t="shared" si="42"/>
        <v>2077.5</v>
      </c>
      <c r="L1361" s="34">
        <v>2.65</v>
      </c>
      <c r="M1361" s="34">
        <v>29362</v>
      </c>
      <c r="N1361" s="34">
        <f t="shared" si="43"/>
        <v>14.133333333333333</v>
      </c>
    </row>
    <row r="1362" spans="1:14" x14ac:dyDescent="0.45">
      <c r="A1362" s="30">
        <v>2023</v>
      </c>
      <c r="B1362" s="30" t="s">
        <v>15</v>
      </c>
      <c r="C1362" s="30" t="s">
        <v>46</v>
      </c>
      <c r="D1362" s="30" t="s">
        <v>47</v>
      </c>
      <c r="E1362" s="31" t="s">
        <v>89</v>
      </c>
      <c r="F1362" s="32" t="s">
        <v>81</v>
      </c>
      <c r="G1362" s="32" t="s">
        <v>50</v>
      </c>
      <c r="H1362" s="33">
        <v>41780</v>
      </c>
      <c r="I1362" s="34">
        <f>Table3[[#This Row],[Volume, kg.]]/1000</f>
        <v>41.78</v>
      </c>
      <c r="J1362" s="34">
        <v>0.2291</v>
      </c>
      <c r="K1362" s="34">
        <f t="shared" si="42"/>
        <v>9571.7980000000007</v>
      </c>
      <c r="L1362" s="34">
        <v>2.83</v>
      </c>
      <c r="M1362" s="34">
        <v>118441.5</v>
      </c>
      <c r="N1362" s="34">
        <f t="shared" si="43"/>
        <v>12.35268441728503</v>
      </c>
    </row>
    <row r="1363" spans="1:14" x14ac:dyDescent="0.45">
      <c r="A1363" s="30">
        <v>2023</v>
      </c>
      <c r="B1363" s="30" t="s">
        <v>15</v>
      </c>
      <c r="C1363" s="30" t="s">
        <v>46</v>
      </c>
      <c r="D1363" s="30" t="s">
        <v>47</v>
      </c>
      <c r="E1363" s="31" t="s">
        <v>90</v>
      </c>
      <c r="F1363" s="32" t="s">
        <v>49</v>
      </c>
      <c r="G1363" s="32" t="s">
        <v>50</v>
      </c>
      <c r="H1363" s="33">
        <v>197370</v>
      </c>
      <c r="I1363" s="34">
        <f>Table3[[#This Row],[Volume, kg.]]/1000</f>
        <v>197.37</v>
      </c>
      <c r="J1363" s="34">
        <v>0.23899999999999999</v>
      </c>
      <c r="K1363" s="34">
        <f t="shared" si="42"/>
        <v>47171.43</v>
      </c>
      <c r="L1363" s="34">
        <v>2.9</v>
      </c>
      <c r="M1363" s="34">
        <v>572060.5</v>
      </c>
      <c r="N1363" s="34">
        <f t="shared" si="43"/>
        <v>12.133891213389122</v>
      </c>
    </row>
    <row r="1364" spans="1:14" x14ac:dyDescent="0.45">
      <c r="A1364" s="30">
        <v>2023</v>
      </c>
      <c r="B1364" s="30" t="s">
        <v>15</v>
      </c>
      <c r="C1364" s="30" t="s">
        <v>46</v>
      </c>
      <c r="D1364" s="30" t="s">
        <v>47</v>
      </c>
      <c r="E1364" s="31" t="s">
        <v>383</v>
      </c>
      <c r="F1364" s="32" t="s">
        <v>49</v>
      </c>
      <c r="G1364" s="32" t="s">
        <v>50</v>
      </c>
      <c r="H1364" s="33">
        <v>11670</v>
      </c>
      <c r="I1364" s="34">
        <f>Table3[[#This Row],[Volume, kg.]]/1000</f>
        <v>11.67</v>
      </c>
      <c r="J1364" s="34">
        <v>0.2455</v>
      </c>
      <c r="K1364" s="34">
        <f t="shared" si="42"/>
        <v>2864.9850000000001</v>
      </c>
      <c r="L1364" s="34">
        <v>2.98</v>
      </c>
      <c r="M1364" s="34">
        <v>34773.5</v>
      </c>
      <c r="N1364" s="34">
        <f t="shared" si="43"/>
        <v>12.138492871690428</v>
      </c>
    </row>
    <row r="1365" spans="1:14" x14ac:dyDescent="0.45">
      <c r="A1365" s="30">
        <v>2023</v>
      </c>
      <c r="B1365" s="30" t="s">
        <v>15</v>
      </c>
      <c r="C1365" s="30" t="s">
        <v>46</v>
      </c>
      <c r="D1365" s="30" t="s">
        <v>47</v>
      </c>
      <c r="E1365" s="31" t="s">
        <v>273</v>
      </c>
      <c r="F1365" s="32" t="s">
        <v>49</v>
      </c>
      <c r="G1365" s="32" t="s">
        <v>50</v>
      </c>
      <c r="H1365" s="33">
        <v>6910</v>
      </c>
      <c r="I1365" s="34">
        <f>Table3[[#This Row],[Volume, kg.]]/1000</f>
        <v>6.91</v>
      </c>
      <c r="J1365" s="34">
        <v>0.20350000000000001</v>
      </c>
      <c r="K1365" s="34">
        <f t="shared" si="42"/>
        <v>1406.1850000000002</v>
      </c>
      <c r="L1365" s="34">
        <v>2.77</v>
      </c>
      <c r="M1365" s="34">
        <v>19123</v>
      </c>
      <c r="N1365" s="34">
        <f t="shared" si="43"/>
        <v>13.611793611793612</v>
      </c>
    </row>
    <row r="1366" spans="1:14" x14ac:dyDescent="0.45">
      <c r="A1366" s="30">
        <v>2023</v>
      </c>
      <c r="B1366" s="30" t="s">
        <v>15</v>
      </c>
      <c r="C1366" s="30" t="s">
        <v>46</v>
      </c>
      <c r="D1366" s="30" t="s">
        <v>47</v>
      </c>
      <c r="E1366" s="31" t="s">
        <v>510</v>
      </c>
      <c r="F1366" s="32" t="s">
        <v>49</v>
      </c>
      <c r="G1366" s="32" t="s">
        <v>50</v>
      </c>
      <c r="H1366" s="33">
        <v>17680</v>
      </c>
      <c r="I1366" s="34">
        <f>Table3[[#This Row],[Volume, kg.]]/1000</f>
        <v>17.68</v>
      </c>
      <c r="J1366" s="34">
        <v>0.24230000000000002</v>
      </c>
      <c r="K1366" s="34">
        <f t="shared" si="42"/>
        <v>4283.8640000000005</v>
      </c>
      <c r="L1366" s="34">
        <v>2.85</v>
      </c>
      <c r="M1366" s="34">
        <v>50388</v>
      </c>
      <c r="N1366" s="34">
        <f t="shared" si="43"/>
        <v>11.762278167560874</v>
      </c>
    </row>
    <row r="1367" spans="1:14" x14ac:dyDescent="0.45">
      <c r="A1367" s="30">
        <v>2023</v>
      </c>
      <c r="B1367" s="30" t="s">
        <v>15</v>
      </c>
      <c r="C1367" s="30" t="s">
        <v>46</v>
      </c>
      <c r="D1367" s="30" t="s">
        <v>47</v>
      </c>
      <c r="E1367" s="31" t="s">
        <v>468</v>
      </c>
      <c r="F1367" s="32" t="s">
        <v>240</v>
      </c>
      <c r="G1367" s="32" t="s">
        <v>50</v>
      </c>
      <c r="H1367" s="33">
        <v>14590</v>
      </c>
      <c r="I1367" s="34">
        <f>Table3[[#This Row],[Volume, kg.]]/1000</f>
        <v>14.59</v>
      </c>
      <c r="J1367" s="34">
        <v>0.21249999999999999</v>
      </c>
      <c r="K1367" s="34">
        <f t="shared" si="42"/>
        <v>3100.375</v>
      </c>
      <c r="L1367" s="34">
        <v>2.7</v>
      </c>
      <c r="M1367" s="34">
        <v>39393</v>
      </c>
      <c r="N1367" s="34">
        <f t="shared" si="43"/>
        <v>12.705882352941178</v>
      </c>
    </row>
    <row r="1368" spans="1:14" x14ac:dyDescent="0.45">
      <c r="A1368" s="30">
        <v>2023</v>
      </c>
      <c r="B1368" s="30" t="s">
        <v>15</v>
      </c>
      <c r="C1368" s="30" t="s">
        <v>46</v>
      </c>
      <c r="D1368" s="30" t="s">
        <v>47</v>
      </c>
      <c r="E1368" s="31" t="s">
        <v>275</v>
      </c>
      <c r="F1368" s="32" t="s">
        <v>54</v>
      </c>
      <c r="G1368" s="32" t="s">
        <v>50</v>
      </c>
      <c r="H1368" s="33">
        <v>10280</v>
      </c>
      <c r="I1368" s="34">
        <f>Table3[[#This Row],[Volume, kg.]]/1000</f>
        <v>10.28</v>
      </c>
      <c r="J1368" s="34">
        <v>0.17550000000000002</v>
      </c>
      <c r="K1368" s="34">
        <f t="shared" si="42"/>
        <v>1804.14</v>
      </c>
      <c r="L1368" s="34">
        <v>2.6</v>
      </c>
      <c r="M1368" s="34">
        <v>26728</v>
      </c>
      <c r="N1368" s="34">
        <f t="shared" si="43"/>
        <v>14.814814814814813</v>
      </c>
    </row>
    <row r="1369" spans="1:14" x14ac:dyDescent="0.45">
      <c r="A1369" s="30">
        <v>2023</v>
      </c>
      <c r="B1369" s="30" t="s">
        <v>15</v>
      </c>
      <c r="C1369" s="30" t="s">
        <v>46</v>
      </c>
      <c r="D1369" s="30" t="s">
        <v>47</v>
      </c>
      <c r="E1369" s="31" t="s">
        <v>430</v>
      </c>
      <c r="F1369" s="32" t="s">
        <v>49</v>
      </c>
      <c r="G1369" s="32" t="s">
        <v>50</v>
      </c>
      <c r="H1369" s="33">
        <v>19060</v>
      </c>
      <c r="I1369" s="34">
        <f>Table3[[#This Row],[Volume, kg.]]/1000</f>
        <v>19.059999999999999</v>
      </c>
      <c r="J1369" s="34">
        <v>0.2475</v>
      </c>
      <c r="K1369" s="34">
        <f t="shared" si="42"/>
        <v>4717.3500000000004</v>
      </c>
      <c r="L1369" s="34">
        <v>3</v>
      </c>
      <c r="M1369" s="34">
        <v>57180</v>
      </c>
      <c r="N1369" s="34">
        <f t="shared" si="43"/>
        <v>12.121212121212121</v>
      </c>
    </row>
    <row r="1370" spans="1:14" x14ac:dyDescent="0.45">
      <c r="A1370" s="30">
        <v>2023</v>
      </c>
      <c r="B1370" s="30" t="s">
        <v>15</v>
      </c>
      <c r="C1370" s="30" t="s">
        <v>46</v>
      </c>
      <c r="D1370" s="30" t="s">
        <v>47</v>
      </c>
      <c r="E1370" s="31" t="s">
        <v>95</v>
      </c>
      <c r="F1370" s="32" t="s">
        <v>49</v>
      </c>
      <c r="G1370" s="32" t="s">
        <v>50</v>
      </c>
      <c r="H1370" s="33">
        <v>34220</v>
      </c>
      <c r="I1370" s="34">
        <f>Table3[[#This Row],[Volume, kg.]]/1000</f>
        <v>34.22</v>
      </c>
      <c r="J1370" s="34">
        <v>0.24299999999999999</v>
      </c>
      <c r="K1370" s="34">
        <f t="shared" si="42"/>
        <v>8315.4599999999991</v>
      </c>
      <c r="L1370" s="34">
        <v>2.91</v>
      </c>
      <c r="M1370" s="34">
        <v>99572.5</v>
      </c>
      <c r="N1370" s="34">
        <f t="shared" si="43"/>
        <v>11.97530864197531</v>
      </c>
    </row>
    <row r="1371" spans="1:14" x14ac:dyDescent="0.45">
      <c r="A1371" s="30">
        <v>2023</v>
      </c>
      <c r="B1371" s="30" t="s">
        <v>15</v>
      </c>
      <c r="C1371" s="30" t="s">
        <v>46</v>
      </c>
      <c r="D1371" s="30" t="s">
        <v>47</v>
      </c>
      <c r="E1371" s="31" t="s">
        <v>96</v>
      </c>
      <c r="F1371" s="32" t="s">
        <v>49</v>
      </c>
      <c r="G1371" s="32" t="s">
        <v>50</v>
      </c>
      <c r="H1371" s="33">
        <v>152500</v>
      </c>
      <c r="I1371" s="34">
        <f>Table3[[#This Row],[Volume, kg.]]/1000</f>
        <v>152.5</v>
      </c>
      <c r="J1371" s="34">
        <v>0.2379</v>
      </c>
      <c r="K1371" s="34">
        <f t="shared" si="42"/>
        <v>36279.75</v>
      </c>
      <c r="L1371" s="34">
        <v>2.91</v>
      </c>
      <c r="M1371" s="34">
        <v>443309</v>
      </c>
      <c r="N1371" s="34">
        <f t="shared" si="43"/>
        <v>12.232030264817151</v>
      </c>
    </row>
    <row r="1372" spans="1:14" x14ac:dyDescent="0.45">
      <c r="A1372" s="30">
        <v>2023</v>
      </c>
      <c r="B1372" s="30" t="s">
        <v>15</v>
      </c>
      <c r="C1372" s="30" t="s">
        <v>46</v>
      </c>
      <c r="D1372" s="30" t="s">
        <v>47</v>
      </c>
      <c r="E1372" s="31" t="s">
        <v>97</v>
      </c>
      <c r="F1372" s="32" t="s">
        <v>49</v>
      </c>
      <c r="G1372" s="32" t="s">
        <v>50</v>
      </c>
      <c r="H1372" s="33">
        <v>57710</v>
      </c>
      <c r="I1372" s="34">
        <f>Table3[[#This Row],[Volume, kg.]]/1000</f>
        <v>57.71</v>
      </c>
      <c r="J1372" s="34">
        <v>0.23010000000000003</v>
      </c>
      <c r="K1372" s="34">
        <f t="shared" si="42"/>
        <v>13279.071000000002</v>
      </c>
      <c r="L1372" s="34">
        <v>2.93</v>
      </c>
      <c r="M1372" s="34">
        <v>168982</v>
      </c>
      <c r="N1372" s="34">
        <f t="shared" si="43"/>
        <v>12.733594089526292</v>
      </c>
    </row>
    <row r="1373" spans="1:14" x14ac:dyDescent="0.45">
      <c r="A1373" s="30">
        <v>2023</v>
      </c>
      <c r="B1373" s="30" t="s">
        <v>15</v>
      </c>
      <c r="C1373" s="30" t="s">
        <v>46</v>
      </c>
      <c r="D1373" s="30" t="s">
        <v>47</v>
      </c>
      <c r="E1373" s="31" t="s">
        <v>98</v>
      </c>
      <c r="F1373" s="32" t="s">
        <v>49</v>
      </c>
      <c r="G1373" s="32" t="s">
        <v>50</v>
      </c>
      <c r="H1373" s="33">
        <v>189160</v>
      </c>
      <c r="I1373" s="34">
        <f>Table3[[#This Row],[Volume, kg.]]/1000</f>
        <v>189.16</v>
      </c>
      <c r="J1373" s="34">
        <v>0.24679999999999999</v>
      </c>
      <c r="K1373" s="34">
        <f t="shared" si="42"/>
        <v>46684.688000000002</v>
      </c>
      <c r="L1373" s="34">
        <v>2.94</v>
      </c>
      <c r="M1373" s="34">
        <v>556735</v>
      </c>
      <c r="N1373" s="34">
        <f t="shared" si="43"/>
        <v>11.912479740680713</v>
      </c>
    </row>
    <row r="1374" spans="1:14" x14ac:dyDescent="0.45">
      <c r="A1374" s="30">
        <v>2023</v>
      </c>
      <c r="B1374" s="30" t="s">
        <v>15</v>
      </c>
      <c r="C1374" s="30" t="s">
        <v>46</v>
      </c>
      <c r="D1374" s="30" t="s">
        <v>47</v>
      </c>
      <c r="E1374" s="31" t="s">
        <v>99</v>
      </c>
      <c r="F1374" s="32" t="s">
        <v>49</v>
      </c>
      <c r="G1374" s="32" t="s">
        <v>50</v>
      </c>
      <c r="H1374" s="33">
        <v>175930</v>
      </c>
      <c r="I1374" s="34">
        <f>Table3[[#This Row],[Volume, kg.]]/1000</f>
        <v>175.93</v>
      </c>
      <c r="J1374" s="34">
        <v>0.25</v>
      </c>
      <c r="K1374" s="34">
        <f t="shared" si="42"/>
        <v>43982.5</v>
      </c>
      <c r="L1374" s="34">
        <v>2.96</v>
      </c>
      <c r="M1374" s="34">
        <v>520926</v>
      </c>
      <c r="N1374" s="34">
        <f t="shared" si="43"/>
        <v>11.84</v>
      </c>
    </row>
    <row r="1375" spans="1:14" x14ac:dyDescent="0.45">
      <c r="A1375" s="30">
        <v>2023</v>
      </c>
      <c r="B1375" s="30" t="s">
        <v>15</v>
      </c>
      <c r="C1375" s="30" t="s">
        <v>46</v>
      </c>
      <c r="D1375" s="30" t="s">
        <v>47</v>
      </c>
      <c r="E1375" s="31" t="s">
        <v>100</v>
      </c>
      <c r="F1375" s="32" t="s">
        <v>60</v>
      </c>
      <c r="G1375" s="32" t="s">
        <v>50</v>
      </c>
      <c r="H1375" s="33">
        <v>60410</v>
      </c>
      <c r="I1375" s="34">
        <f>Table3[[#This Row],[Volume, kg.]]/1000</f>
        <v>60.41</v>
      </c>
      <c r="J1375" s="34">
        <v>0.24429999999999999</v>
      </c>
      <c r="K1375" s="34">
        <f t="shared" si="42"/>
        <v>14758.162999999999</v>
      </c>
      <c r="L1375" s="34">
        <v>2.91</v>
      </c>
      <c r="M1375" s="34">
        <v>175832</v>
      </c>
      <c r="N1375" s="34">
        <f t="shared" si="43"/>
        <v>11.911584117887845</v>
      </c>
    </row>
    <row r="1376" spans="1:14" x14ac:dyDescent="0.45">
      <c r="A1376" s="30">
        <v>2023</v>
      </c>
      <c r="B1376" s="30" t="s">
        <v>15</v>
      </c>
      <c r="C1376" s="30" t="s">
        <v>46</v>
      </c>
      <c r="D1376" s="30" t="s">
        <v>47</v>
      </c>
      <c r="E1376" s="31" t="s">
        <v>109</v>
      </c>
      <c r="F1376" s="32" t="s">
        <v>60</v>
      </c>
      <c r="G1376" s="32" t="s">
        <v>50</v>
      </c>
      <c r="H1376" s="33">
        <v>12010</v>
      </c>
      <c r="I1376" s="34">
        <f>Table3[[#This Row],[Volume, kg.]]/1000</f>
        <v>12.01</v>
      </c>
      <c r="J1376" s="34">
        <v>0.2535</v>
      </c>
      <c r="K1376" s="34">
        <f t="shared" si="42"/>
        <v>3044.5349999999999</v>
      </c>
      <c r="L1376" s="34">
        <v>2.95</v>
      </c>
      <c r="M1376" s="34">
        <v>35429.5</v>
      </c>
      <c r="N1376" s="34">
        <f t="shared" si="43"/>
        <v>11.637080867850099</v>
      </c>
    </row>
    <row r="1377" spans="1:14" x14ac:dyDescent="0.45">
      <c r="A1377" s="30">
        <v>2023</v>
      </c>
      <c r="B1377" s="30" t="s">
        <v>15</v>
      </c>
      <c r="C1377" s="30" t="s">
        <v>46</v>
      </c>
      <c r="D1377" s="30" t="s">
        <v>47</v>
      </c>
      <c r="E1377" s="31" t="s">
        <v>110</v>
      </c>
      <c r="F1377" s="32" t="s">
        <v>57</v>
      </c>
      <c r="G1377" s="32" t="s">
        <v>50</v>
      </c>
      <c r="H1377" s="33">
        <v>61030</v>
      </c>
      <c r="I1377" s="34">
        <f>Table3[[#This Row],[Volume, kg.]]/1000</f>
        <v>61.03</v>
      </c>
      <c r="J1377" s="34">
        <v>0.22949999999999998</v>
      </c>
      <c r="K1377" s="34">
        <f t="shared" si="42"/>
        <v>14006.384999999998</v>
      </c>
      <c r="L1377" s="34">
        <v>2.84</v>
      </c>
      <c r="M1377" s="34">
        <v>173202.5</v>
      </c>
      <c r="N1377" s="34">
        <f t="shared" si="43"/>
        <v>12.374727668845317</v>
      </c>
    </row>
    <row r="1378" spans="1:14" x14ac:dyDescent="0.45">
      <c r="A1378" s="30">
        <v>2023</v>
      </c>
      <c r="B1378" s="30" t="s">
        <v>15</v>
      </c>
      <c r="C1378" s="30" t="s">
        <v>46</v>
      </c>
      <c r="D1378" s="30" t="s">
        <v>47</v>
      </c>
      <c r="E1378" s="31" t="s">
        <v>277</v>
      </c>
      <c r="F1378" s="32" t="s">
        <v>60</v>
      </c>
      <c r="G1378" s="32" t="s">
        <v>50</v>
      </c>
      <c r="H1378" s="33">
        <v>29210</v>
      </c>
      <c r="I1378" s="34">
        <f>Table3[[#This Row],[Volume, kg.]]/1000</f>
        <v>29.21</v>
      </c>
      <c r="J1378" s="34">
        <v>0.26119999999999999</v>
      </c>
      <c r="K1378" s="34">
        <f t="shared" si="42"/>
        <v>7629.652</v>
      </c>
      <c r="L1378" s="34">
        <v>2.98</v>
      </c>
      <c r="M1378" s="34">
        <v>87096</v>
      </c>
      <c r="N1378" s="34">
        <f t="shared" si="43"/>
        <v>11.408882082695254</v>
      </c>
    </row>
    <row r="1379" spans="1:14" x14ac:dyDescent="0.45">
      <c r="A1379" s="30">
        <v>2023</v>
      </c>
      <c r="B1379" s="30" t="s">
        <v>15</v>
      </c>
      <c r="C1379" s="30" t="s">
        <v>46</v>
      </c>
      <c r="D1379" s="30" t="s">
        <v>47</v>
      </c>
      <c r="E1379" s="31" t="s">
        <v>111</v>
      </c>
      <c r="F1379" s="32" t="s">
        <v>60</v>
      </c>
      <c r="G1379" s="32" t="s">
        <v>50</v>
      </c>
      <c r="H1379" s="33">
        <v>69500</v>
      </c>
      <c r="I1379" s="34">
        <f>Table3[[#This Row],[Volume, kg.]]/1000</f>
        <v>69.5</v>
      </c>
      <c r="J1379" s="34">
        <v>0.24979999999999999</v>
      </c>
      <c r="K1379" s="34">
        <f t="shared" si="42"/>
        <v>17361.099999999999</v>
      </c>
      <c r="L1379" s="34">
        <v>2.94</v>
      </c>
      <c r="M1379" s="34">
        <v>204499</v>
      </c>
      <c r="N1379" s="34">
        <f t="shared" si="43"/>
        <v>11.76941553242594</v>
      </c>
    </row>
    <row r="1380" spans="1:14" x14ac:dyDescent="0.45">
      <c r="A1380" s="30">
        <v>2023</v>
      </c>
      <c r="B1380" s="30" t="s">
        <v>15</v>
      </c>
      <c r="C1380" s="30" t="s">
        <v>46</v>
      </c>
      <c r="D1380" s="30" t="s">
        <v>47</v>
      </c>
      <c r="E1380" s="31" t="s">
        <v>278</v>
      </c>
      <c r="F1380" s="32" t="s">
        <v>49</v>
      </c>
      <c r="G1380" s="32" t="s">
        <v>50</v>
      </c>
      <c r="H1380" s="33">
        <v>33290</v>
      </c>
      <c r="I1380" s="34">
        <f>Table3[[#This Row],[Volume, kg.]]/1000</f>
        <v>33.29</v>
      </c>
      <c r="J1380" s="34">
        <v>0.22769999999999999</v>
      </c>
      <c r="K1380" s="34">
        <f t="shared" si="42"/>
        <v>7580.1329999999998</v>
      </c>
      <c r="L1380" s="34">
        <v>2.92</v>
      </c>
      <c r="M1380" s="34">
        <v>97222</v>
      </c>
      <c r="N1380" s="34">
        <f t="shared" si="43"/>
        <v>12.82389108476065</v>
      </c>
    </row>
    <row r="1381" spans="1:14" x14ac:dyDescent="0.45">
      <c r="A1381" s="30">
        <v>2023</v>
      </c>
      <c r="B1381" s="30" t="s">
        <v>15</v>
      </c>
      <c r="C1381" s="30" t="s">
        <v>46</v>
      </c>
      <c r="D1381" s="30" t="s">
        <v>47</v>
      </c>
      <c r="E1381" s="31" t="s">
        <v>431</v>
      </c>
      <c r="F1381" s="32" t="s">
        <v>49</v>
      </c>
      <c r="G1381" s="32" t="s">
        <v>50</v>
      </c>
      <c r="H1381" s="33">
        <v>113540</v>
      </c>
      <c r="I1381" s="34">
        <f>Table3[[#This Row],[Volume, kg.]]/1000</f>
        <v>113.54</v>
      </c>
      <c r="J1381" s="34">
        <v>0.2228</v>
      </c>
      <c r="K1381" s="34">
        <f t="shared" si="42"/>
        <v>25296.712</v>
      </c>
      <c r="L1381" s="34">
        <v>2.84</v>
      </c>
      <c r="M1381" s="34">
        <v>322073</v>
      </c>
      <c r="N1381" s="34">
        <f t="shared" si="43"/>
        <v>12.74685816876122</v>
      </c>
    </row>
    <row r="1382" spans="1:14" x14ac:dyDescent="0.45">
      <c r="A1382" s="30">
        <v>2023</v>
      </c>
      <c r="B1382" s="30" t="s">
        <v>15</v>
      </c>
      <c r="C1382" s="30" t="s">
        <v>46</v>
      </c>
      <c r="D1382" s="30" t="s">
        <v>47</v>
      </c>
      <c r="E1382" s="31" t="s">
        <v>521</v>
      </c>
      <c r="F1382" s="32" t="s">
        <v>49</v>
      </c>
      <c r="G1382" s="32" t="s">
        <v>50</v>
      </c>
      <c r="H1382" s="33">
        <v>2000</v>
      </c>
      <c r="I1382" s="34">
        <f>Table3[[#This Row],[Volume, kg.]]/1000</f>
        <v>2</v>
      </c>
      <c r="J1382" s="34">
        <v>0.20600000000000002</v>
      </c>
      <c r="K1382" s="34">
        <f t="shared" si="42"/>
        <v>412.00000000000006</v>
      </c>
      <c r="L1382" s="34">
        <v>2.75</v>
      </c>
      <c r="M1382" s="34">
        <v>5500</v>
      </c>
      <c r="N1382" s="34">
        <f t="shared" si="43"/>
        <v>13.349514563106794</v>
      </c>
    </row>
    <row r="1383" spans="1:14" x14ac:dyDescent="0.45">
      <c r="A1383" s="30">
        <v>2023</v>
      </c>
      <c r="B1383" s="30" t="s">
        <v>15</v>
      </c>
      <c r="C1383" s="30" t="s">
        <v>46</v>
      </c>
      <c r="D1383" s="30" t="s">
        <v>47</v>
      </c>
      <c r="E1383" s="31" t="s">
        <v>120</v>
      </c>
      <c r="F1383" s="32" t="s">
        <v>49</v>
      </c>
      <c r="G1383" s="32" t="s">
        <v>50</v>
      </c>
      <c r="H1383" s="33">
        <v>33260</v>
      </c>
      <c r="I1383" s="34">
        <f>Table3[[#This Row],[Volume, kg.]]/1000</f>
        <v>33.26</v>
      </c>
      <c r="J1383" s="34">
        <v>0.2072</v>
      </c>
      <c r="K1383" s="34">
        <f t="shared" si="42"/>
        <v>6891.4719999999998</v>
      </c>
      <c r="L1383" s="34">
        <v>2.76</v>
      </c>
      <c r="M1383" s="34">
        <v>91914.5</v>
      </c>
      <c r="N1383" s="34">
        <f t="shared" si="43"/>
        <v>13.32046332046332</v>
      </c>
    </row>
    <row r="1384" spans="1:14" x14ac:dyDescent="0.45">
      <c r="A1384" s="30">
        <v>2023</v>
      </c>
      <c r="B1384" s="30" t="s">
        <v>15</v>
      </c>
      <c r="C1384" s="30" t="s">
        <v>46</v>
      </c>
      <c r="D1384" s="30" t="s">
        <v>47</v>
      </c>
      <c r="E1384" s="31" t="s">
        <v>121</v>
      </c>
      <c r="F1384" s="32" t="s">
        <v>60</v>
      </c>
      <c r="G1384" s="32" t="s">
        <v>50</v>
      </c>
      <c r="H1384" s="33">
        <v>85580</v>
      </c>
      <c r="I1384" s="34">
        <f>Table3[[#This Row],[Volume, kg.]]/1000</f>
        <v>85.58</v>
      </c>
      <c r="J1384" s="34">
        <v>0.2316</v>
      </c>
      <c r="K1384" s="34">
        <f t="shared" si="42"/>
        <v>19820.328000000001</v>
      </c>
      <c r="L1384" s="34">
        <v>2.86</v>
      </c>
      <c r="M1384" s="34">
        <v>244670.5</v>
      </c>
      <c r="N1384" s="34">
        <f t="shared" si="43"/>
        <v>12.348877374784109</v>
      </c>
    </row>
    <row r="1385" spans="1:14" x14ac:dyDescent="0.45">
      <c r="A1385" s="30">
        <v>2023</v>
      </c>
      <c r="B1385" s="30" t="s">
        <v>15</v>
      </c>
      <c r="C1385" s="30" t="s">
        <v>46</v>
      </c>
      <c r="D1385" s="30" t="s">
        <v>47</v>
      </c>
      <c r="E1385" s="31" t="s">
        <v>123</v>
      </c>
      <c r="F1385" s="32" t="s">
        <v>49</v>
      </c>
      <c r="G1385" s="32" t="s">
        <v>50</v>
      </c>
      <c r="H1385" s="33">
        <v>147980</v>
      </c>
      <c r="I1385" s="34">
        <f>Table3[[#This Row],[Volume, kg.]]/1000</f>
        <v>147.97999999999999</v>
      </c>
      <c r="J1385" s="34">
        <v>0.25670000000000004</v>
      </c>
      <c r="K1385" s="34">
        <f t="shared" si="42"/>
        <v>37986.466000000008</v>
      </c>
      <c r="L1385" s="34">
        <v>2.98</v>
      </c>
      <c r="M1385" s="34">
        <v>441182.5</v>
      </c>
      <c r="N1385" s="34">
        <f t="shared" si="43"/>
        <v>11.608881963381377</v>
      </c>
    </row>
    <row r="1386" spans="1:14" x14ac:dyDescent="0.45">
      <c r="A1386" s="30">
        <v>2023</v>
      </c>
      <c r="B1386" s="30" t="s">
        <v>15</v>
      </c>
      <c r="C1386" s="30" t="s">
        <v>46</v>
      </c>
      <c r="D1386" s="30" t="s">
        <v>47</v>
      </c>
      <c r="E1386" s="31" t="s">
        <v>125</v>
      </c>
      <c r="F1386" s="32" t="s">
        <v>60</v>
      </c>
      <c r="G1386" s="32" t="s">
        <v>50</v>
      </c>
      <c r="H1386" s="33">
        <v>338290</v>
      </c>
      <c r="I1386" s="34">
        <f>Table3[[#This Row],[Volume, kg.]]/1000</f>
        <v>338.29</v>
      </c>
      <c r="J1386" s="34">
        <v>0.24909999999999999</v>
      </c>
      <c r="K1386" s="34">
        <f t="shared" si="42"/>
        <v>84268.03899999999</v>
      </c>
      <c r="L1386" s="34">
        <v>2.95</v>
      </c>
      <c r="M1386" s="34">
        <v>997693</v>
      </c>
      <c r="N1386" s="34">
        <f t="shared" si="43"/>
        <v>11.842633480529908</v>
      </c>
    </row>
    <row r="1387" spans="1:14" x14ac:dyDescent="0.45">
      <c r="A1387" s="30">
        <v>2023</v>
      </c>
      <c r="B1387" s="30" t="s">
        <v>15</v>
      </c>
      <c r="C1387" s="30" t="s">
        <v>46</v>
      </c>
      <c r="D1387" s="30" t="s">
        <v>102</v>
      </c>
      <c r="E1387" s="31" t="s">
        <v>126</v>
      </c>
      <c r="F1387" s="32" t="s">
        <v>127</v>
      </c>
      <c r="G1387" s="32" t="s">
        <v>128</v>
      </c>
      <c r="H1387" s="33">
        <v>614370</v>
      </c>
      <c r="I1387" s="34">
        <f>Table3[[#This Row],[Volume, kg.]]/1000</f>
        <v>614.37</v>
      </c>
      <c r="J1387" s="34">
        <v>0.21289999999999998</v>
      </c>
      <c r="K1387" s="34">
        <f t="shared" si="42"/>
        <v>130799.37299999999</v>
      </c>
      <c r="L1387" s="34">
        <v>2.9</v>
      </c>
      <c r="M1387" s="34">
        <v>1782233</v>
      </c>
      <c r="N1387" s="34">
        <f t="shared" si="43"/>
        <v>13.621418506341007</v>
      </c>
    </row>
    <row r="1388" spans="1:14" x14ac:dyDescent="0.45">
      <c r="A1388" s="30">
        <v>2023</v>
      </c>
      <c r="B1388" s="30" t="s">
        <v>15</v>
      </c>
      <c r="C1388" s="30" t="s">
        <v>46</v>
      </c>
      <c r="D1388" s="30" t="s">
        <v>47</v>
      </c>
      <c r="E1388" s="31" t="s">
        <v>346</v>
      </c>
      <c r="F1388" s="32" t="s">
        <v>49</v>
      </c>
      <c r="G1388" s="32" t="s">
        <v>50</v>
      </c>
      <c r="H1388" s="33">
        <v>36720</v>
      </c>
      <c r="I1388" s="34">
        <f>Table3[[#This Row],[Volume, kg.]]/1000</f>
        <v>36.72</v>
      </c>
      <c r="J1388" s="34">
        <v>0.21899999999999997</v>
      </c>
      <c r="K1388" s="34">
        <f t="shared" si="42"/>
        <v>8041.6799999999994</v>
      </c>
      <c r="L1388" s="34">
        <v>2.82</v>
      </c>
      <c r="M1388" s="34">
        <v>103630</v>
      </c>
      <c r="N1388" s="34">
        <f t="shared" si="43"/>
        <v>12.876712328767125</v>
      </c>
    </row>
    <row r="1389" spans="1:14" x14ac:dyDescent="0.45">
      <c r="A1389" s="30">
        <v>2023</v>
      </c>
      <c r="B1389" s="30" t="s">
        <v>15</v>
      </c>
      <c r="C1389" s="30" t="s">
        <v>46</v>
      </c>
      <c r="D1389" s="30" t="s">
        <v>47</v>
      </c>
      <c r="E1389" s="31" t="s">
        <v>522</v>
      </c>
      <c r="F1389" s="32" t="s">
        <v>64</v>
      </c>
      <c r="G1389" s="32" t="s">
        <v>50</v>
      </c>
      <c r="H1389" s="33">
        <v>5570</v>
      </c>
      <c r="I1389" s="34">
        <f>Table3[[#This Row],[Volume, kg.]]/1000</f>
        <v>5.57</v>
      </c>
      <c r="J1389" s="34">
        <v>0.2555</v>
      </c>
      <c r="K1389" s="34">
        <f t="shared" si="42"/>
        <v>1423.135</v>
      </c>
      <c r="L1389" s="34">
        <v>3</v>
      </c>
      <c r="M1389" s="34">
        <v>16710</v>
      </c>
      <c r="N1389" s="34">
        <f t="shared" si="43"/>
        <v>11.741682974559687</v>
      </c>
    </row>
    <row r="1390" spans="1:14" x14ac:dyDescent="0.45">
      <c r="A1390" s="30">
        <v>2023</v>
      </c>
      <c r="B1390" s="30" t="s">
        <v>15</v>
      </c>
      <c r="C1390" s="30" t="s">
        <v>46</v>
      </c>
      <c r="D1390" s="30" t="s">
        <v>47</v>
      </c>
      <c r="E1390" s="31" t="s">
        <v>129</v>
      </c>
      <c r="F1390" s="32" t="s">
        <v>57</v>
      </c>
      <c r="G1390" s="32" t="s">
        <v>50</v>
      </c>
      <c r="H1390" s="33">
        <v>112040</v>
      </c>
      <c r="I1390" s="34">
        <f>Table3[[#This Row],[Volume, kg.]]/1000</f>
        <v>112.04</v>
      </c>
      <c r="J1390" s="34">
        <v>0.21590000000000001</v>
      </c>
      <c r="K1390" s="34">
        <f t="shared" si="42"/>
        <v>24189.436000000002</v>
      </c>
      <c r="L1390" s="34">
        <v>2.8</v>
      </c>
      <c r="M1390" s="34">
        <v>313674</v>
      </c>
      <c r="N1390" s="34">
        <f t="shared" si="43"/>
        <v>12.968967114404816</v>
      </c>
    </row>
    <row r="1391" spans="1:14" x14ac:dyDescent="0.45">
      <c r="A1391" s="30">
        <v>2023</v>
      </c>
      <c r="B1391" s="30" t="s">
        <v>15</v>
      </c>
      <c r="C1391" s="30" t="s">
        <v>46</v>
      </c>
      <c r="D1391" s="30" t="s">
        <v>47</v>
      </c>
      <c r="E1391" s="31" t="s">
        <v>130</v>
      </c>
      <c r="F1391" s="32" t="s">
        <v>64</v>
      </c>
      <c r="G1391" s="32" t="s">
        <v>50</v>
      </c>
      <c r="H1391" s="33">
        <v>38450</v>
      </c>
      <c r="I1391" s="34">
        <f>Table3[[#This Row],[Volume, kg.]]/1000</f>
        <v>38.450000000000003</v>
      </c>
      <c r="J1391" s="34">
        <v>0.2346</v>
      </c>
      <c r="K1391" s="34">
        <f t="shared" si="42"/>
        <v>9020.3700000000008</v>
      </c>
      <c r="L1391" s="34">
        <v>2.88</v>
      </c>
      <c r="M1391" s="34">
        <v>110803.5</v>
      </c>
      <c r="N1391" s="34">
        <f t="shared" si="43"/>
        <v>12.276214833759591</v>
      </c>
    </row>
    <row r="1392" spans="1:14" x14ac:dyDescent="0.45">
      <c r="A1392" s="30">
        <v>2023</v>
      </c>
      <c r="B1392" s="30" t="s">
        <v>15</v>
      </c>
      <c r="C1392" s="30" t="s">
        <v>46</v>
      </c>
      <c r="D1392" s="30" t="s">
        <v>47</v>
      </c>
      <c r="E1392" s="31" t="s">
        <v>347</v>
      </c>
      <c r="F1392" s="32" t="s">
        <v>49</v>
      </c>
      <c r="G1392" s="32" t="s">
        <v>50</v>
      </c>
      <c r="H1392" s="33">
        <v>22000</v>
      </c>
      <c r="I1392" s="34">
        <f>Table3[[#This Row],[Volume, kg.]]/1000</f>
        <v>22</v>
      </c>
      <c r="J1392" s="34">
        <v>0.23850000000000002</v>
      </c>
      <c r="K1392" s="34">
        <f t="shared" si="42"/>
        <v>5247</v>
      </c>
      <c r="L1392" s="34">
        <v>2.85</v>
      </c>
      <c r="M1392" s="34">
        <v>62630.5</v>
      </c>
      <c r="N1392" s="34">
        <f t="shared" si="43"/>
        <v>11.949685534591195</v>
      </c>
    </row>
    <row r="1393" spans="1:14" x14ac:dyDescent="0.45">
      <c r="A1393" s="30">
        <v>2023</v>
      </c>
      <c r="B1393" s="30" t="s">
        <v>15</v>
      </c>
      <c r="C1393" s="30" t="s">
        <v>46</v>
      </c>
      <c r="D1393" s="30" t="s">
        <v>47</v>
      </c>
      <c r="E1393" s="31" t="s">
        <v>133</v>
      </c>
      <c r="F1393" s="32" t="s">
        <v>134</v>
      </c>
      <c r="G1393" s="32" t="s">
        <v>50</v>
      </c>
      <c r="H1393" s="33">
        <v>38750</v>
      </c>
      <c r="I1393" s="34">
        <f>Table3[[#This Row],[Volume, kg.]]/1000</f>
        <v>38.75</v>
      </c>
      <c r="J1393" s="34">
        <v>0.21350000000000002</v>
      </c>
      <c r="K1393" s="34">
        <f t="shared" si="42"/>
        <v>8273.125</v>
      </c>
      <c r="L1393" s="34">
        <v>2.82</v>
      </c>
      <c r="M1393" s="34">
        <v>109155</v>
      </c>
      <c r="N1393" s="34">
        <f t="shared" si="43"/>
        <v>13.208430913348945</v>
      </c>
    </row>
    <row r="1394" spans="1:14" x14ac:dyDescent="0.45">
      <c r="A1394" s="30">
        <v>2023</v>
      </c>
      <c r="B1394" s="30" t="s">
        <v>15</v>
      </c>
      <c r="C1394" s="30" t="s">
        <v>46</v>
      </c>
      <c r="D1394" s="30" t="s">
        <v>47</v>
      </c>
      <c r="E1394" s="31" t="s">
        <v>280</v>
      </c>
      <c r="F1394" s="32" t="s">
        <v>281</v>
      </c>
      <c r="G1394" s="32" t="s">
        <v>50</v>
      </c>
      <c r="H1394" s="33">
        <v>5150</v>
      </c>
      <c r="I1394" s="34">
        <f>Table3[[#This Row],[Volume, kg.]]/1000</f>
        <v>5.15</v>
      </c>
      <c r="J1394" s="34">
        <v>0.22899999999999998</v>
      </c>
      <c r="K1394" s="34">
        <f t="shared" si="42"/>
        <v>1179.3499999999999</v>
      </c>
      <c r="L1394" s="34">
        <v>2.9</v>
      </c>
      <c r="M1394" s="34">
        <v>14935</v>
      </c>
      <c r="N1394" s="34">
        <f t="shared" si="43"/>
        <v>12.663755458515285</v>
      </c>
    </row>
    <row r="1395" spans="1:14" x14ac:dyDescent="0.45">
      <c r="A1395" s="30">
        <v>2023</v>
      </c>
      <c r="B1395" s="30" t="s">
        <v>15</v>
      </c>
      <c r="C1395" s="30" t="s">
        <v>46</v>
      </c>
      <c r="D1395" s="30" t="s">
        <v>47</v>
      </c>
      <c r="E1395" s="31" t="s">
        <v>136</v>
      </c>
      <c r="F1395" s="32" t="s">
        <v>49</v>
      </c>
      <c r="G1395" s="32" t="s">
        <v>50</v>
      </c>
      <c r="H1395" s="33">
        <v>60720</v>
      </c>
      <c r="I1395" s="34">
        <f>Table3[[#This Row],[Volume, kg.]]/1000</f>
        <v>60.72</v>
      </c>
      <c r="J1395" s="34">
        <v>0.25670000000000004</v>
      </c>
      <c r="K1395" s="34">
        <f t="shared" si="42"/>
        <v>15586.824000000002</v>
      </c>
      <c r="L1395" s="34">
        <v>2.98</v>
      </c>
      <c r="M1395" s="34">
        <v>180956.5</v>
      </c>
      <c r="N1395" s="34">
        <f t="shared" si="43"/>
        <v>11.608881963381377</v>
      </c>
    </row>
    <row r="1396" spans="1:14" x14ac:dyDescent="0.45">
      <c r="A1396" s="30">
        <v>2023</v>
      </c>
      <c r="B1396" s="30" t="s">
        <v>15</v>
      </c>
      <c r="C1396" s="30" t="s">
        <v>46</v>
      </c>
      <c r="D1396" s="30" t="s">
        <v>47</v>
      </c>
      <c r="E1396" s="31" t="s">
        <v>395</v>
      </c>
      <c r="F1396" s="32" t="s">
        <v>81</v>
      </c>
      <c r="G1396" s="32" t="s">
        <v>50</v>
      </c>
      <c r="H1396" s="33">
        <v>99430</v>
      </c>
      <c r="I1396" s="34">
        <f>Table3[[#This Row],[Volume, kg.]]/1000</f>
        <v>99.43</v>
      </c>
      <c r="J1396" s="34">
        <v>0.2432</v>
      </c>
      <c r="K1396" s="34">
        <f t="shared" si="42"/>
        <v>24181.376</v>
      </c>
      <c r="L1396" s="34">
        <v>2.92</v>
      </c>
      <c r="M1396" s="34">
        <v>290367.5</v>
      </c>
      <c r="N1396" s="34">
        <f t="shared" si="43"/>
        <v>12.006578947368421</v>
      </c>
    </row>
    <row r="1397" spans="1:14" x14ac:dyDescent="0.45">
      <c r="A1397" s="30">
        <v>2023</v>
      </c>
      <c r="B1397" s="30" t="s">
        <v>15</v>
      </c>
      <c r="C1397" s="30" t="s">
        <v>46</v>
      </c>
      <c r="D1397" s="30" t="s">
        <v>47</v>
      </c>
      <c r="E1397" s="31" t="s">
        <v>283</v>
      </c>
      <c r="F1397" s="32" t="s">
        <v>49</v>
      </c>
      <c r="G1397" s="32" t="s">
        <v>50</v>
      </c>
      <c r="H1397" s="33">
        <v>38930</v>
      </c>
      <c r="I1397" s="34">
        <f>Table3[[#This Row],[Volume, kg.]]/1000</f>
        <v>38.93</v>
      </c>
      <c r="J1397" s="34">
        <v>0.22270000000000001</v>
      </c>
      <c r="K1397" s="34">
        <f t="shared" si="42"/>
        <v>8669.7110000000011</v>
      </c>
      <c r="L1397" s="34">
        <v>2.82</v>
      </c>
      <c r="M1397" s="34">
        <v>109846.5</v>
      </c>
      <c r="N1397" s="34">
        <f t="shared" si="43"/>
        <v>12.662775033677592</v>
      </c>
    </row>
    <row r="1398" spans="1:14" x14ac:dyDescent="0.45">
      <c r="A1398" s="30">
        <v>2023</v>
      </c>
      <c r="B1398" s="30" t="s">
        <v>15</v>
      </c>
      <c r="C1398" s="30" t="s">
        <v>46</v>
      </c>
      <c r="D1398" s="30" t="s">
        <v>47</v>
      </c>
      <c r="E1398" s="31" t="s">
        <v>480</v>
      </c>
      <c r="F1398" s="32" t="s">
        <v>49</v>
      </c>
      <c r="G1398" s="32" t="s">
        <v>50</v>
      </c>
      <c r="H1398" s="33">
        <v>74000</v>
      </c>
      <c r="I1398" s="34">
        <f>Table3[[#This Row],[Volume, kg.]]/1000</f>
        <v>74</v>
      </c>
      <c r="J1398" s="34">
        <v>0.22309999999999999</v>
      </c>
      <c r="K1398" s="34">
        <f t="shared" si="42"/>
        <v>16509.399999999998</v>
      </c>
      <c r="L1398" s="34">
        <v>2.8</v>
      </c>
      <c r="M1398" s="34">
        <v>207544.5</v>
      </c>
      <c r="N1398" s="34">
        <f t="shared" si="43"/>
        <v>12.550425818018825</v>
      </c>
    </row>
    <row r="1399" spans="1:14" x14ac:dyDescent="0.45">
      <c r="A1399" s="30">
        <v>2023</v>
      </c>
      <c r="B1399" s="30" t="s">
        <v>15</v>
      </c>
      <c r="C1399" s="30" t="s">
        <v>46</v>
      </c>
      <c r="D1399" s="30" t="s">
        <v>47</v>
      </c>
      <c r="E1399" s="31" t="s">
        <v>137</v>
      </c>
      <c r="F1399" s="32" t="s">
        <v>49</v>
      </c>
      <c r="G1399" s="32" t="s">
        <v>50</v>
      </c>
      <c r="H1399" s="33">
        <v>2900</v>
      </c>
      <c r="I1399" s="34">
        <f>Table3[[#This Row],[Volume, kg.]]/1000</f>
        <v>2.9</v>
      </c>
      <c r="J1399" s="34">
        <v>0.23749999999999999</v>
      </c>
      <c r="K1399" s="34">
        <f t="shared" si="42"/>
        <v>688.75</v>
      </c>
      <c r="L1399" s="34">
        <v>2.9</v>
      </c>
      <c r="M1399" s="34">
        <v>8410</v>
      </c>
      <c r="N1399" s="34">
        <f t="shared" si="43"/>
        <v>12.210526315789474</v>
      </c>
    </row>
    <row r="1400" spans="1:14" x14ac:dyDescent="0.45">
      <c r="A1400" s="30">
        <v>2023</v>
      </c>
      <c r="B1400" s="30" t="s">
        <v>15</v>
      </c>
      <c r="C1400" s="30" t="s">
        <v>46</v>
      </c>
      <c r="D1400" s="30" t="s">
        <v>47</v>
      </c>
      <c r="E1400" s="31" t="s">
        <v>138</v>
      </c>
      <c r="F1400" s="32" t="s">
        <v>49</v>
      </c>
      <c r="G1400" s="32" t="s">
        <v>50</v>
      </c>
      <c r="H1400" s="33">
        <v>33990</v>
      </c>
      <c r="I1400" s="34">
        <f>Table3[[#This Row],[Volume, kg.]]/1000</f>
        <v>33.99</v>
      </c>
      <c r="J1400" s="34">
        <v>0.2535</v>
      </c>
      <c r="K1400" s="34">
        <f t="shared" si="42"/>
        <v>8616.4650000000001</v>
      </c>
      <c r="L1400" s="34">
        <v>3.07</v>
      </c>
      <c r="M1400" s="34">
        <v>104507</v>
      </c>
      <c r="N1400" s="34">
        <f t="shared" si="43"/>
        <v>12.110453648915186</v>
      </c>
    </row>
    <row r="1401" spans="1:14" x14ac:dyDescent="0.45">
      <c r="A1401" s="30">
        <v>2023</v>
      </c>
      <c r="B1401" s="30" t="s">
        <v>15</v>
      </c>
      <c r="C1401" s="30" t="s">
        <v>46</v>
      </c>
      <c r="D1401" s="30" t="s">
        <v>47</v>
      </c>
      <c r="E1401" s="31" t="s">
        <v>285</v>
      </c>
      <c r="F1401" s="32" t="s">
        <v>49</v>
      </c>
      <c r="G1401" s="32" t="s">
        <v>50</v>
      </c>
      <c r="H1401" s="33">
        <v>134720</v>
      </c>
      <c r="I1401" s="34">
        <f>Table3[[#This Row],[Volume, kg.]]/1000</f>
        <v>134.72</v>
      </c>
      <c r="J1401" s="34">
        <v>0.21390000000000001</v>
      </c>
      <c r="K1401" s="34">
        <f t="shared" si="42"/>
        <v>28816.608</v>
      </c>
      <c r="L1401" s="34">
        <v>2.78</v>
      </c>
      <c r="M1401" s="34">
        <v>374290</v>
      </c>
      <c r="N1401" s="34">
        <f t="shared" si="43"/>
        <v>12.996727442730247</v>
      </c>
    </row>
    <row r="1402" spans="1:14" x14ac:dyDescent="0.45">
      <c r="A1402" s="30">
        <v>2023</v>
      </c>
      <c r="B1402" s="30" t="s">
        <v>15</v>
      </c>
      <c r="C1402" s="30" t="s">
        <v>46</v>
      </c>
      <c r="D1402" s="30" t="s">
        <v>47</v>
      </c>
      <c r="E1402" s="31" t="s">
        <v>517</v>
      </c>
      <c r="F1402" s="32" t="s">
        <v>57</v>
      </c>
      <c r="G1402" s="32" t="s">
        <v>50</v>
      </c>
      <c r="H1402" s="33">
        <v>142220</v>
      </c>
      <c r="I1402" s="34">
        <f>Table3[[#This Row],[Volume, kg.]]/1000</f>
        <v>142.22</v>
      </c>
      <c r="J1402" s="34">
        <v>0.23269999999999999</v>
      </c>
      <c r="K1402" s="34">
        <f t="shared" si="42"/>
        <v>33094.593999999997</v>
      </c>
      <c r="L1402" s="34">
        <v>2.88</v>
      </c>
      <c r="M1402" s="34">
        <v>409999.5</v>
      </c>
      <c r="N1402" s="34">
        <f t="shared" si="43"/>
        <v>12.376450365277181</v>
      </c>
    </row>
    <row r="1403" spans="1:14" x14ac:dyDescent="0.45">
      <c r="A1403" s="30">
        <v>2023</v>
      </c>
      <c r="B1403" s="30" t="s">
        <v>15</v>
      </c>
      <c r="C1403" s="30" t="s">
        <v>46</v>
      </c>
      <c r="D1403" s="30" t="s">
        <v>47</v>
      </c>
      <c r="E1403" s="31" t="s">
        <v>287</v>
      </c>
      <c r="F1403" s="32" t="s">
        <v>60</v>
      </c>
      <c r="G1403" s="32" t="s">
        <v>50</v>
      </c>
      <c r="H1403" s="33">
        <v>94810</v>
      </c>
      <c r="I1403" s="34">
        <f>Table3[[#This Row],[Volume, kg.]]/1000</f>
        <v>94.81</v>
      </c>
      <c r="J1403" s="34">
        <v>0.25950000000000001</v>
      </c>
      <c r="K1403" s="34">
        <f t="shared" si="42"/>
        <v>24603.195</v>
      </c>
      <c r="L1403" s="34">
        <v>3.05</v>
      </c>
      <c r="M1403" s="34">
        <v>289459.5</v>
      </c>
      <c r="N1403" s="34">
        <f t="shared" si="43"/>
        <v>11.753371868978805</v>
      </c>
    </row>
    <row r="1404" spans="1:14" x14ac:dyDescent="0.45">
      <c r="A1404" s="30">
        <v>2023</v>
      </c>
      <c r="B1404" s="30" t="s">
        <v>15</v>
      </c>
      <c r="C1404" s="30" t="s">
        <v>46</v>
      </c>
      <c r="D1404" s="30" t="s">
        <v>47</v>
      </c>
      <c r="E1404" s="31" t="s">
        <v>390</v>
      </c>
      <c r="F1404" s="32" t="s">
        <v>60</v>
      </c>
      <c r="G1404" s="32" t="s">
        <v>50</v>
      </c>
      <c r="H1404" s="33">
        <v>67380</v>
      </c>
      <c r="I1404" s="34">
        <f>Table3[[#This Row],[Volume, kg.]]/1000</f>
        <v>67.38</v>
      </c>
      <c r="J1404" s="34">
        <v>0.24340000000000001</v>
      </c>
      <c r="K1404" s="34">
        <f t="shared" si="42"/>
        <v>16400.292000000001</v>
      </c>
      <c r="L1404" s="34">
        <v>2.92</v>
      </c>
      <c r="M1404" s="34">
        <v>196688</v>
      </c>
      <c r="N1404" s="34">
        <f t="shared" si="43"/>
        <v>11.99671322925226</v>
      </c>
    </row>
    <row r="1405" spans="1:14" x14ac:dyDescent="0.45">
      <c r="A1405" s="30">
        <v>2023</v>
      </c>
      <c r="B1405" s="30" t="s">
        <v>15</v>
      </c>
      <c r="C1405" s="30" t="s">
        <v>46</v>
      </c>
      <c r="D1405" s="30" t="s">
        <v>47</v>
      </c>
      <c r="E1405" s="31" t="s">
        <v>523</v>
      </c>
      <c r="F1405" s="32" t="s">
        <v>49</v>
      </c>
      <c r="G1405" s="32" t="s">
        <v>50</v>
      </c>
      <c r="H1405" s="33">
        <v>15100</v>
      </c>
      <c r="I1405" s="34">
        <f>Table3[[#This Row],[Volume, kg.]]/1000</f>
        <v>15.1</v>
      </c>
      <c r="J1405" s="34">
        <v>0.1946</v>
      </c>
      <c r="K1405" s="34">
        <f t="shared" si="42"/>
        <v>2938.46</v>
      </c>
      <c r="L1405" s="34">
        <v>2.63</v>
      </c>
      <c r="M1405" s="34">
        <v>39703.5</v>
      </c>
      <c r="N1405" s="34">
        <f t="shared" si="43"/>
        <v>13.514902363823227</v>
      </c>
    </row>
    <row r="1406" spans="1:14" x14ac:dyDescent="0.45">
      <c r="A1406" s="30">
        <v>2023</v>
      </c>
      <c r="B1406" s="30" t="s">
        <v>15</v>
      </c>
      <c r="C1406" s="30" t="s">
        <v>46</v>
      </c>
      <c r="D1406" s="30" t="s">
        <v>47</v>
      </c>
      <c r="E1406" s="31" t="s">
        <v>288</v>
      </c>
      <c r="F1406" s="32" t="s">
        <v>49</v>
      </c>
      <c r="G1406" s="32" t="s">
        <v>50</v>
      </c>
      <c r="H1406" s="33">
        <v>160350</v>
      </c>
      <c r="I1406" s="34">
        <f>Table3[[#This Row],[Volume, kg.]]/1000</f>
        <v>160.35</v>
      </c>
      <c r="J1406" s="34">
        <v>0.2243</v>
      </c>
      <c r="K1406" s="34">
        <f t="shared" si="42"/>
        <v>35966.504999999997</v>
      </c>
      <c r="L1406" s="34">
        <v>2.84</v>
      </c>
      <c r="M1406" s="34">
        <v>455788.5</v>
      </c>
      <c r="N1406" s="34">
        <f t="shared" si="43"/>
        <v>12.661613909942041</v>
      </c>
    </row>
    <row r="1407" spans="1:14" x14ac:dyDescent="0.45">
      <c r="A1407" s="30">
        <v>2023</v>
      </c>
      <c r="B1407" s="30" t="s">
        <v>15</v>
      </c>
      <c r="C1407" s="30" t="s">
        <v>46</v>
      </c>
      <c r="D1407" s="30" t="s">
        <v>47</v>
      </c>
      <c r="E1407" s="31" t="s">
        <v>140</v>
      </c>
      <c r="F1407" s="32" t="s">
        <v>49</v>
      </c>
      <c r="G1407" s="32" t="s">
        <v>50</v>
      </c>
      <c r="H1407" s="33">
        <v>9200</v>
      </c>
      <c r="I1407" s="34">
        <f>Table3[[#This Row],[Volume, kg.]]/1000</f>
        <v>9.1999999999999993</v>
      </c>
      <c r="J1407" s="34">
        <v>0.22</v>
      </c>
      <c r="K1407" s="34">
        <f t="shared" si="42"/>
        <v>2024</v>
      </c>
      <c r="L1407" s="34">
        <v>2.85</v>
      </c>
      <c r="M1407" s="34">
        <v>26220</v>
      </c>
      <c r="N1407" s="34">
        <f t="shared" si="43"/>
        <v>12.954545454545455</v>
      </c>
    </row>
    <row r="1408" spans="1:14" x14ac:dyDescent="0.45">
      <c r="A1408" s="30">
        <v>2023</v>
      </c>
      <c r="B1408" s="30" t="s">
        <v>15</v>
      </c>
      <c r="C1408" s="30" t="s">
        <v>46</v>
      </c>
      <c r="D1408" s="30" t="s">
        <v>47</v>
      </c>
      <c r="E1408" s="31" t="s">
        <v>350</v>
      </c>
      <c r="F1408" s="32" t="s">
        <v>49</v>
      </c>
      <c r="G1408" s="32" t="s">
        <v>50</v>
      </c>
      <c r="H1408" s="33">
        <v>86450</v>
      </c>
      <c r="I1408" s="34">
        <f>Table3[[#This Row],[Volume, kg.]]/1000</f>
        <v>86.45</v>
      </c>
      <c r="J1408" s="34">
        <v>0.22789999999999999</v>
      </c>
      <c r="K1408" s="34">
        <f t="shared" si="42"/>
        <v>19701.954999999998</v>
      </c>
      <c r="L1408" s="34">
        <v>2.87</v>
      </c>
      <c r="M1408" s="34">
        <v>247818</v>
      </c>
      <c r="N1408" s="34">
        <f t="shared" si="43"/>
        <v>12.593242650285214</v>
      </c>
    </row>
    <row r="1409" spans="1:14" x14ac:dyDescent="0.45">
      <c r="A1409" s="30">
        <v>2023</v>
      </c>
      <c r="B1409" s="30" t="s">
        <v>15</v>
      </c>
      <c r="C1409" s="30" t="s">
        <v>46</v>
      </c>
      <c r="D1409" s="30" t="s">
        <v>47</v>
      </c>
      <c r="E1409" s="31" t="s">
        <v>476</v>
      </c>
      <c r="F1409" s="32" t="s">
        <v>49</v>
      </c>
      <c r="G1409" s="32" t="s">
        <v>50</v>
      </c>
      <c r="H1409" s="33">
        <v>5940</v>
      </c>
      <c r="I1409" s="34">
        <f>Table3[[#This Row],[Volume, kg.]]/1000</f>
        <v>5.94</v>
      </c>
      <c r="J1409" s="34">
        <v>0.23050000000000001</v>
      </c>
      <c r="K1409" s="34">
        <f t="shared" si="42"/>
        <v>1369.17</v>
      </c>
      <c r="L1409" s="34">
        <v>2.9</v>
      </c>
      <c r="M1409" s="34">
        <v>17226</v>
      </c>
      <c r="N1409" s="34">
        <f t="shared" si="43"/>
        <v>12.581344902386116</v>
      </c>
    </row>
    <row r="1410" spans="1:14" x14ac:dyDescent="0.45">
      <c r="A1410" s="30">
        <v>2023</v>
      </c>
      <c r="B1410" s="30" t="s">
        <v>15</v>
      </c>
      <c r="C1410" s="30" t="s">
        <v>46</v>
      </c>
      <c r="D1410" s="30" t="s">
        <v>47</v>
      </c>
      <c r="E1410" s="31" t="s">
        <v>142</v>
      </c>
      <c r="F1410" s="32" t="s">
        <v>57</v>
      </c>
      <c r="G1410" s="32" t="s">
        <v>50</v>
      </c>
      <c r="H1410" s="33">
        <v>170760</v>
      </c>
      <c r="I1410" s="34">
        <f>Table3[[#This Row],[Volume, kg.]]/1000</f>
        <v>170.76</v>
      </c>
      <c r="J1410" s="34">
        <v>0.21679999999999999</v>
      </c>
      <c r="K1410" s="34">
        <f t="shared" si="42"/>
        <v>37020.767999999996</v>
      </c>
      <c r="L1410" s="34">
        <v>2.81</v>
      </c>
      <c r="M1410" s="34">
        <v>479688</v>
      </c>
      <c r="N1410" s="34">
        <f t="shared" si="43"/>
        <v>12.961254612546126</v>
      </c>
    </row>
    <row r="1411" spans="1:14" x14ac:dyDescent="0.45">
      <c r="A1411" s="30">
        <v>2023</v>
      </c>
      <c r="B1411" s="30" t="s">
        <v>15</v>
      </c>
      <c r="C1411" s="30" t="s">
        <v>46</v>
      </c>
      <c r="D1411" s="30" t="s">
        <v>47</v>
      </c>
      <c r="E1411" s="31" t="s">
        <v>143</v>
      </c>
      <c r="F1411" s="32" t="s">
        <v>49</v>
      </c>
      <c r="G1411" s="32" t="s">
        <v>50</v>
      </c>
      <c r="H1411" s="33">
        <v>31620</v>
      </c>
      <c r="I1411" s="34">
        <f>Table3[[#This Row],[Volume, kg.]]/1000</f>
        <v>31.62</v>
      </c>
      <c r="J1411" s="34">
        <v>0.21410000000000001</v>
      </c>
      <c r="K1411" s="34">
        <f t="shared" ref="K1411:K1474" si="44">H1411*J1411</f>
        <v>6769.8420000000006</v>
      </c>
      <c r="L1411" s="34">
        <v>2.82</v>
      </c>
      <c r="M1411" s="34">
        <v>89310</v>
      </c>
      <c r="N1411" s="34">
        <f t="shared" si="43"/>
        <v>13.171415226529657</v>
      </c>
    </row>
    <row r="1412" spans="1:14" x14ac:dyDescent="0.45">
      <c r="A1412" s="30">
        <v>2023</v>
      </c>
      <c r="B1412" s="30" t="s">
        <v>15</v>
      </c>
      <c r="C1412" s="30" t="s">
        <v>46</v>
      </c>
      <c r="D1412" s="30" t="s">
        <v>47</v>
      </c>
      <c r="E1412" s="31" t="s">
        <v>144</v>
      </c>
      <c r="F1412" s="32" t="s">
        <v>49</v>
      </c>
      <c r="G1412" s="32" t="s">
        <v>50</v>
      </c>
      <c r="H1412" s="33">
        <v>207340</v>
      </c>
      <c r="I1412" s="34">
        <f>Table3[[#This Row],[Volume, kg.]]/1000</f>
        <v>207.34</v>
      </c>
      <c r="J1412" s="34">
        <v>0.22399999999999998</v>
      </c>
      <c r="K1412" s="34">
        <f t="shared" si="44"/>
        <v>46444.159999999996</v>
      </c>
      <c r="L1412" s="34">
        <v>2.85</v>
      </c>
      <c r="M1412" s="34">
        <v>590485</v>
      </c>
      <c r="N1412" s="34">
        <f t="shared" ref="N1412:N1475" si="45">L1412/J1412</f>
        <v>12.723214285714288</v>
      </c>
    </row>
    <row r="1413" spans="1:14" x14ac:dyDescent="0.45">
      <c r="A1413" s="30">
        <v>2023</v>
      </c>
      <c r="B1413" s="30" t="s">
        <v>15</v>
      </c>
      <c r="C1413" s="30" t="s">
        <v>46</v>
      </c>
      <c r="D1413" s="30" t="s">
        <v>47</v>
      </c>
      <c r="E1413" s="31" t="s">
        <v>145</v>
      </c>
      <c r="F1413" s="32" t="s">
        <v>60</v>
      </c>
      <c r="G1413" s="32" t="s">
        <v>50</v>
      </c>
      <c r="H1413" s="33">
        <v>55510</v>
      </c>
      <c r="I1413" s="34">
        <f>Table3[[#This Row],[Volume, kg.]]/1000</f>
        <v>55.51</v>
      </c>
      <c r="J1413" s="34">
        <v>0.2303</v>
      </c>
      <c r="K1413" s="34">
        <f t="shared" si="44"/>
        <v>12783.953</v>
      </c>
      <c r="L1413" s="34">
        <v>2.81</v>
      </c>
      <c r="M1413" s="34">
        <v>156032</v>
      </c>
      <c r="N1413" s="34">
        <f t="shared" si="45"/>
        <v>12.201476335214936</v>
      </c>
    </row>
    <row r="1414" spans="1:14" x14ac:dyDescent="0.45">
      <c r="A1414" s="30">
        <v>2023</v>
      </c>
      <c r="B1414" s="30" t="s">
        <v>15</v>
      </c>
      <c r="C1414" s="30" t="s">
        <v>46</v>
      </c>
      <c r="D1414" s="30" t="s">
        <v>47</v>
      </c>
      <c r="E1414" s="31" t="s">
        <v>511</v>
      </c>
      <c r="F1414" s="32" t="s">
        <v>60</v>
      </c>
      <c r="G1414" s="32" t="s">
        <v>50</v>
      </c>
      <c r="H1414" s="33">
        <v>90440</v>
      </c>
      <c r="I1414" s="34">
        <f>Table3[[#This Row],[Volume, kg.]]/1000</f>
        <v>90.44</v>
      </c>
      <c r="J1414" s="34">
        <v>0.24969999999999998</v>
      </c>
      <c r="K1414" s="34">
        <f t="shared" si="44"/>
        <v>22582.867999999999</v>
      </c>
      <c r="L1414" s="34">
        <v>2.97</v>
      </c>
      <c r="M1414" s="34">
        <v>268698.5</v>
      </c>
      <c r="N1414" s="34">
        <f t="shared" si="45"/>
        <v>11.894273127753307</v>
      </c>
    </row>
    <row r="1415" spans="1:14" x14ac:dyDescent="0.45">
      <c r="A1415" s="30">
        <v>2023</v>
      </c>
      <c r="B1415" s="30" t="s">
        <v>15</v>
      </c>
      <c r="C1415" s="30" t="s">
        <v>46</v>
      </c>
      <c r="D1415" s="30" t="s">
        <v>47</v>
      </c>
      <c r="E1415" s="31" t="s">
        <v>146</v>
      </c>
      <c r="F1415" s="32" t="s">
        <v>64</v>
      </c>
      <c r="G1415" s="32" t="s">
        <v>50</v>
      </c>
      <c r="H1415" s="33">
        <v>5520</v>
      </c>
      <c r="I1415" s="34">
        <f>Table3[[#This Row],[Volume, kg.]]/1000</f>
        <v>5.52</v>
      </c>
      <c r="J1415" s="34">
        <v>0.23050000000000001</v>
      </c>
      <c r="K1415" s="34">
        <f t="shared" si="44"/>
        <v>1272.3600000000001</v>
      </c>
      <c r="L1415" s="34">
        <v>2.8</v>
      </c>
      <c r="M1415" s="34">
        <v>15456</v>
      </c>
      <c r="N1415" s="34">
        <f t="shared" si="45"/>
        <v>12.147505422993492</v>
      </c>
    </row>
    <row r="1416" spans="1:14" x14ac:dyDescent="0.45">
      <c r="A1416" s="30">
        <v>2023</v>
      </c>
      <c r="B1416" s="30" t="s">
        <v>15</v>
      </c>
      <c r="C1416" s="30" t="s">
        <v>46</v>
      </c>
      <c r="D1416" s="30" t="s">
        <v>47</v>
      </c>
      <c r="E1416" s="31" t="s">
        <v>351</v>
      </c>
      <c r="F1416" s="32" t="s">
        <v>49</v>
      </c>
      <c r="G1416" s="32" t="s">
        <v>50</v>
      </c>
      <c r="H1416" s="33">
        <v>15650</v>
      </c>
      <c r="I1416" s="34">
        <f>Table3[[#This Row],[Volume, kg.]]/1000</f>
        <v>15.65</v>
      </c>
      <c r="J1416" s="34">
        <v>0.2165</v>
      </c>
      <c r="K1416" s="34">
        <f t="shared" si="44"/>
        <v>3388.2249999999999</v>
      </c>
      <c r="L1416" s="34">
        <v>2.85</v>
      </c>
      <c r="M1416" s="34">
        <v>44602.5</v>
      </c>
      <c r="N1416" s="34">
        <f t="shared" si="45"/>
        <v>13.163972286374134</v>
      </c>
    </row>
    <row r="1417" spans="1:14" x14ac:dyDescent="0.45">
      <c r="A1417" s="30">
        <v>2023</v>
      </c>
      <c r="B1417" s="30" t="s">
        <v>15</v>
      </c>
      <c r="C1417" s="30" t="s">
        <v>46</v>
      </c>
      <c r="D1417" s="30" t="s">
        <v>47</v>
      </c>
      <c r="E1417" s="31" t="s">
        <v>291</v>
      </c>
      <c r="F1417" s="32" t="s">
        <v>57</v>
      </c>
      <c r="G1417" s="32" t="s">
        <v>50</v>
      </c>
      <c r="H1417" s="33">
        <v>116330</v>
      </c>
      <c r="I1417" s="34">
        <f>Table3[[#This Row],[Volume, kg.]]/1000</f>
        <v>116.33</v>
      </c>
      <c r="J1417" s="34">
        <v>0.22769999999999999</v>
      </c>
      <c r="K1417" s="34">
        <f t="shared" si="44"/>
        <v>26488.340999999997</v>
      </c>
      <c r="L1417" s="34">
        <v>2.83</v>
      </c>
      <c r="M1417" s="34">
        <v>328803</v>
      </c>
      <c r="N1417" s="34">
        <f t="shared" si="45"/>
        <v>12.428634167764603</v>
      </c>
    </row>
    <row r="1418" spans="1:14" x14ac:dyDescent="0.45">
      <c r="A1418" s="30">
        <v>2023</v>
      </c>
      <c r="B1418" s="30" t="s">
        <v>15</v>
      </c>
      <c r="C1418" s="30" t="s">
        <v>46</v>
      </c>
      <c r="D1418" s="30" t="s">
        <v>47</v>
      </c>
      <c r="E1418" s="31" t="s">
        <v>147</v>
      </c>
      <c r="F1418" s="32" t="s">
        <v>57</v>
      </c>
      <c r="G1418" s="32" t="s">
        <v>50</v>
      </c>
      <c r="H1418" s="33">
        <v>165460</v>
      </c>
      <c r="I1418" s="34">
        <f>Table3[[#This Row],[Volume, kg.]]/1000</f>
        <v>165.46</v>
      </c>
      <c r="J1418" s="34">
        <v>0.25269999999999998</v>
      </c>
      <c r="K1418" s="34">
        <f t="shared" si="44"/>
        <v>41811.741999999998</v>
      </c>
      <c r="L1418" s="34">
        <v>2.98</v>
      </c>
      <c r="M1418" s="34">
        <v>493011</v>
      </c>
      <c r="N1418" s="34">
        <f t="shared" si="45"/>
        <v>11.792639493470519</v>
      </c>
    </row>
    <row r="1419" spans="1:14" x14ac:dyDescent="0.45">
      <c r="A1419" s="30">
        <v>2023</v>
      </c>
      <c r="B1419" s="30" t="s">
        <v>15</v>
      </c>
      <c r="C1419" s="30" t="s">
        <v>46</v>
      </c>
      <c r="D1419" s="30" t="s">
        <v>102</v>
      </c>
      <c r="E1419" s="31" t="s">
        <v>437</v>
      </c>
      <c r="F1419" s="32" t="s">
        <v>49</v>
      </c>
      <c r="G1419" s="32" t="s">
        <v>50</v>
      </c>
      <c r="H1419" s="33">
        <v>735340</v>
      </c>
      <c r="I1419" s="34">
        <f>Table3[[#This Row],[Volume, kg.]]/1000</f>
        <v>735.34</v>
      </c>
      <c r="J1419" s="34">
        <v>0.23170000000000002</v>
      </c>
      <c r="K1419" s="34">
        <f t="shared" si="44"/>
        <v>170378.27800000002</v>
      </c>
      <c r="L1419" s="34">
        <v>2.91</v>
      </c>
      <c r="M1419" s="34">
        <v>2141852.5</v>
      </c>
      <c r="N1419" s="34">
        <f t="shared" si="45"/>
        <v>12.559343979283556</v>
      </c>
    </row>
    <row r="1420" spans="1:14" x14ac:dyDescent="0.45">
      <c r="A1420" s="30">
        <v>2023</v>
      </c>
      <c r="B1420" s="30" t="s">
        <v>15</v>
      </c>
      <c r="C1420" s="30" t="s">
        <v>46</v>
      </c>
      <c r="D1420" s="30" t="s">
        <v>47</v>
      </c>
      <c r="E1420" s="31" t="s">
        <v>469</v>
      </c>
      <c r="F1420" s="32" t="s">
        <v>57</v>
      </c>
      <c r="G1420" s="32" t="s">
        <v>50</v>
      </c>
      <c r="H1420" s="33">
        <v>4620</v>
      </c>
      <c r="I1420" s="34">
        <f>Table3[[#This Row],[Volume, kg.]]/1000</f>
        <v>4.62</v>
      </c>
      <c r="J1420" s="34">
        <v>0.24</v>
      </c>
      <c r="K1420" s="34">
        <f t="shared" si="44"/>
        <v>1108.8</v>
      </c>
      <c r="L1420" s="34">
        <v>2.95</v>
      </c>
      <c r="M1420" s="34">
        <v>13629</v>
      </c>
      <c r="N1420" s="34">
        <f t="shared" si="45"/>
        <v>12.291666666666668</v>
      </c>
    </row>
    <row r="1421" spans="1:14" x14ac:dyDescent="0.45">
      <c r="A1421" s="30">
        <v>2023</v>
      </c>
      <c r="B1421" s="30" t="s">
        <v>15</v>
      </c>
      <c r="C1421" s="30" t="s">
        <v>46</v>
      </c>
      <c r="D1421" s="30" t="s">
        <v>47</v>
      </c>
      <c r="E1421" s="31" t="s">
        <v>148</v>
      </c>
      <c r="F1421" s="32" t="s">
        <v>49</v>
      </c>
      <c r="G1421" s="32" t="s">
        <v>50</v>
      </c>
      <c r="H1421" s="33">
        <v>28620</v>
      </c>
      <c r="I1421" s="34">
        <f>Table3[[#This Row],[Volume, kg.]]/1000</f>
        <v>28.62</v>
      </c>
      <c r="J1421" s="34">
        <v>0.222</v>
      </c>
      <c r="K1421" s="34">
        <f t="shared" si="44"/>
        <v>6353.64</v>
      </c>
      <c r="L1421" s="34">
        <v>2.85</v>
      </c>
      <c r="M1421" s="34">
        <v>81537</v>
      </c>
      <c r="N1421" s="34">
        <f t="shared" si="45"/>
        <v>12.837837837837839</v>
      </c>
    </row>
    <row r="1422" spans="1:14" x14ac:dyDescent="0.45">
      <c r="A1422" s="30">
        <v>2023</v>
      </c>
      <c r="B1422" s="30" t="s">
        <v>15</v>
      </c>
      <c r="C1422" s="30" t="s">
        <v>46</v>
      </c>
      <c r="D1422" s="30" t="s">
        <v>47</v>
      </c>
      <c r="E1422" s="31" t="s">
        <v>149</v>
      </c>
      <c r="F1422" s="32" t="s">
        <v>49</v>
      </c>
      <c r="G1422" s="32" t="s">
        <v>50</v>
      </c>
      <c r="H1422" s="33">
        <v>210750</v>
      </c>
      <c r="I1422" s="34">
        <f>Table3[[#This Row],[Volume, kg.]]/1000</f>
        <v>210.75</v>
      </c>
      <c r="J1422" s="34">
        <v>0.25219999999999998</v>
      </c>
      <c r="K1422" s="34">
        <f t="shared" si="44"/>
        <v>53151.149999999994</v>
      </c>
      <c r="L1422" s="34">
        <v>2.98</v>
      </c>
      <c r="M1422" s="34">
        <v>627484</v>
      </c>
      <c r="N1422" s="34">
        <f t="shared" si="45"/>
        <v>11.816019032513879</v>
      </c>
    </row>
    <row r="1423" spans="1:14" x14ac:dyDescent="0.45">
      <c r="A1423" s="30">
        <v>2023</v>
      </c>
      <c r="B1423" s="30" t="s">
        <v>15</v>
      </c>
      <c r="C1423" s="30" t="s">
        <v>46</v>
      </c>
      <c r="D1423" s="30" t="s">
        <v>47</v>
      </c>
      <c r="E1423" s="31" t="s">
        <v>151</v>
      </c>
      <c r="F1423" s="32" t="s">
        <v>60</v>
      </c>
      <c r="G1423" s="32" t="s">
        <v>50</v>
      </c>
      <c r="H1423" s="33">
        <v>114930</v>
      </c>
      <c r="I1423" s="34">
        <f>Table3[[#This Row],[Volume, kg.]]/1000</f>
        <v>114.93</v>
      </c>
      <c r="J1423" s="34">
        <v>0.2384</v>
      </c>
      <c r="K1423" s="34">
        <f t="shared" si="44"/>
        <v>27399.312000000002</v>
      </c>
      <c r="L1423" s="34">
        <v>2.91</v>
      </c>
      <c r="M1423" s="34">
        <v>334556</v>
      </c>
      <c r="N1423" s="34">
        <f t="shared" si="45"/>
        <v>12.206375838926174</v>
      </c>
    </row>
    <row r="1424" spans="1:14" x14ac:dyDescent="0.45">
      <c r="A1424" s="30">
        <v>2023</v>
      </c>
      <c r="B1424" s="30" t="s">
        <v>15</v>
      </c>
      <c r="C1424" s="30" t="s">
        <v>46</v>
      </c>
      <c r="D1424" s="30" t="s">
        <v>47</v>
      </c>
      <c r="E1424" s="31" t="s">
        <v>462</v>
      </c>
      <c r="F1424" s="32" t="s">
        <v>49</v>
      </c>
      <c r="G1424" s="32" t="s">
        <v>50</v>
      </c>
      <c r="H1424" s="33">
        <v>9210</v>
      </c>
      <c r="I1424" s="34">
        <f>Table3[[#This Row],[Volume, kg.]]/1000</f>
        <v>9.2100000000000009</v>
      </c>
      <c r="J1424" s="34">
        <v>0.20250000000000001</v>
      </c>
      <c r="K1424" s="34">
        <f t="shared" si="44"/>
        <v>1865.0250000000001</v>
      </c>
      <c r="L1424" s="34">
        <v>2.65</v>
      </c>
      <c r="M1424" s="34">
        <v>24406.5</v>
      </c>
      <c r="N1424" s="34">
        <f t="shared" si="45"/>
        <v>13.086419753086419</v>
      </c>
    </row>
    <row r="1425" spans="1:14" x14ac:dyDescent="0.45">
      <c r="A1425" s="30">
        <v>2023</v>
      </c>
      <c r="B1425" s="30" t="s">
        <v>15</v>
      </c>
      <c r="C1425" s="30" t="s">
        <v>46</v>
      </c>
      <c r="D1425" s="30" t="s">
        <v>47</v>
      </c>
      <c r="E1425" s="31" t="s">
        <v>352</v>
      </c>
      <c r="F1425" s="32" t="s">
        <v>54</v>
      </c>
      <c r="G1425" s="32" t="s">
        <v>50</v>
      </c>
      <c r="H1425" s="33">
        <v>68260</v>
      </c>
      <c r="I1425" s="34">
        <f>Table3[[#This Row],[Volume, kg.]]/1000</f>
        <v>68.260000000000005</v>
      </c>
      <c r="J1425" s="34">
        <v>0.2132</v>
      </c>
      <c r="K1425" s="34">
        <f t="shared" si="44"/>
        <v>14553.031999999999</v>
      </c>
      <c r="L1425" s="34">
        <v>2.77</v>
      </c>
      <c r="M1425" s="34">
        <v>189162</v>
      </c>
      <c r="N1425" s="34">
        <f t="shared" si="45"/>
        <v>12.992495309568481</v>
      </c>
    </row>
    <row r="1426" spans="1:14" x14ac:dyDescent="0.45">
      <c r="A1426" s="30">
        <v>2023</v>
      </c>
      <c r="B1426" s="30" t="s">
        <v>15</v>
      </c>
      <c r="C1426" s="30" t="s">
        <v>46</v>
      </c>
      <c r="D1426" s="30" t="s">
        <v>47</v>
      </c>
      <c r="E1426" s="31" t="s">
        <v>153</v>
      </c>
      <c r="F1426" s="32" t="s">
        <v>57</v>
      </c>
      <c r="G1426" s="32" t="s">
        <v>50</v>
      </c>
      <c r="H1426" s="33">
        <v>53820</v>
      </c>
      <c r="I1426" s="34">
        <f>Table3[[#This Row],[Volume, kg.]]/1000</f>
        <v>53.82</v>
      </c>
      <c r="J1426" s="34">
        <v>0.23300000000000001</v>
      </c>
      <c r="K1426" s="34">
        <f t="shared" si="44"/>
        <v>12540.060000000001</v>
      </c>
      <c r="L1426" s="34">
        <v>2.88</v>
      </c>
      <c r="M1426" s="34">
        <v>155157.5</v>
      </c>
      <c r="N1426" s="34">
        <f t="shared" si="45"/>
        <v>12.360515021459227</v>
      </c>
    </row>
    <row r="1427" spans="1:14" x14ac:dyDescent="0.45">
      <c r="A1427" s="30">
        <v>2023</v>
      </c>
      <c r="B1427" s="30" t="s">
        <v>15</v>
      </c>
      <c r="C1427" s="30" t="s">
        <v>46</v>
      </c>
      <c r="D1427" s="30" t="s">
        <v>47</v>
      </c>
      <c r="E1427" s="31" t="s">
        <v>473</v>
      </c>
      <c r="F1427" s="32" t="s">
        <v>57</v>
      </c>
      <c r="G1427" s="32" t="s">
        <v>50</v>
      </c>
      <c r="H1427" s="33">
        <v>54870</v>
      </c>
      <c r="I1427" s="34">
        <f>Table3[[#This Row],[Volume, kg.]]/1000</f>
        <v>54.87</v>
      </c>
      <c r="J1427" s="34">
        <v>0.25420000000000004</v>
      </c>
      <c r="K1427" s="34">
        <f t="shared" si="44"/>
        <v>13947.954000000002</v>
      </c>
      <c r="L1427" s="34">
        <v>2.98</v>
      </c>
      <c r="M1427" s="34">
        <v>163485.5</v>
      </c>
      <c r="N1427" s="34">
        <f t="shared" si="45"/>
        <v>11.72305271439811</v>
      </c>
    </row>
    <row r="1428" spans="1:14" x14ac:dyDescent="0.45">
      <c r="A1428" s="30">
        <v>2023</v>
      </c>
      <c r="B1428" s="30" t="s">
        <v>15</v>
      </c>
      <c r="C1428" s="30" t="s">
        <v>46</v>
      </c>
      <c r="D1428" s="30" t="s">
        <v>47</v>
      </c>
      <c r="E1428" s="31" t="s">
        <v>154</v>
      </c>
      <c r="F1428" s="32" t="s">
        <v>60</v>
      </c>
      <c r="G1428" s="32" t="s">
        <v>50</v>
      </c>
      <c r="H1428" s="33">
        <v>16170</v>
      </c>
      <c r="I1428" s="34">
        <f>Table3[[#This Row],[Volume, kg.]]/1000</f>
        <v>16.170000000000002</v>
      </c>
      <c r="J1428" s="34">
        <v>0.22870000000000001</v>
      </c>
      <c r="K1428" s="34">
        <f t="shared" si="44"/>
        <v>3698.0790000000002</v>
      </c>
      <c r="L1428" s="34">
        <v>2.82</v>
      </c>
      <c r="M1428" s="34">
        <v>45606.5</v>
      </c>
      <c r="N1428" s="34">
        <f t="shared" si="45"/>
        <v>12.330564057717533</v>
      </c>
    </row>
    <row r="1429" spans="1:14" x14ac:dyDescent="0.45">
      <c r="A1429" s="30">
        <v>2023</v>
      </c>
      <c r="B1429" s="30" t="s">
        <v>15</v>
      </c>
      <c r="C1429" s="30" t="s">
        <v>46</v>
      </c>
      <c r="D1429" s="30" t="s">
        <v>47</v>
      </c>
      <c r="E1429" s="31" t="s">
        <v>155</v>
      </c>
      <c r="F1429" s="32" t="s">
        <v>64</v>
      </c>
      <c r="G1429" s="32" t="s">
        <v>50</v>
      </c>
      <c r="H1429" s="33">
        <v>24670</v>
      </c>
      <c r="I1429" s="34">
        <f>Table3[[#This Row],[Volume, kg.]]/1000</f>
        <v>24.67</v>
      </c>
      <c r="J1429" s="34">
        <v>0.1973</v>
      </c>
      <c r="K1429" s="34">
        <f t="shared" si="44"/>
        <v>4867.3910000000005</v>
      </c>
      <c r="L1429" s="34">
        <v>2.7</v>
      </c>
      <c r="M1429" s="34">
        <v>66609</v>
      </c>
      <c r="N1429" s="34">
        <f t="shared" si="45"/>
        <v>13.68474404460213</v>
      </c>
    </row>
    <row r="1430" spans="1:14" x14ac:dyDescent="0.45">
      <c r="A1430" s="30">
        <v>2023</v>
      </c>
      <c r="B1430" s="30" t="s">
        <v>15</v>
      </c>
      <c r="C1430" s="30" t="s">
        <v>46</v>
      </c>
      <c r="D1430" s="30" t="s">
        <v>47</v>
      </c>
      <c r="E1430" s="31" t="s">
        <v>293</v>
      </c>
      <c r="F1430" s="32" t="s">
        <v>60</v>
      </c>
      <c r="G1430" s="32" t="s">
        <v>50</v>
      </c>
      <c r="H1430" s="33">
        <v>328100</v>
      </c>
      <c r="I1430" s="34">
        <f>Table3[[#This Row],[Volume, kg.]]/1000</f>
        <v>328.1</v>
      </c>
      <c r="J1430" s="34">
        <v>0.26489999999999997</v>
      </c>
      <c r="K1430" s="34">
        <f t="shared" si="44"/>
        <v>86913.689999999988</v>
      </c>
      <c r="L1430" s="34">
        <v>3.04</v>
      </c>
      <c r="M1430" s="34">
        <v>997392</v>
      </c>
      <c r="N1430" s="34">
        <f t="shared" si="45"/>
        <v>11.476028690071727</v>
      </c>
    </row>
    <row r="1431" spans="1:14" x14ac:dyDescent="0.45">
      <c r="A1431" s="30">
        <v>2023</v>
      </c>
      <c r="B1431" s="30" t="s">
        <v>15</v>
      </c>
      <c r="C1431" s="30" t="s">
        <v>46</v>
      </c>
      <c r="D1431" s="30" t="s">
        <v>47</v>
      </c>
      <c r="E1431" s="31" t="s">
        <v>156</v>
      </c>
      <c r="F1431" s="32" t="s">
        <v>49</v>
      </c>
      <c r="G1431" s="32" t="s">
        <v>50</v>
      </c>
      <c r="H1431" s="33">
        <v>26040</v>
      </c>
      <c r="I1431" s="34">
        <f>Table3[[#This Row],[Volume, kg.]]/1000</f>
        <v>26.04</v>
      </c>
      <c r="J1431" s="34">
        <v>0.24</v>
      </c>
      <c r="K1431" s="34">
        <f t="shared" si="44"/>
        <v>6249.5999999999995</v>
      </c>
      <c r="L1431" s="34">
        <v>2.99</v>
      </c>
      <c r="M1431" s="34">
        <v>77960.5</v>
      </c>
      <c r="N1431" s="34">
        <f t="shared" si="45"/>
        <v>12.458333333333334</v>
      </c>
    </row>
    <row r="1432" spans="1:14" x14ac:dyDescent="0.45">
      <c r="A1432" s="30">
        <v>2023</v>
      </c>
      <c r="B1432" s="30" t="s">
        <v>15</v>
      </c>
      <c r="C1432" s="30" t="s">
        <v>46</v>
      </c>
      <c r="D1432" s="30" t="s">
        <v>47</v>
      </c>
      <c r="E1432" s="31" t="s">
        <v>294</v>
      </c>
      <c r="F1432" s="32" t="s">
        <v>81</v>
      </c>
      <c r="G1432" s="32" t="s">
        <v>50</v>
      </c>
      <c r="H1432" s="33">
        <v>60070</v>
      </c>
      <c r="I1432" s="34">
        <f>Table3[[#This Row],[Volume, kg.]]/1000</f>
        <v>60.07</v>
      </c>
      <c r="J1432" s="34">
        <v>0.23269999999999999</v>
      </c>
      <c r="K1432" s="34">
        <f t="shared" si="44"/>
        <v>13978.288999999999</v>
      </c>
      <c r="L1432" s="34">
        <v>2.87</v>
      </c>
      <c r="M1432" s="34">
        <v>172199.5</v>
      </c>
      <c r="N1432" s="34">
        <f t="shared" si="45"/>
        <v>12.333476579286636</v>
      </c>
    </row>
    <row r="1433" spans="1:14" x14ac:dyDescent="0.45">
      <c r="A1433" s="30">
        <v>2023</v>
      </c>
      <c r="B1433" s="30" t="s">
        <v>15</v>
      </c>
      <c r="C1433" s="30" t="s">
        <v>46</v>
      </c>
      <c r="D1433" s="30" t="s">
        <v>47</v>
      </c>
      <c r="E1433" s="31" t="s">
        <v>296</v>
      </c>
      <c r="F1433" s="32" t="s">
        <v>60</v>
      </c>
      <c r="G1433" s="32" t="s">
        <v>50</v>
      </c>
      <c r="H1433" s="33">
        <v>93060</v>
      </c>
      <c r="I1433" s="34">
        <f>Table3[[#This Row],[Volume, kg.]]/1000</f>
        <v>93.06</v>
      </c>
      <c r="J1433" s="34">
        <v>0.24079999999999999</v>
      </c>
      <c r="K1433" s="34">
        <f t="shared" si="44"/>
        <v>22408.847999999998</v>
      </c>
      <c r="L1433" s="34">
        <v>2.93</v>
      </c>
      <c r="M1433" s="34">
        <v>272733.5</v>
      </c>
      <c r="N1433" s="34">
        <f t="shared" si="45"/>
        <v>12.167774086378738</v>
      </c>
    </row>
    <row r="1434" spans="1:14" x14ac:dyDescent="0.45">
      <c r="A1434" s="30">
        <v>2023</v>
      </c>
      <c r="B1434" s="30" t="s">
        <v>15</v>
      </c>
      <c r="C1434" s="30" t="s">
        <v>46</v>
      </c>
      <c r="D1434" s="30" t="s">
        <v>102</v>
      </c>
      <c r="E1434" s="31" t="s">
        <v>157</v>
      </c>
      <c r="F1434" s="32" t="s">
        <v>127</v>
      </c>
      <c r="G1434" s="32" t="s">
        <v>128</v>
      </c>
      <c r="H1434" s="33">
        <v>30460</v>
      </c>
      <c r="I1434" s="34">
        <f>Table3[[#This Row],[Volume, kg.]]/1000</f>
        <v>30.46</v>
      </c>
      <c r="J1434" s="34">
        <v>0.22500000000000001</v>
      </c>
      <c r="K1434" s="34">
        <f t="shared" si="44"/>
        <v>6853.5</v>
      </c>
      <c r="L1434" s="34">
        <v>2.9</v>
      </c>
      <c r="M1434" s="34">
        <v>88334</v>
      </c>
      <c r="N1434" s="34">
        <f t="shared" si="45"/>
        <v>12.888888888888888</v>
      </c>
    </row>
    <row r="1435" spans="1:14" x14ac:dyDescent="0.45">
      <c r="A1435" s="30">
        <v>2023</v>
      </c>
      <c r="B1435" s="30" t="s">
        <v>15</v>
      </c>
      <c r="C1435" s="30" t="s">
        <v>46</v>
      </c>
      <c r="D1435" s="30" t="s">
        <v>47</v>
      </c>
      <c r="E1435" s="31" t="s">
        <v>159</v>
      </c>
      <c r="F1435" s="32" t="s">
        <v>81</v>
      </c>
      <c r="G1435" s="32" t="s">
        <v>50</v>
      </c>
      <c r="H1435" s="33">
        <v>8540</v>
      </c>
      <c r="I1435" s="34">
        <f>Table3[[#This Row],[Volume, kg.]]/1000</f>
        <v>8.5399999999999991</v>
      </c>
      <c r="J1435" s="34">
        <v>0.217</v>
      </c>
      <c r="K1435" s="34">
        <f t="shared" si="44"/>
        <v>1853.18</v>
      </c>
      <c r="L1435" s="34">
        <v>2.85</v>
      </c>
      <c r="M1435" s="34">
        <v>24339</v>
      </c>
      <c r="N1435" s="34">
        <f t="shared" si="45"/>
        <v>13.133640552995391</v>
      </c>
    </row>
    <row r="1436" spans="1:14" x14ac:dyDescent="0.45">
      <c r="A1436" s="30">
        <v>2023</v>
      </c>
      <c r="B1436" s="30" t="s">
        <v>15</v>
      </c>
      <c r="C1436" s="30" t="s">
        <v>46</v>
      </c>
      <c r="D1436" s="30" t="s">
        <v>47</v>
      </c>
      <c r="E1436" s="31" t="s">
        <v>160</v>
      </c>
      <c r="F1436" s="32" t="s">
        <v>49</v>
      </c>
      <c r="G1436" s="32" t="s">
        <v>50</v>
      </c>
      <c r="H1436" s="33">
        <v>151100</v>
      </c>
      <c r="I1436" s="34">
        <f>Table3[[#This Row],[Volume, kg.]]/1000</f>
        <v>151.1</v>
      </c>
      <c r="J1436" s="34">
        <v>0.2447</v>
      </c>
      <c r="K1436" s="34">
        <f t="shared" si="44"/>
        <v>36974.17</v>
      </c>
      <c r="L1436" s="34">
        <v>2.93</v>
      </c>
      <c r="M1436" s="34">
        <v>442573</v>
      </c>
      <c r="N1436" s="34">
        <f t="shared" si="45"/>
        <v>11.973845525132816</v>
      </c>
    </row>
    <row r="1437" spans="1:14" x14ac:dyDescent="0.45">
      <c r="A1437" s="30">
        <v>2023</v>
      </c>
      <c r="B1437" s="30" t="s">
        <v>15</v>
      </c>
      <c r="C1437" s="30" t="s">
        <v>46</v>
      </c>
      <c r="D1437" s="30" t="s">
        <v>47</v>
      </c>
      <c r="E1437" s="31" t="s">
        <v>407</v>
      </c>
      <c r="F1437" s="32" t="s">
        <v>49</v>
      </c>
      <c r="G1437" s="32" t="s">
        <v>50</v>
      </c>
      <c r="H1437" s="33">
        <v>12280</v>
      </c>
      <c r="I1437" s="34">
        <f>Table3[[#This Row],[Volume, kg.]]/1000</f>
        <v>12.28</v>
      </c>
      <c r="J1437" s="34">
        <v>0.21230000000000002</v>
      </c>
      <c r="K1437" s="34">
        <f t="shared" si="44"/>
        <v>2607.0440000000003</v>
      </c>
      <c r="L1437" s="34">
        <v>2.78</v>
      </c>
      <c r="M1437" s="34">
        <v>34141</v>
      </c>
      <c r="N1437" s="34">
        <f t="shared" si="45"/>
        <v>13.094677343382005</v>
      </c>
    </row>
    <row r="1438" spans="1:14" x14ac:dyDescent="0.45">
      <c r="A1438" s="30">
        <v>2023</v>
      </c>
      <c r="B1438" s="30" t="s">
        <v>15</v>
      </c>
      <c r="C1438" s="30" t="s">
        <v>46</v>
      </c>
      <c r="D1438" s="30" t="s">
        <v>47</v>
      </c>
      <c r="E1438" s="31" t="s">
        <v>162</v>
      </c>
      <c r="F1438" s="32" t="s">
        <v>49</v>
      </c>
      <c r="G1438" s="32" t="s">
        <v>50</v>
      </c>
      <c r="H1438" s="33">
        <v>40960</v>
      </c>
      <c r="I1438" s="34">
        <f>Table3[[#This Row],[Volume, kg.]]/1000</f>
        <v>40.96</v>
      </c>
      <c r="J1438" s="34">
        <v>0.21820000000000001</v>
      </c>
      <c r="K1438" s="34">
        <f t="shared" si="44"/>
        <v>8937.4719999999998</v>
      </c>
      <c r="L1438" s="34">
        <v>2.82</v>
      </c>
      <c r="M1438" s="34">
        <v>115378.5</v>
      </c>
      <c r="N1438" s="34">
        <f t="shared" si="45"/>
        <v>12.92392300641613</v>
      </c>
    </row>
    <row r="1439" spans="1:14" x14ac:dyDescent="0.45">
      <c r="A1439" s="30">
        <v>2023</v>
      </c>
      <c r="B1439" s="30" t="s">
        <v>15</v>
      </c>
      <c r="C1439" s="30" t="s">
        <v>46</v>
      </c>
      <c r="D1439" s="30" t="s">
        <v>47</v>
      </c>
      <c r="E1439" s="31" t="s">
        <v>524</v>
      </c>
      <c r="F1439" s="32" t="s">
        <v>49</v>
      </c>
      <c r="G1439" s="32" t="s">
        <v>50</v>
      </c>
      <c r="H1439" s="33">
        <v>19510</v>
      </c>
      <c r="I1439" s="34">
        <f>Table3[[#This Row],[Volume, kg.]]/1000</f>
        <v>19.510000000000002</v>
      </c>
      <c r="J1439" s="34">
        <v>0.19800000000000001</v>
      </c>
      <c r="K1439" s="34">
        <f t="shared" si="44"/>
        <v>3862.98</v>
      </c>
      <c r="L1439" s="34">
        <v>2.72</v>
      </c>
      <c r="M1439" s="34">
        <v>53083</v>
      </c>
      <c r="N1439" s="34">
        <f t="shared" si="45"/>
        <v>13.737373737373737</v>
      </c>
    </row>
    <row r="1440" spans="1:14" x14ac:dyDescent="0.45">
      <c r="A1440" s="30">
        <v>2023</v>
      </c>
      <c r="B1440" s="30" t="s">
        <v>15</v>
      </c>
      <c r="C1440" s="30" t="s">
        <v>46</v>
      </c>
      <c r="D1440" s="30" t="s">
        <v>47</v>
      </c>
      <c r="E1440" s="31" t="s">
        <v>163</v>
      </c>
      <c r="F1440" s="32" t="s">
        <v>60</v>
      </c>
      <c r="G1440" s="32" t="s">
        <v>50</v>
      </c>
      <c r="H1440" s="33">
        <v>229250</v>
      </c>
      <c r="I1440" s="34">
        <f>Table3[[#This Row],[Volume, kg.]]/1000</f>
        <v>229.25</v>
      </c>
      <c r="J1440" s="34">
        <v>0.24829999999999999</v>
      </c>
      <c r="K1440" s="34">
        <f t="shared" si="44"/>
        <v>56922.775000000001</v>
      </c>
      <c r="L1440" s="34">
        <v>2.96</v>
      </c>
      <c r="M1440" s="34">
        <v>678001.5</v>
      </c>
      <c r="N1440" s="34">
        <f t="shared" si="45"/>
        <v>11.921063229963753</v>
      </c>
    </row>
    <row r="1441" spans="1:14" x14ac:dyDescent="0.45">
      <c r="A1441" s="30">
        <v>2023</v>
      </c>
      <c r="B1441" s="30" t="s">
        <v>15</v>
      </c>
      <c r="C1441" s="30" t="s">
        <v>46</v>
      </c>
      <c r="D1441" s="30" t="s">
        <v>47</v>
      </c>
      <c r="E1441" s="31" t="s">
        <v>354</v>
      </c>
      <c r="F1441" s="32" t="s">
        <v>60</v>
      </c>
      <c r="G1441" s="32" t="s">
        <v>50</v>
      </c>
      <c r="H1441" s="33">
        <v>17740</v>
      </c>
      <c r="I1441" s="34">
        <f>Table3[[#This Row],[Volume, kg.]]/1000</f>
        <v>17.739999999999998</v>
      </c>
      <c r="J1441" s="34">
        <v>0.24590000000000001</v>
      </c>
      <c r="K1441" s="34">
        <f t="shared" si="44"/>
        <v>4362.2660000000005</v>
      </c>
      <c r="L1441" s="34">
        <v>2.95</v>
      </c>
      <c r="M1441" s="34">
        <v>52306.5</v>
      </c>
      <c r="N1441" s="34">
        <f t="shared" si="45"/>
        <v>11.996746644977634</v>
      </c>
    </row>
    <row r="1442" spans="1:14" x14ac:dyDescent="0.45">
      <c r="A1442" s="30">
        <v>2023</v>
      </c>
      <c r="B1442" s="30" t="s">
        <v>15</v>
      </c>
      <c r="C1442" s="30" t="s">
        <v>46</v>
      </c>
      <c r="D1442" s="30" t="s">
        <v>47</v>
      </c>
      <c r="E1442" s="31" t="s">
        <v>164</v>
      </c>
      <c r="F1442" s="32" t="s">
        <v>49</v>
      </c>
      <c r="G1442" s="32" t="s">
        <v>50</v>
      </c>
      <c r="H1442" s="33">
        <v>64060</v>
      </c>
      <c r="I1442" s="34">
        <f>Table3[[#This Row],[Volume, kg.]]/1000</f>
        <v>64.06</v>
      </c>
      <c r="J1442" s="34">
        <v>0.24030000000000001</v>
      </c>
      <c r="K1442" s="34">
        <f t="shared" si="44"/>
        <v>15393.618</v>
      </c>
      <c r="L1442" s="34">
        <v>2.95</v>
      </c>
      <c r="M1442" s="34">
        <v>188943</v>
      </c>
      <c r="N1442" s="34">
        <f t="shared" si="45"/>
        <v>12.27632126508531</v>
      </c>
    </row>
    <row r="1443" spans="1:14" x14ac:dyDescent="0.45">
      <c r="A1443" s="30">
        <v>2023</v>
      </c>
      <c r="B1443" s="30" t="s">
        <v>15</v>
      </c>
      <c r="C1443" s="30" t="s">
        <v>46</v>
      </c>
      <c r="D1443" s="30" t="s">
        <v>47</v>
      </c>
      <c r="E1443" s="31" t="s">
        <v>165</v>
      </c>
      <c r="F1443" s="32" t="s">
        <v>57</v>
      </c>
      <c r="G1443" s="32" t="s">
        <v>50</v>
      </c>
      <c r="H1443" s="33">
        <v>82750</v>
      </c>
      <c r="I1443" s="34">
        <f>Table3[[#This Row],[Volume, kg.]]/1000</f>
        <v>82.75</v>
      </c>
      <c r="J1443" s="34">
        <v>0.2324</v>
      </c>
      <c r="K1443" s="34">
        <f t="shared" si="44"/>
        <v>19231.099999999999</v>
      </c>
      <c r="L1443" s="34">
        <v>2.87</v>
      </c>
      <c r="M1443" s="34">
        <v>237342.5</v>
      </c>
      <c r="N1443" s="34">
        <f t="shared" si="45"/>
        <v>12.349397590361447</v>
      </c>
    </row>
    <row r="1444" spans="1:14" x14ac:dyDescent="0.45">
      <c r="A1444" s="30">
        <v>2023</v>
      </c>
      <c r="B1444" s="30" t="s">
        <v>15</v>
      </c>
      <c r="C1444" s="30" t="s">
        <v>46</v>
      </c>
      <c r="D1444" s="30" t="s">
        <v>47</v>
      </c>
      <c r="E1444" s="31" t="s">
        <v>166</v>
      </c>
      <c r="F1444" s="32" t="s">
        <v>49</v>
      </c>
      <c r="G1444" s="32" t="s">
        <v>50</v>
      </c>
      <c r="H1444" s="33">
        <v>191540</v>
      </c>
      <c r="I1444" s="34">
        <f>Table3[[#This Row],[Volume, kg.]]/1000</f>
        <v>191.54</v>
      </c>
      <c r="J1444" s="34">
        <v>0.22750000000000001</v>
      </c>
      <c r="K1444" s="34">
        <f t="shared" si="44"/>
        <v>43575.35</v>
      </c>
      <c r="L1444" s="34">
        <v>2.86</v>
      </c>
      <c r="M1444" s="34">
        <v>547767.5</v>
      </c>
      <c r="N1444" s="34">
        <f t="shared" si="45"/>
        <v>12.571428571428571</v>
      </c>
    </row>
    <row r="1445" spans="1:14" x14ac:dyDescent="0.45">
      <c r="A1445" s="30">
        <v>2023</v>
      </c>
      <c r="B1445" s="30" t="s">
        <v>15</v>
      </c>
      <c r="C1445" s="30" t="s">
        <v>46</v>
      </c>
      <c r="D1445" s="30" t="s">
        <v>47</v>
      </c>
      <c r="E1445" s="31" t="s">
        <v>167</v>
      </c>
      <c r="F1445" s="32" t="s">
        <v>49</v>
      </c>
      <c r="G1445" s="32" t="s">
        <v>50</v>
      </c>
      <c r="H1445" s="33">
        <v>168960</v>
      </c>
      <c r="I1445" s="34">
        <f>Table3[[#This Row],[Volume, kg.]]/1000</f>
        <v>168.96</v>
      </c>
      <c r="J1445" s="34">
        <v>0.23430000000000001</v>
      </c>
      <c r="K1445" s="34">
        <f t="shared" si="44"/>
        <v>39587.328000000001</v>
      </c>
      <c r="L1445" s="34">
        <v>2.9</v>
      </c>
      <c r="M1445" s="34">
        <v>490210</v>
      </c>
      <c r="N1445" s="34">
        <f t="shared" si="45"/>
        <v>12.377294067434912</v>
      </c>
    </row>
    <row r="1446" spans="1:14" x14ac:dyDescent="0.45">
      <c r="A1446" s="30">
        <v>2023</v>
      </c>
      <c r="B1446" s="30" t="s">
        <v>15</v>
      </c>
      <c r="C1446" s="30" t="s">
        <v>46</v>
      </c>
      <c r="D1446" s="30" t="s">
        <v>47</v>
      </c>
      <c r="E1446" s="31" t="s">
        <v>170</v>
      </c>
      <c r="F1446" s="32" t="s">
        <v>49</v>
      </c>
      <c r="G1446" s="32" t="s">
        <v>50</v>
      </c>
      <c r="H1446" s="33">
        <v>112860</v>
      </c>
      <c r="I1446" s="34">
        <f>Table3[[#This Row],[Volume, kg.]]/1000</f>
        <v>112.86</v>
      </c>
      <c r="J1446" s="34">
        <v>0.23319999999999999</v>
      </c>
      <c r="K1446" s="34">
        <f t="shared" si="44"/>
        <v>26318.951999999997</v>
      </c>
      <c r="L1446" s="34">
        <v>2.89</v>
      </c>
      <c r="M1446" s="34">
        <v>326172</v>
      </c>
      <c r="N1446" s="34">
        <f t="shared" si="45"/>
        <v>12.392795883361922</v>
      </c>
    </row>
    <row r="1447" spans="1:14" x14ac:dyDescent="0.45">
      <c r="A1447" s="30">
        <v>2023</v>
      </c>
      <c r="B1447" s="30" t="s">
        <v>15</v>
      </c>
      <c r="C1447" s="30" t="s">
        <v>46</v>
      </c>
      <c r="D1447" s="30" t="s">
        <v>47</v>
      </c>
      <c r="E1447" s="31" t="s">
        <v>171</v>
      </c>
      <c r="F1447" s="32" t="s">
        <v>49</v>
      </c>
      <c r="G1447" s="32" t="s">
        <v>50</v>
      </c>
      <c r="H1447" s="33">
        <v>41360</v>
      </c>
      <c r="I1447" s="34">
        <f>Table3[[#This Row],[Volume, kg.]]/1000</f>
        <v>41.36</v>
      </c>
      <c r="J1447" s="34">
        <v>0.22059999999999999</v>
      </c>
      <c r="K1447" s="34">
        <f t="shared" si="44"/>
        <v>9124.0159999999996</v>
      </c>
      <c r="L1447" s="34">
        <v>2.8</v>
      </c>
      <c r="M1447" s="34">
        <v>115817</v>
      </c>
      <c r="N1447" s="34">
        <f t="shared" si="45"/>
        <v>12.692656391659112</v>
      </c>
    </row>
    <row r="1448" spans="1:14" x14ac:dyDescent="0.45">
      <c r="A1448" s="30">
        <v>2023</v>
      </c>
      <c r="B1448" s="30" t="s">
        <v>15</v>
      </c>
      <c r="C1448" s="30" t="s">
        <v>46</v>
      </c>
      <c r="D1448" s="30" t="s">
        <v>47</v>
      </c>
      <c r="E1448" s="31" t="s">
        <v>172</v>
      </c>
      <c r="F1448" s="32" t="s">
        <v>57</v>
      </c>
      <c r="G1448" s="32" t="s">
        <v>50</v>
      </c>
      <c r="H1448" s="33">
        <v>11460</v>
      </c>
      <c r="I1448" s="34">
        <f>Table3[[#This Row],[Volume, kg.]]/1000</f>
        <v>11.46</v>
      </c>
      <c r="J1448" s="34">
        <v>0.24629999999999999</v>
      </c>
      <c r="K1448" s="34">
        <f t="shared" si="44"/>
        <v>2822.598</v>
      </c>
      <c r="L1448" s="34">
        <v>2.94</v>
      </c>
      <c r="M1448" s="34">
        <v>33715.5</v>
      </c>
      <c r="N1448" s="34">
        <f t="shared" si="45"/>
        <v>11.936662606577345</v>
      </c>
    </row>
    <row r="1449" spans="1:14" x14ac:dyDescent="0.45">
      <c r="A1449" s="30">
        <v>2023</v>
      </c>
      <c r="B1449" s="30" t="s">
        <v>15</v>
      </c>
      <c r="C1449" s="30" t="s">
        <v>46</v>
      </c>
      <c r="D1449" s="30" t="s">
        <v>47</v>
      </c>
      <c r="E1449" s="31" t="s">
        <v>174</v>
      </c>
      <c r="F1449" s="32" t="s">
        <v>57</v>
      </c>
      <c r="G1449" s="32" t="s">
        <v>50</v>
      </c>
      <c r="H1449" s="33">
        <v>8380</v>
      </c>
      <c r="I1449" s="34">
        <f>Table3[[#This Row],[Volume, kg.]]/1000</f>
        <v>8.3800000000000008</v>
      </c>
      <c r="J1449" s="34">
        <v>0.23329999999999998</v>
      </c>
      <c r="K1449" s="34">
        <f t="shared" si="44"/>
        <v>1955.0539999999999</v>
      </c>
      <c r="L1449" s="34">
        <v>2.88</v>
      </c>
      <c r="M1449" s="34">
        <v>24094.5</v>
      </c>
      <c r="N1449" s="34">
        <f t="shared" si="45"/>
        <v>12.3446206600943</v>
      </c>
    </row>
    <row r="1450" spans="1:14" x14ac:dyDescent="0.45">
      <c r="A1450" s="30">
        <v>2023</v>
      </c>
      <c r="B1450" s="30" t="s">
        <v>15</v>
      </c>
      <c r="C1450" s="30" t="s">
        <v>46</v>
      </c>
      <c r="D1450" s="30" t="s">
        <v>47</v>
      </c>
      <c r="E1450" s="31" t="s">
        <v>177</v>
      </c>
      <c r="F1450" s="32" t="s">
        <v>49</v>
      </c>
      <c r="G1450" s="32" t="s">
        <v>50</v>
      </c>
      <c r="H1450" s="33">
        <v>65250</v>
      </c>
      <c r="I1450" s="34">
        <f>Table3[[#This Row],[Volume, kg.]]/1000</f>
        <v>65.25</v>
      </c>
      <c r="J1450" s="34">
        <v>0.21789999999999998</v>
      </c>
      <c r="K1450" s="34">
        <f t="shared" si="44"/>
        <v>14217.974999999999</v>
      </c>
      <c r="L1450" s="34">
        <v>2.83</v>
      </c>
      <c r="M1450" s="34">
        <v>184869</v>
      </c>
      <c r="N1450" s="34">
        <f t="shared" si="45"/>
        <v>12.987608994951815</v>
      </c>
    </row>
    <row r="1451" spans="1:14" x14ac:dyDescent="0.45">
      <c r="A1451" s="30">
        <v>2023</v>
      </c>
      <c r="B1451" s="30" t="s">
        <v>15</v>
      </c>
      <c r="C1451" s="30" t="s">
        <v>46</v>
      </c>
      <c r="D1451" s="30" t="s">
        <v>47</v>
      </c>
      <c r="E1451" s="31" t="s">
        <v>179</v>
      </c>
      <c r="F1451" s="32" t="s">
        <v>60</v>
      </c>
      <c r="G1451" s="32" t="s">
        <v>50</v>
      </c>
      <c r="H1451" s="33">
        <v>197090</v>
      </c>
      <c r="I1451" s="34">
        <f>Table3[[#This Row],[Volume, kg.]]/1000</f>
        <v>197.09</v>
      </c>
      <c r="J1451" s="34">
        <v>0.25579999999999997</v>
      </c>
      <c r="K1451" s="34">
        <f t="shared" si="44"/>
        <v>50415.621999999996</v>
      </c>
      <c r="L1451" s="34">
        <v>2.99</v>
      </c>
      <c r="M1451" s="34">
        <v>589745</v>
      </c>
      <c r="N1451" s="34">
        <f t="shared" si="45"/>
        <v>11.688819390148556</v>
      </c>
    </row>
    <row r="1452" spans="1:14" x14ac:dyDescent="0.45">
      <c r="A1452" s="30">
        <v>2023</v>
      </c>
      <c r="B1452" s="30" t="s">
        <v>15</v>
      </c>
      <c r="C1452" s="30" t="s">
        <v>46</v>
      </c>
      <c r="D1452" s="30" t="s">
        <v>47</v>
      </c>
      <c r="E1452" s="31" t="s">
        <v>508</v>
      </c>
      <c r="F1452" s="32" t="s">
        <v>60</v>
      </c>
      <c r="G1452" s="32" t="s">
        <v>50</v>
      </c>
      <c r="H1452" s="33">
        <v>87540</v>
      </c>
      <c r="I1452" s="34">
        <f>Table3[[#This Row],[Volume, kg.]]/1000</f>
        <v>87.54</v>
      </c>
      <c r="J1452" s="34">
        <v>0.23319999999999999</v>
      </c>
      <c r="K1452" s="34">
        <f t="shared" si="44"/>
        <v>20414.327999999998</v>
      </c>
      <c r="L1452" s="34">
        <v>2.87</v>
      </c>
      <c r="M1452" s="34">
        <v>251436.5</v>
      </c>
      <c r="N1452" s="34">
        <f t="shared" si="45"/>
        <v>12.30703259005146</v>
      </c>
    </row>
    <row r="1453" spans="1:14" x14ac:dyDescent="0.45">
      <c r="A1453" s="30">
        <v>2023</v>
      </c>
      <c r="B1453" s="30" t="s">
        <v>15</v>
      </c>
      <c r="C1453" s="30" t="s">
        <v>46</v>
      </c>
      <c r="D1453" s="30" t="s">
        <v>47</v>
      </c>
      <c r="E1453" s="31" t="s">
        <v>298</v>
      </c>
      <c r="F1453" s="32" t="s">
        <v>49</v>
      </c>
      <c r="G1453" s="32" t="s">
        <v>50</v>
      </c>
      <c r="H1453" s="33">
        <v>13390</v>
      </c>
      <c r="I1453" s="34">
        <f>Table3[[#This Row],[Volume, kg.]]/1000</f>
        <v>13.39</v>
      </c>
      <c r="J1453" s="34">
        <v>0.26050000000000001</v>
      </c>
      <c r="K1453" s="34">
        <f t="shared" si="44"/>
        <v>3488.0950000000003</v>
      </c>
      <c r="L1453" s="34">
        <v>3.03</v>
      </c>
      <c r="M1453" s="34">
        <v>40586</v>
      </c>
      <c r="N1453" s="34">
        <f t="shared" si="45"/>
        <v>11.631477927063338</v>
      </c>
    </row>
    <row r="1454" spans="1:14" x14ac:dyDescent="0.45">
      <c r="A1454" s="30">
        <v>2023</v>
      </c>
      <c r="B1454" s="30" t="s">
        <v>15</v>
      </c>
      <c r="C1454" s="30" t="s">
        <v>46</v>
      </c>
      <c r="D1454" s="30" t="s">
        <v>47</v>
      </c>
      <c r="E1454" s="31" t="s">
        <v>467</v>
      </c>
      <c r="F1454" s="32" t="s">
        <v>57</v>
      </c>
      <c r="G1454" s="32" t="s">
        <v>50</v>
      </c>
      <c r="H1454" s="33">
        <v>59180</v>
      </c>
      <c r="I1454" s="34">
        <f>Table3[[#This Row],[Volume, kg.]]/1000</f>
        <v>59.18</v>
      </c>
      <c r="J1454" s="34">
        <v>0.23079999999999998</v>
      </c>
      <c r="K1454" s="34">
        <f t="shared" si="44"/>
        <v>13658.743999999999</v>
      </c>
      <c r="L1454" s="34">
        <v>2.87</v>
      </c>
      <c r="M1454" s="34">
        <v>169786.5</v>
      </c>
      <c r="N1454" s="34">
        <f t="shared" si="45"/>
        <v>12.435008665511267</v>
      </c>
    </row>
    <row r="1455" spans="1:14" x14ac:dyDescent="0.45">
      <c r="A1455" s="30">
        <v>2023</v>
      </c>
      <c r="B1455" s="30" t="s">
        <v>15</v>
      </c>
      <c r="C1455" s="30" t="s">
        <v>46</v>
      </c>
      <c r="D1455" s="30" t="s">
        <v>47</v>
      </c>
      <c r="E1455" s="31" t="s">
        <v>413</v>
      </c>
      <c r="F1455" s="32" t="s">
        <v>49</v>
      </c>
      <c r="G1455" s="32" t="s">
        <v>50</v>
      </c>
      <c r="H1455" s="33">
        <v>129270</v>
      </c>
      <c r="I1455" s="34">
        <f>Table3[[#This Row],[Volume, kg.]]/1000</f>
        <v>129.27000000000001</v>
      </c>
      <c r="J1455" s="34">
        <v>0.22289999999999999</v>
      </c>
      <c r="K1455" s="34">
        <f t="shared" si="44"/>
        <v>28814.282999999999</v>
      </c>
      <c r="L1455" s="34">
        <v>2.82</v>
      </c>
      <c r="M1455" s="34">
        <v>364266</v>
      </c>
      <c r="N1455" s="34">
        <f t="shared" si="45"/>
        <v>12.651413189771198</v>
      </c>
    </row>
    <row r="1456" spans="1:14" x14ac:dyDescent="0.45">
      <c r="A1456" s="30">
        <v>2023</v>
      </c>
      <c r="B1456" s="30" t="s">
        <v>15</v>
      </c>
      <c r="C1456" s="30" t="s">
        <v>46</v>
      </c>
      <c r="D1456" s="30" t="s">
        <v>47</v>
      </c>
      <c r="E1456" s="31" t="s">
        <v>525</v>
      </c>
      <c r="F1456" s="32" t="s">
        <v>134</v>
      </c>
      <c r="G1456" s="32" t="s">
        <v>50</v>
      </c>
      <c r="H1456" s="33">
        <v>9490</v>
      </c>
      <c r="I1456" s="34">
        <f>Table3[[#This Row],[Volume, kg.]]/1000</f>
        <v>9.49</v>
      </c>
      <c r="J1456" s="34">
        <v>0.19399999999999998</v>
      </c>
      <c r="K1456" s="34">
        <f t="shared" si="44"/>
        <v>1841.0599999999997</v>
      </c>
      <c r="L1456" s="34">
        <v>2.6</v>
      </c>
      <c r="M1456" s="34">
        <v>24674</v>
      </c>
      <c r="N1456" s="34">
        <f t="shared" si="45"/>
        <v>13.402061855670105</v>
      </c>
    </row>
    <row r="1457" spans="1:14" x14ac:dyDescent="0.45">
      <c r="A1457" s="30">
        <v>2023</v>
      </c>
      <c r="B1457" s="30" t="s">
        <v>15</v>
      </c>
      <c r="C1457" s="30" t="s">
        <v>46</v>
      </c>
      <c r="D1457" s="30" t="s">
        <v>47</v>
      </c>
      <c r="E1457" s="31" t="s">
        <v>182</v>
      </c>
      <c r="F1457" s="32" t="s">
        <v>81</v>
      </c>
      <c r="G1457" s="32" t="s">
        <v>50</v>
      </c>
      <c r="H1457" s="33">
        <v>196430</v>
      </c>
      <c r="I1457" s="34">
        <f>Table3[[#This Row],[Volume, kg.]]/1000</f>
        <v>196.43</v>
      </c>
      <c r="J1457" s="34">
        <v>0.23989999999999997</v>
      </c>
      <c r="K1457" s="34">
        <f t="shared" si="44"/>
        <v>47123.556999999993</v>
      </c>
      <c r="L1457" s="34">
        <v>2.91</v>
      </c>
      <c r="M1457" s="34">
        <v>571285.5</v>
      </c>
      <c r="N1457" s="34">
        <f t="shared" si="45"/>
        <v>12.13005418924552</v>
      </c>
    </row>
    <row r="1458" spans="1:14" x14ac:dyDescent="0.45">
      <c r="A1458" s="30">
        <v>2023</v>
      </c>
      <c r="B1458" s="30" t="s">
        <v>15</v>
      </c>
      <c r="C1458" s="30" t="s">
        <v>46</v>
      </c>
      <c r="D1458" s="30" t="s">
        <v>47</v>
      </c>
      <c r="E1458" s="31" t="s">
        <v>299</v>
      </c>
      <c r="F1458" s="32" t="s">
        <v>49</v>
      </c>
      <c r="G1458" s="32" t="s">
        <v>50</v>
      </c>
      <c r="H1458" s="33">
        <v>17280</v>
      </c>
      <c r="I1458" s="34">
        <f>Table3[[#This Row],[Volume, kg.]]/1000</f>
        <v>17.28</v>
      </c>
      <c r="J1458" s="34">
        <v>0.24410000000000001</v>
      </c>
      <c r="K1458" s="34">
        <f t="shared" si="44"/>
        <v>4218.0479999999998</v>
      </c>
      <c r="L1458" s="34">
        <v>2.87</v>
      </c>
      <c r="M1458" s="34">
        <v>49566</v>
      </c>
      <c r="N1458" s="34">
        <f t="shared" si="45"/>
        <v>11.757476444080295</v>
      </c>
    </row>
    <row r="1459" spans="1:14" x14ac:dyDescent="0.45">
      <c r="A1459" s="30">
        <v>2023</v>
      </c>
      <c r="B1459" s="30" t="s">
        <v>15</v>
      </c>
      <c r="C1459" s="30" t="s">
        <v>46</v>
      </c>
      <c r="D1459" s="30" t="s">
        <v>47</v>
      </c>
      <c r="E1459" s="31" t="s">
        <v>300</v>
      </c>
      <c r="F1459" s="32" t="s">
        <v>57</v>
      </c>
      <c r="G1459" s="32" t="s">
        <v>50</v>
      </c>
      <c r="H1459" s="33">
        <v>15240</v>
      </c>
      <c r="I1459" s="34">
        <f>Table3[[#This Row],[Volume, kg.]]/1000</f>
        <v>15.24</v>
      </c>
      <c r="J1459" s="34">
        <v>0.21079999999999999</v>
      </c>
      <c r="K1459" s="34">
        <f t="shared" si="44"/>
        <v>3212.5919999999996</v>
      </c>
      <c r="L1459" s="34">
        <v>2.77</v>
      </c>
      <c r="M1459" s="34">
        <v>42155.5</v>
      </c>
      <c r="N1459" s="34">
        <f t="shared" si="45"/>
        <v>13.140417457305503</v>
      </c>
    </row>
    <row r="1460" spans="1:14" x14ac:dyDescent="0.45">
      <c r="A1460" s="30">
        <v>2023</v>
      </c>
      <c r="B1460" s="30" t="s">
        <v>15</v>
      </c>
      <c r="C1460" s="30" t="s">
        <v>46</v>
      </c>
      <c r="D1460" s="30" t="s">
        <v>47</v>
      </c>
      <c r="E1460" s="31" t="s">
        <v>301</v>
      </c>
      <c r="F1460" s="32" t="s">
        <v>60</v>
      </c>
      <c r="G1460" s="32" t="s">
        <v>50</v>
      </c>
      <c r="H1460" s="33">
        <v>335520</v>
      </c>
      <c r="I1460" s="34">
        <f>Table3[[#This Row],[Volume, kg.]]/1000</f>
        <v>335.52</v>
      </c>
      <c r="J1460" s="34">
        <v>0.2596</v>
      </c>
      <c r="K1460" s="34">
        <f t="shared" si="44"/>
        <v>87100.991999999998</v>
      </c>
      <c r="L1460" s="34">
        <v>3.01</v>
      </c>
      <c r="M1460" s="34">
        <v>1010020</v>
      </c>
      <c r="N1460" s="34">
        <f t="shared" si="45"/>
        <v>11.594761171032356</v>
      </c>
    </row>
    <row r="1461" spans="1:14" x14ac:dyDescent="0.45">
      <c r="A1461" s="30">
        <v>2023</v>
      </c>
      <c r="B1461" s="30" t="s">
        <v>15</v>
      </c>
      <c r="C1461" s="30" t="s">
        <v>46</v>
      </c>
      <c r="D1461" s="30" t="s">
        <v>47</v>
      </c>
      <c r="E1461" s="31" t="s">
        <v>382</v>
      </c>
      <c r="F1461" s="32" t="s">
        <v>60</v>
      </c>
      <c r="G1461" s="32" t="s">
        <v>50</v>
      </c>
      <c r="H1461" s="33">
        <v>89360</v>
      </c>
      <c r="I1461" s="34">
        <f>Table3[[#This Row],[Volume, kg.]]/1000</f>
        <v>89.36</v>
      </c>
      <c r="J1461" s="34">
        <v>0.23980000000000001</v>
      </c>
      <c r="K1461" s="34">
        <f t="shared" si="44"/>
        <v>21428.528000000002</v>
      </c>
      <c r="L1461" s="34">
        <v>2.89</v>
      </c>
      <c r="M1461" s="34">
        <v>258266</v>
      </c>
      <c r="N1461" s="34">
        <f t="shared" si="45"/>
        <v>12.051709758131777</v>
      </c>
    </row>
    <row r="1462" spans="1:14" x14ac:dyDescent="0.45">
      <c r="A1462" s="30">
        <v>2023</v>
      </c>
      <c r="B1462" s="30" t="s">
        <v>15</v>
      </c>
      <c r="C1462" s="30" t="s">
        <v>46</v>
      </c>
      <c r="D1462" s="30" t="s">
        <v>47</v>
      </c>
      <c r="E1462" s="31" t="s">
        <v>401</v>
      </c>
      <c r="F1462" s="32" t="s">
        <v>57</v>
      </c>
      <c r="G1462" s="32" t="s">
        <v>50</v>
      </c>
      <c r="H1462" s="33">
        <v>141350</v>
      </c>
      <c r="I1462" s="34">
        <f>Table3[[#This Row],[Volume, kg.]]/1000</f>
        <v>141.35</v>
      </c>
      <c r="J1462" s="34">
        <v>0.25790000000000002</v>
      </c>
      <c r="K1462" s="34">
        <f t="shared" si="44"/>
        <v>36454.165000000001</v>
      </c>
      <c r="L1462" s="34">
        <v>3</v>
      </c>
      <c r="M1462" s="34">
        <v>424669.5</v>
      </c>
      <c r="N1462" s="34">
        <f t="shared" si="45"/>
        <v>11.632415664986429</v>
      </c>
    </row>
    <row r="1463" spans="1:14" x14ac:dyDescent="0.45">
      <c r="A1463" s="30">
        <v>2023</v>
      </c>
      <c r="B1463" s="30" t="s">
        <v>15</v>
      </c>
      <c r="C1463" s="30" t="s">
        <v>46</v>
      </c>
      <c r="D1463" s="30" t="s">
        <v>47</v>
      </c>
      <c r="E1463" s="31" t="s">
        <v>526</v>
      </c>
      <c r="F1463" s="32" t="s">
        <v>49</v>
      </c>
      <c r="G1463" s="32" t="s">
        <v>50</v>
      </c>
      <c r="H1463" s="33">
        <v>65870</v>
      </c>
      <c r="I1463" s="34">
        <f>Table3[[#This Row],[Volume, kg.]]/1000</f>
        <v>65.87</v>
      </c>
      <c r="J1463" s="34">
        <v>0.25040000000000001</v>
      </c>
      <c r="K1463" s="34">
        <f t="shared" si="44"/>
        <v>16493.848000000002</v>
      </c>
      <c r="L1463" s="34">
        <v>3.01</v>
      </c>
      <c r="M1463" s="34">
        <v>198411.5</v>
      </c>
      <c r="N1463" s="34">
        <f t="shared" si="45"/>
        <v>12.020766773162938</v>
      </c>
    </row>
    <row r="1464" spans="1:14" x14ac:dyDescent="0.45">
      <c r="A1464" s="30">
        <v>2023</v>
      </c>
      <c r="B1464" s="30" t="s">
        <v>15</v>
      </c>
      <c r="C1464" s="30" t="s">
        <v>46</v>
      </c>
      <c r="D1464" s="30" t="s">
        <v>47</v>
      </c>
      <c r="E1464" s="31" t="s">
        <v>185</v>
      </c>
      <c r="F1464" s="32" t="s">
        <v>57</v>
      </c>
      <c r="G1464" s="32" t="s">
        <v>50</v>
      </c>
      <c r="H1464" s="33">
        <v>21170</v>
      </c>
      <c r="I1464" s="34">
        <f>Table3[[#This Row],[Volume, kg.]]/1000</f>
        <v>21.17</v>
      </c>
      <c r="J1464" s="34">
        <v>0.2591</v>
      </c>
      <c r="K1464" s="34">
        <f t="shared" si="44"/>
        <v>5485.1469999999999</v>
      </c>
      <c r="L1464" s="34">
        <v>3</v>
      </c>
      <c r="M1464" s="34">
        <v>63434.5</v>
      </c>
      <c r="N1464" s="34">
        <f t="shared" si="45"/>
        <v>11.578541103820919</v>
      </c>
    </row>
    <row r="1465" spans="1:14" x14ac:dyDescent="0.45">
      <c r="A1465" s="30">
        <v>2023</v>
      </c>
      <c r="B1465" s="30" t="s">
        <v>15</v>
      </c>
      <c r="C1465" s="30" t="s">
        <v>46</v>
      </c>
      <c r="D1465" s="30" t="s">
        <v>47</v>
      </c>
      <c r="E1465" s="31" t="s">
        <v>187</v>
      </c>
      <c r="F1465" s="32" t="s">
        <v>54</v>
      </c>
      <c r="G1465" s="32" t="s">
        <v>50</v>
      </c>
      <c r="H1465" s="33">
        <v>172530</v>
      </c>
      <c r="I1465" s="34">
        <f>Table3[[#This Row],[Volume, kg.]]/1000</f>
        <v>172.53</v>
      </c>
      <c r="J1465" s="34">
        <v>0.24859999999999999</v>
      </c>
      <c r="K1465" s="34">
        <f t="shared" si="44"/>
        <v>42890.957999999999</v>
      </c>
      <c r="L1465" s="34">
        <v>2.98</v>
      </c>
      <c r="M1465" s="34">
        <v>514133</v>
      </c>
      <c r="N1465" s="34">
        <f t="shared" si="45"/>
        <v>11.987127916331456</v>
      </c>
    </row>
    <row r="1466" spans="1:14" x14ac:dyDescent="0.45">
      <c r="A1466" s="30">
        <v>2023</v>
      </c>
      <c r="B1466" s="30" t="s">
        <v>15</v>
      </c>
      <c r="C1466" s="30" t="s">
        <v>46</v>
      </c>
      <c r="D1466" s="30" t="s">
        <v>47</v>
      </c>
      <c r="E1466" s="31" t="s">
        <v>355</v>
      </c>
      <c r="F1466" s="32" t="s">
        <v>60</v>
      </c>
      <c r="G1466" s="32" t="s">
        <v>50</v>
      </c>
      <c r="H1466" s="33">
        <v>68640</v>
      </c>
      <c r="I1466" s="34">
        <f>Table3[[#This Row],[Volume, kg.]]/1000</f>
        <v>68.64</v>
      </c>
      <c r="J1466" s="34">
        <v>0.21059999999999998</v>
      </c>
      <c r="K1466" s="34">
        <f t="shared" si="44"/>
        <v>14455.583999999999</v>
      </c>
      <c r="L1466" s="34">
        <v>2.77</v>
      </c>
      <c r="M1466" s="34">
        <v>190233.5</v>
      </c>
      <c r="N1466" s="34">
        <f t="shared" si="45"/>
        <v>13.152896486229821</v>
      </c>
    </row>
    <row r="1467" spans="1:14" x14ac:dyDescent="0.45">
      <c r="A1467" s="30">
        <v>2023</v>
      </c>
      <c r="B1467" s="30" t="s">
        <v>15</v>
      </c>
      <c r="C1467" s="30" t="s">
        <v>46</v>
      </c>
      <c r="D1467" s="30" t="s">
        <v>102</v>
      </c>
      <c r="E1467" s="31" t="s">
        <v>188</v>
      </c>
      <c r="F1467" s="32" t="s">
        <v>189</v>
      </c>
      <c r="G1467" s="32" t="s">
        <v>128</v>
      </c>
      <c r="H1467" s="33">
        <v>351390</v>
      </c>
      <c r="I1467" s="34">
        <f>Table3[[#This Row],[Volume, kg.]]/1000</f>
        <v>351.39</v>
      </c>
      <c r="J1467" s="34">
        <v>0.21820000000000001</v>
      </c>
      <c r="K1467" s="34">
        <f t="shared" si="44"/>
        <v>76673.297999999995</v>
      </c>
      <c r="L1467" s="34">
        <v>2.92</v>
      </c>
      <c r="M1467" s="34">
        <v>1027643</v>
      </c>
      <c r="N1467" s="34">
        <f t="shared" si="45"/>
        <v>13.382218148487626</v>
      </c>
    </row>
    <row r="1468" spans="1:14" x14ac:dyDescent="0.45">
      <c r="A1468" s="30">
        <v>2023</v>
      </c>
      <c r="B1468" s="30" t="s">
        <v>15</v>
      </c>
      <c r="C1468" s="30" t="s">
        <v>46</v>
      </c>
      <c r="D1468" s="30" t="s">
        <v>47</v>
      </c>
      <c r="E1468" s="31" t="s">
        <v>190</v>
      </c>
      <c r="F1468" s="32" t="s">
        <v>81</v>
      </c>
      <c r="G1468" s="32" t="s">
        <v>50</v>
      </c>
      <c r="H1468" s="33">
        <v>9470</v>
      </c>
      <c r="I1468" s="34">
        <f>Table3[[#This Row],[Volume, kg.]]/1000</f>
        <v>9.4700000000000006</v>
      </c>
      <c r="J1468" s="34">
        <v>0.1855</v>
      </c>
      <c r="K1468" s="34">
        <f t="shared" si="44"/>
        <v>1756.6849999999999</v>
      </c>
      <c r="L1468" s="34">
        <v>2.6</v>
      </c>
      <c r="M1468" s="34">
        <v>24622</v>
      </c>
      <c r="N1468" s="34">
        <f t="shared" si="45"/>
        <v>14.016172506738545</v>
      </c>
    </row>
    <row r="1469" spans="1:14" x14ac:dyDescent="0.45">
      <c r="A1469" s="30">
        <v>2023</v>
      </c>
      <c r="B1469" s="30" t="s">
        <v>15</v>
      </c>
      <c r="C1469" s="30" t="s">
        <v>46</v>
      </c>
      <c r="D1469" s="30" t="s">
        <v>47</v>
      </c>
      <c r="E1469" s="31" t="s">
        <v>191</v>
      </c>
      <c r="F1469" s="32" t="s">
        <v>49</v>
      </c>
      <c r="G1469" s="32" t="s">
        <v>50</v>
      </c>
      <c r="H1469" s="33">
        <v>166140</v>
      </c>
      <c r="I1469" s="34">
        <f>Table3[[#This Row],[Volume, kg.]]/1000</f>
        <v>166.14</v>
      </c>
      <c r="J1469" s="34">
        <v>0.22889999999999999</v>
      </c>
      <c r="K1469" s="34">
        <f t="shared" si="44"/>
        <v>38029.445999999996</v>
      </c>
      <c r="L1469" s="34">
        <v>2.85</v>
      </c>
      <c r="M1469" s="34">
        <v>472972.5</v>
      </c>
      <c r="N1469" s="34">
        <f t="shared" si="45"/>
        <v>12.450851900393186</v>
      </c>
    </row>
    <row r="1470" spans="1:14" x14ac:dyDescent="0.45">
      <c r="A1470" s="30">
        <v>2023</v>
      </c>
      <c r="B1470" s="30" t="s">
        <v>15</v>
      </c>
      <c r="C1470" s="30" t="s">
        <v>46</v>
      </c>
      <c r="D1470" s="30" t="s">
        <v>47</v>
      </c>
      <c r="E1470" s="31" t="s">
        <v>192</v>
      </c>
      <c r="F1470" s="32" t="s">
        <v>49</v>
      </c>
      <c r="G1470" s="32" t="s">
        <v>50</v>
      </c>
      <c r="H1470" s="33">
        <v>38660</v>
      </c>
      <c r="I1470" s="34">
        <f>Table3[[#This Row],[Volume, kg.]]/1000</f>
        <v>38.659999999999997</v>
      </c>
      <c r="J1470" s="34">
        <v>0.22670000000000001</v>
      </c>
      <c r="K1470" s="34">
        <f t="shared" si="44"/>
        <v>8764.2219999999998</v>
      </c>
      <c r="L1470" s="34">
        <v>2.82</v>
      </c>
      <c r="M1470" s="34">
        <v>109087.5</v>
      </c>
      <c r="N1470" s="34">
        <f t="shared" si="45"/>
        <v>12.439347154830172</v>
      </c>
    </row>
    <row r="1471" spans="1:14" x14ac:dyDescent="0.45">
      <c r="A1471" s="30">
        <v>2023</v>
      </c>
      <c r="B1471" s="30" t="s">
        <v>15</v>
      </c>
      <c r="C1471" s="30" t="s">
        <v>46</v>
      </c>
      <c r="D1471" s="30" t="s">
        <v>47</v>
      </c>
      <c r="E1471" s="31" t="s">
        <v>193</v>
      </c>
      <c r="F1471" s="32" t="s">
        <v>81</v>
      </c>
      <c r="G1471" s="32" t="s">
        <v>50</v>
      </c>
      <c r="H1471" s="33">
        <v>40360</v>
      </c>
      <c r="I1471" s="34">
        <f>Table3[[#This Row],[Volume, kg.]]/1000</f>
        <v>40.36</v>
      </c>
      <c r="J1471" s="34">
        <v>0.2278</v>
      </c>
      <c r="K1471" s="34">
        <f t="shared" si="44"/>
        <v>9194.0079999999998</v>
      </c>
      <c r="L1471" s="34">
        <v>2.79</v>
      </c>
      <c r="M1471" s="34">
        <v>112430</v>
      </c>
      <c r="N1471" s="34">
        <f t="shared" si="45"/>
        <v>12.24758560140474</v>
      </c>
    </row>
    <row r="1472" spans="1:14" x14ac:dyDescent="0.45">
      <c r="A1472" s="30">
        <v>2023</v>
      </c>
      <c r="B1472" s="30" t="s">
        <v>15</v>
      </c>
      <c r="C1472" s="30" t="s">
        <v>46</v>
      </c>
      <c r="D1472" s="30" t="s">
        <v>47</v>
      </c>
      <c r="E1472" s="31" t="s">
        <v>302</v>
      </c>
      <c r="F1472" s="32" t="s">
        <v>49</v>
      </c>
      <c r="G1472" s="32" t="s">
        <v>50</v>
      </c>
      <c r="H1472" s="33">
        <v>53350</v>
      </c>
      <c r="I1472" s="34">
        <f>Table3[[#This Row],[Volume, kg.]]/1000</f>
        <v>53.35</v>
      </c>
      <c r="J1472" s="34">
        <v>0.21899999999999997</v>
      </c>
      <c r="K1472" s="34">
        <f t="shared" si="44"/>
        <v>11683.649999999998</v>
      </c>
      <c r="L1472" s="34">
        <v>2.82</v>
      </c>
      <c r="M1472" s="34">
        <v>150625</v>
      </c>
      <c r="N1472" s="34">
        <f t="shared" si="45"/>
        <v>12.876712328767125</v>
      </c>
    </row>
    <row r="1473" spans="1:14" x14ac:dyDescent="0.45">
      <c r="A1473" s="30">
        <v>2023</v>
      </c>
      <c r="B1473" s="30" t="s">
        <v>15</v>
      </c>
      <c r="C1473" s="30" t="s">
        <v>46</v>
      </c>
      <c r="D1473" s="30" t="s">
        <v>47</v>
      </c>
      <c r="E1473" s="31" t="s">
        <v>303</v>
      </c>
      <c r="F1473" s="32" t="s">
        <v>57</v>
      </c>
      <c r="G1473" s="32" t="s">
        <v>50</v>
      </c>
      <c r="H1473" s="33">
        <v>31370</v>
      </c>
      <c r="I1473" s="34">
        <f>Table3[[#This Row],[Volume, kg.]]/1000</f>
        <v>31.37</v>
      </c>
      <c r="J1473" s="34">
        <v>0.23300000000000001</v>
      </c>
      <c r="K1473" s="34">
        <f t="shared" si="44"/>
        <v>7309.21</v>
      </c>
      <c r="L1473" s="34">
        <v>2.86</v>
      </c>
      <c r="M1473" s="34">
        <v>89613.5</v>
      </c>
      <c r="N1473" s="34">
        <f t="shared" si="45"/>
        <v>12.274678111587981</v>
      </c>
    </row>
    <row r="1474" spans="1:14" x14ac:dyDescent="0.45">
      <c r="A1474" s="30">
        <v>2023</v>
      </c>
      <c r="B1474" s="30" t="s">
        <v>15</v>
      </c>
      <c r="C1474" s="30" t="s">
        <v>46</v>
      </c>
      <c r="D1474" s="30" t="s">
        <v>47</v>
      </c>
      <c r="E1474" s="31" t="s">
        <v>482</v>
      </c>
      <c r="F1474" s="32" t="s">
        <v>49</v>
      </c>
      <c r="G1474" s="32" t="s">
        <v>50</v>
      </c>
      <c r="H1474" s="33">
        <v>148220</v>
      </c>
      <c r="I1474" s="34">
        <f>Table3[[#This Row],[Volume, kg.]]/1000</f>
        <v>148.22</v>
      </c>
      <c r="J1474" s="34">
        <v>0.2303</v>
      </c>
      <c r="K1474" s="34">
        <f t="shared" si="44"/>
        <v>34135.065999999999</v>
      </c>
      <c r="L1474" s="34">
        <v>2.85</v>
      </c>
      <c r="M1474" s="34">
        <v>422024</v>
      </c>
      <c r="N1474" s="34">
        <f t="shared" si="45"/>
        <v>12.375162831089883</v>
      </c>
    </row>
    <row r="1475" spans="1:14" x14ac:dyDescent="0.45">
      <c r="A1475" s="30">
        <v>2023</v>
      </c>
      <c r="B1475" s="30" t="s">
        <v>15</v>
      </c>
      <c r="C1475" s="30" t="s">
        <v>46</v>
      </c>
      <c r="D1475" s="30" t="s">
        <v>47</v>
      </c>
      <c r="E1475" s="31" t="s">
        <v>197</v>
      </c>
      <c r="F1475" s="32" t="s">
        <v>57</v>
      </c>
      <c r="G1475" s="32" t="s">
        <v>50</v>
      </c>
      <c r="H1475" s="33">
        <v>330440</v>
      </c>
      <c r="I1475" s="34">
        <f>Table3[[#This Row],[Volume, kg.]]/1000</f>
        <v>330.44</v>
      </c>
      <c r="J1475" s="34">
        <v>0.24059999999999998</v>
      </c>
      <c r="K1475" s="34">
        <f t="shared" ref="K1475:K1538" si="46">H1475*J1475</f>
        <v>79503.863999999987</v>
      </c>
      <c r="L1475" s="34">
        <v>2.92</v>
      </c>
      <c r="M1475" s="34">
        <v>964801.5</v>
      </c>
      <c r="N1475" s="34">
        <f t="shared" si="45"/>
        <v>12.136325852036576</v>
      </c>
    </row>
    <row r="1476" spans="1:14" x14ac:dyDescent="0.45">
      <c r="A1476" s="30">
        <v>2023</v>
      </c>
      <c r="B1476" s="30" t="s">
        <v>15</v>
      </c>
      <c r="C1476" s="30" t="s">
        <v>46</v>
      </c>
      <c r="D1476" s="30" t="s">
        <v>47</v>
      </c>
      <c r="E1476" s="31" t="s">
        <v>442</v>
      </c>
      <c r="F1476" s="32" t="s">
        <v>81</v>
      </c>
      <c r="G1476" s="32" t="s">
        <v>50</v>
      </c>
      <c r="H1476" s="33">
        <v>19480</v>
      </c>
      <c r="I1476" s="34">
        <f>Table3[[#This Row],[Volume, kg.]]/1000</f>
        <v>19.48</v>
      </c>
      <c r="J1476" s="34">
        <v>0.2412</v>
      </c>
      <c r="K1476" s="34">
        <f t="shared" si="46"/>
        <v>4698.576</v>
      </c>
      <c r="L1476" s="34">
        <v>2.92</v>
      </c>
      <c r="M1476" s="34">
        <v>56879</v>
      </c>
      <c r="N1476" s="34">
        <f t="shared" ref="N1476:N1539" si="47">L1476/J1476</f>
        <v>12.106135986733001</v>
      </c>
    </row>
    <row r="1477" spans="1:14" x14ac:dyDescent="0.45">
      <c r="A1477" s="30">
        <v>2023</v>
      </c>
      <c r="B1477" s="30" t="s">
        <v>15</v>
      </c>
      <c r="C1477" s="30" t="s">
        <v>46</v>
      </c>
      <c r="D1477" s="30" t="s">
        <v>47</v>
      </c>
      <c r="E1477" s="31" t="s">
        <v>308</v>
      </c>
      <c r="F1477" s="32" t="s">
        <v>81</v>
      </c>
      <c r="G1477" s="32" t="s">
        <v>50</v>
      </c>
      <c r="H1477" s="33">
        <v>9940</v>
      </c>
      <c r="I1477" s="34">
        <f>Table3[[#This Row],[Volume, kg.]]/1000</f>
        <v>9.94</v>
      </c>
      <c r="J1477" s="34">
        <v>0.21149999999999999</v>
      </c>
      <c r="K1477" s="34">
        <f t="shared" si="46"/>
        <v>2102.31</v>
      </c>
      <c r="L1477" s="34">
        <v>2.8</v>
      </c>
      <c r="M1477" s="34">
        <v>27832</v>
      </c>
      <c r="N1477" s="34">
        <f t="shared" si="47"/>
        <v>13.238770685579196</v>
      </c>
    </row>
    <row r="1478" spans="1:14" x14ac:dyDescent="0.45">
      <c r="A1478" s="30">
        <v>2023</v>
      </c>
      <c r="B1478" s="30" t="s">
        <v>15</v>
      </c>
      <c r="C1478" s="30" t="s">
        <v>46</v>
      </c>
      <c r="D1478" s="30" t="s">
        <v>47</v>
      </c>
      <c r="E1478" s="31" t="s">
        <v>198</v>
      </c>
      <c r="F1478" s="32" t="s">
        <v>49</v>
      </c>
      <c r="G1478" s="32" t="s">
        <v>50</v>
      </c>
      <c r="H1478" s="33">
        <v>4660</v>
      </c>
      <c r="I1478" s="34">
        <f>Table3[[#This Row],[Volume, kg.]]/1000</f>
        <v>4.66</v>
      </c>
      <c r="J1478" s="34">
        <v>0.218</v>
      </c>
      <c r="K1478" s="34">
        <f t="shared" si="46"/>
        <v>1015.88</v>
      </c>
      <c r="L1478" s="34">
        <v>2.85</v>
      </c>
      <c r="M1478" s="34">
        <v>13281</v>
      </c>
      <c r="N1478" s="34">
        <f t="shared" si="47"/>
        <v>13.073394495412844</v>
      </c>
    </row>
    <row r="1479" spans="1:14" x14ac:dyDescent="0.45">
      <c r="A1479" s="30">
        <v>2023</v>
      </c>
      <c r="B1479" s="30" t="s">
        <v>15</v>
      </c>
      <c r="C1479" s="30" t="s">
        <v>46</v>
      </c>
      <c r="D1479" s="30" t="s">
        <v>47</v>
      </c>
      <c r="E1479" s="31" t="s">
        <v>405</v>
      </c>
      <c r="F1479" s="32" t="s">
        <v>240</v>
      </c>
      <c r="G1479" s="32" t="s">
        <v>50</v>
      </c>
      <c r="H1479" s="33">
        <v>30960</v>
      </c>
      <c r="I1479" s="34">
        <f>Table3[[#This Row],[Volume, kg.]]/1000</f>
        <v>30.96</v>
      </c>
      <c r="J1479" s="34">
        <v>0.20499999999999999</v>
      </c>
      <c r="K1479" s="34">
        <f t="shared" si="46"/>
        <v>6346.7999999999993</v>
      </c>
      <c r="L1479" s="34">
        <v>2.73</v>
      </c>
      <c r="M1479" s="34">
        <v>84605.5</v>
      </c>
      <c r="N1479" s="34">
        <f t="shared" si="47"/>
        <v>13.317073170731708</v>
      </c>
    </row>
    <row r="1480" spans="1:14" x14ac:dyDescent="0.45">
      <c r="A1480" s="30">
        <v>2023</v>
      </c>
      <c r="B1480" s="30" t="s">
        <v>15</v>
      </c>
      <c r="C1480" s="30" t="s">
        <v>46</v>
      </c>
      <c r="D1480" s="30" t="s">
        <v>47</v>
      </c>
      <c r="E1480" s="31" t="s">
        <v>309</v>
      </c>
      <c r="F1480" s="32" t="s">
        <v>81</v>
      </c>
      <c r="G1480" s="32" t="s">
        <v>50</v>
      </c>
      <c r="H1480" s="33">
        <v>81210</v>
      </c>
      <c r="I1480" s="34">
        <f>Table3[[#This Row],[Volume, kg.]]/1000</f>
        <v>81.209999999999994</v>
      </c>
      <c r="J1480" s="34">
        <v>0.22600000000000001</v>
      </c>
      <c r="K1480" s="34">
        <f t="shared" si="46"/>
        <v>18353.46</v>
      </c>
      <c r="L1480" s="34">
        <v>2.87</v>
      </c>
      <c r="M1480" s="34">
        <v>232906.5</v>
      </c>
      <c r="N1480" s="34">
        <f t="shared" si="47"/>
        <v>12.699115044247788</v>
      </c>
    </row>
    <row r="1481" spans="1:14" x14ac:dyDescent="0.45">
      <c r="A1481" s="30">
        <v>2023</v>
      </c>
      <c r="B1481" s="30" t="s">
        <v>15</v>
      </c>
      <c r="C1481" s="30" t="s">
        <v>46</v>
      </c>
      <c r="D1481" s="30" t="s">
        <v>47</v>
      </c>
      <c r="E1481" s="31" t="s">
        <v>356</v>
      </c>
      <c r="F1481" s="32" t="s">
        <v>49</v>
      </c>
      <c r="G1481" s="32" t="s">
        <v>50</v>
      </c>
      <c r="H1481" s="33">
        <v>11030</v>
      </c>
      <c r="I1481" s="34">
        <f>Table3[[#This Row],[Volume, kg.]]/1000</f>
        <v>11.03</v>
      </c>
      <c r="J1481" s="34">
        <v>0.22559999999999999</v>
      </c>
      <c r="K1481" s="34">
        <f t="shared" si="46"/>
        <v>2488.3679999999999</v>
      </c>
      <c r="L1481" s="34">
        <v>2.8</v>
      </c>
      <c r="M1481" s="34">
        <v>30877.5</v>
      </c>
      <c r="N1481" s="34">
        <f t="shared" si="47"/>
        <v>12.411347517730496</v>
      </c>
    </row>
    <row r="1482" spans="1:14" x14ac:dyDescent="0.45">
      <c r="A1482" s="30">
        <v>2023</v>
      </c>
      <c r="B1482" s="30" t="s">
        <v>15</v>
      </c>
      <c r="C1482" s="30" t="s">
        <v>46</v>
      </c>
      <c r="D1482" s="30" t="s">
        <v>47</v>
      </c>
      <c r="E1482" s="31" t="s">
        <v>358</v>
      </c>
      <c r="F1482" s="32" t="s">
        <v>60</v>
      </c>
      <c r="G1482" s="32" t="s">
        <v>50</v>
      </c>
      <c r="H1482" s="33">
        <v>307400</v>
      </c>
      <c r="I1482" s="34">
        <f>Table3[[#This Row],[Volume, kg.]]/1000</f>
        <v>307.39999999999998</v>
      </c>
      <c r="J1482" s="34">
        <v>0.2447</v>
      </c>
      <c r="K1482" s="34">
        <f t="shared" si="46"/>
        <v>75220.78</v>
      </c>
      <c r="L1482" s="34">
        <v>2.93</v>
      </c>
      <c r="M1482" s="34">
        <v>901564</v>
      </c>
      <c r="N1482" s="34">
        <f t="shared" si="47"/>
        <v>11.973845525132816</v>
      </c>
    </row>
    <row r="1483" spans="1:14" x14ac:dyDescent="0.45">
      <c r="A1483" s="30">
        <v>2023</v>
      </c>
      <c r="B1483" s="30" t="s">
        <v>15</v>
      </c>
      <c r="C1483" s="30" t="s">
        <v>46</v>
      </c>
      <c r="D1483" s="30" t="s">
        <v>47</v>
      </c>
      <c r="E1483" s="31" t="s">
        <v>311</v>
      </c>
      <c r="F1483" s="32" t="s">
        <v>57</v>
      </c>
      <c r="G1483" s="32" t="s">
        <v>50</v>
      </c>
      <c r="H1483" s="33">
        <v>154510</v>
      </c>
      <c r="I1483" s="34">
        <f>Table3[[#This Row],[Volume, kg.]]/1000</f>
        <v>154.51</v>
      </c>
      <c r="J1483" s="34">
        <v>0.25209999999999999</v>
      </c>
      <c r="K1483" s="34">
        <f t="shared" si="46"/>
        <v>38951.970999999998</v>
      </c>
      <c r="L1483" s="34">
        <v>2.94</v>
      </c>
      <c r="M1483" s="34">
        <v>454378</v>
      </c>
      <c r="N1483" s="34">
        <f t="shared" si="47"/>
        <v>11.662038873462912</v>
      </c>
    </row>
    <row r="1484" spans="1:14" x14ac:dyDescent="0.45">
      <c r="A1484" s="30">
        <v>2023</v>
      </c>
      <c r="B1484" s="30" t="s">
        <v>15</v>
      </c>
      <c r="C1484" s="30" t="s">
        <v>46</v>
      </c>
      <c r="D1484" s="30" t="s">
        <v>47</v>
      </c>
      <c r="E1484" s="31" t="s">
        <v>202</v>
      </c>
      <c r="F1484" s="32" t="s">
        <v>57</v>
      </c>
      <c r="G1484" s="32" t="s">
        <v>50</v>
      </c>
      <c r="H1484" s="33">
        <v>79110</v>
      </c>
      <c r="I1484" s="34">
        <f>Table3[[#This Row],[Volume, kg.]]/1000</f>
        <v>79.11</v>
      </c>
      <c r="J1484" s="34">
        <v>0.21579999999999999</v>
      </c>
      <c r="K1484" s="34">
        <f t="shared" si="46"/>
        <v>17071.937999999998</v>
      </c>
      <c r="L1484" s="34">
        <v>2.77</v>
      </c>
      <c r="M1484" s="34">
        <v>219440.5</v>
      </c>
      <c r="N1484" s="34">
        <f t="shared" si="47"/>
        <v>12.83595922150139</v>
      </c>
    </row>
    <row r="1485" spans="1:14" x14ac:dyDescent="0.45">
      <c r="A1485" s="30">
        <v>2023</v>
      </c>
      <c r="B1485" s="30" t="s">
        <v>15</v>
      </c>
      <c r="C1485" s="30" t="s">
        <v>46</v>
      </c>
      <c r="D1485" s="30" t="s">
        <v>47</v>
      </c>
      <c r="E1485" s="31" t="s">
        <v>203</v>
      </c>
      <c r="F1485" s="32" t="s">
        <v>57</v>
      </c>
      <c r="G1485" s="32" t="s">
        <v>50</v>
      </c>
      <c r="H1485" s="33">
        <v>43590</v>
      </c>
      <c r="I1485" s="34">
        <f>Table3[[#This Row],[Volume, kg.]]/1000</f>
        <v>43.59</v>
      </c>
      <c r="J1485" s="34">
        <v>0.22589999999999999</v>
      </c>
      <c r="K1485" s="34">
        <f t="shared" si="46"/>
        <v>9846.9809999999998</v>
      </c>
      <c r="L1485" s="34">
        <v>2.83</v>
      </c>
      <c r="M1485" s="34">
        <v>123447</v>
      </c>
      <c r="N1485" s="34">
        <f t="shared" si="47"/>
        <v>12.527667109340417</v>
      </c>
    </row>
    <row r="1486" spans="1:14" x14ac:dyDescent="0.45">
      <c r="A1486" s="30">
        <v>2023</v>
      </c>
      <c r="B1486" s="30" t="s">
        <v>15</v>
      </c>
      <c r="C1486" s="30" t="s">
        <v>46</v>
      </c>
      <c r="D1486" s="30" t="s">
        <v>47</v>
      </c>
      <c r="E1486" s="31" t="s">
        <v>204</v>
      </c>
      <c r="F1486" s="32" t="s">
        <v>49</v>
      </c>
      <c r="G1486" s="32" t="s">
        <v>50</v>
      </c>
      <c r="H1486" s="33">
        <v>343560</v>
      </c>
      <c r="I1486" s="34">
        <f>Table3[[#This Row],[Volume, kg.]]/1000</f>
        <v>343.56</v>
      </c>
      <c r="J1486" s="34">
        <v>0.24660000000000001</v>
      </c>
      <c r="K1486" s="34">
        <f t="shared" si="46"/>
        <v>84721.896000000008</v>
      </c>
      <c r="L1486" s="34">
        <v>2.94</v>
      </c>
      <c r="M1486" s="34">
        <v>1010226.5</v>
      </c>
      <c r="N1486" s="34">
        <f t="shared" si="47"/>
        <v>11.92214111922141</v>
      </c>
    </row>
    <row r="1487" spans="1:14" x14ac:dyDescent="0.45">
      <c r="A1487" s="30">
        <v>2023</v>
      </c>
      <c r="B1487" s="30" t="s">
        <v>15</v>
      </c>
      <c r="C1487" s="30" t="s">
        <v>46</v>
      </c>
      <c r="D1487" s="30" t="s">
        <v>47</v>
      </c>
      <c r="E1487" s="31" t="s">
        <v>412</v>
      </c>
      <c r="F1487" s="32" t="s">
        <v>57</v>
      </c>
      <c r="G1487" s="32" t="s">
        <v>50</v>
      </c>
      <c r="H1487" s="33">
        <v>177140</v>
      </c>
      <c r="I1487" s="34">
        <f>Table3[[#This Row],[Volume, kg.]]/1000</f>
        <v>177.14</v>
      </c>
      <c r="J1487" s="34">
        <v>0.24679999999999999</v>
      </c>
      <c r="K1487" s="34">
        <f t="shared" si="46"/>
        <v>43718.152000000002</v>
      </c>
      <c r="L1487" s="34">
        <v>2.97</v>
      </c>
      <c r="M1487" s="34">
        <v>525333.5</v>
      </c>
      <c r="N1487" s="34">
        <f t="shared" si="47"/>
        <v>12.034035656401946</v>
      </c>
    </row>
    <row r="1488" spans="1:14" x14ac:dyDescent="0.45">
      <c r="A1488" s="30">
        <v>2023</v>
      </c>
      <c r="B1488" s="30" t="s">
        <v>15</v>
      </c>
      <c r="C1488" s="30" t="s">
        <v>46</v>
      </c>
      <c r="D1488" s="30" t="s">
        <v>47</v>
      </c>
      <c r="E1488" s="31" t="s">
        <v>509</v>
      </c>
      <c r="F1488" s="32" t="s">
        <v>49</v>
      </c>
      <c r="G1488" s="32" t="s">
        <v>50</v>
      </c>
      <c r="H1488" s="33">
        <v>41750</v>
      </c>
      <c r="I1488" s="34">
        <f>Table3[[#This Row],[Volume, kg.]]/1000</f>
        <v>41.75</v>
      </c>
      <c r="J1488" s="34">
        <v>0.21739999999999998</v>
      </c>
      <c r="K1488" s="34">
        <f t="shared" si="46"/>
        <v>9076.4499999999989</v>
      </c>
      <c r="L1488" s="34">
        <v>2.75</v>
      </c>
      <c r="M1488" s="34">
        <v>114797</v>
      </c>
      <c r="N1488" s="34">
        <f t="shared" si="47"/>
        <v>12.649494020239192</v>
      </c>
    </row>
    <row r="1489" spans="1:14" x14ac:dyDescent="0.45">
      <c r="A1489" s="30">
        <v>2023</v>
      </c>
      <c r="B1489" s="30" t="s">
        <v>15</v>
      </c>
      <c r="C1489" s="30" t="s">
        <v>46</v>
      </c>
      <c r="D1489" s="30" t="s">
        <v>47</v>
      </c>
      <c r="E1489" s="31" t="s">
        <v>205</v>
      </c>
      <c r="F1489" s="32" t="s">
        <v>49</v>
      </c>
      <c r="G1489" s="32" t="s">
        <v>50</v>
      </c>
      <c r="H1489" s="33">
        <v>60490</v>
      </c>
      <c r="I1489" s="34">
        <f>Table3[[#This Row],[Volume, kg.]]/1000</f>
        <v>60.49</v>
      </c>
      <c r="J1489" s="34">
        <v>0.22719999999999999</v>
      </c>
      <c r="K1489" s="34">
        <f t="shared" si="46"/>
        <v>13743.328</v>
      </c>
      <c r="L1489" s="34">
        <v>2.88</v>
      </c>
      <c r="M1489" s="34">
        <v>174277</v>
      </c>
      <c r="N1489" s="34">
        <f t="shared" si="47"/>
        <v>12.67605633802817</v>
      </c>
    </row>
    <row r="1490" spans="1:14" x14ac:dyDescent="0.45">
      <c r="A1490" s="30">
        <v>2023</v>
      </c>
      <c r="B1490" s="30" t="s">
        <v>15</v>
      </c>
      <c r="C1490" s="30" t="s">
        <v>46</v>
      </c>
      <c r="D1490" s="30" t="s">
        <v>47</v>
      </c>
      <c r="E1490" s="31" t="s">
        <v>206</v>
      </c>
      <c r="F1490" s="32" t="s">
        <v>81</v>
      </c>
      <c r="G1490" s="32" t="s">
        <v>50</v>
      </c>
      <c r="H1490" s="33">
        <v>73320</v>
      </c>
      <c r="I1490" s="34">
        <f>Table3[[#This Row],[Volume, kg.]]/1000</f>
        <v>73.319999999999993</v>
      </c>
      <c r="J1490" s="34">
        <v>0.23920000000000002</v>
      </c>
      <c r="K1490" s="34">
        <f t="shared" si="46"/>
        <v>17538.144</v>
      </c>
      <c r="L1490" s="34">
        <v>2.89</v>
      </c>
      <c r="M1490" s="34">
        <v>211909</v>
      </c>
      <c r="N1490" s="34">
        <f t="shared" si="47"/>
        <v>12.081939799331103</v>
      </c>
    </row>
    <row r="1491" spans="1:14" x14ac:dyDescent="0.45">
      <c r="A1491" s="30">
        <v>2023</v>
      </c>
      <c r="B1491" s="30" t="s">
        <v>15</v>
      </c>
      <c r="C1491" s="30" t="s">
        <v>46</v>
      </c>
      <c r="D1491" s="30" t="s">
        <v>47</v>
      </c>
      <c r="E1491" s="31" t="s">
        <v>208</v>
      </c>
      <c r="F1491" s="32" t="s">
        <v>49</v>
      </c>
      <c r="G1491" s="32" t="s">
        <v>50</v>
      </c>
      <c r="H1491" s="33">
        <v>143630</v>
      </c>
      <c r="I1491" s="34">
        <f>Table3[[#This Row],[Volume, kg.]]/1000</f>
        <v>143.63</v>
      </c>
      <c r="J1491" s="34">
        <v>0.22559999999999999</v>
      </c>
      <c r="K1491" s="34">
        <f t="shared" si="46"/>
        <v>32402.928</v>
      </c>
      <c r="L1491" s="34">
        <v>2.82</v>
      </c>
      <c r="M1491" s="34">
        <v>405167.5</v>
      </c>
      <c r="N1491" s="34">
        <f t="shared" si="47"/>
        <v>12.5</v>
      </c>
    </row>
    <row r="1492" spans="1:14" x14ac:dyDescent="0.45">
      <c r="A1492" s="30">
        <v>2023</v>
      </c>
      <c r="B1492" s="30" t="s">
        <v>15</v>
      </c>
      <c r="C1492" s="30" t="s">
        <v>46</v>
      </c>
      <c r="D1492" s="30" t="s">
        <v>47</v>
      </c>
      <c r="E1492" s="31" t="s">
        <v>361</v>
      </c>
      <c r="F1492" s="32" t="s">
        <v>57</v>
      </c>
      <c r="G1492" s="32" t="s">
        <v>50</v>
      </c>
      <c r="H1492" s="33">
        <v>50840</v>
      </c>
      <c r="I1492" s="34">
        <f>Table3[[#This Row],[Volume, kg.]]/1000</f>
        <v>50.84</v>
      </c>
      <c r="J1492" s="34">
        <v>0.2293</v>
      </c>
      <c r="K1492" s="34">
        <f t="shared" si="46"/>
        <v>11657.612000000001</v>
      </c>
      <c r="L1492" s="34">
        <v>2.9</v>
      </c>
      <c r="M1492" s="34">
        <v>147561</v>
      </c>
      <c r="N1492" s="34">
        <f t="shared" si="47"/>
        <v>12.647187091146968</v>
      </c>
    </row>
    <row r="1493" spans="1:14" x14ac:dyDescent="0.45">
      <c r="A1493" s="30">
        <v>2023</v>
      </c>
      <c r="B1493" s="30" t="s">
        <v>15</v>
      </c>
      <c r="C1493" s="30" t="s">
        <v>46</v>
      </c>
      <c r="D1493" s="30" t="s">
        <v>47</v>
      </c>
      <c r="E1493" s="31" t="s">
        <v>210</v>
      </c>
      <c r="F1493" s="32" t="s">
        <v>60</v>
      </c>
      <c r="G1493" s="32" t="s">
        <v>50</v>
      </c>
      <c r="H1493" s="33">
        <v>37650</v>
      </c>
      <c r="I1493" s="34">
        <f>Table3[[#This Row],[Volume, kg.]]/1000</f>
        <v>37.65</v>
      </c>
      <c r="J1493" s="34">
        <v>0.2253</v>
      </c>
      <c r="K1493" s="34">
        <f t="shared" si="46"/>
        <v>8482.5450000000001</v>
      </c>
      <c r="L1493" s="34">
        <v>2.84</v>
      </c>
      <c r="M1493" s="34">
        <v>106967</v>
      </c>
      <c r="N1493" s="34">
        <f t="shared" si="47"/>
        <v>12.605415002219262</v>
      </c>
    </row>
    <row r="1494" spans="1:14" x14ac:dyDescent="0.45">
      <c r="A1494" s="30">
        <v>2023</v>
      </c>
      <c r="B1494" s="30" t="s">
        <v>15</v>
      </c>
      <c r="C1494" s="30" t="s">
        <v>46</v>
      </c>
      <c r="D1494" s="30" t="s">
        <v>47</v>
      </c>
      <c r="E1494" s="31" t="s">
        <v>362</v>
      </c>
      <c r="F1494" s="32" t="s">
        <v>49</v>
      </c>
      <c r="G1494" s="32" t="s">
        <v>50</v>
      </c>
      <c r="H1494" s="33">
        <v>16440</v>
      </c>
      <c r="I1494" s="34">
        <f>Table3[[#This Row],[Volume, kg.]]/1000</f>
        <v>16.440000000000001</v>
      </c>
      <c r="J1494" s="34">
        <v>0.22450000000000001</v>
      </c>
      <c r="K1494" s="34">
        <f t="shared" si="46"/>
        <v>3690.78</v>
      </c>
      <c r="L1494" s="34">
        <v>2.8</v>
      </c>
      <c r="M1494" s="34">
        <v>46032</v>
      </c>
      <c r="N1494" s="34">
        <f t="shared" si="47"/>
        <v>12.472160356347437</v>
      </c>
    </row>
    <row r="1495" spans="1:14" x14ac:dyDescent="0.45">
      <c r="A1495" s="30">
        <v>2023</v>
      </c>
      <c r="B1495" s="30" t="s">
        <v>15</v>
      </c>
      <c r="C1495" s="30" t="s">
        <v>46</v>
      </c>
      <c r="D1495" s="30" t="s">
        <v>47</v>
      </c>
      <c r="E1495" s="31" t="s">
        <v>313</v>
      </c>
      <c r="F1495" s="32" t="s">
        <v>60</v>
      </c>
      <c r="G1495" s="32" t="s">
        <v>50</v>
      </c>
      <c r="H1495" s="33">
        <v>142530</v>
      </c>
      <c r="I1495" s="34">
        <f>Table3[[#This Row],[Volume, kg.]]/1000</f>
        <v>142.53</v>
      </c>
      <c r="J1495" s="34">
        <v>0.2155</v>
      </c>
      <c r="K1495" s="34">
        <f t="shared" si="46"/>
        <v>30715.215</v>
      </c>
      <c r="L1495" s="34">
        <v>2.81</v>
      </c>
      <c r="M1495" s="34">
        <v>401150</v>
      </c>
      <c r="N1495" s="34">
        <f t="shared" si="47"/>
        <v>13.039443155452437</v>
      </c>
    </row>
    <row r="1496" spans="1:14" x14ac:dyDescent="0.45">
      <c r="A1496" s="30">
        <v>2023</v>
      </c>
      <c r="B1496" s="30" t="s">
        <v>15</v>
      </c>
      <c r="C1496" s="30" t="s">
        <v>46</v>
      </c>
      <c r="D1496" s="30" t="s">
        <v>47</v>
      </c>
      <c r="E1496" s="31" t="s">
        <v>213</v>
      </c>
      <c r="F1496" s="32" t="s">
        <v>49</v>
      </c>
      <c r="G1496" s="32" t="s">
        <v>50</v>
      </c>
      <c r="H1496" s="33">
        <v>182820</v>
      </c>
      <c r="I1496" s="34">
        <f>Table3[[#This Row],[Volume, kg.]]/1000</f>
        <v>182.82</v>
      </c>
      <c r="J1496" s="34">
        <v>0.2351</v>
      </c>
      <c r="K1496" s="34">
        <f t="shared" si="46"/>
        <v>42980.982000000004</v>
      </c>
      <c r="L1496" s="34">
        <v>2.89</v>
      </c>
      <c r="M1496" s="34">
        <v>528194.5</v>
      </c>
      <c r="N1496" s="34">
        <f t="shared" si="47"/>
        <v>12.292641429179072</v>
      </c>
    </row>
    <row r="1497" spans="1:14" x14ac:dyDescent="0.45">
      <c r="A1497" s="30">
        <v>2023</v>
      </c>
      <c r="B1497" s="30" t="s">
        <v>15</v>
      </c>
      <c r="C1497" s="30" t="s">
        <v>46</v>
      </c>
      <c r="D1497" s="30" t="s">
        <v>47</v>
      </c>
      <c r="E1497" s="31" t="s">
        <v>363</v>
      </c>
      <c r="F1497" s="32" t="s">
        <v>60</v>
      </c>
      <c r="G1497" s="32" t="s">
        <v>50</v>
      </c>
      <c r="H1497" s="33">
        <v>66830</v>
      </c>
      <c r="I1497" s="34">
        <f>Table3[[#This Row],[Volume, kg.]]/1000</f>
        <v>66.83</v>
      </c>
      <c r="J1497" s="34">
        <v>0.23850000000000002</v>
      </c>
      <c r="K1497" s="34">
        <f t="shared" si="46"/>
        <v>15938.955000000002</v>
      </c>
      <c r="L1497" s="34">
        <v>2.88</v>
      </c>
      <c r="M1497" s="34">
        <v>192717</v>
      </c>
      <c r="N1497" s="34">
        <f t="shared" si="47"/>
        <v>12.075471698113207</v>
      </c>
    </row>
    <row r="1498" spans="1:14" x14ac:dyDescent="0.45">
      <c r="A1498" s="30">
        <v>2023</v>
      </c>
      <c r="B1498" s="30" t="s">
        <v>15</v>
      </c>
      <c r="C1498" s="30" t="s">
        <v>46</v>
      </c>
      <c r="D1498" s="30" t="s">
        <v>47</v>
      </c>
      <c r="E1498" s="31" t="s">
        <v>391</v>
      </c>
      <c r="F1498" s="32" t="s">
        <v>60</v>
      </c>
      <c r="G1498" s="32" t="s">
        <v>50</v>
      </c>
      <c r="H1498" s="33">
        <v>19100</v>
      </c>
      <c r="I1498" s="34">
        <f>Table3[[#This Row],[Volume, kg.]]/1000</f>
        <v>19.100000000000001</v>
      </c>
      <c r="J1498" s="34">
        <v>0.21050000000000002</v>
      </c>
      <c r="K1498" s="34">
        <f t="shared" si="46"/>
        <v>4020.55</v>
      </c>
      <c r="L1498" s="34">
        <v>2.69</v>
      </c>
      <c r="M1498" s="34">
        <v>51466</v>
      </c>
      <c r="N1498" s="34">
        <f t="shared" si="47"/>
        <v>12.779097387173396</v>
      </c>
    </row>
    <row r="1499" spans="1:14" x14ac:dyDescent="0.45">
      <c r="A1499" s="30">
        <v>2023</v>
      </c>
      <c r="B1499" s="30" t="s">
        <v>15</v>
      </c>
      <c r="C1499" s="30" t="s">
        <v>46</v>
      </c>
      <c r="D1499" s="30" t="s">
        <v>47</v>
      </c>
      <c r="E1499" s="31" t="s">
        <v>489</v>
      </c>
      <c r="F1499" s="32" t="s">
        <v>81</v>
      </c>
      <c r="G1499" s="32" t="s">
        <v>50</v>
      </c>
      <c r="H1499" s="33">
        <v>7010</v>
      </c>
      <c r="I1499" s="34">
        <f>Table3[[#This Row],[Volume, kg.]]/1000</f>
        <v>7.01</v>
      </c>
      <c r="J1499" s="34">
        <v>0.2145</v>
      </c>
      <c r="K1499" s="34">
        <f t="shared" si="46"/>
        <v>1503.645</v>
      </c>
      <c r="L1499" s="34">
        <v>2.8</v>
      </c>
      <c r="M1499" s="34">
        <v>19628</v>
      </c>
      <c r="N1499" s="34">
        <f t="shared" si="47"/>
        <v>13.053613053613052</v>
      </c>
    </row>
    <row r="1500" spans="1:14" x14ac:dyDescent="0.45">
      <c r="A1500" s="30">
        <v>2023</v>
      </c>
      <c r="B1500" s="30" t="s">
        <v>15</v>
      </c>
      <c r="C1500" s="30" t="s">
        <v>46</v>
      </c>
      <c r="D1500" s="30" t="s">
        <v>47</v>
      </c>
      <c r="E1500" s="31" t="s">
        <v>408</v>
      </c>
      <c r="F1500" s="32" t="s">
        <v>238</v>
      </c>
      <c r="G1500" s="32" t="s">
        <v>50</v>
      </c>
      <c r="H1500" s="33">
        <v>45730</v>
      </c>
      <c r="I1500" s="34">
        <f>Table3[[#This Row],[Volume, kg.]]/1000</f>
        <v>45.73</v>
      </c>
      <c r="J1500" s="34">
        <v>0.19370000000000001</v>
      </c>
      <c r="K1500" s="34">
        <f t="shared" si="46"/>
        <v>8857.9009999999998</v>
      </c>
      <c r="L1500" s="34">
        <v>2.85</v>
      </c>
      <c r="M1500" s="34">
        <v>130330.5</v>
      </c>
      <c r="N1500" s="34">
        <f t="shared" si="47"/>
        <v>14.713474445018068</v>
      </c>
    </row>
    <row r="1501" spans="1:14" x14ac:dyDescent="0.45">
      <c r="A1501" s="30">
        <v>2023</v>
      </c>
      <c r="B1501" s="30" t="s">
        <v>15</v>
      </c>
      <c r="C1501" s="30" t="s">
        <v>46</v>
      </c>
      <c r="D1501" s="30" t="s">
        <v>47</v>
      </c>
      <c r="E1501" s="31" t="s">
        <v>488</v>
      </c>
      <c r="F1501" s="32" t="s">
        <v>57</v>
      </c>
      <c r="G1501" s="32" t="s">
        <v>50</v>
      </c>
      <c r="H1501" s="33">
        <v>160990</v>
      </c>
      <c r="I1501" s="34">
        <f>Table3[[#This Row],[Volume, kg.]]/1000</f>
        <v>160.99</v>
      </c>
      <c r="J1501" s="34">
        <v>0.24170000000000003</v>
      </c>
      <c r="K1501" s="34">
        <f t="shared" si="46"/>
        <v>38911.283000000003</v>
      </c>
      <c r="L1501" s="34">
        <v>2.9</v>
      </c>
      <c r="M1501" s="34">
        <v>466730</v>
      </c>
      <c r="N1501" s="34">
        <f t="shared" si="47"/>
        <v>11.998345055854363</v>
      </c>
    </row>
    <row r="1502" spans="1:14" x14ac:dyDescent="0.45">
      <c r="A1502" s="30">
        <v>2023</v>
      </c>
      <c r="B1502" s="30" t="s">
        <v>15</v>
      </c>
      <c r="C1502" s="30" t="s">
        <v>46</v>
      </c>
      <c r="D1502" s="30" t="s">
        <v>47</v>
      </c>
      <c r="E1502" s="31" t="s">
        <v>466</v>
      </c>
      <c r="F1502" s="32" t="s">
        <v>57</v>
      </c>
      <c r="G1502" s="32" t="s">
        <v>50</v>
      </c>
      <c r="H1502" s="33">
        <v>88070</v>
      </c>
      <c r="I1502" s="34">
        <f>Table3[[#This Row],[Volume, kg.]]/1000</f>
        <v>88.07</v>
      </c>
      <c r="J1502" s="34">
        <v>0.23149999999999998</v>
      </c>
      <c r="K1502" s="34">
        <f t="shared" si="46"/>
        <v>20388.204999999998</v>
      </c>
      <c r="L1502" s="34">
        <v>2.86</v>
      </c>
      <c r="M1502" s="34">
        <v>252235</v>
      </c>
      <c r="N1502" s="34">
        <f t="shared" si="47"/>
        <v>12.354211663066955</v>
      </c>
    </row>
    <row r="1503" spans="1:14" x14ac:dyDescent="0.45">
      <c r="A1503" s="30">
        <v>2023</v>
      </c>
      <c r="B1503" s="30" t="s">
        <v>15</v>
      </c>
      <c r="C1503" s="30" t="s">
        <v>46</v>
      </c>
      <c r="D1503" s="30" t="s">
        <v>47</v>
      </c>
      <c r="E1503" s="31" t="s">
        <v>217</v>
      </c>
      <c r="F1503" s="32" t="s">
        <v>49</v>
      </c>
      <c r="G1503" s="32" t="s">
        <v>50</v>
      </c>
      <c r="H1503" s="33">
        <v>138540</v>
      </c>
      <c r="I1503" s="34">
        <f>Table3[[#This Row],[Volume, kg.]]/1000</f>
        <v>138.54</v>
      </c>
      <c r="J1503" s="34">
        <v>0.248</v>
      </c>
      <c r="K1503" s="34">
        <f t="shared" si="46"/>
        <v>34357.919999999998</v>
      </c>
      <c r="L1503" s="34">
        <v>2.95</v>
      </c>
      <c r="M1503" s="34">
        <v>409089.5</v>
      </c>
      <c r="N1503" s="34">
        <f t="shared" si="47"/>
        <v>11.895161290322582</v>
      </c>
    </row>
    <row r="1504" spans="1:14" x14ac:dyDescent="0.45">
      <c r="A1504" s="30">
        <v>2023</v>
      </c>
      <c r="B1504" s="30" t="s">
        <v>15</v>
      </c>
      <c r="C1504" s="30" t="s">
        <v>46</v>
      </c>
      <c r="D1504" s="30" t="s">
        <v>47</v>
      </c>
      <c r="E1504" s="31" t="s">
        <v>314</v>
      </c>
      <c r="F1504" s="32" t="s">
        <v>57</v>
      </c>
      <c r="G1504" s="32" t="s">
        <v>50</v>
      </c>
      <c r="H1504" s="33">
        <v>220000</v>
      </c>
      <c r="I1504" s="34">
        <f>Table3[[#This Row],[Volume, kg.]]/1000</f>
        <v>220</v>
      </c>
      <c r="J1504" s="34">
        <v>0.2296</v>
      </c>
      <c r="K1504" s="34">
        <f t="shared" si="46"/>
        <v>50512</v>
      </c>
      <c r="L1504" s="34">
        <v>2.86</v>
      </c>
      <c r="M1504" s="34">
        <v>628538</v>
      </c>
      <c r="N1504" s="34">
        <f t="shared" si="47"/>
        <v>12.456445993031359</v>
      </c>
    </row>
    <row r="1505" spans="1:14" x14ac:dyDescent="0.45">
      <c r="A1505" s="30">
        <v>2023</v>
      </c>
      <c r="B1505" s="30" t="s">
        <v>15</v>
      </c>
      <c r="C1505" s="30" t="s">
        <v>46</v>
      </c>
      <c r="D1505" s="30" t="s">
        <v>47</v>
      </c>
      <c r="E1505" s="31" t="s">
        <v>219</v>
      </c>
      <c r="F1505" s="32" t="s">
        <v>57</v>
      </c>
      <c r="G1505" s="32" t="s">
        <v>50</v>
      </c>
      <c r="H1505" s="33">
        <v>5450</v>
      </c>
      <c r="I1505" s="34">
        <f>Table3[[#This Row],[Volume, kg.]]/1000</f>
        <v>5.45</v>
      </c>
      <c r="J1505" s="34">
        <v>0.23550000000000001</v>
      </c>
      <c r="K1505" s="34">
        <f t="shared" si="46"/>
        <v>1283.4750000000001</v>
      </c>
      <c r="L1505" s="34">
        <v>2.9</v>
      </c>
      <c r="M1505" s="34">
        <v>15805</v>
      </c>
      <c r="N1505" s="34">
        <f t="shared" si="47"/>
        <v>12.314225053078555</v>
      </c>
    </row>
    <row r="1506" spans="1:14" x14ac:dyDescent="0.45">
      <c r="A1506" s="30">
        <v>2023</v>
      </c>
      <c r="B1506" s="30" t="s">
        <v>15</v>
      </c>
      <c r="C1506" s="30" t="s">
        <v>46</v>
      </c>
      <c r="D1506" s="30" t="s">
        <v>47</v>
      </c>
      <c r="E1506" s="31" t="s">
        <v>220</v>
      </c>
      <c r="F1506" s="32" t="s">
        <v>49</v>
      </c>
      <c r="G1506" s="32" t="s">
        <v>50</v>
      </c>
      <c r="H1506" s="33">
        <v>4060</v>
      </c>
      <c r="I1506" s="34">
        <f>Table3[[#This Row],[Volume, kg.]]/1000</f>
        <v>4.0599999999999996</v>
      </c>
      <c r="J1506" s="34">
        <v>0.22149999999999997</v>
      </c>
      <c r="K1506" s="34">
        <f t="shared" si="46"/>
        <v>899.28999999999985</v>
      </c>
      <c r="L1506" s="34">
        <v>2.75</v>
      </c>
      <c r="M1506" s="34">
        <v>11165</v>
      </c>
      <c r="N1506" s="34">
        <f t="shared" si="47"/>
        <v>12.415349887133184</v>
      </c>
    </row>
    <row r="1507" spans="1:14" x14ac:dyDescent="0.45">
      <c r="A1507" s="30">
        <v>2023</v>
      </c>
      <c r="B1507" s="30" t="s">
        <v>15</v>
      </c>
      <c r="C1507" s="30" t="s">
        <v>46</v>
      </c>
      <c r="D1507" s="30" t="s">
        <v>47</v>
      </c>
      <c r="E1507" s="31" t="s">
        <v>445</v>
      </c>
      <c r="F1507" s="32" t="s">
        <v>49</v>
      </c>
      <c r="G1507" s="32" t="s">
        <v>50</v>
      </c>
      <c r="H1507" s="33">
        <v>25350</v>
      </c>
      <c r="I1507" s="34">
        <f>Table3[[#This Row],[Volume, kg.]]/1000</f>
        <v>25.35</v>
      </c>
      <c r="J1507" s="34">
        <v>0.26129999999999998</v>
      </c>
      <c r="K1507" s="34">
        <f t="shared" si="46"/>
        <v>6623.954999999999</v>
      </c>
      <c r="L1507" s="34">
        <v>3.05</v>
      </c>
      <c r="M1507" s="34">
        <v>77317.5</v>
      </c>
      <c r="N1507" s="34">
        <f t="shared" si="47"/>
        <v>11.672407194795255</v>
      </c>
    </row>
    <row r="1508" spans="1:14" x14ac:dyDescent="0.45">
      <c r="A1508" s="30">
        <v>2023</v>
      </c>
      <c r="B1508" s="30" t="s">
        <v>15</v>
      </c>
      <c r="C1508" s="30" t="s">
        <v>46</v>
      </c>
      <c r="D1508" s="30" t="s">
        <v>47</v>
      </c>
      <c r="E1508" s="31" t="s">
        <v>464</v>
      </c>
      <c r="F1508" s="32" t="s">
        <v>57</v>
      </c>
      <c r="G1508" s="32" t="s">
        <v>50</v>
      </c>
      <c r="H1508" s="33">
        <v>184770</v>
      </c>
      <c r="I1508" s="34">
        <f>Table3[[#This Row],[Volume, kg.]]/1000</f>
        <v>184.77</v>
      </c>
      <c r="J1508" s="34">
        <v>0.2349</v>
      </c>
      <c r="K1508" s="34">
        <f t="shared" si="46"/>
        <v>43402.472999999998</v>
      </c>
      <c r="L1508" s="34">
        <v>2.86</v>
      </c>
      <c r="M1508" s="34">
        <v>528762</v>
      </c>
      <c r="N1508" s="34">
        <f t="shared" si="47"/>
        <v>12.175393784589186</v>
      </c>
    </row>
    <row r="1509" spans="1:14" x14ac:dyDescent="0.45">
      <c r="A1509" s="30">
        <v>2023</v>
      </c>
      <c r="B1509" s="30" t="s">
        <v>15</v>
      </c>
      <c r="C1509" s="30" t="s">
        <v>46</v>
      </c>
      <c r="D1509" s="30" t="s">
        <v>47</v>
      </c>
      <c r="E1509" s="31" t="s">
        <v>448</v>
      </c>
      <c r="F1509" s="32" t="s">
        <v>238</v>
      </c>
      <c r="G1509" s="32" t="s">
        <v>50</v>
      </c>
      <c r="H1509" s="33">
        <v>16150</v>
      </c>
      <c r="I1509" s="34">
        <f>Table3[[#This Row],[Volume, kg.]]/1000</f>
        <v>16.149999999999999</v>
      </c>
      <c r="J1509" s="34">
        <v>0.19670000000000001</v>
      </c>
      <c r="K1509" s="34">
        <f t="shared" si="46"/>
        <v>3176.7050000000004</v>
      </c>
      <c r="L1509" s="34">
        <v>2.9</v>
      </c>
      <c r="M1509" s="34">
        <v>46835</v>
      </c>
      <c r="N1509" s="34">
        <f t="shared" si="47"/>
        <v>14.743263853584137</v>
      </c>
    </row>
    <row r="1510" spans="1:14" x14ac:dyDescent="0.45">
      <c r="A1510" s="30">
        <v>2023</v>
      </c>
      <c r="B1510" s="30" t="s">
        <v>15</v>
      </c>
      <c r="C1510" s="30" t="s">
        <v>46</v>
      </c>
      <c r="D1510" s="30" t="s">
        <v>47</v>
      </c>
      <c r="E1510" s="31" t="s">
        <v>226</v>
      </c>
      <c r="F1510" s="32" t="s">
        <v>60</v>
      </c>
      <c r="G1510" s="32" t="s">
        <v>50</v>
      </c>
      <c r="H1510" s="33">
        <v>212190</v>
      </c>
      <c r="I1510" s="34">
        <f>Table3[[#This Row],[Volume, kg.]]/1000</f>
        <v>212.19</v>
      </c>
      <c r="J1510" s="34">
        <v>0.245</v>
      </c>
      <c r="K1510" s="34">
        <f t="shared" si="46"/>
        <v>51986.549999999996</v>
      </c>
      <c r="L1510" s="34">
        <v>2.93</v>
      </c>
      <c r="M1510" s="34">
        <v>622423.5</v>
      </c>
      <c r="N1510" s="34">
        <f t="shared" si="47"/>
        <v>11.959183673469388</v>
      </c>
    </row>
    <row r="1511" spans="1:14" x14ac:dyDescent="0.45">
      <c r="A1511" s="30">
        <v>2023</v>
      </c>
      <c r="B1511" s="30" t="s">
        <v>15</v>
      </c>
      <c r="C1511" s="30" t="s">
        <v>46</v>
      </c>
      <c r="D1511" s="30" t="s">
        <v>47</v>
      </c>
      <c r="E1511" s="31" t="s">
        <v>316</v>
      </c>
      <c r="F1511" s="32" t="s">
        <v>57</v>
      </c>
      <c r="G1511" s="32" t="s">
        <v>50</v>
      </c>
      <c r="H1511" s="33">
        <v>43270</v>
      </c>
      <c r="I1511" s="34">
        <f>Table3[[#This Row],[Volume, kg.]]/1000</f>
        <v>43.27</v>
      </c>
      <c r="J1511" s="34">
        <v>0.25</v>
      </c>
      <c r="K1511" s="34">
        <f t="shared" si="46"/>
        <v>10817.5</v>
      </c>
      <c r="L1511" s="34">
        <v>2.97</v>
      </c>
      <c r="M1511" s="34">
        <v>128690</v>
      </c>
      <c r="N1511" s="34">
        <f t="shared" si="47"/>
        <v>11.88</v>
      </c>
    </row>
    <row r="1512" spans="1:14" x14ac:dyDescent="0.45">
      <c r="A1512" s="30">
        <v>2023</v>
      </c>
      <c r="B1512" s="30" t="s">
        <v>15</v>
      </c>
      <c r="C1512" s="30" t="s">
        <v>46</v>
      </c>
      <c r="D1512" s="30" t="s">
        <v>47</v>
      </c>
      <c r="E1512" s="31" t="s">
        <v>227</v>
      </c>
      <c r="F1512" s="32" t="s">
        <v>57</v>
      </c>
      <c r="G1512" s="32" t="s">
        <v>50</v>
      </c>
      <c r="H1512" s="33">
        <v>47390</v>
      </c>
      <c r="I1512" s="34">
        <f>Table3[[#This Row],[Volume, kg.]]/1000</f>
        <v>47.39</v>
      </c>
      <c r="J1512" s="34">
        <v>0.2137</v>
      </c>
      <c r="K1512" s="34">
        <f t="shared" si="46"/>
        <v>10127.243</v>
      </c>
      <c r="L1512" s="34">
        <v>2.81</v>
      </c>
      <c r="M1512" s="34">
        <v>133124.5</v>
      </c>
      <c r="N1512" s="34">
        <f t="shared" si="47"/>
        <v>13.149274684136641</v>
      </c>
    </row>
    <row r="1513" spans="1:14" x14ac:dyDescent="0.45">
      <c r="A1513" s="30">
        <v>2023</v>
      </c>
      <c r="B1513" s="30" t="s">
        <v>15</v>
      </c>
      <c r="C1513" s="30" t="s">
        <v>46</v>
      </c>
      <c r="D1513" s="30" t="s">
        <v>47</v>
      </c>
      <c r="E1513" s="31" t="s">
        <v>317</v>
      </c>
      <c r="F1513" s="32" t="s">
        <v>60</v>
      </c>
      <c r="G1513" s="32" t="s">
        <v>50</v>
      </c>
      <c r="H1513" s="33">
        <v>11600</v>
      </c>
      <c r="I1513" s="34">
        <f>Table3[[#This Row],[Volume, kg.]]/1000</f>
        <v>11.6</v>
      </c>
      <c r="J1513" s="34">
        <v>0.20760000000000001</v>
      </c>
      <c r="K1513" s="34">
        <f t="shared" si="46"/>
        <v>2408.16</v>
      </c>
      <c r="L1513" s="34">
        <v>2.72</v>
      </c>
      <c r="M1513" s="34">
        <v>31502.5</v>
      </c>
      <c r="N1513" s="34">
        <f t="shared" si="47"/>
        <v>13.102119460500964</v>
      </c>
    </row>
    <row r="1514" spans="1:14" x14ac:dyDescent="0.45">
      <c r="A1514" s="30">
        <v>2023</v>
      </c>
      <c r="B1514" s="30" t="s">
        <v>15</v>
      </c>
      <c r="C1514" s="30" t="s">
        <v>46</v>
      </c>
      <c r="D1514" s="30" t="s">
        <v>47</v>
      </c>
      <c r="E1514" s="31" t="s">
        <v>504</v>
      </c>
      <c r="F1514" s="32" t="s">
        <v>60</v>
      </c>
      <c r="G1514" s="32" t="s">
        <v>50</v>
      </c>
      <c r="H1514" s="33">
        <v>1860</v>
      </c>
      <c r="I1514" s="34">
        <f>Table3[[#This Row],[Volume, kg.]]/1000</f>
        <v>1.86</v>
      </c>
      <c r="J1514" s="34">
        <v>0.13949999999999999</v>
      </c>
      <c r="K1514" s="34">
        <f t="shared" si="46"/>
        <v>259.46999999999997</v>
      </c>
      <c r="L1514" s="34">
        <v>2.4500000000000002</v>
      </c>
      <c r="M1514" s="34">
        <v>4557</v>
      </c>
      <c r="N1514" s="34">
        <f t="shared" si="47"/>
        <v>17.562724014336922</v>
      </c>
    </row>
    <row r="1515" spans="1:14" x14ac:dyDescent="0.45">
      <c r="A1515" s="30">
        <v>2023</v>
      </c>
      <c r="B1515" s="30" t="s">
        <v>15</v>
      </c>
      <c r="C1515" s="30" t="s">
        <v>46</v>
      </c>
      <c r="D1515" s="30" t="s">
        <v>47</v>
      </c>
      <c r="E1515" s="31" t="s">
        <v>461</v>
      </c>
      <c r="F1515" s="32" t="s">
        <v>54</v>
      </c>
      <c r="G1515" s="32" t="s">
        <v>50</v>
      </c>
      <c r="H1515" s="33">
        <v>24800</v>
      </c>
      <c r="I1515" s="34">
        <f>Table3[[#This Row],[Volume, kg.]]/1000</f>
        <v>24.8</v>
      </c>
      <c r="J1515" s="34">
        <v>0.2011</v>
      </c>
      <c r="K1515" s="34">
        <f t="shared" si="46"/>
        <v>4987.28</v>
      </c>
      <c r="L1515" s="34">
        <v>2.71</v>
      </c>
      <c r="M1515" s="34">
        <v>67247</v>
      </c>
      <c r="N1515" s="34">
        <f t="shared" si="47"/>
        <v>13.475882645450024</v>
      </c>
    </row>
    <row r="1516" spans="1:14" x14ac:dyDescent="0.45">
      <c r="A1516" s="30">
        <v>2023</v>
      </c>
      <c r="B1516" s="30" t="s">
        <v>15</v>
      </c>
      <c r="C1516" s="30" t="s">
        <v>46</v>
      </c>
      <c r="D1516" s="30" t="s">
        <v>47</v>
      </c>
      <c r="E1516" s="31" t="s">
        <v>384</v>
      </c>
      <c r="F1516" s="32" t="s">
        <v>60</v>
      </c>
      <c r="G1516" s="32" t="s">
        <v>50</v>
      </c>
      <c r="H1516" s="33">
        <v>189760</v>
      </c>
      <c r="I1516" s="34">
        <f>Table3[[#This Row],[Volume, kg.]]/1000</f>
        <v>189.76</v>
      </c>
      <c r="J1516" s="34">
        <v>0.22370000000000001</v>
      </c>
      <c r="K1516" s="34">
        <f t="shared" si="46"/>
        <v>42449.312000000005</v>
      </c>
      <c r="L1516" s="34">
        <v>2.82</v>
      </c>
      <c r="M1516" s="34">
        <v>535860.5</v>
      </c>
      <c r="N1516" s="34">
        <f t="shared" si="47"/>
        <v>12.606168976307554</v>
      </c>
    </row>
    <row r="1517" spans="1:14" x14ac:dyDescent="0.45">
      <c r="A1517" s="30">
        <v>2023</v>
      </c>
      <c r="B1517" s="30" t="s">
        <v>15</v>
      </c>
      <c r="C1517" s="30" t="s">
        <v>46</v>
      </c>
      <c r="D1517" s="30" t="s">
        <v>47</v>
      </c>
      <c r="E1517" s="31" t="s">
        <v>229</v>
      </c>
      <c r="F1517" s="32" t="s">
        <v>57</v>
      </c>
      <c r="G1517" s="32" t="s">
        <v>50</v>
      </c>
      <c r="H1517" s="33">
        <v>22110</v>
      </c>
      <c r="I1517" s="34">
        <f>Table3[[#This Row],[Volume, kg.]]/1000</f>
        <v>22.11</v>
      </c>
      <c r="J1517" s="34">
        <v>0.19519999999999998</v>
      </c>
      <c r="K1517" s="34">
        <f t="shared" si="46"/>
        <v>4315.8719999999994</v>
      </c>
      <c r="L1517" s="34">
        <v>2.73</v>
      </c>
      <c r="M1517" s="34">
        <v>60291</v>
      </c>
      <c r="N1517" s="34">
        <f t="shared" si="47"/>
        <v>13.985655737704919</v>
      </c>
    </row>
    <row r="1518" spans="1:14" x14ac:dyDescent="0.45">
      <c r="A1518" s="30">
        <v>2023</v>
      </c>
      <c r="B1518" s="30" t="s">
        <v>15</v>
      </c>
      <c r="C1518" s="30" t="s">
        <v>46</v>
      </c>
      <c r="D1518" s="30" t="s">
        <v>47</v>
      </c>
      <c r="E1518" s="31" t="s">
        <v>369</v>
      </c>
      <c r="F1518" s="32" t="s">
        <v>57</v>
      </c>
      <c r="G1518" s="32" t="s">
        <v>50</v>
      </c>
      <c r="H1518" s="33">
        <v>7250</v>
      </c>
      <c r="I1518" s="34">
        <f>Table3[[#This Row],[Volume, kg.]]/1000</f>
        <v>7.25</v>
      </c>
      <c r="J1518" s="34">
        <v>0.27</v>
      </c>
      <c r="K1518" s="34">
        <f t="shared" si="46"/>
        <v>1957.5000000000002</v>
      </c>
      <c r="L1518" s="34">
        <v>3.1</v>
      </c>
      <c r="M1518" s="34">
        <v>22475</v>
      </c>
      <c r="N1518" s="34">
        <f t="shared" si="47"/>
        <v>11.481481481481481</v>
      </c>
    </row>
    <row r="1519" spans="1:14" x14ac:dyDescent="0.45">
      <c r="A1519" s="30">
        <v>2023</v>
      </c>
      <c r="B1519" s="30" t="s">
        <v>15</v>
      </c>
      <c r="C1519" s="30" t="s">
        <v>46</v>
      </c>
      <c r="D1519" s="30" t="s">
        <v>47</v>
      </c>
      <c r="E1519" s="31" t="s">
        <v>449</v>
      </c>
      <c r="F1519" s="32" t="s">
        <v>49</v>
      </c>
      <c r="G1519" s="32" t="s">
        <v>50</v>
      </c>
      <c r="H1519" s="33">
        <v>51380</v>
      </c>
      <c r="I1519" s="34">
        <f>Table3[[#This Row],[Volume, kg.]]/1000</f>
        <v>51.38</v>
      </c>
      <c r="J1519" s="34">
        <v>0.2525</v>
      </c>
      <c r="K1519" s="34">
        <f t="shared" si="46"/>
        <v>12973.45</v>
      </c>
      <c r="L1519" s="34">
        <v>2.97</v>
      </c>
      <c r="M1519" s="34">
        <v>152529.5</v>
      </c>
      <c r="N1519" s="34">
        <f t="shared" si="47"/>
        <v>11.762376237623762</v>
      </c>
    </row>
    <row r="1520" spans="1:14" x14ac:dyDescent="0.45">
      <c r="A1520" s="30">
        <v>2023</v>
      </c>
      <c r="B1520" s="30" t="s">
        <v>15</v>
      </c>
      <c r="C1520" s="30" t="s">
        <v>46</v>
      </c>
      <c r="D1520" s="30" t="s">
        <v>47</v>
      </c>
      <c r="E1520" s="31" t="s">
        <v>500</v>
      </c>
      <c r="F1520" s="32" t="s">
        <v>49</v>
      </c>
      <c r="G1520" s="32" t="s">
        <v>50</v>
      </c>
      <c r="H1520" s="33">
        <v>17230</v>
      </c>
      <c r="I1520" s="34">
        <f>Table3[[#This Row],[Volume, kg.]]/1000</f>
        <v>17.23</v>
      </c>
      <c r="J1520" s="34">
        <v>0.23569999999999999</v>
      </c>
      <c r="K1520" s="34">
        <f t="shared" si="46"/>
        <v>4061.1109999999999</v>
      </c>
      <c r="L1520" s="34">
        <v>2.93</v>
      </c>
      <c r="M1520" s="34">
        <v>50467.5</v>
      </c>
      <c r="N1520" s="34">
        <f t="shared" si="47"/>
        <v>12.431056427662284</v>
      </c>
    </row>
    <row r="1521" spans="1:14" x14ac:dyDescent="0.45">
      <c r="A1521" s="30">
        <v>2023</v>
      </c>
      <c r="B1521" s="30" t="s">
        <v>15</v>
      </c>
      <c r="C1521" s="30" t="s">
        <v>46</v>
      </c>
      <c r="D1521" s="30" t="s">
        <v>47</v>
      </c>
      <c r="E1521" s="31" t="s">
        <v>231</v>
      </c>
      <c r="F1521" s="32" t="s">
        <v>49</v>
      </c>
      <c r="G1521" s="32" t="s">
        <v>50</v>
      </c>
      <c r="H1521" s="33">
        <v>32470</v>
      </c>
      <c r="I1521" s="34">
        <f>Table3[[#This Row],[Volume, kg.]]/1000</f>
        <v>32.47</v>
      </c>
      <c r="J1521" s="34">
        <v>0.25509999999999999</v>
      </c>
      <c r="K1521" s="34">
        <f t="shared" si="46"/>
        <v>8283.0969999999998</v>
      </c>
      <c r="L1521" s="34">
        <v>2.98</v>
      </c>
      <c r="M1521" s="34">
        <v>96907.5</v>
      </c>
      <c r="N1521" s="34">
        <f t="shared" si="47"/>
        <v>11.681693453547629</v>
      </c>
    </row>
    <row r="1522" spans="1:14" x14ac:dyDescent="0.45">
      <c r="A1522" s="30">
        <v>2023</v>
      </c>
      <c r="B1522" s="30" t="s">
        <v>15</v>
      </c>
      <c r="C1522" s="30" t="s">
        <v>46</v>
      </c>
      <c r="D1522" s="30" t="s">
        <v>47</v>
      </c>
      <c r="E1522" s="31" t="s">
        <v>232</v>
      </c>
      <c r="F1522" s="32" t="s">
        <v>49</v>
      </c>
      <c r="G1522" s="32" t="s">
        <v>50</v>
      </c>
      <c r="H1522" s="33">
        <v>76270</v>
      </c>
      <c r="I1522" s="34">
        <f>Table3[[#This Row],[Volume, kg.]]/1000</f>
        <v>76.27</v>
      </c>
      <c r="J1522" s="34">
        <v>0.23079999999999998</v>
      </c>
      <c r="K1522" s="34">
        <f t="shared" si="46"/>
        <v>17603.115999999998</v>
      </c>
      <c r="L1522" s="34">
        <v>2.92</v>
      </c>
      <c r="M1522" s="34">
        <v>222433</v>
      </c>
      <c r="N1522" s="34">
        <f t="shared" si="47"/>
        <v>12.651646447140383</v>
      </c>
    </row>
    <row r="1523" spans="1:14" x14ac:dyDescent="0.45">
      <c r="A1523" s="30">
        <v>2023</v>
      </c>
      <c r="B1523" s="30" t="s">
        <v>15</v>
      </c>
      <c r="C1523" s="30" t="s">
        <v>46</v>
      </c>
      <c r="D1523" s="30" t="s">
        <v>47</v>
      </c>
      <c r="E1523" s="31" t="s">
        <v>463</v>
      </c>
      <c r="F1523" s="32" t="s">
        <v>49</v>
      </c>
      <c r="G1523" s="32" t="s">
        <v>50</v>
      </c>
      <c r="H1523" s="33">
        <v>13150</v>
      </c>
      <c r="I1523" s="34">
        <f>Table3[[#This Row],[Volume, kg.]]/1000</f>
        <v>13.15</v>
      </c>
      <c r="J1523" s="34">
        <v>0.21940000000000001</v>
      </c>
      <c r="K1523" s="34">
        <f t="shared" si="46"/>
        <v>2885.11</v>
      </c>
      <c r="L1523" s="34">
        <v>2.83</v>
      </c>
      <c r="M1523" s="34">
        <v>37243</v>
      </c>
      <c r="N1523" s="34">
        <f t="shared" si="47"/>
        <v>12.898814949863263</v>
      </c>
    </row>
    <row r="1524" spans="1:14" x14ac:dyDescent="0.45">
      <c r="A1524" s="30">
        <v>2023</v>
      </c>
      <c r="B1524" s="30" t="s">
        <v>15</v>
      </c>
      <c r="C1524" s="30" t="s">
        <v>46</v>
      </c>
      <c r="D1524" s="30" t="s">
        <v>47</v>
      </c>
      <c r="E1524" s="31" t="s">
        <v>385</v>
      </c>
      <c r="F1524" s="32" t="s">
        <v>57</v>
      </c>
      <c r="G1524" s="32" t="s">
        <v>50</v>
      </c>
      <c r="H1524" s="33">
        <v>70130</v>
      </c>
      <c r="I1524" s="34">
        <f>Table3[[#This Row],[Volume, kg.]]/1000</f>
        <v>70.13</v>
      </c>
      <c r="J1524" s="34">
        <v>0.20730000000000001</v>
      </c>
      <c r="K1524" s="34">
        <f t="shared" si="46"/>
        <v>14537.949000000001</v>
      </c>
      <c r="L1524" s="34">
        <v>2.73</v>
      </c>
      <c r="M1524" s="34">
        <v>191739</v>
      </c>
      <c r="N1524" s="34">
        <f t="shared" si="47"/>
        <v>13.169319826338638</v>
      </c>
    </row>
    <row r="1525" spans="1:14" x14ac:dyDescent="0.45">
      <c r="A1525" s="30">
        <v>2023</v>
      </c>
      <c r="B1525" s="30" t="s">
        <v>15</v>
      </c>
      <c r="C1525" s="30" t="s">
        <v>46</v>
      </c>
      <c r="D1525" s="30" t="s">
        <v>47</v>
      </c>
      <c r="E1525" s="31" t="s">
        <v>381</v>
      </c>
      <c r="F1525" s="32" t="s">
        <v>49</v>
      </c>
      <c r="G1525" s="32" t="s">
        <v>50</v>
      </c>
      <c r="H1525" s="33">
        <v>38160</v>
      </c>
      <c r="I1525" s="34">
        <f>Table3[[#This Row],[Volume, kg.]]/1000</f>
        <v>38.159999999999997</v>
      </c>
      <c r="J1525" s="34">
        <v>0.22329999999999997</v>
      </c>
      <c r="K1525" s="34">
        <f t="shared" si="46"/>
        <v>8521.1279999999988</v>
      </c>
      <c r="L1525" s="34">
        <v>2.78</v>
      </c>
      <c r="M1525" s="34">
        <v>105948.5</v>
      </c>
      <c r="N1525" s="34">
        <f t="shared" si="47"/>
        <v>12.449619346171071</v>
      </c>
    </row>
    <row r="1526" spans="1:14" x14ac:dyDescent="0.45">
      <c r="A1526" s="30">
        <v>2023</v>
      </c>
      <c r="B1526" s="30" t="s">
        <v>15</v>
      </c>
      <c r="C1526" s="30" t="s">
        <v>46</v>
      </c>
      <c r="D1526" s="30" t="s">
        <v>47</v>
      </c>
      <c r="E1526" s="31" t="s">
        <v>318</v>
      </c>
      <c r="F1526" s="32" t="s">
        <v>60</v>
      </c>
      <c r="G1526" s="32" t="s">
        <v>50</v>
      </c>
      <c r="H1526" s="33">
        <v>82240</v>
      </c>
      <c r="I1526" s="34">
        <f>Table3[[#This Row],[Volume, kg.]]/1000</f>
        <v>82.24</v>
      </c>
      <c r="J1526" s="34">
        <v>0.22769999999999999</v>
      </c>
      <c r="K1526" s="34">
        <f t="shared" si="46"/>
        <v>18726.047999999999</v>
      </c>
      <c r="L1526" s="34">
        <v>2.85</v>
      </c>
      <c r="M1526" s="34">
        <v>234651.5</v>
      </c>
      <c r="N1526" s="34">
        <f t="shared" si="47"/>
        <v>12.51646903820817</v>
      </c>
    </row>
    <row r="1527" spans="1:14" x14ac:dyDescent="0.45">
      <c r="A1527" s="30">
        <v>2023</v>
      </c>
      <c r="B1527" s="30" t="s">
        <v>15</v>
      </c>
      <c r="C1527" s="30" t="s">
        <v>46</v>
      </c>
      <c r="D1527" s="30" t="s">
        <v>47</v>
      </c>
      <c r="E1527" s="31" t="s">
        <v>233</v>
      </c>
      <c r="F1527" s="32" t="s">
        <v>57</v>
      </c>
      <c r="G1527" s="32" t="s">
        <v>50</v>
      </c>
      <c r="H1527" s="33">
        <v>142660</v>
      </c>
      <c r="I1527" s="34">
        <f>Table3[[#This Row],[Volume, kg.]]/1000</f>
        <v>142.66</v>
      </c>
      <c r="J1527" s="34">
        <v>0.24030000000000001</v>
      </c>
      <c r="K1527" s="34">
        <f t="shared" si="46"/>
        <v>34281.198000000004</v>
      </c>
      <c r="L1527" s="34">
        <v>2.92</v>
      </c>
      <c r="M1527" s="34">
        <v>416738.5</v>
      </c>
      <c r="N1527" s="34">
        <f t="shared" si="47"/>
        <v>12.151477320016644</v>
      </c>
    </row>
    <row r="1528" spans="1:14" x14ac:dyDescent="0.45">
      <c r="A1528" s="30">
        <v>2023</v>
      </c>
      <c r="B1528" s="30" t="s">
        <v>15</v>
      </c>
      <c r="C1528" s="30" t="s">
        <v>46</v>
      </c>
      <c r="D1528" s="30" t="s">
        <v>47</v>
      </c>
      <c r="E1528" s="31" t="s">
        <v>236</v>
      </c>
      <c r="F1528" s="32" t="s">
        <v>49</v>
      </c>
      <c r="G1528" s="32" t="s">
        <v>50</v>
      </c>
      <c r="H1528" s="33">
        <v>50760</v>
      </c>
      <c r="I1528" s="34">
        <f>Table3[[#This Row],[Volume, kg.]]/1000</f>
        <v>50.76</v>
      </c>
      <c r="J1528" s="34">
        <v>0.25079999999999997</v>
      </c>
      <c r="K1528" s="34">
        <f t="shared" si="46"/>
        <v>12730.607999999998</v>
      </c>
      <c r="L1528" s="34">
        <v>2.9</v>
      </c>
      <c r="M1528" s="34">
        <v>147344</v>
      </c>
      <c r="N1528" s="34">
        <f t="shared" si="47"/>
        <v>11.56299840510367</v>
      </c>
    </row>
    <row r="1529" spans="1:14" x14ac:dyDescent="0.45">
      <c r="A1529" s="30">
        <v>2023</v>
      </c>
      <c r="B1529" s="30" t="s">
        <v>15</v>
      </c>
      <c r="C1529" s="30" t="s">
        <v>46</v>
      </c>
      <c r="D1529" s="30" t="s">
        <v>102</v>
      </c>
      <c r="E1529" s="31" t="s">
        <v>239</v>
      </c>
      <c r="F1529" s="32" t="s">
        <v>240</v>
      </c>
      <c r="G1529" s="32" t="s">
        <v>50</v>
      </c>
      <c r="H1529" s="33">
        <v>29840</v>
      </c>
      <c r="I1529" s="34">
        <f>Table3[[#This Row],[Volume, kg.]]/1000</f>
        <v>29.84</v>
      </c>
      <c r="J1529" s="34">
        <v>0.20100000000000001</v>
      </c>
      <c r="K1529" s="34">
        <f t="shared" si="46"/>
        <v>5997.84</v>
      </c>
      <c r="L1529" s="34">
        <v>2.9</v>
      </c>
      <c r="M1529" s="34">
        <v>86536</v>
      </c>
      <c r="N1529" s="34">
        <f t="shared" si="47"/>
        <v>14.427860696517412</v>
      </c>
    </row>
    <row r="1530" spans="1:14" x14ac:dyDescent="0.45">
      <c r="A1530" s="30">
        <v>2023</v>
      </c>
      <c r="B1530" s="30" t="s">
        <v>15</v>
      </c>
      <c r="C1530" s="30" t="s">
        <v>46</v>
      </c>
      <c r="D1530" s="30" t="s">
        <v>47</v>
      </c>
      <c r="E1530" s="31" t="s">
        <v>319</v>
      </c>
      <c r="F1530" s="32" t="s">
        <v>81</v>
      </c>
      <c r="G1530" s="32" t="s">
        <v>50</v>
      </c>
      <c r="H1530" s="33">
        <v>8080</v>
      </c>
      <c r="I1530" s="34">
        <f>Table3[[#This Row],[Volume, kg.]]/1000</f>
        <v>8.08</v>
      </c>
      <c r="J1530" s="34">
        <v>0.214</v>
      </c>
      <c r="K1530" s="34">
        <f t="shared" si="46"/>
        <v>1729.12</v>
      </c>
      <c r="L1530" s="34">
        <v>2.75</v>
      </c>
      <c r="M1530" s="34">
        <v>22220</v>
      </c>
      <c r="N1530" s="34">
        <f t="shared" si="47"/>
        <v>12.850467289719626</v>
      </c>
    </row>
    <row r="1531" spans="1:14" x14ac:dyDescent="0.45">
      <c r="A1531" s="30">
        <v>2023</v>
      </c>
      <c r="B1531" s="30" t="s">
        <v>15</v>
      </c>
      <c r="C1531" s="30" t="s">
        <v>46</v>
      </c>
      <c r="D1531" s="30" t="s">
        <v>47</v>
      </c>
      <c r="E1531" s="31" t="s">
        <v>320</v>
      </c>
      <c r="F1531" s="32" t="s">
        <v>49</v>
      </c>
      <c r="G1531" s="32" t="s">
        <v>50</v>
      </c>
      <c r="H1531" s="33">
        <v>8640</v>
      </c>
      <c r="I1531" s="34">
        <f>Table3[[#This Row],[Volume, kg.]]/1000</f>
        <v>8.64</v>
      </c>
      <c r="J1531" s="34">
        <v>0.22550000000000001</v>
      </c>
      <c r="K1531" s="34">
        <f t="shared" si="46"/>
        <v>1948.3200000000002</v>
      </c>
      <c r="L1531" s="34">
        <v>2.85</v>
      </c>
      <c r="M1531" s="34">
        <v>24624</v>
      </c>
      <c r="N1531" s="34">
        <f t="shared" si="47"/>
        <v>12.638580931263858</v>
      </c>
    </row>
    <row r="1532" spans="1:14" x14ac:dyDescent="0.45">
      <c r="A1532" s="30">
        <v>2023</v>
      </c>
      <c r="B1532" s="30" t="s">
        <v>15</v>
      </c>
      <c r="C1532" s="30" t="s">
        <v>46</v>
      </c>
      <c r="D1532" s="30" t="s">
        <v>47</v>
      </c>
      <c r="E1532" s="31" t="s">
        <v>241</v>
      </c>
      <c r="F1532" s="32" t="s">
        <v>57</v>
      </c>
      <c r="G1532" s="32" t="s">
        <v>50</v>
      </c>
      <c r="H1532" s="33">
        <v>43170</v>
      </c>
      <c r="I1532" s="34">
        <f>Table3[[#This Row],[Volume, kg.]]/1000</f>
        <v>43.17</v>
      </c>
      <c r="J1532" s="34">
        <v>0.23430000000000001</v>
      </c>
      <c r="K1532" s="34">
        <f t="shared" si="46"/>
        <v>10114.731</v>
      </c>
      <c r="L1532" s="34">
        <v>2.88</v>
      </c>
      <c r="M1532" s="34">
        <v>124354.5</v>
      </c>
      <c r="N1532" s="34">
        <f t="shared" si="47"/>
        <v>12.291933418693981</v>
      </c>
    </row>
    <row r="1533" spans="1:14" x14ac:dyDescent="0.45">
      <c r="A1533" s="30">
        <v>2023</v>
      </c>
      <c r="B1533" s="30" t="s">
        <v>15</v>
      </c>
      <c r="C1533" s="30" t="s">
        <v>46</v>
      </c>
      <c r="D1533" s="30" t="s">
        <v>47</v>
      </c>
      <c r="E1533" s="31" t="s">
        <v>242</v>
      </c>
      <c r="F1533" s="32" t="s">
        <v>60</v>
      </c>
      <c r="G1533" s="32" t="s">
        <v>50</v>
      </c>
      <c r="H1533" s="33">
        <v>112850</v>
      </c>
      <c r="I1533" s="34">
        <f>Table3[[#This Row],[Volume, kg.]]/1000</f>
        <v>112.85</v>
      </c>
      <c r="J1533" s="34">
        <v>0.25009999999999999</v>
      </c>
      <c r="K1533" s="34">
        <f t="shared" si="46"/>
        <v>28223.785</v>
      </c>
      <c r="L1533" s="34">
        <v>2.95</v>
      </c>
      <c r="M1533" s="34">
        <v>332457.5</v>
      </c>
      <c r="N1533" s="34">
        <f t="shared" si="47"/>
        <v>11.795281887245103</v>
      </c>
    </row>
    <row r="1534" spans="1:14" x14ac:dyDescent="0.45">
      <c r="A1534" s="30">
        <v>2023</v>
      </c>
      <c r="B1534" s="30" t="s">
        <v>15</v>
      </c>
      <c r="C1534" s="30" t="s">
        <v>46</v>
      </c>
      <c r="D1534" s="30" t="s">
        <v>47</v>
      </c>
      <c r="E1534" s="31" t="s">
        <v>513</v>
      </c>
      <c r="F1534" s="32" t="s">
        <v>57</v>
      </c>
      <c r="G1534" s="32" t="s">
        <v>50</v>
      </c>
      <c r="H1534" s="33">
        <v>80250</v>
      </c>
      <c r="I1534" s="34">
        <f>Table3[[#This Row],[Volume, kg.]]/1000</f>
        <v>80.25</v>
      </c>
      <c r="J1534" s="34">
        <v>0.2409</v>
      </c>
      <c r="K1534" s="34">
        <f t="shared" si="46"/>
        <v>19332.224999999999</v>
      </c>
      <c r="L1534" s="34">
        <v>2.93</v>
      </c>
      <c r="M1534" s="34">
        <v>235375.5</v>
      </c>
      <c r="N1534" s="34">
        <f t="shared" si="47"/>
        <v>12.162723121627232</v>
      </c>
    </row>
    <row r="1535" spans="1:14" x14ac:dyDescent="0.45">
      <c r="A1535" s="30">
        <v>2023</v>
      </c>
      <c r="B1535" s="30" t="s">
        <v>15</v>
      </c>
      <c r="C1535" s="30" t="s">
        <v>46</v>
      </c>
      <c r="D1535" s="30" t="s">
        <v>47</v>
      </c>
      <c r="E1535" s="31" t="s">
        <v>243</v>
      </c>
      <c r="F1535" s="32" t="s">
        <v>60</v>
      </c>
      <c r="G1535" s="32" t="s">
        <v>50</v>
      </c>
      <c r="H1535" s="33">
        <v>163610</v>
      </c>
      <c r="I1535" s="34">
        <f>Table3[[#This Row],[Volume, kg.]]/1000</f>
        <v>163.61000000000001</v>
      </c>
      <c r="J1535" s="34">
        <v>0.25659999999999999</v>
      </c>
      <c r="K1535" s="34">
        <f t="shared" si="46"/>
        <v>41982.326000000001</v>
      </c>
      <c r="L1535" s="34">
        <v>3</v>
      </c>
      <c r="M1535" s="34">
        <v>490218.5</v>
      </c>
      <c r="N1535" s="34">
        <f t="shared" si="47"/>
        <v>11.691348402182385</v>
      </c>
    </row>
    <row r="1536" spans="1:14" x14ac:dyDescent="0.45">
      <c r="A1536" s="30">
        <v>2023</v>
      </c>
      <c r="B1536" s="30" t="s">
        <v>15</v>
      </c>
      <c r="C1536" s="30" t="s">
        <v>46</v>
      </c>
      <c r="D1536" s="30" t="s">
        <v>47</v>
      </c>
      <c r="E1536" s="31" t="s">
        <v>493</v>
      </c>
      <c r="F1536" s="32" t="s">
        <v>49</v>
      </c>
      <c r="G1536" s="32" t="s">
        <v>50</v>
      </c>
      <c r="H1536" s="33">
        <v>23230</v>
      </c>
      <c r="I1536" s="34">
        <f>Table3[[#This Row],[Volume, kg.]]/1000</f>
        <v>23.23</v>
      </c>
      <c r="J1536" s="34">
        <v>0.23579999999999998</v>
      </c>
      <c r="K1536" s="34">
        <f t="shared" si="46"/>
        <v>5477.634</v>
      </c>
      <c r="L1536" s="34">
        <v>2.87</v>
      </c>
      <c r="M1536" s="34">
        <v>66595</v>
      </c>
      <c r="N1536" s="34">
        <f t="shared" si="47"/>
        <v>12.171331636980494</v>
      </c>
    </row>
    <row r="1537" spans="1:14" x14ac:dyDescent="0.45">
      <c r="A1537" s="30">
        <v>2023</v>
      </c>
      <c r="B1537" s="30" t="s">
        <v>15</v>
      </c>
      <c r="C1537" s="30" t="s">
        <v>46</v>
      </c>
      <c r="D1537" s="30" t="s">
        <v>47</v>
      </c>
      <c r="E1537" s="31" t="s">
        <v>527</v>
      </c>
      <c r="F1537" s="32" t="s">
        <v>60</v>
      </c>
      <c r="G1537" s="32" t="s">
        <v>50</v>
      </c>
      <c r="H1537" s="33">
        <v>36640</v>
      </c>
      <c r="I1537" s="34">
        <f>Table3[[#This Row],[Volume, kg.]]/1000</f>
        <v>36.64</v>
      </c>
      <c r="J1537" s="34">
        <v>0.23329999999999998</v>
      </c>
      <c r="K1537" s="34">
        <f t="shared" si="46"/>
        <v>8548.1119999999992</v>
      </c>
      <c r="L1537" s="34">
        <v>2.87</v>
      </c>
      <c r="M1537" s="34">
        <v>105214.5</v>
      </c>
      <c r="N1537" s="34">
        <f t="shared" si="47"/>
        <v>12.301757393913418</v>
      </c>
    </row>
    <row r="1538" spans="1:14" x14ac:dyDescent="0.45">
      <c r="A1538" s="30">
        <v>2023</v>
      </c>
      <c r="B1538" s="30" t="s">
        <v>15</v>
      </c>
      <c r="C1538" s="30" t="s">
        <v>46</v>
      </c>
      <c r="D1538" s="30" t="s">
        <v>47</v>
      </c>
      <c r="E1538" s="31" t="s">
        <v>453</v>
      </c>
      <c r="F1538" s="32" t="s">
        <v>57</v>
      </c>
      <c r="G1538" s="32" t="s">
        <v>50</v>
      </c>
      <c r="H1538" s="33">
        <v>251050</v>
      </c>
      <c r="I1538" s="34">
        <f>Table3[[#This Row],[Volume, kg.]]/1000</f>
        <v>251.05</v>
      </c>
      <c r="J1538" s="34">
        <v>0.2414</v>
      </c>
      <c r="K1538" s="34">
        <f t="shared" si="46"/>
        <v>60603.47</v>
      </c>
      <c r="L1538" s="34">
        <v>2.91</v>
      </c>
      <c r="M1538" s="34">
        <v>729623</v>
      </c>
      <c r="N1538" s="34">
        <f t="shared" si="47"/>
        <v>12.054681027340514</v>
      </c>
    </row>
    <row r="1539" spans="1:14" x14ac:dyDescent="0.45">
      <c r="A1539" s="30">
        <v>2023</v>
      </c>
      <c r="B1539" s="30" t="s">
        <v>15</v>
      </c>
      <c r="C1539" s="30" t="s">
        <v>46</v>
      </c>
      <c r="D1539" s="30" t="s">
        <v>47</v>
      </c>
      <c r="E1539" s="31" t="s">
        <v>324</v>
      </c>
      <c r="F1539" s="32" t="s">
        <v>81</v>
      </c>
      <c r="G1539" s="32" t="s">
        <v>50</v>
      </c>
      <c r="H1539" s="33">
        <v>163760</v>
      </c>
      <c r="I1539" s="34">
        <f>Table3[[#This Row],[Volume, kg.]]/1000</f>
        <v>163.76</v>
      </c>
      <c r="J1539" s="34">
        <v>0.23879999999999998</v>
      </c>
      <c r="K1539" s="34">
        <f t="shared" ref="K1539:K1602" si="48">H1539*J1539</f>
        <v>39105.887999999999</v>
      </c>
      <c r="L1539" s="34">
        <v>2.9</v>
      </c>
      <c r="M1539" s="34">
        <v>474132.5</v>
      </c>
      <c r="N1539" s="34">
        <f t="shared" si="47"/>
        <v>12.144053601340033</v>
      </c>
    </row>
    <row r="1540" spans="1:14" x14ac:dyDescent="0.45">
      <c r="A1540" s="30">
        <v>2023</v>
      </c>
      <c r="B1540" s="30" t="s">
        <v>15</v>
      </c>
      <c r="C1540" s="30" t="s">
        <v>46</v>
      </c>
      <c r="D1540" s="30" t="s">
        <v>47</v>
      </c>
      <c r="E1540" s="31" t="s">
        <v>244</v>
      </c>
      <c r="F1540" s="32" t="s">
        <v>60</v>
      </c>
      <c r="G1540" s="32" t="s">
        <v>50</v>
      </c>
      <c r="H1540" s="33">
        <v>185760</v>
      </c>
      <c r="I1540" s="34">
        <f>Table3[[#This Row],[Volume, kg.]]/1000</f>
        <v>185.76</v>
      </c>
      <c r="J1540" s="34">
        <v>0.24780000000000002</v>
      </c>
      <c r="K1540" s="34">
        <f t="shared" si="48"/>
        <v>46031.328000000001</v>
      </c>
      <c r="L1540" s="34">
        <v>2.96</v>
      </c>
      <c r="M1540" s="34">
        <v>549406.5</v>
      </c>
      <c r="N1540" s="34">
        <f t="shared" ref="N1540:N1603" si="49">L1540/J1540</f>
        <v>11.945117029862791</v>
      </c>
    </row>
    <row r="1541" spans="1:14" x14ac:dyDescent="0.45">
      <c r="A1541" s="30">
        <v>2023</v>
      </c>
      <c r="B1541" s="30" t="s">
        <v>15</v>
      </c>
      <c r="C1541" s="30" t="s">
        <v>46</v>
      </c>
      <c r="D1541" s="30" t="s">
        <v>47</v>
      </c>
      <c r="E1541" s="31" t="s">
        <v>375</v>
      </c>
      <c r="F1541" s="32" t="s">
        <v>49</v>
      </c>
      <c r="G1541" s="32" t="s">
        <v>50</v>
      </c>
      <c r="H1541" s="33">
        <v>101280</v>
      </c>
      <c r="I1541" s="34">
        <f>Table3[[#This Row],[Volume, kg.]]/1000</f>
        <v>101.28</v>
      </c>
      <c r="J1541" s="34">
        <v>0.24489999999999998</v>
      </c>
      <c r="K1541" s="34">
        <f t="shared" si="48"/>
        <v>24803.471999999998</v>
      </c>
      <c r="L1541" s="34">
        <v>2.93</v>
      </c>
      <c r="M1541" s="34">
        <v>296420</v>
      </c>
      <c r="N1541" s="34">
        <f t="shared" si="49"/>
        <v>11.964066966108618</v>
      </c>
    </row>
    <row r="1542" spans="1:14" x14ac:dyDescent="0.45">
      <c r="A1542" s="30">
        <v>2023</v>
      </c>
      <c r="B1542" s="30" t="s">
        <v>15</v>
      </c>
      <c r="C1542" s="30" t="s">
        <v>46</v>
      </c>
      <c r="D1542" s="30" t="s">
        <v>47</v>
      </c>
      <c r="E1542" s="31" t="s">
        <v>245</v>
      </c>
      <c r="F1542" s="32" t="s">
        <v>57</v>
      </c>
      <c r="G1542" s="32" t="s">
        <v>50</v>
      </c>
      <c r="H1542" s="33">
        <v>40870</v>
      </c>
      <c r="I1542" s="34">
        <f>Table3[[#This Row],[Volume, kg.]]/1000</f>
        <v>40.869999999999997</v>
      </c>
      <c r="J1542" s="34">
        <v>0.19829999999999998</v>
      </c>
      <c r="K1542" s="34">
        <f t="shared" si="48"/>
        <v>8104.5209999999988</v>
      </c>
      <c r="L1542" s="34">
        <v>2.73</v>
      </c>
      <c r="M1542" s="34">
        <v>111520.5</v>
      </c>
      <c r="N1542" s="34">
        <f t="shared" si="49"/>
        <v>13.767019667170954</v>
      </c>
    </row>
    <row r="1543" spans="1:14" x14ac:dyDescent="0.45">
      <c r="A1543" s="30">
        <v>2023</v>
      </c>
      <c r="B1543" s="30" t="s">
        <v>15</v>
      </c>
      <c r="C1543" s="30" t="s">
        <v>46</v>
      </c>
      <c r="D1543" s="30" t="s">
        <v>47</v>
      </c>
      <c r="E1543" s="31" t="s">
        <v>325</v>
      </c>
      <c r="F1543" s="32" t="s">
        <v>60</v>
      </c>
      <c r="G1543" s="32" t="s">
        <v>50</v>
      </c>
      <c r="H1543" s="33">
        <v>148750</v>
      </c>
      <c r="I1543" s="34">
        <f>Table3[[#This Row],[Volume, kg.]]/1000</f>
        <v>148.75</v>
      </c>
      <c r="J1543" s="34">
        <v>0.26140000000000002</v>
      </c>
      <c r="K1543" s="34">
        <f t="shared" si="48"/>
        <v>38883.25</v>
      </c>
      <c r="L1543" s="34">
        <v>3.03</v>
      </c>
      <c r="M1543" s="34">
        <v>451407.5</v>
      </c>
      <c r="N1543" s="34">
        <f t="shared" si="49"/>
        <v>11.591430757459831</v>
      </c>
    </row>
    <row r="1544" spans="1:14" x14ac:dyDescent="0.45">
      <c r="A1544" s="30">
        <v>2023</v>
      </c>
      <c r="B1544" s="30" t="s">
        <v>15</v>
      </c>
      <c r="C1544" s="30" t="s">
        <v>46</v>
      </c>
      <c r="D1544" s="30" t="s">
        <v>102</v>
      </c>
      <c r="E1544" s="31" t="s">
        <v>250</v>
      </c>
      <c r="F1544" s="32" t="s">
        <v>49</v>
      </c>
      <c r="G1544" s="32" t="s">
        <v>50</v>
      </c>
      <c r="H1544" s="33">
        <v>744620</v>
      </c>
      <c r="I1544" s="34">
        <f>Table3[[#This Row],[Volume, kg.]]/1000</f>
        <v>744.62</v>
      </c>
      <c r="J1544" s="34">
        <v>0.2384</v>
      </c>
      <c r="K1544" s="34">
        <f t="shared" si="48"/>
        <v>177517.408</v>
      </c>
      <c r="L1544" s="34">
        <v>2.97</v>
      </c>
      <c r="M1544" s="34">
        <v>2214432.5</v>
      </c>
      <c r="N1544" s="34">
        <f t="shared" si="49"/>
        <v>12.458053691275168</v>
      </c>
    </row>
    <row r="1545" spans="1:14" x14ac:dyDescent="0.45">
      <c r="A1545" s="30">
        <v>2023</v>
      </c>
      <c r="B1545" s="30" t="s">
        <v>15</v>
      </c>
      <c r="C1545" s="30" t="s">
        <v>46</v>
      </c>
      <c r="D1545" s="30" t="s">
        <v>47</v>
      </c>
      <c r="E1545" s="31" t="s">
        <v>251</v>
      </c>
      <c r="F1545" s="32" t="s">
        <v>49</v>
      </c>
      <c r="G1545" s="32" t="s">
        <v>50</v>
      </c>
      <c r="H1545" s="33">
        <v>7910</v>
      </c>
      <c r="I1545" s="34">
        <f>Table3[[#This Row],[Volume, kg.]]/1000</f>
        <v>7.91</v>
      </c>
      <c r="J1545" s="34">
        <v>0.22550000000000001</v>
      </c>
      <c r="K1545" s="34">
        <f t="shared" si="48"/>
        <v>1783.7050000000002</v>
      </c>
      <c r="L1545" s="34">
        <v>2.85</v>
      </c>
      <c r="M1545" s="34">
        <v>22543.5</v>
      </c>
      <c r="N1545" s="34">
        <f t="shared" si="49"/>
        <v>12.638580931263858</v>
      </c>
    </row>
    <row r="1546" spans="1:14" x14ac:dyDescent="0.45">
      <c r="A1546" s="30">
        <v>2023</v>
      </c>
      <c r="B1546" s="30" t="s">
        <v>15</v>
      </c>
      <c r="C1546" s="30" t="s">
        <v>46</v>
      </c>
      <c r="D1546" s="30" t="s">
        <v>47</v>
      </c>
      <c r="E1546" s="31" t="s">
        <v>252</v>
      </c>
      <c r="F1546" s="32" t="s">
        <v>49</v>
      </c>
      <c r="G1546" s="32" t="s">
        <v>50</v>
      </c>
      <c r="H1546" s="33">
        <v>14460</v>
      </c>
      <c r="I1546" s="34">
        <f>Table3[[#This Row],[Volume, kg.]]/1000</f>
        <v>14.46</v>
      </c>
      <c r="J1546" s="34">
        <v>0.23780000000000001</v>
      </c>
      <c r="K1546" s="34">
        <f t="shared" si="48"/>
        <v>3438.5880000000002</v>
      </c>
      <c r="L1546" s="34">
        <v>2.89</v>
      </c>
      <c r="M1546" s="34">
        <v>41779.5</v>
      </c>
      <c r="N1546" s="34">
        <f t="shared" si="49"/>
        <v>12.153069806560135</v>
      </c>
    </row>
    <row r="1547" spans="1:14" x14ac:dyDescent="0.45">
      <c r="A1547" s="30">
        <v>2023</v>
      </c>
      <c r="B1547" s="30" t="s">
        <v>15</v>
      </c>
      <c r="C1547" s="30" t="s">
        <v>46</v>
      </c>
      <c r="D1547" s="30" t="s">
        <v>47</v>
      </c>
      <c r="E1547" s="31" t="s">
        <v>253</v>
      </c>
      <c r="F1547" s="32" t="s">
        <v>57</v>
      </c>
      <c r="G1547" s="32" t="s">
        <v>50</v>
      </c>
      <c r="H1547" s="33">
        <v>189010</v>
      </c>
      <c r="I1547" s="34">
        <f>Table3[[#This Row],[Volume, kg.]]/1000</f>
        <v>189.01</v>
      </c>
      <c r="J1547" s="34">
        <v>0.23300000000000001</v>
      </c>
      <c r="K1547" s="34">
        <f t="shared" si="48"/>
        <v>44039.33</v>
      </c>
      <c r="L1547" s="34">
        <v>2.86</v>
      </c>
      <c r="M1547" s="34">
        <v>540674.5</v>
      </c>
      <c r="N1547" s="34">
        <f t="shared" si="49"/>
        <v>12.274678111587981</v>
      </c>
    </row>
    <row r="1548" spans="1:14" x14ac:dyDescent="0.45">
      <c r="A1548" s="30">
        <v>2023</v>
      </c>
      <c r="B1548" s="30" t="s">
        <v>15</v>
      </c>
      <c r="C1548" s="30" t="s">
        <v>46</v>
      </c>
      <c r="D1548" s="30" t="s">
        <v>47</v>
      </c>
      <c r="E1548" s="31" t="s">
        <v>457</v>
      </c>
      <c r="F1548" s="32" t="s">
        <v>49</v>
      </c>
      <c r="G1548" s="32" t="s">
        <v>50</v>
      </c>
      <c r="H1548" s="33">
        <v>5620</v>
      </c>
      <c r="I1548" s="34">
        <f>Table3[[#This Row],[Volume, kg.]]/1000</f>
        <v>5.62</v>
      </c>
      <c r="J1548" s="34">
        <v>0.19350000000000001</v>
      </c>
      <c r="K1548" s="34">
        <f t="shared" si="48"/>
        <v>1087.47</v>
      </c>
      <c r="L1548" s="34">
        <v>2.7</v>
      </c>
      <c r="M1548" s="34">
        <v>15174</v>
      </c>
      <c r="N1548" s="34">
        <f t="shared" si="49"/>
        <v>13.953488372093023</v>
      </c>
    </row>
    <row r="1549" spans="1:14" x14ac:dyDescent="0.45">
      <c r="A1549" s="30">
        <v>2023</v>
      </c>
      <c r="B1549" s="30" t="s">
        <v>15</v>
      </c>
      <c r="C1549" s="30" t="s">
        <v>46</v>
      </c>
      <c r="D1549" s="30" t="s">
        <v>47</v>
      </c>
      <c r="E1549" s="31" t="s">
        <v>254</v>
      </c>
      <c r="F1549" s="32" t="s">
        <v>49</v>
      </c>
      <c r="G1549" s="32" t="s">
        <v>50</v>
      </c>
      <c r="H1549" s="33">
        <v>61360</v>
      </c>
      <c r="I1549" s="34">
        <f>Table3[[#This Row],[Volume, kg.]]/1000</f>
        <v>61.36</v>
      </c>
      <c r="J1549" s="34">
        <v>0.2034</v>
      </c>
      <c r="K1549" s="34">
        <f t="shared" si="48"/>
        <v>12480.624</v>
      </c>
      <c r="L1549" s="34">
        <v>2.71</v>
      </c>
      <c r="M1549" s="34">
        <v>166230.5</v>
      </c>
      <c r="N1549" s="34">
        <f t="shared" si="49"/>
        <v>13.323500491642084</v>
      </c>
    </row>
    <row r="1550" spans="1:14" x14ac:dyDescent="0.45">
      <c r="A1550" s="30">
        <v>2023</v>
      </c>
      <c r="B1550" s="30" t="s">
        <v>15</v>
      </c>
      <c r="C1550" s="30" t="s">
        <v>46</v>
      </c>
      <c r="D1550" s="30" t="s">
        <v>47</v>
      </c>
      <c r="E1550" s="31" t="s">
        <v>326</v>
      </c>
      <c r="F1550" s="32" t="s">
        <v>57</v>
      </c>
      <c r="G1550" s="32" t="s">
        <v>50</v>
      </c>
      <c r="H1550" s="33">
        <v>9390</v>
      </c>
      <c r="I1550" s="34">
        <f>Table3[[#This Row],[Volume, kg.]]/1000</f>
        <v>9.39</v>
      </c>
      <c r="J1550" s="34">
        <v>0.217</v>
      </c>
      <c r="K1550" s="34">
        <f t="shared" si="48"/>
        <v>2037.6299999999999</v>
      </c>
      <c r="L1550" s="34">
        <v>2.85</v>
      </c>
      <c r="M1550" s="34">
        <v>26761.5</v>
      </c>
      <c r="N1550" s="34">
        <f t="shared" si="49"/>
        <v>13.133640552995391</v>
      </c>
    </row>
    <row r="1551" spans="1:14" x14ac:dyDescent="0.45">
      <c r="A1551" s="30">
        <v>2023</v>
      </c>
      <c r="B1551" s="30" t="s">
        <v>15</v>
      </c>
      <c r="C1551" s="30" t="s">
        <v>46</v>
      </c>
      <c r="D1551" s="30" t="s">
        <v>47</v>
      </c>
      <c r="E1551" s="31" t="s">
        <v>255</v>
      </c>
      <c r="F1551" s="32" t="s">
        <v>60</v>
      </c>
      <c r="G1551" s="32" t="s">
        <v>50</v>
      </c>
      <c r="H1551" s="33">
        <v>56710</v>
      </c>
      <c r="I1551" s="34">
        <f>Table3[[#This Row],[Volume, kg.]]/1000</f>
        <v>56.71</v>
      </c>
      <c r="J1551" s="34">
        <v>0.25269999999999998</v>
      </c>
      <c r="K1551" s="34">
        <f t="shared" si="48"/>
        <v>14330.616999999998</v>
      </c>
      <c r="L1551" s="34">
        <v>2.94</v>
      </c>
      <c r="M1551" s="34">
        <v>166549</v>
      </c>
      <c r="N1551" s="34">
        <f t="shared" si="49"/>
        <v>11.634349030470915</v>
      </c>
    </row>
    <row r="1552" spans="1:14" x14ac:dyDescent="0.45">
      <c r="A1552" s="30">
        <v>2023</v>
      </c>
      <c r="B1552" s="30" t="s">
        <v>15</v>
      </c>
      <c r="C1552" s="30" t="s">
        <v>46</v>
      </c>
      <c r="D1552" s="30" t="s">
        <v>47</v>
      </c>
      <c r="E1552" s="31" t="s">
        <v>380</v>
      </c>
      <c r="F1552" s="32" t="s">
        <v>49</v>
      </c>
      <c r="G1552" s="32" t="s">
        <v>50</v>
      </c>
      <c r="H1552" s="33">
        <v>19310</v>
      </c>
      <c r="I1552" s="34">
        <f>Table3[[#This Row],[Volume, kg.]]/1000</f>
        <v>19.309999999999999</v>
      </c>
      <c r="J1552" s="34">
        <v>0.23300000000000001</v>
      </c>
      <c r="K1552" s="34">
        <f t="shared" si="48"/>
        <v>4499.2300000000005</v>
      </c>
      <c r="L1552" s="34">
        <v>2.88</v>
      </c>
      <c r="M1552" s="34">
        <v>55607</v>
      </c>
      <c r="N1552" s="34">
        <f t="shared" si="49"/>
        <v>12.360515021459227</v>
      </c>
    </row>
    <row r="1553" spans="1:14" x14ac:dyDescent="0.45">
      <c r="A1553" s="30">
        <v>2023</v>
      </c>
      <c r="B1553" s="30" t="s">
        <v>15</v>
      </c>
      <c r="C1553" s="30" t="s">
        <v>46</v>
      </c>
      <c r="D1553" s="30" t="s">
        <v>47</v>
      </c>
      <c r="E1553" s="31" t="s">
        <v>327</v>
      </c>
      <c r="F1553" s="32" t="s">
        <v>49</v>
      </c>
      <c r="G1553" s="32" t="s">
        <v>50</v>
      </c>
      <c r="H1553" s="33">
        <v>127770</v>
      </c>
      <c r="I1553" s="34">
        <f>Table3[[#This Row],[Volume, kg.]]/1000</f>
        <v>127.77</v>
      </c>
      <c r="J1553" s="34">
        <v>0.24890000000000001</v>
      </c>
      <c r="K1553" s="34">
        <f t="shared" si="48"/>
        <v>31801.953000000001</v>
      </c>
      <c r="L1553" s="34">
        <v>2.92</v>
      </c>
      <c r="M1553" s="34">
        <v>372499</v>
      </c>
      <c r="N1553" s="34">
        <f t="shared" si="49"/>
        <v>11.731619124146242</v>
      </c>
    </row>
    <row r="1554" spans="1:14" x14ac:dyDescent="0.45">
      <c r="A1554" s="30">
        <v>2023</v>
      </c>
      <c r="B1554" s="30" t="s">
        <v>15</v>
      </c>
      <c r="C1554" s="30" t="s">
        <v>46</v>
      </c>
      <c r="D1554" s="30" t="s">
        <v>47</v>
      </c>
      <c r="E1554" s="31" t="s">
        <v>256</v>
      </c>
      <c r="F1554" s="32" t="s">
        <v>81</v>
      </c>
      <c r="G1554" s="32" t="s">
        <v>50</v>
      </c>
      <c r="H1554" s="33">
        <v>17070</v>
      </c>
      <c r="I1554" s="34">
        <f>Table3[[#This Row],[Volume, kg.]]/1000</f>
        <v>17.07</v>
      </c>
      <c r="J1554" s="34">
        <v>0.27449999999999997</v>
      </c>
      <c r="K1554" s="34">
        <f t="shared" si="48"/>
        <v>4685.7149999999992</v>
      </c>
      <c r="L1554" s="34">
        <v>3.1</v>
      </c>
      <c r="M1554" s="34">
        <v>52917</v>
      </c>
      <c r="N1554" s="34">
        <f t="shared" si="49"/>
        <v>11.293260473588344</v>
      </c>
    </row>
    <row r="1555" spans="1:14" x14ac:dyDescent="0.45">
      <c r="A1555" s="30">
        <v>2023</v>
      </c>
      <c r="B1555" s="30" t="s">
        <v>15</v>
      </c>
      <c r="C1555" s="30" t="s">
        <v>46</v>
      </c>
      <c r="D1555" s="30" t="s">
        <v>47</v>
      </c>
      <c r="E1555" s="31" t="s">
        <v>459</v>
      </c>
      <c r="F1555" s="32" t="s">
        <v>134</v>
      </c>
      <c r="G1555" s="32" t="s">
        <v>50</v>
      </c>
      <c r="H1555" s="33">
        <v>135740</v>
      </c>
      <c r="I1555" s="34">
        <f>Table3[[#This Row],[Volume, kg.]]/1000</f>
        <v>135.74</v>
      </c>
      <c r="J1555" s="34">
        <v>0.222</v>
      </c>
      <c r="K1555" s="34">
        <f t="shared" si="48"/>
        <v>30134.28</v>
      </c>
      <c r="L1555" s="34">
        <v>2.91</v>
      </c>
      <c r="M1555" s="34">
        <v>395242.5</v>
      </c>
      <c r="N1555" s="34">
        <f t="shared" si="49"/>
        <v>13.108108108108109</v>
      </c>
    </row>
    <row r="1556" spans="1:14" x14ac:dyDescent="0.45">
      <c r="A1556" s="30">
        <v>2023</v>
      </c>
      <c r="B1556" s="30" t="s">
        <v>15</v>
      </c>
      <c r="C1556" s="30" t="s">
        <v>46</v>
      </c>
      <c r="D1556" s="30" t="s">
        <v>47</v>
      </c>
      <c r="E1556" s="31" t="s">
        <v>258</v>
      </c>
      <c r="F1556" s="32" t="s">
        <v>49</v>
      </c>
      <c r="G1556" s="32" t="s">
        <v>50</v>
      </c>
      <c r="H1556" s="33">
        <v>542780</v>
      </c>
      <c r="I1556" s="34">
        <f>Table3[[#This Row],[Volume, kg.]]/1000</f>
        <v>542.78</v>
      </c>
      <c r="J1556" s="34">
        <v>0.22320000000000001</v>
      </c>
      <c r="K1556" s="34">
        <f t="shared" si="48"/>
        <v>121148.496</v>
      </c>
      <c r="L1556" s="34">
        <v>2.83</v>
      </c>
      <c r="M1556" s="34">
        <v>1538496</v>
      </c>
      <c r="N1556" s="34">
        <f t="shared" si="49"/>
        <v>12.679211469534049</v>
      </c>
    </row>
    <row r="1557" spans="1:14" x14ac:dyDescent="0.45">
      <c r="A1557" s="30">
        <v>2023</v>
      </c>
      <c r="B1557" s="30" t="s">
        <v>16</v>
      </c>
      <c r="C1557" s="30" t="s">
        <v>46</v>
      </c>
      <c r="D1557" s="30" t="s">
        <v>47</v>
      </c>
      <c r="E1557" s="31" t="s">
        <v>259</v>
      </c>
      <c r="F1557" s="32" t="s">
        <v>54</v>
      </c>
      <c r="G1557" s="32" t="s">
        <v>50</v>
      </c>
      <c r="H1557" s="33">
        <v>86990</v>
      </c>
      <c r="I1557" s="34">
        <f>Table3[[#This Row],[Volume, kg.]]/1000</f>
        <v>86.99</v>
      </c>
      <c r="J1557" s="34">
        <v>0.2676</v>
      </c>
      <c r="K1557" s="34">
        <f t="shared" si="48"/>
        <v>23278.524000000001</v>
      </c>
      <c r="L1557" s="34">
        <v>3.14</v>
      </c>
      <c r="M1557" s="34">
        <v>273429.5</v>
      </c>
      <c r="N1557" s="34">
        <f t="shared" si="49"/>
        <v>11.733931240657698</v>
      </c>
    </row>
    <row r="1558" spans="1:14" x14ac:dyDescent="0.45">
      <c r="A1558" s="30">
        <v>2023</v>
      </c>
      <c r="B1558" s="30" t="s">
        <v>16</v>
      </c>
      <c r="C1558" s="30" t="s">
        <v>46</v>
      </c>
      <c r="D1558" s="30" t="s">
        <v>47</v>
      </c>
      <c r="E1558" s="31" t="s">
        <v>260</v>
      </c>
      <c r="F1558" s="32" t="s">
        <v>49</v>
      </c>
      <c r="G1558" s="32" t="s">
        <v>50</v>
      </c>
      <c r="H1558" s="33">
        <v>31900</v>
      </c>
      <c r="I1558" s="34">
        <f>Table3[[#This Row],[Volume, kg.]]/1000</f>
        <v>31.9</v>
      </c>
      <c r="J1558" s="34">
        <v>0.20699999999999999</v>
      </c>
      <c r="K1558" s="34">
        <f t="shared" si="48"/>
        <v>6603.2999999999993</v>
      </c>
      <c r="L1558" s="34">
        <v>2.87</v>
      </c>
      <c r="M1558" s="34">
        <v>91442</v>
      </c>
      <c r="N1558" s="34">
        <f t="shared" si="49"/>
        <v>13.864734299516909</v>
      </c>
    </row>
    <row r="1559" spans="1:14" x14ac:dyDescent="0.45">
      <c r="A1559" s="30">
        <v>2023</v>
      </c>
      <c r="B1559" s="30" t="s">
        <v>16</v>
      </c>
      <c r="C1559" s="30" t="s">
        <v>46</v>
      </c>
      <c r="D1559" s="30" t="s">
        <v>47</v>
      </c>
      <c r="E1559" s="31" t="s">
        <v>51</v>
      </c>
      <c r="F1559" s="32" t="s">
        <v>49</v>
      </c>
      <c r="G1559" s="32" t="s">
        <v>50</v>
      </c>
      <c r="H1559" s="33">
        <v>43460</v>
      </c>
      <c r="I1559" s="34">
        <f>Table3[[#This Row],[Volume, kg.]]/1000</f>
        <v>43.46</v>
      </c>
      <c r="J1559" s="34">
        <v>0.25650000000000001</v>
      </c>
      <c r="K1559" s="34">
        <f t="shared" si="48"/>
        <v>11147.49</v>
      </c>
      <c r="L1559" s="34">
        <v>3.15</v>
      </c>
      <c r="M1559" s="34">
        <v>137001</v>
      </c>
      <c r="N1559" s="34">
        <f t="shared" si="49"/>
        <v>12.280701754385964</v>
      </c>
    </row>
    <row r="1560" spans="1:14" x14ac:dyDescent="0.45">
      <c r="A1560" s="30">
        <v>2023</v>
      </c>
      <c r="B1560" s="30" t="s">
        <v>16</v>
      </c>
      <c r="C1560" s="30" t="s">
        <v>46</v>
      </c>
      <c r="D1560" s="30" t="s">
        <v>47</v>
      </c>
      <c r="E1560" s="31" t="s">
        <v>53</v>
      </c>
      <c r="F1560" s="32" t="s">
        <v>54</v>
      </c>
      <c r="G1560" s="32" t="s">
        <v>50</v>
      </c>
      <c r="H1560" s="33">
        <v>15490</v>
      </c>
      <c r="I1560" s="34">
        <f>Table3[[#This Row],[Volume, kg.]]/1000</f>
        <v>15.49</v>
      </c>
      <c r="J1560" s="34">
        <v>0.23449999999999999</v>
      </c>
      <c r="K1560" s="34">
        <f t="shared" si="48"/>
        <v>3632.4049999999997</v>
      </c>
      <c r="L1560" s="34">
        <v>3.01</v>
      </c>
      <c r="M1560" s="34">
        <v>46574.5</v>
      </c>
      <c r="N1560" s="34">
        <f t="shared" si="49"/>
        <v>12.835820895522389</v>
      </c>
    </row>
    <row r="1561" spans="1:14" x14ac:dyDescent="0.45">
      <c r="A1561" s="30">
        <v>2023</v>
      </c>
      <c r="B1561" s="30" t="s">
        <v>16</v>
      </c>
      <c r="C1561" s="30" t="s">
        <v>46</v>
      </c>
      <c r="D1561" s="30" t="s">
        <v>47</v>
      </c>
      <c r="E1561" s="31" t="s">
        <v>56</v>
      </c>
      <c r="F1561" s="32" t="s">
        <v>57</v>
      </c>
      <c r="G1561" s="32" t="s">
        <v>50</v>
      </c>
      <c r="H1561" s="33">
        <v>38890</v>
      </c>
      <c r="I1561" s="34">
        <f>Table3[[#This Row],[Volume, kg.]]/1000</f>
        <v>38.89</v>
      </c>
      <c r="J1561" s="34">
        <v>0.24760000000000001</v>
      </c>
      <c r="K1561" s="34">
        <f t="shared" si="48"/>
        <v>9629.1640000000007</v>
      </c>
      <c r="L1561" s="34">
        <v>3.09</v>
      </c>
      <c r="M1561" s="34">
        <v>120119</v>
      </c>
      <c r="N1561" s="34">
        <f t="shared" si="49"/>
        <v>12.479806138933762</v>
      </c>
    </row>
    <row r="1562" spans="1:14" x14ac:dyDescent="0.45">
      <c r="A1562" s="30">
        <v>2023</v>
      </c>
      <c r="B1562" s="30" t="s">
        <v>16</v>
      </c>
      <c r="C1562" s="30" t="s">
        <v>46</v>
      </c>
      <c r="D1562" s="30" t="s">
        <v>47</v>
      </c>
      <c r="E1562" s="31" t="s">
        <v>496</v>
      </c>
      <c r="F1562" s="32" t="s">
        <v>49</v>
      </c>
      <c r="G1562" s="32" t="s">
        <v>50</v>
      </c>
      <c r="H1562" s="33">
        <v>3630</v>
      </c>
      <c r="I1562" s="34">
        <f>Table3[[#This Row],[Volume, kg.]]/1000</f>
        <v>3.63</v>
      </c>
      <c r="J1562" s="34">
        <v>0.2475</v>
      </c>
      <c r="K1562" s="34">
        <f t="shared" si="48"/>
        <v>898.42499999999995</v>
      </c>
      <c r="L1562" s="34">
        <v>3.15</v>
      </c>
      <c r="M1562" s="34">
        <v>11434.5</v>
      </c>
      <c r="N1562" s="34">
        <f t="shared" si="49"/>
        <v>12.727272727272727</v>
      </c>
    </row>
    <row r="1563" spans="1:14" x14ac:dyDescent="0.45">
      <c r="A1563" s="30">
        <v>2023</v>
      </c>
      <c r="B1563" s="30" t="s">
        <v>16</v>
      </c>
      <c r="C1563" s="30" t="s">
        <v>46</v>
      </c>
      <c r="D1563" s="30" t="s">
        <v>47</v>
      </c>
      <c r="E1563" s="31" t="s">
        <v>421</v>
      </c>
      <c r="F1563" s="32" t="s">
        <v>49</v>
      </c>
      <c r="G1563" s="32" t="s">
        <v>50</v>
      </c>
      <c r="H1563" s="33">
        <v>40240</v>
      </c>
      <c r="I1563" s="34">
        <f>Table3[[#This Row],[Volume, kg.]]/1000</f>
        <v>40.24</v>
      </c>
      <c r="J1563" s="34">
        <v>0.25569999999999998</v>
      </c>
      <c r="K1563" s="34">
        <f t="shared" si="48"/>
        <v>10289.367999999999</v>
      </c>
      <c r="L1563" s="34">
        <v>3.2</v>
      </c>
      <c r="M1563" s="34">
        <v>128805</v>
      </c>
      <c r="N1563" s="34">
        <f t="shared" si="49"/>
        <v>12.514665623777866</v>
      </c>
    </row>
    <row r="1564" spans="1:14" x14ac:dyDescent="0.45">
      <c r="A1564" s="30">
        <v>2023</v>
      </c>
      <c r="B1564" s="30" t="s">
        <v>16</v>
      </c>
      <c r="C1564" s="30" t="s">
        <v>46</v>
      </c>
      <c r="D1564" s="30" t="s">
        <v>47</v>
      </c>
      <c r="E1564" s="31" t="s">
        <v>59</v>
      </c>
      <c r="F1564" s="32" t="s">
        <v>60</v>
      </c>
      <c r="G1564" s="32" t="s">
        <v>50</v>
      </c>
      <c r="H1564" s="33">
        <v>8680</v>
      </c>
      <c r="I1564" s="34">
        <f>Table3[[#This Row],[Volume, kg.]]/1000</f>
        <v>8.68</v>
      </c>
      <c r="J1564" s="34">
        <v>0.214</v>
      </c>
      <c r="K1564" s="34">
        <f t="shared" si="48"/>
        <v>1857.52</v>
      </c>
      <c r="L1564" s="34">
        <v>3</v>
      </c>
      <c r="M1564" s="34">
        <v>26040</v>
      </c>
      <c r="N1564" s="34">
        <f t="shared" si="49"/>
        <v>14.018691588785048</v>
      </c>
    </row>
    <row r="1565" spans="1:14" x14ac:dyDescent="0.45">
      <c r="A1565" s="30">
        <v>2023</v>
      </c>
      <c r="B1565" s="30" t="s">
        <v>16</v>
      </c>
      <c r="C1565" s="30" t="s">
        <v>46</v>
      </c>
      <c r="D1565" s="30" t="s">
        <v>47</v>
      </c>
      <c r="E1565" s="31" t="s">
        <v>329</v>
      </c>
      <c r="F1565" s="32" t="s">
        <v>49</v>
      </c>
      <c r="G1565" s="32" t="s">
        <v>50</v>
      </c>
      <c r="H1565" s="33">
        <v>51830</v>
      </c>
      <c r="I1565" s="34">
        <f>Table3[[#This Row],[Volume, kg.]]/1000</f>
        <v>51.83</v>
      </c>
      <c r="J1565" s="34">
        <v>0.22789999999999999</v>
      </c>
      <c r="K1565" s="34">
        <f t="shared" si="48"/>
        <v>11812.056999999999</v>
      </c>
      <c r="L1565" s="34">
        <v>3.02</v>
      </c>
      <c r="M1565" s="34">
        <v>156284</v>
      </c>
      <c r="N1565" s="34">
        <f t="shared" si="49"/>
        <v>13.251426064063185</v>
      </c>
    </row>
    <row r="1566" spans="1:14" x14ac:dyDescent="0.45">
      <c r="A1566" s="30">
        <v>2023</v>
      </c>
      <c r="B1566" s="30" t="s">
        <v>16</v>
      </c>
      <c r="C1566" s="30" t="s">
        <v>46</v>
      </c>
      <c r="D1566" s="30" t="s">
        <v>47</v>
      </c>
      <c r="E1566" s="31" t="s">
        <v>65</v>
      </c>
      <c r="F1566" s="32" t="s">
        <v>49</v>
      </c>
      <c r="G1566" s="32" t="s">
        <v>50</v>
      </c>
      <c r="H1566" s="33">
        <v>219800</v>
      </c>
      <c r="I1566" s="34">
        <f>Table3[[#This Row],[Volume, kg.]]/1000</f>
        <v>219.8</v>
      </c>
      <c r="J1566" s="34">
        <v>0.23600000000000002</v>
      </c>
      <c r="K1566" s="34">
        <f t="shared" si="48"/>
        <v>51872.800000000003</v>
      </c>
      <c r="L1566" s="34">
        <v>3.03</v>
      </c>
      <c r="M1566" s="34">
        <v>665404.5</v>
      </c>
      <c r="N1566" s="34">
        <f t="shared" si="49"/>
        <v>12.838983050847457</v>
      </c>
    </row>
    <row r="1567" spans="1:14" x14ac:dyDescent="0.45">
      <c r="A1567" s="30">
        <v>2023</v>
      </c>
      <c r="B1567" s="30" t="s">
        <v>16</v>
      </c>
      <c r="C1567" s="30" t="s">
        <v>46</v>
      </c>
      <c r="D1567" s="30" t="s">
        <v>47</v>
      </c>
      <c r="E1567" s="31" t="s">
        <v>332</v>
      </c>
      <c r="F1567" s="32" t="s">
        <v>49</v>
      </c>
      <c r="G1567" s="32" t="s">
        <v>50</v>
      </c>
      <c r="H1567" s="33">
        <v>11560</v>
      </c>
      <c r="I1567" s="34">
        <f>Table3[[#This Row],[Volume, kg.]]/1000</f>
        <v>11.56</v>
      </c>
      <c r="J1567" s="34">
        <v>0.21359999999999998</v>
      </c>
      <c r="K1567" s="34">
        <f t="shared" si="48"/>
        <v>2469.2159999999999</v>
      </c>
      <c r="L1567" s="34">
        <v>2.96</v>
      </c>
      <c r="M1567" s="34">
        <v>34160.5</v>
      </c>
      <c r="N1567" s="34">
        <f t="shared" si="49"/>
        <v>13.857677902621724</v>
      </c>
    </row>
    <row r="1568" spans="1:14" x14ac:dyDescent="0.45">
      <c r="A1568" s="30">
        <v>2023</v>
      </c>
      <c r="B1568" s="30" t="s">
        <v>16</v>
      </c>
      <c r="C1568" s="30" t="s">
        <v>46</v>
      </c>
      <c r="D1568" s="30" t="s">
        <v>47</v>
      </c>
      <c r="E1568" s="31" t="s">
        <v>333</v>
      </c>
      <c r="F1568" s="32" t="s">
        <v>57</v>
      </c>
      <c r="G1568" s="32" t="s">
        <v>50</v>
      </c>
      <c r="H1568" s="33">
        <v>5490</v>
      </c>
      <c r="I1568" s="34">
        <f>Table3[[#This Row],[Volume, kg.]]/1000</f>
        <v>5.49</v>
      </c>
      <c r="J1568" s="34">
        <v>0.2525</v>
      </c>
      <c r="K1568" s="34">
        <f t="shared" si="48"/>
        <v>1386.2249999999999</v>
      </c>
      <c r="L1568" s="34">
        <v>3.15</v>
      </c>
      <c r="M1568" s="34">
        <v>17293.5</v>
      </c>
      <c r="N1568" s="34">
        <f t="shared" si="49"/>
        <v>12.475247524752476</v>
      </c>
    </row>
    <row r="1569" spans="1:14" x14ac:dyDescent="0.45">
      <c r="A1569" s="30">
        <v>2023</v>
      </c>
      <c r="B1569" s="30" t="s">
        <v>16</v>
      </c>
      <c r="C1569" s="30" t="s">
        <v>46</v>
      </c>
      <c r="D1569" s="30" t="s">
        <v>47</v>
      </c>
      <c r="E1569" s="31" t="s">
        <v>498</v>
      </c>
      <c r="F1569" s="32" t="s">
        <v>49</v>
      </c>
      <c r="G1569" s="32" t="s">
        <v>50</v>
      </c>
      <c r="H1569" s="33">
        <v>42230</v>
      </c>
      <c r="I1569" s="34">
        <f>Table3[[#This Row],[Volume, kg.]]/1000</f>
        <v>42.23</v>
      </c>
      <c r="J1569" s="34">
        <v>0.21579999999999999</v>
      </c>
      <c r="K1569" s="34">
        <f t="shared" si="48"/>
        <v>9113.2340000000004</v>
      </c>
      <c r="L1569" s="34">
        <v>2.92</v>
      </c>
      <c r="M1569" s="34">
        <v>123409</v>
      </c>
      <c r="N1569" s="34">
        <f t="shared" si="49"/>
        <v>13.531047265987025</v>
      </c>
    </row>
    <row r="1570" spans="1:14" x14ac:dyDescent="0.45">
      <c r="A1570" s="30">
        <v>2023</v>
      </c>
      <c r="B1570" s="30" t="s">
        <v>16</v>
      </c>
      <c r="C1570" s="30" t="s">
        <v>46</v>
      </c>
      <c r="D1570" s="30" t="s">
        <v>47</v>
      </c>
      <c r="E1570" s="31" t="s">
        <v>263</v>
      </c>
      <c r="F1570" s="32" t="s">
        <v>81</v>
      </c>
      <c r="G1570" s="32" t="s">
        <v>50</v>
      </c>
      <c r="H1570" s="33">
        <v>243950</v>
      </c>
      <c r="I1570" s="34">
        <f>Table3[[#This Row],[Volume, kg.]]/1000</f>
        <v>243.95</v>
      </c>
      <c r="J1570" s="34">
        <v>0.23219999999999999</v>
      </c>
      <c r="K1570" s="34">
        <f t="shared" si="48"/>
        <v>56645.189999999995</v>
      </c>
      <c r="L1570" s="34">
        <v>3</v>
      </c>
      <c r="M1570" s="34">
        <v>732923</v>
      </c>
      <c r="N1570" s="34">
        <f t="shared" si="49"/>
        <v>12.919896640826874</v>
      </c>
    </row>
    <row r="1571" spans="1:14" x14ac:dyDescent="0.45">
      <c r="A1571" s="30">
        <v>2023</v>
      </c>
      <c r="B1571" s="30" t="s">
        <v>16</v>
      </c>
      <c r="C1571" s="30" t="s">
        <v>46</v>
      </c>
      <c r="D1571" s="30" t="s">
        <v>47</v>
      </c>
      <c r="E1571" s="31" t="s">
        <v>69</v>
      </c>
      <c r="F1571" s="32" t="s">
        <v>49</v>
      </c>
      <c r="G1571" s="32" t="s">
        <v>50</v>
      </c>
      <c r="H1571" s="33">
        <v>192680</v>
      </c>
      <c r="I1571" s="34">
        <f>Table3[[#This Row],[Volume, kg.]]/1000</f>
        <v>192.68</v>
      </c>
      <c r="J1571" s="34">
        <v>0.23649999999999999</v>
      </c>
      <c r="K1571" s="34">
        <f t="shared" si="48"/>
        <v>45568.82</v>
      </c>
      <c r="L1571" s="34">
        <v>3.07</v>
      </c>
      <c r="M1571" s="34">
        <v>591236</v>
      </c>
      <c r="N1571" s="34">
        <f t="shared" si="49"/>
        <v>12.980972515856237</v>
      </c>
    </row>
    <row r="1572" spans="1:14" x14ac:dyDescent="0.45">
      <c r="A1572" s="30">
        <v>2023</v>
      </c>
      <c r="B1572" s="30" t="s">
        <v>16</v>
      </c>
      <c r="C1572" s="30" t="s">
        <v>46</v>
      </c>
      <c r="D1572" s="30" t="s">
        <v>47</v>
      </c>
      <c r="E1572" s="31" t="s">
        <v>70</v>
      </c>
      <c r="F1572" s="32" t="s">
        <v>49</v>
      </c>
      <c r="G1572" s="32" t="s">
        <v>50</v>
      </c>
      <c r="H1572" s="33">
        <v>121220</v>
      </c>
      <c r="I1572" s="34">
        <f>Table3[[#This Row],[Volume, kg.]]/1000</f>
        <v>121.22</v>
      </c>
      <c r="J1572" s="34">
        <v>0.24960000000000002</v>
      </c>
      <c r="K1572" s="34">
        <f t="shared" si="48"/>
        <v>30256.512000000002</v>
      </c>
      <c r="L1572" s="34">
        <v>3.11</v>
      </c>
      <c r="M1572" s="34">
        <v>377211</v>
      </c>
      <c r="N1572" s="34">
        <f t="shared" si="49"/>
        <v>12.459935897435896</v>
      </c>
    </row>
    <row r="1573" spans="1:14" x14ac:dyDescent="0.45">
      <c r="A1573" s="30">
        <v>2023</v>
      </c>
      <c r="B1573" s="30" t="s">
        <v>16</v>
      </c>
      <c r="C1573" s="30" t="s">
        <v>46</v>
      </c>
      <c r="D1573" s="30" t="s">
        <v>47</v>
      </c>
      <c r="E1573" s="31" t="s">
        <v>71</v>
      </c>
      <c r="F1573" s="32" t="s">
        <v>49</v>
      </c>
      <c r="G1573" s="32" t="s">
        <v>50</v>
      </c>
      <c r="H1573" s="33">
        <v>8500</v>
      </c>
      <c r="I1573" s="34">
        <f>Table3[[#This Row],[Volume, kg.]]/1000</f>
        <v>8.5</v>
      </c>
      <c r="J1573" s="34">
        <v>0.18899999999999997</v>
      </c>
      <c r="K1573" s="34">
        <f t="shared" si="48"/>
        <v>1606.4999999999998</v>
      </c>
      <c r="L1573" s="34">
        <v>2.9</v>
      </c>
      <c r="M1573" s="34">
        <v>24650</v>
      </c>
      <c r="N1573" s="34">
        <f t="shared" si="49"/>
        <v>15.343915343915345</v>
      </c>
    </row>
    <row r="1574" spans="1:14" x14ac:dyDescent="0.45">
      <c r="A1574" s="30">
        <v>2023</v>
      </c>
      <c r="B1574" s="30" t="s">
        <v>16</v>
      </c>
      <c r="C1574" s="30" t="s">
        <v>46</v>
      </c>
      <c r="D1574" s="30" t="s">
        <v>47</v>
      </c>
      <c r="E1574" s="31" t="s">
        <v>502</v>
      </c>
      <c r="F1574" s="32" t="s">
        <v>49</v>
      </c>
      <c r="G1574" s="32" t="s">
        <v>50</v>
      </c>
      <c r="H1574" s="33">
        <v>17690</v>
      </c>
      <c r="I1574" s="34">
        <f>Table3[[#This Row],[Volume, kg.]]/1000</f>
        <v>17.690000000000001</v>
      </c>
      <c r="J1574" s="34">
        <v>0.26280000000000003</v>
      </c>
      <c r="K1574" s="34">
        <f t="shared" si="48"/>
        <v>4648.9320000000007</v>
      </c>
      <c r="L1574" s="34">
        <v>3.26</v>
      </c>
      <c r="M1574" s="34">
        <v>57693</v>
      </c>
      <c r="N1574" s="34">
        <f t="shared" si="49"/>
        <v>12.404870624048703</v>
      </c>
    </row>
    <row r="1575" spans="1:14" x14ac:dyDescent="0.45">
      <c r="A1575" s="30">
        <v>2023</v>
      </c>
      <c r="B1575" s="30" t="s">
        <v>16</v>
      </c>
      <c r="C1575" s="30" t="s">
        <v>46</v>
      </c>
      <c r="D1575" s="30" t="s">
        <v>47</v>
      </c>
      <c r="E1575" s="31" t="s">
        <v>72</v>
      </c>
      <c r="F1575" s="32" t="s">
        <v>49</v>
      </c>
      <c r="G1575" s="32" t="s">
        <v>50</v>
      </c>
      <c r="H1575" s="33">
        <v>129470</v>
      </c>
      <c r="I1575" s="34">
        <f>Table3[[#This Row],[Volume, kg.]]/1000</f>
        <v>129.47</v>
      </c>
      <c r="J1575" s="34">
        <v>0.21059999999999998</v>
      </c>
      <c r="K1575" s="34">
        <f t="shared" si="48"/>
        <v>27266.381999999998</v>
      </c>
      <c r="L1575" s="34">
        <v>2.93</v>
      </c>
      <c r="M1575" s="34">
        <v>379281</v>
      </c>
      <c r="N1575" s="34">
        <f t="shared" si="49"/>
        <v>13.912630579297248</v>
      </c>
    </row>
    <row r="1576" spans="1:14" x14ac:dyDescent="0.45">
      <c r="A1576" s="30">
        <v>2023</v>
      </c>
      <c r="B1576" s="30" t="s">
        <v>16</v>
      </c>
      <c r="C1576" s="30" t="s">
        <v>46</v>
      </c>
      <c r="D1576" s="30" t="s">
        <v>47</v>
      </c>
      <c r="E1576" s="31" t="s">
        <v>74</v>
      </c>
      <c r="F1576" s="32" t="s">
        <v>49</v>
      </c>
      <c r="G1576" s="32" t="s">
        <v>50</v>
      </c>
      <c r="H1576" s="33">
        <v>6360</v>
      </c>
      <c r="I1576" s="34">
        <f>Table3[[#This Row],[Volume, kg.]]/1000</f>
        <v>6.36</v>
      </c>
      <c r="J1576" s="34">
        <v>0.19949999999999998</v>
      </c>
      <c r="K1576" s="34">
        <f t="shared" si="48"/>
        <v>1268.82</v>
      </c>
      <c r="L1576" s="34">
        <v>2.85</v>
      </c>
      <c r="M1576" s="34">
        <v>18126</v>
      </c>
      <c r="N1576" s="34">
        <f t="shared" si="49"/>
        <v>14.285714285714288</v>
      </c>
    </row>
    <row r="1577" spans="1:14" x14ac:dyDescent="0.45">
      <c r="A1577" s="30">
        <v>2023</v>
      </c>
      <c r="B1577" s="30" t="s">
        <v>16</v>
      </c>
      <c r="C1577" s="30" t="s">
        <v>46</v>
      </c>
      <c r="D1577" s="30" t="s">
        <v>47</v>
      </c>
      <c r="E1577" s="31" t="s">
        <v>423</v>
      </c>
      <c r="F1577" s="32" t="s">
        <v>49</v>
      </c>
      <c r="G1577" s="32" t="s">
        <v>50</v>
      </c>
      <c r="H1577" s="33">
        <v>11070</v>
      </c>
      <c r="I1577" s="34">
        <f>Table3[[#This Row],[Volume, kg.]]/1000</f>
        <v>11.07</v>
      </c>
      <c r="J1577" s="34">
        <v>0.25420000000000004</v>
      </c>
      <c r="K1577" s="34">
        <f t="shared" si="48"/>
        <v>2813.9940000000006</v>
      </c>
      <c r="L1577" s="34">
        <v>3.17</v>
      </c>
      <c r="M1577" s="34">
        <v>35065.5</v>
      </c>
      <c r="N1577" s="34">
        <f t="shared" si="49"/>
        <v>12.470495672698661</v>
      </c>
    </row>
    <row r="1578" spans="1:14" x14ac:dyDescent="0.45">
      <c r="A1578" s="30">
        <v>2023</v>
      </c>
      <c r="B1578" s="30" t="s">
        <v>16</v>
      </c>
      <c r="C1578" s="30" t="s">
        <v>46</v>
      </c>
      <c r="D1578" s="30" t="s">
        <v>47</v>
      </c>
      <c r="E1578" s="31" t="s">
        <v>501</v>
      </c>
      <c r="F1578" s="32" t="s">
        <v>81</v>
      </c>
      <c r="G1578" s="32" t="s">
        <v>50</v>
      </c>
      <c r="H1578" s="33">
        <v>15180</v>
      </c>
      <c r="I1578" s="34">
        <f>Table3[[#This Row],[Volume, kg.]]/1000</f>
        <v>15.18</v>
      </c>
      <c r="J1578" s="34">
        <v>0.23260000000000003</v>
      </c>
      <c r="K1578" s="34">
        <f t="shared" si="48"/>
        <v>3530.8680000000004</v>
      </c>
      <c r="L1578" s="34">
        <v>3.03</v>
      </c>
      <c r="M1578" s="34">
        <v>45999.5</v>
      </c>
      <c r="N1578" s="34">
        <f t="shared" si="49"/>
        <v>13.026655202063626</v>
      </c>
    </row>
    <row r="1579" spans="1:14" x14ac:dyDescent="0.45">
      <c r="A1579" s="30">
        <v>2023</v>
      </c>
      <c r="B1579" s="30" t="s">
        <v>16</v>
      </c>
      <c r="C1579" s="30" t="s">
        <v>46</v>
      </c>
      <c r="D1579" s="30" t="s">
        <v>47</v>
      </c>
      <c r="E1579" s="31" t="s">
        <v>335</v>
      </c>
      <c r="F1579" s="32" t="s">
        <v>54</v>
      </c>
      <c r="G1579" s="32" t="s">
        <v>50</v>
      </c>
      <c r="H1579" s="33">
        <v>21430</v>
      </c>
      <c r="I1579" s="34">
        <f>Table3[[#This Row],[Volume, kg.]]/1000</f>
        <v>21.43</v>
      </c>
      <c r="J1579" s="34">
        <v>0.223</v>
      </c>
      <c r="K1579" s="34">
        <f t="shared" si="48"/>
        <v>4778.8900000000003</v>
      </c>
      <c r="L1579" s="34">
        <v>2.95</v>
      </c>
      <c r="M1579" s="34">
        <v>63218.5</v>
      </c>
      <c r="N1579" s="34">
        <f t="shared" si="49"/>
        <v>13.228699551569507</v>
      </c>
    </row>
    <row r="1580" spans="1:14" x14ac:dyDescent="0.45">
      <c r="A1580" s="30">
        <v>2023</v>
      </c>
      <c r="B1580" s="30" t="s">
        <v>16</v>
      </c>
      <c r="C1580" s="30" t="s">
        <v>46</v>
      </c>
      <c r="D1580" s="30" t="s">
        <v>47</v>
      </c>
      <c r="E1580" s="31" t="s">
        <v>76</v>
      </c>
      <c r="F1580" s="32" t="s">
        <v>60</v>
      </c>
      <c r="G1580" s="32" t="s">
        <v>50</v>
      </c>
      <c r="H1580" s="33">
        <v>47550</v>
      </c>
      <c r="I1580" s="34">
        <f>Table3[[#This Row],[Volume, kg.]]/1000</f>
        <v>47.55</v>
      </c>
      <c r="J1580" s="34">
        <v>0.22089999999999999</v>
      </c>
      <c r="K1580" s="34">
        <f t="shared" si="48"/>
        <v>10503.795</v>
      </c>
      <c r="L1580" s="34">
        <v>2.91</v>
      </c>
      <c r="M1580" s="34">
        <v>138273</v>
      </c>
      <c r="N1580" s="34">
        <f t="shared" si="49"/>
        <v>13.173381620642827</v>
      </c>
    </row>
    <row r="1581" spans="1:14" x14ac:dyDescent="0.45">
      <c r="A1581" s="30">
        <v>2023</v>
      </c>
      <c r="B1581" s="30" t="s">
        <v>16</v>
      </c>
      <c r="C1581" s="30" t="s">
        <v>46</v>
      </c>
      <c r="D1581" s="30" t="s">
        <v>47</v>
      </c>
      <c r="E1581" s="31" t="s">
        <v>77</v>
      </c>
      <c r="F1581" s="32" t="s">
        <v>49</v>
      </c>
      <c r="G1581" s="32" t="s">
        <v>50</v>
      </c>
      <c r="H1581" s="33">
        <v>25050</v>
      </c>
      <c r="I1581" s="34">
        <f>Table3[[#This Row],[Volume, kg.]]/1000</f>
        <v>25.05</v>
      </c>
      <c r="J1581" s="34">
        <v>0.27179999999999999</v>
      </c>
      <c r="K1581" s="34">
        <f t="shared" si="48"/>
        <v>6808.5899999999992</v>
      </c>
      <c r="L1581" s="34">
        <v>3.16</v>
      </c>
      <c r="M1581" s="34">
        <v>79106.5</v>
      </c>
      <c r="N1581" s="34">
        <f t="shared" si="49"/>
        <v>11.626195732155999</v>
      </c>
    </row>
    <row r="1582" spans="1:14" x14ac:dyDescent="0.45">
      <c r="A1582" s="30">
        <v>2023</v>
      </c>
      <c r="B1582" s="30" t="s">
        <v>16</v>
      </c>
      <c r="C1582" s="30" t="s">
        <v>46</v>
      </c>
      <c r="D1582" s="30" t="s">
        <v>102</v>
      </c>
      <c r="E1582" s="31" t="s">
        <v>336</v>
      </c>
      <c r="F1582" s="32" t="s">
        <v>114</v>
      </c>
      <c r="G1582" s="32" t="s">
        <v>108</v>
      </c>
      <c r="H1582" s="33">
        <v>24180</v>
      </c>
      <c r="I1582" s="34">
        <f>Table3[[#This Row],[Volume, kg.]]/1000</f>
        <v>24.18</v>
      </c>
      <c r="J1582" s="34">
        <v>0.20800000000000002</v>
      </c>
      <c r="K1582" s="34">
        <f t="shared" si="48"/>
        <v>5029.4400000000005</v>
      </c>
      <c r="L1582" s="34">
        <v>2.95</v>
      </c>
      <c r="M1582" s="34">
        <v>71331</v>
      </c>
      <c r="N1582" s="34">
        <f t="shared" si="49"/>
        <v>14.182692307692307</v>
      </c>
    </row>
    <row r="1583" spans="1:14" x14ac:dyDescent="0.45">
      <c r="A1583" s="30">
        <v>2023</v>
      </c>
      <c r="B1583" s="30" t="s">
        <v>16</v>
      </c>
      <c r="C1583" s="30" t="s">
        <v>46</v>
      </c>
      <c r="D1583" s="30" t="s">
        <v>47</v>
      </c>
      <c r="E1583" s="31" t="s">
        <v>518</v>
      </c>
      <c r="F1583" s="32" t="s">
        <v>49</v>
      </c>
      <c r="G1583" s="32" t="s">
        <v>50</v>
      </c>
      <c r="H1583" s="33">
        <v>79240</v>
      </c>
      <c r="I1583" s="34">
        <f>Table3[[#This Row],[Volume, kg.]]/1000</f>
        <v>79.239999999999995</v>
      </c>
      <c r="J1583" s="34">
        <v>0.25969999999999999</v>
      </c>
      <c r="K1583" s="34">
        <f t="shared" si="48"/>
        <v>20578.628000000001</v>
      </c>
      <c r="L1583" s="34">
        <v>3.17</v>
      </c>
      <c r="M1583" s="34">
        <v>251264.5</v>
      </c>
      <c r="N1583" s="34">
        <f t="shared" si="49"/>
        <v>12.206391990758569</v>
      </c>
    </row>
    <row r="1584" spans="1:14" x14ac:dyDescent="0.45">
      <c r="A1584" s="30">
        <v>2023</v>
      </c>
      <c r="B1584" s="30" t="s">
        <v>16</v>
      </c>
      <c r="C1584" s="30" t="s">
        <v>46</v>
      </c>
      <c r="D1584" s="30" t="s">
        <v>47</v>
      </c>
      <c r="E1584" s="31" t="s">
        <v>80</v>
      </c>
      <c r="F1584" s="32" t="s">
        <v>81</v>
      </c>
      <c r="G1584" s="32" t="s">
        <v>50</v>
      </c>
      <c r="H1584" s="33">
        <v>31270</v>
      </c>
      <c r="I1584" s="34">
        <f>Table3[[#This Row],[Volume, kg.]]/1000</f>
        <v>31.27</v>
      </c>
      <c r="J1584" s="34">
        <v>0.18820000000000001</v>
      </c>
      <c r="K1584" s="34">
        <f t="shared" si="48"/>
        <v>5885.0140000000001</v>
      </c>
      <c r="L1584" s="34">
        <v>2.8</v>
      </c>
      <c r="M1584" s="34">
        <v>87476</v>
      </c>
      <c r="N1584" s="34">
        <f t="shared" si="49"/>
        <v>14.877789585547289</v>
      </c>
    </row>
    <row r="1585" spans="1:14" x14ac:dyDescent="0.45">
      <c r="A1585" s="30">
        <v>2023</v>
      </c>
      <c r="B1585" s="30" t="s">
        <v>16</v>
      </c>
      <c r="C1585" s="30" t="s">
        <v>46</v>
      </c>
      <c r="D1585" s="30" t="s">
        <v>47</v>
      </c>
      <c r="E1585" s="31" t="s">
        <v>267</v>
      </c>
      <c r="F1585" s="32" t="s">
        <v>57</v>
      </c>
      <c r="G1585" s="32" t="s">
        <v>50</v>
      </c>
      <c r="H1585" s="33">
        <v>9480</v>
      </c>
      <c r="I1585" s="34">
        <f>Table3[[#This Row],[Volume, kg.]]/1000</f>
        <v>9.48</v>
      </c>
      <c r="J1585" s="34">
        <v>0.24510000000000001</v>
      </c>
      <c r="K1585" s="34">
        <f t="shared" si="48"/>
        <v>2323.5480000000002</v>
      </c>
      <c r="L1585" s="34">
        <v>3.13</v>
      </c>
      <c r="M1585" s="34">
        <v>29677.5</v>
      </c>
      <c r="N1585" s="34">
        <f t="shared" si="49"/>
        <v>12.770297837617298</v>
      </c>
    </row>
    <row r="1586" spans="1:14" x14ac:dyDescent="0.45">
      <c r="A1586" s="30">
        <v>2023</v>
      </c>
      <c r="B1586" s="30" t="s">
        <v>16</v>
      </c>
      <c r="C1586" s="30" t="s">
        <v>46</v>
      </c>
      <c r="D1586" s="30" t="s">
        <v>47</v>
      </c>
      <c r="E1586" s="31" t="s">
        <v>269</v>
      </c>
      <c r="F1586" s="32" t="s">
        <v>60</v>
      </c>
      <c r="G1586" s="32" t="s">
        <v>50</v>
      </c>
      <c r="H1586" s="33">
        <v>23240</v>
      </c>
      <c r="I1586" s="34">
        <f>Table3[[#This Row],[Volume, kg.]]/1000</f>
        <v>23.24</v>
      </c>
      <c r="J1586" s="34">
        <v>0.26170000000000004</v>
      </c>
      <c r="K1586" s="34">
        <f t="shared" si="48"/>
        <v>6081.9080000000013</v>
      </c>
      <c r="L1586" s="34">
        <v>3.07</v>
      </c>
      <c r="M1586" s="34">
        <v>71435.5</v>
      </c>
      <c r="N1586" s="34">
        <f t="shared" si="49"/>
        <v>11.730989682842948</v>
      </c>
    </row>
    <row r="1587" spans="1:14" x14ac:dyDescent="0.45">
      <c r="A1587" s="30">
        <v>2023</v>
      </c>
      <c r="B1587" s="30" t="s">
        <v>16</v>
      </c>
      <c r="C1587" s="30" t="s">
        <v>46</v>
      </c>
      <c r="D1587" s="30" t="s">
        <v>47</v>
      </c>
      <c r="E1587" s="31" t="s">
        <v>86</v>
      </c>
      <c r="F1587" s="32" t="s">
        <v>49</v>
      </c>
      <c r="G1587" s="32" t="s">
        <v>50</v>
      </c>
      <c r="H1587" s="33">
        <v>236780</v>
      </c>
      <c r="I1587" s="34">
        <f>Table3[[#This Row],[Volume, kg.]]/1000</f>
        <v>236.78</v>
      </c>
      <c r="J1587" s="34">
        <v>0.23780000000000001</v>
      </c>
      <c r="K1587" s="34">
        <f t="shared" si="48"/>
        <v>56306.284</v>
      </c>
      <c r="L1587" s="34">
        <v>3.07</v>
      </c>
      <c r="M1587" s="34">
        <v>728095.5</v>
      </c>
      <c r="N1587" s="34">
        <f t="shared" si="49"/>
        <v>12.910008410428931</v>
      </c>
    </row>
    <row r="1588" spans="1:14" x14ac:dyDescent="0.45">
      <c r="A1588" s="30">
        <v>2023</v>
      </c>
      <c r="B1588" s="30" t="s">
        <v>16</v>
      </c>
      <c r="C1588" s="30" t="s">
        <v>46</v>
      </c>
      <c r="D1588" s="30" t="s">
        <v>47</v>
      </c>
      <c r="E1588" s="31" t="s">
        <v>87</v>
      </c>
      <c r="F1588" s="32" t="s">
        <v>49</v>
      </c>
      <c r="G1588" s="32" t="s">
        <v>50</v>
      </c>
      <c r="H1588" s="33">
        <v>2290</v>
      </c>
      <c r="I1588" s="34">
        <f>Table3[[#This Row],[Volume, kg.]]/1000</f>
        <v>2.29</v>
      </c>
      <c r="J1588" s="34">
        <v>0.23749999999999999</v>
      </c>
      <c r="K1588" s="34">
        <f t="shared" si="48"/>
        <v>543.875</v>
      </c>
      <c r="L1588" s="34">
        <v>2.95</v>
      </c>
      <c r="M1588" s="34">
        <v>6755.5</v>
      </c>
      <c r="N1588" s="34">
        <f t="shared" si="49"/>
        <v>12.421052631578949</v>
      </c>
    </row>
    <row r="1589" spans="1:14" x14ac:dyDescent="0.45">
      <c r="A1589" s="30">
        <v>2023</v>
      </c>
      <c r="B1589" s="30" t="s">
        <v>16</v>
      </c>
      <c r="C1589" s="30" t="s">
        <v>46</v>
      </c>
      <c r="D1589" s="30" t="s">
        <v>47</v>
      </c>
      <c r="E1589" s="31" t="s">
        <v>89</v>
      </c>
      <c r="F1589" s="32" t="s">
        <v>81</v>
      </c>
      <c r="G1589" s="32" t="s">
        <v>50</v>
      </c>
      <c r="H1589" s="33">
        <v>51960</v>
      </c>
      <c r="I1589" s="34">
        <f>Table3[[#This Row],[Volume, kg.]]/1000</f>
        <v>51.96</v>
      </c>
      <c r="J1589" s="34">
        <v>0.23499999999999999</v>
      </c>
      <c r="K1589" s="34">
        <f t="shared" si="48"/>
        <v>12210.599999999999</v>
      </c>
      <c r="L1589" s="34">
        <v>3.03</v>
      </c>
      <c r="M1589" s="34">
        <v>157405.5</v>
      </c>
      <c r="N1589" s="34">
        <f t="shared" si="49"/>
        <v>12.893617021276595</v>
      </c>
    </row>
    <row r="1590" spans="1:14" x14ac:dyDescent="0.45">
      <c r="A1590" s="30">
        <v>2023</v>
      </c>
      <c r="B1590" s="30" t="s">
        <v>16</v>
      </c>
      <c r="C1590" s="30" t="s">
        <v>46</v>
      </c>
      <c r="D1590" s="30" t="s">
        <v>47</v>
      </c>
      <c r="E1590" s="31" t="s">
        <v>90</v>
      </c>
      <c r="F1590" s="32" t="s">
        <v>49</v>
      </c>
      <c r="G1590" s="32" t="s">
        <v>50</v>
      </c>
      <c r="H1590" s="33">
        <v>106270</v>
      </c>
      <c r="I1590" s="34">
        <f>Table3[[#This Row],[Volume, kg.]]/1000</f>
        <v>106.27</v>
      </c>
      <c r="J1590" s="34">
        <v>0.25059999999999999</v>
      </c>
      <c r="K1590" s="34">
        <f t="shared" si="48"/>
        <v>26631.261999999999</v>
      </c>
      <c r="L1590" s="34">
        <v>3.13</v>
      </c>
      <c r="M1590" s="34">
        <v>332354</v>
      </c>
      <c r="N1590" s="34">
        <f t="shared" si="49"/>
        <v>12.49002394253791</v>
      </c>
    </row>
    <row r="1591" spans="1:14" x14ac:dyDescent="0.45">
      <c r="A1591" s="30">
        <v>2023</v>
      </c>
      <c r="B1591" s="30" t="s">
        <v>16</v>
      </c>
      <c r="C1591" s="30" t="s">
        <v>46</v>
      </c>
      <c r="D1591" s="30" t="s">
        <v>47</v>
      </c>
      <c r="E1591" s="31" t="s">
        <v>383</v>
      </c>
      <c r="F1591" s="32" t="s">
        <v>49</v>
      </c>
      <c r="G1591" s="32" t="s">
        <v>50</v>
      </c>
      <c r="H1591" s="33">
        <v>38950</v>
      </c>
      <c r="I1591" s="34">
        <f>Table3[[#This Row],[Volume, kg.]]/1000</f>
        <v>38.950000000000003</v>
      </c>
      <c r="J1591" s="34">
        <v>0.23129999999999998</v>
      </c>
      <c r="K1591" s="34">
        <f t="shared" si="48"/>
        <v>9009.1349999999984</v>
      </c>
      <c r="L1591" s="34">
        <v>3.06</v>
      </c>
      <c r="M1591" s="34">
        <v>119138.5</v>
      </c>
      <c r="N1591" s="34">
        <f t="shared" si="49"/>
        <v>13.229571984435799</v>
      </c>
    </row>
    <row r="1592" spans="1:14" x14ac:dyDescent="0.45">
      <c r="A1592" s="30">
        <v>2023</v>
      </c>
      <c r="B1592" s="30" t="s">
        <v>16</v>
      </c>
      <c r="C1592" s="30" t="s">
        <v>46</v>
      </c>
      <c r="D1592" s="30" t="s">
        <v>47</v>
      </c>
      <c r="E1592" s="31" t="s">
        <v>528</v>
      </c>
      <c r="F1592" s="32" t="s">
        <v>49</v>
      </c>
      <c r="G1592" s="32" t="s">
        <v>50</v>
      </c>
      <c r="H1592" s="33">
        <v>47530</v>
      </c>
      <c r="I1592" s="34">
        <f>Table3[[#This Row],[Volume, kg.]]/1000</f>
        <v>47.53</v>
      </c>
      <c r="J1592" s="34">
        <v>0.2298</v>
      </c>
      <c r="K1592" s="34">
        <f t="shared" si="48"/>
        <v>10922.394</v>
      </c>
      <c r="L1592" s="34">
        <v>3.01</v>
      </c>
      <c r="M1592" s="34">
        <v>143282.5</v>
      </c>
      <c r="N1592" s="34">
        <f t="shared" si="49"/>
        <v>13.09834638816362</v>
      </c>
    </row>
    <row r="1593" spans="1:14" x14ac:dyDescent="0.45">
      <c r="A1593" s="30">
        <v>2023</v>
      </c>
      <c r="B1593" s="30" t="s">
        <v>16</v>
      </c>
      <c r="C1593" s="30" t="s">
        <v>46</v>
      </c>
      <c r="D1593" s="30" t="s">
        <v>47</v>
      </c>
      <c r="E1593" s="31" t="s">
        <v>510</v>
      </c>
      <c r="F1593" s="32" t="s">
        <v>49</v>
      </c>
      <c r="G1593" s="32" t="s">
        <v>50</v>
      </c>
      <c r="H1593" s="33">
        <v>19870</v>
      </c>
      <c r="I1593" s="34">
        <f>Table3[[#This Row],[Volume, kg.]]/1000</f>
        <v>19.87</v>
      </c>
      <c r="J1593" s="34">
        <v>0.25429999999999997</v>
      </c>
      <c r="K1593" s="34">
        <f t="shared" si="48"/>
        <v>5052.9409999999998</v>
      </c>
      <c r="L1593" s="34">
        <v>3.23</v>
      </c>
      <c r="M1593" s="34">
        <v>64110.5</v>
      </c>
      <c r="N1593" s="34">
        <f t="shared" si="49"/>
        <v>12.701533621706647</v>
      </c>
    </row>
    <row r="1594" spans="1:14" x14ac:dyDescent="0.45">
      <c r="A1594" s="30">
        <v>2023</v>
      </c>
      <c r="B1594" s="30" t="s">
        <v>16</v>
      </c>
      <c r="C1594" s="30" t="s">
        <v>46</v>
      </c>
      <c r="D1594" s="30" t="s">
        <v>47</v>
      </c>
      <c r="E1594" s="31" t="s">
        <v>274</v>
      </c>
      <c r="F1594" s="32" t="s">
        <v>49</v>
      </c>
      <c r="G1594" s="32" t="s">
        <v>50</v>
      </c>
      <c r="H1594" s="33">
        <v>38950</v>
      </c>
      <c r="I1594" s="34">
        <f>Table3[[#This Row],[Volume, kg.]]/1000</f>
        <v>38.950000000000003</v>
      </c>
      <c r="J1594" s="34">
        <v>0.26429999999999998</v>
      </c>
      <c r="K1594" s="34">
        <f t="shared" si="48"/>
        <v>10294.484999999999</v>
      </c>
      <c r="L1594" s="34">
        <v>3.12</v>
      </c>
      <c r="M1594" s="34">
        <v>121618.5</v>
      </c>
      <c r="N1594" s="34">
        <f t="shared" si="49"/>
        <v>11.804767309875142</v>
      </c>
    </row>
    <row r="1595" spans="1:14" x14ac:dyDescent="0.45">
      <c r="A1595" s="30">
        <v>2023</v>
      </c>
      <c r="B1595" s="30" t="s">
        <v>16</v>
      </c>
      <c r="C1595" s="30" t="s">
        <v>46</v>
      </c>
      <c r="D1595" s="30" t="s">
        <v>47</v>
      </c>
      <c r="E1595" s="31" t="s">
        <v>468</v>
      </c>
      <c r="F1595" s="32" t="s">
        <v>240</v>
      </c>
      <c r="G1595" s="32" t="s">
        <v>50</v>
      </c>
      <c r="H1595" s="33">
        <v>790</v>
      </c>
      <c r="I1595" s="34">
        <f>Table3[[#This Row],[Volume, kg.]]/1000</f>
        <v>0.79</v>
      </c>
      <c r="J1595" s="34">
        <v>0.22850000000000001</v>
      </c>
      <c r="K1595" s="34">
        <f t="shared" si="48"/>
        <v>180.51500000000001</v>
      </c>
      <c r="L1595" s="34">
        <v>3.1</v>
      </c>
      <c r="M1595" s="34">
        <v>2449</v>
      </c>
      <c r="N1595" s="34">
        <f t="shared" si="49"/>
        <v>13.566739606126914</v>
      </c>
    </row>
    <row r="1596" spans="1:14" x14ac:dyDescent="0.45">
      <c r="A1596" s="30">
        <v>2023</v>
      </c>
      <c r="B1596" s="30" t="s">
        <v>16</v>
      </c>
      <c r="C1596" s="30" t="s">
        <v>46</v>
      </c>
      <c r="D1596" s="30" t="s">
        <v>47</v>
      </c>
      <c r="E1596" s="31" t="s">
        <v>275</v>
      </c>
      <c r="F1596" s="32" t="s">
        <v>54</v>
      </c>
      <c r="G1596" s="32" t="s">
        <v>50</v>
      </c>
      <c r="H1596" s="33">
        <v>19090</v>
      </c>
      <c r="I1596" s="34">
        <f>Table3[[#This Row],[Volume, kg.]]/1000</f>
        <v>19.09</v>
      </c>
      <c r="J1596" s="34">
        <v>0.25079999999999997</v>
      </c>
      <c r="K1596" s="34">
        <f t="shared" si="48"/>
        <v>4787.771999999999</v>
      </c>
      <c r="L1596" s="34">
        <v>3.12</v>
      </c>
      <c r="M1596" s="34">
        <v>59647</v>
      </c>
      <c r="N1596" s="34">
        <f t="shared" si="49"/>
        <v>12.44019138755981</v>
      </c>
    </row>
    <row r="1597" spans="1:14" x14ac:dyDescent="0.45">
      <c r="A1597" s="30">
        <v>2023</v>
      </c>
      <c r="B1597" s="30" t="s">
        <v>16</v>
      </c>
      <c r="C1597" s="30" t="s">
        <v>46</v>
      </c>
      <c r="D1597" s="30" t="s">
        <v>47</v>
      </c>
      <c r="E1597" s="31" t="s">
        <v>95</v>
      </c>
      <c r="F1597" s="32" t="s">
        <v>49</v>
      </c>
      <c r="G1597" s="32" t="s">
        <v>50</v>
      </c>
      <c r="H1597" s="33">
        <v>9840</v>
      </c>
      <c r="I1597" s="34">
        <f>Table3[[#This Row],[Volume, kg.]]/1000</f>
        <v>9.84</v>
      </c>
      <c r="J1597" s="34">
        <v>0.26479999999999998</v>
      </c>
      <c r="K1597" s="34">
        <f t="shared" si="48"/>
        <v>2605.6319999999996</v>
      </c>
      <c r="L1597" s="34">
        <v>3.2</v>
      </c>
      <c r="M1597" s="34">
        <v>31488</v>
      </c>
      <c r="N1597" s="34">
        <f t="shared" si="49"/>
        <v>12.084592145015108</v>
      </c>
    </row>
    <row r="1598" spans="1:14" x14ac:dyDescent="0.45">
      <c r="A1598" s="30">
        <v>2023</v>
      </c>
      <c r="B1598" s="30" t="s">
        <v>16</v>
      </c>
      <c r="C1598" s="30" t="s">
        <v>46</v>
      </c>
      <c r="D1598" s="30" t="s">
        <v>47</v>
      </c>
      <c r="E1598" s="31" t="s">
        <v>96</v>
      </c>
      <c r="F1598" s="32" t="s">
        <v>49</v>
      </c>
      <c r="G1598" s="32" t="s">
        <v>50</v>
      </c>
      <c r="H1598" s="33">
        <v>128190</v>
      </c>
      <c r="I1598" s="34">
        <f>Table3[[#This Row],[Volume, kg.]]/1000</f>
        <v>128.19</v>
      </c>
      <c r="J1598" s="34">
        <v>0.2382</v>
      </c>
      <c r="K1598" s="34">
        <f t="shared" si="48"/>
        <v>30534.858</v>
      </c>
      <c r="L1598" s="34">
        <v>3.05</v>
      </c>
      <c r="M1598" s="34">
        <v>390668.5</v>
      </c>
      <c r="N1598" s="34">
        <f t="shared" si="49"/>
        <v>12.804366078925272</v>
      </c>
    </row>
    <row r="1599" spans="1:14" x14ac:dyDescent="0.45">
      <c r="A1599" s="30">
        <v>2023</v>
      </c>
      <c r="B1599" s="30" t="s">
        <v>16</v>
      </c>
      <c r="C1599" s="30" t="s">
        <v>46</v>
      </c>
      <c r="D1599" s="30" t="s">
        <v>47</v>
      </c>
      <c r="E1599" s="31" t="s">
        <v>97</v>
      </c>
      <c r="F1599" s="32" t="s">
        <v>49</v>
      </c>
      <c r="G1599" s="32" t="s">
        <v>50</v>
      </c>
      <c r="H1599" s="33">
        <v>175330</v>
      </c>
      <c r="I1599" s="34">
        <f>Table3[[#This Row],[Volume, kg.]]/1000</f>
        <v>175.33</v>
      </c>
      <c r="J1599" s="34">
        <v>0.24299999999999999</v>
      </c>
      <c r="K1599" s="34">
        <f t="shared" si="48"/>
        <v>42605.19</v>
      </c>
      <c r="L1599" s="34">
        <v>3.07</v>
      </c>
      <c r="M1599" s="34">
        <v>538893</v>
      </c>
      <c r="N1599" s="34">
        <f t="shared" si="49"/>
        <v>12.633744855967079</v>
      </c>
    </row>
    <row r="1600" spans="1:14" x14ac:dyDescent="0.45">
      <c r="A1600" s="30">
        <v>2023</v>
      </c>
      <c r="B1600" s="30" t="s">
        <v>16</v>
      </c>
      <c r="C1600" s="30" t="s">
        <v>46</v>
      </c>
      <c r="D1600" s="30" t="s">
        <v>47</v>
      </c>
      <c r="E1600" s="31" t="s">
        <v>98</v>
      </c>
      <c r="F1600" s="32" t="s">
        <v>49</v>
      </c>
      <c r="G1600" s="32" t="s">
        <v>50</v>
      </c>
      <c r="H1600" s="33">
        <v>118520</v>
      </c>
      <c r="I1600" s="34">
        <f>Table3[[#This Row],[Volume, kg.]]/1000</f>
        <v>118.52</v>
      </c>
      <c r="J1600" s="34">
        <v>0.24489999999999998</v>
      </c>
      <c r="K1600" s="34">
        <f t="shared" si="48"/>
        <v>29025.547999999999</v>
      </c>
      <c r="L1600" s="34">
        <v>3.04</v>
      </c>
      <c r="M1600" s="34">
        <v>360324.5</v>
      </c>
      <c r="N1600" s="34">
        <f t="shared" si="49"/>
        <v>12.413229889750919</v>
      </c>
    </row>
    <row r="1601" spans="1:14" x14ac:dyDescent="0.45">
      <c r="A1601" s="30">
        <v>2023</v>
      </c>
      <c r="B1601" s="30" t="s">
        <v>16</v>
      </c>
      <c r="C1601" s="30" t="s">
        <v>46</v>
      </c>
      <c r="D1601" s="30" t="s">
        <v>47</v>
      </c>
      <c r="E1601" s="31" t="s">
        <v>99</v>
      </c>
      <c r="F1601" s="32" t="s">
        <v>49</v>
      </c>
      <c r="G1601" s="32" t="s">
        <v>50</v>
      </c>
      <c r="H1601" s="33">
        <v>60450</v>
      </c>
      <c r="I1601" s="34">
        <f>Table3[[#This Row],[Volume, kg.]]/1000</f>
        <v>60.45</v>
      </c>
      <c r="J1601" s="34">
        <v>0.25359999999999999</v>
      </c>
      <c r="K1601" s="34">
        <f t="shared" si="48"/>
        <v>15330.119999999999</v>
      </c>
      <c r="L1601" s="34">
        <v>3.14</v>
      </c>
      <c r="M1601" s="34">
        <v>189635.5</v>
      </c>
      <c r="N1601" s="34">
        <f t="shared" si="49"/>
        <v>12.381703470031546</v>
      </c>
    </row>
    <row r="1602" spans="1:14" x14ac:dyDescent="0.45">
      <c r="A1602" s="30">
        <v>2023</v>
      </c>
      <c r="B1602" s="30" t="s">
        <v>16</v>
      </c>
      <c r="C1602" s="30" t="s">
        <v>46</v>
      </c>
      <c r="D1602" s="30" t="s">
        <v>47</v>
      </c>
      <c r="E1602" s="31" t="s">
        <v>100</v>
      </c>
      <c r="F1602" s="32" t="s">
        <v>60</v>
      </c>
      <c r="G1602" s="32" t="s">
        <v>50</v>
      </c>
      <c r="H1602" s="33">
        <v>80530</v>
      </c>
      <c r="I1602" s="34">
        <f>Table3[[#This Row],[Volume, kg.]]/1000</f>
        <v>80.53</v>
      </c>
      <c r="J1602" s="34">
        <v>0.21829999999999999</v>
      </c>
      <c r="K1602" s="34">
        <f t="shared" si="48"/>
        <v>17579.699000000001</v>
      </c>
      <c r="L1602" s="34">
        <v>2.94</v>
      </c>
      <c r="M1602" s="34">
        <v>236803</v>
      </c>
      <c r="N1602" s="34">
        <f t="shared" si="49"/>
        <v>13.467704993128722</v>
      </c>
    </row>
    <row r="1603" spans="1:14" x14ac:dyDescent="0.45">
      <c r="A1603" s="30">
        <v>2023</v>
      </c>
      <c r="B1603" s="30" t="s">
        <v>16</v>
      </c>
      <c r="C1603" s="30" t="s">
        <v>46</v>
      </c>
      <c r="D1603" s="30" t="s">
        <v>47</v>
      </c>
      <c r="E1603" s="31" t="s">
        <v>110</v>
      </c>
      <c r="F1603" s="32" t="s">
        <v>57</v>
      </c>
      <c r="G1603" s="32" t="s">
        <v>50</v>
      </c>
      <c r="H1603" s="33">
        <v>36470</v>
      </c>
      <c r="I1603" s="34">
        <f>Table3[[#This Row],[Volume, kg.]]/1000</f>
        <v>36.47</v>
      </c>
      <c r="J1603" s="34">
        <v>0.252</v>
      </c>
      <c r="K1603" s="34">
        <f t="shared" ref="K1603:K1666" si="50">H1603*J1603</f>
        <v>9190.44</v>
      </c>
      <c r="L1603" s="34">
        <v>3.12</v>
      </c>
      <c r="M1603" s="34">
        <v>113884.5</v>
      </c>
      <c r="N1603" s="34">
        <f t="shared" si="49"/>
        <v>12.380952380952381</v>
      </c>
    </row>
    <row r="1604" spans="1:14" x14ac:dyDescent="0.45">
      <c r="A1604" s="30">
        <v>2023</v>
      </c>
      <c r="B1604" s="30" t="s">
        <v>16</v>
      </c>
      <c r="C1604" s="30" t="s">
        <v>46</v>
      </c>
      <c r="D1604" s="30" t="s">
        <v>47</v>
      </c>
      <c r="E1604" s="31" t="s">
        <v>277</v>
      </c>
      <c r="F1604" s="32" t="s">
        <v>60</v>
      </c>
      <c r="G1604" s="32" t="s">
        <v>50</v>
      </c>
      <c r="H1604" s="33">
        <v>101980</v>
      </c>
      <c r="I1604" s="34">
        <f>Table3[[#This Row],[Volume, kg.]]/1000</f>
        <v>101.98</v>
      </c>
      <c r="J1604" s="34">
        <v>0.2354</v>
      </c>
      <c r="K1604" s="34">
        <f t="shared" si="50"/>
        <v>24006.092000000001</v>
      </c>
      <c r="L1604" s="34">
        <v>3.04</v>
      </c>
      <c r="M1604" s="34">
        <v>309984.5</v>
      </c>
      <c r="N1604" s="34">
        <f t="shared" ref="N1604:N1667" si="51">L1604/J1604</f>
        <v>12.914188615123194</v>
      </c>
    </row>
    <row r="1605" spans="1:14" x14ac:dyDescent="0.45">
      <c r="A1605" s="30">
        <v>2023</v>
      </c>
      <c r="B1605" s="30" t="s">
        <v>16</v>
      </c>
      <c r="C1605" s="30" t="s">
        <v>46</v>
      </c>
      <c r="D1605" s="30" t="s">
        <v>47</v>
      </c>
      <c r="E1605" s="31" t="s">
        <v>111</v>
      </c>
      <c r="F1605" s="32" t="s">
        <v>60</v>
      </c>
      <c r="G1605" s="32" t="s">
        <v>50</v>
      </c>
      <c r="H1605" s="33">
        <v>75310</v>
      </c>
      <c r="I1605" s="34">
        <f>Table3[[#This Row],[Volume, kg.]]/1000</f>
        <v>75.31</v>
      </c>
      <c r="J1605" s="34">
        <v>0.22120000000000001</v>
      </c>
      <c r="K1605" s="34">
        <f t="shared" si="50"/>
        <v>16658.572</v>
      </c>
      <c r="L1605" s="34">
        <v>2.99</v>
      </c>
      <c r="M1605" s="34">
        <v>225413</v>
      </c>
      <c r="N1605" s="34">
        <f t="shared" si="51"/>
        <v>13.517179023508138</v>
      </c>
    </row>
    <row r="1606" spans="1:14" x14ac:dyDescent="0.45">
      <c r="A1606" s="30">
        <v>2023</v>
      </c>
      <c r="B1606" s="30" t="s">
        <v>16</v>
      </c>
      <c r="C1606" s="30" t="s">
        <v>46</v>
      </c>
      <c r="D1606" s="30" t="s">
        <v>47</v>
      </c>
      <c r="E1606" s="31" t="s">
        <v>278</v>
      </c>
      <c r="F1606" s="32" t="s">
        <v>49</v>
      </c>
      <c r="G1606" s="32" t="s">
        <v>50</v>
      </c>
      <c r="H1606" s="33">
        <v>50720</v>
      </c>
      <c r="I1606" s="34">
        <f>Table3[[#This Row],[Volume, kg.]]/1000</f>
        <v>50.72</v>
      </c>
      <c r="J1606" s="34">
        <v>0.26479999999999998</v>
      </c>
      <c r="K1606" s="34">
        <f t="shared" si="50"/>
        <v>13430.655999999999</v>
      </c>
      <c r="L1606" s="34">
        <v>3.22</v>
      </c>
      <c r="M1606" s="34">
        <v>163513</v>
      </c>
      <c r="N1606" s="34">
        <f t="shared" si="51"/>
        <v>12.160120845921451</v>
      </c>
    </row>
    <row r="1607" spans="1:14" x14ac:dyDescent="0.45">
      <c r="A1607" s="30">
        <v>2023</v>
      </c>
      <c r="B1607" s="30" t="s">
        <v>16</v>
      </c>
      <c r="C1607" s="30" t="s">
        <v>46</v>
      </c>
      <c r="D1607" s="30" t="s">
        <v>47</v>
      </c>
      <c r="E1607" s="31" t="s">
        <v>431</v>
      </c>
      <c r="F1607" s="32" t="s">
        <v>49</v>
      </c>
      <c r="G1607" s="32" t="s">
        <v>50</v>
      </c>
      <c r="H1607" s="33">
        <v>33470</v>
      </c>
      <c r="I1607" s="34">
        <f>Table3[[#This Row],[Volume, kg.]]/1000</f>
        <v>33.47</v>
      </c>
      <c r="J1607" s="34">
        <v>0.23670000000000002</v>
      </c>
      <c r="K1607" s="34">
        <f t="shared" si="50"/>
        <v>7922.3490000000011</v>
      </c>
      <c r="L1607" s="34">
        <v>2.99</v>
      </c>
      <c r="M1607" s="34">
        <v>100184</v>
      </c>
      <c r="N1607" s="34">
        <f t="shared" si="51"/>
        <v>12.632023658639628</v>
      </c>
    </row>
    <row r="1608" spans="1:14" x14ac:dyDescent="0.45">
      <c r="A1608" s="30">
        <v>2023</v>
      </c>
      <c r="B1608" s="30" t="s">
        <v>16</v>
      </c>
      <c r="C1608" s="30" t="s">
        <v>46</v>
      </c>
      <c r="D1608" s="30" t="s">
        <v>102</v>
      </c>
      <c r="E1608" s="31" t="s">
        <v>117</v>
      </c>
      <c r="F1608" s="32" t="s">
        <v>118</v>
      </c>
      <c r="G1608" s="32" t="s">
        <v>119</v>
      </c>
      <c r="H1608" s="33">
        <v>27400</v>
      </c>
      <c r="I1608" s="34">
        <f>Table3[[#This Row],[Volume, kg.]]/1000</f>
        <v>27.4</v>
      </c>
      <c r="J1608" s="34">
        <v>0.2235</v>
      </c>
      <c r="K1608" s="34">
        <f t="shared" si="50"/>
        <v>6123.9000000000005</v>
      </c>
      <c r="L1608" s="34">
        <v>3.05</v>
      </c>
      <c r="M1608" s="34">
        <v>83570</v>
      </c>
      <c r="N1608" s="34">
        <f t="shared" si="51"/>
        <v>13.646532438478745</v>
      </c>
    </row>
    <row r="1609" spans="1:14" x14ac:dyDescent="0.45">
      <c r="A1609" s="30">
        <v>2023</v>
      </c>
      <c r="B1609" s="30" t="s">
        <v>16</v>
      </c>
      <c r="C1609" s="30" t="s">
        <v>46</v>
      </c>
      <c r="D1609" s="30" t="s">
        <v>47</v>
      </c>
      <c r="E1609" s="31" t="s">
        <v>120</v>
      </c>
      <c r="F1609" s="32" t="s">
        <v>49</v>
      </c>
      <c r="G1609" s="32" t="s">
        <v>50</v>
      </c>
      <c r="H1609" s="33">
        <v>33940</v>
      </c>
      <c r="I1609" s="34">
        <f>Table3[[#This Row],[Volume, kg.]]/1000</f>
        <v>33.94</v>
      </c>
      <c r="J1609" s="34">
        <v>0.21280000000000002</v>
      </c>
      <c r="K1609" s="34">
        <f t="shared" si="50"/>
        <v>7222.4320000000007</v>
      </c>
      <c r="L1609" s="34">
        <v>2.95</v>
      </c>
      <c r="M1609" s="34">
        <v>100142</v>
      </c>
      <c r="N1609" s="34">
        <f t="shared" si="51"/>
        <v>13.862781954887218</v>
      </c>
    </row>
    <row r="1610" spans="1:14" x14ac:dyDescent="0.45">
      <c r="A1610" s="30">
        <v>2023</v>
      </c>
      <c r="B1610" s="30" t="s">
        <v>16</v>
      </c>
      <c r="C1610" s="30" t="s">
        <v>46</v>
      </c>
      <c r="D1610" s="30" t="s">
        <v>47</v>
      </c>
      <c r="E1610" s="31" t="s">
        <v>121</v>
      </c>
      <c r="F1610" s="32" t="s">
        <v>60</v>
      </c>
      <c r="G1610" s="32" t="s">
        <v>50</v>
      </c>
      <c r="H1610" s="33">
        <v>12140</v>
      </c>
      <c r="I1610" s="34">
        <f>Table3[[#This Row],[Volume, kg.]]/1000</f>
        <v>12.14</v>
      </c>
      <c r="J1610" s="34">
        <v>0.2505</v>
      </c>
      <c r="K1610" s="34">
        <f t="shared" si="50"/>
        <v>3041.07</v>
      </c>
      <c r="L1610" s="34">
        <v>3.1</v>
      </c>
      <c r="M1610" s="34">
        <v>37634</v>
      </c>
      <c r="N1610" s="34">
        <f t="shared" si="51"/>
        <v>12.375249500998004</v>
      </c>
    </row>
    <row r="1611" spans="1:14" x14ac:dyDescent="0.45">
      <c r="A1611" s="30">
        <v>2023</v>
      </c>
      <c r="B1611" s="30" t="s">
        <v>16</v>
      </c>
      <c r="C1611" s="30" t="s">
        <v>46</v>
      </c>
      <c r="D1611" s="30" t="s">
        <v>47</v>
      </c>
      <c r="E1611" s="31" t="s">
        <v>123</v>
      </c>
      <c r="F1611" s="32" t="s">
        <v>49</v>
      </c>
      <c r="G1611" s="32" t="s">
        <v>50</v>
      </c>
      <c r="H1611" s="33">
        <v>17370</v>
      </c>
      <c r="I1611" s="34">
        <f>Table3[[#This Row],[Volume, kg.]]/1000</f>
        <v>17.37</v>
      </c>
      <c r="J1611" s="34">
        <v>0.249</v>
      </c>
      <c r="K1611" s="34">
        <f t="shared" si="50"/>
        <v>4325.13</v>
      </c>
      <c r="L1611" s="34">
        <v>3.15</v>
      </c>
      <c r="M1611" s="34">
        <v>54715.5</v>
      </c>
      <c r="N1611" s="34">
        <f t="shared" si="51"/>
        <v>12.650602409638553</v>
      </c>
    </row>
    <row r="1612" spans="1:14" x14ac:dyDescent="0.45">
      <c r="A1612" s="30">
        <v>2023</v>
      </c>
      <c r="B1612" s="30" t="s">
        <v>16</v>
      </c>
      <c r="C1612" s="30" t="s">
        <v>46</v>
      </c>
      <c r="D1612" s="30" t="s">
        <v>47</v>
      </c>
      <c r="E1612" s="31" t="s">
        <v>125</v>
      </c>
      <c r="F1612" s="32" t="s">
        <v>60</v>
      </c>
      <c r="G1612" s="32" t="s">
        <v>50</v>
      </c>
      <c r="H1612" s="33">
        <v>161600</v>
      </c>
      <c r="I1612" s="34">
        <f>Table3[[#This Row],[Volume, kg.]]/1000</f>
        <v>161.6</v>
      </c>
      <c r="J1612" s="34">
        <v>0.2576</v>
      </c>
      <c r="K1612" s="34">
        <f t="shared" si="50"/>
        <v>41628.159999999996</v>
      </c>
      <c r="L1612" s="34">
        <v>3.16</v>
      </c>
      <c r="M1612" s="34">
        <v>509921</v>
      </c>
      <c r="N1612" s="34">
        <f t="shared" si="51"/>
        <v>12.267080745341616</v>
      </c>
    </row>
    <row r="1613" spans="1:14" x14ac:dyDescent="0.45">
      <c r="A1613" s="30">
        <v>2023</v>
      </c>
      <c r="B1613" s="30" t="s">
        <v>16</v>
      </c>
      <c r="C1613" s="30" t="s">
        <v>46</v>
      </c>
      <c r="D1613" s="30" t="s">
        <v>102</v>
      </c>
      <c r="E1613" s="31" t="s">
        <v>126</v>
      </c>
      <c r="F1613" s="32" t="s">
        <v>127</v>
      </c>
      <c r="G1613" s="32" t="s">
        <v>128</v>
      </c>
      <c r="H1613" s="33">
        <v>109510</v>
      </c>
      <c r="I1613" s="34">
        <f>Table3[[#This Row],[Volume, kg.]]/1000</f>
        <v>109.51</v>
      </c>
      <c r="J1613" s="34">
        <v>0.21340000000000001</v>
      </c>
      <c r="K1613" s="34">
        <f t="shared" si="50"/>
        <v>23369.434000000001</v>
      </c>
      <c r="L1613" s="34">
        <v>3.06</v>
      </c>
      <c r="M1613" s="34">
        <v>335313</v>
      </c>
      <c r="N1613" s="34">
        <f t="shared" si="51"/>
        <v>14.339268978444236</v>
      </c>
    </row>
    <row r="1614" spans="1:14" x14ac:dyDescent="0.45">
      <c r="A1614" s="30">
        <v>2023</v>
      </c>
      <c r="B1614" s="30" t="s">
        <v>16</v>
      </c>
      <c r="C1614" s="30" t="s">
        <v>46</v>
      </c>
      <c r="D1614" s="30" t="s">
        <v>47</v>
      </c>
      <c r="E1614" s="31" t="s">
        <v>346</v>
      </c>
      <c r="F1614" s="32" t="s">
        <v>49</v>
      </c>
      <c r="G1614" s="32" t="s">
        <v>50</v>
      </c>
      <c r="H1614" s="33">
        <v>51380</v>
      </c>
      <c r="I1614" s="34">
        <f>Table3[[#This Row],[Volume, kg.]]/1000</f>
        <v>51.38</v>
      </c>
      <c r="J1614" s="34">
        <v>0.20860000000000001</v>
      </c>
      <c r="K1614" s="34">
        <f t="shared" si="50"/>
        <v>10717.868</v>
      </c>
      <c r="L1614" s="34">
        <v>2.81</v>
      </c>
      <c r="M1614" s="34">
        <v>144369</v>
      </c>
      <c r="N1614" s="34">
        <f t="shared" si="51"/>
        <v>13.470757430488973</v>
      </c>
    </row>
    <row r="1615" spans="1:14" x14ac:dyDescent="0.45">
      <c r="A1615" s="30">
        <v>2023</v>
      </c>
      <c r="B1615" s="30" t="s">
        <v>16</v>
      </c>
      <c r="C1615" s="30" t="s">
        <v>46</v>
      </c>
      <c r="D1615" s="30" t="s">
        <v>47</v>
      </c>
      <c r="E1615" s="31" t="s">
        <v>129</v>
      </c>
      <c r="F1615" s="32" t="s">
        <v>57</v>
      </c>
      <c r="G1615" s="32" t="s">
        <v>50</v>
      </c>
      <c r="H1615" s="33">
        <v>19600</v>
      </c>
      <c r="I1615" s="34">
        <f>Table3[[#This Row],[Volume, kg.]]/1000</f>
        <v>19.600000000000001</v>
      </c>
      <c r="J1615" s="34">
        <v>0.22020000000000001</v>
      </c>
      <c r="K1615" s="34">
        <f t="shared" si="50"/>
        <v>4315.92</v>
      </c>
      <c r="L1615" s="34">
        <v>2.94</v>
      </c>
      <c r="M1615" s="34">
        <v>57546.5</v>
      </c>
      <c r="N1615" s="34">
        <f t="shared" si="51"/>
        <v>13.351498637602178</v>
      </c>
    </row>
    <row r="1616" spans="1:14" x14ac:dyDescent="0.45">
      <c r="A1616" s="30">
        <v>2023</v>
      </c>
      <c r="B1616" s="30" t="s">
        <v>16</v>
      </c>
      <c r="C1616" s="30" t="s">
        <v>46</v>
      </c>
      <c r="D1616" s="30" t="s">
        <v>47</v>
      </c>
      <c r="E1616" s="31" t="s">
        <v>133</v>
      </c>
      <c r="F1616" s="32" t="s">
        <v>134</v>
      </c>
      <c r="G1616" s="32" t="s">
        <v>50</v>
      </c>
      <c r="H1616" s="33">
        <v>62360</v>
      </c>
      <c r="I1616" s="34">
        <f>Table3[[#This Row],[Volume, kg.]]/1000</f>
        <v>62.36</v>
      </c>
      <c r="J1616" s="34">
        <v>0.22420000000000001</v>
      </c>
      <c r="K1616" s="34">
        <f t="shared" si="50"/>
        <v>13981.112000000001</v>
      </c>
      <c r="L1616" s="34">
        <v>2.99</v>
      </c>
      <c r="M1616" s="34">
        <v>186466</v>
      </c>
      <c r="N1616" s="34">
        <f t="shared" si="51"/>
        <v>13.336306868867084</v>
      </c>
    </row>
    <row r="1617" spans="1:14" x14ac:dyDescent="0.45">
      <c r="A1617" s="30">
        <v>2023</v>
      </c>
      <c r="B1617" s="30" t="s">
        <v>16</v>
      </c>
      <c r="C1617" s="30" t="s">
        <v>46</v>
      </c>
      <c r="D1617" s="30" t="s">
        <v>47</v>
      </c>
      <c r="E1617" s="31" t="s">
        <v>280</v>
      </c>
      <c r="F1617" s="32" t="s">
        <v>281</v>
      </c>
      <c r="G1617" s="32" t="s">
        <v>50</v>
      </c>
      <c r="H1617" s="33">
        <v>27430</v>
      </c>
      <c r="I1617" s="34">
        <f>Table3[[#This Row],[Volume, kg.]]/1000</f>
        <v>27.43</v>
      </c>
      <c r="J1617" s="34">
        <v>0.23829999999999998</v>
      </c>
      <c r="K1617" s="34">
        <f t="shared" si="50"/>
        <v>6536.5689999999995</v>
      </c>
      <c r="L1617" s="34">
        <v>3.01</v>
      </c>
      <c r="M1617" s="34">
        <v>82646</v>
      </c>
      <c r="N1617" s="34">
        <f t="shared" si="51"/>
        <v>12.631137221989089</v>
      </c>
    </row>
    <row r="1618" spans="1:14" x14ac:dyDescent="0.45">
      <c r="A1618" s="30">
        <v>2023</v>
      </c>
      <c r="B1618" s="30" t="s">
        <v>16</v>
      </c>
      <c r="C1618" s="30" t="s">
        <v>46</v>
      </c>
      <c r="D1618" s="30" t="s">
        <v>47</v>
      </c>
      <c r="E1618" s="31" t="s">
        <v>135</v>
      </c>
      <c r="F1618" s="32" t="s">
        <v>49</v>
      </c>
      <c r="G1618" s="32" t="s">
        <v>50</v>
      </c>
      <c r="H1618" s="33">
        <v>32610</v>
      </c>
      <c r="I1618" s="34">
        <f>Table3[[#This Row],[Volume, kg.]]/1000</f>
        <v>32.61</v>
      </c>
      <c r="J1618" s="34">
        <v>0.22210000000000002</v>
      </c>
      <c r="K1618" s="34">
        <f t="shared" si="50"/>
        <v>7242.6810000000005</v>
      </c>
      <c r="L1618" s="34">
        <v>3</v>
      </c>
      <c r="M1618" s="34">
        <v>97754.5</v>
      </c>
      <c r="N1618" s="34">
        <f t="shared" si="51"/>
        <v>13.507429085997297</v>
      </c>
    </row>
    <row r="1619" spans="1:14" x14ac:dyDescent="0.45">
      <c r="A1619" s="30">
        <v>2023</v>
      </c>
      <c r="B1619" s="30" t="s">
        <v>16</v>
      </c>
      <c r="C1619" s="30" t="s">
        <v>46</v>
      </c>
      <c r="D1619" s="30" t="s">
        <v>47</v>
      </c>
      <c r="E1619" s="31" t="s">
        <v>282</v>
      </c>
      <c r="F1619" s="32" t="s">
        <v>49</v>
      </c>
      <c r="G1619" s="32" t="s">
        <v>50</v>
      </c>
      <c r="H1619" s="33">
        <v>10200</v>
      </c>
      <c r="I1619" s="34">
        <f>Table3[[#This Row],[Volume, kg.]]/1000</f>
        <v>10.199999999999999</v>
      </c>
      <c r="J1619" s="34">
        <v>0.251</v>
      </c>
      <c r="K1619" s="34">
        <f t="shared" si="50"/>
        <v>2560.1999999999998</v>
      </c>
      <c r="L1619" s="34">
        <v>3</v>
      </c>
      <c r="M1619" s="34">
        <v>30600</v>
      </c>
      <c r="N1619" s="34">
        <f t="shared" si="51"/>
        <v>11.952191235059761</v>
      </c>
    </row>
    <row r="1620" spans="1:14" x14ac:dyDescent="0.45">
      <c r="A1620" s="30">
        <v>2023</v>
      </c>
      <c r="B1620" s="30" t="s">
        <v>16</v>
      </c>
      <c r="C1620" s="30" t="s">
        <v>46</v>
      </c>
      <c r="D1620" s="30" t="s">
        <v>47</v>
      </c>
      <c r="E1620" s="31" t="s">
        <v>136</v>
      </c>
      <c r="F1620" s="32" t="s">
        <v>49</v>
      </c>
      <c r="G1620" s="32" t="s">
        <v>50</v>
      </c>
      <c r="H1620" s="33">
        <v>124290</v>
      </c>
      <c r="I1620" s="34">
        <f>Table3[[#This Row],[Volume, kg.]]/1000</f>
        <v>124.29</v>
      </c>
      <c r="J1620" s="34">
        <v>0.2296</v>
      </c>
      <c r="K1620" s="34">
        <f t="shared" si="50"/>
        <v>28536.984</v>
      </c>
      <c r="L1620" s="34">
        <v>3.01</v>
      </c>
      <c r="M1620" s="34">
        <v>374034.5</v>
      </c>
      <c r="N1620" s="34">
        <f t="shared" si="51"/>
        <v>13.109756097560975</v>
      </c>
    </row>
    <row r="1621" spans="1:14" x14ac:dyDescent="0.45">
      <c r="A1621" s="30">
        <v>2023</v>
      </c>
      <c r="B1621" s="30" t="s">
        <v>16</v>
      </c>
      <c r="C1621" s="30" t="s">
        <v>46</v>
      </c>
      <c r="D1621" s="30" t="s">
        <v>47</v>
      </c>
      <c r="E1621" s="31" t="s">
        <v>395</v>
      </c>
      <c r="F1621" s="32" t="s">
        <v>81</v>
      </c>
      <c r="G1621" s="32" t="s">
        <v>50</v>
      </c>
      <c r="H1621" s="33">
        <v>45700</v>
      </c>
      <c r="I1621" s="34">
        <f>Table3[[#This Row],[Volume, kg.]]/1000</f>
        <v>45.7</v>
      </c>
      <c r="J1621" s="34">
        <v>0.22059999999999999</v>
      </c>
      <c r="K1621" s="34">
        <f t="shared" si="50"/>
        <v>10081.42</v>
      </c>
      <c r="L1621" s="34">
        <v>2.99</v>
      </c>
      <c r="M1621" s="34">
        <v>136470.5</v>
      </c>
      <c r="N1621" s="34">
        <f t="shared" si="51"/>
        <v>13.553943789664553</v>
      </c>
    </row>
    <row r="1622" spans="1:14" x14ac:dyDescent="0.45">
      <c r="A1622" s="30">
        <v>2023</v>
      </c>
      <c r="B1622" s="30" t="s">
        <v>16</v>
      </c>
      <c r="C1622" s="30" t="s">
        <v>46</v>
      </c>
      <c r="D1622" s="30" t="s">
        <v>47</v>
      </c>
      <c r="E1622" s="31" t="s">
        <v>529</v>
      </c>
      <c r="F1622" s="32" t="s">
        <v>49</v>
      </c>
      <c r="G1622" s="32" t="s">
        <v>50</v>
      </c>
      <c r="H1622" s="33">
        <v>7000</v>
      </c>
      <c r="I1622" s="34">
        <f>Table3[[#This Row],[Volume, kg.]]/1000</f>
        <v>7</v>
      </c>
      <c r="J1622" s="34">
        <v>0.27149999999999996</v>
      </c>
      <c r="K1622" s="34">
        <f t="shared" si="50"/>
        <v>1900.4999999999998</v>
      </c>
      <c r="L1622" s="34">
        <v>3.1</v>
      </c>
      <c r="M1622" s="34">
        <v>21700</v>
      </c>
      <c r="N1622" s="34">
        <f t="shared" si="51"/>
        <v>11.418047882136282</v>
      </c>
    </row>
    <row r="1623" spans="1:14" x14ac:dyDescent="0.45">
      <c r="A1623" s="30">
        <v>2023</v>
      </c>
      <c r="B1623" s="30" t="s">
        <v>16</v>
      </c>
      <c r="C1623" s="30" t="s">
        <v>46</v>
      </c>
      <c r="D1623" s="30" t="s">
        <v>47</v>
      </c>
      <c r="E1623" s="31" t="s">
        <v>506</v>
      </c>
      <c r="F1623" s="32" t="s">
        <v>57</v>
      </c>
      <c r="G1623" s="32" t="s">
        <v>50</v>
      </c>
      <c r="H1623" s="33">
        <v>36830</v>
      </c>
      <c r="I1623" s="34">
        <f>Table3[[#This Row],[Volume, kg.]]/1000</f>
        <v>36.83</v>
      </c>
      <c r="J1623" s="34">
        <v>0.23370000000000002</v>
      </c>
      <c r="K1623" s="34">
        <f t="shared" si="50"/>
        <v>8607.1710000000003</v>
      </c>
      <c r="L1623" s="34">
        <v>3.07</v>
      </c>
      <c r="M1623" s="34">
        <v>112997</v>
      </c>
      <c r="N1623" s="34">
        <f t="shared" si="51"/>
        <v>13.136499786050491</v>
      </c>
    </row>
    <row r="1624" spans="1:14" x14ac:dyDescent="0.45">
      <c r="A1624" s="30">
        <v>2023</v>
      </c>
      <c r="B1624" s="30" t="s">
        <v>16</v>
      </c>
      <c r="C1624" s="30" t="s">
        <v>46</v>
      </c>
      <c r="D1624" s="30" t="s">
        <v>47</v>
      </c>
      <c r="E1624" s="31" t="s">
        <v>283</v>
      </c>
      <c r="F1624" s="32" t="s">
        <v>49</v>
      </c>
      <c r="G1624" s="32" t="s">
        <v>50</v>
      </c>
      <c r="H1624" s="33">
        <v>10060</v>
      </c>
      <c r="I1624" s="34">
        <f>Table3[[#This Row],[Volume, kg.]]/1000</f>
        <v>10.06</v>
      </c>
      <c r="J1624" s="34">
        <v>0.221</v>
      </c>
      <c r="K1624" s="34">
        <f t="shared" si="50"/>
        <v>2223.2600000000002</v>
      </c>
      <c r="L1624" s="34">
        <v>2.85</v>
      </c>
      <c r="M1624" s="34">
        <v>28671</v>
      </c>
      <c r="N1624" s="34">
        <f t="shared" si="51"/>
        <v>12.895927601809955</v>
      </c>
    </row>
    <row r="1625" spans="1:14" x14ac:dyDescent="0.45">
      <c r="A1625" s="30">
        <v>2023</v>
      </c>
      <c r="B1625" s="30" t="s">
        <v>16</v>
      </c>
      <c r="C1625" s="30" t="s">
        <v>46</v>
      </c>
      <c r="D1625" s="30" t="s">
        <v>47</v>
      </c>
      <c r="E1625" s="31" t="s">
        <v>480</v>
      </c>
      <c r="F1625" s="32" t="s">
        <v>49</v>
      </c>
      <c r="G1625" s="32" t="s">
        <v>50</v>
      </c>
      <c r="H1625" s="33">
        <v>8680</v>
      </c>
      <c r="I1625" s="34">
        <f>Table3[[#This Row],[Volume, kg.]]/1000</f>
        <v>8.68</v>
      </c>
      <c r="J1625" s="34">
        <v>0.217</v>
      </c>
      <c r="K1625" s="34">
        <f t="shared" si="50"/>
        <v>1883.56</v>
      </c>
      <c r="L1625" s="34">
        <v>3</v>
      </c>
      <c r="M1625" s="34">
        <v>26040</v>
      </c>
      <c r="N1625" s="34">
        <f t="shared" si="51"/>
        <v>13.824884792626728</v>
      </c>
    </row>
    <row r="1626" spans="1:14" x14ac:dyDescent="0.45">
      <c r="A1626" s="30">
        <v>2023</v>
      </c>
      <c r="B1626" s="30" t="s">
        <v>16</v>
      </c>
      <c r="C1626" s="30" t="s">
        <v>46</v>
      </c>
      <c r="D1626" s="30" t="s">
        <v>47</v>
      </c>
      <c r="E1626" s="31" t="s">
        <v>137</v>
      </c>
      <c r="F1626" s="32" t="s">
        <v>49</v>
      </c>
      <c r="G1626" s="32" t="s">
        <v>50</v>
      </c>
      <c r="H1626" s="33">
        <v>11910</v>
      </c>
      <c r="I1626" s="34">
        <f>Table3[[#This Row],[Volume, kg.]]/1000</f>
        <v>11.91</v>
      </c>
      <c r="J1626" s="34">
        <v>0.255</v>
      </c>
      <c r="K1626" s="34">
        <f t="shared" si="50"/>
        <v>3037.05</v>
      </c>
      <c r="L1626" s="34">
        <v>3.2</v>
      </c>
      <c r="M1626" s="34">
        <v>38112</v>
      </c>
      <c r="N1626" s="34">
        <f t="shared" si="51"/>
        <v>12.549019607843137</v>
      </c>
    </row>
    <row r="1627" spans="1:14" x14ac:dyDescent="0.45">
      <c r="A1627" s="30">
        <v>2023</v>
      </c>
      <c r="B1627" s="30" t="s">
        <v>16</v>
      </c>
      <c r="C1627" s="30" t="s">
        <v>46</v>
      </c>
      <c r="D1627" s="30" t="s">
        <v>47</v>
      </c>
      <c r="E1627" s="31" t="s">
        <v>517</v>
      </c>
      <c r="F1627" s="32" t="s">
        <v>57</v>
      </c>
      <c r="G1627" s="32" t="s">
        <v>50</v>
      </c>
      <c r="H1627" s="33">
        <v>86810</v>
      </c>
      <c r="I1627" s="34">
        <f>Table3[[#This Row],[Volume, kg.]]/1000</f>
        <v>86.81</v>
      </c>
      <c r="J1627" s="34">
        <v>0.24960000000000002</v>
      </c>
      <c r="K1627" s="34">
        <f t="shared" si="50"/>
        <v>21667.776000000002</v>
      </c>
      <c r="L1627" s="34">
        <v>3.12</v>
      </c>
      <c r="M1627" s="34">
        <v>270864.5</v>
      </c>
      <c r="N1627" s="34">
        <f t="shared" si="51"/>
        <v>12.5</v>
      </c>
    </row>
    <row r="1628" spans="1:14" x14ac:dyDescent="0.45">
      <c r="A1628" s="30">
        <v>2023</v>
      </c>
      <c r="B1628" s="30" t="s">
        <v>16</v>
      </c>
      <c r="C1628" s="30" t="s">
        <v>46</v>
      </c>
      <c r="D1628" s="30" t="s">
        <v>47</v>
      </c>
      <c r="E1628" s="31" t="s">
        <v>287</v>
      </c>
      <c r="F1628" s="32" t="s">
        <v>60</v>
      </c>
      <c r="G1628" s="32" t="s">
        <v>50</v>
      </c>
      <c r="H1628" s="33">
        <v>106060</v>
      </c>
      <c r="I1628" s="34">
        <f>Table3[[#This Row],[Volume, kg.]]/1000</f>
        <v>106.06</v>
      </c>
      <c r="J1628" s="34">
        <v>0.26489999999999997</v>
      </c>
      <c r="K1628" s="34">
        <f t="shared" si="50"/>
        <v>28095.293999999998</v>
      </c>
      <c r="L1628" s="34">
        <v>3.22</v>
      </c>
      <c r="M1628" s="34">
        <v>341592</v>
      </c>
      <c r="N1628" s="34">
        <f t="shared" si="51"/>
        <v>12.155530388825975</v>
      </c>
    </row>
    <row r="1629" spans="1:14" x14ac:dyDescent="0.45">
      <c r="A1629" s="30">
        <v>2023</v>
      </c>
      <c r="B1629" s="30" t="s">
        <v>16</v>
      </c>
      <c r="C1629" s="30" t="s">
        <v>46</v>
      </c>
      <c r="D1629" s="30" t="s">
        <v>47</v>
      </c>
      <c r="E1629" s="31" t="s">
        <v>390</v>
      </c>
      <c r="F1629" s="32" t="s">
        <v>60</v>
      </c>
      <c r="G1629" s="32" t="s">
        <v>50</v>
      </c>
      <c r="H1629" s="33">
        <v>83070</v>
      </c>
      <c r="I1629" s="34">
        <f>Table3[[#This Row],[Volume, kg.]]/1000</f>
        <v>83.07</v>
      </c>
      <c r="J1629" s="34">
        <v>0.20749999999999999</v>
      </c>
      <c r="K1629" s="34">
        <f t="shared" si="50"/>
        <v>17237.024999999998</v>
      </c>
      <c r="L1629" s="34">
        <v>2.92</v>
      </c>
      <c r="M1629" s="34">
        <v>242237</v>
      </c>
      <c r="N1629" s="34">
        <f t="shared" si="51"/>
        <v>14.072289156626507</v>
      </c>
    </row>
    <row r="1630" spans="1:14" x14ac:dyDescent="0.45">
      <c r="A1630" s="30">
        <v>2023</v>
      </c>
      <c r="B1630" s="30" t="s">
        <v>16</v>
      </c>
      <c r="C1630" s="30" t="s">
        <v>46</v>
      </c>
      <c r="D1630" s="30" t="s">
        <v>47</v>
      </c>
      <c r="E1630" s="31" t="s">
        <v>288</v>
      </c>
      <c r="F1630" s="32" t="s">
        <v>49</v>
      </c>
      <c r="G1630" s="32" t="s">
        <v>50</v>
      </c>
      <c r="H1630" s="33">
        <v>77620</v>
      </c>
      <c r="I1630" s="34">
        <f>Table3[[#This Row],[Volume, kg.]]/1000</f>
        <v>77.62</v>
      </c>
      <c r="J1630" s="34">
        <v>0.23739999999999997</v>
      </c>
      <c r="K1630" s="34">
        <f t="shared" si="50"/>
        <v>18426.987999999998</v>
      </c>
      <c r="L1630" s="34">
        <v>3.06</v>
      </c>
      <c r="M1630" s="34">
        <v>237790.5</v>
      </c>
      <c r="N1630" s="34">
        <f t="shared" si="51"/>
        <v>12.889637742207247</v>
      </c>
    </row>
    <row r="1631" spans="1:14" x14ac:dyDescent="0.45">
      <c r="A1631" s="30">
        <v>2023</v>
      </c>
      <c r="B1631" s="30" t="s">
        <v>16</v>
      </c>
      <c r="C1631" s="30" t="s">
        <v>46</v>
      </c>
      <c r="D1631" s="30" t="s">
        <v>47</v>
      </c>
      <c r="E1631" s="31" t="s">
        <v>350</v>
      </c>
      <c r="F1631" s="32" t="s">
        <v>49</v>
      </c>
      <c r="G1631" s="32" t="s">
        <v>50</v>
      </c>
      <c r="H1631" s="33">
        <v>153070</v>
      </c>
      <c r="I1631" s="34">
        <f>Table3[[#This Row],[Volume, kg.]]/1000</f>
        <v>153.07</v>
      </c>
      <c r="J1631" s="34">
        <v>0.24629999999999999</v>
      </c>
      <c r="K1631" s="34">
        <f t="shared" si="50"/>
        <v>37701.140999999996</v>
      </c>
      <c r="L1631" s="34">
        <v>3.06</v>
      </c>
      <c r="M1631" s="34">
        <v>469155</v>
      </c>
      <c r="N1631" s="34">
        <f t="shared" si="51"/>
        <v>12.423873325213155</v>
      </c>
    </row>
    <row r="1632" spans="1:14" x14ac:dyDescent="0.45">
      <c r="A1632" s="30">
        <v>2023</v>
      </c>
      <c r="B1632" s="30" t="s">
        <v>16</v>
      </c>
      <c r="C1632" s="30" t="s">
        <v>46</v>
      </c>
      <c r="D1632" s="30" t="s">
        <v>102</v>
      </c>
      <c r="E1632" s="31" t="s">
        <v>414</v>
      </c>
      <c r="F1632" s="32" t="s">
        <v>415</v>
      </c>
      <c r="G1632" s="32" t="s">
        <v>50</v>
      </c>
      <c r="H1632" s="33">
        <v>329460</v>
      </c>
      <c r="I1632" s="34">
        <f>Table3[[#This Row],[Volume, kg.]]/1000</f>
        <v>329.46</v>
      </c>
      <c r="J1632" s="34">
        <v>0.20430000000000001</v>
      </c>
      <c r="K1632" s="34">
        <f t="shared" si="50"/>
        <v>67308.678</v>
      </c>
      <c r="L1632" s="34">
        <v>3.08</v>
      </c>
      <c r="M1632" s="34">
        <v>1013990.5</v>
      </c>
      <c r="N1632" s="34">
        <f t="shared" si="51"/>
        <v>15.075868820362212</v>
      </c>
    </row>
    <row r="1633" spans="1:14" x14ac:dyDescent="0.45">
      <c r="A1633" s="30">
        <v>2023</v>
      </c>
      <c r="B1633" s="30" t="s">
        <v>16</v>
      </c>
      <c r="C1633" s="30" t="s">
        <v>46</v>
      </c>
      <c r="D1633" s="30" t="s">
        <v>47</v>
      </c>
      <c r="E1633" s="31" t="s">
        <v>142</v>
      </c>
      <c r="F1633" s="32" t="s">
        <v>57</v>
      </c>
      <c r="G1633" s="32" t="s">
        <v>50</v>
      </c>
      <c r="H1633" s="33">
        <v>281840</v>
      </c>
      <c r="I1633" s="34">
        <f>Table3[[#This Row],[Volume, kg.]]/1000</f>
        <v>281.83999999999997</v>
      </c>
      <c r="J1633" s="34">
        <v>0.22399999999999998</v>
      </c>
      <c r="K1633" s="34">
        <f t="shared" si="50"/>
        <v>63132.159999999996</v>
      </c>
      <c r="L1633" s="34">
        <v>2.97</v>
      </c>
      <c r="M1633" s="34">
        <v>837568</v>
      </c>
      <c r="N1633" s="34">
        <f t="shared" si="51"/>
        <v>13.258928571428573</v>
      </c>
    </row>
    <row r="1634" spans="1:14" x14ac:dyDescent="0.45">
      <c r="A1634" s="30">
        <v>2023</v>
      </c>
      <c r="B1634" s="30" t="s">
        <v>16</v>
      </c>
      <c r="C1634" s="30" t="s">
        <v>46</v>
      </c>
      <c r="D1634" s="30" t="s">
        <v>47</v>
      </c>
      <c r="E1634" s="31" t="s">
        <v>144</v>
      </c>
      <c r="F1634" s="32" t="s">
        <v>49</v>
      </c>
      <c r="G1634" s="32" t="s">
        <v>50</v>
      </c>
      <c r="H1634" s="33">
        <v>178590</v>
      </c>
      <c r="I1634" s="34">
        <f>Table3[[#This Row],[Volume, kg.]]/1000</f>
        <v>178.59</v>
      </c>
      <c r="J1634" s="34">
        <v>0.22010000000000002</v>
      </c>
      <c r="K1634" s="34">
        <f t="shared" si="50"/>
        <v>39307.659</v>
      </c>
      <c r="L1634" s="34">
        <v>2.97</v>
      </c>
      <c r="M1634" s="34">
        <v>530859.5</v>
      </c>
      <c r="N1634" s="34">
        <f t="shared" si="51"/>
        <v>13.493866424352566</v>
      </c>
    </row>
    <row r="1635" spans="1:14" x14ac:dyDescent="0.45">
      <c r="A1635" s="30">
        <v>2023</v>
      </c>
      <c r="B1635" s="30" t="s">
        <v>16</v>
      </c>
      <c r="C1635" s="30" t="s">
        <v>46</v>
      </c>
      <c r="D1635" s="30" t="s">
        <v>47</v>
      </c>
      <c r="E1635" s="31" t="s">
        <v>145</v>
      </c>
      <c r="F1635" s="32" t="s">
        <v>60</v>
      </c>
      <c r="G1635" s="32" t="s">
        <v>50</v>
      </c>
      <c r="H1635" s="33">
        <v>60870</v>
      </c>
      <c r="I1635" s="34">
        <f>Table3[[#This Row],[Volume, kg.]]/1000</f>
        <v>60.87</v>
      </c>
      <c r="J1635" s="34">
        <v>0.22539999999999999</v>
      </c>
      <c r="K1635" s="34">
        <f t="shared" si="50"/>
        <v>13720.098</v>
      </c>
      <c r="L1635" s="34">
        <v>3.06</v>
      </c>
      <c r="M1635" s="34">
        <v>186246.5</v>
      </c>
      <c r="N1635" s="34">
        <f t="shared" si="51"/>
        <v>13.57586512866016</v>
      </c>
    </row>
    <row r="1636" spans="1:14" x14ac:dyDescent="0.45">
      <c r="A1636" s="30">
        <v>2023</v>
      </c>
      <c r="B1636" s="30" t="s">
        <v>16</v>
      </c>
      <c r="C1636" s="30" t="s">
        <v>46</v>
      </c>
      <c r="D1636" s="30" t="s">
        <v>47</v>
      </c>
      <c r="E1636" s="31" t="s">
        <v>511</v>
      </c>
      <c r="F1636" s="32" t="s">
        <v>60</v>
      </c>
      <c r="G1636" s="32" t="s">
        <v>50</v>
      </c>
      <c r="H1636" s="33">
        <v>14350</v>
      </c>
      <c r="I1636" s="34">
        <f>Table3[[#This Row],[Volume, kg.]]/1000</f>
        <v>14.35</v>
      </c>
      <c r="J1636" s="34">
        <v>0.2656</v>
      </c>
      <c r="K1636" s="34">
        <f t="shared" si="50"/>
        <v>3811.36</v>
      </c>
      <c r="L1636" s="34">
        <v>3.19</v>
      </c>
      <c r="M1636" s="34">
        <v>45760.5</v>
      </c>
      <c r="N1636" s="34">
        <f t="shared" si="51"/>
        <v>12.010542168674698</v>
      </c>
    </row>
    <row r="1637" spans="1:14" x14ac:dyDescent="0.45">
      <c r="A1637" s="30">
        <v>2023</v>
      </c>
      <c r="B1637" s="30" t="s">
        <v>16</v>
      </c>
      <c r="C1637" s="30" t="s">
        <v>46</v>
      </c>
      <c r="D1637" s="30" t="s">
        <v>47</v>
      </c>
      <c r="E1637" s="31" t="s">
        <v>146</v>
      </c>
      <c r="F1637" s="32" t="s">
        <v>64</v>
      </c>
      <c r="G1637" s="32" t="s">
        <v>50</v>
      </c>
      <c r="H1637" s="33">
        <v>28830</v>
      </c>
      <c r="I1637" s="34">
        <f>Table3[[#This Row],[Volume, kg.]]/1000</f>
        <v>28.83</v>
      </c>
      <c r="J1637" s="34">
        <v>0.19510000000000002</v>
      </c>
      <c r="K1637" s="34">
        <f t="shared" si="50"/>
        <v>5624.7330000000011</v>
      </c>
      <c r="L1637" s="34">
        <v>2.86</v>
      </c>
      <c r="M1637" s="34">
        <v>82381</v>
      </c>
      <c r="N1637" s="34">
        <f t="shared" si="51"/>
        <v>14.659149154279854</v>
      </c>
    </row>
    <row r="1638" spans="1:14" x14ac:dyDescent="0.45">
      <c r="A1638" s="30">
        <v>2023</v>
      </c>
      <c r="B1638" s="30" t="s">
        <v>16</v>
      </c>
      <c r="C1638" s="30" t="s">
        <v>46</v>
      </c>
      <c r="D1638" s="30" t="s">
        <v>47</v>
      </c>
      <c r="E1638" s="31" t="s">
        <v>351</v>
      </c>
      <c r="F1638" s="32" t="s">
        <v>49</v>
      </c>
      <c r="G1638" s="32" t="s">
        <v>50</v>
      </c>
      <c r="H1638" s="33">
        <v>49050</v>
      </c>
      <c r="I1638" s="34">
        <f>Table3[[#This Row],[Volume, kg.]]/1000</f>
        <v>49.05</v>
      </c>
      <c r="J1638" s="34">
        <v>0.2273</v>
      </c>
      <c r="K1638" s="34">
        <f t="shared" si="50"/>
        <v>11149.065000000001</v>
      </c>
      <c r="L1638" s="34">
        <v>2.95</v>
      </c>
      <c r="M1638" s="34">
        <v>144872</v>
      </c>
      <c r="N1638" s="34">
        <f t="shared" si="51"/>
        <v>12.978442586889575</v>
      </c>
    </row>
    <row r="1639" spans="1:14" x14ac:dyDescent="0.45">
      <c r="A1639" s="30">
        <v>2023</v>
      </c>
      <c r="B1639" s="30" t="s">
        <v>16</v>
      </c>
      <c r="C1639" s="30" t="s">
        <v>46</v>
      </c>
      <c r="D1639" s="30" t="s">
        <v>47</v>
      </c>
      <c r="E1639" s="31" t="s">
        <v>291</v>
      </c>
      <c r="F1639" s="32" t="s">
        <v>57</v>
      </c>
      <c r="G1639" s="32" t="s">
        <v>50</v>
      </c>
      <c r="H1639" s="33">
        <v>173390</v>
      </c>
      <c r="I1639" s="34">
        <f>Table3[[#This Row],[Volume, kg.]]/1000</f>
        <v>173.39</v>
      </c>
      <c r="J1639" s="34">
        <v>0.24410000000000001</v>
      </c>
      <c r="K1639" s="34">
        <f t="shared" si="50"/>
        <v>42324.499000000003</v>
      </c>
      <c r="L1639" s="34">
        <v>3.11</v>
      </c>
      <c r="M1639" s="34">
        <v>538978.5</v>
      </c>
      <c r="N1639" s="34">
        <f t="shared" si="51"/>
        <v>12.740680049160179</v>
      </c>
    </row>
    <row r="1640" spans="1:14" x14ac:dyDescent="0.45">
      <c r="A1640" s="30">
        <v>2023</v>
      </c>
      <c r="B1640" s="30" t="s">
        <v>16</v>
      </c>
      <c r="C1640" s="30" t="s">
        <v>46</v>
      </c>
      <c r="D1640" s="30" t="s">
        <v>47</v>
      </c>
      <c r="E1640" s="31" t="s">
        <v>147</v>
      </c>
      <c r="F1640" s="32" t="s">
        <v>57</v>
      </c>
      <c r="G1640" s="32" t="s">
        <v>50</v>
      </c>
      <c r="H1640" s="33">
        <v>136420</v>
      </c>
      <c r="I1640" s="34">
        <f>Table3[[#This Row],[Volume, kg.]]/1000</f>
        <v>136.41999999999999</v>
      </c>
      <c r="J1640" s="34">
        <v>0.2452</v>
      </c>
      <c r="K1640" s="34">
        <f t="shared" si="50"/>
        <v>33450.184000000001</v>
      </c>
      <c r="L1640" s="34">
        <v>3.09</v>
      </c>
      <c r="M1640" s="34">
        <v>421488.5</v>
      </c>
      <c r="N1640" s="34">
        <f t="shared" si="51"/>
        <v>12.601957585644371</v>
      </c>
    </row>
    <row r="1641" spans="1:14" x14ac:dyDescent="0.45">
      <c r="A1641" s="30">
        <v>2023</v>
      </c>
      <c r="B1641" s="30" t="s">
        <v>16</v>
      </c>
      <c r="C1641" s="30" t="s">
        <v>46</v>
      </c>
      <c r="D1641" s="30" t="s">
        <v>102</v>
      </c>
      <c r="E1641" s="31" t="s">
        <v>437</v>
      </c>
      <c r="F1641" s="32" t="s">
        <v>49</v>
      </c>
      <c r="G1641" s="32" t="s">
        <v>50</v>
      </c>
      <c r="H1641" s="33">
        <v>1160310</v>
      </c>
      <c r="I1641" s="34">
        <f>Table3[[#This Row],[Volume, kg.]]/1000</f>
        <v>1160.31</v>
      </c>
      <c r="J1641" s="34">
        <v>0.2271</v>
      </c>
      <c r="K1641" s="34">
        <f t="shared" si="50"/>
        <v>263506.40100000001</v>
      </c>
      <c r="L1641" s="34">
        <v>3.13</v>
      </c>
      <c r="M1641" s="34">
        <v>3634087.5</v>
      </c>
      <c r="N1641" s="34">
        <f t="shared" si="51"/>
        <v>13.782474680757375</v>
      </c>
    </row>
    <row r="1642" spans="1:14" x14ac:dyDescent="0.45">
      <c r="A1642" s="30">
        <v>2023</v>
      </c>
      <c r="B1642" s="30" t="s">
        <v>16</v>
      </c>
      <c r="C1642" s="30" t="s">
        <v>46</v>
      </c>
      <c r="D1642" s="30" t="s">
        <v>47</v>
      </c>
      <c r="E1642" s="31" t="s">
        <v>530</v>
      </c>
      <c r="F1642" s="32" t="s">
        <v>49</v>
      </c>
      <c r="G1642" s="32" t="s">
        <v>50</v>
      </c>
      <c r="H1642" s="33">
        <v>20470</v>
      </c>
      <c r="I1642" s="34">
        <f>Table3[[#This Row],[Volume, kg.]]/1000</f>
        <v>20.47</v>
      </c>
      <c r="J1642" s="34">
        <v>0.24579999999999999</v>
      </c>
      <c r="K1642" s="34">
        <f t="shared" si="50"/>
        <v>5031.5259999999998</v>
      </c>
      <c r="L1642" s="34">
        <v>3.13</v>
      </c>
      <c r="M1642" s="34">
        <v>64038</v>
      </c>
      <c r="N1642" s="34">
        <f t="shared" si="51"/>
        <v>12.733930024410089</v>
      </c>
    </row>
    <row r="1643" spans="1:14" x14ac:dyDescent="0.45">
      <c r="A1643" s="30">
        <v>2023</v>
      </c>
      <c r="B1643" s="30" t="s">
        <v>16</v>
      </c>
      <c r="C1643" s="30" t="s">
        <v>46</v>
      </c>
      <c r="D1643" s="30" t="s">
        <v>47</v>
      </c>
      <c r="E1643" s="31" t="s">
        <v>148</v>
      </c>
      <c r="F1643" s="32" t="s">
        <v>49</v>
      </c>
      <c r="G1643" s="32" t="s">
        <v>50</v>
      </c>
      <c r="H1643" s="33">
        <v>32490</v>
      </c>
      <c r="I1643" s="34">
        <f>Table3[[#This Row],[Volume, kg.]]/1000</f>
        <v>32.49</v>
      </c>
      <c r="J1643" s="34">
        <v>0.21030000000000001</v>
      </c>
      <c r="K1643" s="34">
        <f t="shared" si="50"/>
        <v>6832.6470000000008</v>
      </c>
      <c r="L1643" s="34">
        <v>2.91</v>
      </c>
      <c r="M1643" s="34">
        <v>94397.5</v>
      </c>
      <c r="N1643" s="34">
        <f t="shared" si="51"/>
        <v>13.837375178316691</v>
      </c>
    </row>
    <row r="1644" spans="1:14" x14ac:dyDescent="0.45">
      <c r="A1644" s="30">
        <v>2023</v>
      </c>
      <c r="B1644" s="30" t="s">
        <v>16</v>
      </c>
      <c r="C1644" s="30" t="s">
        <v>46</v>
      </c>
      <c r="D1644" s="30" t="s">
        <v>47</v>
      </c>
      <c r="E1644" s="31" t="s">
        <v>149</v>
      </c>
      <c r="F1644" s="32" t="s">
        <v>49</v>
      </c>
      <c r="G1644" s="32" t="s">
        <v>50</v>
      </c>
      <c r="H1644" s="33">
        <v>148060</v>
      </c>
      <c r="I1644" s="34">
        <f>Table3[[#This Row],[Volume, kg.]]/1000</f>
        <v>148.06</v>
      </c>
      <c r="J1644" s="34">
        <v>0.24460000000000001</v>
      </c>
      <c r="K1644" s="34">
        <f t="shared" si="50"/>
        <v>36215.476000000002</v>
      </c>
      <c r="L1644" s="34">
        <v>3.1</v>
      </c>
      <c r="M1644" s="34">
        <v>459667.5</v>
      </c>
      <c r="N1644" s="34">
        <f t="shared" si="51"/>
        <v>12.67375306623058</v>
      </c>
    </row>
    <row r="1645" spans="1:14" x14ac:dyDescent="0.45">
      <c r="A1645" s="30">
        <v>2023</v>
      </c>
      <c r="B1645" s="30" t="s">
        <v>16</v>
      </c>
      <c r="C1645" s="30" t="s">
        <v>46</v>
      </c>
      <c r="D1645" s="30" t="s">
        <v>47</v>
      </c>
      <c r="E1645" s="31" t="s">
        <v>151</v>
      </c>
      <c r="F1645" s="32" t="s">
        <v>60</v>
      </c>
      <c r="G1645" s="32" t="s">
        <v>50</v>
      </c>
      <c r="H1645" s="33">
        <v>54990</v>
      </c>
      <c r="I1645" s="34">
        <f>Table3[[#This Row],[Volume, kg.]]/1000</f>
        <v>54.99</v>
      </c>
      <c r="J1645" s="34">
        <v>0.2384</v>
      </c>
      <c r="K1645" s="34">
        <f t="shared" si="50"/>
        <v>13109.616</v>
      </c>
      <c r="L1645" s="34">
        <v>3.06</v>
      </c>
      <c r="M1645" s="34">
        <v>168483.5</v>
      </c>
      <c r="N1645" s="34">
        <f t="shared" si="51"/>
        <v>12.835570469798657</v>
      </c>
    </row>
    <row r="1646" spans="1:14" x14ac:dyDescent="0.45">
      <c r="A1646" s="30">
        <v>2023</v>
      </c>
      <c r="B1646" s="30" t="s">
        <v>16</v>
      </c>
      <c r="C1646" s="30" t="s">
        <v>46</v>
      </c>
      <c r="D1646" s="30" t="s">
        <v>47</v>
      </c>
      <c r="E1646" s="31" t="s">
        <v>462</v>
      </c>
      <c r="F1646" s="32" t="s">
        <v>49</v>
      </c>
      <c r="G1646" s="32" t="s">
        <v>50</v>
      </c>
      <c r="H1646" s="33">
        <v>8750</v>
      </c>
      <c r="I1646" s="34">
        <f>Table3[[#This Row],[Volume, kg.]]/1000</f>
        <v>8.75</v>
      </c>
      <c r="J1646" s="34">
        <v>0.222</v>
      </c>
      <c r="K1646" s="34">
        <f t="shared" si="50"/>
        <v>1942.5</v>
      </c>
      <c r="L1646" s="34">
        <v>2.9</v>
      </c>
      <c r="M1646" s="34">
        <v>25375</v>
      </c>
      <c r="N1646" s="34">
        <f t="shared" si="51"/>
        <v>13.063063063063062</v>
      </c>
    </row>
    <row r="1647" spans="1:14" x14ac:dyDescent="0.45">
      <c r="A1647" s="30">
        <v>2023</v>
      </c>
      <c r="B1647" s="30" t="s">
        <v>16</v>
      </c>
      <c r="C1647" s="30" t="s">
        <v>46</v>
      </c>
      <c r="D1647" s="30" t="s">
        <v>47</v>
      </c>
      <c r="E1647" s="31" t="s">
        <v>352</v>
      </c>
      <c r="F1647" s="32" t="s">
        <v>54</v>
      </c>
      <c r="G1647" s="32" t="s">
        <v>50</v>
      </c>
      <c r="H1647" s="33">
        <v>170130</v>
      </c>
      <c r="I1647" s="34">
        <f>Table3[[#This Row],[Volume, kg.]]/1000</f>
        <v>170.13</v>
      </c>
      <c r="J1647" s="34">
        <v>0.2311</v>
      </c>
      <c r="K1647" s="34">
        <f t="shared" si="50"/>
        <v>39317.042999999998</v>
      </c>
      <c r="L1647" s="34">
        <v>3.03</v>
      </c>
      <c r="M1647" s="34">
        <v>515745.5</v>
      </c>
      <c r="N1647" s="34">
        <f t="shared" si="51"/>
        <v>13.111207269580268</v>
      </c>
    </row>
    <row r="1648" spans="1:14" x14ac:dyDescent="0.45">
      <c r="A1648" s="30">
        <v>2023</v>
      </c>
      <c r="B1648" s="30" t="s">
        <v>16</v>
      </c>
      <c r="C1648" s="30" t="s">
        <v>46</v>
      </c>
      <c r="D1648" s="30" t="s">
        <v>47</v>
      </c>
      <c r="E1648" s="31" t="s">
        <v>153</v>
      </c>
      <c r="F1648" s="32" t="s">
        <v>57</v>
      </c>
      <c r="G1648" s="32" t="s">
        <v>50</v>
      </c>
      <c r="H1648" s="33">
        <v>39780</v>
      </c>
      <c r="I1648" s="34">
        <f>Table3[[#This Row],[Volume, kg.]]/1000</f>
        <v>39.78</v>
      </c>
      <c r="J1648" s="34">
        <v>0.23719999999999999</v>
      </c>
      <c r="K1648" s="34">
        <f t="shared" si="50"/>
        <v>9435.8159999999989</v>
      </c>
      <c r="L1648" s="34">
        <v>3.07</v>
      </c>
      <c r="M1648" s="34">
        <v>122099.5</v>
      </c>
      <c r="N1648" s="34">
        <f t="shared" si="51"/>
        <v>12.942664418212479</v>
      </c>
    </row>
    <row r="1649" spans="1:14" x14ac:dyDescent="0.45">
      <c r="A1649" s="30">
        <v>2023</v>
      </c>
      <c r="B1649" s="30" t="s">
        <v>16</v>
      </c>
      <c r="C1649" s="30" t="s">
        <v>46</v>
      </c>
      <c r="D1649" s="30" t="s">
        <v>47</v>
      </c>
      <c r="E1649" s="31" t="s">
        <v>473</v>
      </c>
      <c r="F1649" s="32" t="s">
        <v>57</v>
      </c>
      <c r="G1649" s="32" t="s">
        <v>50</v>
      </c>
      <c r="H1649" s="33">
        <v>60890</v>
      </c>
      <c r="I1649" s="34">
        <f>Table3[[#This Row],[Volume, kg.]]/1000</f>
        <v>60.89</v>
      </c>
      <c r="J1649" s="34">
        <v>0.24879999999999999</v>
      </c>
      <c r="K1649" s="34">
        <f t="shared" si="50"/>
        <v>15149.431999999999</v>
      </c>
      <c r="L1649" s="34">
        <v>3.1</v>
      </c>
      <c r="M1649" s="34">
        <v>188905</v>
      </c>
      <c r="N1649" s="34">
        <f t="shared" si="51"/>
        <v>12.459807073954984</v>
      </c>
    </row>
    <row r="1650" spans="1:14" x14ac:dyDescent="0.45">
      <c r="A1650" s="30">
        <v>2023</v>
      </c>
      <c r="B1650" s="30" t="s">
        <v>16</v>
      </c>
      <c r="C1650" s="30" t="s">
        <v>46</v>
      </c>
      <c r="D1650" s="30" t="s">
        <v>47</v>
      </c>
      <c r="E1650" s="31" t="s">
        <v>154</v>
      </c>
      <c r="F1650" s="32" t="s">
        <v>60</v>
      </c>
      <c r="G1650" s="32" t="s">
        <v>50</v>
      </c>
      <c r="H1650" s="33">
        <v>25520</v>
      </c>
      <c r="I1650" s="34">
        <f>Table3[[#This Row],[Volume, kg.]]/1000</f>
        <v>25.52</v>
      </c>
      <c r="J1650" s="34">
        <v>0.22559999999999999</v>
      </c>
      <c r="K1650" s="34">
        <f t="shared" si="50"/>
        <v>5757.3119999999999</v>
      </c>
      <c r="L1650" s="34">
        <v>2.97</v>
      </c>
      <c r="M1650" s="34">
        <v>75764.5</v>
      </c>
      <c r="N1650" s="34">
        <f t="shared" si="51"/>
        <v>13.164893617021278</v>
      </c>
    </row>
    <row r="1651" spans="1:14" x14ac:dyDescent="0.45">
      <c r="A1651" s="30">
        <v>2023</v>
      </c>
      <c r="B1651" s="30" t="s">
        <v>16</v>
      </c>
      <c r="C1651" s="30" t="s">
        <v>46</v>
      </c>
      <c r="D1651" s="30" t="s">
        <v>47</v>
      </c>
      <c r="E1651" s="31" t="s">
        <v>293</v>
      </c>
      <c r="F1651" s="32" t="s">
        <v>60</v>
      </c>
      <c r="G1651" s="32" t="s">
        <v>50</v>
      </c>
      <c r="H1651" s="33">
        <v>324200</v>
      </c>
      <c r="I1651" s="34">
        <f>Table3[[#This Row],[Volume, kg.]]/1000</f>
        <v>324.2</v>
      </c>
      <c r="J1651" s="34">
        <v>0.2571</v>
      </c>
      <c r="K1651" s="34">
        <f t="shared" si="50"/>
        <v>83351.819999999992</v>
      </c>
      <c r="L1651" s="34">
        <v>3.15</v>
      </c>
      <c r="M1651" s="34">
        <v>1020755.5</v>
      </c>
      <c r="N1651" s="34">
        <f t="shared" si="51"/>
        <v>12.252042007001167</v>
      </c>
    </row>
    <row r="1652" spans="1:14" x14ac:dyDescent="0.45">
      <c r="A1652" s="30">
        <v>2023</v>
      </c>
      <c r="B1652" s="30" t="s">
        <v>16</v>
      </c>
      <c r="C1652" s="30" t="s">
        <v>46</v>
      </c>
      <c r="D1652" s="30" t="s">
        <v>47</v>
      </c>
      <c r="E1652" s="31" t="s">
        <v>156</v>
      </c>
      <c r="F1652" s="32" t="s">
        <v>49</v>
      </c>
      <c r="G1652" s="32" t="s">
        <v>50</v>
      </c>
      <c r="H1652" s="33">
        <v>9570</v>
      </c>
      <c r="I1652" s="34">
        <f>Table3[[#This Row],[Volume, kg.]]/1000</f>
        <v>9.57</v>
      </c>
      <c r="J1652" s="34">
        <v>0.24440000000000001</v>
      </c>
      <c r="K1652" s="34">
        <f t="shared" si="50"/>
        <v>2338.9079999999999</v>
      </c>
      <c r="L1652" s="34">
        <v>3.13</v>
      </c>
      <c r="M1652" s="34">
        <v>29936</v>
      </c>
      <c r="N1652" s="34">
        <f t="shared" si="51"/>
        <v>12.806873977086742</v>
      </c>
    </row>
    <row r="1653" spans="1:14" x14ac:dyDescent="0.45">
      <c r="A1653" s="30">
        <v>2023</v>
      </c>
      <c r="B1653" s="30" t="s">
        <v>16</v>
      </c>
      <c r="C1653" s="30" t="s">
        <v>46</v>
      </c>
      <c r="D1653" s="30" t="s">
        <v>47</v>
      </c>
      <c r="E1653" s="31" t="s">
        <v>294</v>
      </c>
      <c r="F1653" s="32" t="s">
        <v>81</v>
      </c>
      <c r="G1653" s="32" t="s">
        <v>50</v>
      </c>
      <c r="H1653" s="33">
        <v>25780</v>
      </c>
      <c r="I1653" s="34">
        <f>Table3[[#This Row],[Volume, kg.]]/1000</f>
        <v>25.78</v>
      </c>
      <c r="J1653" s="34">
        <v>0.23620000000000002</v>
      </c>
      <c r="K1653" s="34">
        <f t="shared" si="50"/>
        <v>6089.2360000000008</v>
      </c>
      <c r="L1653" s="34">
        <v>3.02</v>
      </c>
      <c r="M1653" s="34">
        <v>77754</v>
      </c>
      <c r="N1653" s="34">
        <f t="shared" si="51"/>
        <v>12.785774767146485</v>
      </c>
    </row>
    <row r="1654" spans="1:14" x14ac:dyDescent="0.45">
      <c r="A1654" s="30">
        <v>2023</v>
      </c>
      <c r="B1654" s="30" t="s">
        <v>16</v>
      </c>
      <c r="C1654" s="30" t="s">
        <v>46</v>
      </c>
      <c r="D1654" s="30" t="s">
        <v>102</v>
      </c>
      <c r="E1654" s="31" t="s">
        <v>295</v>
      </c>
      <c r="F1654" s="32" t="s">
        <v>127</v>
      </c>
      <c r="G1654" s="32" t="s">
        <v>128</v>
      </c>
      <c r="H1654" s="33">
        <v>27660</v>
      </c>
      <c r="I1654" s="34">
        <f>Table3[[#This Row],[Volume, kg.]]/1000</f>
        <v>27.66</v>
      </c>
      <c r="J1654" s="34">
        <v>0.1845</v>
      </c>
      <c r="K1654" s="34">
        <f t="shared" si="50"/>
        <v>5103.2699999999995</v>
      </c>
      <c r="L1654" s="34">
        <v>2.9</v>
      </c>
      <c r="M1654" s="34">
        <v>80214</v>
      </c>
      <c r="N1654" s="34">
        <f t="shared" si="51"/>
        <v>15.718157181571815</v>
      </c>
    </row>
    <row r="1655" spans="1:14" x14ac:dyDescent="0.45">
      <c r="A1655" s="30">
        <v>2023</v>
      </c>
      <c r="B1655" s="30" t="s">
        <v>16</v>
      </c>
      <c r="C1655" s="30" t="s">
        <v>46</v>
      </c>
      <c r="D1655" s="30" t="s">
        <v>47</v>
      </c>
      <c r="E1655" s="31" t="s">
        <v>353</v>
      </c>
      <c r="F1655" s="32" t="s">
        <v>57</v>
      </c>
      <c r="G1655" s="32" t="s">
        <v>50</v>
      </c>
      <c r="H1655" s="33">
        <v>8850</v>
      </c>
      <c r="I1655" s="34">
        <f>Table3[[#This Row],[Volume, kg.]]/1000</f>
        <v>8.85</v>
      </c>
      <c r="J1655" s="34">
        <v>0.26600000000000001</v>
      </c>
      <c r="K1655" s="34">
        <f t="shared" si="50"/>
        <v>2354.1</v>
      </c>
      <c r="L1655" s="34">
        <v>3.25</v>
      </c>
      <c r="M1655" s="34">
        <v>28762.5</v>
      </c>
      <c r="N1655" s="34">
        <f t="shared" si="51"/>
        <v>12.218045112781954</v>
      </c>
    </row>
    <row r="1656" spans="1:14" x14ac:dyDescent="0.45">
      <c r="A1656" s="30">
        <v>2023</v>
      </c>
      <c r="B1656" s="30" t="s">
        <v>16</v>
      </c>
      <c r="C1656" s="30" t="s">
        <v>46</v>
      </c>
      <c r="D1656" s="30" t="s">
        <v>47</v>
      </c>
      <c r="E1656" s="31" t="s">
        <v>296</v>
      </c>
      <c r="F1656" s="32" t="s">
        <v>60</v>
      </c>
      <c r="G1656" s="32" t="s">
        <v>50</v>
      </c>
      <c r="H1656" s="33">
        <v>164970</v>
      </c>
      <c r="I1656" s="34">
        <f>Table3[[#This Row],[Volume, kg.]]/1000</f>
        <v>164.97</v>
      </c>
      <c r="J1656" s="34">
        <v>0.24160000000000001</v>
      </c>
      <c r="K1656" s="34">
        <f t="shared" si="50"/>
        <v>39856.752</v>
      </c>
      <c r="L1656" s="34">
        <v>3.08</v>
      </c>
      <c r="M1656" s="34">
        <v>507366.5</v>
      </c>
      <c r="N1656" s="34">
        <f t="shared" si="51"/>
        <v>12.748344370860927</v>
      </c>
    </row>
    <row r="1657" spans="1:14" x14ac:dyDescent="0.45">
      <c r="A1657" s="30">
        <v>2023</v>
      </c>
      <c r="B1657" s="30" t="s">
        <v>16</v>
      </c>
      <c r="C1657" s="30" t="s">
        <v>46</v>
      </c>
      <c r="D1657" s="30" t="s">
        <v>102</v>
      </c>
      <c r="E1657" s="31" t="s">
        <v>157</v>
      </c>
      <c r="F1657" s="32" t="s">
        <v>127</v>
      </c>
      <c r="G1657" s="32" t="s">
        <v>128</v>
      </c>
      <c r="H1657" s="33">
        <v>58810</v>
      </c>
      <c r="I1657" s="34">
        <f>Table3[[#This Row],[Volume, kg.]]/1000</f>
        <v>58.81</v>
      </c>
      <c r="J1657" s="34">
        <v>0.24280000000000002</v>
      </c>
      <c r="K1657" s="34">
        <f t="shared" si="50"/>
        <v>14279.068000000001</v>
      </c>
      <c r="L1657" s="34">
        <v>3.18</v>
      </c>
      <c r="M1657" s="34">
        <v>186722.5</v>
      </c>
      <c r="N1657" s="34">
        <f t="shared" si="51"/>
        <v>13.097199341021417</v>
      </c>
    </row>
    <row r="1658" spans="1:14" x14ac:dyDescent="0.45">
      <c r="A1658" s="30">
        <v>2023</v>
      </c>
      <c r="B1658" s="30" t="s">
        <v>16</v>
      </c>
      <c r="C1658" s="30" t="s">
        <v>46</v>
      </c>
      <c r="D1658" s="30" t="s">
        <v>47</v>
      </c>
      <c r="E1658" s="31" t="s">
        <v>159</v>
      </c>
      <c r="F1658" s="32" t="s">
        <v>81</v>
      </c>
      <c r="G1658" s="32" t="s">
        <v>50</v>
      </c>
      <c r="H1658" s="33">
        <v>28000</v>
      </c>
      <c r="I1658" s="34">
        <f>Table3[[#This Row],[Volume, kg.]]/1000</f>
        <v>28</v>
      </c>
      <c r="J1658" s="34">
        <v>0.22889999999999999</v>
      </c>
      <c r="K1658" s="34">
        <f t="shared" si="50"/>
        <v>6409.2</v>
      </c>
      <c r="L1658" s="34">
        <v>3.06</v>
      </c>
      <c r="M1658" s="34">
        <v>85552</v>
      </c>
      <c r="N1658" s="34">
        <f t="shared" si="51"/>
        <v>13.368283093053735</v>
      </c>
    </row>
    <row r="1659" spans="1:14" x14ac:dyDescent="0.45">
      <c r="A1659" s="30">
        <v>2023</v>
      </c>
      <c r="B1659" s="30" t="s">
        <v>16</v>
      </c>
      <c r="C1659" s="30" t="s">
        <v>46</v>
      </c>
      <c r="D1659" s="30" t="s">
        <v>47</v>
      </c>
      <c r="E1659" s="31" t="s">
        <v>160</v>
      </c>
      <c r="F1659" s="32" t="s">
        <v>49</v>
      </c>
      <c r="G1659" s="32" t="s">
        <v>50</v>
      </c>
      <c r="H1659" s="33">
        <v>73220</v>
      </c>
      <c r="I1659" s="34">
        <f>Table3[[#This Row],[Volume, kg.]]/1000</f>
        <v>73.22</v>
      </c>
      <c r="J1659" s="34">
        <v>0.23010000000000003</v>
      </c>
      <c r="K1659" s="34">
        <f t="shared" si="50"/>
        <v>16847.922000000002</v>
      </c>
      <c r="L1659" s="34">
        <v>3.02</v>
      </c>
      <c r="M1659" s="34">
        <v>221184</v>
      </c>
      <c r="N1659" s="34">
        <f t="shared" si="51"/>
        <v>13.124728378965665</v>
      </c>
    </row>
    <row r="1660" spans="1:14" x14ac:dyDescent="0.45">
      <c r="A1660" s="30">
        <v>2023</v>
      </c>
      <c r="B1660" s="30" t="s">
        <v>16</v>
      </c>
      <c r="C1660" s="30" t="s">
        <v>46</v>
      </c>
      <c r="D1660" s="30" t="s">
        <v>47</v>
      </c>
      <c r="E1660" s="31" t="s">
        <v>474</v>
      </c>
      <c r="F1660" s="32" t="s">
        <v>60</v>
      </c>
      <c r="G1660" s="32" t="s">
        <v>50</v>
      </c>
      <c r="H1660" s="33">
        <v>43050</v>
      </c>
      <c r="I1660" s="34">
        <f>Table3[[#This Row],[Volume, kg.]]/1000</f>
        <v>43.05</v>
      </c>
      <c r="J1660" s="34">
        <v>0.26300000000000001</v>
      </c>
      <c r="K1660" s="34">
        <f t="shared" si="50"/>
        <v>11322.15</v>
      </c>
      <c r="L1660" s="34">
        <v>3.1</v>
      </c>
      <c r="M1660" s="34">
        <v>133417.5</v>
      </c>
      <c r="N1660" s="34">
        <f t="shared" si="51"/>
        <v>11.787072243346007</v>
      </c>
    </row>
    <row r="1661" spans="1:14" x14ac:dyDescent="0.45">
      <c r="A1661" s="30">
        <v>2023</v>
      </c>
      <c r="B1661" s="30" t="s">
        <v>16</v>
      </c>
      <c r="C1661" s="30" t="s">
        <v>46</v>
      </c>
      <c r="D1661" s="30" t="s">
        <v>47</v>
      </c>
      <c r="E1661" s="31" t="s">
        <v>407</v>
      </c>
      <c r="F1661" s="32" t="s">
        <v>49</v>
      </c>
      <c r="G1661" s="32" t="s">
        <v>50</v>
      </c>
      <c r="H1661" s="33">
        <v>67240</v>
      </c>
      <c r="I1661" s="34">
        <f>Table3[[#This Row],[Volume, kg.]]/1000</f>
        <v>67.239999999999995</v>
      </c>
      <c r="J1661" s="34">
        <v>0.2445</v>
      </c>
      <c r="K1661" s="34">
        <f t="shared" si="50"/>
        <v>16440.18</v>
      </c>
      <c r="L1661" s="34">
        <v>3.09</v>
      </c>
      <c r="M1661" s="34">
        <v>207875.5</v>
      </c>
      <c r="N1661" s="34">
        <f t="shared" si="51"/>
        <v>12.638036809815951</v>
      </c>
    </row>
    <row r="1662" spans="1:14" x14ac:dyDescent="0.45">
      <c r="A1662" s="30">
        <v>2023</v>
      </c>
      <c r="B1662" s="30" t="s">
        <v>16</v>
      </c>
      <c r="C1662" s="30" t="s">
        <v>46</v>
      </c>
      <c r="D1662" s="30" t="s">
        <v>47</v>
      </c>
      <c r="E1662" s="31" t="s">
        <v>162</v>
      </c>
      <c r="F1662" s="32" t="s">
        <v>49</v>
      </c>
      <c r="G1662" s="32" t="s">
        <v>50</v>
      </c>
      <c r="H1662" s="33">
        <v>29330</v>
      </c>
      <c r="I1662" s="34">
        <f>Table3[[#This Row],[Volume, kg.]]/1000</f>
        <v>29.33</v>
      </c>
      <c r="J1662" s="34">
        <v>0.2177</v>
      </c>
      <c r="K1662" s="34">
        <f t="shared" si="50"/>
        <v>6385.1410000000005</v>
      </c>
      <c r="L1662" s="34">
        <v>3.01</v>
      </c>
      <c r="M1662" s="34">
        <v>88169.5</v>
      </c>
      <c r="N1662" s="34">
        <f t="shared" si="51"/>
        <v>13.82636655948553</v>
      </c>
    </row>
    <row r="1663" spans="1:14" x14ac:dyDescent="0.45">
      <c r="A1663" s="30">
        <v>2023</v>
      </c>
      <c r="B1663" s="30" t="s">
        <v>16</v>
      </c>
      <c r="C1663" s="30" t="s">
        <v>46</v>
      </c>
      <c r="D1663" s="30" t="s">
        <v>47</v>
      </c>
      <c r="E1663" s="31" t="s">
        <v>524</v>
      </c>
      <c r="F1663" s="32" t="s">
        <v>49</v>
      </c>
      <c r="G1663" s="32" t="s">
        <v>50</v>
      </c>
      <c r="H1663" s="33">
        <v>31140</v>
      </c>
      <c r="I1663" s="34">
        <f>Table3[[#This Row],[Volume, kg.]]/1000</f>
        <v>31.14</v>
      </c>
      <c r="J1663" s="34">
        <v>0.24969999999999998</v>
      </c>
      <c r="K1663" s="34">
        <f t="shared" si="50"/>
        <v>7775.6579999999994</v>
      </c>
      <c r="L1663" s="34">
        <v>3.15</v>
      </c>
      <c r="M1663" s="34">
        <v>98091</v>
      </c>
      <c r="N1663" s="34">
        <f t="shared" si="51"/>
        <v>12.61513816579896</v>
      </c>
    </row>
    <row r="1664" spans="1:14" x14ac:dyDescent="0.45">
      <c r="A1664" s="30">
        <v>2023</v>
      </c>
      <c r="B1664" s="30" t="s">
        <v>16</v>
      </c>
      <c r="C1664" s="30" t="s">
        <v>46</v>
      </c>
      <c r="D1664" s="30" t="s">
        <v>47</v>
      </c>
      <c r="E1664" s="31" t="s">
        <v>163</v>
      </c>
      <c r="F1664" s="32" t="s">
        <v>60</v>
      </c>
      <c r="G1664" s="32" t="s">
        <v>50</v>
      </c>
      <c r="H1664" s="33">
        <v>208590</v>
      </c>
      <c r="I1664" s="34">
        <f>Table3[[#This Row],[Volume, kg.]]/1000</f>
        <v>208.59</v>
      </c>
      <c r="J1664" s="34">
        <v>0.2515</v>
      </c>
      <c r="K1664" s="34">
        <f t="shared" si="50"/>
        <v>52460.385000000002</v>
      </c>
      <c r="L1664" s="34">
        <v>3.11</v>
      </c>
      <c r="M1664" s="34">
        <v>649180</v>
      </c>
      <c r="N1664" s="34">
        <f t="shared" si="51"/>
        <v>12.365805168986084</v>
      </c>
    </row>
    <row r="1665" spans="1:14" x14ac:dyDescent="0.45">
      <c r="A1665" s="30">
        <v>2023</v>
      </c>
      <c r="B1665" s="30" t="s">
        <v>16</v>
      </c>
      <c r="C1665" s="30" t="s">
        <v>46</v>
      </c>
      <c r="D1665" s="30" t="s">
        <v>47</v>
      </c>
      <c r="E1665" s="31" t="s">
        <v>354</v>
      </c>
      <c r="F1665" s="32" t="s">
        <v>60</v>
      </c>
      <c r="G1665" s="32" t="s">
        <v>50</v>
      </c>
      <c r="H1665" s="33">
        <v>49250</v>
      </c>
      <c r="I1665" s="34">
        <f>Table3[[#This Row],[Volume, kg.]]/1000</f>
        <v>49.25</v>
      </c>
      <c r="J1665" s="34">
        <v>0.24760000000000001</v>
      </c>
      <c r="K1665" s="34">
        <f t="shared" si="50"/>
        <v>12194.300000000001</v>
      </c>
      <c r="L1665" s="34">
        <v>3.11</v>
      </c>
      <c r="M1665" s="34">
        <v>153345</v>
      </c>
      <c r="N1665" s="34">
        <f t="shared" si="51"/>
        <v>12.560581583198706</v>
      </c>
    </row>
    <row r="1666" spans="1:14" x14ac:dyDescent="0.45">
      <c r="A1666" s="30">
        <v>2023</v>
      </c>
      <c r="B1666" s="30" t="s">
        <v>16</v>
      </c>
      <c r="C1666" s="30" t="s">
        <v>46</v>
      </c>
      <c r="D1666" s="30" t="s">
        <v>47</v>
      </c>
      <c r="E1666" s="31" t="s">
        <v>164</v>
      </c>
      <c r="F1666" s="32" t="s">
        <v>49</v>
      </c>
      <c r="G1666" s="32" t="s">
        <v>50</v>
      </c>
      <c r="H1666" s="33">
        <v>101100</v>
      </c>
      <c r="I1666" s="34">
        <f>Table3[[#This Row],[Volume, kg.]]/1000</f>
        <v>101.1</v>
      </c>
      <c r="J1666" s="34">
        <v>0.21969999999999998</v>
      </c>
      <c r="K1666" s="34">
        <f t="shared" si="50"/>
        <v>22211.67</v>
      </c>
      <c r="L1666" s="34">
        <v>2.96</v>
      </c>
      <c r="M1666" s="34">
        <v>298972</v>
      </c>
      <c r="N1666" s="34">
        <f t="shared" si="51"/>
        <v>13.47291761492945</v>
      </c>
    </row>
    <row r="1667" spans="1:14" x14ac:dyDescent="0.45">
      <c r="A1667" s="30">
        <v>2023</v>
      </c>
      <c r="B1667" s="30" t="s">
        <v>16</v>
      </c>
      <c r="C1667" s="30" t="s">
        <v>46</v>
      </c>
      <c r="D1667" s="30" t="s">
        <v>47</v>
      </c>
      <c r="E1667" s="31" t="s">
        <v>165</v>
      </c>
      <c r="F1667" s="32" t="s">
        <v>57</v>
      </c>
      <c r="G1667" s="32" t="s">
        <v>50</v>
      </c>
      <c r="H1667" s="33">
        <v>6880</v>
      </c>
      <c r="I1667" s="34">
        <f>Table3[[#This Row],[Volume, kg.]]/1000</f>
        <v>6.88</v>
      </c>
      <c r="J1667" s="34">
        <v>0.23850000000000002</v>
      </c>
      <c r="K1667" s="34">
        <f t="shared" ref="K1667:K1730" si="52">H1667*J1667</f>
        <v>1640.88</v>
      </c>
      <c r="L1667" s="34">
        <v>3.15</v>
      </c>
      <c r="M1667" s="34">
        <v>21672</v>
      </c>
      <c r="N1667" s="34">
        <f t="shared" si="51"/>
        <v>13.207547169811319</v>
      </c>
    </row>
    <row r="1668" spans="1:14" x14ac:dyDescent="0.45">
      <c r="A1668" s="30">
        <v>2023</v>
      </c>
      <c r="B1668" s="30" t="s">
        <v>16</v>
      </c>
      <c r="C1668" s="30" t="s">
        <v>46</v>
      </c>
      <c r="D1668" s="30" t="s">
        <v>47</v>
      </c>
      <c r="E1668" s="31" t="s">
        <v>166</v>
      </c>
      <c r="F1668" s="32" t="s">
        <v>49</v>
      </c>
      <c r="G1668" s="32" t="s">
        <v>50</v>
      </c>
      <c r="H1668" s="33">
        <v>95900</v>
      </c>
      <c r="I1668" s="34">
        <f>Table3[[#This Row],[Volume, kg.]]/1000</f>
        <v>95.9</v>
      </c>
      <c r="J1668" s="34">
        <v>0.22409999999999999</v>
      </c>
      <c r="K1668" s="34">
        <f t="shared" si="52"/>
        <v>21491.19</v>
      </c>
      <c r="L1668" s="34">
        <v>3</v>
      </c>
      <c r="M1668" s="34">
        <v>287823.5</v>
      </c>
      <c r="N1668" s="34">
        <f t="shared" ref="N1668:N1731" si="53">L1668/J1668</f>
        <v>13.386880856760376</v>
      </c>
    </row>
    <row r="1669" spans="1:14" x14ac:dyDescent="0.45">
      <c r="A1669" s="30">
        <v>2023</v>
      </c>
      <c r="B1669" s="30" t="s">
        <v>16</v>
      </c>
      <c r="C1669" s="30" t="s">
        <v>46</v>
      </c>
      <c r="D1669" s="30" t="s">
        <v>47</v>
      </c>
      <c r="E1669" s="31" t="s">
        <v>167</v>
      </c>
      <c r="F1669" s="32" t="s">
        <v>49</v>
      </c>
      <c r="G1669" s="32" t="s">
        <v>50</v>
      </c>
      <c r="H1669" s="33">
        <v>177210</v>
      </c>
      <c r="I1669" s="34">
        <f>Table3[[#This Row],[Volume, kg.]]/1000</f>
        <v>177.21</v>
      </c>
      <c r="J1669" s="34">
        <v>0.21969999999999998</v>
      </c>
      <c r="K1669" s="34">
        <f t="shared" si="52"/>
        <v>38933.036999999997</v>
      </c>
      <c r="L1669" s="34">
        <v>2.94</v>
      </c>
      <c r="M1669" s="34">
        <v>520788.5</v>
      </c>
      <c r="N1669" s="34">
        <f t="shared" si="53"/>
        <v>13.381884387801549</v>
      </c>
    </row>
    <row r="1670" spans="1:14" x14ac:dyDescent="0.45">
      <c r="A1670" s="30">
        <v>2023</v>
      </c>
      <c r="B1670" s="30" t="s">
        <v>16</v>
      </c>
      <c r="C1670" s="30" t="s">
        <v>46</v>
      </c>
      <c r="D1670" s="30" t="s">
        <v>47</v>
      </c>
      <c r="E1670" s="31" t="s">
        <v>170</v>
      </c>
      <c r="F1670" s="32" t="s">
        <v>49</v>
      </c>
      <c r="G1670" s="32" t="s">
        <v>50</v>
      </c>
      <c r="H1670" s="33">
        <v>66520</v>
      </c>
      <c r="I1670" s="34">
        <f>Table3[[#This Row],[Volume, kg.]]/1000</f>
        <v>66.52</v>
      </c>
      <c r="J1670" s="34">
        <v>0.2384</v>
      </c>
      <c r="K1670" s="34">
        <f t="shared" si="52"/>
        <v>15858.368</v>
      </c>
      <c r="L1670" s="34">
        <v>3.05</v>
      </c>
      <c r="M1670" s="34">
        <v>202705.5</v>
      </c>
      <c r="N1670" s="34">
        <f t="shared" si="53"/>
        <v>12.793624161073824</v>
      </c>
    </row>
    <row r="1671" spans="1:14" x14ac:dyDescent="0.45">
      <c r="A1671" s="30">
        <v>2023</v>
      </c>
      <c r="B1671" s="30" t="s">
        <v>16</v>
      </c>
      <c r="C1671" s="30" t="s">
        <v>46</v>
      </c>
      <c r="D1671" s="30" t="s">
        <v>47</v>
      </c>
      <c r="E1671" s="31" t="s">
        <v>171</v>
      </c>
      <c r="F1671" s="32" t="s">
        <v>49</v>
      </c>
      <c r="G1671" s="32" t="s">
        <v>50</v>
      </c>
      <c r="H1671" s="33">
        <v>138060</v>
      </c>
      <c r="I1671" s="34">
        <f>Table3[[#This Row],[Volume, kg.]]/1000</f>
        <v>138.06</v>
      </c>
      <c r="J1671" s="34">
        <v>0.22039999999999998</v>
      </c>
      <c r="K1671" s="34">
        <f t="shared" si="52"/>
        <v>30428.423999999999</v>
      </c>
      <c r="L1671" s="34">
        <v>3</v>
      </c>
      <c r="M1671" s="34">
        <v>413574.5</v>
      </c>
      <c r="N1671" s="34">
        <f t="shared" si="53"/>
        <v>13.611615245009075</v>
      </c>
    </row>
    <row r="1672" spans="1:14" x14ac:dyDescent="0.45">
      <c r="A1672" s="30">
        <v>2023</v>
      </c>
      <c r="B1672" s="30" t="s">
        <v>16</v>
      </c>
      <c r="C1672" s="30" t="s">
        <v>46</v>
      </c>
      <c r="D1672" s="30" t="s">
        <v>47</v>
      </c>
      <c r="E1672" s="31" t="s">
        <v>172</v>
      </c>
      <c r="F1672" s="32" t="s">
        <v>57</v>
      </c>
      <c r="G1672" s="32" t="s">
        <v>50</v>
      </c>
      <c r="H1672" s="33">
        <v>17920</v>
      </c>
      <c r="I1672" s="34">
        <f>Table3[[#This Row],[Volume, kg.]]/1000</f>
        <v>17.920000000000002</v>
      </c>
      <c r="J1672" s="34">
        <v>0.2104</v>
      </c>
      <c r="K1672" s="34">
        <f t="shared" si="52"/>
        <v>3770.3679999999999</v>
      </c>
      <c r="L1672" s="34">
        <v>2.91</v>
      </c>
      <c r="M1672" s="34">
        <v>52107</v>
      </c>
      <c r="N1672" s="34">
        <f t="shared" si="53"/>
        <v>13.830798479087452</v>
      </c>
    </row>
    <row r="1673" spans="1:14" x14ac:dyDescent="0.45">
      <c r="A1673" s="30">
        <v>2023</v>
      </c>
      <c r="B1673" s="30" t="s">
        <v>16</v>
      </c>
      <c r="C1673" s="30" t="s">
        <v>46</v>
      </c>
      <c r="D1673" s="30" t="s">
        <v>47</v>
      </c>
      <c r="E1673" s="31" t="s">
        <v>531</v>
      </c>
      <c r="F1673" s="32" t="s">
        <v>60</v>
      </c>
      <c r="G1673" s="32" t="s">
        <v>50</v>
      </c>
      <c r="H1673" s="33">
        <v>12050</v>
      </c>
      <c r="I1673" s="34">
        <f>Table3[[#This Row],[Volume, kg.]]/1000</f>
        <v>12.05</v>
      </c>
      <c r="J1673" s="34">
        <v>0.20600000000000002</v>
      </c>
      <c r="K1673" s="34">
        <f t="shared" si="52"/>
        <v>2482.3000000000002</v>
      </c>
      <c r="L1673" s="34">
        <v>3</v>
      </c>
      <c r="M1673" s="34">
        <v>36150</v>
      </c>
      <c r="N1673" s="34">
        <f t="shared" si="53"/>
        <v>14.563106796116504</v>
      </c>
    </row>
    <row r="1674" spans="1:14" x14ac:dyDescent="0.45">
      <c r="A1674" s="30">
        <v>2023</v>
      </c>
      <c r="B1674" s="30" t="s">
        <v>16</v>
      </c>
      <c r="C1674" s="30" t="s">
        <v>46</v>
      </c>
      <c r="D1674" s="30" t="s">
        <v>47</v>
      </c>
      <c r="E1674" s="31" t="s">
        <v>178</v>
      </c>
      <c r="F1674" s="32" t="s">
        <v>49</v>
      </c>
      <c r="G1674" s="32" t="s">
        <v>50</v>
      </c>
      <c r="H1674" s="33">
        <v>1170</v>
      </c>
      <c r="I1674" s="34">
        <f>Table3[[#This Row],[Volume, kg.]]/1000</f>
        <v>1.17</v>
      </c>
      <c r="J1674" s="34">
        <v>0.25850000000000001</v>
      </c>
      <c r="K1674" s="34">
        <f t="shared" si="52"/>
        <v>302.44499999999999</v>
      </c>
      <c r="L1674" s="34">
        <v>3.25</v>
      </c>
      <c r="M1674" s="34">
        <v>3802.5</v>
      </c>
      <c r="N1674" s="34">
        <f t="shared" si="53"/>
        <v>12.572533849129593</v>
      </c>
    </row>
    <row r="1675" spans="1:14" x14ac:dyDescent="0.45">
      <c r="A1675" s="30">
        <v>2023</v>
      </c>
      <c r="B1675" s="30" t="s">
        <v>16</v>
      </c>
      <c r="C1675" s="30" t="s">
        <v>46</v>
      </c>
      <c r="D1675" s="30" t="s">
        <v>47</v>
      </c>
      <c r="E1675" s="31" t="s">
        <v>179</v>
      </c>
      <c r="F1675" s="32" t="s">
        <v>60</v>
      </c>
      <c r="G1675" s="32" t="s">
        <v>50</v>
      </c>
      <c r="H1675" s="33">
        <v>156520</v>
      </c>
      <c r="I1675" s="34">
        <f>Table3[[#This Row],[Volume, kg.]]/1000</f>
        <v>156.52000000000001</v>
      </c>
      <c r="J1675" s="34">
        <v>0.25640000000000002</v>
      </c>
      <c r="K1675" s="34">
        <f t="shared" si="52"/>
        <v>40131.728000000003</v>
      </c>
      <c r="L1675" s="34">
        <v>3.15</v>
      </c>
      <c r="M1675" s="34">
        <v>492881.5</v>
      </c>
      <c r="N1675" s="34">
        <f t="shared" si="53"/>
        <v>12.285491419656784</v>
      </c>
    </row>
    <row r="1676" spans="1:14" x14ac:dyDescent="0.45">
      <c r="A1676" s="30">
        <v>2023</v>
      </c>
      <c r="B1676" s="30" t="s">
        <v>16</v>
      </c>
      <c r="C1676" s="30" t="s">
        <v>46</v>
      </c>
      <c r="D1676" s="30" t="s">
        <v>47</v>
      </c>
      <c r="E1676" s="31" t="s">
        <v>508</v>
      </c>
      <c r="F1676" s="32" t="s">
        <v>60</v>
      </c>
      <c r="G1676" s="32" t="s">
        <v>50</v>
      </c>
      <c r="H1676" s="33">
        <v>26220</v>
      </c>
      <c r="I1676" s="34">
        <f>Table3[[#This Row],[Volume, kg.]]/1000</f>
        <v>26.22</v>
      </c>
      <c r="J1676" s="34">
        <v>0.2024</v>
      </c>
      <c r="K1676" s="34">
        <f t="shared" si="52"/>
        <v>5306.9279999999999</v>
      </c>
      <c r="L1676" s="34">
        <v>2.86</v>
      </c>
      <c r="M1676" s="34">
        <v>74981</v>
      </c>
      <c r="N1676" s="34">
        <f t="shared" si="53"/>
        <v>14.130434782608695</v>
      </c>
    </row>
    <row r="1677" spans="1:14" x14ac:dyDescent="0.45">
      <c r="A1677" s="30">
        <v>2023</v>
      </c>
      <c r="B1677" s="30" t="s">
        <v>16</v>
      </c>
      <c r="C1677" s="30" t="s">
        <v>46</v>
      </c>
      <c r="D1677" s="30" t="s">
        <v>47</v>
      </c>
      <c r="E1677" s="31" t="s">
        <v>298</v>
      </c>
      <c r="F1677" s="32" t="s">
        <v>49</v>
      </c>
      <c r="G1677" s="32" t="s">
        <v>50</v>
      </c>
      <c r="H1677" s="33">
        <v>19690</v>
      </c>
      <c r="I1677" s="34">
        <f>Table3[[#This Row],[Volume, kg.]]/1000</f>
        <v>19.690000000000001</v>
      </c>
      <c r="J1677" s="34">
        <v>0.25719999999999998</v>
      </c>
      <c r="K1677" s="34">
        <f t="shared" si="52"/>
        <v>5064.268</v>
      </c>
      <c r="L1677" s="34">
        <v>3.12</v>
      </c>
      <c r="M1677" s="34">
        <v>61342.5</v>
      </c>
      <c r="N1677" s="34">
        <f t="shared" si="53"/>
        <v>12.130637636080872</v>
      </c>
    </row>
    <row r="1678" spans="1:14" x14ac:dyDescent="0.45">
      <c r="A1678" s="30">
        <v>2023</v>
      </c>
      <c r="B1678" s="30" t="s">
        <v>16</v>
      </c>
      <c r="C1678" s="30" t="s">
        <v>46</v>
      </c>
      <c r="D1678" s="30" t="s">
        <v>47</v>
      </c>
      <c r="E1678" s="31" t="s">
        <v>467</v>
      </c>
      <c r="F1678" s="32" t="s">
        <v>57</v>
      </c>
      <c r="G1678" s="32" t="s">
        <v>50</v>
      </c>
      <c r="H1678" s="33">
        <v>20210</v>
      </c>
      <c r="I1678" s="34">
        <f>Table3[[#This Row],[Volume, kg.]]/1000</f>
        <v>20.21</v>
      </c>
      <c r="J1678" s="34">
        <v>0.23829999999999998</v>
      </c>
      <c r="K1678" s="34">
        <f t="shared" si="52"/>
        <v>4816.0429999999997</v>
      </c>
      <c r="L1678" s="34">
        <v>3.08</v>
      </c>
      <c r="M1678" s="34">
        <v>62241.5</v>
      </c>
      <c r="N1678" s="34">
        <f t="shared" si="53"/>
        <v>12.924884599244651</v>
      </c>
    </row>
    <row r="1679" spans="1:14" x14ac:dyDescent="0.45">
      <c r="A1679" s="30">
        <v>2023</v>
      </c>
      <c r="B1679" s="30" t="s">
        <v>16</v>
      </c>
      <c r="C1679" s="30" t="s">
        <v>46</v>
      </c>
      <c r="D1679" s="30" t="s">
        <v>47</v>
      </c>
      <c r="E1679" s="31" t="s">
        <v>413</v>
      </c>
      <c r="F1679" s="32" t="s">
        <v>49</v>
      </c>
      <c r="G1679" s="32" t="s">
        <v>50</v>
      </c>
      <c r="H1679" s="33">
        <v>125740</v>
      </c>
      <c r="I1679" s="34">
        <f>Table3[[#This Row],[Volume, kg.]]/1000</f>
        <v>125.74</v>
      </c>
      <c r="J1679" s="34">
        <v>0.22889999999999999</v>
      </c>
      <c r="K1679" s="34">
        <f t="shared" si="52"/>
        <v>28781.885999999999</v>
      </c>
      <c r="L1679" s="34">
        <v>3.02</v>
      </c>
      <c r="M1679" s="34">
        <v>380205.5</v>
      </c>
      <c r="N1679" s="34">
        <f t="shared" si="53"/>
        <v>13.193534294451727</v>
      </c>
    </row>
    <row r="1680" spans="1:14" x14ac:dyDescent="0.45">
      <c r="A1680" s="30">
        <v>2023</v>
      </c>
      <c r="B1680" s="30" t="s">
        <v>16</v>
      </c>
      <c r="C1680" s="30" t="s">
        <v>46</v>
      </c>
      <c r="D1680" s="30" t="s">
        <v>47</v>
      </c>
      <c r="E1680" s="31" t="s">
        <v>181</v>
      </c>
      <c r="F1680" s="32" t="s">
        <v>57</v>
      </c>
      <c r="G1680" s="32" t="s">
        <v>50</v>
      </c>
      <c r="H1680" s="33">
        <v>4740</v>
      </c>
      <c r="I1680" s="34">
        <f>Table3[[#This Row],[Volume, kg.]]/1000</f>
        <v>4.74</v>
      </c>
      <c r="J1680" s="34">
        <v>0.26</v>
      </c>
      <c r="K1680" s="34">
        <f t="shared" si="52"/>
        <v>1232.4000000000001</v>
      </c>
      <c r="L1680" s="34">
        <v>3.2</v>
      </c>
      <c r="M1680" s="34">
        <v>15168</v>
      </c>
      <c r="N1680" s="34">
        <f t="shared" si="53"/>
        <v>12.307692307692308</v>
      </c>
    </row>
    <row r="1681" spans="1:14" x14ac:dyDescent="0.45">
      <c r="A1681" s="30">
        <v>2023</v>
      </c>
      <c r="B1681" s="30" t="s">
        <v>16</v>
      </c>
      <c r="C1681" s="30" t="s">
        <v>46</v>
      </c>
      <c r="D1681" s="30" t="s">
        <v>47</v>
      </c>
      <c r="E1681" s="31" t="s">
        <v>182</v>
      </c>
      <c r="F1681" s="32" t="s">
        <v>81</v>
      </c>
      <c r="G1681" s="32" t="s">
        <v>50</v>
      </c>
      <c r="H1681" s="33">
        <v>153940</v>
      </c>
      <c r="I1681" s="34">
        <f>Table3[[#This Row],[Volume, kg.]]/1000</f>
        <v>153.94</v>
      </c>
      <c r="J1681" s="34">
        <v>0.23670000000000002</v>
      </c>
      <c r="K1681" s="34">
        <f t="shared" si="52"/>
        <v>36437.598000000005</v>
      </c>
      <c r="L1681" s="34">
        <v>3.01</v>
      </c>
      <c r="M1681" s="34">
        <v>463194.5</v>
      </c>
      <c r="N1681" s="34">
        <f t="shared" si="53"/>
        <v>12.716518800168988</v>
      </c>
    </row>
    <row r="1682" spans="1:14" x14ac:dyDescent="0.45">
      <c r="A1682" s="30">
        <v>2023</v>
      </c>
      <c r="B1682" s="30" t="s">
        <v>16</v>
      </c>
      <c r="C1682" s="30" t="s">
        <v>46</v>
      </c>
      <c r="D1682" s="30" t="s">
        <v>47</v>
      </c>
      <c r="E1682" s="31" t="s">
        <v>301</v>
      </c>
      <c r="F1682" s="32" t="s">
        <v>60</v>
      </c>
      <c r="G1682" s="32" t="s">
        <v>50</v>
      </c>
      <c r="H1682" s="33">
        <v>264470</v>
      </c>
      <c r="I1682" s="34">
        <f>Table3[[#This Row],[Volume, kg.]]/1000</f>
        <v>264.47000000000003</v>
      </c>
      <c r="J1682" s="34">
        <v>0.25509999999999999</v>
      </c>
      <c r="K1682" s="34">
        <f t="shared" si="52"/>
        <v>67466.296999999991</v>
      </c>
      <c r="L1682" s="34">
        <v>3.16</v>
      </c>
      <c r="M1682" s="34">
        <v>835296</v>
      </c>
      <c r="N1682" s="34">
        <f t="shared" si="53"/>
        <v>12.387299098392788</v>
      </c>
    </row>
    <row r="1683" spans="1:14" x14ac:dyDescent="0.45">
      <c r="A1683" s="30">
        <v>2023</v>
      </c>
      <c r="B1683" s="30" t="s">
        <v>16</v>
      </c>
      <c r="C1683" s="30" t="s">
        <v>46</v>
      </c>
      <c r="D1683" s="30" t="s">
        <v>47</v>
      </c>
      <c r="E1683" s="31" t="s">
        <v>382</v>
      </c>
      <c r="F1683" s="32" t="s">
        <v>60</v>
      </c>
      <c r="G1683" s="32" t="s">
        <v>50</v>
      </c>
      <c r="H1683" s="33">
        <v>50230</v>
      </c>
      <c r="I1683" s="34">
        <f>Table3[[#This Row],[Volume, kg.]]/1000</f>
        <v>50.23</v>
      </c>
      <c r="J1683" s="34">
        <v>0.23620000000000002</v>
      </c>
      <c r="K1683" s="34">
        <f t="shared" si="52"/>
        <v>11864.326000000001</v>
      </c>
      <c r="L1683" s="34">
        <v>3.01</v>
      </c>
      <c r="M1683" s="34">
        <v>151000</v>
      </c>
      <c r="N1683" s="34">
        <f t="shared" si="53"/>
        <v>12.743437764606265</v>
      </c>
    </row>
    <row r="1684" spans="1:14" x14ac:dyDescent="0.45">
      <c r="A1684" s="30">
        <v>2023</v>
      </c>
      <c r="B1684" s="30" t="s">
        <v>16</v>
      </c>
      <c r="C1684" s="30" t="s">
        <v>46</v>
      </c>
      <c r="D1684" s="30" t="s">
        <v>47</v>
      </c>
      <c r="E1684" s="31" t="s">
        <v>401</v>
      </c>
      <c r="F1684" s="32" t="s">
        <v>57</v>
      </c>
      <c r="G1684" s="32" t="s">
        <v>50</v>
      </c>
      <c r="H1684" s="33">
        <v>26820</v>
      </c>
      <c r="I1684" s="34">
        <f>Table3[[#This Row],[Volume, kg.]]/1000</f>
        <v>26.82</v>
      </c>
      <c r="J1684" s="34">
        <v>0.23440000000000003</v>
      </c>
      <c r="K1684" s="34">
        <f t="shared" si="52"/>
        <v>6286.6080000000011</v>
      </c>
      <c r="L1684" s="34">
        <v>3.04</v>
      </c>
      <c r="M1684" s="34">
        <v>81587</v>
      </c>
      <c r="N1684" s="34">
        <f t="shared" si="53"/>
        <v>12.969283276450511</v>
      </c>
    </row>
    <row r="1685" spans="1:14" x14ac:dyDescent="0.45">
      <c r="A1685" s="30">
        <v>2023</v>
      </c>
      <c r="B1685" s="30" t="s">
        <v>16</v>
      </c>
      <c r="C1685" s="30" t="s">
        <v>46</v>
      </c>
      <c r="D1685" s="30" t="s">
        <v>47</v>
      </c>
      <c r="E1685" s="31" t="s">
        <v>526</v>
      </c>
      <c r="F1685" s="32" t="s">
        <v>49</v>
      </c>
      <c r="G1685" s="32" t="s">
        <v>50</v>
      </c>
      <c r="H1685" s="33">
        <v>66100</v>
      </c>
      <c r="I1685" s="34">
        <f>Table3[[#This Row],[Volume, kg.]]/1000</f>
        <v>66.099999999999994</v>
      </c>
      <c r="J1685" s="34">
        <v>0.25009999999999999</v>
      </c>
      <c r="K1685" s="34">
        <f t="shared" si="52"/>
        <v>16531.61</v>
      </c>
      <c r="L1685" s="34">
        <v>3.16</v>
      </c>
      <c r="M1685" s="34">
        <v>208680</v>
      </c>
      <c r="N1685" s="34">
        <f t="shared" si="53"/>
        <v>12.634946021591364</v>
      </c>
    </row>
    <row r="1686" spans="1:14" x14ac:dyDescent="0.45">
      <c r="A1686" s="30">
        <v>2023</v>
      </c>
      <c r="B1686" s="30" t="s">
        <v>16</v>
      </c>
      <c r="C1686" s="30" t="s">
        <v>46</v>
      </c>
      <c r="D1686" s="30" t="s">
        <v>47</v>
      </c>
      <c r="E1686" s="31" t="s">
        <v>187</v>
      </c>
      <c r="F1686" s="32" t="s">
        <v>54</v>
      </c>
      <c r="G1686" s="32" t="s">
        <v>50</v>
      </c>
      <c r="H1686" s="33">
        <v>64520</v>
      </c>
      <c r="I1686" s="34">
        <f>Table3[[#This Row],[Volume, kg.]]/1000</f>
        <v>64.52</v>
      </c>
      <c r="J1686" s="34">
        <v>0.22649999999999998</v>
      </c>
      <c r="K1686" s="34">
        <f t="shared" si="52"/>
        <v>14613.779999999999</v>
      </c>
      <c r="L1686" s="34">
        <v>3</v>
      </c>
      <c r="M1686" s="34">
        <v>193550</v>
      </c>
      <c r="N1686" s="34">
        <f t="shared" si="53"/>
        <v>13.245033112582783</v>
      </c>
    </row>
    <row r="1687" spans="1:14" x14ac:dyDescent="0.45">
      <c r="A1687" s="30">
        <v>2023</v>
      </c>
      <c r="B1687" s="30" t="s">
        <v>16</v>
      </c>
      <c r="C1687" s="30" t="s">
        <v>46</v>
      </c>
      <c r="D1687" s="30" t="s">
        <v>47</v>
      </c>
      <c r="E1687" s="31" t="s">
        <v>355</v>
      </c>
      <c r="F1687" s="32" t="s">
        <v>60</v>
      </c>
      <c r="G1687" s="32" t="s">
        <v>50</v>
      </c>
      <c r="H1687" s="33">
        <v>199600</v>
      </c>
      <c r="I1687" s="34">
        <f>Table3[[#This Row],[Volume, kg.]]/1000</f>
        <v>199.6</v>
      </c>
      <c r="J1687" s="34">
        <v>0.23449999999999999</v>
      </c>
      <c r="K1687" s="34">
        <f t="shared" si="52"/>
        <v>46806.2</v>
      </c>
      <c r="L1687" s="34">
        <v>3.05</v>
      </c>
      <c r="M1687" s="34">
        <v>609427.5</v>
      </c>
      <c r="N1687" s="34">
        <f t="shared" si="53"/>
        <v>13.00639658848614</v>
      </c>
    </row>
    <row r="1688" spans="1:14" x14ac:dyDescent="0.45">
      <c r="A1688" s="30">
        <v>2023</v>
      </c>
      <c r="B1688" s="30" t="s">
        <v>16</v>
      </c>
      <c r="C1688" s="30" t="s">
        <v>46</v>
      </c>
      <c r="D1688" s="30" t="s">
        <v>102</v>
      </c>
      <c r="E1688" s="31" t="s">
        <v>188</v>
      </c>
      <c r="F1688" s="32" t="s">
        <v>189</v>
      </c>
      <c r="G1688" s="32" t="s">
        <v>128</v>
      </c>
      <c r="H1688" s="33">
        <v>294360</v>
      </c>
      <c r="I1688" s="34">
        <f>Table3[[#This Row],[Volume, kg.]]/1000</f>
        <v>294.36</v>
      </c>
      <c r="J1688" s="34">
        <v>0.2404</v>
      </c>
      <c r="K1688" s="34">
        <f t="shared" si="52"/>
        <v>70764.144</v>
      </c>
      <c r="L1688" s="34">
        <v>3.23</v>
      </c>
      <c r="M1688" s="34">
        <v>950861.5</v>
      </c>
      <c r="N1688" s="34">
        <f t="shared" si="53"/>
        <v>13.43594009983361</v>
      </c>
    </row>
    <row r="1689" spans="1:14" x14ac:dyDescent="0.45">
      <c r="A1689" s="30">
        <v>2023</v>
      </c>
      <c r="B1689" s="30" t="s">
        <v>16</v>
      </c>
      <c r="C1689" s="30" t="s">
        <v>46</v>
      </c>
      <c r="D1689" s="30" t="s">
        <v>47</v>
      </c>
      <c r="E1689" s="31" t="s">
        <v>191</v>
      </c>
      <c r="F1689" s="32" t="s">
        <v>49</v>
      </c>
      <c r="G1689" s="32" t="s">
        <v>50</v>
      </c>
      <c r="H1689" s="33">
        <v>65750</v>
      </c>
      <c r="I1689" s="34">
        <f>Table3[[#This Row],[Volume, kg.]]/1000</f>
        <v>65.75</v>
      </c>
      <c r="J1689" s="34">
        <v>0.25420000000000004</v>
      </c>
      <c r="K1689" s="34">
        <f t="shared" si="52"/>
        <v>16713.650000000001</v>
      </c>
      <c r="L1689" s="34">
        <v>3.19</v>
      </c>
      <c r="M1689" s="34">
        <v>209518.5</v>
      </c>
      <c r="N1689" s="34">
        <f t="shared" si="53"/>
        <v>12.54917387883556</v>
      </c>
    </row>
    <row r="1690" spans="1:14" x14ac:dyDescent="0.45">
      <c r="A1690" s="30">
        <v>2023</v>
      </c>
      <c r="B1690" s="30" t="s">
        <v>16</v>
      </c>
      <c r="C1690" s="30" t="s">
        <v>46</v>
      </c>
      <c r="D1690" s="30" t="s">
        <v>47</v>
      </c>
      <c r="E1690" s="31" t="s">
        <v>192</v>
      </c>
      <c r="F1690" s="32" t="s">
        <v>49</v>
      </c>
      <c r="G1690" s="32" t="s">
        <v>50</v>
      </c>
      <c r="H1690" s="33">
        <v>86410</v>
      </c>
      <c r="I1690" s="34">
        <f>Table3[[#This Row],[Volume, kg.]]/1000</f>
        <v>86.41</v>
      </c>
      <c r="J1690" s="34">
        <v>0.23379999999999998</v>
      </c>
      <c r="K1690" s="34">
        <f t="shared" si="52"/>
        <v>20202.657999999999</v>
      </c>
      <c r="L1690" s="34">
        <v>3</v>
      </c>
      <c r="M1690" s="34">
        <v>259520.5</v>
      </c>
      <c r="N1690" s="34">
        <f t="shared" si="53"/>
        <v>12.831479897348162</v>
      </c>
    </row>
    <row r="1691" spans="1:14" x14ac:dyDescent="0.45">
      <c r="A1691" s="30">
        <v>2023</v>
      </c>
      <c r="B1691" s="30" t="s">
        <v>16</v>
      </c>
      <c r="C1691" s="30" t="s">
        <v>46</v>
      </c>
      <c r="D1691" s="30" t="s">
        <v>47</v>
      </c>
      <c r="E1691" s="31" t="s">
        <v>302</v>
      </c>
      <c r="F1691" s="32" t="s">
        <v>49</v>
      </c>
      <c r="G1691" s="32" t="s">
        <v>50</v>
      </c>
      <c r="H1691" s="33">
        <v>14870</v>
      </c>
      <c r="I1691" s="34">
        <f>Table3[[#This Row],[Volume, kg.]]/1000</f>
        <v>14.87</v>
      </c>
      <c r="J1691" s="34">
        <v>0.23260000000000003</v>
      </c>
      <c r="K1691" s="34">
        <f t="shared" si="52"/>
        <v>3458.7620000000006</v>
      </c>
      <c r="L1691" s="34">
        <v>2.9</v>
      </c>
      <c r="M1691" s="34">
        <v>43131.5</v>
      </c>
      <c r="N1691" s="34">
        <f t="shared" si="53"/>
        <v>12.467755803955287</v>
      </c>
    </row>
    <row r="1692" spans="1:14" x14ac:dyDescent="0.45">
      <c r="A1692" s="30">
        <v>2023</v>
      </c>
      <c r="B1692" s="30" t="s">
        <v>16</v>
      </c>
      <c r="C1692" s="30" t="s">
        <v>46</v>
      </c>
      <c r="D1692" s="30" t="s">
        <v>47</v>
      </c>
      <c r="E1692" s="31" t="s">
        <v>303</v>
      </c>
      <c r="F1692" s="32" t="s">
        <v>57</v>
      </c>
      <c r="G1692" s="32" t="s">
        <v>50</v>
      </c>
      <c r="H1692" s="33">
        <v>31010</v>
      </c>
      <c r="I1692" s="34">
        <f>Table3[[#This Row],[Volume, kg.]]/1000</f>
        <v>31.01</v>
      </c>
      <c r="J1692" s="34">
        <v>0.2414</v>
      </c>
      <c r="K1692" s="34">
        <f t="shared" si="52"/>
        <v>7485.8140000000003</v>
      </c>
      <c r="L1692" s="34">
        <v>3.08</v>
      </c>
      <c r="M1692" s="34">
        <v>95474.5</v>
      </c>
      <c r="N1692" s="34">
        <f t="shared" si="53"/>
        <v>12.75890637945319</v>
      </c>
    </row>
    <row r="1693" spans="1:14" x14ac:dyDescent="0.45">
      <c r="A1693" s="30">
        <v>2023</v>
      </c>
      <c r="B1693" s="30" t="s">
        <v>16</v>
      </c>
      <c r="C1693" s="30" t="s">
        <v>46</v>
      </c>
      <c r="D1693" s="30" t="s">
        <v>47</v>
      </c>
      <c r="E1693" s="31" t="s">
        <v>194</v>
      </c>
      <c r="F1693" s="32" t="s">
        <v>49</v>
      </c>
      <c r="G1693" s="32" t="s">
        <v>50</v>
      </c>
      <c r="H1693" s="33">
        <v>33480</v>
      </c>
      <c r="I1693" s="34">
        <f>Table3[[#This Row],[Volume, kg.]]/1000</f>
        <v>33.479999999999997</v>
      </c>
      <c r="J1693" s="34">
        <v>0.21579999999999999</v>
      </c>
      <c r="K1693" s="34">
        <f t="shared" si="52"/>
        <v>7224.9839999999995</v>
      </c>
      <c r="L1693" s="34">
        <v>2.9</v>
      </c>
      <c r="M1693" s="34">
        <v>97077</v>
      </c>
      <c r="N1693" s="34">
        <f t="shared" si="53"/>
        <v>13.438368860055608</v>
      </c>
    </row>
    <row r="1694" spans="1:14" x14ac:dyDescent="0.45">
      <c r="A1694" s="30">
        <v>2023</v>
      </c>
      <c r="B1694" s="30" t="s">
        <v>16</v>
      </c>
      <c r="C1694" s="30" t="s">
        <v>46</v>
      </c>
      <c r="D1694" s="30" t="s">
        <v>47</v>
      </c>
      <c r="E1694" s="31" t="s">
        <v>197</v>
      </c>
      <c r="F1694" s="32" t="s">
        <v>57</v>
      </c>
      <c r="G1694" s="32" t="s">
        <v>50</v>
      </c>
      <c r="H1694" s="33">
        <v>186650</v>
      </c>
      <c r="I1694" s="34">
        <f>Table3[[#This Row],[Volume, kg.]]/1000</f>
        <v>186.65</v>
      </c>
      <c r="J1694" s="34">
        <v>0.2447</v>
      </c>
      <c r="K1694" s="34">
        <f t="shared" si="52"/>
        <v>45673.254999999997</v>
      </c>
      <c r="L1694" s="34">
        <v>3.09</v>
      </c>
      <c r="M1694" s="34">
        <v>575877.5</v>
      </c>
      <c r="N1694" s="34">
        <f t="shared" si="53"/>
        <v>12.627707396812422</v>
      </c>
    </row>
    <row r="1695" spans="1:14" x14ac:dyDescent="0.45">
      <c r="A1695" s="30">
        <v>2023</v>
      </c>
      <c r="B1695" s="30" t="s">
        <v>16</v>
      </c>
      <c r="C1695" s="30" t="s">
        <v>46</v>
      </c>
      <c r="D1695" s="30" t="s">
        <v>47</v>
      </c>
      <c r="E1695" s="31" t="s">
        <v>442</v>
      </c>
      <c r="F1695" s="32" t="s">
        <v>81</v>
      </c>
      <c r="G1695" s="32" t="s">
        <v>50</v>
      </c>
      <c r="H1695" s="33">
        <v>12240</v>
      </c>
      <c r="I1695" s="34">
        <f>Table3[[#This Row],[Volume, kg.]]/1000</f>
        <v>12.24</v>
      </c>
      <c r="J1695" s="34">
        <v>0.21350000000000002</v>
      </c>
      <c r="K1695" s="34">
        <f t="shared" si="52"/>
        <v>2613.2400000000002</v>
      </c>
      <c r="L1695" s="34">
        <v>2.9</v>
      </c>
      <c r="M1695" s="34">
        <v>35496</v>
      </c>
      <c r="N1695" s="34">
        <f t="shared" si="53"/>
        <v>13.583138173302105</v>
      </c>
    </row>
    <row r="1696" spans="1:14" x14ac:dyDescent="0.45">
      <c r="A1696" s="30">
        <v>2023</v>
      </c>
      <c r="B1696" s="30" t="s">
        <v>16</v>
      </c>
      <c r="C1696" s="30" t="s">
        <v>46</v>
      </c>
      <c r="D1696" s="30" t="s">
        <v>47</v>
      </c>
      <c r="E1696" s="31" t="s">
        <v>306</v>
      </c>
      <c r="F1696" s="32" t="s">
        <v>60</v>
      </c>
      <c r="G1696" s="32" t="s">
        <v>50</v>
      </c>
      <c r="H1696" s="33">
        <v>27100</v>
      </c>
      <c r="I1696" s="34">
        <f>Table3[[#This Row],[Volume, kg.]]/1000</f>
        <v>27.1</v>
      </c>
      <c r="J1696" s="34">
        <v>0.24420000000000003</v>
      </c>
      <c r="K1696" s="34">
        <f t="shared" si="52"/>
        <v>6617.8200000000006</v>
      </c>
      <c r="L1696" s="34">
        <v>3</v>
      </c>
      <c r="M1696" s="34">
        <v>81219</v>
      </c>
      <c r="N1696" s="34">
        <f t="shared" si="53"/>
        <v>12.285012285012284</v>
      </c>
    </row>
    <row r="1697" spans="1:14" x14ac:dyDescent="0.45">
      <c r="A1697" s="30">
        <v>2023</v>
      </c>
      <c r="B1697" s="30" t="s">
        <v>16</v>
      </c>
      <c r="C1697" s="30" t="s">
        <v>46</v>
      </c>
      <c r="D1697" s="30" t="s">
        <v>47</v>
      </c>
      <c r="E1697" s="31" t="s">
        <v>198</v>
      </c>
      <c r="F1697" s="32" t="s">
        <v>49</v>
      </c>
      <c r="G1697" s="32" t="s">
        <v>50</v>
      </c>
      <c r="H1697" s="33">
        <v>29430</v>
      </c>
      <c r="I1697" s="34">
        <f>Table3[[#This Row],[Volume, kg.]]/1000</f>
        <v>29.43</v>
      </c>
      <c r="J1697" s="34">
        <v>0.2419</v>
      </c>
      <c r="K1697" s="34">
        <f t="shared" si="52"/>
        <v>7119.1170000000002</v>
      </c>
      <c r="L1697" s="34">
        <v>2.99</v>
      </c>
      <c r="M1697" s="34">
        <v>87956</v>
      </c>
      <c r="N1697" s="34">
        <f t="shared" si="53"/>
        <v>12.36047953699876</v>
      </c>
    </row>
    <row r="1698" spans="1:14" x14ac:dyDescent="0.45">
      <c r="A1698" s="30">
        <v>2023</v>
      </c>
      <c r="B1698" s="30" t="s">
        <v>16</v>
      </c>
      <c r="C1698" s="30" t="s">
        <v>46</v>
      </c>
      <c r="D1698" s="30" t="s">
        <v>47</v>
      </c>
      <c r="E1698" s="31" t="s">
        <v>199</v>
      </c>
      <c r="F1698" s="32" t="s">
        <v>60</v>
      </c>
      <c r="G1698" s="32" t="s">
        <v>50</v>
      </c>
      <c r="H1698" s="33">
        <v>11060</v>
      </c>
      <c r="I1698" s="34">
        <f>Table3[[#This Row],[Volume, kg.]]/1000</f>
        <v>11.06</v>
      </c>
      <c r="J1698" s="34">
        <v>0.22839999999999999</v>
      </c>
      <c r="K1698" s="34">
        <f t="shared" si="52"/>
        <v>2526.1039999999998</v>
      </c>
      <c r="L1698" s="34">
        <v>2.92</v>
      </c>
      <c r="M1698" s="34">
        <v>32340.5</v>
      </c>
      <c r="N1698" s="34">
        <f t="shared" si="53"/>
        <v>12.784588441330998</v>
      </c>
    </row>
    <row r="1699" spans="1:14" x14ac:dyDescent="0.45">
      <c r="A1699" s="30">
        <v>2023</v>
      </c>
      <c r="B1699" s="30" t="s">
        <v>16</v>
      </c>
      <c r="C1699" s="30" t="s">
        <v>46</v>
      </c>
      <c r="D1699" s="30" t="s">
        <v>47</v>
      </c>
      <c r="E1699" s="31" t="s">
        <v>532</v>
      </c>
      <c r="F1699" s="32" t="s">
        <v>54</v>
      </c>
      <c r="G1699" s="32" t="s">
        <v>50</v>
      </c>
      <c r="H1699" s="33">
        <v>9450</v>
      </c>
      <c r="I1699" s="34">
        <f>Table3[[#This Row],[Volume, kg.]]/1000</f>
        <v>9.4499999999999993</v>
      </c>
      <c r="J1699" s="34">
        <v>0.221</v>
      </c>
      <c r="K1699" s="34">
        <f t="shared" si="52"/>
        <v>2088.4499999999998</v>
      </c>
      <c r="L1699" s="34">
        <v>2.95</v>
      </c>
      <c r="M1699" s="34">
        <v>27877.5</v>
      </c>
      <c r="N1699" s="34">
        <f t="shared" si="53"/>
        <v>13.348416289592761</v>
      </c>
    </row>
    <row r="1700" spans="1:14" x14ac:dyDescent="0.45">
      <c r="A1700" s="30">
        <v>2023</v>
      </c>
      <c r="B1700" s="30" t="s">
        <v>16</v>
      </c>
      <c r="C1700" s="30" t="s">
        <v>46</v>
      </c>
      <c r="D1700" s="30" t="s">
        <v>47</v>
      </c>
      <c r="E1700" s="31" t="s">
        <v>309</v>
      </c>
      <c r="F1700" s="32" t="s">
        <v>81</v>
      </c>
      <c r="G1700" s="32" t="s">
        <v>50</v>
      </c>
      <c r="H1700" s="33">
        <v>120950</v>
      </c>
      <c r="I1700" s="34">
        <f>Table3[[#This Row],[Volume, kg.]]/1000</f>
        <v>120.95</v>
      </c>
      <c r="J1700" s="34">
        <v>0.23749999999999999</v>
      </c>
      <c r="K1700" s="34">
        <f t="shared" si="52"/>
        <v>28725.625</v>
      </c>
      <c r="L1700" s="34">
        <v>3.04</v>
      </c>
      <c r="M1700" s="34">
        <v>367101</v>
      </c>
      <c r="N1700" s="34">
        <f t="shared" si="53"/>
        <v>12.8</v>
      </c>
    </row>
    <row r="1701" spans="1:14" x14ac:dyDescent="0.45">
      <c r="A1701" s="30">
        <v>2023</v>
      </c>
      <c r="B1701" s="30" t="s">
        <v>16</v>
      </c>
      <c r="C1701" s="30" t="s">
        <v>46</v>
      </c>
      <c r="D1701" s="30" t="s">
        <v>47</v>
      </c>
      <c r="E1701" s="31" t="s">
        <v>358</v>
      </c>
      <c r="F1701" s="32" t="s">
        <v>60</v>
      </c>
      <c r="G1701" s="32" t="s">
        <v>50</v>
      </c>
      <c r="H1701" s="33">
        <v>247300</v>
      </c>
      <c r="I1701" s="34">
        <f>Table3[[#This Row],[Volume, kg.]]/1000</f>
        <v>247.3</v>
      </c>
      <c r="J1701" s="34">
        <v>0.24429999999999999</v>
      </c>
      <c r="K1701" s="34">
        <f t="shared" si="52"/>
        <v>60415.39</v>
      </c>
      <c r="L1701" s="34">
        <v>3.1</v>
      </c>
      <c r="M1701" s="34">
        <v>767331.5</v>
      </c>
      <c r="N1701" s="34">
        <f t="shared" si="53"/>
        <v>12.689316414244782</v>
      </c>
    </row>
    <row r="1702" spans="1:14" x14ac:dyDescent="0.45">
      <c r="A1702" s="30">
        <v>2023</v>
      </c>
      <c r="B1702" s="30" t="s">
        <v>16</v>
      </c>
      <c r="C1702" s="30" t="s">
        <v>46</v>
      </c>
      <c r="D1702" s="30" t="s">
        <v>47</v>
      </c>
      <c r="E1702" s="31" t="s">
        <v>311</v>
      </c>
      <c r="F1702" s="32" t="s">
        <v>57</v>
      </c>
      <c r="G1702" s="32" t="s">
        <v>50</v>
      </c>
      <c r="H1702" s="33">
        <v>157180</v>
      </c>
      <c r="I1702" s="34">
        <f>Table3[[#This Row],[Volume, kg.]]/1000</f>
        <v>157.18</v>
      </c>
      <c r="J1702" s="34">
        <v>0.26119999999999999</v>
      </c>
      <c r="K1702" s="34">
        <f t="shared" si="52"/>
        <v>41055.415999999997</v>
      </c>
      <c r="L1702" s="34">
        <v>3.15</v>
      </c>
      <c r="M1702" s="34">
        <v>495380.5</v>
      </c>
      <c r="N1702" s="34">
        <f t="shared" si="53"/>
        <v>12.059724349157733</v>
      </c>
    </row>
    <row r="1703" spans="1:14" x14ac:dyDescent="0.45">
      <c r="A1703" s="30">
        <v>2023</v>
      </c>
      <c r="B1703" s="30" t="s">
        <v>16</v>
      </c>
      <c r="C1703" s="30" t="s">
        <v>46</v>
      </c>
      <c r="D1703" s="30" t="s">
        <v>47</v>
      </c>
      <c r="E1703" s="31" t="s">
        <v>202</v>
      </c>
      <c r="F1703" s="32" t="s">
        <v>57</v>
      </c>
      <c r="G1703" s="32" t="s">
        <v>50</v>
      </c>
      <c r="H1703" s="33">
        <v>151710</v>
      </c>
      <c r="I1703" s="34">
        <f>Table3[[#This Row],[Volume, kg.]]/1000</f>
        <v>151.71</v>
      </c>
      <c r="J1703" s="34">
        <v>0.22219999999999998</v>
      </c>
      <c r="K1703" s="34">
        <f t="shared" si="52"/>
        <v>33709.962</v>
      </c>
      <c r="L1703" s="34">
        <v>2.99</v>
      </c>
      <c r="M1703" s="34">
        <v>454164</v>
      </c>
      <c r="N1703" s="34">
        <f t="shared" si="53"/>
        <v>13.456345634563458</v>
      </c>
    </row>
    <row r="1704" spans="1:14" x14ac:dyDescent="0.45">
      <c r="A1704" s="30">
        <v>2023</v>
      </c>
      <c r="B1704" s="30" t="s">
        <v>16</v>
      </c>
      <c r="C1704" s="30" t="s">
        <v>46</v>
      </c>
      <c r="D1704" s="30" t="s">
        <v>47</v>
      </c>
      <c r="E1704" s="31" t="s">
        <v>203</v>
      </c>
      <c r="F1704" s="32" t="s">
        <v>57</v>
      </c>
      <c r="G1704" s="32" t="s">
        <v>50</v>
      </c>
      <c r="H1704" s="33">
        <v>36290</v>
      </c>
      <c r="I1704" s="34">
        <f>Table3[[#This Row],[Volume, kg.]]/1000</f>
        <v>36.29</v>
      </c>
      <c r="J1704" s="34">
        <v>0.23019999999999999</v>
      </c>
      <c r="K1704" s="34">
        <f t="shared" si="52"/>
        <v>8353.9579999999987</v>
      </c>
      <c r="L1704" s="34">
        <v>3.06</v>
      </c>
      <c r="M1704" s="34">
        <v>111046.5</v>
      </c>
      <c r="N1704" s="34">
        <f t="shared" si="53"/>
        <v>13.292788879235449</v>
      </c>
    </row>
    <row r="1705" spans="1:14" x14ac:dyDescent="0.45">
      <c r="A1705" s="30">
        <v>2023</v>
      </c>
      <c r="B1705" s="30" t="s">
        <v>16</v>
      </c>
      <c r="C1705" s="30" t="s">
        <v>46</v>
      </c>
      <c r="D1705" s="30" t="s">
        <v>47</v>
      </c>
      <c r="E1705" s="31" t="s">
        <v>204</v>
      </c>
      <c r="F1705" s="32" t="s">
        <v>49</v>
      </c>
      <c r="G1705" s="32" t="s">
        <v>50</v>
      </c>
      <c r="H1705" s="33">
        <v>236430</v>
      </c>
      <c r="I1705" s="34">
        <f>Table3[[#This Row],[Volume, kg.]]/1000</f>
        <v>236.43</v>
      </c>
      <c r="J1705" s="34">
        <v>0.23190000000000002</v>
      </c>
      <c r="K1705" s="34">
        <f t="shared" si="52"/>
        <v>54828.117000000006</v>
      </c>
      <c r="L1705" s="34">
        <v>3.03</v>
      </c>
      <c r="M1705" s="34">
        <v>715463.5</v>
      </c>
      <c r="N1705" s="34">
        <f t="shared" si="53"/>
        <v>13.065976714100904</v>
      </c>
    </row>
    <row r="1706" spans="1:14" x14ac:dyDescent="0.45">
      <c r="A1706" s="30">
        <v>2023</v>
      </c>
      <c r="B1706" s="30" t="s">
        <v>16</v>
      </c>
      <c r="C1706" s="30" t="s">
        <v>46</v>
      </c>
      <c r="D1706" s="30" t="s">
        <v>47</v>
      </c>
      <c r="E1706" s="31" t="s">
        <v>412</v>
      </c>
      <c r="F1706" s="32" t="s">
        <v>57</v>
      </c>
      <c r="G1706" s="32" t="s">
        <v>50</v>
      </c>
      <c r="H1706" s="33">
        <v>16640</v>
      </c>
      <c r="I1706" s="34">
        <f>Table3[[#This Row],[Volume, kg.]]/1000</f>
        <v>16.64</v>
      </c>
      <c r="J1706" s="34">
        <v>0.26379999999999998</v>
      </c>
      <c r="K1706" s="34">
        <f t="shared" si="52"/>
        <v>4389.6319999999996</v>
      </c>
      <c r="L1706" s="34">
        <v>3.22</v>
      </c>
      <c r="M1706" s="34">
        <v>53520</v>
      </c>
      <c r="N1706" s="34">
        <f t="shared" si="53"/>
        <v>12.206216830932526</v>
      </c>
    </row>
    <row r="1707" spans="1:14" x14ac:dyDescent="0.45">
      <c r="A1707" s="30">
        <v>2023</v>
      </c>
      <c r="B1707" s="30" t="s">
        <v>16</v>
      </c>
      <c r="C1707" s="30" t="s">
        <v>46</v>
      </c>
      <c r="D1707" s="30" t="s">
        <v>47</v>
      </c>
      <c r="E1707" s="31" t="s">
        <v>443</v>
      </c>
      <c r="F1707" s="32" t="s">
        <v>134</v>
      </c>
      <c r="G1707" s="32" t="s">
        <v>50</v>
      </c>
      <c r="H1707" s="33">
        <v>26070</v>
      </c>
      <c r="I1707" s="34">
        <f>Table3[[#This Row],[Volume, kg.]]/1000</f>
        <v>26.07</v>
      </c>
      <c r="J1707" s="34">
        <v>0.19339999999999999</v>
      </c>
      <c r="K1707" s="34">
        <f t="shared" si="52"/>
        <v>5041.9380000000001</v>
      </c>
      <c r="L1707" s="34">
        <v>2.83</v>
      </c>
      <c r="M1707" s="34">
        <v>73701.5</v>
      </c>
      <c r="N1707" s="34">
        <f t="shared" si="53"/>
        <v>14.632885211995864</v>
      </c>
    </row>
    <row r="1708" spans="1:14" x14ac:dyDescent="0.45">
      <c r="A1708" s="30">
        <v>2023</v>
      </c>
      <c r="B1708" s="30" t="s">
        <v>16</v>
      </c>
      <c r="C1708" s="30" t="s">
        <v>46</v>
      </c>
      <c r="D1708" s="30" t="s">
        <v>47</v>
      </c>
      <c r="E1708" s="31" t="s">
        <v>509</v>
      </c>
      <c r="F1708" s="32" t="s">
        <v>49</v>
      </c>
      <c r="G1708" s="32" t="s">
        <v>50</v>
      </c>
      <c r="H1708" s="33">
        <v>107820</v>
      </c>
      <c r="I1708" s="34">
        <f>Table3[[#This Row],[Volume, kg.]]/1000</f>
        <v>107.82</v>
      </c>
      <c r="J1708" s="34">
        <v>0.2382</v>
      </c>
      <c r="K1708" s="34">
        <f t="shared" si="52"/>
        <v>25682.723999999998</v>
      </c>
      <c r="L1708" s="34">
        <v>3.06</v>
      </c>
      <c r="M1708" s="34">
        <v>329983</v>
      </c>
      <c r="N1708" s="34">
        <f t="shared" si="53"/>
        <v>12.846347607052897</v>
      </c>
    </row>
    <row r="1709" spans="1:14" x14ac:dyDescent="0.45">
      <c r="A1709" s="30">
        <v>2023</v>
      </c>
      <c r="B1709" s="30" t="s">
        <v>16</v>
      </c>
      <c r="C1709" s="30" t="s">
        <v>46</v>
      </c>
      <c r="D1709" s="30" t="s">
        <v>47</v>
      </c>
      <c r="E1709" s="31" t="s">
        <v>205</v>
      </c>
      <c r="F1709" s="32" t="s">
        <v>49</v>
      </c>
      <c r="G1709" s="32" t="s">
        <v>50</v>
      </c>
      <c r="H1709" s="33">
        <v>86850</v>
      </c>
      <c r="I1709" s="34">
        <f>Table3[[#This Row],[Volume, kg.]]/1000</f>
        <v>86.85</v>
      </c>
      <c r="J1709" s="34">
        <v>0.23379999999999998</v>
      </c>
      <c r="K1709" s="34">
        <f t="shared" si="52"/>
        <v>20305.53</v>
      </c>
      <c r="L1709" s="34">
        <v>3.06</v>
      </c>
      <c r="M1709" s="34">
        <v>265441.5</v>
      </c>
      <c r="N1709" s="34">
        <f t="shared" si="53"/>
        <v>13.088109495295125</v>
      </c>
    </row>
    <row r="1710" spans="1:14" x14ac:dyDescent="0.45">
      <c r="A1710" s="30">
        <v>2023</v>
      </c>
      <c r="B1710" s="30" t="s">
        <v>16</v>
      </c>
      <c r="C1710" s="30" t="s">
        <v>46</v>
      </c>
      <c r="D1710" s="30" t="s">
        <v>47</v>
      </c>
      <c r="E1710" s="31" t="s">
        <v>206</v>
      </c>
      <c r="F1710" s="32" t="s">
        <v>81</v>
      </c>
      <c r="G1710" s="32" t="s">
        <v>50</v>
      </c>
      <c r="H1710" s="33">
        <v>29890</v>
      </c>
      <c r="I1710" s="34">
        <f>Table3[[#This Row],[Volume, kg.]]/1000</f>
        <v>29.89</v>
      </c>
      <c r="J1710" s="34">
        <v>0.22750000000000001</v>
      </c>
      <c r="K1710" s="34">
        <f t="shared" si="52"/>
        <v>6799.9750000000004</v>
      </c>
      <c r="L1710" s="34">
        <v>2.96</v>
      </c>
      <c r="M1710" s="34">
        <v>88478</v>
      </c>
      <c r="N1710" s="34">
        <f t="shared" si="53"/>
        <v>13.010989010989011</v>
      </c>
    </row>
    <row r="1711" spans="1:14" x14ac:dyDescent="0.45">
      <c r="A1711" s="30">
        <v>2023</v>
      </c>
      <c r="B1711" s="30" t="s">
        <v>16</v>
      </c>
      <c r="C1711" s="30" t="s">
        <v>46</v>
      </c>
      <c r="D1711" s="30" t="s">
        <v>47</v>
      </c>
      <c r="E1711" s="31" t="s">
        <v>208</v>
      </c>
      <c r="F1711" s="32" t="s">
        <v>49</v>
      </c>
      <c r="G1711" s="32" t="s">
        <v>50</v>
      </c>
      <c r="H1711" s="33">
        <v>225090</v>
      </c>
      <c r="I1711" s="34">
        <f>Table3[[#This Row],[Volume, kg.]]/1000</f>
        <v>225.09</v>
      </c>
      <c r="J1711" s="34">
        <v>0.22170000000000001</v>
      </c>
      <c r="K1711" s="34">
        <f t="shared" si="52"/>
        <v>49902.453000000001</v>
      </c>
      <c r="L1711" s="34">
        <v>2.98</v>
      </c>
      <c r="M1711" s="34">
        <v>669649</v>
      </c>
      <c r="N1711" s="34">
        <f t="shared" si="53"/>
        <v>13.441587731168244</v>
      </c>
    </row>
    <row r="1712" spans="1:14" x14ac:dyDescent="0.45">
      <c r="A1712" s="30">
        <v>2023</v>
      </c>
      <c r="B1712" s="30" t="s">
        <v>16</v>
      </c>
      <c r="C1712" s="30" t="s">
        <v>46</v>
      </c>
      <c r="D1712" s="30" t="s">
        <v>47</v>
      </c>
      <c r="E1712" s="31" t="s">
        <v>312</v>
      </c>
      <c r="F1712" s="32" t="s">
        <v>60</v>
      </c>
      <c r="G1712" s="32" t="s">
        <v>50</v>
      </c>
      <c r="H1712" s="33">
        <v>32970</v>
      </c>
      <c r="I1712" s="34">
        <f>Table3[[#This Row],[Volume, kg.]]/1000</f>
        <v>32.97</v>
      </c>
      <c r="J1712" s="34">
        <v>0.22570000000000001</v>
      </c>
      <c r="K1712" s="34">
        <f t="shared" si="52"/>
        <v>7441.3290000000006</v>
      </c>
      <c r="L1712" s="34">
        <v>3.01</v>
      </c>
      <c r="M1712" s="34">
        <v>99291</v>
      </c>
      <c r="N1712" s="34">
        <f t="shared" si="53"/>
        <v>13.336287106778908</v>
      </c>
    </row>
    <row r="1713" spans="1:14" x14ac:dyDescent="0.45">
      <c r="A1713" s="30">
        <v>2023</v>
      </c>
      <c r="B1713" s="30" t="s">
        <v>16</v>
      </c>
      <c r="C1713" s="30" t="s">
        <v>46</v>
      </c>
      <c r="D1713" s="30" t="s">
        <v>47</v>
      </c>
      <c r="E1713" s="31" t="s">
        <v>361</v>
      </c>
      <c r="F1713" s="32" t="s">
        <v>57</v>
      </c>
      <c r="G1713" s="32" t="s">
        <v>50</v>
      </c>
      <c r="H1713" s="33">
        <v>21340</v>
      </c>
      <c r="I1713" s="34">
        <f>Table3[[#This Row],[Volume, kg.]]/1000</f>
        <v>21.34</v>
      </c>
      <c r="J1713" s="34">
        <v>0.2384</v>
      </c>
      <c r="K1713" s="34">
        <f t="shared" si="52"/>
        <v>5087.4560000000001</v>
      </c>
      <c r="L1713" s="34">
        <v>3.08</v>
      </c>
      <c r="M1713" s="34">
        <v>65809</v>
      </c>
      <c r="N1713" s="34">
        <f t="shared" si="53"/>
        <v>12.919463087248323</v>
      </c>
    </row>
    <row r="1714" spans="1:14" x14ac:dyDescent="0.45">
      <c r="A1714" s="30">
        <v>2023</v>
      </c>
      <c r="B1714" s="30" t="s">
        <v>16</v>
      </c>
      <c r="C1714" s="30" t="s">
        <v>46</v>
      </c>
      <c r="D1714" s="30" t="s">
        <v>47</v>
      </c>
      <c r="E1714" s="31" t="s">
        <v>210</v>
      </c>
      <c r="F1714" s="32" t="s">
        <v>60</v>
      </c>
      <c r="G1714" s="32" t="s">
        <v>50</v>
      </c>
      <c r="H1714" s="33">
        <v>111810</v>
      </c>
      <c r="I1714" s="34">
        <f>Table3[[#This Row],[Volume, kg.]]/1000</f>
        <v>111.81</v>
      </c>
      <c r="J1714" s="34">
        <v>0.2321</v>
      </c>
      <c r="K1714" s="34">
        <f t="shared" si="52"/>
        <v>25951.100999999999</v>
      </c>
      <c r="L1714" s="34">
        <v>2.99</v>
      </c>
      <c r="M1714" s="34">
        <v>334867</v>
      </c>
      <c r="N1714" s="34">
        <f t="shared" si="53"/>
        <v>12.882378285221888</v>
      </c>
    </row>
    <row r="1715" spans="1:14" x14ac:dyDescent="0.45">
      <c r="A1715" s="30">
        <v>2023</v>
      </c>
      <c r="B1715" s="30" t="s">
        <v>16</v>
      </c>
      <c r="C1715" s="30" t="s">
        <v>46</v>
      </c>
      <c r="D1715" s="30" t="s">
        <v>47</v>
      </c>
      <c r="E1715" s="31" t="s">
        <v>211</v>
      </c>
      <c r="F1715" s="32" t="s">
        <v>57</v>
      </c>
      <c r="G1715" s="32" t="s">
        <v>50</v>
      </c>
      <c r="H1715" s="33">
        <v>57310</v>
      </c>
      <c r="I1715" s="34">
        <f>Table3[[#This Row],[Volume, kg.]]/1000</f>
        <v>57.31</v>
      </c>
      <c r="J1715" s="34">
        <v>0.25619999999999998</v>
      </c>
      <c r="K1715" s="34">
        <f t="shared" si="52"/>
        <v>14682.821999999998</v>
      </c>
      <c r="L1715" s="34">
        <v>3.17</v>
      </c>
      <c r="M1715" s="34">
        <v>181564</v>
      </c>
      <c r="N1715" s="34">
        <f t="shared" si="53"/>
        <v>12.373145979703358</v>
      </c>
    </row>
    <row r="1716" spans="1:14" x14ac:dyDescent="0.45">
      <c r="A1716" s="30">
        <v>2023</v>
      </c>
      <c r="B1716" s="30" t="s">
        <v>16</v>
      </c>
      <c r="C1716" s="30" t="s">
        <v>46</v>
      </c>
      <c r="D1716" s="30" t="s">
        <v>47</v>
      </c>
      <c r="E1716" s="31" t="s">
        <v>362</v>
      </c>
      <c r="F1716" s="32" t="s">
        <v>49</v>
      </c>
      <c r="G1716" s="32" t="s">
        <v>50</v>
      </c>
      <c r="H1716" s="33">
        <v>5640</v>
      </c>
      <c r="I1716" s="34">
        <f>Table3[[#This Row],[Volume, kg.]]/1000</f>
        <v>5.64</v>
      </c>
      <c r="J1716" s="34">
        <v>0.223</v>
      </c>
      <c r="K1716" s="34">
        <f t="shared" si="52"/>
        <v>1257.72</v>
      </c>
      <c r="L1716" s="34">
        <v>2.95</v>
      </c>
      <c r="M1716" s="34">
        <v>16638</v>
      </c>
      <c r="N1716" s="34">
        <f t="shared" si="53"/>
        <v>13.228699551569507</v>
      </c>
    </row>
    <row r="1717" spans="1:14" x14ac:dyDescent="0.45">
      <c r="A1717" s="30">
        <v>2023</v>
      </c>
      <c r="B1717" s="30" t="s">
        <v>16</v>
      </c>
      <c r="C1717" s="30" t="s">
        <v>46</v>
      </c>
      <c r="D1717" s="30" t="s">
        <v>47</v>
      </c>
      <c r="E1717" s="31" t="s">
        <v>313</v>
      </c>
      <c r="F1717" s="32" t="s">
        <v>60</v>
      </c>
      <c r="G1717" s="32" t="s">
        <v>50</v>
      </c>
      <c r="H1717" s="33">
        <v>221340</v>
      </c>
      <c r="I1717" s="34">
        <f>Table3[[#This Row],[Volume, kg.]]/1000</f>
        <v>221.34</v>
      </c>
      <c r="J1717" s="34">
        <v>0.24969999999999998</v>
      </c>
      <c r="K1717" s="34">
        <f t="shared" si="52"/>
        <v>55268.597999999998</v>
      </c>
      <c r="L1717" s="34">
        <v>3.14</v>
      </c>
      <c r="M1717" s="34">
        <v>693971</v>
      </c>
      <c r="N1717" s="34">
        <f t="shared" si="53"/>
        <v>12.575090108129757</v>
      </c>
    </row>
    <row r="1718" spans="1:14" x14ac:dyDescent="0.45">
      <c r="A1718" s="30">
        <v>2023</v>
      </c>
      <c r="B1718" s="30" t="s">
        <v>16</v>
      </c>
      <c r="C1718" s="30" t="s">
        <v>46</v>
      </c>
      <c r="D1718" s="30" t="s">
        <v>47</v>
      </c>
      <c r="E1718" s="31" t="s">
        <v>213</v>
      </c>
      <c r="F1718" s="32" t="s">
        <v>49</v>
      </c>
      <c r="G1718" s="32" t="s">
        <v>50</v>
      </c>
      <c r="H1718" s="33">
        <v>223720</v>
      </c>
      <c r="I1718" s="34">
        <f>Table3[[#This Row],[Volume, kg.]]/1000</f>
        <v>223.72</v>
      </c>
      <c r="J1718" s="34">
        <v>0.23719999999999999</v>
      </c>
      <c r="K1718" s="34">
        <f t="shared" si="52"/>
        <v>53066.383999999998</v>
      </c>
      <c r="L1718" s="34">
        <v>3.08</v>
      </c>
      <c r="M1718" s="34">
        <v>688314.5</v>
      </c>
      <c r="N1718" s="34">
        <f t="shared" si="53"/>
        <v>12.984822934232715</v>
      </c>
    </row>
    <row r="1719" spans="1:14" x14ac:dyDescent="0.45">
      <c r="A1719" s="30">
        <v>2023</v>
      </c>
      <c r="B1719" s="30" t="s">
        <v>16</v>
      </c>
      <c r="C1719" s="30" t="s">
        <v>46</v>
      </c>
      <c r="D1719" s="30" t="s">
        <v>47</v>
      </c>
      <c r="E1719" s="31" t="s">
        <v>363</v>
      </c>
      <c r="F1719" s="32" t="s">
        <v>60</v>
      </c>
      <c r="G1719" s="32" t="s">
        <v>50</v>
      </c>
      <c r="H1719" s="33">
        <v>63600</v>
      </c>
      <c r="I1719" s="34">
        <f>Table3[[#This Row],[Volume, kg.]]/1000</f>
        <v>63.6</v>
      </c>
      <c r="J1719" s="34">
        <v>0.23430000000000001</v>
      </c>
      <c r="K1719" s="34">
        <f t="shared" si="52"/>
        <v>14901.480000000001</v>
      </c>
      <c r="L1719" s="34">
        <v>3.02</v>
      </c>
      <c r="M1719" s="34">
        <v>191985</v>
      </c>
      <c r="N1719" s="34">
        <f t="shared" si="53"/>
        <v>12.889457959880495</v>
      </c>
    </row>
    <row r="1720" spans="1:14" x14ac:dyDescent="0.45">
      <c r="A1720" s="30">
        <v>2023</v>
      </c>
      <c r="B1720" s="30" t="s">
        <v>16</v>
      </c>
      <c r="C1720" s="30" t="s">
        <v>46</v>
      </c>
      <c r="D1720" s="30" t="s">
        <v>47</v>
      </c>
      <c r="E1720" s="31" t="s">
        <v>489</v>
      </c>
      <c r="F1720" s="32" t="s">
        <v>81</v>
      </c>
      <c r="G1720" s="32" t="s">
        <v>50</v>
      </c>
      <c r="H1720" s="33">
        <v>16310</v>
      </c>
      <c r="I1720" s="34">
        <f>Table3[[#This Row],[Volume, kg.]]/1000</f>
        <v>16.309999999999999</v>
      </c>
      <c r="J1720" s="34">
        <v>0.25940000000000002</v>
      </c>
      <c r="K1720" s="34">
        <f t="shared" si="52"/>
        <v>4230.8140000000003</v>
      </c>
      <c r="L1720" s="34">
        <v>3.15</v>
      </c>
      <c r="M1720" s="34">
        <v>51345</v>
      </c>
      <c r="N1720" s="34">
        <f t="shared" si="53"/>
        <v>12.143407864302235</v>
      </c>
    </row>
    <row r="1721" spans="1:14" x14ac:dyDescent="0.45">
      <c r="A1721" s="30">
        <v>2023</v>
      </c>
      <c r="B1721" s="30" t="s">
        <v>16</v>
      </c>
      <c r="C1721" s="30" t="s">
        <v>46</v>
      </c>
      <c r="D1721" s="30" t="s">
        <v>47</v>
      </c>
      <c r="E1721" s="31" t="s">
        <v>408</v>
      </c>
      <c r="F1721" s="32" t="s">
        <v>238</v>
      </c>
      <c r="G1721" s="32" t="s">
        <v>50</v>
      </c>
      <c r="H1721" s="33">
        <v>15180</v>
      </c>
      <c r="I1721" s="34">
        <f>Table3[[#This Row],[Volume, kg.]]/1000</f>
        <v>15.18</v>
      </c>
      <c r="J1721" s="34">
        <v>0.19550000000000001</v>
      </c>
      <c r="K1721" s="34">
        <f t="shared" si="52"/>
        <v>2967.69</v>
      </c>
      <c r="L1721" s="34">
        <v>2.9</v>
      </c>
      <c r="M1721" s="34">
        <v>44022</v>
      </c>
      <c r="N1721" s="34">
        <f t="shared" si="53"/>
        <v>14.833759590792837</v>
      </c>
    </row>
    <row r="1722" spans="1:14" x14ac:dyDescent="0.45">
      <c r="A1722" s="30">
        <v>2023</v>
      </c>
      <c r="B1722" s="30" t="s">
        <v>16</v>
      </c>
      <c r="C1722" s="30" t="s">
        <v>46</v>
      </c>
      <c r="D1722" s="30" t="s">
        <v>47</v>
      </c>
      <c r="E1722" s="31" t="s">
        <v>215</v>
      </c>
      <c r="F1722" s="32" t="s">
        <v>57</v>
      </c>
      <c r="G1722" s="32" t="s">
        <v>50</v>
      </c>
      <c r="H1722" s="33">
        <v>39490</v>
      </c>
      <c r="I1722" s="34">
        <f>Table3[[#This Row],[Volume, kg.]]/1000</f>
        <v>39.49</v>
      </c>
      <c r="J1722" s="34">
        <v>0.20149999999999998</v>
      </c>
      <c r="K1722" s="34">
        <f t="shared" si="52"/>
        <v>7957.2349999999997</v>
      </c>
      <c r="L1722" s="34">
        <v>2.89</v>
      </c>
      <c r="M1722" s="34">
        <v>113961.5</v>
      </c>
      <c r="N1722" s="34">
        <f t="shared" si="53"/>
        <v>14.342431761786603</v>
      </c>
    </row>
    <row r="1723" spans="1:14" x14ac:dyDescent="0.45">
      <c r="A1723" s="30">
        <v>2023</v>
      </c>
      <c r="B1723" s="30" t="s">
        <v>16</v>
      </c>
      <c r="C1723" s="30" t="s">
        <v>46</v>
      </c>
      <c r="D1723" s="30" t="s">
        <v>47</v>
      </c>
      <c r="E1723" s="31" t="s">
        <v>488</v>
      </c>
      <c r="F1723" s="32" t="s">
        <v>57</v>
      </c>
      <c r="G1723" s="32" t="s">
        <v>50</v>
      </c>
      <c r="H1723" s="33">
        <v>41600</v>
      </c>
      <c r="I1723" s="34">
        <f>Table3[[#This Row],[Volume, kg.]]/1000</f>
        <v>41.6</v>
      </c>
      <c r="J1723" s="34">
        <v>0.23120000000000002</v>
      </c>
      <c r="K1723" s="34">
        <f t="shared" si="52"/>
        <v>9617.92</v>
      </c>
      <c r="L1723" s="34">
        <v>3.06</v>
      </c>
      <c r="M1723" s="34">
        <v>127455</v>
      </c>
      <c r="N1723" s="34">
        <f t="shared" si="53"/>
        <v>13.235294117647058</v>
      </c>
    </row>
    <row r="1724" spans="1:14" x14ac:dyDescent="0.45">
      <c r="A1724" s="30">
        <v>2023</v>
      </c>
      <c r="B1724" s="30" t="s">
        <v>16</v>
      </c>
      <c r="C1724" s="30" t="s">
        <v>46</v>
      </c>
      <c r="D1724" s="30" t="s">
        <v>47</v>
      </c>
      <c r="E1724" s="31" t="s">
        <v>216</v>
      </c>
      <c r="F1724" s="32" t="s">
        <v>64</v>
      </c>
      <c r="G1724" s="32" t="s">
        <v>50</v>
      </c>
      <c r="H1724" s="33">
        <v>9960</v>
      </c>
      <c r="I1724" s="34">
        <f>Table3[[#This Row],[Volume, kg.]]/1000</f>
        <v>9.9600000000000009</v>
      </c>
      <c r="J1724" s="34">
        <v>0.24199999999999999</v>
      </c>
      <c r="K1724" s="34">
        <f t="shared" si="52"/>
        <v>2410.3199999999997</v>
      </c>
      <c r="L1724" s="34">
        <v>3.05</v>
      </c>
      <c r="M1724" s="34">
        <v>30378</v>
      </c>
      <c r="N1724" s="34">
        <f t="shared" si="53"/>
        <v>12.603305785123966</v>
      </c>
    </row>
    <row r="1725" spans="1:14" x14ac:dyDescent="0.45">
      <c r="A1725" s="30">
        <v>2023</v>
      </c>
      <c r="B1725" s="30" t="s">
        <v>16</v>
      </c>
      <c r="C1725" s="30" t="s">
        <v>46</v>
      </c>
      <c r="D1725" s="30" t="s">
        <v>47</v>
      </c>
      <c r="E1725" s="31" t="s">
        <v>217</v>
      </c>
      <c r="F1725" s="32" t="s">
        <v>49</v>
      </c>
      <c r="G1725" s="32" t="s">
        <v>50</v>
      </c>
      <c r="H1725" s="33">
        <v>113450</v>
      </c>
      <c r="I1725" s="34">
        <f>Table3[[#This Row],[Volume, kg.]]/1000</f>
        <v>113.45</v>
      </c>
      <c r="J1725" s="34">
        <v>0.2611</v>
      </c>
      <c r="K1725" s="34">
        <f t="shared" si="52"/>
        <v>29621.794999999998</v>
      </c>
      <c r="L1725" s="34">
        <v>3.15</v>
      </c>
      <c r="M1725" s="34">
        <v>357077.5</v>
      </c>
      <c r="N1725" s="34">
        <f t="shared" si="53"/>
        <v>12.064343163538874</v>
      </c>
    </row>
    <row r="1726" spans="1:14" x14ac:dyDescent="0.45">
      <c r="A1726" s="30">
        <v>2023</v>
      </c>
      <c r="B1726" s="30" t="s">
        <v>16</v>
      </c>
      <c r="C1726" s="30" t="s">
        <v>46</v>
      </c>
      <c r="D1726" s="30" t="s">
        <v>47</v>
      </c>
      <c r="E1726" s="31" t="s">
        <v>314</v>
      </c>
      <c r="F1726" s="32" t="s">
        <v>57</v>
      </c>
      <c r="G1726" s="32" t="s">
        <v>50</v>
      </c>
      <c r="H1726" s="33">
        <v>118830</v>
      </c>
      <c r="I1726" s="34">
        <f>Table3[[#This Row],[Volume, kg.]]/1000</f>
        <v>118.83</v>
      </c>
      <c r="J1726" s="34">
        <v>0.23480000000000001</v>
      </c>
      <c r="K1726" s="34">
        <f t="shared" si="52"/>
        <v>27901.284</v>
      </c>
      <c r="L1726" s="34">
        <v>3.07</v>
      </c>
      <c r="M1726" s="34">
        <v>364507</v>
      </c>
      <c r="N1726" s="34">
        <f t="shared" si="53"/>
        <v>13.074957410562179</v>
      </c>
    </row>
    <row r="1727" spans="1:14" x14ac:dyDescent="0.45">
      <c r="A1727" s="30">
        <v>2023</v>
      </c>
      <c r="B1727" s="30" t="s">
        <v>16</v>
      </c>
      <c r="C1727" s="30" t="s">
        <v>46</v>
      </c>
      <c r="D1727" s="30" t="s">
        <v>47</v>
      </c>
      <c r="E1727" s="31" t="s">
        <v>445</v>
      </c>
      <c r="F1727" s="32" t="s">
        <v>49</v>
      </c>
      <c r="G1727" s="32" t="s">
        <v>50</v>
      </c>
      <c r="H1727" s="33">
        <v>23850</v>
      </c>
      <c r="I1727" s="34">
        <f>Table3[[#This Row],[Volume, kg.]]/1000</f>
        <v>23.85</v>
      </c>
      <c r="J1727" s="34">
        <v>0.21590000000000001</v>
      </c>
      <c r="K1727" s="34">
        <f t="shared" si="52"/>
        <v>5149.2150000000001</v>
      </c>
      <c r="L1727" s="34">
        <v>2.95</v>
      </c>
      <c r="M1727" s="34">
        <v>70357.5</v>
      </c>
      <c r="N1727" s="34">
        <f t="shared" si="53"/>
        <v>13.663733209819361</v>
      </c>
    </row>
    <row r="1728" spans="1:14" x14ac:dyDescent="0.45">
      <c r="A1728" s="30">
        <v>2023</v>
      </c>
      <c r="B1728" s="30" t="s">
        <v>16</v>
      </c>
      <c r="C1728" s="30" t="s">
        <v>46</v>
      </c>
      <c r="D1728" s="30" t="s">
        <v>47</v>
      </c>
      <c r="E1728" s="31" t="s">
        <v>464</v>
      </c>
      <c r="F1728" s="32" t="s">
        <v>57</v>
      </c>
      <c r="G1728" s="32" t="s">
        <v>50</v>
      </c>
      <c r="H1728" s="37">
        <v>73460</v>
      </c>
      <c r="I1728" s="34">
        <f>Table3[[#This Row],[Volume, kg.]]/1000</f>
        <v>73.459999999999994</v>
      </c>
      <c r="J1728" s="38">
        <v>0.23</v>
      </c>
      <c r="K1728" s="34">
        <f t="shared" si="52"/>
        <v>16895.8</v>
      </c>
      <c r="L1728" s="38">
        <v>3</v>
      </c>
      <c r="M1728" s="38">
        <v>220625</v>
      </c>
      <c r="N1728" s="34">
        <f t="shared" si="53"/>
        <v>13.043478260869565</v>
      </c>
    </row>
    <row r="1729" spans="1:14" x14ac:dyDescent="0.45">
      <c r="A1729" s="30">
        <v>2023</v>
      </c>
      <c r="B1729" s="30" t="s">
        <v>16</v>
      </c>
      <c r="C1729" s="30" t="s">
        <v>46</v>
      </c>
      <c r="D1729" s="30" t="s">
        <v>47</v>
      </c>
      <c r="E1729" s="31" t="s">
        <v>533</v>
      </c>
      <c r="F1729" s="32" t="s">
        <v>60</v>
      </c>
      <c r="G1729" s="32" t="s">
        <v>50</v>
      </c>
      <c r="H1729" s="37">
        <v>12410</v>
      </c>
      <c r="I1729" s="34">
        <f>Table3[[#This Row],[Volume, kg.]]/1000</f>
        <v>12.41</v>
      </c>
      <c r="J1729" s="38">
        <v>0.2235</v>
      </c>
      <c r="K1729" s="34">
        <f t="shared" si="52"/>
        <v>2773.6350000000002</v>
      </c>
      <c r="L1729" s="38">
        <v>2.95</v>
      </c>
      <c r="M1729" s="38">
        <v>36609.5</v>
      </c>
      <c r="N1729" s="34">
        <f t="shared" si="53"/>
        <v>13.199105145413871</v>
      </c>
    </row>
    <row r="1730" spans="1:14" x14ac:dyDescent="0.45">
      <c r="A1730" s="30">
        <v>2023</v>
      </c>
      <c r="B1730" s="30" t="s">
        <v>16</v>
      </c>
      <c r="C1730" s="30" t="s">
        <v>46</v>
      </c>
      <c r="D1730" s="30" t="s">
        <v>47</v>
      </c>
      <c r="E1730" s="31" t="s">
        <v>315</v>
      </c>
      <c r="F1730" s="32" t="s">
        <v>134</v>
      </c>
      <c r="G1730" s="32" t="s">
        <v>50</v>
      </c>
      <c r="H1730" s="37">
        <v>20190</v>
      </c>
      <c r="I1730" s="34">
        <f>Table3[[#This Row],[Volume, kg.]]/1000</f>
        <v>20.190000000000001</v>
      </c>
      <c r="J1730" s="38">
        <v>0.24</v>
      </c>
      <c r="K1730" s="34">
        <f t="shared" si="52"/>
        <v>4845.5999999999995</v>
      </c>
      <c r="L1730" s="38">
        <v>3.1</v>
      </c>
      <c r="M1730" s="38">
        <v>62589</v>
      </c>
      <c r="N1730" s="34">
        <f t="shared" si="53"/>
        <v>12.916666666666668</v>
      </c>
    </row>
    <row r="1731" spans="1:14" x14ac:dyDescent="0.45">
      <c r="A1731" s="30">
        <v>2023</v>
      </c>
      <c r="B1731" s="30" t="s">
        <v>16</v>
      </c>
      <c r="C1731" s="30" t="s">
        <v>46</v>
      </c>
      <c r="D1731" s="30" t="s">
        <v>47</v>
      </c>
      <c r="E1731" s="31" t="s">
        <v>447</v>
      </c>
      <c r="F1731" s="32" t="s">
        <v>57</v>
      </c>
      <c r="G1731" s="32" t="s">
        <v>50</v>
      </c>
      <c r="H1731" s="37">
        <v>37530</v>
      </c>
      <c r="I1731" s="34">
        <f>Table3[[#This Row],[Volume, kg.]]/1000</f>
        <v>37.53</v>
      </c>
      <c r="J1731" s="38">
        <v>0.19469999999999998</v>
      </c>
      <c r="K1731" s="34">
        <f t="shared" ref="K1731:K1794" si="54">H1731*J1731</f>
        <v>7307.0909999999994</v>
      </c>
      <c r="L1731" s="38">
        <v>2.84</v>
      </c>
      <c r="M1731" s="38">
        <v>106648.5</v>
      </c>
      <c r="N1731" s="34">
        <f t="shared" si="53"/>
        <v>14.586543400102723</v>
      </c>
    </row>
    <row r="1732" spans="1:14" x14ac:dyDescent="0.45">
      <c r="A1732" s="30">
        <v>2023</v>
      </c>
      <c r="B1732" s="30" t="s">
        <v>16</v>
      </c>
      <c r="C1732" s="30" t="s">
        <v>46</v>
      </c>
      <c r="D1732" s="30" t="s">
        <v>47</v>
      </c>
      <c r="E1732" s="31" t="s">
        <v>224</v>
      </c>
      <c r="F1732" s="32" t="s">
        <v>57</v>
      </c>
      <c r="G1732" s="32" t="s">
        <v>50</v>
      </c>
      <c r="H1732" s="37">
        <v>4610</v>
      </c>
      <c r="I1732" s="34">
        <f>Table3[[#This Row],[Volume, kg.]]/1000</f>
        <v>4.6100000000000003</v>
      </c>
      <c r="J1732" s="38">
        <v>0.25700000000000001</v>
      </c>
      <c r="K1732" s="34">
        <f t="shared" si="54"/>
        <v>1184.77</v>
      </c>
      <c r="L1732" s="38">
        <v>3.05</v>
      </c>
      <c r="M1732" s="38">
        <v>14060.5</v>
      </c>
      <c r="N1732" s="34">
        <f t="shared" ref="N1732:N1795" si="55">L1732/J1732</f>
        <v>11.867704280155641</v>
      </c>
    </row>
    <row r="1733" spans="1:14" x14ac:dyDescent="0.45">
      <c r="A1733" s="30">
        <v>2023</v>
      </c>
      <c r="B1733" s="30" t="s">
        <v>16</v>
      </c>
      <c r="C1733" s="30" t="s">
        <v>46</v>
      </c>
      <c r="D1733" s="30" t="s">
        <v>47</v>
      </c>
      <c r="E1733" s="31" t="s">
        <v>365</v>
      </c>
      <c r="F1733" s="32" t="s">
        <v>49</v>
      </c>
      <c r="G1733" s="32" t="s">
        <v>50</v>
      </c>
      <c r="H1733" s="37">
        <v>109270</v>
      </c>
      <c r="I1733" s="34">
        <f>Table3[[#This Row],[Volume, kg.]]/1000</f>
        <v>109.27</v>
      </c>
      <c r="J1733" s="38">
        <v>0.25090000000000001</v>
      </c>
      <c r="K1733" s="34">
        <f t="shared" si="54"/>
        <v>27415.843000000001</v>
      </c>
      <c r="L1733" s="38">
        <v>3.14</v>
      </c>
      <c r="M1733" s="38">
        <v>343359</v>
      </c>
      <c r="N1733" s="34">
        <f t="shared" si="55"/>
        <v>12.51494619370267</v>
      </c>
    </row>
    <row r="1734" spans="1:14" x14ac:dyDescent="0.45">
      <c r="A1734" s="30">
        <v>2023</v>
      </c>
      <c r="B1734" s="30" t="s">
        <v>16</v>
      </c>
      <c r="C1734" s="30" t="s">
        <v>46</v>
      </c>
      <c r="D1734" s="30" t="s">
        <v>47</v>
      </c>
      <c r="E1734" s="31" t="s">
        <v>448</v>
      </c>
      <c r="F1734" s="32" t="s">
        <v>238</v>
      </c>
      <c r="G1734" s="32" t="s">
        <v>50</v>
      </c>
      <c r="H1734" s="37">
        <v>61370</v>
      </c>
      <c r="I1734" s="34">
        <f>Table3[[#This Row],[Volume, kg.]]/1000</f>
        <v>61.37</v>
      </c>
      <c r="J1734" s="38">
        <v>0.27050000000000002</v>
      </c>
      <c r="K1734" s="34">
        <f t="shared" si="54"/>
        <v>16600.585000000003</v>
      </c>
      <c r="L1734" s="38">
        <v>3.22</v>
      </c>
      <c r="M1734" s="38">
        <v>197883.5</v>
      </c>
      <c r="N1734" s="34">
        <f t="shared" si="55"/>
        <v>11.903881700554528</v>
      </c>
    </row>
    <row r="1735" spans="1:14" x14ac:dyDescent="0.45">
      <c r="A1735" s="30">
        <v>2023</v>
      </c>
      <c r="B1735" s="30" t="s">
        <v>16</v>
      </c>
      <c r="C1735" s="30" t="s">
        <v>46</v>
      </c>
      <c r="D1735" s="30" t="s">
        <v>47</v>
      </c>
      <c r="E1735" s="31" t="s">
        <v>226</v>
      </c>
      <c r="F1735" s="32" t="s">
        <v>60</v>
      </c>
      <c r="G1735" s="32" t="s">
        <v>50</v>
      </c>
      <c r="H1735" s="37">
        <v>143380</v>
      </c>
      <c r="I1735" s="34">
        <f>Table3[[#This Row],[Volume, kg.]]/1000</f>
        <v>143.38</v>
      </c>
      <c r="J1735" s="38">
        <v>0.24590000000000001</v>
      </c>
      <c r="K1735" s="34">
        <f t="shared" si="54"/>
        <v>35257.142</v>
      </c>
      <c r="L1735" s="38">
        <v>3.09</v>
      </c>
      <c r="M1735" s="38">
        <v>442770</v>
      </c>
      <c r="N1735" s="34">
        <f t="shared" si="55"/>
        <v>12.566083773891824</v>
      </c>
    </row>
    <row r="1736" spans="1:14" x14ac:dyDescent="0.45">
      <c r="A1736" s="30">
        <v>2023</v>
      </c>
      <c r="B1736" s="30" t="s">
        <v>16</v>
      </c>
      <c r="C1736" s="30" t="s">
        <v>46</v>
      </c>
      <c r="D1736" s="30" t="s">
        <v>102</v>
      </c>
      <c r="E1736" s="31" t="s">
        <v>389</v>
      </c>
      <c r="F1736" s="32" t="s">
        <v>238</v>
      </c>
      <c r="G1736" s="32" t="s">
        <v>50</v>
      </c>
      <c r="H1736" s="37">
        <v>44900</v>
      </c>
      <c r="I1736" s="34">
        <f>Table3[[#This Row],[Volume, kg.]]/1000</f>
        <v>44.9</v>
      </c>
      <c r="J1736" s="38">
        <v>0.20800000000000002</v>
      </c>
      <c r="K1736" s="34">
        <f t="shared" si="54"/>
        <v>9339.2000000000007</v>
      </c>
      <c r="L1736" s="38">
        <v>3.15</v>
      </c>
      <c r="M1736" s="38">
        <v>141435</v>
      </c>
      <c r="N1736" s="34">
        <f t="shared" si="55"/>
        <v>15.144230769230768</v>
      </c>
    </row>
    <row r="1737" spans="1:14" x14ac:dyDescent="0.45">
      <c r="A1737" s="30">
        <v>2023</v>
      </c>
      <c r="B1737" s="30" t="s">
        <v>16</v>
      </c>
      <c r="C1737" s="30" t="s">
        <v>46</v>
      </c>
      <c r="D1737" s="30" t="s">
        <v>47</v>
      </c>
      <c r="E1737" s="31" t="s">
        <v>227</v>
      </c>
      <c r="F1737" s="32" t="s">
        <v>57</v>
      </c>
      <c r="G1737" s="32" t="s">
        <v>50</v>
      </c>
      <c r="H1737" s="37">
        <v>88760</v>
      </c>
      <c r="I1737" s="34">
        <f>Table3[[#This Row],[Volume, kg.]]/1000</f>
        <v>88.76</v>
      </c>
      <c r="J1737" s="38">
        <v>0.2455</v>
      </c>
      <c r="K1737" s="34">
        <f t="shared" si="54"/>
        <v>21790.579999999998</v>
      </c>
      <c r="L1737" s="38">
        <v>3.11</v>
      </c>
      <c r="M1737" s="38">
        <v>275893</v>
      </c>
      <c r="N1737" s="34">
        <f t="shared" si="55"/>
        <v>12.668024439918533</v>
      </c>
    </row>
    <row r="1738" spans="1:14" x14ac:dyDescent="0.45">
      <c r="A1738" s="30">
        <v>2023</v>
      </c>
      <c r="B1738" s="30" t="s">
        <v>16</v>
      </c>
      <c r="C1738" s="30" t="s">
        <v>46</v>
      </c>
      <c r="D1738" s="30" t="s">
        <v>47</v>
      </c>
      <c r="E1738" s="31" t="s">
        <v>317</v>
      </c>
      <c r="F1738" s="32" t="s">
        <v>60</v>
      </c>
      <c r="G1738" s="32" t="s">
        <v>50</v>
      </c>
      <c r="H1738" s="37">
        <v>7230</v>
      </c>
      <c r="I1738" s="34">
        <f>Table3[[#This Row],[Volume, kg.]]/1000</f>
        <v>7.23</v>
      </c>
      <c r="J1738" s="38">
        <v>0.24879999999999999</v>
      </c>
      <c r="K1738" s="34">
        <f t="shared" si="54"/>
        <v>1798.8239999999998</v>
      </c>
      <c r="L1738" s="38">
        <v>3.1</v>
      </c>
      <c r="M1738" s="38">
        <v>22438.5</v>
      </c>
      <c r="N1738" s="34">
        <f t="shared" si="55"/>
        <v>12.459807073954984</v>
      </c>
    </row>
    <row r="1739" spans="1:14" x14ac:dyDescent="0.45">
      <c r="A1739" s="30">
        <v>2023</v>
      </c>
      <c r="B1739" s="30" t="s">
        <v>16</v>
      </c>
      <c r="C1739" s="30" t="s">
        <v>46</v>
      </c>
      <c r="D1739" s="30" t="s">
        <v>47</v>
      </c>
      <c r="E1739" s="31" t="s">
        <v>465</v>
      </c>
      <c r="F1739" s="32" t="s">
        <v>57</v>
      </c>
      <c r="G1739" s="32" t="s">
        <v>50</v>
      </c>
      <c r="H1739" s="37">
        <v>15100</v>
      </c>
      <c r="I1739" s="34">
        <f>Table3[[#This Row],[Volume, kg.]]/1000</f>
        <v>15.1</v>
      </c>
      <c r="J1739" s="38">
        <v>0.26469999999999999</v>
      </c>
      <c r="K1739" s="34">
        <f t="shared" si="54"/>
        <v>3996.97</v>
      </c>
      <c r="L1739" s="38">
        <v>3.23</v>
      </c>
      <c r="M1739" s="38">
        <v>48751</v>
      </c>
      <c r="N1739" s="34">
        <f t="shared" si="55"/>
        <v>12.202493388741972</v>
      </c>
    </row>
    <row r="1740" spans="1:14" x14ac:dyDescent="0.45">
      <c r="A1740" s="30">
        <v>2023</v>
      </c>
      <c r="B1740" s="30" t="s">
        <v>16</v>
      </c>
      <c r="C1740" s="30" t="s">
        <v>46</v>
      </c>
      <c r="D1740" s="30" t="s">
        <v>47</v>
      </c>
      <c r="E1740" s="31" t="s">
        <v>461</v>
      </c>
      <c r="F1740" s="32" t="s">
        <v>54</v>
      </c>
      <c r="G1740" s="32" t="s">
        <v>50</v>
      </c>
      <c r="H1740" s="37">
        <v>12330</v>
      </c>
      <c r="I1740" s="34">
        <f>Table3[[#This Row],[Volume, kg.]]/1000</f>
        <v>12.33</v>
      </c>
      <c r="J1740" s="38">
        <v>0.20100000000000001</v>
      </c>
      <c r="K1740" s="34">
        <f t="shared" si="54"/>
        <v>2478.33</v>
      </c>
      <c r="L1740" s="38">
        <v>2.75</v>
      </c>
      <c r="M1740" s="38">
        <v>33907.5</v>
      </c>
      <c r="N1740" s="34">
        <f t="shared" si="55"/>
        <v>13.681592039800995</v>
      </c>
    </row>
    <row r="1741" spans="1:14" x14ac:dyDescent="0.45">
      <c r="A1741" s="30">
        <v>2023</v>
      </c>
      <c r="B1741" s="30" t="s">
        <v>16</v>
      </c>
      <c r="C1741" s="30" t="s">
        <v>46</v>
      </c>
      <c r="D1741" s="30" t="s">
        <v>47</v>
      </c>
      <c r="E1741" s="31" t="s">
        <v>384</v>
      </c>
      <c r="F1741" s="32" t="s">
        <v>60</v>
      </c>
      <c r="G1741" s="32" t="s">
        <v>50</v>
      </c>
      <c r="H1741" s="37">
        <v>201650</v>
      </c>
      <c r="I1741" s="34">
        <f>Table3[[#This Row],[Volume, kg.]]/1000</f>
        <v>201.65</v>
      </c>
      <c r="J1741" s="38">
        <v>0.23960000000000001</v>
      </c>
      <c r="K1741" s="34">
        <f t="shared" si="54"/>
        <v>48315.340000000004</v>
      </c>
      <c r="L1741" s="38">
        <v>3.06</v>
      </c>
      <c r="M1741" s="38">
        <v>616505</v>
      </c>
      <c r="N1741" s="34">
        <f t="shared" si="55"/>
        <v>12.771285475792988</v>
      </c>
    </row>
    <row r="1742" spans="1:14" x14ac:dyDescent="0.45">
      <c r="A1742" s="30">
        <v>2023</v>
      </c>
      <c r="B1742" s="30" t="s">
        <v>16</v>
      </c>
      <c r="C1742" s="30" t="s">
        <v>46</v>
      </c>
      <c r="D1742" s="30" t="s">
        <v>47</v>
      </c>
      <c r="E1742" s="31" t="s">
        <v>369</v>
      </c>
      <c r="F1742" s="32" t="s">
        <v>57</v>
      </c>
      <c r="G1742" s="32" t="s">
        <v>50</v>
      </c>
      <c r="H1742" s="37">
        <v>28550</v>
      </c>
      <c r="I1742" s="34">
        <f>Table3[[#This Row],[Volume, kg.]]/1000</f>
        <v>28.55</v>
      </c>
      <c r="J1742" s="38">
        <v>0.25280000000000002</v>
      </c>
      <c r="K1742" s="34">
        <f t="shared" si="54"/>
        <v>7217.4400000000005</v>
      </c>
      <c r="L1742" s="38">
        <v>3.15</v>
      </c>
      <c r="M1742" s="38">
        <v>89790.5</v>
      </c>
      <c r="N1742" s="34">
        <f t="shared" si="55"/>
        <v>12.460443037974683</v>
      </c>
    </row>
    <row r="1743" spans="1:14" x14ac:dyDescent="0.45">
      <c r="A1743" s="30">
        <v>2023</v>
      </c>
      <c r="B1743" s="30" t="s">
        <v>16</v>
      </c>
      <c r="C1743" s="30" t="s">
        <v>46</v>
      </c>
      <c r="D1743" s="30" t="s">
        <v>47</v>
      </c>
      <c r="E1743" s="31" t="s">
        <v>449</v>
      </c>
      <c r="F1743" s="32" t="s">
        <v>49</v>
      </c>
      <c r="G1743" s="32" t="s">
        <v>50</v>
      </c>
      <c r="H1743" s="37">
        <v>24640</v>
      </c>
      <c r="I1743" s="34">
        <f>Table3[[#This Row],[Volume, kg.]]/1000</f>
        <v>24.64</v>
      </c>
      <c r="J1743" s="38">
        <v>0.22</v>
      </c>
      <c r="K1743" s="34">
        <f t="shared" si="54"/>
        <v>5420.8</v>
      </c>
      <c r="L1743" s="38">
        <v>2.96</v>
      </c>
      <c r="M1743" s="38">
        <v>72817</v>
      </c>
      <c r="N1743" s="34">
        <f t="shared" si="55"/>
        <v>13.454545454545455</v>
      </c>
    </row>
    <row r="1744" spans="1:14" x14ac:dyDescent="0.45">
      <c r="A1744" s="30">
        <v>2023</v>
      </c>
      <c r="B1744" s="30" t="s">
        <v>16</v>
      </c>
      <c r="C1744" s="30" t="s">
        <v>46</v>
      </c>
      <c r="D1744" s="30" t="s">
        <v>47</v>
      </c>
      <c r="E1744" s="31" t="s">
        <v>500</v>
      </c>
      <c r="F1744" s="32" t="s">
        <v>49</v>
      </c>
      <c r="G1744" s="32" t="s">
        <v>50</v>
      </c>
      <c r="H1744" s="37">
        <v>4870</v>
      </c>
      <c r="I1744" s="34">
        <f>Table3[[#This Row],[Volume, kg.]]/1000</f>
        <v>4.87</v>
      </c>
      <c r="J1744" s="38">
        <v>0.20499999999999999</v>
      </c>
      <c r="K1744" s="34">
        <f t="shared" si="54"/>
        <v>998.34999999999991</v>
      </c>
      <c r="L1744" s="38">
        <v>2.95</v>
      </c>
      <c r="M1744" s="38">
        <v>14366.5</v>
      </c>
      <c r="N1744" s="34">
        <f t="shared" si="55"/>
        <v>14.390243902439027</v>
      </c>
    </row>
    <row r="1745" spans="1:14" x14ac:dyDescent="0.45">
      <c r="A1745" s="30">
        <v>2023</v>
      </c>
      <c r="B1745" s="30" t="s">
        <v>16</v>
      </c>
      <c r="C1745" s="30" t="s">
        <v>46</v>
      </c>
      <c r="D1745" s="30" t="s">
        <v>47</v>
      </c>
      <c r="E1745" s="31" t="s">
        <v>232</v>
      </c>
      <c r="F1745" s="32" t="s">
        <v>49</v>
      </c>
      <c r="G1745" s="32" t="s">
        <v>50</v>
      </c>
      <c r="H1745" s="37">
        <v>81770</v>
      </c>
      <c r="I1745" s="34">
        <f>Table3[[#This Row],[Volume, kg.]]/1000</f>
        <v>81.77</v>
      </c>
      <c r="J1745" s="38">
        <v>0.22420000000000001</v>
      </c>
      <c r="K1745" s="34">
        <f t="shared" si="54"/>
        <v>18332.834000000003</v>
      </c>
      <c r="L1745" s="38">
        <v>3.03</v>
      </c>
      <c r="M1745" s="38">
        <v>247413</v>
      </c>
      <c r="N1745" s="34">
        <f t="shared" si="55"/>
        <v>13.514719000892059</v>
      </c>
    </row>
    <row r="1746" spans="1:14" x14ac:dyDescent="0.45">
      <c r="A1746" s="30">
        <v>2023</v>
      </c>
      <c r="B1746" s="30" t="s">
        <v>16</v>
      </c>
      <c r="C1746" s="30" t="s">
        <v>46</v>
      </c>
      <c r="D1746" s="30" t="s">
        <v>47</v>
      </c>
      <c r="E1746" s="31" t="s">
        <v>463</v>
      </c>
      <c r="F1746" s="32" t="s">
        <v>49</v>
      </c>
      <c r="G1746" s="32" t="s">
        <v>50</v>
      </c>
      <c r="H1746" s="37">
        <v>6070</v>
      </c>
      <c r="I1746" s="34">
        <f>Table3[[#This Row],[Volume, kg.]]/1000</f>
        <v>6.07</v>
      </c>
      <c r="J1746" s="38">
        <v>0.214</v>
      </c>
      <c r="K1746" s="34">
        <f t="shared" si="54"/>
        <v>1298.98</v>
      </c>
      <c r="L1746" s="38">
        <v>2.97</v>
      </c>
      <c r="M1746" s="38">
        <v>18004</v>
      </c>
      <c r="N1746" s="34">
        <f t="shared" si="55"/>
        <v>13.878504672897197</v>
      </c>
    </row>
    <row r="1747" spans="1:14" x14ac:dyDescent="0.45">
      <c r="A1747" s="30">
        <v>2023</v>
      </c>
      <c r="B1747" s="30" t="s">
        <v>16</v>
      </c>
      <c r="C1747" s="30" t="s">
        <v>46</v>
      </c>
      <c r="D1747" s="30" t="s">
        <v>47</v>
      </c>
      <c r="E1747" s="31" t="s">
        <v>381</v>
      </c>
      <c r="F1747" s="32" t="s">
        <v>49</v>
      </c>
      <c r="G1747" s="32" t="s">
        <v>50</v>
      </c>
      <c r="H1747" s="37">
        <v>50510</v>
      </c>
      <c r="I1747" s="34">
        <f>Table3[[#This Row],[Volume, kg.]]/1000</f>
        <v>50.51</v>
      </c>
      <c r="J1747" s="38">
        <v>0.22339999999999999</v>
      </c>
      <c r="K1747" s="34">
        <f t="shared" si="54"/>
        <v>11283.933999999999</v>
      </c>
      <c r="L1747" s="38">
        <v>3</v>
      </c>
      <c r="M1747" s="38">
        <v>151417.5</v>
      </c>
      <c r="N1747" s="34">
        <f t="shared" si="55"/>
        <v>13.428827215756492</v>
      </c>
    </row>
    <row r="1748" spans="1:14" x14ac:dyDescent="0.45">
      <c r="A1748" s="30">
        <v>2023</v>
      </c>
      <c r="B1748" s="30" t="s">
        <v>16</v>
      </c>
      <c r="C1748" s="30" t="s">
        <v>46</v>
      </c>
      <c r="D1748" s="30" t="s">
        <v>47</v>
      </c>
      <c r="E1748" s="31" t="s">
        <v>233</v>
      </c>
      <c r="F1748" s="32" t="s">
        <v>57</v>
      </c>
      <c r="G1748" s="32" t="s">
        <v>50</v>
      </c>
      <c r="H1748" s="37">
        <v>253680</v>
      </c>
      <c r="I1748" s="34">
        <f>Table3[[#This Row],[Volume, kg.]]/1000</f>
        <v>253.68</v>
      </c>
      <c r="J1748" s="38">
        <v>0.2455</v>
      </c>
      <c r="K1748" s="34">
        <f t="shared" si="54"/>
        <v>62278.44</v>
      </c>
      <c r="L1748" s="38">
        <v>3.11</v>
      </c>
      <c r="M1748" s="38">
        <v>789590</v>
      </c>
      <c r="N1748" s="34">
        <f t="shared" si="55"/>
        <v>12.668024439918533</v>
      </c>
    </row>
    <row r="1749" spans="1:14" x14ac:dyDescent="0.45">
      <c r="A1749" s="30">
        <v>2023</v>
      </c>
      <c r="B1749" s="30" t="s">
        <v>16</v>
      </c>
      <c r="C1749" s="30" t="s">
        <v>46</v>
      </c>
      <c r="D1749" s="30" t="s">
        <v>47</v>
      </c>
      <c r="E1749" s="31" t="s">
        <v>235</v>
      </c>
      <c r="F1749" s="32" t="s">
        <v>57</v>
      </c>
      <c r="G1749" s="32" t="s">
        <v>50</v>
      </c>
      <c r="H1749" s="37">
        <v>23920</v>
      </c>
      <c r="I1749" s="34">
        <f>Table3[[#This Row],[Volume, kg.]]/1000</f>
        <v>23.92</v>
      </c>
      <c r="J1749" s="38">
        <v>0.24239999999999998</v>
      </c>
      <c r="K1749" s="34">
        <f t="shared" si="54"/>
        <v>5798.2079999999996</v>
      </c>
      <c r="L1749" s="38">
        <v>3.14</v>
      </c>
      <c r="M1749" s="38">
        <v>75205</v>
      </c>
      <c r="N1749" s="34">
        <f t="shared" si="55"/>
        <v>12.953795379537956</v>
      </c>
    </row>
    <row r="1750" spans="1:14" x14ac:dyDescent="0.45">
      <c r="A1750" s="30">
        <v>2023</v>
      </c>
      <c r="B1750" s="30" t="s">
        <v>16</v>
      </c>
      <c r="C1750" s="30" t="s">
        <v>46</v>
      </c>
      <c r="D1750" s="30" t="s">
        <v>47</v>
      </c>
      <c r="E1750" s="31" t="s">
        <v>236</v>
      </c>
      <c r="F1750" s="32" t="s">
        <v>49</v>
      </c>
      <c r="G1750" s="32" t="s">
        <v>50</v>
      </c>
      <c r="H1750" s="37">
        <v>27870</v>
      </c>
      <c r="I1750" s="34">
        <f>Table3[[#This Row],[Volume, kg.]]/1000</f>
        <v>27.87</v>
      </c>
      <c r="J1750" s="38">
        <v>0.2268</v>
      </c>
      <c r="K1750" s="34">
        <f t="shared" si="54"/>
        <v>6320.9160000000002</v>
      </c>
      <c r="L1750" s="38">
        <v>3.01</v>
      </c>
      <c r="M1750" s="38">
        <v>83764.5</v>
      </c>
      <c r="N1750" s="34">
        <f t="shared" si="55"/>
        <v>13.271604938271604</v>
      </c>
    </row>
    <row r="1751" spans="1:14" x14ac:dyDescent="0.45">
      <c r="A1751" s="30">
        <v>2023</v>
      </c>
      <c r="B1751" s="30" t="s">
        <v>16</v>
      </c>
      <c r="C1751" s="30" t="s">
        <v>46</v>
      </c>
      <c r="D1751" s="30" t="s">
        <v>102</v>
      </c>
      <c r="E1751" s="31" t="s">
        <v>239</v>
      </c>
      <c r="F1751" s="32" t="s">
        <v>240</v>
      </c>
      <c r="G1751" s="32" t="s">
        <v>50</v>
      </c>
      <c r="H1751" s="37">
        <v>136030</v>
      </c>
      <c r="I1751" s="34">
        <f>Table3[[#This Row],[Volume, kg.]]/1000</f>
        <v>136.03</v>
      </c>
      <c r="J1751" s="38">
        <v>0.21629999999999999</v>
      </c>
      <c r="K1751" s="34">
        <f t="shared" si="54"/>
        <v>29423.289000000001</v>
      </c>
      <c r="L1751" s="38">
        <v>3.05</v>
      </c>
      <c r="M1751" s="38">
        <v>414413.5</v>
      </c>
      <c r="N1751" s="34">
        <f t="shared" si="55"/>
        <v>14.100785945446139</v>
      </c>
    </row>
    <row r="1752" spans="1:14" x14ac:dyDescent="0.45">
      <c r="A1752" s="30">
        <v>2023</v>
      </c>
      <c r="B1752" s="30" t="s">
        <v>16</v>
      </c>
      <c r="C1752" s="30" t="s">
        <v>46</v>
      </c>
      <c r="D1752" s="30" t="s">
        <v>47</v>
      </c>
      <c r="E1752" s="31" t="s">
        <v>319</v>
      </c>
      <c r="F1752" s="32" t="s">
        <v>81</v>
      </c>
      <c r="G1752" s="32" t="s">
        <v>50</v>
      </c>
      <c r="H1752" s="37">
        <v>63370</v>
      </c>
      <c r="I1752" s="34">
        <f>Table3[[#This Row],[Volume, kg.]]/1000</f>
        <v>63.37</v>
      </c>
      <c r="J1752" s="38">
        <v>0.2107</v>
      </c>
      <c r="K1752" s="34">
        <f t="shared" si="54"/>
        <v>13352.058999999999</v>
      </c>
      <c r="L1752" s="38">
        <v>2.9</v>
      </c>
      <c r="M1752" s="38">
        <v>184040</v>
      </c>
      <c r="N1752" s="34">
        <f t="shared" si="55"/>
        <v>13.763644992880874</v>
      </c>
    </row>
    <row r="1753" spans="1:14" x14ac:dyDescent="0.45">
      <c r="A1753" s="30">
        <v>2023</v>
      </c>
      <c r="B1753" s="30" t="s">
        <v>16</v>
      </c>
      <c r="C1753" s="30" t="s">
        <v>46</v>
      </c>
      <c r="D1753" s="30" t="s">
        <v>47</v>
      </c>
      <c r="E1753" s="31" t="s">
        <v>320</v>
      </c>
      <c r="F1753" s="32" t="s">
        <v>49</v>
      </c>
      <c r="G1753" s="32" t="s">
        <v>50</v>
      </c>
      <c r="H1753" s="37">
        <v>28660</v>
      </c>
      <c r="I1753" s="34">
        <f>Table3[[#This Row],[Volume, kg.]]/1000</f>
        <v>28.66</v>
      </c>
      <c r="J1753" s="38">
        <v>0.2114</v>
      </c>
      <c r="K1753" s="34">
        <f t="shared" si="54"/>
        <v>6058.7240000000002</v>
      </c>
      <c r="L1753" s="38">
        <v>2.93</v>
      </c>
      <c r="M1753" s="38">
        <v>84007</v>
      </c>
      <c r="N1753" s="34">
        <f t="shared" si="55"/>
        <v>13.859981078524125</v>
      </c>
    </row>
    <row r="1754" spans="1:14" x14ac:dyDescent="0.45">
      <c r="A1754" s="30">
        <v>2023</v>
      </c>
      <c r="B1754" s="30" t="s">
        <v>16</v>
      </c>
      <c r="C1754" s="30" t="s">
        <v>46</v>
      </c>
      <c r="D1754" s="30" t="s">
        <v>47</v>
      </c>
      <c r="E1754" s="31" t="s">
        <v>241</v>
      </c>
      <c r="F1754" s="32" t="s">
        <v>57</v>
      </c>
      <c r="G1754" s="32" t="s">
        <v>50</v>
      </c>
      <c r="H1754" s="37">
        <v>62000</v>
      </c>
      <c r="I1754" s="34">
        <f>Table3[[#This Row],[Volume, kg.]]/1000</f>
        <v>62</v>
      </c>
      <c r="J1754" s="38">
        <v>0.24960000000000002</v>
      </c>
      <c r="K1754" s="34">
        <f t="shared" si="54"/>
        <v>15475.2</v>
      </c>
      <c r="L1754" s="38">
        <v>3.09</v>
      </c>
      <c r="M1754" s="38">
        <v>191804.5</v>
      </c>
      <c r="N1754" s="34">
        <f t="shared" si="55"/>
        <v>12.379807692307692</v>
      </c>
    </row>
    <row r="1755" spans="1:14" x14ac:dyDescent="0.45">
      <c r="A1755" s="30">
        <v>2023</v>
      </c>
      <c r="B1755" s="30" t="s">
        <v>16</v>
      </c>
      <c r="C1755" s="30" t="s">
        <v>46</v>
      </c>
      <c r="D1755" s="30" t="s">
        <v>47</v>
      </c>
      <c r="E1755" s="31" t="s">
        <v>534</v>
      </c>
      <c r="F1755" s="32" t="s">
        <v>49</v>
      </c>
      <c r="G1755" s="32" t="s">
        <v>50</v>
      </c>
      <c r="H1755" s="37">
        <v>19610</v>
      </c>
      <c r="I1755" s="34">
        <f>Table3[[#This Row],[Volume, kg.]]/1000</f>
        <v>19.61</v>
      </c>
      <c r="J1755" s="38">
        <v>0.23449999999999999</v>
      </c>
      <c r="K1755" s="34">
        <f t="shared" si="54"/>
        <v>4598.5450000000001</v>
      </c>
      <c r="L1755" s="38">
        <v>3</v>
      </c>
      <c r="M1755" s="38">
        <v>58830</v>
      </c>
      <c r="N1755" s="34">
        <f t="shared" si="55"/>
        <v>12.793176972281451</v>
      </c>
    </row>
    <row r="1756" spans="1:14" x14ac:dyDescent="0.45">
      <c r="A1756" s="30">
        <v>2023</v>
      </c>
      <c r="B1756" s="30" t="s">
        <v>16</v>
      </c>
      <c r="C1756" s="30" t="s">
        <v>46</v>
      </c>
      <c r="D1756" s="30" t="s">
        <v>47</v>
      </c>
      <c r="E1756" s="31" t="s">
        <v>242</v>
      </c>
      <c r="F1756" s="32" t="s">
        <v>60</v>
      </c>
      <c r="G1756" s="32" t="s">
        <v>50</v>
      </c>
      <c r="H1756" s="37">
        <v>176210</v>
      </c>
      <c r="I1756" s="34">
        <f>Table3[[#This Row],[Volume, kg.]]/1000</f>
        <v>176.21</v>
      </c>
      <c r="J1756" s="38">
        <v>0.24390000000000001</v>
      </c>
      <c r="K1756" s="34">
        <f t="shared" si="54"/>
        <v>42977.618999999999</v>
      </c>
      <c r="L1756" s="38">
        <v>3.08</v>
      </c>
      <c r="M1756" s="38">
        <v>542729</v>
      </c>
      <c r="N1756" s="34">
        <f t="shared" si="55"/>
        <v>12.628126281262812</v>
      </c>
    </row>
    <row r="1757" spans="1:14" x14ac:dyDescent="0.45">
      <c r="A1757" s="30">
        <v>2023</v>
      </c>
      <c r="B1757" s="30" t="s">
        <v>16</v>
      </c>
      <c r="C1757" s="30" t="s">
        <v>46</v>
      </c>
      <c r="D1757" s="30" t="s">
        <v>47</v>
      </c>
      <c r="E1757" s="31" t="s">
        <v>452</v>
      </c>
      <c r="F1757" s="32" t="s">
        <v>134</v>
      </c>
      <c r="G1757" s="32" t="s">
        <v>50</v>
      </c>
      <c r="H1757" s="37">
        <v>52880</v>
      </c>
      <c r="I1757" s="34">
        <f>Table3[[#This Row],[Volume, kg.]]/1000</f>
        <v>52.88</v>
      </c>
      <c r="J1757" s="38">
        <v>0.22039999999999998</v>
      </c>
      <c r="K1757" s="34">
        <f t="shared" si="54"/>
        <v>11654.751999999999</v>
      </c>
      <c r="L1757" s="38">
        <v>2.96</v>
      </c>
      <c r="M1757" s="38">
        <v>156406.5</v>
      </c>
      <c r="N1757" s="34">
        <f t="shared" si="55"/>
        <v>13.430127041742287</v>
      </c>
    </row>
    <row r="1758" spans="1:14" x14ac:dyDescent="0.45">
      <c r="A1758" s="30">
        <v>2023</v>
      </c>
      <c r="B1758" s="30" t="s">
        <v>16</v>
      </c>
      <c r="C1758" s="30" t="s">
        <v>46</v>
      </c>
      <c r="D1758" s="30" t="s">
        <v>47</v>
      </c>
      <c r="E1758" s="31" t="s">
        <v>513</v>
      </c>
      <c r="F1758" s="32" t="s">
        <v>57</v>
      </c>
      <c r="G1758" s="32" t="s">
        <v>50</v>
      </c>
      <c r="H1758" s="37">
        <v>107480</v>
      </c>
      <c r="I1758" s="34">
        <f>Table3[[#This Row],[Volume, kg.]]/1000</f>
        <v>107.48</v>
      </c>
      <c r="J1758" s="38">
        <v>0.2427</v>
      </c>
      <c r="K1758" s="34">
        <f t="shared" si="54"/>
        <v>26085.396000000001</v>
      </c>
      <c r="L1758" s="38">
        <v>3.08</v>
      </c>
      <c r="M1758" s="38">
        <v>331538.5</v>
      </c>
      <c r="N1758" s="34">
        <f t="shared" si="55"/>
        <v>12.690564482900701</v>
      </c>
    </row>
    <row r="1759" spans="1:14" x14ac:dyDescent="0.45">
      <c r="A1759" s="30">
        <v>2023</v>
      </c>
      <c r="B1759" s="30" t="s">
        <v>16</v>
      </c>
      <c r="C1759" s="30" t="s">
        <v>46</v>
      </c>
      <c r="D1759" s="30" t="s">
        <v>47</v>
      </c>
      <c r="E1759" s="31" t="s">
        <v>243</v>
      </c>
      <c r="F1759" s="32" t="s">
        <v>60</v>
      </c>
      <c r="G1759" s="32" t="s">
        <v>50</v>
      </c>
      <c r="H1759" s="37">
        <v>56010</v>
      </c>
      <c r="I1759" s="34">
        <f>Table3[[#This Row],[Volume, kg.]]/1000</f>
        <v>56.01</v>
      </c>
      <c r="J1759" s="38">
        <v>0.25929999999999997</v>
      </c>
      <c r="K1759" s="34">
        <f t="shared" si="54"/>
        <v>14523.392999999998</v>
      </c>
      <c r="L1759" s="38">
        <v>3.19</v>
      </c>
      <c r="M1759" s="38">
        <v>178490</v>
      </c>
      <c r="N1759" s="34">
        <f t="shared" si="55"/>
        <v>12.302352487466257</v>
      </c>
    </row>
    <row r="1760" spans="1:14" x14ac:dyDescent="0.45">
      <c r="A1760" s="30">
        <v>2023</v>
      </c>
      <c r="B1760" s="30" t="s">
        <v>16</v>
      </c>
      <c r="C1760" s="30" t="s">
        <v>46</v>
      </c>
      <c r="D1760" s="30" t="s">
        <v>47</v>
      </c>
      <c r="E1760" s="31" t="s">
        <v>493</v>
      </c>
      <c r="F1760" s="32" t="s">
        <v>49</v>
      </c>
      <c r="G1760" s="32" t="s">
        <v>50</v>
      </c>
      <c r="H1760" s="37">
        <v>35420</v>
      </c>
      <c r="I1760" s="34">
        <f>Table3[[#This Row],[Volume, kg.]]/1000</f>
        <v>35.42</v>
      </c>
      <c r="J1760" s="38">
        <v>0.25989999999999996</v>
      </c>
      <c r="K1760" s="34">
        <f t="shared" si="54"/>
        <v>9205.6579999999994</v>
      </c>
      <c r="L1760" s="38">
        <v>3.06</v>
      </c>
      <c r="M1760" s="38">
        <v>108506.5</v>
      </c>
      <c r="N1760" s="34">
        <f t="shared" si="55"/>
        <v>11.773759138130051</v>
      </c>
    </row>
    <row r="1761" spans="1:14" x14ac:dyDescent="0.45">
      <c r="A1761" s="30">
        <v>2023</v>
      </c>
      <c r="B1761" s="30" t="s">
        <v>16</v>
      </c>
      <c r="C1761" s="30" t="s">
        <v>46</v>
      </c>
      <c r="D1761" s="30" t="s">
        <v>47</v>
      </c>
      <c r="E1761" s="31" t="s">
        <v>527</v>
      </c>
      <c r="F1761" s="32" t="s">
        <v>60</v>
      </c>
      <c r="G1761" s="32" t="s">
        <v>50</v>
      </c>
      <c r="H1761" s="37">
        <v>63380</v>
      </c>
      <c r="I1761" s="34">
        <f>Table3[[#This Row],[Volume, kg.]]/1000</f>
        <v>63.38</v>
      </c>
      <c r="J1761" s="38">
        <v>0.23569999999999999</v>
      </c>
      <c r="K1761" s="34">
        <f t="shared" si="54"/>
        <v>14938.665999999999</v>
      </c>
      <c r="L1761" s="38">
        <v>3.05</v>
      </c>
      <c r="M1761" s="38">
        <v>193172</v>
      </c>
      <c r="N1761" s="34">
        <f t="shared" si="55"/>
        <v>12.940178192617735</v>
      </c>
    </row>
    <row r="1762" spans="1:14" x14ac:dyDescent="0.45">
      <c r="A1762" s="30">
        <v>2023</v>
      </c>
      <c r="B1762" s="30" t="s">
        <v>16</v>
      </c>
      <c r="C1762" s="30" t="s">
        <v>46</v>
      </c>
      <c r="D1762" s="30" t="s">
        <v>47</v>
      </c>
      <c r="E1762" s="31" t="s">
        <v>322</v>
      </c>
      <c r="F1762" s="32" t="s">
        <v>57</v>
      </c>
      <c r="G1762" s="32" t="s">
        <v>50</v>
      </c>
      <c r="H1762" s="37">
        <v>9980</v>
      </c>
      <c r="I1762" s="34">
        <f>Table3[[#This Row],[Volume, kg.]]/1000</f>
        <v>9.98</v>
      </c>
      <c r="J1762" s="38">
        <v>0.2389</v>
      </c>
      <c r="K1762" s="34">
        <f t="shared" si="54"/>
        <v>2384.2220000000002</v>
      </c>
      <c r="L1762" s="38">
        <v>3.1</v>
      </c>
      <c r="M1762" s="38">
        <v>30976</v>
      </c>
      <c r="N1762" s="34">
        <f t="shared" si="55"/>
        <v>12.97614064462118</v>
      </c>
    </row>
    <row r="1763" spans="1:14" x14ac:dyDescent="0.45">
      <c r="A1763" s="30">
        <v>2023</v>
      </c>
      <c r="B1763" s="30" t="s">
        <v>16</v>
      </c>
      <c r="C1763" s="30" t="s">
        <v>46</v>
      </c>
      <c r="D1763" s="30" t="s">
        <v>47</v>
      </c>
      <c r="E1763" s="31" t="s">
        <v>374</v>
      </c>
      <c r="F1763" s="32" t="s">
        <v>81</v>
      </c>
      <c r="G1763" s="32" t="s">
        <v>50</v>
      </c>
      <c r="H1763" s="37">
        <v>400</v>
      </c>
      <c r="I1763" s="34">
        <f>Table3[[#This Row],[Volume, kg.]]/1000</f>
        <v>0.4</v>
      </c>
      <c r="J1763" s="38">
        <v>0.2205</v>
      </c>
      <c r="K1763" s="34">
        <f t="shared" si="54"/>
        <v>88.2</v>
      </c>
      <c r="L1763" s="38">
        <v>3.05</v>
      </c>
      <c r="M1763" s="38">
        <v>1220</v>
      </c>
      <c r="N1763" s="34">
        <f t="shared" si="55"/>
        <v>13.83219954648526</v>
      </c>
    </row>
    <row r="1764" spans="1:14" x14ac:dyDescent="0.45">
      <c r="A1764" s="30">
        <v>2023</v>
      </c>
      <c r="B1764" s="30" t="s">
        <v>16</v>
      </c>
      <c r="C1764" s="30" t="s">
        <v>46</v>
      </c>
      <c r="D1764" s="30" t="s">
        <v>47</v>
      </c>
      <c r="E1764" s="31" t="s">
        <v>453</v>
      </c>
      <c r="F1764" s="32" t="s">
        <v>57</v>
      </c>
      <c r="G1764" s="32" t="s">
        <v>50</v>
      </c>
      <c r="H1764" s="37">
        <v>22750</v>
      </c>
      <c r="I1764" s="34">
        <f>Table3[[#This Row],[Volume, kg.]]/1000</f>
        <v>22.75</v>
      </c>
      <c r="J1764" s="38">
        <v>0.23600000000000002</v>
      </c>
      <c r="K1764" s="34">
        <f t="shared" si="54"/>
        <v>5369</v>
      </c>
      <c r="L1764" s="38">
        <v>2.97</v>
      </c>
      <c r="M1764" s="38">
        <v>67616</v>
      </c>
      <c r="N1764" s="34">
        <f t="shared" si="55"/>
        <v>12.584745762711865</v>
      </c>
    </row>
    <row r="1765" spans="1:14" x14ac:dyDescent="0.45">
      <c r="A1765" s="30">
        <v>2023</v>
      </c>
      <c r="B1765" s="30" t="s">
        <v>16</v>
      </c>
      <c r="C1765" s="30" t="s">
        <v>46</v>
      </c>
      <c r="D1765" s="30" t="s">
        <v>47</v>
      </c>
      <c r="E1765" s="31" t="s">
        <v>324</v>
      </c>
      <c r="F1765" s="32" t="s">
        <v>81</v>
      </c>
      <c r="G1765" s="32" t="s">
        <v>50</v>
      </c>
      <c r="H1765" s="37">
        <v>154700</v>
      </c>
      <c r="I1765" s="34">
        <f>Table3[[#This Row],[Volume, kg.]]/1000</f>
        <v>154.69999999999999</v>
      </c>
      <c r="J1765" s="38">
        <v>0.2261</v>
      </c>
      <c r="K1765" s="34">
        <f t="shared" si="54"/>
        <v>34977.67</v>
      </c>
      <c r="L1765" s="38">
        <v>2.97</v>
      </c>
      <c r="M1765" s="38">
        <v>459916.5</v>
      </c>
      <c r="N1765" s="34">
        <f t="shared" si="55"/>
        <v>13.135780628040692</v>
      </c>
    </row>
    <row r="1766" spans="1:14" x14ac:dyDescent="0.45">
      <c r="A1766" s="30">
        <v>2023</v>
      </c>
      <c r="B1766" s="30" t="s">
        <v>16</v>
      </c>
      <c r="C1766" s="30" t="s">
        <v>46</v>
      </c>
      <c r="D1766" s="30" t="s">
        <v>47</v>
      </c>
      <c r="E1766" s="31" t="s">
        <v>244</v>
      </c>
      <c r="F1766" s="32" t="s">
        <v>60</v>
      </c>
      <c r="G1766" s="32" t="s">
        <v>50</v>
      </c>
      <c r="H1766" s="37">
        <v>274890</v>
      </c>
      <c r="I1766" s="34">
        <f>Table3[[#This Row],[Volume, kg.]]/1000</f>
        <v>274.89</v>
      </c>
      <c r="J1766" s="38">
        <v>0.24100000000000002</v>
      </c>
      <c r="K1766" s="34">
        <f t="shared" si="54"/>
        <v>66248.490000000005</v>
      </c>
      <c r="L1766" s="38">
        <v>3.08</v>
      </c>
      <c r="M1766" s="38">
        <v>847870.5</v>
      </c>
      <c r="N1766" s="34">
        <f t="shared" si="55"/>
        <v>12.780082987551866</v>
      </c>
    </row>
    <row r="1767" spans="1:14" x14ac:dyDescent="0.45">
      <c r="A1767" s="30">
        <v>2023</v>
      </c>
      <c r="B1767" s="30" t="s">
        <v>16</v>
      </c>
      <c r="C1767" s="30" t="s">
        <v>46</v>
      </c>
      <c r="D1767" s="30" t="s">
        <v>47</v>
      </c>
      <c r="E1767" s="31" t="s">
        <v>375</v>
      </c>
      <c r="F1767" s="32" t="s">
        <v>49</v>
      </c>
      <c r="G1767" s="32" t="s">
        <v>50</v>
      </c>
      <c r="H1767" s="37">
        <v>125940</v>
      </c>
      <c r="I1767" s="34">
        <f>Table3[[#This Row],[Volume, kg.]]/1000</f>
        <v>125.94</v>
      </c>
      <c r="J1767" s="38">
        <v>0.24010000000000001</v>
      </c>
      <c r="K1767" s="34">
        <f t="shared" si="54"/>
        <v>30238.194</v>
      </c>
      <c r="L1767" s="38">
        <v>3.07</v>
      </c>
      <c r="M1767" s="38">
        <v>386996.5</v>
      </c>
      <c r="N1767" s="34">
        <f t="shared" si="55"/>
        <v>12.786339025406079</v>
      </c>
    </row>
    <row r="1768" spans="1:14" x14ac:dyDescent="0.45">
      <c r="A1768" s="30">
        <v>2023</v>
      </c>
      <c r="B1768" s="30" t="s">
        <v>16</v>
      </c>
      <c r="C1768" s="30" t="s">
        <v>46</v>
      </c>
      <c r="D1768" s="30" t="s">
        <v>47</v>
      </c>
      <c r="E1768" s="31" t="s">
        <v>245</v>
      </c>
      <c r="F1768" s="32" t="s">
        <v>57</v>
      </c>
      <c r="G1768" s="32" t="s">
        <v>50</v>
      </c>
      <c r="H1768" s="37">
        <v>3500</v>
      </c>
      <c r="I1768" s="34">
        <f>Table3[[#This Row],[Volume, kg.]]/1000</f>
        <v>3.5</v>
      </c>
      <c r="J1768" s="38">
        <v>0.17899999999999999</v>
      </c>
      <c r="K1768" s="34">
        <f t="shared" si="54"/>
        <v>626.5</v>
      </c>
      <c r="L1768" s="38">
        <v>2.75</v>
      </c>
      <c r="M1768" s="38">
        <v>9625</v>
      </c>
      <c r="N1768" s="34">
        <f t="shared" si="55"/>
        <v>15.363128491620113</v>
      </c>
    </row>
    <row r="1769" spans="1:14" x14ac:dyDescent="0.45">
      <c r="A1769" s="30">
        <v>2023</v>
      </c>
      <c r="B1769" s="30" t="s">
        <v>16</v>
      </c>
      <c r="C1769" s="30" t="s">
        <v>46</v>
      </c>
      <c r="D1769" s="30" t="s">
        <v>47</v>
      </c>
      <c r="E1769" s="31" t="s">
        <v>325</v>
      </c>
      <c r="F1769" s="32" t="s">
        <v>60</v>
      </c>
      <c r="G1769" s="32" t="s">
        <v>50</v>
      </c>
      <c r="H1769" s="37">
        <v>92610</v>
      </c>
      <c r="I1769" s="34">
        <f>Table3[[#This Row],[Volume, kg.]]/1000</f>
        <v>92.61</v>
      </c>
      <c r="J1769" s="38">
        <v>0.2626</v>
      </c>
      <c r="K1769" s="34">
        <f t="shared" si="54"/>
        <v>24319.385999999999</v>
      </c>
      <c r="L1769" s="38">
        <v>3.16</v>
      </c>
      <c r="M1769" s="38">
        <v>293033.5</v>
      </c>
      <c r="N1769" s="34">
        <f t="shared" si="55"/>
        <v>12.033511043412034</v>
      </c>
    </row>
    <row r="1770" spans="1:14" x14ac:dyDescent="0.45">
      <c r="A1770" s="30">
        <v>2023</v>
      </c>
      <c r="B1770" s="30" t="s">
        <v>16</v>
      </c>
      <c r="C1770" s="30" t="s">
        <v>46</v>
      </c>
      <c r="D1770" s="30" t="s">
        <v>102</v>
      </c>
      <c r="E1770" s="31" t="s">
        <v>250</v>
      </c>
      <c r="F1770" s="32" t="s">
        <v>49</v>
      </c>
      <c r="G1770" s="32" t="s">
        <v>50</v>
      </c>
      <c r="H1770" s="37">
        <v>1307810</v>
      </c>
      <c r="I1770" s="34">
        <f>Table3[[#This Row],[Volume, kg.]]/1000</f>
        <v>1307.81</v>
      </c>
      <c r="J1770" s="38">
        <v>0.2293</v>
      </c>
      <c r="K1770" s="34">
        <f t="shared" si="54"/>
        <v>299880.83299999998</v>
      </c>
      <c r="L1770" s="38">
        <v>3.19</v>
      </c>
      <c r="M1770" s="38">
        <v>4168011.5</v>
      </c>
      <c r="N1770" s="34">
        <f t="shared" si="55"/>
        <v>13.911905800261666</v>
      </c>
    </row>
    <row r="1771" spans="1:14" x14ac:dyDescent="0.45">
      <c r="A1771" s="30">
        <v>2023</v>
      </c>
      <c r="B1771" s="30" t="s">
        <v>16</v>
      </c>
      <c r="C1771" s="30" t="s">
        <v>46</v>
      </c>
      <c r="D1771" s="30" t="s">
        <v>47</v>
      </c>
      <c r="E1771" s="31" t="s">
        <v>251</v>
      </c>
      <c r="F1771" s="32" t="s">
        <v>49</v>
      </c>
      <c r="G1771" s="32" t="s">
        <v>50</v>
      </c>
      <c r="H1771" s="37">
        <v>12260</v>
      </c>
      <c r="I1771" s="34">
        <f>Table3[[#This Row],[Volume, kg.]]/1000</f>
        <v>12.26</v>
      </c>
      <c r="J1771" s="38">
        <v>0.24350000000000002</v>
      </c>
      <c r="K1771" s="34">
        <f t="shared" si="54"/>
        <v>2985.3100000000004</v>
      </c>
      <c r="L1771" s="38">
        <v>3.05</v>
      </c>
      <c r="M1771" s="38">
        <v>37393</v>
      </c>
      <c r="N1771" s="34">
        <f t="shared" si="55"/>
        <v>12.525667351129362</v>
      </c>
    </row>
    <row r="1772" spans="1:14" x14ac:dyDescent="0.45">
      <c r="A1772" s="30">
        <v>2023</v>
      </c>
      <c r="B1772" s="30" t="s">
        <v>16</v>
      </c>
      <c r="C1772" s="30" t="s">
        <v>46</v>
      </c>
      <c r="D1772" s="30" t="s">
        <v>47</v>
      </c>
      <c r="E1772" s="31" t="s">
        <v>535</v>
      </c>
      <c r="F1772" s="32" t="s">
        <v>60</v>
      </c>
      <c r="G1772" s="32" t="s">
        <v>50</v>
      </c>
      <c r="H1772" s="37">
        <v>47390</v>
      </c>
      <c r="I1772" s="34">
        <f>Table3[[#This Row],[Volume, kg.]]/1000</f>
        <v>47.39</v>
      </c>
      <c r="J1772" s="38">
        <v>0.24690000000000001</v>
      </c>
      <c r="K1772" s="34">
        <f t="shared" si="54"/>
        <v>11700.591</v>
      </c>
      <c r="L1772" s="38">
        <v>3.07</v>
      </c>
      <c r="M1772" s="38">
        <v>145253</v>
      </c>
      <c r="N1772" s="34">
        <f t="shared" si="55"/>
        <v>12.434183880113405</v>
      </c>
    </row>
    <row r="1773" spans="1:14" x14ac:dyDescent="0.45">
      <c r="A1773" s="30">
        <v>2023</v>
      </c>
      <c r="B1773" s="30" t="s">
        <v>16</v>
      </c>
      <c r="C1773" s="30" t="s">
        <v>46</v>
      </c>
      <c r="D1773" s="30" t="s">
        <v>47</v>
      </c>
      <c r="E1773" s="31" t="s">
        <v>455</v>
      </c>
      <c r="F1773" s="32" t="s">
        <v>456</v>
      </c>
      <c r="G1773" s="32" t="s">
        <v>341</v>
      </c>
      <c r="H1773" s="37">
        <v>9090</v>
      </c>
      <c r="I1773" s="34">
        <f>Table3[[#This Row],[Volume, kg.]]/1000</f>
        <v>9.09</v>
      </c>
      <c r="J1773" s="38">
        <v>0.28350000000000003</v>
      </c>
      <c r="K1773" s="34">
        <f t="shared" si="54"/>
        <v>2577.0150000000003</v>
      </c>
      <c r="L1773" s="38">
        <v>3.35</v>
      </c>
      <c r="M1773" s="38">
        <v>30451.5</v>
      </c>
      <c r="N1773" s="34">
        <f t="shared" si="55"/>
        <v>11.816578483245149</v>
      </c>
    </row>
    <row r="1774" spans="1:14" x14ac:dyDescent="0.45">
      <c r="A1774" s="30">
        <v>2023</v>
      </c>
      <c r="B1774" s="30" t="s">
        <v>16</v>
      </c>
      <c r="C1774" s="30" t="s">
        <v>46</v>
      </c>
      <c r="D1774" s="30" t="s">
        <v>47</v>
      </c>
      <c r="E1774" s="31" t="s">
        <v>253</v>
      </c>
      <c r="F1774" s="32" t="s">
        <v>57</v>
      </c>
      <c r="G1774" s="32" t="s">
        <v>50</v>
      </c>
      <c r="H1774" s="37">
        <v>143080</v>
      </c>
      <c r="I1774" s="34">
        <f>Table3[[#This Row],[Volume, kg.]]/1000</f>
        <v>143.08000000000001</v>
      </c>
      <c r="J1774" s="38">
        <v>0.22339999999999999</v>
      </c>
      <c r="K1774" s="34">
        <f t="shared" si="54"/>
        <v>31964.071999999996</v>
      </c>
      <c r="L1774" s="38">
        <v>2.99</v>
      </c>
      <c r="M1774" s="38">
        <v>428469.5</v>
      </c>
      <c r="N1774" s="34">
        <f t="shared" si="55"/>
        <v>13.384064458370638</v>
      </c>
    </row>
    <row r="1775" spans="1:14" x14ac:dyDescent="0.45">
      <c r="A1775" s="30">
        <v>2023</v>
      </c>
      <c r="B1775" s="30" t="s">
        <v>16</v>
      </c>
      <c r="C1775" s="30" t="s">
        <v>46</v>
      </c>
      <c r="D1775" s="30" t="s">
        <v>47</v>
      </c>
      <c r="E1775" s="31" t="s">
        <v>457</v>
      </c>
      <c r="F1775" s="32" t="s">
        <v>49</v>
      </c>
      <c r="G1775" s="32" t="s">
        <v>50</v>
      </c>
      <c r="H1775" s="37">
        <v>27650</v>
      </c>
      <c r="I1775" s="34">
        <f>Table3[[#This Row],[Volume, kg.]]/1000</f>
        <v>27.65</v>
      </c>
      <c r="J1775" s="38">
        <v>0.22210000000000002</v>
      </c>
      <c r="K1775" s="34">
        <f t="shared" si="54"/>
        <v>6141.0650000000005</v>
      </c>
      <c r="L1775" s="38">
        <v>2.98</v>
      </c>
      <c r="M1775" s="38">
        <v>82430</v>
      </c>
      <c r="N1775" s="34">
        <f t="shared" si="55"/>
        <v>13.417379558757315</v>
      </c>
    </row>
    <row r="1776" spans="1:14" x14ac:dyDescent="0.45">
      <c r="A1776" s="30">
        <v>2023</v>
      </c>
      <c r="B1776" s="30" t="s">
        <v>16</v>
      </c>
      <c r="C1776" s="30" t="s">
        <v>46</v>
      </c>
      <c r="D1776" s="30" t="s">
        <v>47</v>
      </c>
      <c r="E1776" s="31" t="s">
        <v>254</v>
      </c>
      <c r="F1776" s="32" t="s">
        <v>49</v>
      </c>
      <c r="G1776" s="32" t="s">
        <v>50</v>
      </c>
      <c r="H1776" s="37">
        <v>80870</v>
      </c>
      <c r="I1776" s="34">
        <f>Table3[[#This Row],[Volume, kg.]]/1000</f>
        <v>80.87</v>
      </c>
      <c r="J1776" s="38">
        <v>0.20899999999999999</v>
      </c>
      <c r="K1776" s="34">
        <f t="shared" si="54"/>
        <v>16901.829999999998</v>
      </c>
      <c r="L1776" s="38">
        <v>2.92</v>
      </c>
      <c r="M1776" s="38">
        <v>235885.5</v>
      </c>
      <c r="N1776" s="34">
        <f t="shared" si="55"/>
        <v>13.971291866028709</v>
      </c>
    </row>
    <row r="1777" spans="1:14" x14ac:dyDescent="0.45">
      <c r="A1777" s="30">
        <v>2023</v>
      </c>
      <c r="B1777" s="30" t="s">
        <v>16</v>
      </c>
      <c r="C1777" s="30" t="s">
        <v>46</v>
      </c>
      <c r="D1777" s="30" t="s">
        <v>47</v>
      </c>
      <c r="E1777" s="31" t="s">
        <v>326</v>
      </c>
      <c r="F1777" s="32" t="s">
        <v>57</v>
      </c>
      <c r="G1777" s="32" t="s">
        <v>50</v>
      </c>
      <c r="H1777" s="37">
        <v>38590</v>
      </c>
      <c r="I1777" s="34">
        <f>Table3[[#This Row],[Volume, kg.]]/1000</f>
        <v>38.590000000000003</v>
      </c>
      <c r="J1777" s="38">
        <v>0.22469999999999998</v>
      </c>
      <c r="K1777" s="34">
        <f t="shared" si="54"/>
        <v>8671.1729999999989</v>
      </c>
      <c r="L1777" s="38">
        <v>2.97</v>
      </c>
      <c r="M1777" s="38">
        <v>114723.5</v>
      </c>
      <c r="N1777" s="34">
        <f t="shared" si="55"/>
        <v>13.217623497997332</v>
      </c>
    </row>
    <row r="1778" spans="1:14" x14ac:dyDescent="0.45">
      <c r="A1778" s="30">
        <v>2023</v>
      </c>
      <c r="B1778" s="30" t="s">
        <v>16</v>
      </c>
      <c r="C1778" s="30" t="s">
        <v>46</v>
      </c>
      <c r="D1778" s="30" t="s">
        <v>47</v>
      </c>
      <c r="E1778" s="31" t="s">
        <v>458</v>
      </c>
      <c r="F1778" s="32" t="s">
        <v>60</v>
      </c>
      <c r="G1778" s="32" t="s">
        <v>50</v>
      </c>
      <c r="H1778" s="37">
        <v>17070</v>
      </c>
      <c r="I1778" s="34">
        <f>Table3[[#This Row],[Volume, kg.]]/1000</f>
        <v>17.07</v>
      </c>
      <c r="J1778" s="38">
        <v>0.23579999999999998</v>
      </c>
      <c r="K1778" s="34">
        <f t="shared" si="54"/>
        <v>4025.1059999999998</v>
      </c>
      <c r="L1778" s="38">
        <v>3.06</v>
      </c>
      <c r="M1778" s="38">
        <v>52275.5</v>
      </c>
      <c r="N1778" s="34">
        <f t="shared" si="55"/>
        <v>12.977099236641223</v>
      </c>
    </row>
    <row r="1779" spans="1:14" x14ac:dyDescent="0.45">
      <c r="A1779" s="30">
        <v>2023</v>
      </c>
      <c r="B1779" s="30" t="s">
        <v>16</v>
      </c>
      <c r="C1779" s="30" t="s">
        <v>46</v>
      </c>
      <c r="D1779" s="30" t="s">
        <v>47</v>
      </c>
      <c r="E1779" s="31" t="s">
        <v>255</v>
      </c>
      <c r="F1779" s="32" t="s">
        <v>60</v>
      </c>
      <c r="G1779" s="32" t="s">
        <v>50</v>
      </c>
      <c r="H1779" s="37">
        <v>52130</v>
      </c>
      <c r="I1779" s="34">
        <f>Table3[[#This Row],[Volume, kg.]]/1000</f>
        <v>52.13</v>
      </c>
      <c r="J1779" s="38">
        <v>0.2432</v>
      </c>
      <c r="K1779" s="34">
        <f t="shared" si="54"/>
        <v>12678.016</v>
      </c>
      <c r="L1779" s="38">
        <v>3.07</v>
      </c>
      <c r="M1779" s="38">
        <v>159815.5</v>
      </c>
      <c r="N1779" s="34">
        <f t="shared" si="55"/>
        <v>12.623355263157894</v>
      </c>
    </row>
    <row r="1780" spans="1:14" x14ac:dyDescent="0.45">
      <c r="A1780" s="30">
        <v>2023</v>
      </c>
      <c r="B1780" s="30" t="s">
        <v>16</v>
      </c>
      <c r="C1780" s="30" t="s">
        <v>46</v>
      </c>
      <c r="D1780" s="30" t="s">
        <v>47</v>
      </c>
      <c r="E1780" s="31" t="s">
        <v>327</v>
      </c>
      <c r="F1780" s="32" t="s">
        <v>49</v>
      </c>
      <c r="G1780" s="32" t="s">
        <v>50</v>
      </c>
      <c r="H1780" s="37">
        <v>7500</v>
      </c>
      <c r="I1780" s="34">
        <f>Table3[[#This Row],[Volume, kg.]]/1000</f>
        <v>7.5</v>
      </c>
      <c r="J1780" s="38">
        <v>0.223</v>
      </c>
      <c r="K1780" s="34">
        <f t="shared" si="54"/>
        <v>1672.5</v>
      </c>
      <c r="L1780" s="38">
        <v>2.85</v>
      </c>
      <c r="M1780" s="38">
        <v>21375</v>
      </c>
      <c r="N1780" s="34">
        <f t="shared" si="55"/>
        <v>12.780269058295964</v>
      </c>
    </row>
    <row r="1781" spans="1:14" x14ac:dyDescent="0.45">
      <c r="A1781" s="30">
        <v>2023</v>
      </c>
      <c r="B1781" s="30" t="s">
        <v>16</v>
      </c>
      <c r="C1781" s="30" t="s">
        <v>46</v>
      </c>
      <c r="D1781" s="30" t="s">
        <v>47</v>
      </c>
      <c r="E1781" s="31" t="s">
        <v>256</v>
      </c>
      <c r="F1781" s="32" t="s">
        <v>81</v>
      </c>
      <c r="G1781" s="32" t="s">
        <v>50</v>
      </c>
      <c r="H1781" s="37">
        <v>77600</v>
      </c>
      <c r="I1781" s="34">
        <f>Table3[[#This Row],[Volume, kg.]]/1000</f>
        <v>77.599999999999994</v>
      </c>
      <c r="J1781" s="38">
        <v>0.23370000000000002</v>
      </c>
      <c r="K1781" s="34">
        <f t="shared" si="54"/>
        <v>18135.120000000003</v>
      </c>
      <c r="L1781" s="38">
        <v>3.03</v>
      </c>
      <c r="M1781" s="38">
        <v>234960</v>
      </c>
      <c r="N1781" s="34">
        <f t="shared" si="55"/>
        <v>12.965340179717584</v>
      </c>
    </row>
    <row r="1782" spans="1:14" x14ac:dyDescent="0.45">
      <c r="A1782" s="30">
        <v>2023</v>
      </c>
      <c r="B1782" s="30" t="s">
        <v>16</v>
      </c>
      <c r="C1782" s="30" t="s">
        <v>46</v>
      </c>
      <c r="D1782" s="30" t="s">
        <v>47</v>
      </c>
      <c r="E1782" s="31" t="s">
        <v>257</v>
      </c>
      <c r="F1782" s="32" t="s">
        <v>64</v>
      </c>
      <c r="G1782" s="32" t="s">
        <v>50</v>
      </c>
      <c r="H1782" s="37">
        <v>84120</v>
      </c>
      <c r="I1782" s="34">
        <f>Table3[[#This Row],[Volume, kg.]]/1000</f>
        <v>84.12</v>
      </c>
      <c r="J1782" s="38">
        <v>0.18629999999999999</v>
      </c>
      <c r="K1782" s="34">
        <f t="shared" si="54"/>
        <v>15671.555999999999</v>
      </c>
      <c r="L1782" s="38">
        <v>2.76</v>
      </c>
      <c r="M1782" s="38">
        <v>232513.5</v>
      </c>
      <c r="N1782" s="34">
        <f t="shared" si="55"/>
        <v>14.814814814814815</v>
      </c>
    </row>
    <row r="1783" spans="1:14" x14ac:dyDescent="0.45">
      <c r="A1783" s="30">
        <v>2023</v>
      </c>
      <c r="B1783" s="30" t="s">
        <v>16</v>
      </c>
      <c r="C1783" s="30" t="s">
        <v>46</v>
      </c>
      <c r="D1783" s="30" t="s">
        <v>47</v>
      </c>
      <c r="E1783" s="31" t="s">
        <v>459</v>
      </c>
      <c r="F1783" s="32" t="s">
        <v>134</v>
      </c>
      <c r="G1783" s="32" t="s">
        <v>50</v>
      </c>
      <c r="H1783" s="37">
        <v>199850</v>
      </c>
      <c r="I1783" s="34">
        <f>Table3[[#This Row],[Volume, kg.]]/1000</f>
        <v>199.85</v>
      </c>
      <c r="J1783" s="38">
        <v>0.2147</v>
      </c>
      <c r="K1783" s="34">
        <f t="shared" si="54"/>
        <v>42907.794999999998</v>
      </c>
      <c r="L1783" s="38">
        <v>3.01</v>
      </c>
      <c r="M1783" s="38">
        <v>601881</v>
      </c>
      <c r="N1783" s="34">
        <f t="shared" si="55"/>
        <v>14.019562179785746</v>
      </c>
    </row>
    <row r="1784" spans="1:14" x14ac:dyDescent="0.45">
      <c r="A1784" s="30">
        <v>2023</v>
      </c>
      <c r="B1784" s="30" t="s">
        <v>16</v>
      </c>
      <c r="C1784" s="30" t="s">
        <v>46</v>
      </c>
      <c r="D1784" s="30" t="s">
        <v>47</v>
      </c>
      <c r="E1784" s="31" t="s">
        <v>258</v>
      </c>
      <c r="F1784" s="32" t="s">
        <v>49</v>
      </c>
      <c r="G1784" s="32" t="s">
        <v>50</v>
      </c>
      <c r="H1784" s="37">
        <v>378820</v>
      </c>
      <c r="I1784" s="34">
        <f>Table3[[#This Row],[Volume, kg.]]/1000</f>
        <v>378.82</v>
      </c>
      <c r="J1784" s="38">
        <v>0.23219999999999999</v>
      </c>
      <c r="K1784" s="34">
        <f t="shared" si="54"/>
        <v>87962.004000000001</v>
      </c>
      <c r="L1784" s="38">
        <v>3.01</v>
      </c>
      <c r="M1784" s="38">
        <v>1140159.5</v>
      </c>
      <c r="N1784" s="34">
        <f t="shared" si="55"/>
        <v>12.962962962962962</v>
      </c>
    </row>
    <row r="1785" spans="1:14" x14ac:dyDescent="0.45">
      <c r="A1785" s="30">
        <v>2023</v>
      </c>
      <c r="B1785" s="30" t="s">
        <v>17</v>
      </c>
      <c r="C1785" s="30" t="s">
        <v>46</v>
      </c>
      <c r="D1785" s="30" t="s">
        <v>47</v>
      </c>
      <c r="E1785" s="31" t="s">
        <v>259</v>
      </c>
      <c r="F1785" s="32" t="s">
        <v>54</v>
      </c>
      <c r="G1785" s="32" t="s">
        <v>50</v>
      </c>
      <c r="H1785" s="37">
        <v>4470</v>
      </c>
      <c r="I1785" s="34">
        <f>Table3[[#This Row],[Volume, kg.]]/1000</f>
        <v>4.47</v>
      </c>
      <c r="J1785" s="38">
        <v>0.2475</v>
      </c>
      <c r="K1785" s="34">
        <f t="shared" si="54"/>
        <v>1106.325</v>
      </c>
      <c r="L1785" s="38">
        <v>3.15</v>
      </c>
      <c r="M1785" s="38">
        <v>14080.5</v>
      </c>
      <c r="N1785" s="34">
        <f t="shared" si="55"/>
        <v>12.727272727272727</v>
      </c>
    </row>
    <row r="1786" spans="1:14" x14ac:dyDescent="0.45">
      <c r="A1786" s="30">
        <v>2023</v>
      </c>
      <c r="B1786" s="30" t="s">
        <v>17</v>
      </c>
      <c r="C1786" s="30" t="s">
        <v>46</v>
      </c>
      <c r="D1786" s="30" t="s">
        <v>47</v>
      </c>
      <c r="E1786" s="31" t="s">
        <v>51</v>
      </c>
      <c r="F1786" s="32" t="s">
        <v>49</v>
      </c>
      <c r="G1786" s="32" t="s">
        <v>50</v>
      </c>
      <c r="H1786" s="37">
        <v>14100</v>
      </c>
      <c r="I1786" s="34">
        <f>Table3[[#This Row],[Volume, kg.]]/1000</f>
        <v>14.1</v>
      </c>
      <c r="J1786" s="38">
        <v>0.2457</v>
      </c>
      <c r="K1786" s="34">
        <f t="shared" si="54"/>
        <v>3464.37</v>
      </c>
      <c r="L1786" s="38">
        <v>3.08</v>
      </c>
      <c r="M1786" s="38">
        <v>43406.5</v>
      </c>
      <c r="N1786" s="34">
        <f t="shared" si="55"/>
        <v>12.535612535612536</v>
      </c>
    </row>
    <row r="1787" spans="1:14" x14ac:dyDescent="0.45">
      <c r="A1787" s="30">
        <v>2023</v>
      </c>
      <c r="B1787" s="30" t="s">
        <v>17</v>
      </c>
      <c r="C1787" s="30" t="s">
        <v>46</v>
      </c>
      <c r="D1787" s="30" t="s">
        <v>47</v>
      </c>
      <c r="E1787" s="31" t="s">
        <v>53</v>
      </c>
      <c r="F1787" s="32" t="s">
        <v>54</v>
      </c>
      <c r="G1787" s="32" t="s">
        <v>50</v>
      </c>
      <c r="H1787" s="37">
        <v>50550</v>
      </c>
      <c r="I1787" s="34">
        <f>Table3[[#This Row],[Volume, kg.]]/1000</f>
        <v>50.55</v>
      </c>
      <c r="J1787" s="38">
        <v>0.23399999999999999</v>
      </c>
      <c r="K1787" s="34">
        <f t="shared" si="54"/>
        <v>11828.699999999999</v>
      </c>
      <c r="L1787" s="38">
        <v>3.25</v>
      </c>
      <c r="M1787" s="38">
        <v>164268.5</v>
      </c>
      <c r="N1787" s="34">
        <f t="shared" si="55"/>
        <v>13.888888888888889</v>
      </c>
    </row>
    <row r="1788" spans="1:14" x14ac:dyDescent="0.45">
      <c r="A1788" s="30">
        <v>2023</v>
      </c>
      <c r="B1788" s="30" t="s">
        <v>17</v>
      </c>
      <c r="C1788" s="30" t="s">
        <v>46</v>
      </c>
      <c r="D1788" s="30" t="s">
        <v>47</v>
      </c>
      <c r="E1788" s="31" t="s">
        <v>56</v>
      </c>
      <c r="F1788" s="32" t="s">
        <v>57</v>
      </c>
      <c r="G1788" s="32" t="s">
        <v>50</v>
      </c>
      <c r="H1788" s="37">
        <v>21780</v>
      </c>
      <c r="I1788" s="34">
        <f>Table3[[#This Row],[Volume, kg.]]/1000</f>
        <v>21.78</v>
      </c>
      <c r="J1788" s="38">
        <v>0.23620000000000002</v>
      </c>
      <c r="K1788" s="34">
        <f t="shared" si="54"/>
        <v>5144.4360000000006</v>
      </c>
      <c r="L1788" s="38">
        <v>3.17</v>
      </c>
      <c r="M1788" s="38">
        <v>69149.5</v>
      </c>
      <c r="N1788" s="34">
        <f t="shared" si="55"/>
        <v>13.420829805249786</v>
      </c>
    </row>
    <row r="1789" spans="1:14" x14ac:dyDescent="0.45">
      <c r="A1789" s="30">
        <v>2023</v>
      </c>
      <c r="B1789" s="30" t="s">
        <v>17</v>
      </c>
      <c r="C1789" s="30" t="s">
        <v>46</v>
      </c>
      <c r="D1789" s="30" t="s">
        <v>47</v>
      </c>
      <c r="E1789" s="31" t="s">
        <v>422</v>
      </c>
      <c r="F1789" s="32" t="s">
        <v>134</v>
      </c>
      <c r="G1789" s="32" t="s">
        <v>50</v>
      </c>
      <c r="H1789" s="37">
        <v>14620</v>
      </c>
      <c r="I1789" s="34">
        <f>Table3[[#This Row],[Volume, kg.]]/1000</f>
        <v>14.62</v>
      </c>
      <c r="J1789" s="38">
        <v>0.23300000000000001</v>
      </c>
      <c r="K1789" s="34">
        <f t="shared" si="54"/>
        <v>3406.46</v>
      </c>
      <c r="L1789" s="38">
        <v>3.5</v>
      </c>
      <c r="M1789" s="38">
        <v>51170</v>
      </c>
      <c r="N1789" s="34">
        <f t="shared" si="55"/>
        <v>15.02145922746781</v>
      </c>
    </row>
    <row r="1790" spans="1:14" x14ac:dyDescent="0.45">
      <c r="A1790" s="30">
        <v>2023</v>
      </c>
      <c r="B1790" s="30" t="s">
        <v>17</v>
      </c>
      <c r="C1790" s="30" t="s">
        <v>46</v>
      </c>
      <c r="D1790" s="30" t="s">
        <v>47</v>
      </c>
      <c r="E1790" s="31" t="s">
        <v>59</v>
      </c>
      <c r="F1790" s="32" t="s">
        <v>60</v>
      </c>
      <c r="G1790" s="32" t="s">
        <v>50</v>
      </c>
      <c r="H1790" s="37">
        <v>81360</v>
      </c>
      <c r="I1790" s="34">
        <f>Table3[[#This Row],[Volume, kg.]]/1000</f>
        <v>81.36</v>
      </c>
      <c r="J1790" s="38">
        <v>0.22829999999999998</v>
      </c>
      <c r="K1790" s="34">
        <f t="shared" si="54"/>
        <v>18574.487999999998</v>
      </c>
      <c r="L1790" s="38">
        <v>3.05</v>
      </c>
      <c r="M1790" s="38">
        <v>248180</v>
      </c>
      <c r="N1790" s="34">
        <f t="shared" si="55"/>
        <v>13.359614542268945</v>
      </c>
    </row>
    <row r="1791" spans="1:14" x14ac:dyDescent="0.45">
      <c r="A1791" s="30">
        <v>2023</v>
      </c>
      <c r="B1791" s="30" t="s">
        <v>17</v>
      </c>
      <c r="C1791" s="30" t="s">
        <v>46</v>
      </c>
      <c r="D1791" s="30" t="s">
        <v>47</v>
      </c>
      <c r="E1791" s="31" t="s">
        <v>65</v>
      </c>
      <c r="F1791" s="32" t="s">
        <v>49</v>
      </c>
      <c r="G1791" s="32" t="s">
        <v>50</v>
      </c>
      <c r="H1791" s="37">
        <v>69630</v>
      </c>
      <c r="I1791" s="34">
        <f>Table3[[#This Row],[Volume, kg.]]/1000</f>
        <v>69.63</v>
      </c>
      <c r="J1791" s="38">
        <v>0.21909999999999999</v>
      </c>
      <c r="K1791" s="34">
        <f t="shared" si="54"/>
        <v>15255.932999999999</v>
      </c>
      <c r="L1791" s="38">
        <v>2.98</v>
      </c>
      <c r="M1791" s="38">
        <v>207437.5</v>
      </c>
      <c r="N1791" s="34">
        <f t="shared" si="55"/>
        <v>13.601095390232771</v>
      </c>
    </row>
    <row r="1792" spans="1:14" x14ac:dyDescent="0.45">
      <c r="A1792" s="30">
        <v>2023</v>
      </c>
      <c r="B1792" s="30" t="s">
        <v>17</v>
      </c>
      <c r="C1792" s="30" t="s">
        <v>46</v>
      </c>
      <c r="D1792" s="30" t="s">
        <v>47</v>
      </c>
      <c r="E1792" s="31" t="s">
        <v>66</v>
      </c>
      <c r="F1792" s="32" t="s">
        <v>49</v>
      </c>
      <c r="G1792" s="32" t="s">
        <v>50</v>
      </c>
      <c r="H1792" s="37">
        <v>110260</v>
      </c>
      <c r="I1792" s="34">
        <f>Table3[[#This Row],[Volume, kg.]]/1000</f>
        <v>110.26</v>
      </c>
      <c r="J1792" s="38">
        <v>0.2361</v>
      </c>
      <c r="K1792" s="34">
        <f t="shared" si="54"/>
        <v>26032.386000000002</v>
      </c>
      <c r="L1792" s="38">
        <v>3.21</v>
      </c>
      <c r="M1792" s="38">
        <v>353502</v>
      </c>
      <c r="N1792" s="34">
        <f t="shared" si="55"/>
        <v>13.595933926302413</v>
      </c>
    </row>
    <row r="1793" spans="1:14" x14ac:dyDescent="0.45">
      <c r="A1793" s="30">
        <v>2023</v>
      </c>
      <c r="B1793" s="30" t="s">
        <v>17</v>
      </c>
      <c r="C1793" s="30" t="s">
        <v>46</v>
      </c>
      <c r="D1793" s="30" t="s">
        <v>47</v>
      </c>
      <c r="E1793" s="31" t="s">
        <v>498</v>
      </c>
      <c r="F1793" s="32" t="s">
        <v>49</v>
      </c>
      <c r="G1793" s="32" t="s">
        <v>50</v>
      </c>
      <c r="H1793" s="37">
        <v>8720</v>
      </c>
      <c r="I1793" s="34">
        <f>Table3[[#This Row],[Volume, kg.]]/1000</f>
        <v>8.7200000000000006</v>
      </c>
      <c r="J1793" s="38">
        <v>0.21149999999999999</v>
      </c>
      <c r="K1793" s="34">
        <f t="shared" si="54"/>
        <v>1844.28</v>
      </c>
      <c r="L1793" s="38">
        <v>2.95</v>
      </c>
      <c r="M1793" s="38">
        <v>25724</v>
      </c>
      <c r="N1793" s="34">
        <f t="shared" si="55"/>
        <v>13.947990543735227</v>
      </c>
    </row>
    <row r="1794" spans="1:14" x14ac:dyDescent="0.45">
      <c r="A1794" s="30">
        <v>2023</v>
      </c>
      <c r="B1794" s="30" t="s">
        <v>17</v>
      </c>
      <c r="C1794" s="30" t="s">
        <v>46</v>
      </c>
      <c r="D1794" s="30" t="s">
        <v>47</v>
      </c>
      <c r="E1794" s="31" t="s">
        <v>263</v>
      </c>
      <c r="F1794" s="32" t="s">
        <v>81</v>
      </c>
      <c r="G1794" s="32" t="s">
        <v>50</v>
      </c>
      <c r="H1794" s="37">
        <v>108340</v>
      </c>
      <c r="I1794" s="34">
        <f>Table3[[#This Row],[Volume, kg.]]/1000</f>
        <v>108.34</v>
      </c>
      <c r="J1794" s="38">
        <v>0.24129999999999999</v>
      </c>
      <c r="K1794" s="34">
        <f t="shared" si="54"/>
        <v>26142.441999999999</v>
      </c>
      <c r="L1794" s="38">
        <v>3.21</v>
      </c>
      <c r="M1794" s="38">
        <v>347341</v>
      </c>
      <c r="N1794" s="34">
        <f t="shared" si="55"/>
        <v>13.302942395358475</v>
      </c>
    </row>
    <row r="1795" spans="1:14" x14ac:dyDescent="0.45">
      <c r="A1795" s="30">
        <v>2023</v>
      </c>
      <c r="B1795" s="30" t="s">
        <v>17</v>
      </c>
      <c r="C1795" s="30" t="s">
        <v>46</v>
      </c>
      <c r="D1795" s="30" t="s">
        <v>47</v>
      </c>
      <c r="E1795" s="31" t="s">
        <v>69</v>
      </c>
      <c r="F1795" s="32" t="s">
        <v>49</v>
      </c>
      <c r="G1795" s="32" t="s">
        <v>50</v>
      </c>
      <c r="H1795" s="37">
        <v>90610</v>
      </c>
      <c r="I1795" s="34">
        <f>Table3[[#This Row],[Volume, kg.]]/1000</f>
        <v>90.61</v>
      </c>
      <c r="J1795" s="38">
        <v>0.25619999999999998</v>
      </c>
      <c r="K1795" s="34">
        <f t="shared" ref="K1795:K1858" si="56">H1795*J1795</f>
        <v>23214.281999999999</v>
      </c>
      <c r="L1795" s="38">
        <v>3.35</v>
      </c>
      <c r="M1795" s="38">
        <v>303616</v>
      </c>
      <c r="N1795" s="34">
        <f t="shared" si="55"/>
        <v>13.075722092115535</v>
      </c>
    </row>
    <row r="1796" spans="1:14" x14ac:dyDescent="0.45">
      <c r="A1796" s="30">
        <v>2023</v>
      </c>
      <c r="B1796" s="30" t="s">
        <v>17</v>
      </c>
      <c r="C1796" s="30" t="s">
        <v>46</v>
      </c>
      <c r="D1796" s="30" t="s">
        <v>47</v>
      </c>
      <c r="E1796" s="31" t="s">
        <v>70</v>
      </c>
      <c r="F1796" s="32" t="s">
        <v>49</v>
      </c>
      <c r="G1796" s="32" t="s">
        <v>50</v>
      </c>
      <c r="H1796" s="37">
        <v>321540</v>
      </c>
      <c r="I1796" s="34">
        <f>Table3[[#This Row],[Volume, kg.]]/1000</f>
        <v>321.54000000000002</v>
      </c>
      <c r="J1796" s="38">
        <v>0.2354</v>
      </c>
      <c r="K1796" s="34">
        <f t="shared" si="56"/>
        <v>75690.516000000003</v>
      </c>
      <c r="L1796" s="38">
        <v>3.25</v>
      </c>
      <c r="M1796" s="38">
        <v>1046307.5</v>
      </c>
      <c r="N1796" s="34">
        <f t="shared" ref="N1796:N1859" si="57">L1796/J1796</f>
        <v>13.806287170773151</v>
      </c>
    </row>
    <row r="1797" spans="1:14" x14ac:dyDescent="0.45">
      <c r="A1797" s="30">
        <v>2023</v>
      </c>
      <c r="B1797" s="30" t="s">
        <v>17</v>
      </c>
      <c r="C1797" s="30" t="s">
        <v>46</v>
      </c>
      <c r="D1797" s="30" t="s">
        <v>47</v>
      </c>
      <c r="E1797" s="31" t="s">
        <v>502</v>
      </c>
      <c r="F1797" s="32" t="s">
        <v>49</v>
      </c>
      <c r="G1797" s="32" t="s">
        <v>50</v>
      </c>
      <c r="H1797" s="37">
        <v>5510</v>
      </c>
      <c r="I1797" s="34">
        <f>Table3[[#This Row],[Volume, kg.]]/1000</f>
        <v>5.51</v>
      </c>
      <c r="J1797" s="38">
        <v>0.2165</v>
      </c>
      <c r="K1797" s="34">
        <f t="shared" si="56"/>
        <v>1192.915</v>
      </c>
      <c r="L1797" s="38">
        <v>3.1</v>
      </c>
      <c r="M1797" s="38">
        <v>17081</v>
      </c>
      <c r="N1797" s="34">
        <f t="shared" si="57"/>
        <v>14.318706697459584</v>
      </c>
    </row>
    <row r="1798" spans="1:14" x14ac:dyDescent="0.45">
      <c r="A1798" s="30">
        <v>2023</v>
      </c>
      <c r="B1798" s="30" t="s">
        <v>17</v>
      </c>
      <c r="C1798" s="30" t="s">
        <v>46</v>
      </c>
      <c r="D1798" s="30" t="s">
        <v>47</v>
      </c>
      <c r="E1798" s="31" t="s">
        <v>74</v>
      </c>
      <c r="F1798" s="32" t="s">
        <v>49</v>
      </c>
      <c r="G1798" s="32" t="s">
        <v>50</v>
      </c>
      <c r="H1798" s="37">
        <v>81690</v>
      </c>
      <c r="I1798" s="34">
        <f>Table3[[#This Row],[Volume, kg.]]/1000</f>
        <v>81.69</v>
      </c>
      <c r="J1798" s="38">
        <v>0.21739999999999998</v>
      </c>
      <c r="K1798" s="34">
        <f t="shared" si="56"/>
        <v>17759.405999999999</v>
      </c>
      <c r="L1798" s="38">
        <v>3.05</v>
      </c>
      <c r="M1798" s="38">
        <v>249543</v>
      </c>
      <c r="N1798" s="34">
        <f t="shared" si="57"/>
        <v>14.029438822447103</v>
      </c>
    </row>
    <row r="1799" spans="1:14" x14ac:dyDescent="0.45">
      <c r="A1799" s="30">
        <v>2023</v>
      </c>
      <c r="B1799" s="30" t="s">
        <v>17</v>
      </c>
      <c r="C1799" s="30" t="s">
        <v>46</v>
      </c>
      <c r="D1799" s="30" t="s">
        <v>47</v>
      </c>
      <c r="E1799" s="31" t="s">
        <v>334</v>
      </c>
      <c r="F1799" s="32" t="s">
        <v>81</v>
      </c>
      <c r="G1799" s="32" t="s">
        <v>50</v>
      </c>
      <c r="H1799" s="37">
        <v>51980</v>
      </c>
      <c r="I1799" s="34">
        <f>Table3[[#This Row],[Volume, kg.]]/1000</f>
        <v>51.98</v>
      </c>
      <c r="J1799" s="38">
        <v>0.22579999999999997</v>
      </c>
      <c r="K1799" s="34">
        <f t="shared" si="56"/>
        <v>11737.083999999999</v>
      </c>
      <c r="L1799" s="38">
        <v>3.08</v>
      </c>
      <c r="M1799" s="38">
        <v>160312.5</v>
      </c>
      <c r="N1799" s="34">
        <f t="shared" si="57"/>
        <v>13.640389725420729</v>
      </c>
    </row>
    <row r="1800" spans="1:14" x14ac:dyDescent="0.45">
      <c r="A1800" s="30">
        <v>2023</v>
      </c>
      <c r="B1800" s="30" t="s">
        <v>17</v>
      </c>
      <c r="C1800" s="30" t="s">
        <v>46</v>
      </c>
      <c r="D1800" s="30" t="s">
        <v>47</v>
      </c>
      <c r="E1800" s="31" t="s">
        <v>501</v>
      </c>
      <c r="F1800" s="32" t="s">
        <v>81</v>
      </c>
      <c r="G1800" s="32" t="s">
        <v>50</v>
      </c>
      <c r="H1800" s="37">
        <v>16900</v>
      </c>
      <c r="I1800" s="34">
        <f>Table3[[#This Row],[Volume, kg.]]/1000</f>
        <v>16.899999999999999</v>
      </c>
      <c r="J1800" s="38">
        <v>0.2651</v>
      </c>
      <c r="K1800" s="34">
        <f t="shared" si="56"/>
        <v>4480.1899999999996</v>
      </c>
      <c r="L1800" s="38">
        <v>3.56</v>
      </c>
      <c r="M1800" s="38">
        <v>60225</v>
      </c>
      <c r="N1800" s="34">
        <f t="shared" si="57"/>
        <v>13.428894756695586</v>
      </c>
    </row>
    <row r="1801" spans="1:14" x14ac:dyDescent="0.45">
      <c r="A1801" s="30">
        <v>2023</v>
      </c>
      <c r="B1801" s="30" t="s">
        <v>17</v>
      </c>
      <c r="C1801" s="30" t="s">
        <v>46</v>
      </c>
      <c r="D1801" s="30" t="s">
        <v>47</v>
      </c>
      <c r="E1801" s="31" t="s">
        <v>335</v>
      </c>
      <c r="F1801" s="32" t="s">
        <v>54</v>
      </c>
      <c r="G1801" s="32" t="s">
        <v>50</v>
      </c>
      <c r="H1801" s="37">
        <v>170250</v>
      </c>
      <c r="I1801" s="34">
        <f>Table3[[#This Row],[Volume, kg.]]/1000</f>
        <v>170.25</v>
      </c>
      <c r="J1801" s="38">
        <v>0.20879999999999999</v>
      </c>
      <c r="K1801" s="34">
        <f t="shared" si="56"/>
        <v>35548.199999999997</v>
      </c>
      <c r="L1801" s="38">
        <v>3.02</v>
      </c>
      <c r="M1801" s="38">
        <v>514686</v>
      </c>
      <c r="N1801" s="34">
        <f t="shared" si="57"/>
        <v>14.463601532567051</v>
      </c>
    </row>
    <row r="1802" spans="1:14" x14ac:dyDescent="0.45">
      <c r="A1802" s="30">
        <v>2023</v>
      </c>
      <c r="B1802" s="30" t="s">
        <v>17</v>
      </c>
      <c r="C1802" s="30" t="s">
        <v>46</v>
      </c>
      <c r="D1802" s="30" t="s">
        <v>47</v>
      </c>
      <c r="E1802" s="31" t="s">
        <v>75</v>
      </c>
      <c r="F1802" s="32" t="s">
        <v>49</v>
      </c>
      <c r="G1802" s="32" t="s">
        <v>50</v>
      </c>
      <c r="H1802" s="37">
        <v>25560</v>
      </c>
      <c r="I1802" s="34">
        <f>Table3[[#This Row],[Volume, kg.]]/1000</f>
        <v>25.56</v>
      </c>
      <c r="J1802" s="38">
        <v>0.23399999999999999</v>
      </c>
      <c r="K1802" s="34">
        <f t="shared" si="56"/>
        <v>5981.04</v>
      </c>
      <c r="L1802" s="38">
        <v>3.2</v>
      </c>
      <c r="M1802" s="38">
        <v>81795</v>
      </c>
      <c r="N1802" s="34">
        <f t="shared" si="57"/>
        <v>13.675213675213676</v>
      </c>
    </row>
    <row r="1803" spans="1:14" x14ac:dyDescent="0.45">
      <c r="A1803" s="30">
        <v>2023</v>
      </c>
      <c r="B1803" s="30" t="s">
        <v>17</v>
      </c>
      <c r="C1803" s="30" t="s">
        <v>46</v>
      </c>
      <c r="D1803" s="30" t="s">
        <v>47</v>
      </c>
      <c r="E1803" s="31" t="s">
        <v>265</v>
      </c>
      <c r="F1803" s="32" t="s">
        <v>49</v>
      </c>
      <c r="G1803" s="32" t="s">
        <v>50</v>
      </c>
      <c r="H1803" s="37">
        <v>60690</v>
      </c>
      <c r="I1803" s="34">
        <f>Table3[[#This Row],[Volume, kg.]]/1000</f>
        <v>60.69</v>
      </c>
      <c r="J1803" s="38">
        <v>0.215</v>
      </c>
      <c r="K1803" s="34">
        <f t="shared" si="56"/>
        <v>13048.35</v>
      </c>
      <c r="L1803" s="38">
        <v>3.03</v>
      </c>
      <c r="M1803" s="38">
        <v>184188</v>
      </c>
      <c r="N1803" s="34">
        <f t="shared" si="57"/>
        <v>14.093023255813954</v>
      </c>
    </row>
    <row r="1804" spans="1:14" x14ac:dyDescent="0.45">
      <c r="A1804" s="30">
        <v>2023</v>
      </c>
      <c r="B1804" s="30" t="s">
        <v>17</v>
      </c>
      <c r="C1804" s="30" t="s">
        <v>46</v>
      </c>
      <c r="D1804" s="30" t="s">
        <v>47</v>
      </c>
      <c r="E1804" s="31" t="s">
        <v>77</v>
      </c>
      <c r="F1804" s="32" t="s">
        <v>49</v>
      </c>
      <c r="G1804" s="32" t="s">
        <v>50</v>
      </c>
      <c r="H1804" s="37">
        <v>26410</v>
      </c>
      <c r="I1804" s="34">
        <f>Table3[[#This Row],[Volume, kg.]]/1000</f>
        <v>26.41</v>
      </c>
      <c r="J1804" s="38">
        <v>0.25850000000000001</v>
      </c>
      <c r="K1804" s="34">
        <f t="shared" si="56"/>
        <v>6826.9850000000006</v>
      </c>
      <c r="L1804" s="38">
        <v>3.33</v>
      </c>
      <c r="M1804" s="38">
        <v>87920</v>
      </c>
      <c r="N1804" s="34">
        <f t="shared" si="57"/>
        <v>12.88201160541586</v>
      </c>
    </row>
    <row r="1805" spans="1:14" x14ac:dyDescent="0.45">
      <c r="A1805" s="30">
        <v>2023</v>
      </c>
      <c r="B1805" s="30" t="s">
        <v>17</v>
      </c>
      <c r="C1805" s="30" t="s">
        <v>46</v>
      </c>
      <c r="D1805" s="30" t="s">
        <v>102</v>
      </c>
      <c r="E1805" s="31" t="s">
        <v>336</v>
      </c>
      <c r="F1805" s="32" t="s">
        <v>114</v>
      </c>
      <c r="G1805" s="32" t="s">
        <v>108</v>
      </c>
      <c r="H1805" s="37">
        <v>377540</v>
      </c>
      <c r="I1805" s="34">
        <f>Table3[[#This Row],[Volume, kg.]]/1000</f>
        <v>377.54</v>
      </c>
      <c r="J1805" s="38">
        <v>0.2394</v>
      </c>
      <c r="K1805" s="34">
        <f t="shared" si="56"/>
        <v>90383.076000000001</v>
      </c>
      <c r="L1805" s="38">
        <v>3.46</v>
      </c>
      <c r="M1805" s="38">
        <v>1307562.5</v>
      </c>
      <c r="N1805" s="34">
        <f t="shared" si="57"/>
        <v>14.452798663324979</v>
      </c>
    </row>
    <row r="1806" spans="1:14" x14ac:dyDescent="0.45">
      <c r="A1806" s="30">
        <v>2023</v>
      </c>
      <c r="B1806" s="30" t="s">
        <v>17</v>
      </c>
      <c r="C1806" s="30" t="s">
        <v>46</v>
      </c>
      <c r="D1806" s="30" t="s">
        <v>47</v>
      </c>
      <c r="E1806" s="31" t="s">
        <v>80</v>
      </c>
      <c r="F1806" s="32" t="s">
        <v>81</v>
      </c>
      <c r="G1806" s="32" t="s">
        <v>50</v>
      </c>
      <c r="H1806" s="37">
        <v>46980</v>
      </c>
      <c r="I1806" s="34">
        <f>Table3[[#This Row],[Volume, kg.]]/1000</f>
        <v>46.98</v>
      </c>
      <c r="J1806" s="38">
        <v>0.2404</v>
      </c>
      <c r="K1806" s="34">
        <f t="shared" si="56"/>
        <v>11293.992</v>
      </c>
      <c r="L1806" s="38">
        <v>3.3</v>
      </c>
      <c r="M1806" s="38">
        <v>155165.5</v>
      </c>
      <c r="N1806" s="34">
        <f t="shared" si="57"/>
        <v>13.727121464226288</v>
      </c>
    </row>
    <row r="1807" spans="1:14" x14ac:dyDescent="0.45">
      <c r="A1807" s="30">
        <v>2023</v>
      </c>
      <c r="B1807" s="30" t="s">
        <v>17</v>
      </c>
      <c r="C1807" s="30" t="s">
        <v>46</v>
      </c>
      <c r="D1807" s="30" t="s">
        <v>47</v>
      </c>
      <c r="E1807" s="31" t="s">
        <v>82</v>
      </c>
      <c r="F1807" s="32" t="s">
        <v>57</v>
      </c>
      <c r="G1807" s="32" t="s">
        <v>50</v>
      </c>
      <c r="H1807" s="37">
        <v>6330</v>
      </c>
      <c r="I1807" s="34">
        <f>Table3[[#This Row],[Volume, kg.]]/1000</f>
        <v>6.33</v>
      </c>
      <c r="J1807" s="38">
        <v>0.22850000000000001</v>
      </c>
      <c r="K1807" s="34">
        <f t="shared" si="56"/>
        <v>1446.405</v>
      </c>
      <c r="L1807" s="38">
        <v>3.15</v>
      </c>
      <c r="M1807" s="38">
        <v>19939.5</v>
      </c>
      <c r="N1807" s="34">
        <f t="shared" si="57"/>
        <v>13.785557986870897</v>
      </c>
    </row>
    <row r="1808" spans="1:14" x14ac:dyDescent="0.45">
      <c r="A1808" s="30">
        <v>2023</v>
      </c>
      <c r="B1808" s="30" t="s">
        <v>17</v>
      </c>
      <c r="C1808" s="30" t="s">
        <v>46</v>
      </c>
      <c r="D1808" s="30" t="s">
        <v>47</v>
      </c>
      <c r="E1808" s="31" t="s">
        <v>268</v>
      </c>
      <c r="F1808" s="32" t="s">
        <v>57</v>
      </c>
      <c r="G1808" s="32" t="s">
        <v>50</v>
      </c>
      <c r="H1808" s="37">
        <v>12220</v>
      </c>
      <c r="I1808" s="34">
        <f>Table3[[#This Row],[Volume, kg.]]/1000</f>
        <v>12.22</v>
      </c>
      <c r="J1808" s="38">
        <v>0.22</v>
      </c>
      <c r="K1808" s="34">
        <f t="shared" si="56"/>
        <v>2688.4</v>
      </c>
      <c r="L1808" s="38">
        <v>3</v>
      </c>
      <c r="M1808" s="38">
        <v>36660</v>
      </c>
      <c r="N1808" s="34">
        <f t="shared" si="57"/>
        <v>13.636363636363637</v>
      </c>
    </row>
    <row r="1809" spans="1:14" x14ac:dyDescent="0.45">
      <c r="A1809" s="30">
        <v>2023</v>
      </c>
      <c r="B1809" s="30" t="s">
        <v>17</v>
      </c>
      <c r="C1809" s="30" t="s">
        <v>46</v>
      </c>
      <c r="D1809" s="30" t="s">
        <v>102</v>
      </c>
      <c r="E1809" s="31" t="s">
        <v>337</v>
      </c>
      <c r="F1809" s="32" t="s">
        <v>338</v>
      </c>
      <c r="G1809" s="32" t="s">
        <v>105</v>
      </c>
      <c r="H1809" s="37">
        <v>288620</v>
      </c>
      <c r="I1809" s="34">
        <f>Table3[[#This Row],[Volume, kg.]]/1000</f>
        <v>288.62</v>
      </c>
      <c r="J1809" s="38">
        <v>0.20129999999999998</v>
      </c>
      <c r="K1809" s="34">
        <f t="shared" si="56"/>
        <v>58099.205999999991</v>
      </c>
      <c r="L1809" s="38">
        <v>3.28</v>
      </c>
      <c r="M1809" s="38">
        <v>945779</v>
      </c>
      <c r="N1809" s="34">
        <f t="shared" si="57"/>
        <v>16.294088425235966</v>
      </c>
    </row>
    <row r="1810" spans="1:14" x14ac:dyDescent="0.45">
      <c r="A1810" s="30">
        <v>2023</v>
      </c>
      <c r="B1810" s="30" t="s">
        <v>17</v>
      </c>
      <c r="C1810" s="30" t="s">
        <v>46</v>
      </c>
      <c r="D1810" s="30" t="s">
        <v>47</v>
      </c>
      <c r="E1810" s="31" t="s">
        <v>536</v>
      </c>
      <c r="F1810" s="32" t="s">
        <v>60</v>
      </c>
      <c r="G1810" s="32" t="s">
        <v>50</v>
      </c>
      <c r="H1810" s="37">
        <v>590</v>
      </c>
      <c r="I1810" s="34">
        <f>Table3[[#This Row],[Volume, kg.]]/1000</f>
        <v>0.59</v>
      </c>
      <c r="J1810" s="38">
        <v>0.23300000000000001</v>
      </c>
      <c r="K1810" s="34">
        <f t="shared" si="56"/>
        <v>137.47</v>
      </c>
      <c r="L1810" s="38">
        <v>3.05</v>
      </c>
      <c r="M1810" s="38">
        <v>1799.5</v>
      </c>
      <c r="N1810" s="34">
        <f t="shared" si="57"/>
        <v>13.090128755364805</v>
      </c>
    </row>
    <row r="1811" spans="1:14" x14ac:dyDescent="0.45">
      <c r="A1811" s="30">
        <v>2023</v>
      </c>
      <c r="B1811" s="30" t="s">
        <v>17</v>
      </c>
      <c r="C1811" s="30" t="s">
        <v>46</v>
      </c>
      <c r="D1811" s="30" t="s">
        <v>47</v>
      </c>
      <c r="E1811" s="31" t="s">
        <v>85</v>
      </c>
      <c r="F1811" s="32" t="s">
        <v>49</v>
      </c>
      <c r="G1811" s="32" t="s">
        <v>50</v>
      </c>
      <c r="H1811" s="37">
        <v>2570</v>
      </c>
      <c r="I1811" s="34">
        <f>Table3[[#This Row],[Volume, kg.]]/1000</f>
        <v>2.57</v>
      </c>
      <c r="J1811" s="38">
        <v>0.27750000000000002</v>
      </c>
      <c r="K1811" s="34">
        <f t="shared" si="56"/>
        <v>713.17500000000007</v>
      </c>
      <c r="L1811" s="38">
        <v>3.65</v>
      </c>
      <c r="M1811" s="38">
        <v>9380.5</v>
      </c>
      <c r="N1811" s="34">
        <f t="shared" si="57"/>
        <v>13.153153153153152</v>
      </c>
    </row>
    <row r="1812" spans="1:14" x14ac:dyDescent="0.45">
      <c r="A1812" s="30">
        <v>2023</v>
      </c>
      <c r="B1812" s="30" t="s">
        <v>17</v>
      </c>
      <c r="C1812" s="30" t="s">
        <v>46</v>
      </c>
      <c r="D1812" s="30" t="s">
        <v>47</v>
      </c>
      <c r="E1812" s="31" t="s">
        <v>86</v>
      </c>
      <c r="F1812" s="32" t="s">
        <v>49</v>
      </c>
      <c r="G1812" s="32" t="s">
        <v>50</v>
      </c>
      <c r="H1812" s="37">
        <v>57670</v>
      </c>
      <c r="I1812" s="34">
        <f>Table3[[#This Row],[Volume, kg.]]/1000</f>
        <v>57.67</v>
      </c>
      <c r="J1812" s="38">
        <v>0.2311</v>
      </c>
      <c r="K1812" s="34">
        <f t="shared" si="56"/>
        <v>13327.537</v>
      </c>
      <c r="L1812" s="38">
        <v>3.15</v>
      </c>
      <c r="M1812" s="38">
        <v>181517</v>
      </c>
      <c r="N1812" s="34">
        <f t="shared" si="57"/>
        <v>13.630463003028991</v>
      </c>
    </row>
    <row r="1813" spans="1:14" x14ac:dyDescent="0.45">
      <c r="A1813" s="30">
        <v>2023</v>
      </c>
      <c r="B1813" s="30" t="s">
        <v>17</v>
      </c>
      <c r="C1813" s="30" t="s">
        <v>46</v>
      </c>
      <c r="D1813" s="30" t="s">
        <v>47</v>
      </c>
      <c r="E1813" s="31" t="s">
        <v>87</v>
      </c>
      <c r="F1813" s="32" t="s">
        <v>49</v>
      </c>
      <c r="G1813" s="32" t="s">
        <v>50</v>
      </c>
      <c r="H1813" s="37">
        <v>17900</v>
      </c>
      <c r="I1813" s="34">
        <f>Table3[[#This Row],[Volume, kg.]]/1000</f>
        <v>17.899999999999999</v>
      </c>
      <c r="J1813" s="38">
        <v>0.24359999999999998</v>
      </c>
      <c r="K1813" s="34">
        <f t="shared" si="56"/>
        <v>4360.4399999999996</v>
      </c>
      <c r="L1813" s="38">
        <v>3.24</v>
      </c>
      <c r="M1813" s="38">
        <v>57937</v>
      </c>
      <c r="N1813" s="34">
        <f t="shared" si="57"/>
        <v>13.300492610837439</v>
      </c>
    </row>
    <row r="1814" spans="1:14" x14ac:dyDescent="0.45">
      <c r="A1814" s="30">
        <v>2023</v>
      </c>
      <c r="B1814" s="30" t="s">
        <v>17</v>
      </c>
      <c r="C1814" s="30" t="s">
        <v>46</v>
      </c>
      <c r="D1814" s="30" t="s">
        <v>47</v>
      </c>
      <c r="E1814" s="31" t="s">
        <v>89</v>
      </c>
      <c r="F1814" s="32" t="s">
        <v>81</v>
      </c>
      <c r="G1814" s="32" t="s">
        <v>50</v>
      </c>
      <c r="H1814" s="37">
        <v>35850</v>
      </c>
      <c r="I1814" s="34">
        <f>Table3[[#This Row],[Volume, kg.]]/1000</f>
        <v>35.85</v>
      </c>
      <c r="J1814" s="38">
        <v>0.24230000000000002</v>
      </c>
      <c r="K1814" s="34">
        <f t="shared" si="56"/>
        <v>8686.4549999999999</v>
      </c>
      <c r="L1814" s="38">
        <v>3.16</v>
      </c>
      <c r="M1814" s="38">
        <v>113242</v>
      </c>
      <c r="N1814" s="34">
        <f t="shared" si="57"/>
        <v>13.041683862979777</v>
      </c>
    </row>
    <row r="1815" spans="1:14" x14ac:dyDescent="0.45">
      <c r="A1815" s="30">
        <v>2023</v>
      </c>
      <c r="B1815" s="30" t="s">
        <v>17</v>
      </c>
      <c r="C1815" s="30" t="s">
        <v>46</v>
      </c>
      <c r="D1815" s="30" t="s">
        <v>47</v>
      </c>
      <c r="E1815" s="31" t="s">
        <v>90</v>
      </c>
      <c r="F1815" s="32" t="s">
        <v>49</v>
      </c>
      <c r="G1815" s="32" t="s">
        <v>50</v>
      </c>
      <c r="H1815" s="37">
        <v>57840</v>
      </c>
      <c r="I1815" s="34">
        <f>Table3[[#This Row],[Volume, kg.]]/1000</f>
        <v>57.84</v>
      </c>
      <c r="J1815" s="38">
        <v>0.24429999999999999</v>
      </c>
      <c r="K1815" s="34">
        <f t="shared" si="56"/>
        <v>14130.312</v>
      </c>
      <c r="L1815" s="38">
        <v>3.17</v>
      </c>
      <c r="M1815" s="38">
        <v>183211</v>
      </c>
      <c r="N1815" s="34">
        <f t="shared" si="57"/>
        <v>12.975849365534179</v>
      </c>
    </row>
    <row r="1816" spans="1:14" x14ac:dyDescent="0.45">
      <c r="A1816" s="30">
        <v>2023</v>
      </c>
      <c r="B1816" s="30" t="s">
        <v>17</v>
      </c>
      <c r="C1816" s="30" t="s">
        <v>46</v>
      </c>
      <c r="D1816" s="30" t="s">
        <v>47</v>
      </c>
      <c r="E1816" s="31" t="s">
        <v>383</v>
      </c>
      <c r="F1816" s="32" t="s">
        <v>49</v>
      </c>
      <c r="G1816" s="32" t="s">
        <v>50</v>
      </c>
      <c r="H1816" s="37">
        <v>30900</v>
      </c>
      <c r="I1816" s="34">
        <f>Table3[[#This Row],[Volume, kg.]]/1000</f>
        <v>30.9</v>
      </c>
      <c r="J1816" s="38">
        <v>0.23730000000000001</v>
      </c>
      <c r="K1816" s="34">
        <f t="shared" si="56"/>
        <v>7332.5700000000006</v>
      </c>
      <c r="L1816" s="38">
        <v>3.24</v>
      </c>
      <c r="M1816" s="38">
        <v>99998.5</v>
      </c>
      <c r="N1816" s="34">
        <f t="shared" si="57"/>
        <v>13.653603034134008</v>
      </c>
    </row>
    <row r="1817" spans="1:14" x14ac:dyDescent="0.45">
      <c r="A1817" s="30">
        <v>2023</v>
      </c>
      <c r="B1817" s="30" t="s">
        <v>17</v>
      </c>
      <c r="C1817" s="30" t="s">
        <v>46</v>
      </c>
      <c r="D1817" s="30" t="s">
        <v>47</v>
      </c>
      <c r="E1817" s="31" t="s">
        <v>273</v>
      </c>
      <c r="F1817" s="32" t="s">
        <v>49</v>
      </c>
      <c r="G1817" s="32" t="s">
        <v>50</v>
      </c>
      <c r="H1817" s="37">
        <v>9380</v>
      </c>
      <c r="I1817" s="34">
        <f>Table3[[#This Row],[Volume, kg.]]/1000</f>
        <v>9.3800000000000008</v>
      </c>
      <c r="J1817" s="38">
        <v>0.2747</v>
      </c>
      <c r="K1817" s="34">
        <f t="shared" si="56"/>
        <v>2576.6860000000001</v>
      </c>
      <c r="L1817" s="38">
        <v>3.73</v>
      </c>
      <c r="M1817" s="38">
        <v>34983.5</v>
      </c>
      <c r="N1817" s="34">
        <f t="shared" si="57"/>
        <v>13.578449217327995</v>
      </c>
    </row>
    <row r="1818" spans="1:14" x14ac:dyDescent="0.45">
      <c r="A1818" s="30">
        <v>2023</v>
      </c>
      <c r="B1818" s="30" t="s">
        <v>17</v>
      </c>
      <c r="C1818" s="30" t="s">
        <v>46</v>
      </c>
      <c r="D1818" s="30" t="s">
        <v>47</v>
      </c>
      <c r="E1818" s="31" t="s">
        <v>510</v>
      </c>
      <c r="F1818" s="32" t="s">
        <v>49</v>
      </c>
      <c r="G1818" s="32" t="s">
        <v>50</v>
      </c>
      <c r="H1818" s="37">
        <v>3380</v>
      </c>
      <c r="I1818" s="34">
        <f>Table3[[#This Row],[Volume, kg.]]/1000</f>
        <v>3.38</v>
      </c>
      <c r="J1818" s="38">
        <v>0.1875</v>
      </c>
      <c r="K1818" s="34">
        <f t="shared" si="56"/>
        <v>633.75</v>
      </c>
      <c r="L1818" s="38">
        <v>3.3</v>
      </c>
      <c r="M1818" s="38">
        <v>11154</v>
      </c>
      <c r="N1818" s="34">
        <f t="shared" si="57"/>
        <v>17.599999999999998</v>
      </c>
    </row>
    <row r="1819" spans="1:14" x14ac:dyDescent="0.45">
      <c r="A1819" s="30">
        <v>2023</v>
      </c>
      <c r="B1819" s="30" t="s">
        <v>17</v>
      </c>
      <c r="C1819" s="30" t="s">
        <v>46</v>
      </c>
      <c r="D1819" s="30" t="s">
        <v>47</v>
      </c>
      <c r="E1819" s="31" t="s">
        <v>417</v>
      </c>
      <c r="F1819" s="32" t="s">
        <v>49</v>
      </c>
      <c r="G1819" s="32" t="s">
        <v>50</v>
      </c>
      <c r="H1819" s="37">
        <v>22070</v>
      </c>
      <c r="I1819" s="34">
        <f>Table3[[#This Row],[Volume, kg.]]/1000</f>
        <v>22.07</v>
      </c>
      <c r="J1819" s="38">
        <v>0.26539999999999997</v>
      </c>
      <c r="K1819" s="34">
        <f t="shared" si="56"/>
        <v>5857.3779999999997</v>
      </c>
      <c r="L1819" s="38">
        <v>3.27</v>
      </c>
      <c r="M1819" s="38">
        <v>72239</v>
      </c>
      <c r="N1819" s="34">
        <f t="shared" si="57"/>
        <v>12.321024868123589</v>
      </c>
    </row>
    <row r="1820" spans="1:14" x14ac:dyDescent="0.45">
      <c r="A1820" s="30">
        <v>2023</v>
      </c>
      <c r="B1820" s="30" t="s">
        <v>17</v>
      </c>
      <c r="C1820" s="30" t="s">
        <v>46</v>
      </c>
      <c r="D1820" s="30" t="s">
        <v>102</v>
      </c>
      <c r="E1820" s="31" t="s">
        <v>339</v>
      </c>
      <c r="F1820" s="32" t="s">
        <v>340</v>
      </c>
      <c r="G1820" s="32" t="s">
        <v>341</v>
      </c>
      <c r="H1820" s="37">
        <v>22720</v>
      </c>
      <c r="I1820" s="34">
        <f>Table3[[#This Row],[Volume, kg.]]/1000</f>
        <v>22.72</v>
      </c>
      <c r="J1820" s="38">
        <v>0.20149999999999998</v>
      </c>
      <c r="K1820" s="34">
        <f t="shared" si="56"/>
        <v>4578.08</v>
      </c>
      <c r="L1820" s="38">
        <v>3.1</v>
      </c>
      <c r="M1820" s="38">
        <v>70432</v>
      </c>
      <c r="N1820" s="34">
        <f t="shared" si="57"/>
        <v>15.384615384615387</v>
      </c>
    </row>
    <row r="1821" spans="1:14" x14ac:dyDescent="0.45">
      <c r="A1821" s="30">
        <v>2023</v>
      </c>
      <c r="B1821" s="30" t="s">
        <v>17</v>
      </c>
      <c r="C1821" s="30" t="s">
        <v>46</v>
      </c>
      <c r="D1821" s="30" t="s">
        <v>47</v>
      </c>
      <c r="E1821" s="31" t="s">
        <v>95</v>
      </c>
      <c r="F1821" s="32" t="s">
        <v>49</v>
      </c>
      <c r="G1821" s="32" t="s">
        <v>50</v>
      </c>
      <c r="H1821" s="37">
        <v>12030</v>
      </c>
      <c r="I1821" s="34">
        <f>Table3[[#This Row],[Volume, kg.]]/1000</f>
        <v>12.03</v>
      </c>
      <c r="J1821" s="38">
        <v>0.23550000000000001</v>
      </c>
      <c r="K1821" s="34">
        <f t="shared" si="56"/>
        <v>2833.0650000000001</v>
      </c>
      <c r="L1821" s="38">
        <v>3.18</v>
      </c>
      <c r="M1821" s="38">
        <v>38233</v>
      </c>
      <c r="N1821" s="34">
        <f t="shared" si="57"/>
        <v>13.503184713375797</v>
      </c>
    </row>
    <row r="1822" spans="1:14" x14ac:dyDescent="0.45">
      <c r="A1822" s="30">
        <v>2023</v>
      </c>
      <c r="B1822" s="30" t="s">
        <v>17</v>
      </c>
      <c r="C1822" s="30" t="s">
        <v>46</v>
      </c>
      <c r="D1822" s="30" t="s">
        <v>47</v>
      </c>
      <c r="E1822" s="31" t="s">
        <v>96</v>
      </c>
      <c r="F1822" s="32" t="s">
        <v>49</v>
      </c>
      <c r="G1822" s="32" t="s">
        <v>50</v>
      </c>
      <c r="H1822" s="37">
        <v>105350</v>
      </c>
      <c r="I1822" s="34">
        <f>Table3[[#This Row],[Volume, kg.]]/1000</f>
        <v>105.35</v>
      </c>
      <c r="J1822" s="38">
        <v>0.23579999999999998</v>
      </c>
      <c r="K1822" s="34">
        <f t="shared" si="56"/>
        <v>24841.53</v>
      </c>
      <c r="L1822" s="38">
        <v>3.15</v>
      </c>
      <c r="M1822" s="38">
        <v>331684.5</v>
      </c>
      <c r="N1822" s="34">
        <f t="shared" si="57"/>
        <v>13.3587786259542</v>
      </c>
    </row>
    <row r="1823" spans="1:14" x14ac:dyDescent="0.45">
      <c r="A1823" s="30">
        <v>2023</v>
      </c>
      <c r="B1823" s="30" t="s">
        <v>17</v>
      </c>
      <c r="C1823" s="30" t="s">
        <v>46</v>
      </c>
      <c r="D1823" s="30" t="s">
        <v>47</v>
      </c>
      <c r="E1823" s="31" t="s">
        <v>97</v>
      </c>
      <c r="F1823" s="32" t="s">
        <v>49</v>
      </c>
      <c r="G1823" s="32" t="s">
        <v>50</v>
      </c>
      <c r="H1823" s="37">
        <v>73890</v>
      </c>
      <c r="I1823" s="34">
        <f>Table3[[#This Row],[Volume, kg.]]/1000</f>
        <v>73.89</v>
      </c>
      <c r="J1823" s="38">
        <v>0.22850000000000001</v>
      </c>
      <c r="K1823" s="34">
        <f t="shared" si="56"/>
        <v>16883.865000000002</v>
      </c>
      <c r="L1823" s="38">
        <v>3.17</v>
      </c>
      <c r="M1823" s="38">
        <v>234276.5</v>
      </c>
      <c r="N1823" s="34">
        <f t="shared" si="57"/>
        <v>13.873085339168489</v>
      </c>
    </row>
    <row r="1824" spans="1:14" x14ac:dyDescent="0.45">
      <c r="A1824" s="30">
        <v>2023</v>
      </c>
      <c r="B1824" s="30" t="s">
        <v>17</v>
      </c>
      <c r="C1824" s="30" t="s">
        <v>46</v>
      </c>
      <c r="D1824" s="30" t="s">
        <v>47</v>
      </c>
      <c r="E1824" s="31" t="s">
        <v>98</v>
      </c>
      <c r="F1824" s="32" t="s">
        <v>49</v>
      </c>
      <c r="G1824" s="32" t="s">
        <v>50</v>
      </c>
      <c r="H1824" s="37">
        <v>72120</v>
      </c>
      <c r="I1824" s="34">
        <f>Table3[[#This Row],[Volume, kg.]]/1000</f>
        <v>72.12</v>
      </c>
      <c r="J1824" s="38">
        <v>0.23730000000000001</v>
      </c>
      <c r="K1824" s="34">
        <f t="shared" si="56"/>
        <v>17114.076000000001</v>
      </c>
      <c r="L1824" s="38">
        <v>3.17</v>
      </c>
      <c r="M1824" s="38">
        <v>228503.5</v>
      </c>
      <c r="N1824" s="34">
        <f t="shared" si="57"/>
        <v>13.358617783396543</v>
      </c>
    </row>
    <row r="1825" spans="1:14" x14ac:dyDescent="0.45">
      <c r="A1825" s="30">
        <v>2023</v>
      </c>
      <c r="B1825" s="30" t="s">
        <v>17</v>
      </c>
      <c r="C1825" s="30" t="s">
        <v>46</v>
      </c>
      <c r="D1825" s="30" t="s">
        <v>47</v>
      </c>
      <c r="E1825" s="31" t="s">
        <v>99</v>
      </c>
      <c r="F1825" s="32" t="s">
        <v>49</v>
      </c>
      <c r="G1825" s="32" t="s">
        <v>50</v>
      </c>
      <c r="H1825" s="37">
        <v>41280</v>
      </c>
      <c r="I1825" s="34">
        <f>Table3[[#This Row],[Volume, kg.]]/1000</f>
        <v>41.28</v>
      </c>
      <c r="J1825" s="38">
        <v>0.26179999999999998</v>
      </c>
      <c r="K1825" s="34">
        <f t="shared" si="56"/>
        <v>10807.103999999999</v>
      </c>
      <c r="L1825" s="38">
        <v>3.24</v>
      </c>
      <c r="M1825" s="38">
        <v>133754.5</v>
      </c>
      <c r="N1825" s="34">
        <f t="shared" si="57"/>
        <v>12.375859434682965</v>
      </c>
    </row>
    <row r="1826" spans="1:14" x14ac:dyDescent="0.45">
      <c r="A1826" s="30">
        <v>2023</v>
      </c>
      <c r="B1826" s="30" t="s">
        <v>17</v>
      </c>
      <c r="C1826" s="30" t="s">
        <v>46</v>
      </c>
      <c r="D1826" s="30" t="s">
        <v>47</v>
      </c>
      <c r="E1826" s="31" t="s">
        <v>100</v>
      </c>
      <c r="F1826" s="32" t="s">
        <v>60</v>
      </c>
      <c r="G1826" s="32" t="s">
        <v>50</v>
      </c>
      <c r="H1826" s="37">
        <v>21420</v>
      </c>
      <c r="I1826" s="34">
        <f>Table3[[#This Row],[Volume, kg.]]/1000</f>
        <v>21.42</v>
      </c>
      <c r="J1826" s="38">
        <v>0.23550000000000001</v>
      </c>
      <c r="K1826" s="34">
        <f t="shared" si="56"/>
        <v>5044.4100000000008</v>
      </c>
      <c r="L1826" s="38">
        <v>3.16</v>
      </c>
      <c r="M1826" s="38">
        <v>67744.5</v>
      </c>
      <c r="N1826" s="34">
        <f t="shared" si="57"/>
        <v>13.418259023354565</v>
      </c>
    </row>
    <row r="1827" spans="1:14" x14ac:dyDescent="0.45">
      <c r="A1827" s="30">
        <v>2023</v>
      </c>
      <c r="B1827" s="30" t="s">
        <v>17</v>
      </c>
      <c r="C1827" s="30" t="s">
        <v>46</v>
      </c>
      <c r="D1827" s="30" t="s">
        <v>102</v>
      </c>
      <c r="E1827" s="31" t="s">
        <v>103</v>
      </c>
      <c r="F1827" s="32" t="s">
        <v>104</v>
      </c>
      <c r="G1827" s="32" t="s">
        <v>105</v>
      </c>
      <c r="H1827" s="37">
        <v>1022990</v>
      </c>
      <c r="I1827" s="34">
        <f>Table3[[#This Row],[Volume, kg.]]/1000</f>
        <v>1022.99</v>
      </c>
      <c r="J1827" s="38">
        <v>0.22149999999999997</v>
      </c>
      <c r="K1827" s="34">
        <f t="shared" si="56"/>
        <v>226592.28499999997</v>
      </c>
      <c r="L1827" s="38">
        <v>3.41</v>
      </c>
      <c r="M1827" s="38">
        <v>3492396.5</v>
      </c>
      <c r="N1827" s="34">
        <f t="shared" si="57"/>
        <v>15.39503386004515</v>
      </c>
    </row>
    <row r="1828" spans="1:14" x14ac:dyDescent="0.45">
      <c r="A1828" s="30">
        <v>2023</v>
      </c>
      <c r="B1828" s="30" t="s">
        <v>17</v>
      </c>
      <c r="C1828" s="30" t="s">
        <v>46</v>
      </c>
      <c r="D1828" s="30" t="s">
        <v>102</v>
      </c>
      <c r="E1828" s="31" t="s">
        <v>106</v>
      </c>
      <c r="F1828" s="32" t="s">
        <v>107</v>
      </c>
      <c r="G1828" s="32" t="s">
        <v>108</v>
      </c>
      <c r="H1828" s="37">
        <v>576680</v>
      </c>
      <c r="I1828" s="34">
        <f>Table3[[#This Row],[Volume, kg.]]/1000</f>
        <v>576.67999999999995</v>
      </c>
      <c r="J1828" s="38">
        <v>0.2248</v>
      </c>
      <c r="K1828" s="34">
        <f t="shared" si="56"/>
        <v>129637.664</v>
      </c>
      <c r="L1828" s="38">
        <v>3.34</v>
      </c>
      <c r="M1828" s="38">
        <v>1924745.5</v>
      </c>
      <c r="N1828" s="34">
        <f t="shared" si="57"/>
        <v>14.857651245551601</v>
      </c>
    </row>
    <row r="1829" spans="1:14" x14ac:dyDescent="0.45">
      <c r="A1829" s="30">
        <v>2023</v>
      </c>
      <c r="B1829" s="30" t="s">
        <v>17</v>
      </c>
      <c r="C1829" s="30" t="s">
        <v>46</v>
      </c>
      <c r="D1829" s="30" t="s">
        <v>47</v>
      </c>
      <c r="E1829" s="31" t="s">
        <v>110</v>
      </c>
      <c r="F1829" s="32" t="s">
        <v>57</v>
      </c>
      <c r="G1829" s="32" t="s">
        <v>50</v>
      </c>
      <c r="H1829" s="37">
        <v>23260</v>
      </c>
      <c r="I1829" s="34">
        <f>Table3[[#This Row],[Volume, kg.]]/1000</f>
        <v>23.26</v>
      </c>
      <c r="J1829" s="38">
        <v>0.25670000000000004</v>
      </c>
      <c r="K1829" s="34">
        <f t="shared" si="56"/>
        <v>5970.8420000000006</v>
      </c>
      <c r="L1829" s="38">
        <v>3.51</v>
      </c>
      <c r="M1829" s="38">
        <v>81606</v>
      </c>
      <c r="N1829" s="34">
        <f t="shared" si="57"/>
        <v>13.673548889754574</v>
      </c>
    </row>
    <row r="1830" spans="1:14" x14ac:dyDescent="0.45">
      <c r="A1830" s="30">
        <v>2023</v>
      </c>
      <c r="B1830" s="30" t="s">
        <v>17</v>
      </c>
      <c r="C1830" s="30" t="s">
        <v>46</v>
      </c>
      <c r="D1830" s="30" t="s">
        <v>47</v>
      </c>
      <c r="E1830" s="31" t="s">
        <v>277</v>
      </c>
      <c r="F1830" s="32" t="s">
        <v>60</v>
      </c>
      <c r="G1830" s="32" t="s">
        <v>50</v>
      </c>
      <c r="H1830" s="37">
        <v>33200</v>
      </c>
      <c r="I1830" s="34">
        <f>Table3[[#This Row],[Volume, kg.]]/1000</f>
        <v>33.200000000000003</v>
      </c>
      <c r="J1830" s="38">
        <v>0.27460000000000001</v>
      </c>
      <c r="K1830" s="34">
        <f t="shared" si="56"/>
        <v>9116.7200000000012</v>
      </c>
      <c r="L1830" s="38">
        <v>3.63</v>
      </c>
      <c r="M1830" s="38">
        <v>120616</v>
      </c>
      <c r="N1830" s="34">
        <f t="shared" si="57"/>
        <v>13.219227967953385</v>
      </c>
    </row>
    <row r="1831" spans="1:14" x14ac:dyDescent="0.45">
      <c r="A1831" s="30">
        <v>2023</v>
      </c>
      <c r="B1831" s="30" t="s">
        <v>17</v>
      </c>
      <c r="C1831" s="30" t="s">
        <v>46</v>
      </c>
      <c r="D1831" s="30" t="s">
        <v>47</v>
      </c>
      <c r="E1831" s="31" t="s">
        <v>278</v>
      </c>
      <c r="F1831" s="32" t="s">
        <v>49</v>
      </c>
      <c r="G1831" s="32" t="s">
        <v>50</v>
      </c>
      <c r="H1831" s="37">
        <v>36510</v>
      </c>
      <c r="I1831" s="34">
        <f>Table3[[#This Row],[Volume, kg.]]/1000</f>
        <v>36.51</v>
      </c>
      <c r="J1831" s="38">
        <v>0.25619999999999998</v>
      </c>
      <c r="K1831" s="34">
        <f t="shared" si="56"/>
        <v>9353.8619999999992</v>
      </c>
      <c r="L1831" s="38">
        <v>3.48</v>
      </c>
      <c r="M1831" s="38">
        <v>127064.5</v>
      </c>
      <c r="N1831" s="34">
        <f t="shared" si="57"/>
        <v>13.583138173302109</v>
      </c>
    </row>
    <row r="1832" spans="1:14" x14ac:dyDescent="0.45">
      <c r="A1832" s="30">
        <v>2023</v>
      </c>
      <c r="B1832" s="30" t="s">
        <v>17</v>
      </c>
      <c r="C1832" s="30" t="s">
        <v>46</v>
      </c>
      <c r="D1832" s="30" t="s">
        <v>47</v>
      </c>
      <c r="E1832" s="31" t="s">
        <v>431</v>
      </c>
      <c r="F1832" s="32" t="s">
        <v>49</v>
      </c>
      <c r="G1832" s="32" t="s">
        <v>50</v>
      </c>
      <c r="H1832" s="37">
        <v>48310</v>
      </c>
      <c r="I1832" s="34">
        <f>Table3[[#This Row],[Volume, kg.]]/1000</f>
        <v>48.31</v>
      </c>
      <c r="J1832" s="38">
        <v>0.21890000000000001</v>
      </c>
      <c r="K1832" s="34">
        <f t="shared" si="56"/>
        <v>10575.059000000001</v>
      </c>
      <c r="L1832" s="38">
        <v>3.04</v>
      </c>
      <c r="M1832" s="38">
        <v>146692</v>
      </c>
      <c r="N1832" s="34">
        <f t="shared" si="57"/>
        <v>13.887619917770671</v>
      </c>
    </row>
    <row r="1833" spans="1:14" x14ac:dyDescent="0.45">
      <c r="A1833" s="30">
        <v>2023</v>
      </c>
      <c r="B1833" s="30" t="s">
        <v>17</v>
      </c>
      <c r="C1833" s="30" t="s">
        <v>46</v>
      </c>
      <c r="D1833" s="30" t="s">
        <v>102</v>
      </c>
      <c r="E1833" s="31" t="s">
        <v>117</v>
      </c>
      <c r="F1833" s="32" t="s">
        <v>118</v>
      </c>
      <c r="G1833" s="32" t="s">
        <v>119</v>
      </c>
      <c r="H1833" s="37">
        <v>972790</v>
      </c>
      <c r="I1833" s="34">
        <f>Table3[[#This Row],[Volume, kg.]]/1000</f>
        <v>972.79</v>
      </c>
      <c r="J1833" s="38">
        <v>0.23170000000000002</v>
      </c>
      <c r="K1833" s="34">
        <f t="shared" si="56"/>
        <v>225395.44300000003</v>
      </c>
      <c r="L1833" s="38">
        <v>3.34</v>
      </c>
      <c r="M1833" s="38">
        <v>3244596</v>
      </c>
      <c r="N1833" s="34">
        <f t="shared" si="57"/>
        <v>14.415192058696588</v>
      </c>
    </row>
    <row r="1834" spans="1:14" x14ac:dyDescent="0.45">
      <c r="A1834" s="30">
        <v>2023</v>
      </c>
      <c r="B1834" s="30" t="s">
        <v>17</v>
      </c>
      <c r="C1834" s="30" t="s">
        <v>46</v>
      </c>
      <c r="D1834" s="30" t="s">
        <v>47</v>
      </c>
      <c r="E1834" s="31" t="s">
        <v>121</v>
      </c>
      <c r="F1834" s="32" t="s">
        <v>60</v>
      </c>
      <c r="G1834" s="32" t="s">
        <v>50</v>
      </c>
      <c r="H1834" s="37">
        <v>30710</v>
      </c>
      <c r="I1834" s="34">
        <f>Table3[[#This Row],[Volume, kg.]]/1000</f>
        <v>30.71</v>
      </c>
      <c r="J1834" s="38">
        <v>0.22039999999999998</v>
      </c>
      <c r="K1834" s="34">
        <f t="shared" si="56"/>
        <v>6768.4839999999995</v>
      </c>
      <c r="L1834" s="38">
        <v>2.98</v>
      </c>
      <c r="M1834" s="38">
        <v>91379.5</v>
      </c>
      <c r="N1834" s="34">
        <f t="shared" si="57"/>
        <v>13.520871143375681</v>
      </c>
    </row>
    <row r="1835" spans="1:14" x14ac:dyDescent="0.45">
      <c r="A1835" s="30">
        <v>2023</v>
      </c>
      <c r="B1835" s="30" t="s">
        <v>17</v>
      </c>
      <c r="C1835" s="30" t="s">
        <v>46</v>
      </c>
      <c r="D1835" s="30" t="s">
        <v>47</v>
      </c>
      <c r="E1835" s="31" t="s">
        <v>122</v>
      </c>
      <c r="F1835" s="32" t="s">
        <v>49</v>
      </c>
      <c r="G1835" s="32" t="s">
        <v>50</v>
      </c>
      <c r="H1835" s="37">
        <v>13150</v>
      </c>
      <c r="I1835" s="34">
        <f>Table3[[#This Row],[Volume, kg.]]/1000</f>
        <v>13.15</v>
      </c>
      <c r="J1835" s="38">
        <v>0.2525</v>
      </c>
      <c r="K1835" s="34">
        <f t="shared" si="56"/>
        <v>3320.375</v>
      </c>
      <c r="L1835" s="38">
        <v>3.13</v>
      </c>
      <c r="M1835" s="38">
        <v>41202.5</v>
      </c>
      <c r="N1835" s="34">
        <f t="shared" si="57"/>
        <v>12.396039603960396</v>
      </c>
    </row>
    <row r="1836" spans="1:14" x14ac:dyDescent="0.45">
      <c r="A1836" s="30">
        <v>2023</v>
      </c>
      <c r="B1836" s="30" t="s">
        <v>17</v>
      </c>
      <c r="C1836" s="30" t="s">
        <v>46</v>
      </c>
      <c r="D1836" s="30" t="s">
        <v>47</v>
      </c>
      <c r="E1836" s="31" t="s">
        <v>537</v>
      </c>
      <c r="F1836" s="32" t="s">
        <v>49</v>
      </c>
      <c r="G1836" s="32" t="s">
        <v>50</v>
      </c>
      <c r="H1836" s="37">
        <v>10000</v>
      </c>
      <c r="I1836" s="34">
        <f>Table3[[#This Row],[Volume, kg.]]/1000</f>
        <v>10</v>
      </c>
      <c r="J1836" s="38">
        <v>0.20929999999999999</v>
      </c>
      <c r="K1836" s="34">
        <f t="shared" si="56"/>
        <v>2093</v>
      </c>
      <c r="L1836" s="38">
        <v>3.05</v>
      </c>
      <c r="M1836" s="38">
        <v>30492</v>
      </c>
      <c r="N1836" s="34">
        <f t="shared" si="57"/>
        <v>14.57238413760153</v>
      </c>
    </row>
    <row r="1837" spans="1:14" x14ac:dyDescent="0.45">
      <c r="A1837" s="30">
        <v>2023</v>
      </c>
      <c r="B1837" s="30" t="s">
        <v>17</v>
      </c>
      <c r="C1837" s="30" t="s">
        <v>46</v>
      </c>
      <c r="D1837" s="30" t="s">
        <v>47</v>
      </c>
      <c r="E1837" s="31" t="s">
        <v>123</v>
      </c>
      <c r="F1837" s="32" t="s">
        <v>49</v>
      </c>
      <c r="G1837" s="32" t="s">
        <v>50</v>
      </c>
      <c r="H1837" s="37">
        <v>580</v>
      </c>
      <c r="I1837" s="34">
        <f>Table3[[#This Row],[Volume, kg.]]/1000</f>
        <v>0.57999999999999996</v>
      </c>
      <c r="J1837" s="38">
        <v>0.1925</v>
      </c>
      <c r="K1837" s="34">
        <f t="shared" si="56"/>
        <v>111.65</v>
      </c>
      <c r="L1837" s="38">
        <v>2.9</v>
      </c>
      <c r="M1837" s="38">
        <v>1682</v>
      </c>
      <c r="N1837" s="34">
        <f t="shared" si="57"/>
        <v>15.064935064935064</v>
      </c>
    </row>
    <row r="1838" spans="1:14" x14ac:dyDescent="0.45">
      <c r="A1838" s="30">
        <v>2023</v>
      </c>
      <c r="B1838" s="30" t="s">
        <v>17</v>
      </c>
      <c r="C1838" s="30" t="s">
        <v>46</v>
      </c>
      <c r="D1838" s="30" t="s">
        <v>47</v>
      </c>
      <c r="E1838" s="31" t="s">
        <v>125</v>
      </c>
      <c r="F1838" s="32" t="s">
        <v>60</v>
      </c>
      <c r="G1838" s="32" t="s">
        <v>50</v>
      </c>
      <c r="H1838" s="37">
        <v>42110</v>
      </c>
      <c r="I1838" s="34">
        <f>Table3[[#This Row],[Volume, kg.]]/1000</f>
        <v>42.11</v>
      </c>
      <c r="J1838" s="38">
        <v>0.2296</v>
      </c>
      <c r="K1838" s="34">
        <f t="shared" si="56"/>
        <v>9668.4560000000001</v>
      </c>
      <c r="L1838" s="38">
        <v>3.09</v>
      </c>
      <c r="M1838" s="38">
        <v>130098.5</v>
      </c>
      <c r="N1838" s="34">
        <f t="shared" si="57"/>
        <v>13.458188153310104</v>
      </c>
    </row>
    <row r="1839" spans="1:14" x14ac:dyDescent="0.45">
      <c r="A1839" s="30">
        <v>2023</v>
      </c>
      <c r="B1839" s="30" t="s">
        <v>17</v>
      </c>
      <c r="C1839" s="30" t="s">
        <v>46</v>
      </c>
      <c r="D1839" s="30" t="s">
        <v>102</v>
      </c>
      <c r="E1839" s="31" t="s">
        <v>126</v>
      </c>
      <c r="F1839" s="32" t="s">
        <v>127</v>
      </c>
      <c r="G1839" s="32" t="s">
        <v>128</v>
      </c>
      <c r="H1839" s="37">
        <v>81760</v>
      </c>
      <c r="I1839" s="34">
        <f>Table3[[#This Row],[Volume, kg.]]/1000</f>
        <v>81.760000000000005</v>
      </c>
      <c r="J1839" s="38">
        <v>0.1986</v>
      </c>
      <c r="K1839" s="34">
        <f t="shared" si="56"/>
        <v>16237.536</v>
      </c>
      <c r="L1839" s="38">
        <v>3.13</v>
      </c>
      <c r="M1839" s="38">
        <v>256211</v>
      </c>
      <c r="N1839" s="34">
        <f t="shared" si="57"/>
        <v>15.760322255790534</v>
      </c>
    </row>
    <row r="1840" spans="1:14" x14ac:dyDescent="0.45">
      <c r="A1840" s="30">
        <v>2023</v>
      </c>
      <c r="B1840" s="30" t="s">
        <v>17</v>
      </c>
      <c r="C1840" s="30" t="s">
        <v>46</v>
      </c>
      <c r="D1840" s="30" t="s">
        <v>47</v>
      </c>
      <c r="E1840" s="31" t="s">
        <v>346</v>
      </c>
      <c r="F1840" s="32" t="s">
        <v>49</v>
      </c>
      <c r="G1840" s="32" t="s">
        <v>50</v>
      </c>
      <c r="H1840" s="37">
        <v>52030</v>
      </c>
      <c r="I1840" s="34">
        <f>Table3[[#This Row],[Volume, kg.]]/1000</f>
        <v>52.03</v>
      </c>
      <c r="J1840" s="38">
        <v>0.25440000000000002</v>
      </c>
      <c r="K1840" s="34">
        <f t="shared" si="56"/>
        <v>13236.432000000001</v>
      </c>
      <c r="L1840" s="38">
        <v>3.29</v>
      </c>
      <c r="M1840" s="38">
        <v>171122</v>
      </c>
      <c r="N1840" s="34">
        <f t="shared" si="57"/>
        <v>12.932389937106917</v>
      </c>
    </row>
    <row r="1841" spans="1:14" x14ac:dyDescent="0.45">
      <c r="A1841" s="30">
        <v>2023</v>
      </c>
      <c r="B1841" s="30" t="s">
        <v>17</v>
      </c>
      <c r="C1841" s="30" t="s">
        <v>46</v>
      </c>
      <c r="D1841" s="30" t="s">
        <v>47</v>
      </c>
      <c r="E1841" s="31" t="s">
        <v>129</v>
      </c>
      <c r="F1841" s="32" t="s">
        <v>57</v>
      </c>
      <c r="G1841" s="32" t="s">
        <v>50</v>
      </c>
      <c r="H1841" s="37">
        <v>13380</v>
      </c>
      <c r="I1841" s="34">
        <f>Table3[[#This Row],[Volume, kg.]]/1000</f>
        <v>13.38</v>
      </c>
      <c r="J1841" s="38">
        <v>0.2487</v>
      </c>
      <c r="K1841" s="34">
        <f t="shared" si="56"/>
        <v>3327.6060000000002</v>
      </c>
      <c r="L1841" s="38">
        <v>3.47</v>
      </c>
      <c r="M1841" s="38">
        <v>46455.5</v>
      </c>
      <c r="N1841" s="34">
        <f t="shared" si="57"/>
        <v>13.952553277040611</v>
      </c>
    </row>
    <row r="1842" spans="1:14" x14ac:dyDescent="0.45">
      <c r="A1842" s="30">
        <v>2023</v>
      </c>
      <c r="B1842" s="30" t="s">
        <v>17</v>
      </c>
      <c r="C1842" s="30" t="s">
        <v>46</v>
      </c>
      <c r="D1842" s="30" t="s">
        <v>47</v>
      </c>
      <c r="E1842" s="31" t="s">
        <v>132</v>
      </c>
      <c r="F1842" s="32" t="s">
        <v>49</v>
      </c>
      <c r="G1842" s="32" t="s">
        <v>50</v>
      </c>
      <c r="H1842" s="37">
        <v>3970</v>
      </c>
      <c r="I1842" s="34">
        <f>Table3[[#This Row],[Volume, kg.]]/1000</f>
        <v>3.97</v>
      </c>
      <c r="J1842" s="38">
        <v>0.23399999999999999</v>
      </c>
      <c r="K1842" s="34">
        <f t="shared" si="56"/>
        <v>928.9799999999999</v>
      </c>
      <c r="L1842" s="38">
        <v>3.1</v>
      </c>
      <c r="M1842" s="38">
        <v>12307</v>
      </c>
      <c r="N1842" s="34">
        <f t="shared" si="57"/>
        <v>13.247863247863249</v>
      </c>
    </row>
    <row r="1843" spans="1:14" x14ac:dyDescent="0.45">
      <c r="A1843" s="30">
        <v>2023</v>
      </c>
      <c r="B1843" s="30" t="s">
        <v>17</v>
      </c>
      <c r="C1843" s="30" t="s">
        <v>46</v>
      </c>
      <c r="D1843" s="30" t="s">
        <v>47</v>
      </c>
      <c r="E1843" s="31" t="s">
        <v>133</v>
      </c>
      <c r="F1843" s="32" t="s">
        <v>134</v>
      </c>
      <c r="G1843" s="32" t="s">
        <v>50</v>
      </c>
      <c r="H1843" s="37">
        <v>86730</v>
      </c>
      <c r="I1843" s="34">
        <f>Table3[[#This Row],[Volume, kg.]]/1000</f>
        <v>86.73</v>
      </c>
      <c r="J1843" s="38">
        <v>0.2102</v>
      </c>
      <c r="K1843" s="34">
        <f t="shared" si="56"/>
        <v>18230.646000000001</v>
      </c>
      <c r="L1843" s="38">
        <v>3.06</v>
      </c>
      <c r="M1843" s="38">
        <v>264991</v>
      </c>
      <c r="N1843" s="34">
        <f t="shared" si="57"/>
        <v>14.557564224548051</v>
      </c>
    </row>
    <row r="1844" spans="1:14" x14ac:dyDescent="0.45">
      <c r="A1844" s="30">
        <v>2023</v>
      </c>
      <c r="B1844" s="30" t="s">
        <v>17</v>
      </c>
      <c r="C1844" s="30" t="s">
        <v>46</v>
      </c>
      <c r="D1844" s="30" t="s">
        <v>47</v>
      </c>
      <c r="E1844" s="31" t="s">
        <v>280</v>
      </c>
      <c r="F1844" s="32" t="s">
        <v>281</v>
      </c>
      <c r="G1844" s="32" t="s">
        <v>50</v>
      </c>
      <c r="H1844" s="37">
        <v>0</v>
      </c>
      <c r="I1844" s="34">
        <f>Table3[[#This Row],[Volume, kg.]]/1000</f>
        <v>0</v>
      </c>
      <c r="J1844" s="38">
        <v>0</v>
      </c>
      <c r="K1844" s="34">
        <f t="shared" si="56"/>
        <v>0</v>
      </c>
      <c r="L1844" s="38">
        <v>0</v>
      </c>
      <c r="M1844" s="38">
        <v>0</v>
      </c>
      <c r="N1844" s="34" t="e">
        <f t="shared" si="57"/>
        <v>#DIV/0!</v>
      </c>
    </row>
    <row r="1845" spans="1:14" x14ac:dyDescent="0.45">
      <c r="A1845" s="30">
        <v>2023</v>
      </c>
      <c r="B1845" s="30" t="s">
        <v>17</v>
      </c>
      <c r="C1845" s="30" t="s">
        <v>46</v>
      </c>
      <c r="D1845" s="30" t="s">
        <v>47</v>
      </c>
      <c r="E1845" s="31" t="s">
        <v>135</v>
      </c>
      <c r="F1845" s="32" t="s">
        <v>49</v>
      </c>
      <c r="G1845" s="32" t="s">
        <v>50</v>
      </c>
      <c r="H1845" s="37">
        <v>18280</v>
      </c>
      <c r="I1845" s="34">
        <f>Table3[[#This Row],[Volume, kg.]]/1000</f>
        <v>18.28</v>
      </c>
      <c r="J1845" s="38">
        <v>0.27300000000000002</v>
      </c>
      <c r="K1845" s="34">
        <f t="shared" si="56"/>
        <v>4990.4400000000005</v>
      </c>
      <c r="L1845" s="38">
        <v>3.49</v>
      </c>
      <c r="M1845" s="38">
        <v>63795.5</v>
      </c>
      <c r="N1845" s="34">
        <f t="shared" si="57"/>
        <v>12.783882783882783</v>
      </c>
    </row>
    <row r="1846" spans="1:14" x14ac:dyDescent="0.45">
      <c r="A1846" s="30">
        <v>2023</v>
      </c>
      <c r="B1846" s="30" t="s">
        <v>17</v>
      </c>
      <c r="C1846" s="30" t="s">
        <v>46</v>
      </c>
      <c r="D1846" s="30" t="s">
        <v>47</v>
      </c>
      <c r="E1846" s="31" t="s">
        <v>507</v>
      </c>
      <c r="F1846" s="32" t="s">
        <v>60</v>
      </c>
      <c r="G1846" s="32" t="s">
        <v>50</v>
      </c>
      <c r="H1846" s="37">
        <v>21580</v>
      </c>
      <c r="I1846" s="34">
        <f>Table3[[#This Row],[Volume, kg.]]/1000</f>
        <v>21.58</v>
      </c>
      <c r="J1846" s="38">
        <v>0.21410000000000001</v>
      </c>
      <c r="K1846" s="34">
        <f t="shared" si="56"/>
        <v>4620.2780000000002</v>
      </c>
      <c r="L1846" s="38">
        <v>3.03</v>
      </c>
      <c r="M1846" s="38">
        <v>65312.5</v>
      </c>
      <c r="N1846" s="34">
        <f t="shared" si="57"/>
        <v>14.152265296590377</v>
      </c>
    </row>
    <row r="1847" spans="1:14" x14ac:dyDescent="0.45">
      <c r="A1847" s="30">
        <v>2023</v>
      </c>
      <c r="B1847" s="30" t="s">
        <v>17</v>
      </c>
      <c r="C1847" s="30" t="s">
        <v>46</v>
      </c>
      <c r="D1847" s="30" t="s">
        <v>47</v>
      </c>
      <c r="E1847" s="31" t="s">
        <v>282</v>
      </c>
      <c r="F1847" s="32" t="s">
        <v>49</v>
      </c>
      <c r="G1847" s="32" t="s">
        <v>50</v>
      </c>
      <c r="H1847" s="37">
        <v>32390</v>
      </c>
      <c r="I1847" s="34">
        <f>Table3[[#This Row],[Volume, kg.]]/1000</f>
        <v>32.39</v>
      </c>
      <c r="J1847" s="38">
        <v>0.25469999999999998</v>
      </c>
      <c r="K1847" s="34">
        <f t="shared" si="56"/>
        <v>8249.7330000000002</v>
      </c>
      <c r="L1847" s="38">
        <v>3.14</v>
      </c>
      <c r="M1847" s="38">
        <v>101804.5</v>
      </c>
      <c r="N1847" s="34">
        <f t="shared" si="57"/>
        <v>12.328229289360033</v>
      </c>
    </row>
    <row r="1848" spans="1:14" x14ac:dyDescent="0.45">
      <c r="A1848" s="30">
        <v>2023</v>
      </c>
      <c r="B1848" s="30" t="s">
        <v>17</v>
      </c>
      <c r="C1848" s="30" t="s">
        <v>46</v>
      </c>
      <c r="D1848" s="30" t="s">
        <v>102</v>
      </c>
      <c r="E1848" s="31" t="s">
        <v>418</v>
      </c>
      <c r="F1848" s="32" t="s">
        <v>104</v>
      </c>
      <c r="G1848" s="32" t="s">
        <v>105</v>
      </c>
      <c r="H1848" s="37">
        <v>1089160</v>
      </c>
      <c r="I1848" s="34">
        <f>Table3[[#This Row],[Volume, kg.]]/1000</f>
        <v>1089.1600000000001</v>
      </c>
      <c r="J1848" s="38">
        <v>0.23559999999999998</v>
      </c>
      <c r="K1848" s="34">
        <f t="shared" si="56"/>
        <v>256606.09599999996</v>
      </c>
      <c r="L1848" s="38">
        <v>3.44</v>
      </c>
      <c r="M1848" s="38">
        <v>3745567.5</v>
      </c>
      <c r="N1848" s="34">
        <f t="shared" si="57"/>
        <v>14.601018675721564</v>
      </c>
    </row>
    <row r="1849" spans="1:14" x14ac:dyDescent="0.45">
      <c r="A1849" s="30">
        <v>2023</v>
      </c>
      <c r="B1849" s="30" t="s">
        <v>17</v>
      </c>
      <c r="C1849" s="30" t="s">
        <v>46</v>
      </c>
      <c r="D1849" s="30" t="s">
        <v>47</v>
      </c>
      <c r="E1849" s="31" t="s">
        <v>136</v>
      </c>
      <c r="F1849" s="32" t="s">
        <v>49</v>
      </c>
      <c r="G1849" s="32" t="s">
        <v>50</v>
      </c>
      <c r="H1849" s="37">
        <v>6090</v>
      </c>
      <c r="I1849" s="34">
        <f>Table3[[#This Row],[Volume, kg.]]/1000</f>
        <v>6.09</v>
      </c>
      <c r="J1849" s="38">
        <v>0.2545</v>
      </c>
      <c r="K1849" s="34">
        <f t="shared" si="56"/>
        <v>1549.905</v>
      </c>
      <c r="L1849" s="38">
        <v>3.15</v>
      </c>
      <c r="M1849" s="38">
        <v>19183.5</v>
      </c>
      <c r="N1849" s="34">
        <f t="shared" si="57"/>
        <v>12.377210216110019</v>
      </c>
    </row>
    <row r="1850" spans="1:14" x14ac:dyDescent="0.45">
      <c r="A1850" s="30">
        <v>2023</v>
      </c>
      <c r="B1850" s="30" t="s">
        <v>17</v>
      </c>
      <c r="C1850" s="30" t="s">
        <v>46</v>
      </c>
      <c r="D1850" s="30" t="s">
        <v>47</v>
      </c>
      <c r="E1850" s="31" t="s">
        <v>395</v>
      </c>
      <c r="F1850" s="32" t="s">
        <v>81</v>
      </c>
      <c r="G1850" s="32" t="s">
        <v>50</v>
      </c>
      <c r="H1850" s="37">
        <v>17530</v>
      </c>
      <c r="I1850" s="34">
        <f>Table3[[#This Row],[Volume, kg.]]/1000</f>
        <v>17.53</v>
      </c>
      <c r="J1850" s="38">
        <v>0.2505</v>
      </c>
      <c r="K1850" s="34">
        <f t="shared" si="56"/>
        <v>4391.2650000000003</v>
      </c>
      <c r="L1850" s="38">
        <v>3.29</v>
      </c>
      <c r="M1850" s="38">
        <v>57699</v>
      </c>
      <c r="N1850" s="34">
        <f t="shared" si="57"/>
        <v>13.133732534930139</v>
      </c>
    </row>
    <row r="1851" spans="1:14" x14ac:dyDescent="0.45">
      <c r="A1851" s="30">
        <v>2023</v>
      </c>
      <c r="B1851" s="30" t="s">
        <v>17</v>
      </c>
      <c r="C1851" s="30" t="s">
        <v>46</v>
      </c>
      <c r="D1851" s="30" t="s">
        <v>47</v>
      </c>
      <c r="E1851" s="31" t="s">
        <v>283</v>
      </c>
      <c r="F1851" s="32" t="s">
        <v>49</v>
      </c>
      <c r="G1851" s="32" t="s">
        <v>50</v>
      </c>
      <c r="H1851" s="37">
        <v>72740</v>
      </c>
      <c r="I1851" s="34">
        <f>Table3[[#This Row],[Volume, kg.]]/1000</f>
        <v>72.739999999999995</v>
      </c>
      <c r="J1851" s="38">
        <v>0.23120000000000002</v>
      </c>
      <c r="K1851" s="34">
        <f t="shared" si="56"/>
        <v>16817.488000000001</v>
      </c>
      <c r="L1851" s="38">
        <v>3.13</v>
      </c>
      <c r="M1851" s="38">
        <v>227946</v>
      </c>
      <c r="N1851" s="34">
        <f t="shared" si="57"/>
        <v>13.538062283737023</v>
      </c>
    </row>
    <row r="1852" spans="1:14" x14ac:dyDescent="0.45">
      <c r="A1852" s="30">
        <v>2023</v>
      </c>
      <c r="B1852" s="30" t="s">
        <v>17</v>
      </c>
      <c r="C1852" s="30" t="s">
        <v>46</v>
      </c>
      <c r="D1852" s="30" t="s">
        <v>47</v>
      </c>
      <c r="E1852" s="31" t="s">
        <v>480</v>
      </c>
      <c r="F1852" s="32" t="s">
        <v>49</v>
      </c>
      <c r="G1852" s="32" t="s">
        <v>50</v>
      </c>
      <c r="H1852" s="37">
        <v>59930</v>
      </c>
      <c r="I1852" s="34">
        <f>Table3[[#This Row],[Volume, kg.]]/1000</f>
        <v>59.93</v>
      </c>
      <c r="J1852" s="38">
        <v>0.23190000000000002</v>
      </c>
      <c r="K1852" s="34">
        <f t="shared" si="56"/>
        <v>13897.767000000002</v>
      </c>
      <c r="L1852" s="38">
        <v>3.14</v>
      </c>
      <c r="M1852" s="38">
        <v>188290.5</v>
      </c>
      <c r="N1852" s="34">
        <f t="shared" si="57"/>
        <v>13.540319103061664</v>
      </c>
    </row>
    <row r="1853" spans="1:14" x14ac:dyDescent="0.45">
      <c r="A1853" s="30">
        <v>2023</v>
      </c>
      <c r="B1853" s="30" t="s">
        <v>17</v>
      </c>
      <c r="C1853" s="30" t="s">
        <v>46</v>
      </c>
      <c r="D1853" s="30" t="s">
        <v>47</v>
      </c>
      <c r="E1853" s="31" t="s">
        <v>470</v>
      </c>
      <c r="F1853" s="32" t="s">
        <v>57</v>
      </c>
      <c r="G1853" s="32" t="s">
        <v>50</v>
      </c>
      <c r="H1853" s="37">
        <v>11680</v>
      </c>
      <c r="I1853" s="34">
        <f>Table3[[#This Row],[Volume, kg.]]/1000</f>
        <v>11.68</v>
      </c>
      <c r="J1853" s="38">
        <v>0.2288</v>
      </c>
      <c r="K1853" s="34">
        <f t="shared" si="56"/>
        <v>2672.384</v>
      </c>
      <c r="L1853" s="38">
        <v>3.02</v>
      </c>
      <c r="M1853" s="38">
        <v>35325.5</v>
      </c>
      <c r="N1853" s="34">
        <f t="shared" si="57"/>
        <v>13.1993006993007</v>
      </c>
    </row>
    <row r="1854" spans="1:14" x14ac:dyDescent="0.45">
      <c r="A1854" s="30">
        <v>2023</v>
      </c>
      <c r="B1854" s="30" t="s">
        <v>17</v>
      </c>
      <c r="C1854" s="30" t="s">
        <v>46</v>
      </c>
      <c r="D1854" s="30" t="s">
        <v>47</v>
      </c>
      <c r="E1854" s="31" t="s">
        <v>517</v>
      </c>
      <c r="F1854" s="32" t="s">
        <v>57</v>
      </c>
      <c r="G1854" s="32" t="s">
        <v>50</v>
      </c>
      <c r="H1854" s="37">
        <v>7270</v>
      </c>
      <c r="I1854" s="34">
        <f>Table3[[#This Row],[Volume, kg.]]/1000</f>
        <v>7.27</v>
      </c>
      <c r="J1854" s="38">
        <v>0.19699999999999998</v>
      </c>
      <c r="K1854" s="34">
        <f t="shared" si="56"/>
        <v>1432.1899999999998</v>
      </c>
      <c r="L1854" s="38">
        <v>2.85</v>
      </c>
      <c r="M1854" s="38">
        <v>20719.5</v>
      </c>
      <c r="N1854" s="34">
        <f t="shared" si="57"/>
        <v>14.467005076142135</v>
      </c>
    </row>
    <row r="1855" spans="1:14" x14ac:dyDescent="0.45">
      <c r="A1855" s="30">
        <v>2023</v>
      </c>
      <c r="B1855" s="30" t="s">
        <v>17</v>
      </c>
      <c r="C1855" s="30" t="s">
        <v>46</v>
      </c>
      <c r="D1855" s="30" t="s">
        <v>47</v>
      </c>
      <c r="E1855" s="31" t="s">
        <v>287</v>
      </c>
      <c r="F1855" s="32" t="s">
        <v>60</v>
      </c>
      <c r="G1855" s="32" t="s">
        <v>50</v>
      </c>
      <c r="H1855" s="37">
        <v>19920</v>
      </c>
      <c r="I1855" s="34">
        <f>Table3[[#This Row],[Volume, kg.]]/1000</f>
        <v>19.920000000000002</v>
      </c>
      <c r="J1855" s="38">
        <v>0.20989999999999998</v>
      </c>
      <c r="K1855" s="34">
        <f t="shared" si="56"/>
        <v>4181.2079999999996</v>
      </c>
      <c r="L1855" s="38">
        <v>2.99</v>
      </c>
      <c r="M1855" s="38">
        <v>59580.5</v>
      </c>
      <c r="N1855" s="34">
        <f t="shared" si="57"/>
        <v>14.244878513577897</v>
      </c>
    </row>
    <row r="1856" spans="1:14" x14ac:dyDescent="0.45">
      <c r="A1856" s="30">
        <v>2023</v>
      </c>
      <c r="B1856" s="30" t="s">
        <v>17</v>
      </c>
      <c r="C1856" s="30" t="s">
        <v>46</v>
      </c>
      <c r="D1856" s="30" t="s">
        <v>47</v>
      </c>
      <c r="E1856" s="31" t="s">
        <v>390</v>
      </c>
      <c r="F1856" s="32" t="s">
        <v>60</v>
      </c>
      <c r="G1856" s="32" t="s">
        <v>50</v>
      </c>
      <c r="H1856" s="37">
        <v>10840</v>
      </c>
      <c r="I1856" s="34">
        <f>Table3[[#This Row],[Volume, kg.]]/1000</f>
        <v>10.84</v>
      </c>
      <c r="J1856" s="38">
        <v>0.20149999999999998</v>
      </c>
      <c r="K1856" s="34">
        <f t="shared" si="56"/>
        <v>2184.2599999999998</v>
      </c>
      <c r="L1856" s="38">
        <v>2.92</v>
      </c>
      <c r="M1856" s="38">
        <v>31619.5</v>
      </c>
      <c r="N1856" s="34">
        <f t="shared" si="57"/>
        <v>14.491315136476427</v>
      </c>
    </row>
    <row r="1857" spans="1:14" x14ac:dyDescent="0.45">
      <c r="A1857" s="30">
        <v>2023</v>
      </c>
      <c r="B1857" s="30" t="s">
        <v>17</v>
      </c>
      <c r="C1857" s="30" t="s">
        <v>46</v>
      </c>
      <c r="D1857" s="30" t="s">
        <v>47</v>
      </c>
      <c r="E1857" s="31" t="s">
        <v>288</v>
      </c>
      <c r="F1857" s="32" t="s">
        <v>49</v>
      </c>
      <c r="G1857" s="32" t="s">
        <v>50</v>
      </c>
      <c r="H1857" s="37">
        <v>127860</v>
      </c>
      <c r="I1857" s="34">
        <f>Table3[[#This Row],[Volume, kg.]]/1000</f>
        <v>127.86</v>
      </c>
      <c r="J1857" s="38">
        <v>0.2419</v>
      </c>
      <c r="K1857" s="34">
        <f t="shared" si="56"/>
        <v>30929.333999999999</v>
      </c>
      <c r="L1857" s="38">
        <v>3.21</v>
      </c>
      <c r="M1857" s="38">
        <v>409826.5</v>
      </c>
      <c r="N1857" s="34">
        <f t="shared" si="57"/>
        <v>13.269946258784621</v>
      </c>
    </row>
    <row r="1858" spans="1:14" x14ac:dyDescent="0.45">
      <c r="A1858" s="30">
        <v>2023</v>
      </c>
      <c r="B1858" s="30" t="s">
        <v>17</v>
      </c>
      <c r="C1858" s="30" t="s">
        <v>46</v>
      </c>
      <c r="D1858" s="30" t="s">
        <v>47</v>
      </c>
      <c r="E1858" s="31" t="s">
        <v>350</v>
      </c>
      <c r="F1858" s="32" t="s">
        <v>49</v>
      </c>
      <c r="G1858" s="32" t="s">
        <v>50</v>
      </c>
      <c r="H1858" s="37">
        <v>31620</v>
      </c>
      <c r="I1858" s="34">
        <f>Table3[[#This Row],[Volume, kg.]]/1000</f>
        <v>31.62</v>
      </c>
      <c r="J1858" s="38">
        <v>0.23600000000000002</v>
      </c>
      <c r="K1858" s="34">
        <f t="shared" si="56"/>
        <v>7462.3200000000006</v>
      </c>
      <c r="L1858" s="38">
        <v>3.17</v>
      </c>
      <c r="M1858" s="38">
        <v>100196.5</v>
      </c>
      <c r="N1858" s="34">
        <f t="shared" si="57"/>
        <v>13.432203389830507</v>
      </c>
    </row>
    <row r="1859" spans="1:14" x14ac:dyDescent="0.45">
      <c r="A1859" s="30">
        <v>2023</v>
      </c>
      <c r="B1859" s="30" t="s">
        <v>17</v>
      </c>
      <c r="C1859" s="30" t="s">
        <v>46</v>
      </c>
      <c r="D1859" s="30" t="s">
        <v>47</v>
      </c>
      <c r="E1859" s="31" t="s">
        <v>476</v>
      </c>
      <c r="F1859" s="32" t="s">
        <v>49</v>
      </c>
      <c r="G1859" s="32" t="s">
        <v>50</v>
      </c>
      <c r="H1859" s="37">
        <v>330</v>
      </c>
      <c r="I1859" s="34">
        <f>Table3[[#This Row],[Volume, kg.]]/1000</f>
        <v>0.33</v>
      </c>
      <c r="J1859" s="38">
        <v>0.20399999999999999</v>
      </c>
      <c r="K1859" s="34">
        <f t="shared" ref="K1859:K1922" si="58">H1859*J1859</f>
        <v>67.319999999999993</v>
      </c>
      <c r="L1859" s="38">
        <v>2.95</v>
      </c>
      <c r="M1859" s="38">
        <v>973.5</v>
      </c>
      <c r="N1859" s="34">
        <f t="shared" si="57"/>
        <v>14.460784313725492</v>
      </c>
    </row>
    <row r="1860" spans="1:14" x14ac:dyDescent="0.45">
      <c r="A1860" s="30">
        <v>2023</v>
      </c>
      <c r="B1860" s="30" t="s">
        <v>17</v>
      </c>
      <c r="C1860" s="30" t="s">
        <v>46</v>
      </c>
      <c r="D1860" s="30" t="s">
        <v>47</v>
      </c>
      <c r="E1860" s="31" t="s">
        <v>538</v>
      </c>
      <c r="F1860" s="32" t="s">
        <v>118</v>
      </c>
      <c r="G1860" s="32" t="s">
        <v>119</v>
      </c>
      <c r="H1860" s="37">
        <v>13930</v>
      </c>
      <c r="I1860" s="34">
        <f>Table3[[#This Row],[Volume, kg.]]/1000</f>
        <v>13.93</v>
      </c>
      <c r="J1860" s="38">
        <v>0.24</v>
      </c>
      <c r="K1860" s="34">
        <f t="shared" si="58"/>
        <v>3343.2</v>
      </c>
      <c r="L1860" s="38">
        <v>3.65</v>
      </c>
      <c r="M1860" s="38">
        <v>50844.5</v>
      </c>
      <c r="N1860" s="34">
        <f t="shared" ref="N1860:N1923" si="59">L1860/J1860</f>
        <v>15.208333333333334</v>
      </c>
    </row>
    <row r="1861" spans="1:14" x14ac:dyDescent="0.45">
      <c r="A1861" s="30">
        <v>2023</v>
      </c>
      <c r="B1861" s="30" t="s">
        <v>17</v>
      </c>
      <c r="C1861" s="30" t="s">
        <v>46</v>
      </c>
      <c r="D1861" s="30" t="s">
        <v>102</v>
      </c>
      <c r="E1861" s="31" t="s">
        <v>414</v>
      </c>
      <c r="F1861" s="32" t="s">
        <v>415</v>
      </c>
      <c r="G1861" s="32" t="s">
        <v>50</v>
      </c>
      <c r="H1861" s="37">
        <v>526610</v>
      </c>
      <c r="I1861" s="34">
        <f>Table3[[#This Row],[Volume, kg.]]/1000</f>
        <v>526.61</v>
      </c>
      <c r="J1861" s="38">
        <v>0.20180000000000001</v>
      </c>
      <c r="K1861" s="34">
        <f t="shared" si="58"/>
        <v>106269.898</v>
      </c>
      <c r="L1861" s="38">
        <v>3.11</v>
      </c>
      <c r="M1861" s="38">
        <v>1638756.5</v>
      </c>
      <c r="N1861" s="34">
        <f t="shared" si="59"/>
        <v>15.411298315163528</v>
      </c>
    </row>
    <row r="1862" spans="1:14" x14ac:dyDescent="0.45">
      <c r="A1862" s="30">
        <v>2023</v>
      </c>
      <c r="B1862" s="30" t="s">
        <v>17</v>
      </c>
      <c r="C1862" s="30" t="s">
        <v>46</v>
      </c>
      <c r="D1862" s="30" t="s">
        <v>47</v>
      </c>
      <c r="E1862" s="31" t="s">
        <v>142</v>
      </c>
      <c r="F1862" s="32" t="s">
        <v>57</v>
      </c>
      <c r="G1862" s="32" t="s">
        <v>50</v>
      </c>
      <c r="H1862" s="37">
        <v>107410</v>
      </c>
      <c r="I1862" s="34">
        <f>Table3[[#This Row],[Volume, kg.]]/1000</f>
        <v>107.41</v>
      </c>
      <c r="J1862" s="38">
        <v>0.2366</v>
      </c>
      <c r="K1862" s="34">
        <f t="shared" si="58"/>
        <v>25413.206000000002</v>
      </c>
      <c r="L1862" s="38">
        <v>3.18</v>
      </c>
      <c r="M1862" s="38">
        <v>341855</v>
      </c>
      <c r="N1862" s="34">
        <f t="shared" si="59"/>
        <v>13.440405748098057</v>
      </c>
    </row>
    <row r="1863" spans="1:14" x14ac:dyDescent="0.45">
      <c r="A1863" s="30">
        <v>2023</v>
      </c>
      <c r="B1863" s="30" t="s">
        <v>17</v>
      </c>
      <c r="C1863" s="30" t="s">
        <v>46</v>
      </c>
      <c r="D1863" s="30" t="s">
        <v>47</v>
      </c>
      <c r="E1863" s="31" t="s">
        <v>144</v>
      </c>
      <c r="F1863" s="32" t="s">
        <v>49</v>
      </c>
      <c r="G1863" s="32" t="s">
        <v>50</v>
      </c>
      <c r="H1863" s="37">
        <v>213620</v>
      </c>
      <c r="I1863" s="34">
        <f>Table3[[#This Row],[Volume, kg.]]/1000</f>
        <v>213.62</v>
      </c>
      <c r="J1863" s="38">
        <v>0.2291</v>
      </c>
      <c r="K1863" s="34">
        <f t="shared" si="58"/>
        <v>48940.341999999997</v>
      </c>
      <c r="L1863" s="38">
        <v>3.13</v>
      </c>
      <c r="M1863" s="38">
        <v>668897.5</v>
      </c>
      <c r="N1863" s="34">
        <f t="shared" si="59"/>
        <v>13.662156263640332</v>
      </c>
    </row>
    <row r="1864" spans="1:14" x14ac:dyDescent="0.45">
      <c r="A1864" s="30">
        <v>2023</v>
      </c>
      <c r="B1864" s="30" t="s">
        <v>17</v>
      </c>
      <c r="C1864" s="30" t="s">
        <v>46</v>
      </c>
      <c r="D1864" s="30" t="s">
        <v>47</v>
      </c>
      <c r="E1864" s="31" t="s">
        <v>511</v>
      </c>
      <c r="F1864" s="32" t="s">
        <v>60</v>
      </c>
      <c r="G1864" s="32" t="s">
        <v>50</v>
      </c>
      <c r="H1864" s="37">
        <v>20620</v>
      </c>
      <c r="I1864" s="34">
        <f>Table3[[#This Row],[Volume, kg.]]/1000</f>
        <v>20.62</v>
      </c>
      <c r="J1864" s="38">
        <v>0.23480000000000001</v>
      </c>
      <c r="K1864" s="34">
        <f t="shared" si="58"/>
        <v>4841.576</v>
      </c>
      <c r="L1864" s="38">
        <v>3.06</v>
      </c>
      <c r="M1864" s="38">
        <v>63072</v>
      </c>
      <c r="N1864" s="34">
        <f t="shared" si="59"/>
        <v>13.03236797274276</v>
      </c>
    </row>
    <row r="1865" spans="1:14" x14ac:dyDescent="0.45">
      <c r="A1865" s="30">
        <v>2023</v>
      </c>
      <c r="B1865" s="30" t="s">
        <v>17</v>
      </c>
      <c r="C1865" s="30" t="s">
        <v>46</v>
      </c>
      <c r="D1865" s="30" t="s">
        <v>47</v>
      </c>
      <c r="E1865" s="31" t="s">
        <v>146</v>
      </c>
      <c r="F1865" s="32" t="s">
        <v>64</v>
      </c>
      <c r="G1865" s="32" t="s">
        <v>50</v>
      </c>
      <c r="H1865" s="37">
        <v>32190</v>
      </c>
      <c r="I1865" s="34">
        <f>Table3[[#This Row],[Volume, kg.]]/1000</f>
        <v>32.19</v>
      </c>
      <c r="J1865" s="38">
        <v>0.2409</v>
      </c>
      <c r="K1865" s="34">
        <f t="shared" si="58"/>
        <v>7754.5709999999999</v>
      </c>
      <c r="L1865" s="38">
        <v>3.16</v>
      </c>
      <c r="M1865" s="38">
        <v>101577</v>
      </c>
      <c r="N1865" s="34">
        <f t="shared" si="59"/>
        <v>13.117476131174762</v>
      </c>
    </row>
    <row r="1866" spans="1:14" x14ac:dyDescent="0.45">
      <c r="A1866" s="30">
        <v>2023</v>
      </c>
      <c r="B1866" s="30" t="s">
        <v>17</v>
      </c>
      <c r="C1866" s="30" t="s">
        <v>46</v>
      </c>
      <c r="D1866" s="30" t="s">
        <v>47</v>
      </c>
      <c r="E1866" s="31" t="s">
        <v>351</v>
      </c>
      <c r="F1866" s="32" t="s">
        <v>49</v>
      </c>
      <c r="G1866" s="32" t="s">
        <v>50</v>
      </c>
      <c r="H1866" s="37">
        <v>70380</v>
      </c>
      <c r="I1866" s="34">
        <f>Table3[[#This Row],[Volume, kg.]]/1000</f>
        <v>70.38</v>
      </c>
      <c r="J1866" s="38">
        <v>0.22600000000000001</v>
      </c>
      <c r="K1866" s="34">
        <f t="shared" si="58"/>
        <v>15905.880000000001</v>
      </c>
      <c r="L1866" s="38">
        <v>3.09</v>
      </c>
      <c r="M1866" s="38">
        <v>217273.5</v>
      </c>
      <c r="N1866" s="34">
        <f t="shared" si="59"/>
        <v>13.672566371681414</v>
      </c>
    </row>
    <row r="1867" spans="1:14" x14ac:dyDescent="0.45">
      <c r="A1867" s="30">
        <v>2023</v>
      </c>
      <c r="B1867" s="30" t="s">
        <v>17</v>
      </c>
      <c r="C1867" s="30" t="s">
        <v>46</v>
      </c>
      <c r="D1867" s="30" t="s">
        <v>47</v>
      </c>
      <c r="E1867" s="31" t="s">
        <v>291</v>
      </c>
      <c r="F1867" s="32" t="s">
        <v>57</v>
      </c>
      <c r="G1867" s="32" t="s">
        <v>50</v>
      </c>
      <c r="H1867" s="37">
        <v>123480</v>
      </c>
      <c r="I1867" s="34">
        <f>Table3[[#This Row],[Volume, kg.]]/1000</f>
        <v>123.48</v>
      </c>
      <c r="J1867" s="38">
        <v>0.2482</v>
      </c>
      <c r="K1867" s="34">
        <f t="shared" si="58"/>
        <v>30647.736000000001</v>
      </c>
      <c r="L1867" s="38">
        <v>3.17</v>
      </c>
      <c r="M1867" s="38">
        <v>391394.5</v>
      </c>
      <c r="N1867" s="34">
        <f t="shared" si="59"/>
        <v>12.771958098307815</v>
      </c>
    </row>
    <row r="1868" spans="1:14" x14ac:dyDescent="0.45">
      <c r="A1868" s="30">
        <v>2023</v>
      </c>
      <c r="B1868" s="30" t="s">
        <v>17</v>
      </c>
      <c r="C1868" s="30" t="s">
        <v>46</v>
      </c>
      <c r="D1868" s="30" t="s">
        <v>47</v>
      </c>
      <c r="E1868" s="31" t="s">
        <v>147</v>
      </c>
      <c r="F1868" s="32" t="s">
        <v>57</v>
      </c>
      <c r="G1868" s="32" t="s">
        <v>50</v>
      </c>
      <c r="H1868" s="37">
        <v>85160</v>
      </c>
      <c r="I1868" s="34">
        <f>Table3[[#This Row],[Volume, kg.]]/1000</f>
        <v>85.16</v>
      </c>
      <c r="J1868" s="38">
        <v>0.23949999999999999</v>
      </c>
      <c r="K1868" s="34">
        <f t="shared" si="58"/>
        <v>20395.82</v>
      </c>
      <c r="L1868" s="38">
        <v>3.17</v>
      </c>
      <c r="M1868" s="38">
        <v>270288.5</v>
      </c>
      <c r="N1868" s="34">
        <f t="shared" si="59"/>
        <v>13.235908141962422</v>
      </c>
    </row>
    <row r="1869" spans="1:14" x14ac:dyDescent="0.45">
      <c r="A1869" s="30">
        <v>2023</v>
      </c>
      <c r="B1869" s="30" t="s">
        <v>17</v>
      </c>
      <c r="C1869" s="30" t="s">
        <v>46</v>
      </c>
      <c r="D1869" s="30" t="s">
        <v>102</v>
      </c>
      <c r="E1869" s="31" t="s">
        <v>437</v>
      </c>
      <c r="F1869" s="32" t="s">
        <v>49</v>
      </c>
      <c r="G1869" s="32" t="s">
        <v>50</v>
      </c>
      <c r="H1869" s="37">
        <v>1979150</v>
      </c>
      <c r="I1869" s="34">
        <f>Table3[[#This Row],[Volume, kg.]]/1000</f>
        <v>1979.15</v>
      </c>
      <c r="J1869" s="38">
        <v>0.22699999999999998</v>
      </c>
      <c r="K1869" s="34">
        <f t="shared" si="58"/>
        <v>449267.05</v>
      </c>
      <c r="L1869" s="38">
        <v>3.33</v>
      </c>
      <c r="M1869" s="38">
        <v>6589535</v>
      </c>
      <c r="N1869" s="34">
        <f t="shared" si="59"/>
        <v>14.669603524229077</v>
      </c>
    </row>
    <row r="1870" spans="1:14" x14ac:dyDescent="0.45">
      <c r="A1870" s="30">
        <v>2023</v>
      </c>
      <c r="B1870" s="30" t="s">
        <v>17</v>
      </c>
      <c r="C1870" s="30" t="s">
        <v>46</v>
      </c>
      <c r="D1870" s="30" t="s">
        <v>47</v>
      </c>
      <c r="E1870" s="31" t="s">
        <v>469</v>
      </c>
      <c r="F1870" s="32" t="s">
        <v>57</v>
      </c>
      <c r="G1870" s="32" t="s">
        <v>50</v>
      </c>
      <c r="H1870" s="37">
        <v>3210</v>
      </c>
      <c r="I1870" s="34">
        <f>Table3[[#This Row],[Volume, kg.]]/1000</f>
        <v>3.21</v>
      </c>
      <c r="J1870" s="38">
        <v>0.24050000000000002</v>
      </c>
      <c r="K1870" s="34">
        <f t="shared" si="58"/>
        <v>772.00500000000011</v>
      </c>
      <c r="L1870" s="38">
        <v>3.15</v>
      </c>
      <c r="M1870" s="38">
        <v>10111.5</v>
      </c>
      <c r="N1870" s="34">
        <f t="shared" si="59"/>
        <v>13.097713097713097</v>
      </c>
    </row>
    <row r="1871" spans="1:14" x14ac:dyDescent="0.45">
      <c r="A1871" s="30">
        <v>2023</v>
      </c>
      <c r="B1871" s="30" t="s">
        <v>17</v>
      </c>
      <c r="C1871" s="30" t="s">
        <v>46</v>
      </c>
      <c r="D1871" s="30" t="s">
        <v>47</v>
      </c>
      <c r="E1871" s="31" t="s">
        <v>148</v>
      </c>
      <c r="F1871" s="32" t="s">
        <v>49</v>
      </c>
      <c r="G1871" s="32" t="s">
        <v>50</v>
      </c>
      <c r="H1871" s="37">
        <v>3940</v>
      </c>
      <c r="I1871" s="34">
        <f>Table3[[#This Row],[Volume, kg.]]/1000</f>
        <v>3.94</v>
      </c>
      <c r="J1871" s="38">
        <v>0.22949999999999998</v>
      </c>
      <c r="K1871" s="34">
        <f t="shared" si="58"/>
        <v>904.2299999999999</v>
      </c>
      <c r="L1871" s="38">
        <v>3.15</v>
      </c>
      <c r="M1871" s="38">
        <v>12411</v>
      </c>
      <c r="N1871" s="34">
        <f t="shared" si="59"/>
        <v>13.725490196078432</v>
      </c>
    </row>
    <row r="1872" spans="1:14" x14ac:dyDescent="0.45">
      <c r="A1872" s="30">
        <v>2023</v>
      </c>
      <c r="B1872" s="30" t="s">
        <v>17</v>
      </c>
      <c r="C1872" s="30" t="s">
        <v>46</v>
      </c>
      <c r="D1872" s="30" t="s">
        <v>47</v>
      </c>
      <c r="E1872" s="31" t="s">
        <v>149</v>
      </c>
      <c r="F1872" s="32" t="s">
        <v>49</v>
      </c>
      <c r="G1872" s="32" t="s">
        <v>50</v>
      </c>
      <c r="H1872" s="37">
        <v>102680</v>
      </c>
      <c r="I1872" s="34">
        <f>Table3[[#This Row],[Volume, kg.]]/1000</f>
        <v>102.68</v>
      </c>
      <c r="J1872" s="38">
        <v>0.2505</v>
      </c>
      <c r="K1872" s="34">
        <f t="shared" si="58"/>
        <v>25721.34</v>
      </c>
      <c r="L1872" s="38">
        <v>3.21</v>
      </c>
      <c r="M1872" s="38">
        <v>329843.5</v>
      </c>
      <c r="N1872" s="34">
        <f t="shared" si="59"/>
        <v>12.81437125748503</v>
      </c>
    </row>
    <row r="1873" spans="1:14" x14ac:dyDescent="0.45">
      <c r="A1873" s="30">
        <v>2023</v>
      </c>
      <c r="B1873" s="30" t="s">
        <v>17</v>
      </c>
      <c r="C1873" s="30" t="s">
        <v>46</v>
      </c>
      <c r="D1873" s="30" t="s">
        <v>47</v>
      </c>
      <c r="E1873" s="31" t="s">
        <v>150</v>
      </c>
      <c r="F1873" s="32" t="s">
        <v>49</v>
      </c>
      <c r="G1873" s="32" t="s">
        <v>50</v>
      </c>
      <c r="H1873" s="37">
        <v>4120</v>
      </c>
      <c r="I1873" s="34">
        <f>Table3[[#This Row],[Volume, kg.]]/1000</f>
        <v>4.12</v>
      </c>
      <c r="J1873" s="38">
        <v>0.26050000000000001</v>
      </c>
      <c r="K1873" s="34">
        <f t="shared" si="58"/>
        <v>1073.26</v>
      </c>
      <c r="L1873" s="38">
        <v>3.3</v>
      </c>
      <c r="M1873" s="38">
        <v>13596</v>
      </c>
      <c r="N1873" s="34">
        <f t="shared" si="59"/>
        <v>12.667946257197695</v>
      </c>
    </row>
    <row r="1874" spans="1:14" x14ac:dyDescent="0.45">
      <c r="A1874" s="30">
        <v>2023</v>
      </c>
      <c r="B1874" s="30" t="s">
        <v>17</v>
      </c>
      <c r="C1874" s="30" t="s">
        <v>46</v>
      </c>
      <c r="D1874" s="30" t="s">
        <v>47</v>
      </c>
      <c r="E1874" s="31" t="s">
        <v>151</v>
      </c>
      <c r="F1874" s="32" t="s">
        <v>60</v>
      </c>
      <c r="G1874" s="32" t="s">
        <v>50</v>
      </c>
      <c r="H1874" s="37">
        <v>22750</v>
      </c>
      <c r="I1874" s="34">
        <f>Table3[[#This Row],[Volume, kg.]]/1000</f>
        <v>22.75</v>
      </c>
      <c r="J1874" s="38">
        <v>0.25670000000000004</v>
      </c>
      <c r="K1874" s="34">
        <f t="shared" si="58"/>
        <v>5839.9250000000011</v>
      </c>
      <c r="L1874" s="38">
        <v>3.23</v>
      </c>
      <c r="M1874" s="38">
        <v>73490.5</v>
      </c>
      <c r="N1874" s="34">
        <f t="shared" si="59"/>
        <v>12.58278145695364</v>
      </c>
    </row>
    <row r="1875" spans="1:14" x14ac:dyDescent="0.45">
      <c r="A1875" s="30">
        <v>2023</v>
      </c>
      <c r="B1875" s="30" t="s">
        <v>17</v>
      </c>
      <c r="C1875" s="30" t="s">
        <v>46</v>
      </c>
      <c r="D1875" s="30" t="s">
        <v>47</v>
      </c>
      <c r="E1875" s="31" t="s">
        <v>152</v>
      </c>
      <c r="F1875" s="32" t="s">
        <v>60</v>
      </c>
      <c r="G1875" s="32" t="s">
        <v>50</v>
      </c>
      <c r="H1875" s="37">
        <v>1660</v>
      </c>
      <c r="I1875" s="34">
        <f>Table3[[#This Row],[Volume, kg.]]/1000</f>
        <v>1.66</v>
      </c>
      <c r="J1875" s="38">
        <v>0.17600000000000002</v>
      </c>
      <c r="K1875" s="34">
        <f t="shared" si="58"/>
        <v>292.16000000000003</v>
      </c>
      <c r="L1875" s="38">
        <v>2.95</v>
      </c>
      <c r="M1875" s="38">
        <v>4897</v>
      </c>
      <c r="N1875" s="34">
        <f t="shared" si="59"/>
        <v>16.761363636363637</v>
      </c>
    </row>
    <row r="1876" spans="1:14" x14ac:dyDescent="0.45">
      <c r="A1876" s="30">
        <v>2023</v>
      </c>
      <c r="B1876" s="30" t="s">
        <v>17</v>
      </c>
      <c r="C1876" s="30" t="s">
        <v>46</v>
      </c>
      <c r="D1876" s="30" t="s">
        <v>47</v>
      </c>
      <c r="E1876" s="31" t="s">
        <v>352</v>
      </c>
      <c r="F1876" s="32" t="s">
        <v>54</v>
      </c>
      <c r="G1876" s="32" t="s">
        <v>50</v>
      </c>
      <c r="H1876" s="37">
        <v>117210</v>
      </c>
      <c r="I1876" s="34">
        <f>Table3[[#This Row],[Volume, kg.]]/1000</f>
        <v>117.21</v>
      </c>
      <c r="J1876" s="38">
        <v>0.21379999999999999</v>
      </c>
      <c r="K1876" s="34">
        <f t="shared" si="58"/>
        <v>25059.498</v>
      </c>
      <c r="L1876" s="38">
        <v>3.02</v>
      </c>
      <c r="M1876" s="38">
        <v>354323</v>
      </c>
      <c r="N1876" s="34">
        <f t="shared" si="59"/>
        <v>14.125350795135642</v>
      </c>
    </row>
    <row r="1877" spans="1:14" x14ac:dyDescent="0.45">
      <c r="A1877" s="30">
        <v>2023</v>
      </c>
      <c r="B1877" s="30" t="s">
        <v>17</v>
      </c>
      <c r="C1877" s="30" t="s">
        <v>46</v>
      </c>
      <c r="D1877" s="30" t="s">
        <v>47</v>
      </c>
      <c r="E1877" s="31" t="s">
        <v>154</v>
      </c>
      <c r="F1877" s="32" t="s">
        <v>60</v>
      </c>
      <c r="G1877" s="32" t="s">
        <v>50</v>
      </c>
      <c r="H1877" s="37">
        <v>3970</v>
      </c>
      <c r="I1877" s="34">
        <f>Table3[[#This Row],[Volume, kg.]]/1000</f>
        <v>3.97</v>
      </c>
      <c r="J1877" s="38">
        <v>0.22399999999999998</v>
      </c>
      <c r="K1877" s="34">
        <f t="shared" si="58"/>
        <v>889.27999999999986</v>
      </c>
      <c r="L1877" s="38">
        <v>3.15</v>
      </c>
      <c r="M1877" s="38">
        <v>12505.5</v>
      </c>
      <c r="N1877" s="34">
        <f t="shared" si="59"/>
        <v>14.062500000000002</v>
      </c>
    </row>
    <row r="1878" spans="1:14" x14ac:dyDescent="0.45">
      <c r="A1878" s="30">
        <v>2023</v>
      </c>
      <c r="B1878" s="30" t="s">
        <v>17</v>
      </c>
      <c r="C1878" s="30" t="s">
        <v>46</v>
      </c>
      <c r="D1878" s="30" t="s">
        <v>47</v>
      </c>
      <c r="E1878" s="31" t="s">
        <v>155</v>
      </c>
      <c r="F1878" s="32" t="s">
        <v>64</v>
      </c>
      <c r="G1878" s="32" t="s">
        <v>50</v>
      </c>
      <c r="H1878" s="37">
        <v>34160</v>
      </c>
      <c r="I1878" s="34">
        <f>Table3[[#This Row],[Volume, kg.]]/1000</f>
        <v>34.159999999999997</v>
      </c>
      <c r="J1878" s="38">
        <v>0.2036</v>
      </c>
      <c r="K1878" s="34">
        <f t="shared" si="58"/>
        <v>6954.9759999999997</v>
      </c>
      <c r="L1878" s="38">
        <v>3.18</v>
      </c>
      <c r="M1878" s="38">
        <v>108543</v>
      </c>
      <c r="N1878" s="34">
        <f t="shared" si="59"/>
        <v>15.618860510805501</v>
      </c>
    </row>
    <row r="1879" spans="1:14" x14ac:dyDescent="0.45">
      <c r="A1879" s="30">
        <v>2023</v>
      </c>
      <c r="B1879" s="30" t="s">
        <v>17</v>
      </c>
      <c r="C1879" s="30" t="s">
        <v>46</v>
      </c>
      <c r="D1879" s="30" t="s">
        <v>47</v>
      </c>
      <c r="E1879" s="31" t="s">
        <v>293</v>
      </c>
      <c r="F1879" s="32" t="s">
        <v>60</v>
      </c>
      <c r="G1879" s="32" t="s">
        <v>50</v>
      </c>
      <c r="H1879" s="37">
        <v>59550</v>
      </c>
      <c r="I1879" s="34">
        <f>Table3[[#This Row],[Volume, kg.]]/1000</f>
        <v>59.55</v>
      </c>
      <c r="J1879" s="38">
        <v>0.25929999999999997</v>
      </c>
      <c r="K1879" s="34">
        <f t="shared" si="58"/>
        <v>15441.314999999999</v>
      </c>
      <c r="L1879" s="38">
        <v>3.26</v>
      </c>
      <c r="M1879" s="38">
        <v>193900.5</v>
      </c>
      <c r="N1879" s="34">
        <f t="shared" si="59"/>
        <v>12.572310065561126</v>
      </c>
    </row>
    <row r="1880" spans="1:14" x14ac:dyDescent="0.45">
      <c r="A1880" s="30">
        <v>2023</v>
      </c>
      <c r="B1880" s="30" t="s">
        <v>17</v>
      </c>
      <c r="C1880" s="30" t="s">
        <v>46</v>
      </c>
      <c r="D1880" s="30" t="s">
        <v>102</v>
      </c>
      <c r="E1880" s="31" t="s">
        <v>396</v>
      </c>
      <c r="F1880" s="32" t="s">
        <v>397</v>
      </c>
      <c r="G1880" s="32" t="s">
        <v>105</v>
      </c>
      <c r="H1880" s="37">
        <v>1550</v>
      </c>
      <c r="I1880" s="34">
        <f>Table3[[#This Row],[Volume, kg.]]/1000</f>
        <v>1.55</v>
      </c>
      <c r="J1880" s="38">
        <v>0.23149999999999998</v>
      </c>
      <c r="K1880" s="34">
        <f t="shared" si="58"/>
        <v>358.82499999999999</v>
      </c>
      <c r="L1880" s="38">
        <v>3.4</v>
      </c>
      <c r="M1880" s="38">
        <v>5270</v>
      </c>
      <c r="N1880" s="34">
        <f t="shared" si="59"/>
        <v>14.686825053995682</v>
      </c>
    </row>
    <row r="1881" spans="1:14" x14ac:dyDescent="0.45">
      <c r="A1881" s="30">
        <v>2023</v>
      </c>
      <c r="B1881" s="30" t="s">
        <v>17</v>
      </c>
      <c r="C1881" s="30" t="s">
        <v>46</v>
      </c>
      <c r="D1881" s="30" t="s">
        <v>102</v>
      </c>
      <c r="E1881" s="31" t="s">
        <v>295</v>
      </c>
      <c r="F1881" s="32" t="s">
        <v>127</v>
      </c>
      <c r="G1881" s="32" t="s">
        <v>128</v>
      </c>
      <c r="H1881" s="37">
        <v>28020</v>
      </c>
      <c r="I1881" s="34">
        <f>Table3[[#This Row],[Volume, kg.]]/1000</f>
        <v>28.02</v>
      </c>
      <c r="J1881" s="38">
        <v>0.19800000000000001</v>
      </c>
      <c r="K1881" s="34">
        <f t="shared" si="58"/>
        <v>5547.96</v>
      </c>
      <c r="L1881" s="38">
        <v>3.3</v>
      </c>
      <c r="M1881" s="38">
        <v>92466</v>
      </c>
      <c r="N1881" s="34">
        <f t="shared" si="59"/>
        <v>16.666666666666664</v>
      </c>
    </row>
    <row r="1882" spans="1:14" x14ac:dyDescent="0.45">
      <c r="A1882" s="30">
        <v>2023</v>
      </c>
      <c r="B1882" s="30" t="s">
        <v>17</v>
      </c>
      <c r="C1882" s="30" t="s">
        <v>46</v>
      </c>
      <c r="D1882" s="30" t="s">
        <v>47</v>
      </c>
      <c r="E1882" s="31" t="s">
        <v>296</v>
      </c>
      <c r="F1882" s="32" t="s">
        <v>60</v>
      </c>
      <c r="G1882" s="32" t="s">
        <v>50</v>
      </c>
      <c r="H1882" s="37">
        <v>11010</v>
      </c>
      <c r="I1882" s="34">
        <f>Table3[[#This Row],[Volume, kg.]]/1000</f>
        <v>11.01</v>
      </c>
      <c r="J1882" s="38">
        <v>0.24340000000000001</v>
      </c>
      <c r="K1882" s="34">
        <f t="shared" si="58"/>
        <v>2679.8339999999998</v>
      </c>
      <c r="L1882" s="38">
        <v>3.05</v>
      </c>
      <c r="M1882" s="38">
        <v>33610.5</v>
      </c>
      <c r="N1882" s="34">
        <f t="shared" si="59"/>
        <v>12.530813475760064</v>
      </c>
    </row>
    <row r="1883" spans="1:14" x14ac:dyDescent="0.45">
      <c r="A1883" s="30">
        <v>2023</v>
      </c>
      <c r="B1883" s="30" t="s">
        <v>17</v>
      </c>
      <c r="C1883" s="30" t="s">
        <v>46</v>
      </c>
      <c r="D1883" s="30" t="s">
        <v>102</v>
      </c>
      <c r="E1883" s="31" t="s">
        <v>157</v>
      </c>
      <c r="F1883" s="32" t="s">
        <v>127</v>
      </c>
      <c r="G1883" s="32" t="s">
        <v>128</v>
      </c>
      <c r="H1883" s="37">
        <v>410</v>
      </c>
      <c r="I1883" s="34">
        <f>Table3[[#This Row],[Volume, kg.]]/1000</f>
        <v>0.41</v>
      </c>
      <c r="J1883" s="38">
        <v>0.18899999999999997</v>
      </c>
      <c r="K1883" s="34">
        <f t="shared" si="58"/>
        <v>77.489999999999995</v>
      </c>
      <c r="L1883" s="38">
        <v>2.95</v>
      </c>
      <c r="M1883" s="38">
        <v>1209.5</v>
      </c>
      <c r="N1883" s="34">
        <f t="shared" si="59"/>
        <v>15.608465608465611</v>
      </c>
    </row>
    <row r="1884" spans="1:14" x14ac:dyDescent="0.45">
      <c r="A1884" s="30">
        <v>2023</v>
      </c>
      <c r="B1884" s="30" t="s">
        <v>17</v>
      </c>
      <c r="C1884" s="30" t="s">
        <v>46</v>
      </c>
      <c r="D1884" s="30" t="s">
        <v>47</v>
      </c>
      <c r="E1884" s="31" t="s">
        <v>539</v>
      </c>
      <c r="F1884" s="32" t="s">
        <v>57</v>
      </c>
      <c r="G1884" s="32" t="s">
        <v>50</v>
      </c>
      <c r="H1884" s="37">
        <v>43630</v>
      </c>
      <c r="I1884" s="34">
        <f>Table3[[#This Row],[Volume, kg.]]/1000</f>
        <v>43.63</v>
      </c>
      <c r="J1884" s="38">
        <v>0.2273</v>
      </c>
      <c r="K1884" s="34">
        <f t="shared" si="58"/>
        <v>9917.0990000000002</v>
      </c>
      <c r="L1884" s="38">
        <v>3.45</v>
      </c>
      <c r="M1884" s="38">
        <v>150453</v>
      </c>
      <c r="N1884" s="34">
        <f t="shared" si="59"/>
        <v>15.178178618565772</v>
      </c>
    </row>
    <row r="1885" spans="1:14" x14ac:dyDescent="0.45">
      <c r="A1885" s="30">
        <v>2023</v>
      </c>
      <c r="B1885" s="30" t="s">
        <v>17</v>
      </c>
      <c r="C1885" s="30" t="s">
        <v>46</v>
      </c>
      <c r="D1885" s="30" t="s">
        <v>47</v>
      </c>
      <c r="E1885" s="31" t="s">
        <v>159</v>
      </c>
      <c r="F1885" s="32" t="s">
        <v>81</v>
      </c>
      <c r="G1885" s="32" t="s">
        <v>50</v>
      </c>
      <c r="H1885" s="37">
        <v>110730</v>
      </c>
      <c r="I1885" s="34">
        <f>Table3[[#This Row],[Volume, kg.]]/1000</f>
        <v>110.73</v>
      </c>
      <c r="J1885" s="38">
        <v>0.22519999999999998</v>
      </c>
      <c r="K1885" s="34">
        <f t="shared" si="58"/>
        <v>24936.395999999997</v>
      </c>
      <c r="L1885" s="38">
        <v>3.24</v>
      </c>
      <c r="M1885" s="38">
        <v>358590.5</v>
      </c>
      <c r="N1885" s="34">
        <f t="shared" si="59"/>
        <v>14.387211367673181</v>
      </c>
    </row>
    <row r="1886" spans="1:14" x14ac:dyDescent="0.45">
      <c r="A1886" s="30">
        <v>2023</v>
      </c>
      <c r="B1886" s="30" t="s">
        <v>17</v>
      </c>
      <c r="C1886" s="30" t="s">
        <v>46</v>
      </c>
      <c r="D1886" s="30" t="s">
        <v>47</v>
      </c>
      <c r="E1886" s="31" t="s">
        <v>407</v>
      </c>
      <c r="F1886" s="32" t="s">
        <v>49</v>
      </c>
      <c r="G1886" s="32" t="s">
        <v>50</v>
      </c>
      <c r="H1886" s="37">
        <v>18260</v>
      </c>
      <c r="I1886" s="34">
        <f>Table3[[#This Row],[Volume, kg.]]/1000</f>
        <v>18.260000000000002</v>
      </c>
      <c r="J1886" s="38">
        <v>0.24329999999999999</v>
      </c>
      <c r="K1886" s="34">
        <f t="shared" si="58"/>
        <v>4442.6579999999994</v>
      </c>
      <c r="L1886" s="38">
        <v>3.12</v>
      </c>
      <c r="M1886" s="38">
        <v>56985</v>
      </c>
      <c r="N1886" s="34">
        <f t="shared" si="59"/>
        <v>12.823674475955611</v>
      </c>
    </row>
    <row r="1887" spans="1:14" x14ac:dyDescent="0.45">
      <c r="A1887" s="30">
        <v>2023</v>
      </c>
      <c r="B1887" s="30" t="s">
        <v>17</v>
      </c>
      <c r="C1887" s="30" t="s">
        <v>46</v>
      </c>
      <c r="D1887" s="30" t="s">
        <v>47</v>
      </c>
      <c r="E1887" s="31" t="s">
        <v>162</v>
      </c>
      <c r="F1887" s="32" t="s">
        <v>49</v>
      </c>
      <c r="G1887" s="32" t="s">
        <v>50</v>
      </c>
      <c r="H1887" s="37">
        <v>6020</v>
      </c>
      <c r="I1887" s="34">
        <f>Table3[[#This Row],[Volume, kg.]]/1000</f>
        <v>6.02</v>
      </c>
      <c r="J1887" s="38">
        <v>0.19600000000000001</v>
      </c>
      <c r="K1887" s="34">
        <f t="shared" si="58"/>
        <v>1179.92</v>
      </c>
      <c r="L1887" s="38">
        <v>3</v>
      </c>
      <c r="M1887" s="38">
        <v>18059</v>
      </c>
      <c r="N1887" s="34">
        <f t="shared" si="59"/>
        <v>15.306122448979592</v>
      </c>
    </row>
    <row r="1888" spans="1:14" x14ac:dyDescent="0.45">
      <c r="A1888" s="30">
        <v>2023</v>
      </c>
      <c r="B1888" s="30" t="s">
        <v>17</v>
      </c>
      <c r="C1888" s="30" t="s">
        <v>46</v>
      </c>
      <c r="D1888" s="30" t="s">
        <v>47</v>
      </c>
      <c r="E1888" s="31" t="s">
        <v>163</v>
      </c>
      <c r="F1888" s="32" t="s">
        <v>60</v>
      </c>
      <c r="G1888" s="32" t="s">
        <v>50</v>
      </c>
      <c r="H1888" s="37">
        <v>86160</v>
      </c>
      <c r="I1888" s="34">
        <f>Table3[[#This Row],[Volume, kg.]]/1000</f>
        <v>86.16</v>
      </c>
      <c r="J1888" s="38">
        <v>0.25469999999999998</v>
      </c>
      <c r="K1888" s="34">
        <f t="shared" si="58"/>
        <v>21944.951999999997</v>
      </c>
      <c r="L1888" s="38">
        <v>3.21</v>
      </c>
      <c r="M1888" s="38">
        <v>276290.5</v>
      </c>
      <c r="N1888" s="34">
        <f t="shared" si="59"/>
        <v>12.603062426383982</v>
      </c>
    </row>
    <row r="1889" spans="1:14" x14ac:dyDescent="0.45">
      <c r="A1889" s="30">
        <v>2023</v>
      </c>
      <c r="B1889" s="30" t="s">
        <v>17</v>
      </c>
      <c r="C1889" s="30" t="s">
        <v>46</v>
      </c>
      <c r="D1889" s="30" t="s">
        <v>47</v>
      </c>
      <c r="E1889" s="31" t="s">
        <v>354</v>
      </c>
      <c r="F1889" s="32" t="s">
        <v>60</v>
      </c>
      <c r="G1889" s="32" t="s">
        <v>50</v>
      </c>
      <c r="H1889" s="37">
        <v>7360</v>
      </c>
      <c r="I1889" s="34">
        <f>Table3[[#This Row],[Volume, kg.]]/1000</f>
        <v>7.36</v>
      </c>
      <c r="J1889" s="38">
        <v>0.248</v>
      </c>
      <c r="K1889" s="34">
        <f t="shared" si="58"/>
        <v>1825.28</v>
      </c>
      <c r="L1889" s="38">
        <v>3.15</v>
      </c>
      <c r="M1889" s="38">
        <v>23164</v>
      </c>
      <c r="N1889" s="34">
        <f t="shared" si="59"/>
        <v>12.701612903225806</v>
      </c>
    </row>
    <row r="1890" spans="1:14" x14ac:dyDescent="0.45">
      <c r="A1890" s="30">
        <v>2023</v>
      </c>
      <c r="B1890" s="30" t="s">
        <v>17</v>
      </c>
      <c r="C1890" s="30" t="s">
        <v>46</v>
      </c>
      <c r="D1890" s="30" t="s">
        <v>47</v>
      </c>
      <c r="E1890" s="31" t="s">
        <v>164</v>
      </c>
      <c r="F1890" s="32" t="s">
        <v>49</v>
      </c>
      <c r="G1890" s="32" t="s">
        <v>50</v>
      </c>
      <c r="H1890" s="37">
        <v>57870</v>
      </c>
      <c r="I1890" s="34">
        <f>Table3[[#This Row],[Volume, kg.]]/1000</f>
        <v>57.87</v>
      </c>
      <c r="J1890" s="38">
        <v>0.25730000000000003</v>
      </c>
      <c r="K1890" s="34">
        <f t="shared" si="58"/>
        <v>14889.951000000001</v>
      </c>
      <c r="L1890" s="38">
        <v>3.39</v>
      </c>
      <c r="M1890" s="38">
        <v>196317.5</v>
      </c>
      <c r="N1890" s="34">
        <f t="shared" si="59"/>
        <v>13.17528177225029</v>
      </c>
    </row>
    <row r="1891" spans="1:14" x14ac:dyDescent="0.45">
      <c r="A1891" s="30">
        <v>2023</v>
      </c>
      <c r="B1891" s="30" t="s">
        <v>17</v>
      </c>
      <c r="C1891" s="30" t="s">
        <v>46</v>
      </c>
      <c r="D1891" s="30" t="s">
        <v>47</v>
      </c>
      <c r="E1891" s="31" t="s">
        <v>165</v>
      </c>
      <c r="F1891" s="32" t="s">
        <v>57</v>
      </c>
      <c r="G1891" s="32" t="s">
        <v>50</v>
      </c>
      <c r="H1891" s="37">
        <v>25250</v>
      </c>
      <c r="I1891" s="34">
        <f>Table3[[#This Row],[Volume, kg.]]/1000</f>
        <v>25.25</v>
      </c>
      <c r="J1891" s="38">
        <v>0.2515</v>
      </c>
      <c r="K1891" s="34">
        <f t="shared" si="58"/>
        <v>6350.375</v>
      </c>
      <c r="L1891" s="38">
        <v>3.6</v>
      </c>
      <c r="M1891" s="38">
        <v>90955</v>
      </c>
      <c r="N1891" s="34">
        <f t="shared" si="59"/>
        <v>14.314115308151093</v>
      </c>
    </row>
    <row r="1892" spans="1:14" x14ac:dyDescent="0.45">
      <c r="A1892" s="30">
        <v>2023</v>
      </c>
      <c r="B1892" s="30" t="s">
        <v>17</v>
      </c>
      <c r="C1892" s="30" t="s">
        <v>46</v>
      </c>
      <c r="D1892" s="30" t="s">
        <v>47</v>
      </c>
      <c r="E1892" s="31" t="s">
        <v>166</v>
      </c>
      <c r="F1892" s="32" t="s">
        <v>49</v>
      </c>
      <c r="G1892" s="32" t="s">
        <v>50</v>
      </c>
      <c r="H1892" s="37">
        <v>80650</v>
      </c>
      <c r="I1892" s="34">
        <f>Table3[[#This Row],[Volume, kg.]]/1000</f>
        <v>80.650000000000006</v>
      </c>
      <c r="J1892" s="38">
        <v>0.22719999999999999</v>
      </c>
      <c r="K1892" s="34">
        <f t="shared" si="58"/>
        <v>18323.68</v>
      </c>
      <c r="L1892" s="38">
        <v>3.06</v>
      </c>
      <c r="M1892" s="38">
        <v>246960</v>
      </c>
      <c r="N1892" s="34">
        <f t="shared" si="59"/>
        <v>13.46830985915493</v>
      </c>
    </row>
    <row r="1893" spans="1:14" x14ac:dyDescent="0.45">
      <c r="A1893" s="30">
        <v>2023</v>
      </c>
      <c r="B1893" s="30" t="s">
        <v>17</v>
      </c>
      <c r="C1893" s="30" t="s">
        <v>46</v>
      </c>
      <c r="D1893" s="30" t="s">
        <v>47</v>
      </c>
      <c r="E1893" s="31" t="s">
        <v>167</v>
      </c>
      <c r="F1893" s="32" t="s">
        <v>49</v>
      </c>
      <c r="G1893" s="32" t="s">
        <v>50</v>
      </c>
      <c r="H1893" s="37">
        <v>155190</v>
      </c>
      <c r="I1893" s="34">
        <f>Table3[[#This Row],[Volume, kg.]]/1000</f>
        <v>155.19</v>
      </c>
      <c r="J1893" s="38">
        <v>0.23829999999999998</v>
      </c>
      <c r="K1893" s="34">
        <f t="shared" si="58"/>
        <v>36981.776999999995</v>
      </c>
      <c r="L1893" s="38">
        <v>3.18</v>
      </c>
      <c r="M1893" s="38">
        <v>493265</v>
      </c>
      <c r="N1893" s="34">
        <f t="shared" si="59"/>
        <v>13.344523709609737</v>
      </c>
    </row>
    <row r="1894" spans="1:14" x14ac:dyDescent="0.45">
      <c r="A1894" s="30">
        <v>2023</v>
      </c>
      <c r="B1894" s="30" t="s">
        <v>17</v>
      </c>
      <c r="C1894" s="30" t="s">
        <v>46</v>
      </c>
      <c r="D1894" s="30" t="s">
        <v>47</v>
      </c>
      <c r="E1894" s="31" t="s">
        <v>170</v>
      </c>
      <c r="F1894" s="32" t="s">
        <v>49</v>
      </c>
      <c r="G1894" s="32" t="s">
        <v>50</v>
      </c>
      <c r="H1894" s="37">
        <v>27640</v>
      </c>
      <c r="I1894" s="34">
        <f>Table3[[#This Row],[Volume, kg.]]/1000</f>
        <v>27.64</v>
      </c>
      <c r="J1894" s="38">
        <v>0.24280000000000002</v>
      </c>
      <c r="K1894" s="34">
        <f t="shared" si="58"/>
        <v>6710.9920000000002</v>
      </c>
      <c r="L1894" s="38">
        <v>3.15</v>
      </c>
      <c r="M1894" s="38">
        <v>87189</v>
      </c>
      <c r="N1894" s="34">
        <f t="shared" si="59"/>
        <v>12.973640856672157</v>
      </c>
    </row>
    <row r="1895" spans="1:14" x14ac:dyDescent="0.45">
      <c r="A1895" s="30">
        <v>2023</v>
      </c>
      <c r="B1895" s="30" t="s">
        <v>17</v>
      </c>
      <c r="C1895" s="30" t="s">
        <v>46</v>
      </c>
      <c r="D1895" s="30" t="s">
        <v>47</v>
      </c>
      <c r="E1895" s="31" t="s">
        <v>171</v>
      </c>
      <c r="F1895" s="32" t="s">
        <v>49</v>
      </c>
      <c r="G1895" s="32" t="s">
        <v>50</v>
      </c>
      <c r="H1895" s="37">
        <v>16990</v>
      </c>
      <c r="I1895" s="34">
        <f>Table3[[#This Row],[Volume, kg.]]/1000</f>
        <v>16.989999999999998</v>
      </c>
      <c r="J1895" s="38">
        <v>0.2213</v>
      </c>
      <c r="K1895" s="34">
        <f t="shared" si="58"/>
        <v>3759.8870000000002</v>
      </c>
      <c r="L1895" s="38">
        <v>3.1</v>
      </c>
      <c r="M1895" s="38">
        <v>52713.5</v>
      </c>
      <c r="N1895" s="34">
        <f t="shared" si="59"/>
        <v>14.008133755083598</v>
      </c>
    </row>
    <row r="1896" spans="1:14" x14ac:dyDescent="0.45">
      <c r="A1896" s="30">
        <v>2023</v>
      </c>
      <c r="B1896" s="30" t="s">
        <v>17</v>
      </c>
      <c r="C1896" s="30" t="s">
        <v>46</v>
      </c>
      <c r="D1896" s="30" t="s">
        <v>47</v>
      </c>
      <c r="E1896" s="31" t="s">
        <v>172</v>
      </c>
      <c r="F1896" s="32" t="s">
        <v>57</v>
      </c>
      <c r="G1896" s="32" t="s">
        <v>50</v>
      </c>
      <c r="H1896" s="37">
        <v>16700</v>
      </c>
      <c r="I1896" s="34">
        <f>Table3[[#This Row],[Volume, kg.]]/1000</f>
        <v>16.7</v>
      </c>
      <c r="J1896" s="38">
        <v>0.20519999999999999</v>
      </c>
      <c r="K1896" s="34">
        <f t="shared" si="58"/>
        <v>3426.8399999999997</v>
      </c>
      <c r="L1896" s="38">
        <v>2.99</v>
      </c>
      <c r="M1896" s="38">
        <v>49854.5</v>
      </c>
      <c r="N1896" s="34">
        <f t="shared" si="59"/>
        <v>14.571150097465889</v>
      </c>
    </row>
    <row r="1897" spans="1:14" x14ac:dyDescent="0.45">
      <c r="A1897" s="30">
        <v>2023</v>
      </c>
      <c r="B1897" s="30" t="s">
        <v>17</v>
      </c>
      <c r="C1897" s="30" t="s">
        <v>46</v>
      </c>
      <c r="D1897" s="30" t="s">
        <v>47</v>
      </c>
      <c r="E1897" s="31" t="s">
        <v>174</v>
      </c>
      <c r="F1897" s="32" t="s">
        <v>57</v>
      </c>
      <c r="G1897" s="32" t="s">
        <v>50</v>
      </c>
      <c r="H1897" s="37">
        <v>4420</v>
      </c>
      <c r="I1897" s="34">
        <f>Table3[[#This Row],[Volume, kg.]]/1000</f>
        <v>4.42</v>
      </c>
      <c r="J1897" s="38">
        <v>0.27600000000000002</v>
      </c>
      <c r="K1897" s="34">
        <f t="shared" si="58"/>
        <v>1219.92</v>
      </c>
      <c r="L1897" s="38">
        <v>3.45</v>
      </c>
      <c r="M1897" s="38">
        <v>15249</v>
      </c>
      <c r="N1897" s="34">
        <f t="shared" si="59"/>
        <v>12.5</v>
      </c>
    </row>
    <row r="1898" spans="1:14" x14ac:dyDescent="0.45">
      <c r="A1898" s="30">
        <v>2023</v>
      </c>
      <c r="B1898" s="30" t="s">
        <v>17</v>
      </c>
      <c r="C1898" s="30" t="s">
        <v>46</v>
      </c>
      <c r="D1898" s="30" t="s">
        <v>47</v>
      </c>
      <c r="E1898" s="31" t="s">
        <v>176</v>
      </c>
      <c r="F1898" s="32" t="s">
        <v>49</v>
      </c>
      <c r="G1898" s="32" t="s">
        <v>50</v>
      </c>
      <c r="H1898" s="37">
        <v>71720</v>
      </c>
      <c r="I1898" s="34">
        <f>Table3[[#This Row],[Volume, kg.]]/1000</f>
        <v>71.72</v>
      </c>
      <c r="J1898" s="38">
        <v>0.26569999999999999</v>
      </c>
      <c r="K1898" s="34">
        <f t="shared" si="58"/>
        <v>19056.004000000001</v>
      </c>
      <c r="L1898" s="38">
        <v>3.38</v>
      </c>
      <c r="M1898" s="38">
        <v>242662</v>
      </c>
      <c r="N1898" s="34">
        <f t="shared" si="59"/>
        <v>12.72111403838916</v>
      </c>
    </row>
    <row r="1899" spans="1:14" x14ac:dyDescent="0.45">
      <c r="A1899" s="30">
        <v>2023</v>
      </c>
      <c r="B1899" s="30" t="s">
        <v>17</v>
      </c>
      <c r="C1899" s="30" t="s">
        <v>46</v>
      </c>
      <c r="D1899" s="30" t="s">
        <v>47</v>
      </c>
      <c r="E1899" s="31" t="s">
        <v>177</v>
      </c>
      <c r="F1899" s="32" t="s">
        <v>49</v>
      </c>
      <c r="G1899" s="32" t="s">
        <v>50</v>
      </c>
      <c r="H1899" s="37">
        <v>34460</v>
      </c>
      <c r="I1899" s="34">
        <f>Table3[[#This Row],[Volume, kg.]]/1000</f>
        <v>34.46</v>
      </c>
      <c r="J1899" s="38">
        <v>0.2107</v>
      </c>
      <c r="K1899" s="34">
        <f t="shared" si="58"/>
        <v>7260.7219999999998</v>
      </c>
      <c r="L1899" s="38">
        <v>3.03</v>
      </c>
      <c r="M1899" s="38">
        <v>104348.5</v>
      </c>
      <c r="N1899" s="34">
        <f t="shared" si="59"/>
        <v>14.380635975320359</v>
      </c>
    </row>
    <row r="1900" spans="1:14" x14ac:dyDescent="0.45">
      <c r="A1900" s="30">
        <v>2023</v>
      </c>
      <c r="B1900" s="30" t="s">
        <v>17</v>
      </c>
      <c r="C1900" s="30" t="s">
        <v>46</v>
      </c>
      <c r="D1900" s="30" t="s">
        <v>47</v>
      </c>
      <c r="E1900" s="31" t="s">
        <v>178</v>
      </c>
      <c r="F1900" s="32" t="s">
        <v>49</v>
      </c>
      <c r="G1900" s="32" t="s">
        <v>50</v>
      </c>
      <c r="H1900" s="37">
        <v>35270</v>
      </c>
      <c r="I1900" s="34">
        <f>Table3[[#This Row],[Volume, kg.]]/1000</f>
        <v>35.270000000000003</v>
      </c>
      <c r="J1900" s="38">
        <v>0.25009999999999999</v>
      </c>
      <c r="K1900" s="34">
        <f t="shared" si="58"/>
        <v>8821.027</v>
      </c>
      <c r="L1900" s="38">
        <v>3.32</v>
      </c>
      <c r="M1900" s="38">
        <v>117009</v>
      </c>
      <c r="N1900" s="34">
        <f t="shared" si="59"/>
        <v>13.274690123950419</v>
      </c>
    </row>
    <row r="1901" spans="1:14" x14ac:dyDescent="0.45">
      <c r="A1901" s="30">
        <v>2023</v>
      </c>
      <c r="B1901" s="30" t="s">
        <v>17</v>
      </c>
      <c r="C1901" s="30" t="s">
        <v>46</v>
      </c>
      <c r="D1901" s="30" t="s">
        <v>47</v>
      </c>
      <c r="E1901" s="31" t="s">
        <v>179</v>
      </c>
      <c r="F1901" s="32" t="s">
        <v>60</v>
      </c>
      <c r="G1901" s="32" t="s">
        <v>50</v>
      </c>
      <c r="H1901" s="37">
        <v>63710</v>
      </c>
      <c r="I1901" s="34">
        <f>Table3[[#This Row],[Volume, kg.]]/1000</f>
        <v>63.71</v>
      </c>
      <c r="J1901" s="38">
        <v>0.2742</v>
      </c>
      <c r="K1901" s="34">
        <f t="shared" si="58"/>
        <v>17469.281999999999</v>
      </c>
      <c r="L1901" s="38">
        <v>3.39</v>
      </c>
      <c r="M1901" s="38">
        <v>215991.5</v>
      </c>
      <c r="N1901" s="34">
        <f t="shared" si="59"/>
        <v>12.363238512035011</v>
      </c>
    </row>
    <row r="1902" spans="1:14" x14ac:dyDescent="0.45">
      <c r="A1902" s="30">
        <v>2023</v>
      </c>
      <c r="B1902" s="30" t="s">
        <v>17</v>
      </c>
      <c r="C1902" s="30" t="s">
        <v>46</v>
      </c>
      <c r="D1902" s="30" t="s">
        <v>47</v>
      </c>
      <c r="E1902" s="31" t="s">
        <v>298</v>
      </c>
      <c r="F1902" s="32" t="s">
        <v>49</v>
      </c>
      <c r="G1902" s="32" t="s">
        <v>50</v>
      </c>
      <c r="H1902" s="37">
        <v>14050</v>
      </c>
      <c r="I1902" s="34">
        <f>Table3[[#This Row],[Volume, kg.]]/1000</f>
        <v>14.05</v>
      </c>
      <c r="J1902" s="38">
        <v>0.26379999999999998</v>
      </c>
      <c r="K1902" s="34">
        <f t="shared" si="58"/>
        <v>3706.39</v>
      </c>
      <c r="L1902" s="38">
        <v>3.23</v>
      </c>
      <c r="M1902" s="38">
        <v>45390.5</v>
      </c>
      <c r="N1902" s="34">
        <f t="shared" si="59"/>
        <v>12.244124336618651</v>
      </c>
    </row>
    <row r="1903" spans="1:14" x14ac:dyDescent="0.45">
      <c r="A1903" s="30">
        <v>2023</v>
      </c>
      <c r="B1903" s="30" t="s">
        <v>17</v>
      </c>
      <c r="C1903" s="30" t="s">
        <v>46</v>
      </c>
      <c r="D1903" s="30" t="s">
        <v>47</v>
      </c>
      <c r="E1903" s="31" t="s">
        <v>413</v>
      </c>
      <c r="F1903" s="32" t="s">
        <v>49</v>
      </c>
      <c r="G1903" s="32" t="s">
        <v>50</v>
      </c>
      <c r="H1903" s="37">
        <v>48790</v>
      </c>
      <c r="I1903" s="34">
        <f>Table3[[#This Row],[Volume, kg.]]/1000</f>
        <v>48.79</v>
      </c>
      <c r="J1903" s="38">
        <v>0.2266</v>
      </c>
      <c r="K1903" s="34">
        <f t="shared" si="58"/>
        <v>11055.814</v>
      </c>
      <c r="L1903" s="38">
        <v>3.09</v>
      </c>
      <c r="M1903" s="38">
        <v>150904.5</v>
      </c>
      <c r="N1903" s="34">
        <f t="shared" si="59"/>
        <v>13.636363636363637</v>
      </c>
    </row>
    <row r="1904" spans="1:14" x14ac:dyDescent="0.45">
      <c r="A1904" s="30">
        <v>2023</v>
      </c>
      <c r="B1904" s="30" t="s">
        <v>17</v>
      </c>
      <c r="C1904" s="30" t="s">
        <v>46</v>
      </c>
      <c r="D1904" s="30" t="s">
        <v>47</v>
      </c>
      <c r="E1904" s="31" t="s">
        <v>181</v>
      </c>
      <c r="F1904" s="32" t="s">
        <v>57</v>
      </c>
      <c r="G1904" s="32" t="s">
        <v>50</v>
      </c>
      <c r="H1904" s="37">
        <v>61700</v>
      </c>
      <c r="I1904" s="34">
        <f>Table3[[#This Row],[Volume, kg.]]/1000</f>
        <v>61.7</v>
      </c>
      <c r="J1904" s="38">
        <v>0.26140000000000002</v>
      </c>
      <c r="K1904" s="34">
        <f t="shared" si="58"/>
        <v>16128.380000000001</v>
      </c>
      <c r="L1904" s="38">
        <v>3.29</v>
      </c>
      <c r="M1904" s="38">
        <v>203096.5</v>
      </c>
      <c r="N1904" s="34">
        <f t="shared" si="59"/>
        <v>12.586074980872226</v>
      </c>
    </row>
    <row r="1905" spans="1:14" x14ac:dyDescent="0.45">
      <c r="A1905" s="30">
        <v>2023</v>
      </c>
      <c r="B1905" s="30" t="s">
        <v>17</v>
      </c>
      <c r="C1905" s="30" t="s">
        <v>46</v>
      </c>
      <c r="D1905" s="30" t="s">
        <v>47</v>
      </c>
      <c r="E1905" s="31" t="s">
        <v>182</v>
      </c>
      <c r="F1905" s="32" t="s">
        <v>81</v>
      </c>
      <c r="G1905" s="32" t="s">
        <v>50</v>
      </c>
      <c r="H1905" s="37">
        <v>105220</v>
      </c>
      <c r="I1905" s="34">
        <f>Table3[[#This Row],[Volume, kg.]]/1000</f>
        <v>105.22</v>
      </c>
      <c r="J1905" s="38">
        <v>0.2281</v>
      </c>
      <c r="K1905" s="34">
        <f t="shared" si="58"/>
        <v>24000.682000000001</v>
      </c>
      <c r="L1905" s="38">
        <v>3.1</v>
      </c>
      <c r="M1905" s="38">
        <v>326691.5</v>
      </c>
      <c r="N1905" s="34">
        <f t="shared" si="59"/>
        <v>13.590530469092505</v>
      </c>
    </row>
    <row r="1906" spans="1:14" x14ac:dyDescent="0.45">
      <c r="A1906" s="30">
        <v>2023</v>
      </c>
      <c r="B1906" s="30" t="s">
        <v>17</v>
      </c>
      <c r="C1906" s="30" t="s">
        <v>46</v>
      </c>
      <c r="D1906" s="30" t="s">
        <v>47</v>
      </c>
      <c r="E1906" s="31" t="s">
        <v>301</v>
      </c>
      <c r="F1906" s="32" t="s">
        <v>60</v>
      </c>
      <c r="G1906" s="32" t="s">
        <v>50</v>
      </c>
      <c r="H1906" s="37">
        <v>79880</v>
      </c>
      <c r="I1906" s="34">
        <f>Table3[[#This Row],[Volume, kg.]]/1000</f>
        <v>79.88</v>
      </c>
      <c r="J1906" s="38">
        <v>0.22399999999999998</v>
      </c>
      <c r="K1906" s="34">
        <f t="shared" si="58"/>
        <v>17893.12</v>
      </c>
      <c r="L1906" s="38">
        <v>3.04</v>
      </c>
      <c r="M1906" s="38">
        <v>243101</v>
      </c>
      <c r="N1906" s="34">
        <f t="shared" si="59"/>
        <v>13.571428571428573</v>
      </c>
    </row>
    <row r="1907" spans="1:14" x14ac:dyDescent="0.45">
      <c r="A1907" s="30">
        <v>2023</v>
      </c>
      <c r="B1907" s="30" t="s">
        <v>17</v>
      </c>
      <c r="C1907" s="30" t="s">
        <v>46</v>
      </c>
      <c r="D1907" s="30" t="s">
        <v>47</v>
      </c>
      <c r="E1907" s="31" t="s">
        <v>382</v>
      </c>
      <c r="F1907" s="32" t="s">
        <v>60</v>
      </c>
      <c r="G1907" s="32" t="s">
        <v>50</v>
      </c>
      <c r="H1907" s="37">
        <v>13140</v>
      </c>
      <c r="I1907" s="34">
        <f>Table3[[#This Row],[Volume, kg.]]/1000</f>
        <v>13.14</v>
      </c>
      <c r="J1907" s="38">
        <v>0.27449999999999997</v>
      </c>
      <c r="K1907" s="34">
        <f t="shared" si="58"/>
        <v>3606.9299999999994</v>
      </c>
      <c r="L1907" s="38">
        <v>3.25</v>
      </c>
      <c r="M1907" s="38">
        <v>42705</v>
      </c>
      <c r="N1907" s="34">
        <f t="shared" si="59"/>
        <v>11.839708561020037</v>
      </c>
    </row>
    <row r="1908" spans="1:14" x14ac:dyDescent="0.45">
      <c r="A1908" s="30">
        <v>2023</v>
      </c>
      <c r="B1908" s="30" t="s">
        <v>17</v>
      </c>
      <c r="C1908" s="30" t="s">
        <v>46</v>
      </c>
      <c r="D1908" s="30" t="s">
        <v>47</v>
      </c>
      <c r="E1908" s="31" t="s">
        <v>187</v>
      </c>
      <c r="F1908" s="32" t="s">
        <v>54</v>
      </c>
      <c r="G1908" s="32" t="s">
        <v>50</v>
      </c>
      <c r="H1908" s="37">
        <v>66350</v>
      </c>
      <c r="I1908" s="34">
        <f>Table3[[#This Row],[Volume, kg.]]/1000</f>
        <v>66.349999999999994</v>
      </c>
      <c r="J1908" s="38">
        <v>0.248</v>
      </c>
      <c r="K1908" s="34">
        <f t="shared" si="58"/>
        <v>16454.8</v>
      </c>
      <c r="L1908" s="38">
        <v>3.24</v>
      </c>
      <c r="M1908" s="38">
        <v>215236</v>
      </c>
      <c r="N1908" s="34">
        <f t="shared" si="59"/>
        <v>13.06451612903226</v>
      </c>
    </row>
    <row r="1909" spans="1:14" x14ac:dyDescent="0.45">
      <c r="A1909" s="30">
        <v>2023</v>
      </c>
      <c r="B1909" s="30" t="s">
        <v>17</v>
      </c>
      <c r="C1909" s="30" t="s">
        <v>46</v>
      </c>
      <c r="D1909" s="30" t="s">
        <v>47</v>
      </c>
      <c r="E1909" s="31" t="s">
        <v>355</v>
      </c>
      <c r="F1909" s="32" t="s">
        <v>60</v>
      </c>
      <c r="G1909" s="32" t="s">
        <v>50</v>
      </c>
      <c r="H1909" s="33">
        <v>160580</v>
      </c>
      <c r="I1909" s="34">
        <f>Table3[[#This Row],[Volume, kg.]]/1000</f>
        <v>160.58000000000001</v>
      </c>
      <c r="J1909" s="34">
        <v>0.24729999999999999</v>
      </c>
      <c r="K1909" s="34">
        <f t="shared" si="58"/>
        <v>39711.434000000001</v>
      </c>
      <c r="L1909" s="34">
        <v>3.23</v>
      </c>
      <c r="M1909" s="34">
        <v>518475.5</v>
      </c>
      <c r="N1909" s="34">
        <f t="shared" si="59"/>
        <v>13.061059441973311</v>
      </c>
    </row>
    <row r="1910" spans="1:14" x14ac:dyDescent="0.45">
      <c r="A1910" s="30">
        <v>2023</v>
      </c>
      <c r="B1910" s="30" t="s">
        <v>17</v>
      </c>
      <c r="C1910" s="30" t="s">
        <v>46</v>
      </c>
      <c r="D1910" s="30" t="s">
        <v>102</v>
      </c>
      <c r="E1910" s="31" t="s">
        <v>188</v>
      </c>
      <c r="F1910" s="32" t="s">
        <v>189</v>
      </c>
      <c r="G1910" s="32" t="s">
        <v>128</v>
      </c>
      <c r="H1910" s="33">
        <v>1515120</v>
      </c>
      <c r="I1910" s="34">
        <f>Table3[[#This Row],[Volume, kg.]]/1000</f>
        <v>1515.12</v>
      </c>
      <c r="J1910" s="34">
        <v>0.23430000000000001</v>
      </c>
      <c r="K1910" s="34">
        <f t="shared" si="58"/>
        <v>354992.61600000004</v>
      </c>
      <c r="L1910" s="34">
        <v>3.38</v>
      </c>
      <c r="M1910" s="34">
        <v>5126275</v>
      </c>
      <c r="N1910" s="34">
        <f t="shared" si="59"/>
        <v>14.425949637217242</v>
      </c>
    </row>
    <row r="1911" spans="1:14" x14ac:dyDescent="0.45">
      <c r="A1911" s="30">
        <v>2023</v>
      </c>
      <c r="B1911" s="30" t="s">
        <v>17</v>
      </c>
      <c r="C1911" s="30" t="s">
        <v>46</v>
      </c>
      <c r="D1911" s="30" t="s">
        <v>47</v>
      </c>
      <c r="E1911" s="31" t="s">
        <v>191</v>
      </c>
      <c r="F1911" s="32" t="s">
        <v>49</v>
      </c>
      <c r="G1911" s="32" t="s">
        <v>50</v>
      </c>
      <c r="H1911" s="33">
        <v>89520</v>
      </c>
      <c r="I1911" s="34">
        <f>Table3[[#This Row],[Volume, kg.]]/1000</f>
        <v>89.52</v>
      </c>
      <c r="J1911" s="34">
        <v>0.25159999999999999</v>
      </c>
      <c r="K1911" s="34">
        <f t="shared" si="58"/>
        <v>22523.232</v>
      </c>
      <c r="L1911" s="34">
        <v>3.24</v>
      </c>
      <c r="M1911" s="34">
        <v>289743</v>
      </c>
      <c r="N1911" s="34">
        <f t="shared" si="59"/>
        <v>12.877583465818761</v>
      </c>
    </row>
    <row r="1912" spans="1:14" x14ac:dyDescent="0.45">
      <c r="A1912" s="30">
        <v>2023</v>
      </c>
      <c r="B1912" s="30" t="s">
        <v>17</v>
      </c>
      <c r="C1912" s="30" t="s">
        <v>46</v>
      </c>
      <c r="D1912" s="30" t="s">
        <v>47</v>
      </c>
      <c r="E1912" s="31" t="s">
        <v>192</v>
      </c>
      <c r="F1912" s="32" t="s">
        <v>49</v>
      </c>
      <c r="G1912" s="32" t="s">
        <v>50</v>
      </c>
      <c r="H1912" s="33">
        <v>31710</v>
      </c>
      <c r="I1912" s="34">
        <f>Table3[[#This Row],[Volume, kg.]]/1000</f>
        <v>31.71</v>
      </c>
      <c r="J1912" s="34">
        <v>0.2336</v>
      </c>
      <c r="K1912" s="34">
        <f t="shared" si="58"/>
        <v>7407.4560000000001</v>
      </c>
      <c r="L1912" s="34">
        <v>3.11</v>
      </c>
      <c r="M1912" s="34">
        <v>98751</v>
      </c>
      <c r="N1912" s="34">
        <f t="shared" si="59"/>
        <v>13.313356164383562</v>
      </c>
    </row>
    <row r="1913" spans="1:14" x14ac:dyDescent="0.45">
      <c r="A1913" s="30">
        <v>2023</v>
      </c>
      <c r="B1913" s="30" t="s">
        <v>17</v>
      </c>
      <c r="C1913" s="30" t="s">
        <v>46</v>
      </c>
      <c r="D1913" s="30" t="s">
        <v>47</v>
      </c>
      <c r="E1913" s="31" t="s">
        <v>193</v>
      </c>
      <c r="F1913" s="32" t="s">
        <v>81</v>
      </c>
      <c r="G1913" s="32" t="s">
        <v>50</v>
      </c>
      <c r="H1913" s="33">
        <v>230</v>
      </c>
      <c r="I1913" s="34">
        <f>Table3[[#This Row],[Volume, kg.]]/1000</f>
        <v>0.23</v>
      </c>
      <c r="J1913" s="34">
        <v>0.16399999999999998</v>
      </c>
      <c r="K1913" s="34">
        <f t="shared" si="58"/>
        <v>37.719999999999992</v>
      </c>
      <c r="L1913" s="34">
        <v>2.75</v>
      </c>
      <c r="M1913" s="34">
        <v>632.5</v>
      </c>
      <c r="N1913" s="34">
        <f t="shared" si="59"/>
        <v>16.76829268292683</v>
      </c>
    </row>
    <row r="1914" spans="1:14" x14ac:dyDescent="0.45">
      <c r="A1914" s="30">
        <v>2023</v>
      </c>
      <c r="B1914" s="30" t="s">
        <v>17</v>
      </c>
      <c r="C1914" s="30" t="s">
        <v>46</v>
      </c>
      <c r="D1914" s="30" t="s">
        <v>47</v>
      </c>
      <c r="E1914" s="31" t="s">
        <v>302</v>
      </c>
      <c r="F1914" s="32" t="s">
        <v>49</v>
      </c>
      <c r="G1914" s="32" t="s">
        <v>50</v>
      </c>
      <c r="H1914" s="33">
        <v>97430</v>
      </c>
      <c r="I1914" s="34">
        <f>Table3[[#This Row],[Volume, kg.]]/1000</f>
        <v>97.43</v>
      </c>
      <c r="J1914" s="34">
        <v>0.25420000000000004</v>
      </c>
      <c r="K1914" s="34">
        <f t="shared" si="58"/>
        <v>24766.706000000002</v>
      </c>
      <c r="L1914" s="34">
        <v>3.27</v>
      </c>
      <c r="M1914" s="34">
        <v>318790.5</v>
      </c>
      <c r="N1914" s="34">
        <f t="shared" si="59"/>
        <v>12.863886703383161</v>
      </c>
    </row>
    <row r="1915" spans="1:14" x14ac:dyDescent="0.45">
      <c r="A1915" s="30">
        <v>2023</v>
      </c>
      <c r="B1915" s="30" t="s">
        <v>17</v>
      </c>
      <c r="C1915" s="30" t="s">
        <v>46</v>
      </c>
      <c r="D1915" s="30" t="s">
        <v>47</v>
      </c>
      <c r="E1915" s="31" t="s">
        <v>194</v>
      </c>
      <c r="F1915" s="32" t="s">
        <v>49</v>
      </c>
      <c r="G1915" s="32" t="s">
        <v>50</v>
      </c>
      <c r="H1915" s="33">
        <v>54310</v>
      </c>
      <c r="I1915" s="34">
        <f>Table3[[#This Row],[Volume, kg.]]/1000</f>
        <v>54.31</v>
      </c>
      <c r="J1915" s="34">
        <v>0.20030000000000001</v>
      </c>
      <c r="K1915" s="34">
        <f t="shared" si="58"/>
        <v>10878.293</v>
      </c>
      <c r="L1915" s="34">
        <v>2.89</v>
      </c>
      <c r="M1915" s="34">
        <v>157130</v>
      </c>
      <c r="N1915" s="34">
        <f t="shared" si="59"/>
        <v>14.428357463804295</v>
      </c>
    </row>
    <row r="1916" spans="1:14" x14ac:dyDescent="0.45">
      <c r="A1916" s="30">
        <v>2023</v>
      </c>
      <c r="B1916" s="30" t="s">
        <v>17</v>
      </c>
      <c r="C1916" s="30" t="s">
        <v>46</v>
      </c>
      <c r="D1916" s="30" t="s">
        <v>47</v>
      </c>
      <c r="E1916" s="31" t="s">
        <v>195</v>
      </c>
      <c r="F1916" s="32" t="s">
        <v>57</v>
      </c>
      <c r="G1916" s="32" t="s">
        <v>50</v>
      </c>
      <c r="H1916" s="33">
        <v>19720</v>
      </c>
      <c r="I1916" s="34">
        <f>Table3[[#This Row],[Volume, kg.]]/1000</f>
        <v>19.72</v>
      </c>
      <c r="J1916" s="34">
        <v>0.247</v>
      </c>
      <c r="K1916" s="34">
        <f t="shared" si="58"/>
        <v>4870.84</v>
      </c>
      <c r="L1916" s="34">
        <v>3.21</v>
      </c>
      <c r="M1916" s="34">
        <v>63247.5</v>
      </c>
      <c r="N1916" s="34">
        <f t="shared" si="59"/>
        <v>12.995951417004049</v>
      </c>
    </row>
    <row r="1917" spans="1:14" x14ac:dyDescent="0.45">
      <c r="A1917" s="30">
        <v>2023</v>
      </c>
      <c r="B1917" s="30" t="s">
        <v>17</v>
      </c>
      <c r="C1917" s="30" t="s">
        <v>46</v>
      </c>
      <c r="D1917" s="30" t="s">
        <v>47</v>
      </c>
      <c r="E1917" s="31" t="s">
        <v>197</v>
      </c>
      <c r="F1917" s="32" t="s">
        <v>57</v>
      </c>
      <c r="G1917" s="32" t="s">
        <v>50</v>
      </c>
      <c r="H1917" s="33">
        <v>8760</v>
      </c>
      <c r="I1917" s="34">
        <f>Table3[[#This Row],[Volume, kg.]]/1000</f>
        <v>8.76</v>
      </c>
      <c r="J1917" s="34">
        <v>0.21050000000000002</v>
      </c>
      <c r="K1917" s="34">
        <f t="shared" si="58"/>
        <v>1843.9800000000002</v>
      </c>
      <c r="L1917" s="34">
        <v>2.9</v>
      </c>
      <c r="M1917" s="34">
        <v>25404</v>
      </c>
      <c r="N1917" s="34">
        <f t="shared" si="59"/>
        <v>13.776722090261281</v>
      </c>
    </row>
    <row r="1918" spans="1:14" x14ac:dyDescent="0.45">
      <c r="A1918" s="30">
        <v>2023</v>
      </c>
      <c r="B1918" s="30" t="s">
        <v>17</v>
      </c>
      <c r="C1918" s="30" t="s">
        <v>46</v>
      </c>
      <c r="D1918" s="30" t="s">
        <v>47</v>
      </c>
      <c r="E1918" s="31" t="s">
        <v>306</v>
      </c>
      <c r="F1918" s="32" t="s">
        <v>60</v>
      </c>
      <c r="G1918" s="32" t="s">
        <v>50</v>
      </c>
      <c r="H1918" s="33">
        <v>6130</v>
      </c>
      <c r="I1918" s="34">
        <f>Table3[[#This Row],[Volume, kg.]]/1000</f>
        <v>6.13</v>
      </c>
      <c r="J1918" s="34">
        <v>0.26899999999999996</v>
      </c>
      <c r="K1918" s="34">
        <f t="shared" si="58"/>
        <v>1648.9699999999998</v>
      </c>
      <c r="L1918" s="34">
        <v>3.2</v>
      </c>
      <c r="M1918" s="34">
        <v>19616</v>
      </c>
      <c r="N1918" s="34">
        <f t="shared" si="59"/>
        <v>11.895910780669148</v>
      </c>
    </row>
    <row r="1919" spans="1:14" x14ac:dyDescent="0.45">
      <c r="A1919" s="30">
        <v>2023</v>
      </c>
      <c r="B1919" s="30" t="s">
        <v>17</v>
      </c>
      <c r="C1919" s="30" t="s">
        <v>46</v>
      </c>
      <c r="D1919" s="30" t="s">
        <v>47</v>
      </c>
      <c r="E1919" s="31" t="s">
        <v>198</v>
      </c>
      <c r="F1919" s="32" t="s">
        <v>49</v>
      </c>
      <c r="G1919" s="32" t="s">
        <v>50</v>
      </c>
      <c r="H1919" s="33">
        <v>18900</v>
      </c>
      <c r="I1919" s="34">
        <f>Table3[[#This Row],[Volume, kg.]]/1000</f>
        <v>18.899999999999999</v>
      </c>
      <c r="J1919" s="34">
        <v>0.25569999999999998</v>
      </c>
      <c r="K1919" s="34">
        <f t="shared" si="58"/>
        <v>4832.7299999999996</v>
      </c>
      <c r="L1919" s="34">
        <v>3.3</v>
      </c>
      <c r="M1919" s="34">
        <v>62359.5</v>
      </c>
      <c r="N1919" s="34">
        <f t="shared" si="59"/>
        <v>12.905748924520923</v>
      </c>
    </row>
    <row r="1920" spans="1:14" x14ac:dyDescent="0.45">
      <c r="A1920" s="30">
        <v>2023</v>
      </c>
      <c r="B1920" s="30" t="s">
        <v>17</v>
      </c>
      <c r="C1920" s="30" t="s">
        <v>46</v>
      </c>
      <c r="D1920" s="30" t="s">
        <v>47</v>
      </c>
      <c r="E1920" s="31" t="s">
        <v>199</v>
      </c>
      <c r="F1920" s="32" t="s">
        <v>60</v>
      </c>
      <c r="G1920" s="32" t="s">
        <v>50</v>
      </c>
      <c r="H1920" s="33">
        <v>8650</v>
      </c>
      <c r="I1920" s="34">
        <f>Table3[[#This Row],[Volume, kg.]]/1000</f>
        <v>8.65</v>
      </c>
      <c r="J1920" s="34">
        <v>0.23899999999999999</v>
      </c>
      <c r="K1920" s="34">
        <f t="shared" si="58"/>
        <v>2067.35</v>
      </c>
      <c r="L1920" s="34">
        <v>3.15</v>
      </c>
      <c r="M1920" s="34">
        <v>27247.5</v>
      </c>
      <c r="N1920" s="34">
        <f t="shared" si="59"/>
        <v>13.179916317991632</v>
      </c>
    </row>
    <row r="1921" spans="1:14" x14ac:dyDescent="0.45">
      <c r="A1921" s="30">
        <v>2023</v>
      </c>
      <c r="B1921" s="30" t="s">
        <v>17</v>
      </c>
      <c r="C1921" s="30" t="s">
        <v>46</v>
      </c>
      <c r="D1921" s="30" t="s">
        <v>47</v>
      </c>
      <c r="E1921" s="31" t="s">
        <v>540</v>
      </c>
      <c r="F1921" s="32" t="s">
        <v>49</v>
      </c>
      <c r="G1921" s="32" t="s">
        <v>50</v>
      </c>
      <c r="H1921" s="33">
        <v>81930</v>
      </c>
      <c r="I1921" s="34">
        <f>Table3[[#This Row],[Volume, kg.]]/1000</f>
        <v>81.93</v>
      </c>
      <c r="J1921" s="34">
        <v>0.2382</v>
      </c>
      <c r="K1921" s="34">
        <f t="shared" si="58"/>
        <v>19515.725999999999</v>
      </c>
      <c r="L1921" s="34">
        <v>3.16</v>
      </c>
      <c r="M1921" s="34">
        <v>258987.5</v>
      </c>
      <c r="N1921" s="34">
        <f t="shared" si="59"/>
        <v>13.266162888329136</v>
      </c>
    </row>
    <row r="1922" spans="1:14" x14ac:dyDescent="0.45">
      <c r="A1922" s="30">
        <v>2023</v>
      </c>
      <c r="B1922" s="30" t="s">
        <v>17</v>
      </c>
      <c r="C1922" s="30" t="s">
        <v>46</v>
      </c>
      <c r="D1922" s="30" t="s">
        <v>47</v>
      </c>
      <c r="E1922" s="31" t="s">
        <v>200</v>
      </c>
      <c r="F1922" s="32" t="s">
        <v>64</v>
      </c>
      <c r="G1922" s="32" t="s">
        <v>50</v>
      </c>
      <c r="H1922" s="33">
        <v>19130</v>
      </c>
      <c r="I1922" s="34">
        <f>Table3[[#This Row],[Volume, kg.]]/1000</f>
        <v>19.13</v>
      </c>
      <c r="J1922" s="34">
        <v>0.22699999999999998</v>
      </c>
      <c r="K1922" s="34">
        <f t="shared" si="58"/>
        <v>4342.5099999999993</v>
      </c>
      <c r="L1922" s="34">
        <v>3.18</v>
      </c>
      <c r="M1922" s="34">
        <v>60803</v>
      </c>
      <c r="N1922" s="34">
        <f t="shared" si="59"/>
        <v>14.008810572687226</v>
      </c>
    </row>
    <row r="1923" spans="1:14" x14ac:dyDescent="0.45">
      <c r="A1923" s="30">
        <v>2023</v>
      </c>
      <c r="B1923" s="30" t="s">
        <v>17</v>
      </c>
      <c r="C1923" s="30" t="s">
        <v>46</v>
      </c>
      <c r="D1923" s="30" t="s">
        <v>47</v>
      </c>
      <c r="E1923" s="31" t="s">
        <v>309</v>
      </c>
      <c r="F1923" s="32" t="s">
        <v>81</v>
      </c>
      <c r="G1923" s="32" t="s">
        <v>50</v>
      </c>
      <c r="H1923" s="33">
        <v>28780</v>
      </c>
      <c r="I1923" s="34">
        <f>Table3[[#This Row],[Volume, kg.]]/1000</f>
        <v>28.78</v>
      </c>
      <c r="J1923" s="34">
        <v>0.24640000000000001</v>
      </c>
      <c r="K1923" s="34">
        <f t="shared" ref="K1923:K1986" si="60">H1923*J1923</f>
        <v>7091.3919999999998</v>
      </c>
      <c r="L1923" s="34">
        <v>3.29</v>
      </c>
      <c r="M1923" s="34">
        <v>94618.5</v>
      </c>
      <c r="N1923" s="34">
        <f t="shared" si="59"/>
        <v>13.352272727272727</v>
      </c>
    </row>
    <row r="1924" spans="1:14" x14ac:dyDescent="0.45">
      <c r="A1924" s="30">
        <v>2023</v>
      </c>
      <c r="B1924" s="30" t="s">
        <v>17</v>
      </c>
      <c r="C1924" s="30" t="s">
        <v>46</v>
      </c>
      <c r="D1924" s="30" t="s">
        <v>47</v>
      </c>
      <c r="E1924" s="31" t="s">
        <v>358</v>
      </c>
      <c r="F1924" s="32" t="s">
        <v>60</v>
      </c>
      <c r="G1924" s="32" t="s">
        <v>50</v>
      </c>
      <c r="H1924" s="33">
        <v>40660</v>
      </c>
      <c r="I1924" s="34">
        <f>Table3[[#This Row],[Volume, kg.]]/1000</f>
        <v>40.659999999999997</v>
      </c>
      <c r="J1924" s="34">
        <v>0.2102</v>
      </c>
      <c r="K1924" s="34">
        <f t="shared" si="60"/>
        <v>8546.732</v>
      </c>
      <c r="L1924" s="34">
        <v>3.04</v>
      </c>
      <c r="M1924" s="34">
        <v>123595</v>
      </c>
      <c r="N1924" s="34">
        <f t="shared" ref="N1924:N1987" si="61">L1924/J1924</f>
        <v>14.462416745956233</v>
      </c>
    </row>
    <row r="1925" spans="1:14" x14ac:dyDescent="0.45">
      <c r="A1925" s="30">
        <v>2023</v>
      </c>
      <c r="B1925" s="30" t="s">
        <v>17</v>
      </c>
      <c r="C1925" s="30" t="s">
        <v>46</v>
      </c>
      <c r="D1925" s="30" t="s">
        <v>47</v>
      </c>
      <c r="E1925" s="31" t="s">
        <v>311</v>
      </c>
      <c r="F1925" s="32" t="s">
        <v>57</v>
      </c>
      <c r="G1925" s="32" t="s">
        <v>50</v>
      </c>
      <c r="H1925" s="33">
        <v>76120</v>
      </c>
      <c r="I1925" s="34">
        <f>Table3[[#This Row],[Volume, kg.]]/1000</f>
        <v>76.12</v>
      </c>
      <c r="J1925" s="34">
        <v>0.21249999999999999</v>
      </c>
      <c r="K1925" s="34">
        <f t="shared" si="60"/>
        <v>16175.5</v>
      </c>
      <c r="L1925" s="34">
        <v>3.03</v>
      </c>
      <c r="M1925" s="34">
        <v>230734</v>
      </c>
      <c r="N1925" s="34">
        <f t="shared" si="61"/>
        <v>14.258823529411764</v>
      </c>
    </row>
    <row r="1926" spans="1:14" x14ac:dyDescent="0.45">
      <c r="A1926" s="30">
        <v>2023</v>
      </c>
      <c r="B1926" s="30" t="s">
        <v>17</v>
      </c>
      <c r="C1926" s="30" t="s">
        <v>46</v>
      </c>
      <c r="D1926" s="30" t="s">
        <v>47</v>
      </c>
      <c r="E1926" s="31" t="s">
        <v>202</v>
      </c>
      <c r="F1926" s="32" t="s">
        <v>57</v>
      </c>
      <c r="G1926" s="32" t="s">
        <v>50</v>
      </c>
      <c r="H1926" s="33">
        <v>44910</v>
      </c>
      <c r="I1926" s="34">
        <f>Table3[[#This Row],[Volume, kg.]]/1000</f>
        <v>44.91</v>
      </c>
      <c r="J1926" s="34">
        <v>0.24600000000000002</v>
      </c>
      <c r="K1926" s="34">
        <f t="shared" si="60"/>
        <v>11047.86</v>
      </c>
      <c r="L1926" s="34">
        <v>3.15</v>
      </c>
      <c r="M1926" s="34">
        <v>141657.5</v>
      </c>
      <c r="N1926" s="34">
        <f t="shared" si="61"/>
        <v>12.804878048780486</v>
      </c>
    </row>
    <row r="1927" spans="1:14" x14ac:dyDescent="0.45">
      <c r="A1927" s="30">
        <v>2023</v>
      </c>
      <c r="B1927" s="30" t="s">
        <v>17</v>
      </c>
      <c r="C1927" s="30" t="s">
        <v>46</v>
      </c>
      <c r="D1927" s="30" t="s">
        <v>47</v>
      </c>
      <c r="E1927" s="31" t="s">
        <v>203</v>
      </c>
      <c r="F1927" s="32" t="s">
        <v>57</v>
      </c>
      <c r="G1927" s="32" t="s">
        <v>50</v>
      </c>
      <c r="H1927" s="33">
        <v>1650</v>
      </c>
      <c r="I1927" s="34">
        <f>Table3[[#This Row],[Volume, kg.]]/1000</f>
        <v>1.65</v>
      </c>
      <c r="J1927" s="34">
        <v>0.22500000000000001</v>
      </c>
      <c r="K1927" s="34">
        <f t="shared" si="60"/>
        <v>371.25</v>
      </c>
      <c r="L1927" s="34">
        <v>3.2</v>
      </c>
      <c r="M1927" s="34">
        <v>5280</v>
      </c>
      <c r="N1927" s="34">
        <f t="shared" si="61"/>
        <v>14.222222222222223</v>
      </c>
    </row>
    <row r="1928" spans="1:14" x14ac:dyDescent="0.45">
      <c r="A1928" s="30">
        <v>2023</v>
      </c>
      <c r="B1928" s="30" t="s">
        <v>17</v>
      </c>
      <c r="C1928" s="30" t="s">
        <v>46</v>
      </c>
      <c r="D1928" s="30" t="s">
        <v>47</v>
      </c>
      <c r="E1928" s="31" t="s">
        <v>204</v>
      </c>
      <c r="F1928" s="32" t="s">
        <v>49</v>
      </c>
      <c r="G1928" s="32" t="s">
        <v>50</v>
      </c>
      <c r="H1928" s="33">
        <v>77140</v>
      </c>
      <c r="I1928" s="34">
        <f>Table3[[#This Row],[Volume, kg.]]/1000</f>
        <v>77.14</v>
      </c>
      <c r="J1928" s="34">
        <v>0.2475</v>
      </c>
      <c r="K1928" s="34">
        <f t="shared" si="60"/>
        <v>19092.150000000001</v>
      </c>
      <c r="L1928" s="34">
        <v>3.2</v>
      </c>
      <c r="M1928" s="34">
        <v>246845</v>
      </c>
      <c r="N1928" s="34">
        <f t="shared" si="61"/>
        <v>12.929292929292931</v>
      </c>
    </row>
    <row r="1929" spans="1:14" x14ac:dyDescent="0.45">
      <c r="A1929" s="30">
        <v>2023</v>
      </c>
      <c r="B1929" s="30" t="s">
        <v>17</v>
      </c>
      <c r="C1929" s="30" t="s">
        <v>46</v>
      </c>
      <c r="D1929" s="30" t="s">
        <v>47</v>
      </c>
      <c r="E1929" s="31" t="s">
        <v>412</v>
      </c>
      <c r="F1929" s="32" t="s">
        <v>57</v>
      </c>
      <c r="G1929" s="32" t="s">
        <v>50</v>
      </c>
      <c r="H1929" s="33">
        <v>160</v>
      </c>
      <c r="I1929" s="34">
        <f>Table3[[#This Row],[Volume, kg.]]/1000</f>
        <v>0.16</v>
      </c>
      <c r="J1929" s="34">
        <v>0.13600000000000001</v>
      </c>
      <c r="K1929" s="34">
        <f t="shared" si="60"/>
        <v>21.76</v>
      </c>
      <c r="L1929" s="34">
        <v>2.6</v>
      </c>
      <c r="M1929" s="34">
        <v>416</v>
      </c>
      <c r="N1929" s="34">
        <f t="shared" si="61"/>
        <v>19.117647058823529</v>
      </c>
    </row>
    <row r="1930" spans="1:14" x14ac:dyDescent="0.45">
      <c r="A1930" s="30">
        <v>2023</v>
      </c>
      <c r="B1930" s="30" t="s">
        <v>17</v>
      </c>
      <c r="C1930" s="30" t="s">
        <v>46</v>
      </c>
      <c r="D1930" s="30" t="s">
        <v>47</v>
      </c>
      <c r="E1930" s="31" t="s">
        <v>509</v>
      </c>
      <c r="F1930" s="32" t="s">
        <v>49</v>
      </c>
      <c r="G1930" s="32" t="s">
        <v>50</v>
      </c>
      <c r="H1930" s="33">
        <v>10160</v>
      </c>
      <c r="I1930" s="34">
        <f>Table3[[#This Row],[Volume, kg.]]/1000</f>
        <v>10.16</v>
      </c>
      <c r="J1930" s="34">
        <v>0.19399999999999998</v>
      </c>
      <c r="K1930" s="34">
        <f t="shared" si="60"/>
        <v>1971.0399999999997</v>
      </c>
      <c r="L1930" s="34">
        <v>2.85</v>
      </c>
      <c r="M1930" s="34">
        <v>28956</v>
      </c>
      <c r="N1930" s="34">
        <f t="shared" si="61"/>
        <v>14.690721649484539</v>
      </c>
    </row>
    <row r="1931" spans="1:14" x14ac:dyDescent="0.45">
      <c r="A1931" s="30">
        <v>2023</v>
      </c>
      <c r="B1931" s="30" t="s">
        <v>17</v>
      </c>
      <c r="C1931" s="30" t="s">
        <v>46</v>
      </c>
      <c r="D1931" s="30" t="s">
        <v>47</v>
      </c>
      <c r="E1931" s="31" t="s">
        <v>205</v>
      </c>
      <c r="F1931" s="32" t="s">
        <v>49</v>
      </c>
      <c r="G1931" s="32" t="s">
        <v>50</v>
      </c>
      <c r="H1931" s="33">
        <v>71180</v>
      </c>
      <c r="I1931" s="34">
        <f>Table3[[#This Row],[Volume, kg.]]/1000</f>
        <v>71.180000000000007</v>
      </c>
      <c r="J1931" s="34">
        <v>0.22940000000000002</v>
      </c>
      <c r="K1931" s="34">
        <f t="shared" si="60"/>
        <v>16328.692000000001</v>
      </c>
      <c r="L1931" s="34">
        <v>3.19</v>
      </c>
      <c r="M1931" s="34">
        <v>227109</v>
      </c>
      <c r="N1931" s="34">
        <f t="shared" si="61"/>
        <v>13.905841325196162</v>
      </c>
    </row>
    <row r="1932" spans="1:14" x14ac:dyDescent="0.45">
      <c r="A1932" s="30">
        <v>2023</v>
      </c>
      <c r="B1932" s="30" t="s">
        <v>17</v>
      </c>
      <c r="C1932" s="30" t="s">
        <v>46</v>
      </c>
      <c r="D1932" s="30" t="s">
        <v>47</v>
      </c>
      <c r="E1932" s="31" t="s">
        <v>206</v>
      </c>
      <c r="F1932" s="32" t="s">
        <v>81</v>
      </c>
      <c r="G1932" s="32" t="s">
        <v>50</v>
      </c>
      <c r="H1932" s="33">
        <v>69310</v>
      </c>
      <c r="I1932" s="34">
        <f>Table3[[#This Row],[Volume, kg.]]/1000</f>
        <v>69.31</v>
      </c>
      <c r="J1932" s="34">
        <v>0.25540000000000002</v>
      </c>
      <c r="K1932" s="34">
        <f t="shared" si="60"/>
        <v>17701.774000000001</v>
      </c>
      <c r="L1932" s="34">
        <v>3.2</v>
      </c>
      <c r="M1932" s="34">
        <v>222061</v>
      </c>
      <c r="N1932" s="34">
        <f t="shared" si="61"/>
        <v>12.529365700861394</v>
      </c>
    </row>
    <row r="1933" spans="1:14" x14ac:dyDescent="0.45">
      <c r="A1933" s="30">
        <v>2023</v>
      </c>
      <c r="B1933" s="30" t="s">
        <v>17</v>
      </c>
      <c r="C1933" s="30" t="s">
        <v>46</v>
      </c>
      <c r="D1933" s="30" t="s">
        <v>47</v>
      </c>
      <c r="E1933" s="31" t="s">
        <v>208</v>
      </c>
      <c r="F1933" s="32" t="s">
        <v>49</v>
      </c>
      <c r="G1933" s="32" t="s">
        <v>50</v>
      </c>
      <c r="H1933" s="33">
        <v>58730</v>
      </c>
      <c r="I1933" s="34">
        <f>Table3[[#This Row],[Volume, kg.]]/1000</f>
        <v>58.73</v>
      </c>
      <c r="J1933" s="34">
        <v>0.21390000000000001</v>
      </c>
      <c r="K1933" s="34">
        <f t="shared" si="60"/>
        <v>12562.347</v>
      </c>
      <c r="L1933" s="34">
        <v>2.95</v>
      </c>
      <c r="M1933" s="34">
        <v>173234</v>
      </c>
      <c r="N1933" s="34">
        <f t="shared" si="61"/>
        <v>13.791491351098644</v>
      </c>
    </row>
    <row r="1934" spans="1:14" x14ac:dyDescent="0.45">
      <c r="A1934" s="30">
        <v>2023</v>
      </c>
      <c r="B1934" s="30" t="s">
        <v>17</v>
      </c>
      <c r="C1934" s="30" t="s">
        <v>46</v>
      </c>
      <c r="D1934" s="30" t="s">
        <v>47</v>
      </c>
      <c r="E1934" s="31" t="s">
        <v>210</v>
      </c>
      <c r="F1934" s="32" t="s">
        <v>60</v>
      </c>
      <c r="G1934" s="32" t="s">
        <v>50</v>
      </c>
      <c r="H1934" s="33">
        <v>61870</v>
      </c>
      <c r="I1934" s="34">
        <f>Table3[[#This Row],[Volume, kg.]]/1000</f>
        <v>61.87</v>
      </c>
      <c r="J1934" s="34">
        <v>0.2349</v>
      </c>
      <c r="K1934" s="34">
        <f t="shared" si="60"/>
        <v>14533.262999999999</v>
      </c>
      <c r="L1934" s="34">
        <v>3.12</v>
      </c>
      <c r="M1934" s="34">
        <v>193128.5</v>
      </c>
      <c r="N1934" s="34">
        <f t="shared" si="61"/>
        <v>13.282247765006387</v>
      </c>
    </row>
    <row r="1935" spans="1:14" x14ac:dyDescent="0.45">
      <c r="A1935" s="30">
        <v>2023</v>
      </c>
      <c r="B1935" s="30" t="s">
        <v>17</v>
      </c>
      <c r="C1935" s="30" t="s">
        <v>46</v>
      </c>
      <c r="D1935" s="30" t="s">
        <v>47</v>
      </c>
      <c r="E1935" s="31" t="s">
        <v>362</v>
      </c>
      <c r="F1935" s="32" t="s">
        <v>49</v>
      </c>
      <c r="G1935" s="32" t="s">
        <v>50</v>
      </c>
      <c r="H1935" s="33">
        <v>55460</v>
      </c>
      <c r="I1935" s="34">
        <f>Table3[[#This Row],[Volume, kg.]]/1000</f>
        <v>55.46</v>
      </c>
      <c r="J1935" s="34">
        <v>0.21729999999999999</v>
      </c>
      <c r="K1935" s="34">
        <f t="shared" si="60"/>
        <v>12051.457999999999</v>
      </c>
      <c r="L1935" s="34">
        <v>2.97</v>
      </c>
      <c r="M1935" s="34">
        <v>164440</v>
      </c>
      <c r="N1935" s="34">
        <f t="shared" si="61"/>
        <v>13.667740450989417</v>
      </c>
    </row>
    <row r="1936" spans="1:14" x14ac:dyDescent="0.45">
      <c r="A1936" s="30">
        <v>2023</v>
      </c>
      <c r="B1936" s="30" t="s">
        <v>17</v>
      </c>
      <c r="C1936" s="30" t="s">
        <v>46</v>
      </c>
      <c r="D1936" s="30" t="s">
        <v>47</v>
      </c>
      <c r="E1936" s="31" t="s">
        <v>313</v>
      </c>
      <c r="F1936" s="32" t="s">
        <v>60</v>
      </c>
      <c r="G1936" s="32" t="s">
        <v>50</v>
      </c>
      <c r="H1936" s="33">
        <v>39960</v>
      </c>
      <c r="I1936" s="34">
        <f>Table3[[#This Row],[Volume, kg.]]/1000</f>
        <v>39.96</v>
      </c>
      <c r="J1936" s="34">
        <v>0.25259999999999999</v>
      </c>
      <c r="K1936" s="34">
        <f t="shared" si="60"/>
        <v>10093.895999999999</v>
      </c>
      <c r="L1936" s="34">
        <v>3.21</v>
      </c>
      <c r="M1936" s="34">
        <v>128397</v>
      </c>
      <c r="N1936" s="34">
        <f t="shared" si="61"/>
        <v>12.707838479809977</v>
      </c>
    </row>
    <row r="1937" spans="1:14" x14ac:dyDescent="0.45">
      <c r="A1937" s="30">
        <v>2023</v>
      </c>
      <c r="B1937" s="30" t="s">
        <v>17</v>
      </c>
      <c r="C1937" s="30" t="s">
        <v>46</v>
      </c>
      <c r="D1937" s="30" t="s">
        <v>47</v>
      </c>
      <c r="E1937" s="31" t="s">
        <v>213</v>
      </c>
      <c r="F1937" s="32" t="s">
        <v>49</v>
      </c>
      <c r="G1937" s="32" t="s">
        <v>50</v>
      </c>
      <c r="H1937" s="33">
        <v>169030</v>
      </c>
      <c r="I1937" s="34">
        <f>Table3[[#This Row],[Volume, kg.]]/1000</f>
        <v>169.03</v>
      </c>
      <c r="J1937" s="34">
        <v>0.23139999999999999</v>
      </c>
      <c r="K1937" s="34">
        <f t="shared" si="60"/>
        <v>39113.542000000001</v>
      </c>
      <c r="L1937" s="34">
        <v>3.19</v>
      </c>
      <c r="M1937" s="34">
        <v>538364.5</v>
      </c>
      <c r="N1937" s="34">
        <f t="shared" si="61"/>
        <v>13.785652549697494</v>
      </c>
    </row>
    <row r="1938" spans="1:14" x14ac:dyDescent="0.45">
      <c r="A1938" s="30">
        <v>2023</v>
      </c>
      <c r="B1938" s="30" t="s">
        <v>17</v>
      </c>
      <c r="C1938" s="30" t="s">
        <v>46</v>
      </c>
      <c r="D1938" s="30" t="s">
        <v>47</v>
      </c>
      <c r="E1938" s="31" t="s">
        <v>363</v>
      </c>
      <c r="F1938" s="32" t="s">
        <v>60</v>
      </c>
      <c r="G1938" s="32" t="s">
        <v>50</v>
      </c>
      <c r="H1938" s="33">
        <v>26670</v>
      </c>
      <c r="I1938" s="34">
        <f>Table3[[#This Row],[Volume, kg.]]/1000</f>
        <v>26.67</v>
      </c>
      <c r="J1938" s="34">
        <v>0.28249999999999997</v>
      </c>
      <c r="K1938" s="34">
        <f t="shared" si="60"/>
        <v>7534.2749999999996</v>
      </c>
      <c r="L1938" s="34">
        <v>3.3</v>
      </c>
      <c r="M1938" s="34">
        <v>88140.5</v>
      </c>
      <c r="N1938" s="34">
        <f t="shared" si="61"/>
        <v>11.68141592920354</v>
      </c>
    </row>
    <row r="1939" spans="1:14" x14ac:dyDescent="0.45">
      <c r="A1939" s="30">
        <v>2023</v>
      </c>
      <c r="B1939" s="30" t="s">
        <v>17</v>
      </c>
      <c r="C1939" s="30" t="s">
        <v>46</v>
      </c>
      <c r="D1939" s="30" t="s">
        <v>47</v>
      </c>
      <c r="E1939" s="31" t="s">
        <v>391</v>
      </c>
      <c r="F1939" s="32" t="s">
        <v>60</v>
      </c>
      <c r="G1939" s="32" t="s">
        <v>50</v>
      </c>
      <c r="H1939" s="33">
        <v>57430</v>
      </c>
      <c r="I1939" s="34">
        <f>Table3[[#This Row],[Volume, kg.]]/1000</f>
        <v>57.43</v>
      </c>
      <c r="J1939" s="34">
        <v>0.25800000000000001</v>
      </c>
      <c r="K1939" s="34">
        <f t="shared" si="60"/>
        <v>14816.94</v>
      </c>
      <c r="L1939" s="34">
        <v>3.22</v>
      </c>
      <c r="M1939" s="34">
        <v>184954</v>
      </c>
      <c r="N1939" s="34">
        <f t="shared" si="61"/>
        <v>12.480620155038761</v>
      </c>
    </row>
    <row r="1940" spans="1:14" x14ac:dyDescent="0.45">
      <c r="A1940" s="30">
        <v>2023</v>
      </c>
      <c r="B1940" s="30" t="s">
        <v>17</v>
      </c>
      <c r="C1940" s="30" t="s">
        <v>46</v>
      </c>
      <c r="D1940" s="30" t="s">
        <v>47</v>
      </c>
      <c r="E1940" s="31" t="s">
        <v>489</v>
      </c>
      <c r="F1940" s="32" t="s">
        <v>81</v>
      </c>
      <c r="G1940" s="32" t="s">
        <v>50</v>
      </c>
      <c r="H1940" s="33">
        <v>41370</v>
      </c>
      <c r="I1940" s="34">
        <f>Table3[[#This Row],[Volume, kg.]]/1000</f>
        <v>41.37</v>
      </c>
      <c r="J1940" s="34">
        <v>0.2152</v>
      </c>
      <c r="K1940" s="34">
        <f t="shared" si="60"/>
        <v>8902.8240000000005</v>
      </c>
      <c r="L1940" s="34">
        <v>3.11</v>
      </c>
      <c r="M1940" s="34">
        <v>128650</v>
      </c>
      <c r="N1940" s="34">
        <f t="shared" si="61"/>
        <v>14.451672862453531</v>
      </c>
    </row>
    <row r="1941" spans="1:14" x14ac:dyDescent="0.45">
      <c r="A1941" s="30">
        <v>2023</v>
      </c>
      <c r="B1941" s="30" t="s">
        <v>17</v>
      </c>
      <c r="C1941" s="30" t="s">
        <v>46</v>
      </c>
      <c r="D1941" s="30" t="s">
        <v>47</v>
      </c>
      <c r="E1941" s="31" t="s">
        <v>408</v>
      </c>
      <c r="F1941" s="32" t="s">
        <v>238</v>
      </c>
      <c r="G1941" s="32" t="s">
        <v>50</v>
      </c>
      <c r="H1941" s="33">
        <v>214030</v>
      </c>
      <c r="I1941" s="34">
        <f>Table3[[#This Row],[Volume, kg.]]/1000</f>
        <v>214.03</v>
      </c>
      <c r="J1941" s="34">
        <v>0.20050000000000001</v>
      </c>
      <c r="K1941" s="34">
        <f t="shared" si="60"/>
        <v>42913.014999999999</v>
      </c>
      <c r="L1941" s="34">
        <v>3.09</v>
      </c>
      <c r="M1941" s="34">
        <v>660708</v>
      </c>
      <c r="N1941" s="34">
        <f t="shared" si="61"/>
        <v>15.411471321695759</v>
      </c>
    </row>
    <row r="1942" spans="1:14" x14ac:dyDescent="0.45">
      <c r="A1942" s="30">
        <v>2023</v>
      </c>
      <c r="B1942" s="30" t="s">
        <v>17</v>
      </c>
      <c r="C1942" s="30" t="s">
        <v>46</v>
      </c>
      <c r="D1942" s="30" t="s">
        <v>47</v>
      </c>
      <c r="E1942" s="31" t="s">
        <v>466</v>
      </c>
      <c r="F1942" s="32" t="s">
        <v>57</v>
      </c>
      <c r="G1942" s="32" t="s">
        <v>50</v>
      </c>
      <c r="H1942" s="33">
        <v>3020</v>
      </c>
      <c r="I1942" s="34">
        <f>Table3[[#This Row],[Volume, kg.]]/1000</f>
        <v>3.02</v>
      </c>
      <c r="J1942" s="34">
        <v>0.22550000000000001</v>
      </c>
      <c r="K1942" s="34">
        <f t="shared" si="60"/>
        <v>681.01</v>
      </c>
      <c r="L1942" s="34">
        <v>3.2</v>
      </c>
      <c r="M1942" s="34">
        <v>9664</v>
      </c>
      <c r="N1942" s="34">
        <f t="shared" si="61"/>
        <v>14.190687361419069</v>
      </c>
    </row>
    <row r="1943" spans="1:14" x14ac:dyDescent="0.45">
      <c r="A1943" s="30">
        <v>2023</v>
      </c>
      <c r="B1943" s="30" t="s">
        <v>17</v>
      </c>
      <c r="C1943" s="30" t="s">
        <v>46</v>
      </c>
      <c r="D1943" s="30" t="s">
        <v>47</v>
      </c>
      <c r="E1943" s="31" t="s">
        <v>216</v>
      </c>
      <c r="F1943" s="32" t="s">
        <v>64</v>
      </c>
      <c r="G1943" s="32" t="s">
        <v>50</v>
      </c>
      <c r="H1943" s="33">
        <v>34490</v>
      </c>
      <c r="I1943" s="34">
        <f>Table3[[#This Row],[Volume, kg.]]/1000</f>
        <v>34.49</v>
      </c>
      <c r="J1943" s="34">
        <v>0.22500000000000001</v>
      </c>
      <c r="K1943" s="34">
        <f t="shared" si="60"/>
        <v>7760.25</v>
      </c>
      <c r="L1943" s="34">
        <v>3.11</v>
      </c>
      <c r="M1943" s="34">
        <v>107236</v>
      </c>
      <c r="N1943" s="34">
        <f t="shared" si="61"/>
        <v>13.822222222222221</v>
      </c>
    </row>
    <row r="1944" spans="1:14" x14ac:dyDescent="0.45">
      <c r="A1944" s="30">
        <v>2023</v>
      </c>
      <c r="B1944" s="30" t="s">
        <v>17</v>
      </c>
      <c r="C1944" s="30" t="s">
        <v>46</v>
      </c>
      <c r="D1944" s="30" t="s">
        <v>47</v>
      </c>
      <c r="E1944" s="31" t="s">
        <v>541</v>
      </c>
      <c r="F1944" s="32" t="s">
        <v>118</v>
      </c>
      <c r="G1944" s="32" t="s">
        <v>119</v>
      </c>
      <c r="H1944" s="33">
        <v>85760</v>
      </c>
      <c r="I1944" s="34">
        <f>Table3[[#This Row],[Volume, kg.]]/1000</f>
        <v>85.76</v>
      </c>
      <c r="J1944" s="34">
        <v>0.2079</v>
      </c>
      <c r="K1944" s="34">
        <f t="shared" si="60"/>
        <v>17829.504000000001</v>
      </c>
      <c r="L1944" s="34">
        <v>3.13</v>
      </c>
      <c r="M1944" s="34">
        <v>268721.5</v>
      </c>
      <c r="N1944" s="34">
        <f t="shared" si="61"/>
        <v>15.055315055315054</v>
      </c>
    </row>
    <row r="1945" spans="1:14" x14ac:dyDescent="0.45">
      <c r="A1945" s="30">
        <v>2023</v>
      </c>
      <c r="B1945" s="30" t="s">
        <v>17</v>
      </c>
      <c r="C1945" s="30" t="s">
        <v>46</v>
      </c>
      <c r="D1945" s="30" t="s">
        <v>47</v>
      </c>
      <c r="E1945" s="31" t="s">
        <v>217</v>
      </c>
      <c r="F1945" s="32" t="s">
        <v>49</v>
      </c>
      <c r="G1945" s="32" t="s">
        <v>50</v>
      </c>
      <c r="H1945" s="33">
        <v>48380</v>
      </c>
      <c r="I1945" s="34">
        <f>Table3[[#This Row],[Volume, kg.]]/1000</f>
        <v>48.38</v>
      </c>
      <c r="J1945" s="34">
        <v>0.26640000000000003</v>
      </c>
      <c r="K1945" s="34">
        <f t="shared" si="60"/>
        <v>12888.432000000001</v>
      </c>
      <c r="L1945" s="34">
        <v>3.27</v>
      </c>
      <c r="M1945" s="34">
        <v>158177</v>
      </c>
      <c r="N1945" s="34">
        <f t="shared" si="61"/>
        <v>12.274774774774773</v>
      </c>
    </row>
    <row r="1946" spans="1:14" x14ac:dyDescent="0.45">
      <c r="A1946" s="30">
        <v>2023</v>
      </c>
      <c r="B1946" s="30" t="s">
        <v>17</v>
      </c>
      <c r="C1946" s="30" t="s">
        <v>46</v>
      </c>
      <c r="D1946" s="30" t="s">
        <v>102</v>
      </c>
      <c r="E1946" s="31" t="s">
        <v>222</v>
      </c>
      <c r="F1946" s="32" t="s">
        <v>223</v>
      </c>
      <c r="G1946" s="32" t="s">
        <v>50</v>
      </c>
      <c r="H1946" s="33">
        <v>30870</v>
      </c>
      <c r="I1946" s="34">
        <f>Table3[[#This Row],[Volume, kg.]]/1000</f>
        <v>30.87</v>
      </c>
      <c r="J1946" s="34">
        <v>0.24149999999999999</v>
      </c>
      <c r="K1946" s="34">
        <f t="shared" si="60"/>
        <v>7455.1049999999996</v>
      </c>
      <c r="L1946" s="34">
        <v>3.28</v>
      </c>
      <c r="M1946" s="34">
        <v>101289</v>
      </c>
      <c r="N1946" s="34">
        <f t="shared" si="61"/>
        <v>13.581780538302278</v>
      </c>
    </row>
    <row r="1947" spans="1:14" x14ac:dyDescent="0.45">
      <c r="A1947" s="30">
        <v>2023</v>
      </c>
      <c r="B1947" s="30" t="s">
        <v>17</v>
      </c>
      <c r="C1947" s="30" t="s">
        <v>46</v>
      </c>
      <c r="D1947" s="30" t="s">
        <v>47</v>
      </c>
      <c r="E1947" s="31" t="s">
        <v>315</v>
      </c>
      <c r="F1947" s="32" t="s">
        <v>134</v>
      </c>
      <c r="G1947" s="32" t="s">
        <v>50</v>
      </c>
      <c r="H1947" s="33">
        <v>92770</v>
      </c>
      <c r="I1947" s="34">
        <f>Table3[[#This Row],[Volume, kg.]]/1000</f>
        <v>92.77</v>
      </c>
      <c r="J1947" s="34">
        <v>0.22670000000000001</v>
      </c>
      <c r="K1947" s="34">
        <f t="shared" si="60"/>
        <v>21030.959000000003</v>
      </c>
      <c r="L1947" s="34">
        <v>3.05</v>
      </c>
      <c r="M1947" s="34">
        <v>282805.5</v>
      </c>
      <c r="N1947" s="34">
        <f t="shared" si="61"/>
        <v>13.453903837670929</v>
      </c>
    </row>
    <row r="1948" spans="1:14" x14ac:dyDescent="0.45">
      <c r="A1948" s="30">
        <v>2023</v>
      </c>
      <c r="B1948" s="30" t="s">
        <v>17</v>
      </c>
      <c r="C1948" s="30" t="s">
        <v>46</v>
      </c>
      <c r="D1948" s="30" t="s">
        <v>47</v>
      </c>
      <c r="E1948" s="31" t="s">
        <v>447</v>
      </c>
      <c r="F1948" s="32" t="s">
        <v>57</v>
      </c>
      <c r="G1948" s="32" t="s">
        <v>50</v>
      </c>
      <c r="H1948" s="33">
        <v>18420</v>
      </c>
      <c r="I1948" s="34">
        <f>Table3[[#This Row],[Volume, kg.]]/1000</f>
        <v>18.420000000000002</v>
      </c>
      <c r="J1948" s="34">
        <v>0.21190000000000001</v>
      </c>
      <c r="K1948" s="34">
        <f t="shared" si="60"/>
        <v>3903.1979999999999</v>
      </c>
      <c r="L1948" s="34">
        <v>2.92</v>
      </c>
      <c r="M1948" s="34">
        <v>53870.5</v>
      </c>
      <c r="N1948" s="34">
        <f t="shared" si="61"/>
        <v>13.780084945729117</v>
      </c>
    </row>
    <row r="1949" spans="1:14" x14ac:dyDescent="0.45">
      <c r="A1949" s="30">
        <v>2023</v>
      </c>
      <c r="B1949" s="30" t="s">
        <v>17</v>
      </c>
      <c r="C1949" s="30" t="s">
        <v>46</v>
      </c>
      <c r="D1949" s="30" t="s">
        <v>47</v>
      </c>
      <c r="E1949" s="31" t="s">
        <v>365</v>
      </c>
      <c r="F1949" s="32" t="s">
        <v>49</v>
      </c>
      <c r="G1949" s="32" t="s">
        <v>50</v>
      </c>
      <c r="H1949" s="33">
        <v>81050</v>
      </c>
      <c r="I1949" s="34">
        <f>Table3[[#This Row],[Volume, kg.]]/1000</f>
        <v>81.05</v>
      </c>
      <c r="J1949" s="34">
        <v>0.26899999999999996</v>
      </c>
      <c r="K1949" s="34">
        <f t="shared" si="60"/>
        <v>21802.449999999997</v>
      </c>
      <c r="L1949" s="34">
        <v>3.35</v>
      </c>
      <c r="M1949" s="34">
        <v>271888.5</v>
      </c>
      <c r="N1949" s="34">
        <f t="shared" si="61"/>
        <v>12.453531598513013</v>
      </c>
    </row>
    <row r="1950" spans="1:14" x14ac:dyDescent="0.45">
      <c r="A1950" s="30">
        <v>2023</v>
      </c>
      <c r="B1950" s="30" t="s">
        <v>17</v>
      </c>
      <c r="C1950" s="30" t="s">
        <v>46</v>
      </c>
      <c r="D1950" s="30" t="s">
        <v>47</v>
      </c>
      <c r="E1950" s="31" t="s">
        <v>448</v>
      </c>
      <c r="F1950" s="32" t="s">
        <v>238</v>
      </c>
      <c r="G1950" s="32" t="s">
        <v>50</v>
      </c>
      <c r="H1950" s="33">
        <v>53420</v>
      </c>
      <c r="I1950" s="34">
        <f>Table3[[#This Row],[Volume, kg.]]/1000</f>
        <v>53.42</v>
      </c>
      <c r="J1950" s="34">
        <v>0.22579999999999997</v>
      </c>
      <c r="K1950" s="34">
        <f t="shared" si="60"/>
        <v>12062.235999999999</v>
      </c>
      <c r="L1950" s="34">
        <v>3.09</v>
      </c>
      <c r="M1950" s="34">
        <v>165054</v>
      </c>
      <c r="N1950" s="34">
        <f t="shared" si="61"/>
        <v>13.684676705048716</v>
      </c>
    </row>
    <row r="1951" spans="1:14" x14ac:dyDescent="0.45">
      <c r="A1951" s="30">
        <v>2023</v>
      </c>
      <c r="B1951" s="30" t="s">
        <v>17</v>
      </c>
      <c r="C1951" s="30" t="s">
        <v>46</v>
      </c>
      <c r="D1951" s="30" t="s">
        <v>47</v>
      </c>
      <c r="E1951" s="31" t="s">
        <v>226</v>
      </c>
      <c r="F1951" s="32" t="s">
        <v>60</v>
      </c>
      <c r="G1951" s="32" t="s">
        <v>50</v>
      </c>
      <c r="H1951" s="33">
        <v>73690</v>
      </c>
      <c r="I1951" s="34">
        <f>Table3[[#This Row],[Volume, kg.]]/1000</f>
        <v>73.69</v>
      </c>
      <c r="J1951" s="34">
        <v>0.24489999999999998</v>
      </c>
      <c r="K1951" s="34">
        <f t="shared" si="60"/>
        <v>18046.680999999997</v>
      </c>
      <c r="L1951" s="34">
        <v>3.18</v>
      </c>
      <c r="M1951" s="34">
        <v>234348</v>
      </c>
      <c r="N1951" s="34">
        <f t="shared" si="61"/>
        <v>12.984891792568398</v>
      </c>
    </row>
    <row r="1952" spans="1:14" x14ac:dyDescent="0.45">
      <c r="A1952" s="30">
        <v>2023</v>
      </c>
      <c r="B1952" s="30" t="s">
        <v>17</v>
      </c>
      <c r="C1952" s="30" t="s">
        <v>46</v>
      </c>
      <c r="D1952" s="30" t="s">
        <v>102</v>
      </c>
      <c r="E1952" s="31" t="s">
        <v>389</v>
      </c>
      <c r="F1952" s="32" t="s">
        <v>238</v>
      </c>
      <c r="G1952" s="32" t="s">
        <v>50</v>
      </c>
      <c r="H1952" s="33">
        <v>269340</v>
      </c>
      <c r="I1952" s="34">
        <f>Table3[[#This Row],[Volume, kg.]]/1000</f>
        <v>269.33999999999997</v>
      </c>
      <c r="J1952" s="34">
        <v>0.1963</v>
      </c>
      <c r="K1952" s="34">
        <f t="shared" si="60"/>
        <v>52871.442000000003</v>
      </c>
      <c r="L1952" s="34">
        <v>3.25</v>
      </c>
      <c r="M1952" s="34">
        <v>875348.5</v>
      </c>
      <c r="N1952" s="34">
        <f t="shared" si="61"/>
        <v>16.556291390728475</v>
      </c>
    </row>
    <row r="1953" spans="1:14" x14ac:dyDescent="0.45">
      <c r="A1953" s="30">
        <v>2023</v>
      </c>
      <c r="B1953" s="30" t="s">
        <v>17</v>
      </c>
      <c r="C1953" s="30" t="s">
        <v>46</v>
      </c>
      <c r="D1953" s="30" t="s">
        <v>47</v>
      </c>
      <c r="E1953" s="31" t="s">
        <v>227</v>
      </c>
      <c r="F1953" s="32" t="s">
        <v>57</v>
      </c>
      <c r="G1953" s="32" t="s">
        <v>50</v>
      </c>
      <c r="H1953" s="33">
        <v>27280</v>
      </c>
      <c r="I1953" s="34">
        <f>Table3[[#This Row],[Volume, kg.]]/1000</f>
        <v>27.28</v>
      </c>
      <c r="J1953" s="34">
        <v>0.24729999999999999</v>
      </c>
      <c r="K1953" s="34">
        <f t="shared" si="60"/>
        <v>6746.3440000000001</v>
      </c>
      <c r="L1953" s="34">
        <v>3.25</v>
      </c>
      <c r="M1953" s="34">
        <v>88606.5</v>
      </c>
      <c r="N1953" s="34">
        <f t="shared" si="61"/>
        <v>13.141932875050546</v>
      </c>
    </row>
    <row r="1954" spans="1:14" x14ac:dyDescent="0.45">
      <c r="A1954" s="30">
        <v>2023</v>
      </c>
      <c r="B1954" s="30" t="s">
        <v>17</v>
      </c>
      <c r="C1954" s="30" t="s">
        <v>46</v>
      </c>
      <c r="D1954" s="30" t="s">
        <v>47</v>
      </c>
      <c r="E1954" s="31" t="s">
        <v>465</v>
      </c>
      <c r="F1954" s="32" t="s">
        <v>57</v>
      </c>
      <c r="G1954" s="32" t="s">
        <v>50</v>
      </c>
      <c r="H1954" s="33">
        <v>42420</v>
      </c>
      <c r="I1954" s="34">
        <f>Table3[[#This Row],[Volume, kg.]]/1000</f>
        <v>42.42</v>
      </c>
      <c r="J1954" s="34">
        <v>0.26369999999999999</v>
      </c>
      <c r="K1954" s="34">
        <f t="shared" si="60"/>
        <v>11186.154</v>
      </c>
      <c r="L1954" s="34">
        <v>3.29</v>
      </c>
      <c r="M1954" s="34">
        <v>139413</v>
      </c>
      <c r="N1954" s="34">
        <f t="shared" si="61"/>
        <v>12.476298824421692</v>
      </c>
    </row>
    <row r="1955" spans="1:14" x14ac:dyDescent="0.45">
      <c r="A1955" s="30">
        <v>2023</v>
      </c>
      <c r="B1955" s="30" t="s">
        <v>17</v>
      </c>
      <c r="C1955" s="30" t="s">
        <v>46</v>
      </c>
      <c r="D1955" s="30" t="s">
        <v>47</v>
      </c>
      <c r="E1955" s="31" t="s">
        <v>461</v>
      </c>
      <c r="F1955" s="32" t="s">
        <v>54</v>
      </c>
      <c r="G1955" s="32" t="s">
        <v>50</v>
      </c>
      <c r="H1955" s="33">
        <v>38340</v>
      </c>
      <c r="I1955" s="34">
        <f>Table3[[#This Row],[Volume, kg.]]/1000</f>
        <v>38.340000000000003</v>
      </c>
      <c r="J1955" s="34">
        <v>0.19359999999999999</v>
      </c>
      <c r="K1955" s="34">
        <f t="shared" si="60"/>
        <v>7422.6239999999998</v>
      </c>
      <c r="L1955" s="34">
        <v>2.86</v>
      </c>
      <c r="M1955" s="34">
        <v>109812</v>
      </c>
      <c r="N1955" s="34">
        <f t="shared" si="61"/>
        <v>14.772727272727273</v>
      </c>
    </row>
    <row r="1956" spans="1:14" x14ac:dyDescent="0.45">
      <c r="A1956" s="30">
        <v>2023</v>
      </c>
      <c r="B1956" s="30" t="s">
        <v>17</v>
      </c>
      <c r="C1956" s="30" t="s">
        <v>46</v>
      </c>
      <c r="D1956" s="30" t="s">
        <v>47</v>
      </c>
      <c r="E1956" s="31" t="s">
        <v>384</v>
      </c>
      <c r="F1956" s="32" t="s">
        <v>60</v>
      </c>
      <c r="G1956" s="32" t="s">
        <v>50</v>
      </c>
      <c r="H1956" s="33">
        <v>67940</v>
      </c>
      <c r="I1956" s="34">
        <f>Table3[[#This Row],[Volume, kg.]]/1000</f>
        <v>67.94</v>
      </c>
      <c r="J1956" s="34">
        <v>0.2341</v>
      </c>
      <c r="K1956" s="34">
        <f t="shared" si="60"/>
        <v>15904.754000000001</v>
      </c>
      <c r="L1956" s="34">
        <v>3.08</v>
      </c>
      <c r="M1956" s="34">
        <v>208999.5</v>
      </c>
      <c r="N1956" s="34">
        <f t="shared" si="61"/>
        <v>13.156770610850064</v>
      </c>
    </row>
    <row r="1957" spans="1:14" x14ac:dyDescent="0.45">
      <c r="A1957" s="30">
        <v>2023</v>
      </c>
      <c r="B1957" s="30" t="s">
        <v>17</v>
      </c>
      <c r="C1957" s="30" t="s">
        <v>46</v>
      </c>
      <c r="D1957" s="30" t="s">
        <v>47</v>
      </c>
      <c r="E1957" s="31" t="s">
        <v>369</v>
      </c>
      <c r="F1957" s="32" t="s">
        <v>57</v>
      </c>
      <c r="G1957" s="32" t="s">
        <v>50</v>
      </c>
      <c r="H1957" s="33">
        <v>80</v>
      </c>
      <c r="I1957" s="34">
        <f>Table3[[#This Row],[Volume, kg.]]/1000</f>
        <v>0.08</v>
      </c>
      <c r="J1957" s="34">
        <v>0.22899999999999998</v>
      </c>
      <c r="K1957" s="34">
        <f t="shared" si="60"/>
        <v>18.32</v>
      </c>
      <c r="L1957" s="34">
        <v>3.15</v>
      </c>
      <c r="M1957" s="34">
        <v>252</v>
      </c>
      <c r="N1957" s="34">
        <f t="shared" si="61"/>
        <v>13.755458515283843</v>
      </c>
    </row>
    <row r="1958" spans="1:14" x14ac:dyDescent="0.45">
      <c r="A1958" s="30">
        <v>2023</v>
      </c>
      <c r="B1958" s="30" t="s">
        <v>17</v>
      </c>
      <c r="C1958" s="30" t="s">
        <v>46</v>
      </c>
      <c r="D1958" s="30" t="s">
        <v>47</v>
      </c>
      <c r="E1958" s="31" t="s">
        <v>542</v>
      </c>
      <c r="F1958" s="32" t="s">
        <v>60</v>
      </c>
      <c r="G1958" s="32" t="s">
        <v>50</v>
      </c>
      <c r="H1958" s="33">
        <v>5910</v>
      </c>
      <c r="I1958" s="34">
        <f>Table3[[#This Row],[Volume, kg.]]/1000</f>
        <v>5.91</v>
      </c>
      <c r="J1958" s="34">
        <v>0.2762</v>
      </c>
      <c r="K1958" s="34">
        <f t="shared" si="60"/>
        <v>1632.3420000000001</v>
      </c>
      <c r="L1958" s="34">
        <v>3.29</v>
      </c>
      <c r="M1958" s="34">
        <v>19423.5</v>
      </c>
      <c r="N1958" s="34">
        <f t="shared" si="61"/>
        <v>11.911658218682115</v>
      </c>
    </row>
    <row r="1959" spans="1:14" x14ac:dyDescent="0.45">
      <c r="A1959" s="30">
        <v>2023</v>
      </c>
      <c r="B1959" s="30" t="s">
        <v>17</v>
      </c>
      <c r="C1959" s="30" t="s">
        <v>46</v>
      </c>
      <c r="D1959" s="30" t="s">
        <v>47</v>
      </c>
      <c r="E1959" s="31" t="s">
        <v>500</v>
      </c>
      <c r="F1959" s="32" t="s">
        <v>49</v>
      </c>
      <c r="G1959" s="32" t="s">
        <v>50</v>
      </c>
      <c r="H1959" s="33">
        <v>9010</v>
      </c>
      <c r="I1959" s="34">
        <f>Table3[[#This Row],[Volume, kg.]]/1000</f>
        <v>9.01</v>
      </c>
      <c r="J1959" s="34">
        <v>0.1875</v>
      </c>
      <c r="K1959" s="34">
        <f t="shared" si="60"/>
        <v>1689.375</v>
      </c>
      <c r="L1959" s="34">
        <v>2.8</v>
      </c>
      <c r="M1959" s="34">
        <v>25228</v>
      </c>
      <c r="N1959" s="34">
        <f t="shared" si="61"/>
        <v>14.933333333333332</v>
      </c>
    </row>
    <row r="1960" spans="1:14" x14ac:dyDescent="0.45">
      <c r="A1960" s="30">
        <v>2023</v>
      </c>
      <c r="B1960" s="30" t="s">
        <v>17</v>
      </c>
      <c r="C1960" s="30" t="s">
        <v>46</v>
      </c>
      <c r="D1960" s="30" t="s">
        <v>47</v>
      </c>
      <c r="E1960" s="31" t="s">
        <v>232</v>
      </c>
      <c r="F1960" s="32" t="s">
        <v>49</v>
      </c>
      <c r="G1960" s="32" t="s">
        <v>50</v>
      </c>
      <c r="H1960" s="33">
        <v>55610</v>
      </c>
      <c r="I1960" s="34">
        <f>Table3[[#This Row],[Volume, kg.]]/1000</f>
        <v>55.61</v>
      </c>
      <c r="J1960" s="34">
        <v>0.22989999999999999</v>
      </c>
      <c r="K1960" s="34">
        <f t="shared" si="60"/>
        <v>12784.739</v>
      </c>
      <c r="L1960" s="34">
        <v>3.05</v>
      </c>
      <c r="M1960" s="34">
        <v>169364</v>
      </c>
      <c r="N1960" s="34">
        <f t="shared" si="61"/>
        <v>13.266637668551544</v>
      </c>
    </row>
    <row r="1961" spans="1:14" x14ac:dyDescent="0.45">
      <c r="A1961" s="30">
        <v>2023</v>
      </c>
      <c r="B1961" s="30" t="s">
        <v>17</v>
      </c>
      <c r="C1961" s="30" t="s">
        <v>46</v>
      </c>
      <c r="D1961" s="30" t="s">
        <v>47</v>
      </c>
      <c r="E1961" s="31" t="s">
        <v>385</v>
      </c>
      <c r="F1961" s="32" t="s">
        <v>57</v>
      </c>
      <c r="G1961" s="32" t="s">
        <v>50</v>
      </c>
      <c r="H1961" s="33">
        <v>13130</v>
      </c>
      <c r="I1961" s="34">
        <f>Table3[[#This Row],[Volume, kg.]]/1000</f>
        <v>13.13</v>
      </c>
      <c r="J1961" s="34">
        <v>0.24399999999999999</v>
      </c>
      <c r="K1961" s="34">
        <f t="shared" si="60"/>
        <v>3203.72</v>
      </c>
      <c r="L1961" s="34">
        <v>3.22</v>
      </c>
      <c r="M1961" s="34">
        <v>42291</v>
      </c>
      <c r="N1961" s="34">
        <f t="shared" si="61"/>
        <v>13.196721311475411</v>
      </c>
    </row>
    <row r="1962" spans="1:14" x14ac:dyDescent="0.45">
      <c r="A1962" s="30">
        <v>2023</v>
      </c>
      <c r="B1962" s="30" t="s">
        <v>17</v>
      </c>
      <c r="C1962" s="30" t="s">
        <v>46</v>
      </c>
      <c r="D1962" s="30" t="s">
        <v>47</v>
      </c>
      <c r="E1962" s="31" t="s">
        <v>381</v>
      </c>
      <c r="F1962" s="32" t="s">
        <v>49</v>
      </c>
      <c r="G1962" s="32" t="s">
        <v>50</v>
      </c>
      <c r="H1962" s="33">
        <v>24470</v>
      </c>
      <c r="I1962" s="34">
        <f>Table3[[#This Row],[Volume, kg.]]/1000</f>
        <v>24.47</v>
      </c>
      <c r="J1962" s="34">
        <v>0.2382</v>
      </c>
      <c r="K1962" s="34">
        <f t="shared" si="60"/>
        <v>5828.7539999999999</v>
      </c>
      <c r="L1962" s="34">
        <v>3.07</v>
      </c>
      <c r="M1962" s="34">
        <v>75237.5</v>
      </c>
      <c r="N1962" s="34">
        <f t="shared" si="61"/>
        <v>12.88832913518052</v>
      </c>
    </row>
    <row r="1963" spans="1:14" x14ac:dyDescent="0.45">
      <c r="A1963" s="30">
        <v>2023</v>
      </c>
      <c r="B1963" s="30" t="s">
        <v>17</v>
      </c>
      <c r="C1963" s="30" t="s">
        <v>46</v>
      </c>
      <c r="D1963" s="30" t="s">
        <v>47</v>
      </c>
      <c r="E1963" s="31" t="s">
        <v>318</v>
      </c>
      <c r="F1963" s="32" t="s">
        <v>60</v>
      </c>
      <c r="G1963" s="32" t="s">
        <v>50</v>
      </c>
      <c r="H1963" s="33">
        <v>37850</v>
      </c>
      <c r="I1963" s="34">
        <f>Table3[[#This Row],[Volume, kg.]]/1000</f>
        <v>37.85</v>
      </c>
      <c r="J1963" s="34">
        <v>0.24640000000000001</v>
      </c>
      <c r="K1963" s="34">
        <f t="shared" si="60"/>
        <v>9326.24</v>
      </c>
      <c r="L1963" s="34">
        <v>3.31</v>
      </c>
      <c r="M1963" s="34">
        <v>125283.5</v>
      </c>
      <c r="N1963" s="34">
        <f t="shared" si="61"/>
        <v>13.433441558441558</v>
      </c>
    </row>
    <row r="1964" spans="1:14" x14ac:dyDescent="0.45">
      <c r="A1964" s="30">
        <v>2023</v>
      </c>
      <c r="B1964" s="30" t="s">
        <v>17</v>
      </c>
      <c r="C1964" s="30" t="s">
        <v>46</v>
      </c>
      <c r="D1964" s="30" t="s">
        <v>47</v>
      </c>
      <c r="E1964" s="31" t="s">
        <v>233</v>
      </c>
      <c r="F1964" s="32" t="s">
        <v>57</v>
      </c>
      <c r="G1964" s="32" t="s">
        <v>50</v>
      </c>
      <c r="H1964" s="33">
        <v>72390</v>
      </c>
      <c r="I1964" s="34">
        <f>Table3[[#This Row],[Volume, kg.]]/1000</f>
        <v>72.39</v>
      </c>
      <c r="J1964" s="34">
        <v>0.25769999999999998</v>
      </c>
      <c r="K1964" s="34">
        <f t="shared" si="60"/>
        <v>18654.902999999998</v>
      </c>
      <c r="L1964" s="34">
        <v>3.32</v>
      </c>
      <c r="M1964" s="34">
        <v>240538</v>
      </c>
      <c r="N1964" s="34">
        <f t="shared" si="61"/>
        <v>12.883197516492045</v>
      </c>
    </row>
    <row r="1965" spans="1:14" x14ac:dyDescent="0.45">
      <c r="A1965" s="30">
        <v>2023</v>
      </c>
      <c r="B1965" s="30" t="s">
        <v>17</v>
      </c>
      <c r="C1965" s="30" t="s">
        <v>46</v>
      </c>
      <c r="D1965" s="30" t="s">
        <v>47</v>
      </c>
      <c r="E1965" s="31" t="s">
        <v>234</v>
      </c>
      <c r="F1965" s="32" t="s">
        <v>49</v>
      </c>
      <c r="G1965" s="32" t="s">
        <v>50</v>
      </c>
      <c r="H1965" s="33">
        <v>16420</v>
      </c>
      <c r="I1965" s="34">
        <f>Table3[[#This Row],[Volume, kg.]]/1000</f>
        <v>16.420000000000002</v>
      </c>
      <c r="J1965" s="34">
        <v>0.24179999999999999</v>
      </c>
      <c r="K1965" s="34">
        <f t="shared" si="60"/>
        <v>3970.3559999999998</v>
      </c>
      <c r="L1965" s="34">
        <v>3.21</v>
      </c>
      <c r="M1965" s="34">
        <v>52652</v>
      </c>
      <c r="N1965" s="34">
        <f t="shared" si="61"/>
        <v>13.275434243176178</v>
      </c>
    </row>
    <row r="1966" spans="1:14" x14ac:dyDescent="0.45">
      <c r="A1966" s="30">
        <v>2023</v>
      </c>
      <c r="B1966" s="30" t="s">
        <v>17</v>
      </c>
      <c r="C1966" s="30" t="s">
        <v>46</v>
      </c>
      <c r="D1966" s="30" t="s">
        <v>47</v>
      </c>
      <c r="E1966" s="31" t="s">
        <v>499</v>
      </c>
      <c r="F1966" s="32" t="s">
        <v>81</v>
      </c>
      <c r="G1966" s="32" t="s">
        <v>50</v>
      </c>
      <c r="H1966" s="33">
        <v>30960</v>
      </c>
      <c r="I1966" s="34">
        <f>Table3[[#This Row],[Volume, kg.]]/1000</f>
        <v>30.96</v>
      </c>
      <c r="J1966" s="34">
        <v>0.25950000000000001</v>
      </c>
      <c r="K1966" s="34">
        <f t="shared" si="60"/>
        <v>8034.12</v>
      </c>
      <c r="L1966" s="34">
        <v>3.6</v>
      </c>
      <c r="M1966" s="34">
        <v>111355</v>
      </c>
      <c r="N1966" s="34">
        <f t="shared" si="61"/>
        <v>13.872832369942197</v>
      </c>
    </row>
    <row r="1967" spans="1:14" x14ac:dyDescent="0.45">
      <c r="A1967" s="30">
        <v>2023</v>
      </c>
      <c r="B1967" s="30" t="s">
        <v>17</v>
      </c>
      <c r="C1967" s="30" t="s">
        <v>46</v>
      </c>
      <c r="D1967" s="30" t="s">
        <v>102</v>
      </c>
      <c r="E1967" s="31" t="s">
        <v>239</v>
      </c>
      <c r="F1967" s="32" t="s">
        <v>240</v>
      </c>
      <c r="G1967" s="32" t="s">
        <v>50</v>
      </c>
      <c r="H1967" s="33">
        <v>145960</v>
      </c>
      <c r="I1967" s="34">
        <f>Table3[[#This Row],[Volume, kg.]]/1000</f>
        <v>145.96</v>
      </c>
      <c r="J1967" s="34">
        <v>0.20129999999999998</v>
      </c>
      <c r="K1967" s="34">
        <f t="shared" si="60"/>
        <v>29381.747999999996</v>
      </c>
      <c r="L1967" s="34">
        <v>3.01</v>
      </c>
      <c r="M1967" s="34">
        <v>439891.5</v>
      </c>
      <c r="N1967" s="34">
        <f t="shared" si="61"/>
        <v>14.952806756085446</v>
      </c>
    </row>
    <row r="1968" spans="1:14" x14ac:dyDescent="0.45">
      <c r="A1968" s="30">
        <v>2023</v>
      </c>
      <c r="B1968" s="30" t="s">
        <v>17</v>
      </c>
      <c r="C1968" s="30" t="s">
        <v>46</v>
      </c>
      <c r="D1968" s="30" t="s">
        <v>47</v>
      </c>
      <c r="E1968" s="31" t="s">
        <v>320</v>
      </c>
      <c r="F1968" s="32" t="s">
        <v>49</v>
      </c>
      <c r="G1968" s="32" t="s">
        <v>50</v>
      </c>
      <c r="H1968" s="33">
        <v>41940</v>
      </c>
      <c r="I1968" s="34">
        <f>Table3[[#This Row],[Volume, kg.]]/1000</f>
        <v>41.94</v>
      </c>
      <c r="J1968" s="34">
        <v>0.2429</v>
      </c>
      <c r="K1968" s="34">
        <f t="shared" si="60"/>
        <v>10187.226000000001</v>
      </c>
      <c r="L1968" s="34">
        <v>3.21</v>
      </c>
      <c r="M1968" s="34">
        <v>134579.5</v>
      </c>
      <c r="N1968" s="34">
        <f t="shared" si="61"/>
        <v>13.215314944421571</v>
      </c>
    </row>
    <row r="1969" spans="1:14" x14ac:dyDescent="0.45">
      <c r="A1969" s="30">
        <v>2023</v>
      </c>
      <c r="B1969" s="30" t="s">
        <v>17</v>
      </c>
      <c r="C1969" s="30" t="s">
        <v>46</v>
      </c>
      <c r="D1969" s="30" t="s">
        <v>47</v>
      </c>
      <c r="E1969" s="31" t="s">
        <v>241</v>
      </c>
      <c r="F1969" s="32" t="s">
        <v>57</v>
      </c>
      <c r="G1969" s="32" t="s">
        <v>50</v>
      </c>
      <c r="H1969" s="33">
        <v>29240</v>
      </c>
      <c r="I1969" s="34">
        <f>Table3[[#This Row],[Volume, kg.]]/1000</f>
        <v>29.24</v>
      </c>
      <c r="J1969" s="34">
        <v>0.2545</v>
      </c>
      <c r="K1969" s="34">
        <f t="shared" si="60"/>
        <v>7441.58</v>
      </c>
      <c r="L1969" s="34">
        <v>3.21</v>
      </c>
      <c r="M1969" s="34">
        <v>93832.5</v>
      </c>
      <c r="N1969" s="34">
        <f t="shared" si="61"/>
        <v>12.612966601178782</v>
      </c>
    </row>
    <row r="1970" spans="1:14" x14ac:dyDescent="0.45">
      <c r="A1970" s="30">
        <v>2023</v>
      </c>
      <c r="B1970" s="30" t="s">
        <v>17</v>
      </c>
      <c r="C1970" s="30" t="s">
        <v>46</v>
      </c>
      <c r="D1970" s="30" t="s">
        <v>47</v>
      </c>
      <c r="E1970" s="31" t="s">
        <v>534</v>
      </c>
      <c r="F1970" s="32" t="s">
        <v>49</v>
      </c>
      <c r="G1970" s="32" t="s">
        <v>50</v>
      </c>
      <c r="H1970" s="33">
        <v>25830</v>
      </c>
      <c r="I1970" s="34">
        <f>Table3[[#This Row],[Volume, kg.]]/1000</f>
        <v>25.83</v>
      </c>
      <c r="J1970" s="34">
        <v>0.2205</v>
      </c>
      <c r="K1970" s="34">
        <f t="shared" si="60"/>
        <v>5695.5150000000003</v>
      </c>
      <c r="L1970" s="34">
        <v>3.05</v>
      </c>
      <c r="M1970" s="34">
        <v>78760.5</v>
      </c>
      <c r="N1970" s="34">
        <f t="shared" si="61"/>
        <v>13.83219954648526</v>
      </c>
    </row>
    <row r="1971" spans="1:14" x14ac:dyDescent="0.45">
      <c r="A1971" s="30">
        <v>2023</v>
      </c>
      <c r="B1971" s="30" t="s">
        <v>17</v>
      </c>
      <c r="C1971" s="30" t="s">
        <v>46</v>
      </c>
      <c r="D1971" s="30" t="s">
        <v>47</v>
      </c>
      <c r="E1971" s="31" t="s">
        <v>321</v>
      </c>
      <c r="F1971" s="32" t="s">
        <v>49</v>
      </c>
      <c r="G1971" s="32" t="s">
        <v>50</v>
      </c>
      <c r="H1971" s="33">
        <v>3750</v>
      </c>
      <c r="I1971" s="34">
        <f>Table3[[#This Row],[Volume, kg.]]/1000</f>
        <v>3.75</v>
      </c>
      <c r="J1971" s="34">
        <v>0.21850000000000003</v>
      </c>
      <c r="K1971" s="34">
        <f t="shared" si="60"/>
        <v>819.37500000000011</v>
      </c>
      <c r="L1971" s="34">
        <v>2.95</v>
      </c>
      <c r="M1971" s="34">
        <v>11062.5</v>
      </c>
      <c r="N1971" s="34">
        <f t="shared" si="61"/>
        <v>13.501144164759724</v>
      </c>
    </row>
    <row r="1972" spans="1:14" x14ac:dyDescent="0.45">
      <c r="A1972" s="30">
        <v>2023</v>
      </c>
      <c r="B1972" s="30" t="s">
        <v>17</v>
      </c>
      <c r="C1972" s="30" t="s">
        <v>46</v>
      </c>
      <c r="D1972" s="30" t="s">
        <v>47</v>
      </c>
      <c r="E1972" s="31" t="s">
        <v>242</v>
      </c>
      <c r="F1972" s="32" t="s">
        <v>60</v>
      </c>
      <c r="G1972" s="32" t="s">
        <v>50</v>
      </c>
      <c r="H1972" s="33">
        <v>32840</v>
      </c>
      <c r="I1972" s="34">
        <f>Table3[[#This Row],[Volume, kg.]]/1000</f>
        <v>32.840000000000003</v>
      </c>
      <c r="J1972" s="34">
        <v>0.27600000000000002</v>
      </c>
      <c r="K1972" s="34">
        <f t="shared" si="60"/>
        <v>9063.84</v>
      </c>
      <c r="L1972" s="34">
        <v>3.35</v>
      </c>
      <c r="M1972" s="34">
        <v>109910.5</v>
      </c>
      <c r="N1972" s="34">
        <f t="shared" si="61"/>
        <v>12.137681159420289</v>
      </c>
    </row>
    <row r="1973" spans="1:14" x14ac:dyDescent="0.45">
      <c r="A1973" s="30">
        <v>2023</v>
      </c>
      <c r="B1973" s="30" t="s">
        <v>17</v>
      </c>
      <c r="C1973" s="30" t="s">
        <v>46</v>
      </c>
      <c r="D1973" s="30" t="s">
        <v>47</v>
      </c>
      <c r="E1973" s="31" t="s">
        <v>452</v>
      </c>
      <c r="F1973" s="32" t="s">
        <v>134</v>
      </c>
      <c r="G1973" s="32" t="s">
        <v>50</v>
      </c>
      <c r="H1973" s="33">
        <v>111150</v>
      </c>
      <c r="I1973" s="34">
        <f>Table3[[#This Row],[Volume, kg.]]/1000</f>
        <v>111.15</v>
      </c>
      <c r="J1973" s="34">
        <v>0.21719999999999998</v>
      </c>
      <c r="K1973" s="34">
        <f t="shared" si="60"/>
        <v>24141.78</v>
      </c>
      <c r="L1973" s="34">
        <v>3.31</v>
      </c>
      <c r="M1973" s="34">
        <v>368265</v>
      </c>
      <c r="N1973" s="34">
        <f t="shared" si="61"/>
        <v>15.239410681399633</v>
      </c>
    </row>
    <row r="1974" spans="1:14" x14ac:dyDescent="0.45">
      <c r="A1974" s="30">
        <v>2023</v>
      </c>
      <c r="B1974" s="30" t="s">
        <v>17</v>
      </c>
      <c r="C1974" s="30" t="s">
        <v>46</v>
      </c>
      <c r="D1974" s="30" t="s">
        <v>47</v>
      </c>
      <c r="E1974" s="31" t="s">
        <v>513</v>
      </c>
      <c r="F1974" s="32" t="s">
        <v>57</v>
      </c>
      <c r="G1974" s="32" t="s">
        <v>50</v>
      </c>
      <c r="H1974" s="33">
        <v>21570</v>
      </c>
      <c r="I1974" s="34">
        <f>Table3[[#This Row],[Volume, kg.]]/1000</f>
        <v>21.57</v>
      </c>
      <c r="J1974" s="34">
        <v>0.22670000000000001</v>
      </c>
      <c r="K1974" s="34">
        <f t="shared" si="60"/>
        <v>4889.9189999999999</v>
      </c>
      <c r="L1974" s="34">
        <v>3</v>
      </c>
      <c r="M1974" s="34">
        <v>64614</v>
      </c>
      <c r="N1974" s="34">
        <f t="shared" si="61"/>
        <v>13.233348037053373</v>
      </c>
    </row>
    <row r="1975" spans="1:14" x14ac:dyDescent="0.45">
      <c r="A1975" s="30">
        <v>2023</v>
      </c>
      <c r="B1975" s="30" t="s">
        <v>17</v>
      </c>
      <c r="C1975" s="30" t="s">
        <v>46</v>
      </c>
      <c r="D1975" s="30" t="s">
        <v>47</v>
      </c>
      <c r="E1975" s="31" t="s">
        <v>243</v>
      </c>
      <c r="F1975" s="32" t="s">
        <v>60</v>
      </c>
      <c r="G1975" s="32" t="s">
        <v>50</v>
      </c>
      <c r="H1975" s="33">
        <v>12660</v>
      </c>
      <c r="I1975" s="34">
        <f>Table3[[#This Row],[Volume, kg.]]/1000</f>
        <v>12.66</v>
      </c>
      <c r="J1975" s="34">
        <v>0.251</v>
      </c>
      <c r="K1975" s="34">
        <f t="shared" si="60"/>
        <v>3177.66</v>
      </c>
      <c r="L1975" s="34">
        <v>3.2</v>
      </c>
      <c r="M1975" s="34">
        <v>40512</v>
      </c>
      <c r="N1975" s="34">
        <f t="shared" si="61"/>
        <v>12.749003984063746</v>
      </c>
    </row>
    <row r="1976" spans="1:14" x14ac:dyDescent="0.45">
      <c r="A1976" s="30">
        <v>2023</v>
      </c>
      <c r="B1976" s="30" t="s">
        <v>17</v>
      </c>
      <c r="C1976" s="30" t="s">
        <v>46</v>
      </c>
      <c r="D1976" s="30" t="s">
        <v>47</v>
      </c>
      <c r="E1976" s="31" t="s">
        <v>543</v>
      </c>
      <c r="F1976" s="32" t="s">
        <v>49</v>
      </c>
      <c r="G1976" s="32" t="s">
        <v>50</v>
      </c>
      <c r="H1976" s="33">
        <v>22070</v>
      </c>
      <c r="I1976" s="34">
        <f>Table3[[#This Row],[Volume, kg.]]/1000</f>
        <v>22.07</v>
      </c>
      <c r="J1976" s="34">
        <v>0.25190000000000001</v>
      </c>
      <c r="K1976" s="34">
        <f t="shared" si="60"/>
        <v>5559.433</v>
      </c>
      <c r="L1976" s="34">
        <v>3.5</v>
      </c>
      <c r="M1976" s="34">
        <v>77237.5</v>
      </c>
      <c r="N1976" s="34">
        <f t="shared" si="61"/>
        <v>13.89440254069075</v>
      </c>
    </row>
    <row r="1977" spans="1:14" x14ac:dyDescent="0.45">
      <c r="A1977" s="30">
        <v>2023</v>
      </c>
      <c r="B1977" s="30" t="s">
        <v>17</v>
      </c>
      <c r="C1977" s="30" t="s">
        <v>46</v>
      </c>
      <c r="D1977" s="30" t="s">
        <v>47</v>
      </c>
      <c r="E1977" s="31" t="s">
        <v>493</v>
      </c>
      <c r="F1977" s="32" t="s">
        <v>49</v>
      </c>
      <c r="G1977" s="32" t="s">
        <v>50</v>
      </c>
      <c r="H1977" s="33">
        <v>24840</v>
      </c>
      <c r="I1977" s="34">
        <f>Table3[[#This Row],[Volume, kg.]]/1000</f>
        <v>24.84</v>
      </c>
      <c r="J1977" s="34">
        <v>0.2354</v>
      </c>
      <c r="K1977" s="34">
        <f t="shared" si="60"/>
        <v>5847.3360000000002</v>
      </c>
      <c r="L1977" s="34">
        <v>3.06</v>
      </c>
      <c r="M1977" s="34">
        <v>75956</v>
      </c>
      <c r="N1977" s="34">
        <f t="shared" si="61"/>
        <v>12.999150382327953</v>
      </c>
    </row>
    <row r="1978" spans="1:14" x14ac:dyDescent="0.45">
      <c r="A1978" s="30">
        <v>2023</v>
      </c>
      <c r="B1978" s="30" t="s">
        <v>17</v>
      </c>
      <c r="C1978" s="30" t="s">
        <v>46</v>
      </c>
      <c r="D1978" s="30" t="s">
        <v>47</v>
      </c>
      <c r="E1978" s="31" t="s">
        <v>527</v>
      </c>
      <c r="F1978" s="32" t="s">
        <v>60</v>
      </c>
      <c r="G1978" s="32" t="s">
        <v>50</v>
      </c>
      <c r="H1978" s="33">
        <v>8150</v>
      </c>
      <c r="I1978" s="34">
        <f>Table3[[#This Row],[Volume, kg.]]/1000</f>
        <v>8.15</v>
      </c>
      <c r="J1978" s="34">
        <v>0.24149999999999999</v>
      </c>
      <c r="K1978" s="34">
        <f t="shared" si="60"/>
        <v>1968.2249999999999</v>
      </c>
      <c r="L1978" s="34">
        <v>3.45</v>
      </c>
      <c r="M1978" s="34">
        <v>28117.5</v>
      </c>
      <c r="N1978" s="34">
        <f t="shared" si="61"/>
        <v>14.285714285714286</v>
      </c>
    </row>
    <row r="1979" spans="1:14" x14ac:dyDescent="0.45">
      <c r="A1979" s="30">
        <v>2023</v>
      </c>
      <c r="B1979" s="30" t="s">
        <v>17</v>
      </c>
      <c r="C1979" s="30" t="s">
        <v>46</v>
      </c>
      <c r="D1979" s="30" t="s">
        <v>47</v>
      </c>
      <c r="E1979" s="31" t="s">
        <v>322</v>
      </c>
      <c r="F1979" s="32" t="s">
        <v>57</v>
      </c>
      <c r="G1979" s="32" t="s">
        <v>50</v>
      </c>
      <c r="H1979" s="33">
        <v>6640</v>
      </c>
      <c r="I1979" s="34">
        <f>Table3[[#This Row],[Volume, kg.]]/1000</f>
        <v>6.64</v>
      </c>
      <c r="J1979" s="34">
        <v>0.26300000000000001</v>
      </c>
      <c r="K1979" s="34">
        <f t="shared" si="60"/>
        <v>1746.3200000000002</v>
      </c>
      <c r="L1979" s="34">
        <v>3.65</v>
      </c>
      <c r="M1979" s="34">
        <v>24236</v>
      </c>
      <c r="N1979" s="34">
        <f t="shared" si="61"/>
        <v>13.878326996197718</v>
      </c>
    </row>
    <row r="1980" spans="1:14" x14ac:dyDescent="0.45">
      <c r="A1980" s="30">
        <v>2023</v>
      </c>
      <c r="B1980" s="30" t="s">
        <v>17</v>
      </c>
      <c r="C1980" s="30" t="s">
        <v>46</v>
      </c>
      <c r="D1980" s="30" t="s">
        <v>47</v>
      </c>
      <c r="E1980" s="31" t="s">
        <v>374</v>
      </c>
      <c r="F1980" s="32" t="s">
        <v>81</v>
      </c>
      <c r="G1980" s="32" t="s">
        <v>50</v>
      </c>
      <c r="H1980" s="33">
        <v>41940</v>
      </c>
      <c r="I1980" s="34">
        <f>Table3[[#This Row],[Volume, kg.]]/1000</f>
        <v>41.94</v>
      </c>
      <c r="J1980" s="34">
        <v>0.1978</v>
      </c>
      <c r="K1980" s="34">
        <f t="shared" si="60"/>
        <v>8295.732</v>
      </c>
      <c r="L1980" s="34">
        <v>2.88</v>
      </c>
      <c r="M1980" s="34">
        <v>120841.5</v>
      </c>
      <c r="N1980" s="34">
        <f t="shared" si="61"/>
        <v>14.560161779575328</v>
      </c>
    </row>
    <row r="1981" spans="1:14" x14ac:dyDescent="0.45">
      <c r="A1981" s="30">
        <v>2023</v>
      </c>
      <c r="B1981" s="30" t="s">
        <v>17</v>
      </c>
      <c r="C1981" s="30" t="s">
        <v>46</v>
      </c>
      <c r="D1981" s="30" t="s">
        <v>47</v>
      </c>
      <c r="E1981" s="31" t="s">
        <v>324</v>
      </c>
      <c r="F1981" s="32" t="s">
        <v>81</v>
      </c>
      <c r="G1981" s="32" t="s">
        <v>50</v>
      </c>
      <c r="H1981" s="33">
        <v>65850</v>
      </c>
      <c r="I1981" s="34">
        <f>Table3[[#This Row],[Volume, kg.]]/1000</f>
        <v>65.849999999999994</v>
      </c>
      <c r="J1981" s="34">
        <v>0.23519999999999999</v>
      </c>
      <c r="K1981" s="34">
        <f t="shared" si="60"/>
        <v>15487.92</v>
      </c>
      <c r="L1981" s="34">
        <v>3.14</v>
      </c>
      <c r="M1981" s="34">
        <v>206722.5</v>
      </c>
      <c r="N1981" s="34">
        <f t="shared" si="61"/>
        <v>13.350340136054422</v>
      </c>
    </row>
    <row r="1982" spans="1:14" x14ac:dyDescent="0.45">
      <c r="A1982" s="30">
        <v>2023</v>
      </c>
      <c r="B1982" s="30" t="s">
        <v>17</v>
      </c>
      <c r="C1982" s="30" t="s">
        <v>46</v>
      </c>
      <c r="D1982" s="30" t="s">
        <v>47</v>
      </c>
      <c r="E1982" s="31" t="s">
        <v>244</v>
      </c>
      <c r="F1982" s="32" t="s">
        <v>60</v>
      </c>
      <c r="G1982" s="32" t="s">
        <v>50</v>
      </c>
      <c r="H1982" s="33">
        <v>163270</v>
      </c>
      <c r="I1982" s="34">
        <f>Table3[[#This Row],[Volume, kg.]]/1000</f>
        <v>163.27000000000001</v>
      </c>
      <c r="J1982" s="34">
        <v>0.25170000000000003</v>
      </c>
      <c r="K1982" s="34">
        <f t="shared" si="60"/>
        <v>41095.059000000008</v>
      </c>
      <c r="L1982" s="34">
        <v>3.22</v>
      </c>
      <c r="M1982" s="34">
        <v>525126</v>
      </c>
      <c r="N1982" s="34">
        <f t="shared" si="61"/>
        <v>12.793007548669049</v>
      </c>
    </row>
    <row r="1983" spans="1:14" x14ac:dyDescent="0.45">
      <c r="A1983" s="30">
        <v>2023</v>
      </c>
      <c r="B1983" s="30" t="s">
        <v>17</v>
      </c>
      <c r="C1983" s="30" t="s">
        <v>46</v>
      </c>
      <c r="D1983" s="30" t="s">
        <v>47</v>
      </c>
      <c r="E1983" s="31" t="s">
        <v>375</v>
      </c>
      <c r="F1983" s="32" t="s">
        <v>49</v>
      </c>
      <c r="G1983" s="32" t="s">
        <v>50</v>
      </c>
      <c r="H1983" s="33">
        <v>72820</v>
      </c>
      <c r="I1983" s="34">
        <f>Table3[[#This Row],[Volume, kg.]]/1000</f>
        <v>72.819999999999993</v>
      </c>
      <c r="J1983" s="34">
        <v>0.23260000000000003</v>
      </c>
      <c r="K1983" s="34">
        <f t="shared" si="60"/>
        <v>16937.932000000001</v>
      </c>
      <c r="L1983" s="34">
        <v>3.11</v>
      </c>
      <c r="M1983" s="34">
        <v>226772</v>
      </c>
      <c r="N1983" s="34">
        <f t="shared" si="61"/>
        <v>13.37059329320722</v>
      </c>
    </row>
    <row r="1984" spans="1:14" x14ac:dyDescent="0.45">
      <c r="A1984" s="30">
        <v>2023</v>
      </c>
      <c r="B1984" s="30" t="s">
        <v>17</v>
      </c>
      <c r="C1984" s="30" t="s">
        <v>46</v>
      </c>
      <c r="D1984" s="30" t="s">
        <v>47</v>
      </c>
      <c r="E1984" s="31" t="s">
        <v>245</v>
      </c>
      <c r="F1984" s="32" t="s">
        <v>57</v>
      </c>
      <c r="G1984" s="32" t="s">
        <v>50</v>
      </c>
      <c r="H1984" s="33">
        <v>15960</v>
      </c>
      <c r="I1984" s="34">
        <f>Table3[[#This Row],[Volume, kg.]]/1000</f>
        <v>15.96</v>
      </c>
      <c r="J1984" s="34">
        <v>0.27440000000000003</v>
      </c>
      <c r="K1984" s="34">
        <f t="shared" si="60"/>
        <v>4379.4240000000009</v>
      </c>
      <c r="L1984" s="34">
        <v>3.73</v>
      </c>
      <c r="M1984" s="34">
        <v>59576</v>
      </c>
      <c r="N1984" s="34">
        <f t="shared" si="61"/>
        <v>13.593294460641397</v>
      </c>
    </row>
    <row r="1985" spans="1:14" x14ac:dyDescent="0.45">
      <c r="A1985" s="30">
        <v>2023</v>
      </c>
      <c r="B1985" s="30" t="s">
        <v>17</v>
      </c>
      <c r="C1985" s="30" t="s">
        <v>46</v>
      </c>
      <c r="D1985" s="30" t="s">
        <v>47</v>
      </c>
      <c r="E1985" s="31" t="s">
        <v>246</v>
      </c>
      <c r="F1985" s="32" t="s">
        <v>49</v>
      </c>
      <c r="G1985" s="32" t="s">
        <v>50</v>
      </c>
      <c r="H1985" s="33">
        <v>2570</v>
      </c>
      <c r="I1985" s="34">
        <f>Table3[[#This Row],[Volume, kg.]]/1000</f>
        <v>2.57</v>
      </c>
      <c r="J1985" s="34">
        <v>0.27750000000000002</v>
      </c>
      <c r="K1985" s="34">
        <f t="shared" si="60"/>
        <v>713.17500000000007</v>
      </c>
      <c r="L1985" s="34">
        <v>3.75</v>
      </c>
      <c r="M1985" s="34">
        <v>9637.5</v>
      </c>
      <c r="N1985" s="34">
        <f t="shared" si="61"/>
        <v>13.513513513513512</v>
      </c>
    </row>
    <row r="1986" spans="1:14" x14ac:dyDescent="0.45">
      <c r="A1986" s="30">
        <v>2023</v>
      </c>
      <c r="B1986" s="30" t="s">
        <v>17</v>
      </c>
      <c r="C1986" s="30" t="s">
        <v>46</v>
      </c>
      <c r="D1986" s="30" t="s">
        <v>47</v>
      </c>
      <c r="E1986" s="31" t="s">
        <v>325</v>
      </c>
      <c r="F1986" s="32" t="s">
        <v>60</v>
      </c>
      <c r="G1986" s="32" t="s">
        <v>50</v>
      </c>
      <c r="H1986" s="33">
        <v>33610</v>
      </c>
      <c r="I1986" s="34">
        <f>Table3[[#This Row],[Volume, kg.]]/1000</f>
        <v>33.61</v>
      </c>
      <c r="J1986" s="34">
        <v>0.27489999999999998</v>
      </c>
      <c r="K1986" s="34">
        <f t="shared" si="60"/>
        <v>9239.3889999999992</v>
      </c>
      <c r="L1986" s="34">
        <v>3.33</v>
      </c>
      <c r="M1986" s="34">
        <v>112051.5</v>
      </c>
      <c r="N1986" s="34">
        <f t="shared" si="61"/>
        <v>12.113495816660604</v>
      </c>
    </row>
    <row r="1987" spans="1:14" x14ac:dyDescent="0.45">
      <c r="A1987" s="30">
        <v>2023</v>
      </c>
      <c r="B1987" s="30" t="s">
        <v>17</v>
      </c>
      <c r="C1987" s="30" t="s">
        <v>46</v>
      </c>
      <c r="D1987" s="30" t="s">
        <v>102</v>
      </c>
      <c r="E1987" s="31" t="s">
        <v>378</v>
      </c>
      <c r="F1987" s="32" t="s">
        <v>81</v>
      </c>
      <c r="G1987" s="32" t="s">
        <v>50</v>
      </c>
      <c r="H1987" s="33">
        <v>44900</v>
      </c>
      <c r="I1987" s="34">
        <f>Table3[[#This Row],[Volume, kg.]]/1000</f>
        <v>44.9</v>
      </c>
      <c r="J1987" s="34">
        <v>0.21829999999999999</v>
      </c>
      <c r="K1987" s="34">
        <f t="shared" ref="K1987:K2050" si="62">H1987*J1987</f>
        <v>9801.67</v>
      </c>
      <c r="L1987" s="34">
        <v>3.07</v>
      </c>
      <c r="M1987" s="34">
        <v>137849.5</v>
      </c>
      <c r="N1987" s="34">
        <f t="shared" si="61"/>
        <v>14.063215758131012</v>
      </c>
    </row>
    <row r="1988" spans="1:14" x14ac:dyDescent="0.45">
      <c r="A1988" s="30">
        <v>2023</v>
      </c>
      <c r="B1988" s="30" t="s">
        <v>17</v>
      </c>
      <c r="C1988" s="30" t="s">
        <v>46</v>
      </c>
      <c r="D1988" s="30" t="s">
        <v>102</v>
      </c>
      <c r="E1988" s="31" t="s">
        <v>250</v>
      </c>
      <c r="F1988" s="32" t="s">
        <v>49</v>
      </c>
      <c r="G1988" s="32" t="s">
        <v>50</v>
      </c>
      <c r="H1988" s="33">
        <v>2020200</v>
      </c>
      <c r="I1988" s="34">
        <f>Table3[[#This Row],[Volume, kg.]]/1000</f>
        <v>2020.2</v>
      </c>
      <c r="J1988" s="34">
        <v>0.22570000000000001</v>
      </c>
      <c r="K1988" s="34">
        <f t="shared" si="62"/>
        <v>455959.14</v>
      </c>
      <c r="L1988" s="34">
        <v>3.26</v>
      </c>
      <c r="M1988" s="34">
        <v>6583996</v>
      </c>
      <c r="N1988" s="34">
        <f t="shared" ref="N1988:N2051" si="63">L1988/J1988</f>
        <v>14.44395214887018</v>
      </c>
    </row>
    <row r="1989" spans="1:14" x14ac:dyDescent="0.45">
      <c r="A1989" s="30">
        <v>2023</v>
      </c>
      <c r="B1989" s="30" t="s">
        <v>17</v>
      </c>
      <c r="C1989" s="30" t="s">
        <v>46</v>
      </c>
      <c r="D1989" s="30" t="s">
        <v>47</v>
      </c>
      <c r="E1989" s="31" t="s">
        <v>251</v>
      </c>
      <c r="F1989" s="32" t="s">
        <v>49</v>
      </c>
      <c r="G1989" s="32" t="s">
        <v>50</v>
      </c>
      <c r="H1989" s="33">
        <v>11370</v>
      </c>
      <c r="I1989" s="34">
        <f>Table3[[#This Row],[Volume, kg.]]/1000</f>
        <v>11.37</v>
      </c>
      <c r="J1989" s="34">
        <v>0.19149999999999998</v>
      </c>
      <c r="K1989" s="34">
        <f t="shared" si="62"/>
        <v>2177.3549999999996</v>
      </c>
      <c r="L1989" s="34">
        <v>2.95</v>
      </c>
      <c r="M1989" s="34">
        <v>33541.5</v>
      </c>
      <c r="N1989" s="34">
        <f t="shared" si="63"/>
        <v>15.404699738903398</v>
      </c>
    </row>
    <row r="1990" spans="1:14" x14ac:dyDescent="0.45">
      <c r="A1990" s="30">
        <v>2023</v>
      </c>
      <c r="B1990" s="30" t="s">
        <v>17</v>
      </c>
      <c r="C1990" s="30" t="s">
        <v>46</v>
      </c>
      <c r="D1990" s="30" t="s">
        <v>47</v>
      </c>
      <c r="E1990" s="31" t="s">
        <v>544</v>
      </c>
      <c r="F1990" s="32" t="s">
        <v>57</v>
      </c>
      <c r="G1990" s="32" t="s">
        <v>50</v>
      </c>
      <c r="H1990" s="33">
        <v>12060</v>
      </c>
      <c r="I1990" s="34">
        <f>Table3[[#This Row],[Volume, kg.]]/1000</f>
        <v>12.06</v>
      </c>
      <c r="J1990" s="34">
        <v>0.221</v>
      </c>
      <c r="K1990" s="34">
        <f t="shared" si="62"/>
        <v>2665.26</v>
      </c>
      <c r="L1990" s="34">
        <v>3</v>
      </c>
      <c r="M1990" s="34">
        <v>36208.5</v>
      </c>
      <c r="N1990" s="34">
        <f t="shared" si="63"/>
        <v>13.574660633484163</v>
      </c>
    </row>
    <row r="1991" spans="1:14" x14ac:dyDescent="0.45">
      <c r="A1991" s="30">
        <v>2023</v>
      </c>
      <c r="B1991" s="30" t="s">
        <v>17</v>
      </c>
      <c r="C1991" s="30" t="s">
        <v>46</v>
      </c>
      <c r="D1991" s="30" t="s">
        <v>47</v>
      </c>
      <c r="E1991" s="31" t="s">
        <v>253</v>
      </c>
      <c r="F1991" s="32" t="s">
        <v>57</v>
      </c>
      <c r="G1991" s="32" t="s">
        <v>50</v>
      </c>
      <c r="H1991" s="33">
        <v>20530</v>
      </c>
      <c r="I1991" s="34">
        <f>Table3[[#This Row],[Volume, kg.]]/1000</f>
        <v>20.53</v>
      </c>
      <c r="J1991" s="34">
        <v>0.27360000000000001</v>
      </c>
      <c r="K1991" s="34">
        <f t="shared" si="62"/>
        <v>5617.0079999999998</v>
      </c>
      <c r="L1991" s="34">
        <v>3.34</v>
      </c>
      <c r="M1991" s="34">
        <v>68548</v>
      </c>
      <c r="N1991" s="34">
        <f t="shared" si="63"/>
        <v>12.207602339181285</v>
      </c>
    </row>
    <row r="1992" spans="1:14" x14ac:dyDescent="0.45">
      <c r="A1992" s="30">
        <v>2023</v>
      </c>
      <c r="B1992" s="30" t="s">
        <v>17</v>
      </c>
      <c r="C1992" s="30" t="s">
        <v>46</v>
      </c>
      <c r="D1992" s="30" t="s">
        <v>47</v>
      </c>
      <c r="E1992" s="31" t="s">
        <v>457</v>
      </c>
      <c r="F1992" s="32" t="s">
        <v>49</v>
      </c>
      <c r="G1992" s="32" t="s">
        <v>50</v>
      </c>
      <c r="H1992" s="33">
        <v>21670</v>
      </c>
      <c r="I1992" s="34">
        <f>Table3[[#This Row],[Volume, kg.]]/1000</f>
        <v>21.67</v>
      </c>
      <c r="J1992" s="34">
        <v>0.24809999999999999</v>
      </c>
      <c r="K1992" s="34">
        <f t="shared" si="62"/>
        <v>5376.3269999999993</v>
      </c>
      <c r="L1992" s="34">
        <v>3.2</v>
      </c>
      <c r="M1992" s="34">
        <v>69286</v>
      </c>
      <c r="N1992" s="34">
        <f t="shared" si="63"/>
        <v>12.898024989923419</v>
      </c>
    </row>
    <row r="1993" spans="1:14" x14ac:dyDescent="0.45">
      <c r="A1993" s="30">
        <v>2023</v>
      </c>
      <c r="B1993" s="30" t="s">
        <v>17</v>
      </c>
      <c r="C1993" s="30" t="s">
        <v>46</v>
      </c>
      <c r="D1993" s="30" t="s">
        <v>47</v>
      </c>
      <c r="E1993" s="31" t="s">
        <v>545</v>
      </c>
      <c r="F1993" s="32" t="s">
        <v>54</v>
      </c>
      <c r="G1993" s="32" t="s">
        <v>50</v>
      </c>
      <c r="H1993" s="33">
        <v>6410</v>
      </c>
      <c r="I1993" s="34">
        <f>Table3[[#This Row],[Volume, kg.]]/1000</f>
        <v>6.41</v>
      </c>
      <c r="J1993" s="34">
        <v>0.24050000000000002</v>
      </c>
      <c r="K1993" s="34">
        <f t="shared" si="62"/>
        <v>1541.605</v>
      </c>
      <c r="L1993" s="34">
        <v>3.55</v>
      </c>
      <c r="M1993" s="34">
        <v>22755.5</v>
      </c>
      <c r="N1993" s="34">
        <f t="shared" si="63"/>
        <v>14.760914760914758</v>
      </c>
    </row>
    <row r="1994" spans="1:14" x14ac:dyDescent="0.45">
      <c r="A1994" s="30">
        <v>2023</v>
      </c>
      <c r="B1994" s="30" t="s">
        <v>17</v>
      </c>
      <c r="C1994" s="30" t="s">
        <v>46</v>
      </c>
      <c r="D1994" s="30" t="s">
        <v>47</v>
      </c>
      <c r="E1994" s="31" t="s">
        <v>254</v>
      </c>
      <c r="F1994" s="32" t="s">
        <v>49</v>
      </c>
      <c r="G1994" s="32" t="s">
        <v>50</v>
      </c>
      <c r="H1994" s="33">
        <v>29510</v>
      </c>
      <c r="I1994" s="34">
        <f>Table3[[#This Row],[Volume, kg.]]/1000</f>
        <v>29.51</v>
      </c>
      <c r="J1994" s="34">
        <v>0.18539999999999998</v>
      </c>
      <c r="K1994" s="34">
        <f t="shared" si="62"/>
        <v>5471.1539999999995</v>
      </c>
      <c r="L1994" s="34">
        <v>2.84</v>
      </c>
      <c r="M1994" s="34">
        <v>83701.5</v>
      </c>
      <c r="N1994" s="34">
        <f t="shared" si="63"/>
        <v>15.318230852211435</v>
      </c>
    </row>
    <row r="1995" spans="1:14" x14ac:dyDescent="0.45">
      <c r="A1995" s="30">
        <v>2023</v>
      </c>
      <c r="B1995" s="30" t="s">
        <v>17</v>
      </c>
      <c r="C1995" s="30" t="s">
        <v>46</v>
      </c>
      <c r="D1995" s="30" t="s">
        <v>47</v>
      </c>
      <c r="E1995" s="31" t="s">
        <v>458</v>
      </c>
      <c r="F1995" s="32" t="s">
        <v>60</v>
      </c>
      <c r="G1995" s="32" t="s">
        <v>50</v>
      </c>
      <c r="H1995" s="33">
        <v>3970</v>
      </c>
      <c r="I1995" s="34">
        <f>Table3[[#This Row],[Volume, kg.]]/1000</f>
        <v>3.97</v>
      </c>
      <c r="J1995" s="34">
        <v>0.27750000000000002</v>
      </c>
      <c r="K1995" s="34">
        <f t="shared" si="62"/>
        <v>1101.6750000000002</v>
      </c>
      <c r="L1995" s="34">
        <v>3.25</v>
      </c>
      <c r="M1995" s="34">
        <v>12902.5</v>
      </c>
      <c r="N1995" s="34">
        <f t="shared" si="63"/>
        <v>11.711711711711711</v>
      </c>
    </row>
    <row r="1996" spans="1:14" x14ac:dyDescent="0.45">
      <c r="A1996" s="30">
        <v>2023</v>
      </c>
      <c r="B1996" s="30" t="s">
        <v>17</v>
      </c>
      <c r="C1996" s="30" t="s">
        <v>46</v>
      </c>
      <c r="D1996" s="30" t="s">
        <v>47</v>
      </c>
      <c r="E1996" s="31" t="s">
        <v>255</v>
      </c>
      <c r="F1996" s="32" t="s">
        <v>60</v>
      </c>
      <c r="G1996" s="32" t="s">
        <v>50</v>
      </c>
      <c r="H1996" s="33">
        <v>15880</v>
      </c>
      <c r="I1996" s="34">
        <f>Table3[[#This Row],[Volume, kg.]]/1000</f>
        <v>15.88</v>
      </c>
      <c r="J1996" s="34">
        <v>0.25920000000000004</v>
      </c>
      <c r="K1996" s="34">
        <f t="shared" si="62"/>
        <v>4116.0960000000005</v>
      </c>
      <c r="L1996" s="34">
        <v>3.26</v>
      </c>
      <c r="M1996" s="34">
        <v>51816</v>
      </c>
      <c r="N1996" s="34">
        <f t="shared" si="63"/>
        <v>12.577160493827158</v>
      </c>
    </row>
    <row r="1997" spans="1:14" x14ac:dyDescent="0.45">
      <c r="A1997" s="30">
        <v>2023</v>
      </c>
      <c r="B1997" s="30" t="s">
        <v>17</v>
      </c>
      <c r="C1997" s="30" t="s">
        <v>46</v>
      </c>
      <c r="D1997" s="30" t="s">
        <v>47</v>
      </c>
      <c r="E1997" s="31" t="s">
        <v>327</v>
      </c>
      <c r="F1997" s="32" t="s">
        <v>49</v>
      </c>
      <c r="G1997" s="32" t="s">
        <v>50</v>
      </c>
      <c r="H1997" s="33">
        <v>6520</v>
      </c>
      <c r="I1997" s="34">
        <f>Table3[[#This Row],[Volume, kg.]]/1000</f>
        <v>6.52</v>
      </c>
      <c r="J1997" s="34">
        <v>0.21850000000000003</v>
      </c>
      <c r="K1997" s="34">
        <f t="shared" si="62"/>
        <v>1424.6200000000001</v>
      </c>
      <c r="L1997" s="34">
        <v>3</v>
      </c>
      <c r="M1997" s="34">
        <v>19560</v>
      </c>
      <c r="N1997" s="34">
        <f t="shared" si="63"/>
        <v>13.729977116704804</v>
      </c>
    </row>
    <row r="1998" spans="1:14" x14ac:dyDescent="0.45">
      <c r="A1998" s="30">
        <v>2023</v>
      </c>
      <c r="B1998" s="30" t="s">
        <v>17</v>
      </c>
      <c r="C1998" s="30" t="s">
        <v>46</v>
      </c>
      <c r="D1998" s="30" t="s">
        <v>47</v>
      </c>
      <c r="E1998" s="31" t="s">
        <v>256</v>
      </c>
      <c r="F1998" s="32" t="s">
        <v>81</v>
      </c>
      <c r="G1998" s="32" t="s">
        <v>50</v>
      </c>
      <c r="H1998" s="33">
        <v>52780</v>
      </c>
      <c r="I1998" s="34">
        <f>Table3[[#This Row],[Volume, kg.]]/1000</f>
        <v>52.78</v>
      </c>
      <c r="J1998" s="34">
        <v>0.26140000000000002</v>
      </c>
      <c r="K1998" s="34">
        <f t="shared" si="62"/>
        <v>13796.692000000001</v>
      </c>
      <c r="L1998" s="34">
        <v>3.43</v>
      </c>
      <c r="M1998" s="34">
        <v>181208</v>
      </c>
      <c r="N1998" s="34">
        <f t="shared" si="63"/>
        <v>13.121652639632746</v>
      </c>
    </row>
    <row r="1999" spans="1:14" x14ac:dyDescent="0.45">
      <c r="A1999" s="30">
        <v>2023</v>
      </c>
      <c r="B1999" s="30" t="s">
        <v>17</v>
      </c>
      <c r="C1999" s="30" t="s">
        <v>46</v>
      </c>
      <c r="D1999" s="30" t="s">
        <v>47</v>
      </c>
      <c r="E1999" s="31" t="s">
        <v>257</v>
      </c>
      <c r="F1999" s="32" t="s">
        <v>64</v>
      </c>
      <c r="G1999" s="32" t="s">
        <v>50</v>
      </c>
      <c r="H1999" s="33">
        <v>337510</v>
      </c>
      <c r="I1999" s="34">
        <f>Table3[[#This Row],[Volume, kg.]]/1000</f>
        <v>337.51</v>
      </c>
      <c r="J1999" s="34">
        <v>0.20579999999999998</v>
      </c>
      <c r="K1999" s="34">
        <f t="shared" si="62"/>
        <v>69459.55799999999</v>
      </c>
      <c r="L1999" s="34">
        <v>3.13</v>
      </c>
      <c r="M1999" s="34">
        <v>1055868</v>
      </c>
      <c r="N1999" s="34">
        <f t="shared" si="63"/>
        <v>15.208940719144801</v>
      </c>
    </row>
    <row r="2000" spans="1:14" x14ac:dyDescent="0.45">
      <c r="A2000" s="30">
        <v>2023</v>
      </c>
      <c r="B2000" s="30" t="s">
        <v>17</v>
      </c>
      <c r="C2000" s="30" t="s">
        <v>46</v>
      </c>
      <c r="D2000" s="30" t="s">
        <v>47</v>
      </c>
      <c r="E2000" s="31" t="s">
        <v>459</v>
      </c>
      <c r="F2000" s="32" t="s">
        <v>134</v>
      </c>
      <c r="G2000" s="32" t="s">
        <v>50</v>
      </c>
      <c r="H2000" s="33">
        <v>65040</v>
      </c>
      <c r="I2000" s="34">
        <f>Table3[[#This Row],[Volume, kg.]]/1000</f>
        <v>65.040000000000006</v>
      </c>
      <c r="J2000" s="34">
        <v>0.22539999999999999</v>
      </c>
      <c r="K2000" s="34">
        <f t="shared" si="62"/>
        <v>14660.016</v>
      </c>
      <c r="L2000" s="34">
        <v>3.16</v>
      </c>
      <c r="M2000" s="34">
        <v>205749.5</v>
      </c>
      <c r="N2000" s="34">
        <f t="shared" si="63"/>
        <v>14.01952085181899</v>
      </c>
    </row>
    <row r="2001" spans="1:14" x14ac:dyDescent="0.45">
      <c r="A2001" s="30">
        <v>2023</v>
      </c>
      <c r="B2001" s="30" t="s">
        <v>17</v>
      </c>
      <c r="C2001" s="30" t="s">
        <v>46</v>
      </c>
      <c r="D2001" s="30" t="s">
        <v>47</v>
      </c>
      <c r="E2001" s="31" t="s">
        <v>258</v>
      </c>
      <c r="F2001" s="32" t="s">
        <v>49</v>
      </c>
      <c r="G2001" s="32" t="s">
        <v>50</v>
      </c>
      <c r="H2001" s="33">
        <v>619630</v>
      </c>
      <c r="I2001" s="34">
        <f>Table3[[#This Row],[Volume, kg.]]/1000</f>
        <v>619.63</v>
      </c>
      <c r="J2001" s="34">
        <v>0.23010000000000003</v>
      </c>
      <c r="K2001" s="34">
        <f t="shared" si="62"/>
        <v>142576.86300000001</v>
      </c>
      <c r="L2001" s="34">
        <v>3.14</v>
      </c>
      <c r="M2001" s="34">
        <v>1946149.5</v>
      </c>
      <c r="N2001" s="34">
        <f t="shared" si="63"/>
        <v>13.646240764884832</v>
      </c>
    </row>
    <row r="2002" spans="1:14" x14ac:dyDescent="0.45">
      <c r="A2002" s="30">
        <v>2023</v>
      </c>
      <c r="B2002" s="30" t="s">
        <v>18</v>
      </c>
      <c r="C2002" s="30" t="s">
        <v>46</v>
      </c>
      <c r="D2002" s="30" t="s">
        <v>47</v>
      </c>
      <c r="E2002" s="31" t="s">
        <v>48</v>
      </c>
      <c r="F2002" s="32" t="s">
        <v>49</v>
      </c>
      <c r="G2002" s="32" t="s">
        <v>50</v>
      </c>
      <c r="H2002" s="33">
        <v>23240</v>
      </c>
      <c r="I2002" s="34">
        <f>Table3[[#This Row],[Volume, kg.]]/1000</f>
        <v>23.24</v>
      </c>
      <c r="J2002" s="34">
        <v>0.2697</v>
      </c>
      <c r="K2002" s="34">
        <f t="shared" si="62"/>
        <v>6267.8279999999995</v>
      </c>
      <c r="L2002" s="34">
        <v>3.71</v>
      </c>
      <c r="M2002" s="34">
        <v>86184</v>
      </c>
      <c r="N2002" s="34">
        <f t="shared" si="63"/>
        <v>13.756025213199852</v>
      </c>
    </row>
    <row r="2003" spans="1:14" x14ac:dyDescent="0.45">
      <c r="A2003" s="30">
        <v>2023</v>
      </c>
      <c r="B2003" s="30" t="s">
        <v>18</v>
      </c>
      <c r="C2003" s="30" t="s">
        <v>46</v>
      </c>
      <c r="D2003" s="30" t="s">
        <v>47</v>
      </c>
      <c r="E2003" s="31" t="s">
        <v>51</v>
      </c>
      <c r="F2003" s="32" t="s">
        <v>49</v>
      </c>
      <c r="G2003" s="32" t="s">
        <v>50</v>
      </c>
      <c r="H2003" s="33">
        <v>16560</v>
      </c>
      <c r="I2003" s="34">
        <f>Table3[[#This Row],[Volume, kg.]]/1000</f>
        <v>16.559999999999999</v>
      </c>
      <c r="J2003" s="34">
        <v>0.29139999999999999</v>
      </c>
      <c r="K2003" s="34">
        <f t="shared" si="62"/>
        <v>4825.5839999999998</v>
      </c>
      <c r="L2003" s="34">
        <v>4.12</v>
      </c>
      <c r="M2003" s="34">
        <v>68217</v>
      </c>
      <c r="N2003" s="34">
        <f t="shared" si="63"/>
        <v>14.138641043239534</v>
      </c>
    </row>
    <row r="2004" spans="1:14" x14ac:dyDescent="0.45">
      <c r="A2004" s="30">
        <v>2023</v>
      </c>
      <c r="B2004" s="30" t="s">
        <v>18</v>
      </c>
      <c r="C2004" s="30" t="s">
        <v>46</v>
      </c>
      <c r="D2004" s="30" t="s">
        <v>47</v>
      </c>
      <c r="E2004" s="31" t="s">
        <v>53</v>
      </c>
      <c r="F2004" s="32" t="s">
        <v>54</v>
      </c>
      <c r="G2004" s="32" t="s">
        <v>50</v>
      </c>
      <c r="H2004" s="33">
        <v>127800</v>
      </c>
      <c r="I2004" s="34">
        <f>Table3[[#This Row],[Volume, kg.]]/1000</f>
        <v>127.8</v>
      </c>
      <c r="J2004" s="34">
        <v>0.28399999999999997</v>
      </c>
      <c r="K2004" s="34">
        <f t="shared" si="62"/>
        <v>36295.199999999997</v>
      </c>
      <c r="L2004" s="34">
        <v>3.94</v>
      </c>
      <c r="M2004" s="34">
        <v>503306.5</v>
      </c>
      <c r="N2004" s="34">
        <f t="shared" si="63"/>
        <v>13.87323943661972</v>
      </c>
    </row>
    <row r="2005" spans="1:14" x14ac:dyDescent="0.45">
      <c r="A2005" s="30">
        <v>2023</v>
      </c>
      <c r="B2005" s="30" t="s">
        <v>18</v>
      </c>
      <c r="C2005" s="30" t="s">
        <v>46</v>
      </c>
      <c r="D2005" s="30" t="s">
        <v>47</v>
      </c>
      <c r="E2005" s="31" t="s">
        <v>56</v>
      </c>
      <c r="F2005" s="32" t="s">
        <v>57</v>
      </c>
      <c r="G2005" s="32" t="s">
        <v>50</v>
      </c>
      <c r="H2005" s="33">
        <v>6800</v>
      </c>
      <c r="I2005" s="34">
        <f>Table3[[#This Row],[Volume, kg.]]/1000</f>
        <v>6.8</v>
      </c>
      <c r="J2005" s="34">
        <v>0.28800000000000003</v>
      </c>
      <c r="K2005" s="34">
        <f t="shared" si="62"/>
        <v>1958.4000000000003</v>
      </c>
      <c r="L2005" s="34">
        <v>3.8</v>
      </c>
      <c r="M2005" s="34">
        <v>25840</v>
      </c>
      <c r="N2005" s="34">
        <f t="shared" si="63"/>
        <v>13.194444444444443</v>
      </c>
    </row>
    <row r="2006" spans="1:14" x14ac:dyDescent="0.45">
      <c r="A2006" s="30">
        <v>2023</v>
      </c>
      <c r="B2006" s="30" t="s">
        <v>18</v>
      </c>
      <c r="C2006" s="30" t="s">
        <v>46</v>
      </c>
      <c r="D2006" s="30" t="s">
        <v>47</v>
      </c>
      <c r="E2006" s="31" t="s">
        <v>58</v>
      </c>
      <c r="F2006" s="32" t="s">
        <v>49</v>
      </c>
      <c r="G2006" s="32" t="s">
        <v>50</v>
      </c>
      <c r="H2006" s="33">
        <v>39390</v>
      </c>
      <c r="I2006" s="34">
        <f>Table3[[#This Row],[Volume, kg.]]/1000</f>
        <v>39.39</v>
      </c>
      <c r="J2006" s="34">
        <v>0.25609999999999999</v>
      </c>
      <c r="K2006" s="34">
        <f t="shared" si="62"/>
        <v>10087.779</v>
      </c>
      <c r="L2006" s="34">
        <v>3.82</v>
      </c>
      <c r="M2006" s="34">
        <v>150351</v>
      </c>
      <c r="N2006" s="34">
        <f t="shared" si="63"/>
        <v>14.91604841858649</v>
      </c>
    </row>
    <row r="2007" spans="1:14" x14ac:dyDescent="0.45">
      <c r="A2007" s="30">
        <v>2023</v>
      </c>
      <c r="B2007" s="30" t="s">
        <v>18</v>
      </c>
      <c r="C2007" s="30" t="s">
        <v>46</v>
      </c>
      <c r="D2007" s="30" t="s">
        <v>47</v>
      </c>
      <c r="E2007" s="31" t="s">
        <v>420</v>
      </c>
      <c r="F2007" s="32" t="s">
        <v>57</v>
      </c>
      <c r="G2007" s="32" t="s">
        <v>50</v>
      </c>
      <c r="H2007" s="33">
        <v>10340</v>
      </c>
      <c r="I2007" s="34">
        <f>Table3[[#This Row],[Volume, kg.]]/1000</f>
        <v>10.34</v>
      </c>
      <c r="J2007" s="34">
        <v>0.22500000000000001</v>
      </c>
      <c r="K2007" s="34">
        <f t="shared" si="62"/>
        <v>2326.5</v>
      </c>
      <c r="L2007" s="34">
        <v>3.5</v>
      </c>
      <c r="M2007" s="34">
        <v>36190</v>
      </c>
      <c r="N2007" s="34">
        <f t="shared" si="63"/>
        <v>15.555555555555555</v>
      </c>
    </row>
    <row r="2008" spans="1:14" x14ac:dyDescent="0.45">
      <c r="A2008" s="30">
        <v>2023</v>
      </c>
      <c r="B2008" s="30" t="s">
        <v>18</v>
      </c>
      <c r="C2008" s="30" t="s">
        <v>46</v>
      </c>
      <c r="D2008" s="30" t="s">
        <v>102</v>
      </c>
      <c r="E2008" s="31" t="s">
        <v>546</v>
      </c>
      <c r="F2008" s="32" t="s">
        <v>547</v>
      </c>
      <c r="G2008" s="32" t="s">
        <v>341</v>
      </c>
      <c r="H2008" s="33">
        <v>1148690</v>
      </c>
      <c r="I2008" s="34">
        <f>Table3[[#This Row],[Volume, kg.]]/1000</f>
        <v>1148.69</v>
      </c>
      <c r="J2008" s="34">
        <v>0.23230000000000001</v>
      </c>
      <c r="K2008" s="34">
        <f t="shared" si="62"/>
        <v>266840.68700000003</v>
      </c>
      <c r="L2008" s="34">
        <v>3.92</v>
      </c>
      <c r="M2008" s="34">
        <v>4500585.5</v>
      </c>
      <c r="N2008" s="34">
        <f t="shared" si="63"/>
        <v>16.874730951356003</v>
      </c>
    </row>
    <row r="2009" spans="1:14" x14ac:dyDescent="0.45">
      <c r="A2009" s="30">
        <v>2023</v>
      </c>
      <c r="B2009" s="30" t="s">
        <v>18</v>
      </c>
      <c r="C2009" s="30" t="s">
        <v>46</v>
      </c>
      <c r="D2009" s="30" t="s">
        <v>47</v>
      </c>
      <c r="E2009" s="31" t="s">
        <v>422</v>
      </c>
      <c r="F2009" s="32" t="s">
        <v>134</v>
      </c>
      <c r="G2009" s="32" t="s">
        <v>50</v>
      </c>
      <c r="H2009" s="33">
        <v>34860</v>
      </c>
      <c r="I2009" s="34">
        <f>Table3[[#This Row],[Volume, kg.]]/1000</f>
        <v>34.86</v>
      </c>
      <c r="J2009" s="34">
        <v>0.2006</v>
      </c>
      <c r="K2009" s="34">
        <f t="shared" si="62"/>
        <v>6992.9160000000002</v>
      </c>
      <c r="L2009" s="34">
        <v>3.35</v>
      </c>
      <c r="M2009" s="34">
        <v>116915.5</v>
      </c>
      <c r="N2009" s="34">
        <f t="shared" si="63"/>
        <v>16.699900299102691</v>
      </c>
    </row>
    <row r="2010" spans="1:14" x14ac:dyDescent="0.45">
      <c r="A2010" s="30">
        <v>2023</v>
      </c>
      <c r="B2010" s="30" t="s">
        <v>18</v>
      </c>
      <c r="C2010" s="30" t="s">
        <v>46</v>
      </c>
      <c r="D2010" s="30" t="s">
        <v>47</v>
      </c>
      <c r="E2010" s="31" t="s">
        <v>59</v>
      </c>
      <c r="F2010" s="32" t="s">
        <v>60</v>
      </c>
      <c r="G2010" s="32" t="s">
        <v>50</v>
      </c>
      <c r="H2010" s="33">
        <v>5820</v>
      </c>
      <c r="I2010" s="34">
        <f>Table3[[#This Row],[Volume, kg.]]/1000</f>
        <v>5.82</v>
      </c>
      <c r="J2010" s="34">
        <v>0.27750000000000002</v>
      </c>
      <c r="K2010" s="34">
        <f t="shared" si="62"/>
        <v>1615.0500000000002</v>
      </c>
      <c r="L2010" s="34">
        <v>3.8</v>
      </c>
      <c r="M2010" s="34">
        <v>22116</v>
      </c>
      <c r="N2010" s="34">
        <f t="shared" si="63"/>
        <v>13.693693693693692</v>
      </c>
    </row>
    <row r="2011" spans="1:14" x14ac:dyDescent="0.45">
      <c r="A2011" s="30">
        <v>2023</v>
      </c>
      <c r="B2011" s="30" t="s">
        <v>18</v>
      </c>
      <c r="C2011" s="30" t="s">
        <v>46</v>
      </c>
      <c r="D2011" s="30" t="s">
        <v>47</v>
      </c>
      <c r="E2011" s="31" t="s">
        <v>61</v>
      </c>
      <c r="F2011" s="32" t="s">
        <v>57</v>
      </c>
      <c r="G2011" s="32" t="s">
        <v>50</v>
      </c>
      <c r="H2011" s="33">
        <v>6530</v>
      </c>
      <c r="I2011" s="34">
        <f>Table3[[#This Row],[Volume, kg.]]/1000</f>
        <v>6.53</v>
      </c>
      <c r="J2011" s="34">
        <v>0.27350000000000002</v>
      </c>
      <c r="K2011" s="34">
        <f t="shared" si="62"/>
        <v>1785.9550000000002</v>
      </c>
      <c r="L2011" s="34">
        <v>4</v>
      </c>
      <c r="M2011" s="34">
        <v>26120</v>
      </c>
      <c r="N2011" s="34">
        <f t="shared" si="63"/>
        <v>14.625228519195611</v>
      </c>
    </row>
    <row r="2012" spans="1:14" x14ac:dyDescent="0.45">
      <c r="A2012" s="30">
        <v>2023</v>
      </c>
      <c r="B2012" s="30" t="s">
        <v>18</v>
      </c>
      <c r="C2012" s="30" t="s">
        <v>46</v>
      </c>
      <c r="D2012" s="30" t="s">
        <v>47</v>
      </c>
      <c r="E2012" s="31" t="s">
        <v>548</v>
      </c>
      <c r="F2012" s="32" t="s">
        <v>49</v>
      </c>
      <c r="G2012" s="32" t="s">
        <v>50</v>
      </c>
      <c r="H2012" s="33">
        <v>56040</v>
      </c>
      <c r="I2012" s="34">
        <f>Table3[[#This Row],[Volume, kg.]]/1000</f>
        <v>56.04</v>
      </c>
      <c r="J2012" s="34">
        <v>0.2913</v>
      </c>
      <c r="K2012" s="34">
        <f t="shared" si="62"/>
        <v>16324.451999999999</v>
      </c>
      <c r="L2012" s="34">
        <v>4.1100000000000003</v>
      </c>
      <c r="M2012" s="34">
        <v>230139</v>
      </c>
      <c r="N2012" s="34">
        <f t="shared" si="63"/>
        <v>14.109165808444903</v>
      </c>
    </row>
    <row r="2013" spans="1:14" x14ac:dyDescent="0.45">
      <c r="A2013" s="30">
        <v>2023</v>
      </c>
      <c r="B2013" s="30" t="s">
        <v>18</v>
      </c>
      <c r="C2013" s="30" t="s">
        <v>46</v>
      </c>
      <c r="D2013" s="30" t="s">
        <v>47</v>
      </c>
      <c r="E2013" s="31" t="s">
        <v>549</v>
      </c>
      <c r="F2013" s="32" t="s">
        <v>49</v>
      </c>
      <c r="G2013" s="32" t="s">
        <v>50</v>
      </c>
      <c r="H2013" s="33">
        <v>5070</v>
      </c>
      <c r="I2013" s="34">
        <f>Table3[[#This Row],[Volume, kg.]]/1000</f>
        <v>5.07</v>
      </c>
      <c r="J2013" s="34">
        <v>0.23370000000000002</v>
      </c>
      <c r="K2013" s="34">
        <f t="shared" si="62"/>
        <v>1184.8590000000002</v>
      </c>
      <c r="L2013" s="34">
        <v>3.8</v>
      </c>
      <c r="M2013" s="34">
        <v>19266</v>
      </c>
      <c r="N2013" s="34">
        <f t="shared" si="63"/>
        <v>16.260162601626014</v>
      </c>
    </row>
    <row r="2014" spans="1:14" x14ac:dyDescent="0.45">
      <c r="A2014" s="30">
        <v>2023</v>
      </c>
      <c r="B2014" s="30" t="s">
        <v>18</v>
      </c>
      <c r="C2014" s="30" t="s">
        <v>46</v>
      </c>
      <c r="D2014" s="30" t="s">
        <v>102</v>
      </c>
      <c r="E2014" s="31" t="s">
        <v>330</v>
      </c>
      <c r="F2014" s="32" t="s">
        <v>331</v>
      </c>
      <c r="G2014" s="32" t="s">
        <v>105</v>
      </c>
      <c r="H2014" s="33">
        <v>116980</v>
      </c>
      <c r="I2014" s="34">
        <f>Table3[[#This Row],[Volume, kg.]]/1000</f>
        <v>116.98</v>
      </c>
      <c r="J2014" s="34">
        <v>0.21510000000000001</v>
      </c>
      <c r="K2014" s="34">
        <f t="shared" si="62"/>
        <v>25162.398000000001</v>
      </c>
      <c r="L2014" s="34">
        <v>3.67</v>
      </c>
      <c r="M2014" s="34">
        <v>428842.5</v>
      </c>
      <c r="N2014" s="34">
        <f t="shared" si="63"/>
        <v>17.06183170618317</v>
      </c>
    </row>
    <row r="2015" spans="1:14" x14ac:dyDescent="0.45">
      <c r="A2015" s="30">
        <v>2023</v>
      </c>
      <c r="B2015" s="30" t="s">
        <v>18</v>
      </c>
      <c r="C2015" s="30" t="s">
        <v>46</v>
      </c>
      <c r="D2015" s="30" t="s">
        <v>47</v>
      </c>
      <c r="E2015" s="31" t="s">
        <v>63</v>
      </c>
      <c r="F2015" s="32" t="s">
        <v>64</v>
      </c>
      <c r="G2015" s="32" t="s">
        <v>50</v>
      </c>
      <c r="H2015" s="33">
        <v>11140</v>
      </c>
      <c r="I2015" s="34">
        <f>Table3[[#This Row],[Volume, kg.]]/1000</f>
        <v>11.14</v>
      </c>
      <c r="J2015" s="34">
        <v>0.254</v>
      </c>
      <c r="K2015" s="34">
        <f t="shared" si="62"/>
        <v>2829.56</v>
      </c>
      <c r="L2015" s="34">
        <v>3.9</v>
      </c>
      <c r="M2015" s="34">
        <v>43446</v>
      </c>
      <c r="N2015" s="34">
        <f t="shared" si="63"/>
        <v>15.354330708661417</v>
      </c>
    </row>
    <row r="2016" spans="1:14" x14ac:dyDescent="0.45">
      <c r="A2016" s="30">
        <v>2023</v>
      </c>
      <c r="B2016" s="30" t="s">
        <v>18</v>
      </c>
      <c r="C2016" s="30" t="s">
        <v>46</v>
      </c>
      <c r="D2016" s="30" t="s">
        <v>47</v>
      </c>
      <c r="E2016" s="31" t="s">
        <v>262</v>
      </c>
      <c r="F2016" s="32" t="s">
        <v>81</v>
      </c>
      <c r="G2016" s="32" t="s">
        <v>50</v>
      </c>
      <c r="H2016" s="33">
        <v>125130</v>
      </c>
      <c r="I2016" s="34">
        <f>Table3[[#This Row],[Volume, kg.]]/1000</f>
        <v>125.13</v>
      </c>
      <c r="J2016" s="34">
        <v>0.2397</v>
      </c>
      <c r="K2016" s="34">
        <f t="shared" si="62"/>
        <v>29993.661</v>
      </c>
      <c r="L2016" s="34">
        <v>3.64</v>
      </c>
      <c r="M2016" s="34">
        <v>455914</v>
      </c>
      <c r="N2016" s="34">
        <f t="shared" si="63"/>
        <v>15.185648727576137</v>
      </c>
    </row>
    <row r="2017" spans="1:14" x14ac:dyDescent="0.45">
      <c r="A2017" s="30">
        <v>2023</v>
      </c>
      <c r="B2017" s="30" t="s">
        <v>18</v>
      </c>
      <c r="C2017" s="30" t="s">
        <v>46</v>
      </c>
      <c r="D2017" s="30" t="s">
        <v>47</v>
      </c>
      <c r="E2017" s="31" t="s">
        <v>69</v>
      </c>
      <c r="F2017" s="32" t="s">
        <v>49</v>
      </c>
      <c r="G2017" s="32" t="s">
        <v>50</v>
      </c>
      <c r="H2017" s="33">
        <v>8210</v>
      </c>
      <c r="I2017" s="34">
        <f>Table3[[#This Row],[Volume, kg.]]/1000</f>
        <v>8.2100000000000009</v>
      </c>
      <c r="J2017" s="34">
        <v>0.23350000000000001</v>
      </c>
      <c r="K2017" s="34">
        <f t="shared" si="62"/>
        <v>1917.0350000000001</v>
      </c>
      <c r="L2017" s="34">
        <v>3.5</v>
      </c>
      <c r="M2017" s="34">
        <v>28735</v>
      </c>
      <c r="N2017" s="34">
        <f t="shared" si="63"/>
        <v>14.989293361884368</v>
      </c>
    </row>
    <row r="2018" spans="1:14" x14ac:dyDescent="0.45">
      <c r="A2018" s="30">
        <v>2023</v>
      </c>
      <c r="B2018" s="30" t="s">
        <v>18</v>
      </c>
      <c r="C2018" s="30" t="s">
        <v>46</v>
      </c>
      <c r="D2018" s="30" t="s">
        <v>47</v>
      </c>
      <c r="E2018" s="31" t="s">
        <v>70</v>
      </c>
      <c r="F2018" s="32" t="s">
        <v>49</v>
      </c>
      <c r="G2018" s="32" t="s">
        <v>50</v>
      </c>
      <c r="H2018" s="33">
        <v>14750</v>
      </c>
      <c r="I2018" s="34">
        <f>Table3[[#This Row],[Volume, kg.]]/1000</f>
        <v>14.75</v>
      </c>
      <c r="J2018" s="34">
        <v>0.26350000000000001</v>
      </c>
      <c r="K2018" s="34">
        <f t="shared" si="62"/>
        <v>3886.625</v>
      </c>
      <c r="L2018" s="34">
        <v>3.65</v>
      </c>
      <c r="M2018" s="34">
        <v>53837.5</v>
      </c>
      <c r="N2018" s="34">
        <f t="shared" si="63"/>
        <v>13.851992409867172</v>
      </c>
    </row>
    <row r="2019" spans="1:14" x14ac:dyDescent="0.45">
      <c r="A2019" s="30">
        <v>2023</v>
      </c>
      <c r="B2019" s="30" t="s">
        <v>18</v>
      </c>
      <c r="C2019" s="30" t="s">
        <v>46</v>
      </c>
      <c r="D2019" s="30" t="s">
        <v>47</v>
      </c>
      <c r="E2019" s="31" t="s">
        <v>503</v>
      </c>
      <c r="F2019" s="32" t="s">
        <v>49</v>
      </c>
      <c r="G2019" s="32" t="s">
        <v>50</v>
      </c>
      <c r="H2019" s="33">
        <v>25070</v>
      </c>
      <c r="I2019" s="34">
        <f>Table3[[#This Row],[Volume, kg.]]/1000</f>
        <v>25.07</v>
      </c>
      <c r="J2019" s="34">
        <v>0.20600000000000002</v>
      </c>
      <c r="K2019" s="34">
        <f t="shared" si="62"/>
        <v>5164.42</v>
      </c>
      <c r="L2019" s="34">
        <v>3.68</v>
      </c>
      <c r="M2019" s="34">
        <v>92166</v>
      </c>
      <c r="N2019" s="34">
        <f t="shared" si="63"/>
        <v>17.864077669902912</v>
      </c>
    </row>
    <row r="2020" spans="1:14" x14ac:dyDescent="0.45">
      <c r="A2020" s="30">
        <v>2023</v>
      </c>
      <c r="B2020" s="30" t="s">
        <v>18</v>
      </c>
      <c r="C2020" s="30" t="s">
        <v>46</v>
      </c>
      <c r="D2020" s="30" t="s">
        <v>47</v>
      </c>
      <c r="E2020" s="31" t="s">
        <v>73</v>
      </c>
      <c r="F2020" s="32" t="s">
        <v>49</v>
      </c>
      <c r="G2020" s="32" t="s">
        <v>50</v>
      </c>
      <c r="H2020" s="33">
        <v>17340</v>
      </c>
      <c r="I2020" s="34">
        <f>Table3[[#This Row],[Volume, kg.]]/1000</f>
        <v>17.34</v>
      </c>
      <c r="J2020" s="34">
        <v>0.27860000000000001</v>
      </c>
      <c r="K2020" s="34">
        <f t="shared" si="62"/>
        <v>4830.924</v>
      </c>
      <c r="L2020" s="34">
        <v>3.95</v>
      </c>
      <c r="M2020" s="34">
        <v>68491</v>
      </c>
      <c r="N2020" s="34">
        <f t="shared" si="63"/>
        <v>14.178033022254128</v>
      </c>
    </row>
    <row r="2021" spans="1:14" x14ac:dyDescent="0.45">
      <c r="A2021" s="30">
        <v>2023</v>
      </c>
      <c r="B2021" s="30" t="s">
        <v>18</v>
      </c>
      <c r="C2021" s="30" t="s">
        <v>46</v>
      </c>
      <c r="D2021" s="30" t="s">
        <v>47</v>
      </c>
      <c r="E2021" s="31" t="s">
        <v>75</v>
      </c>
      <c r="F2021" s="32" t="s">
        <v>49</v>
      </c>
      <c r="G2021" s="32" t="s">
        <v>50</v>
      </c>
      <c r="H2021" s="33">
        <v>7140</v>
      </c>
      <c r="I2021" s="34">
        <f>Table3[[#This Row],[Volume, kg.]]/1000</f>
        <v>7.14</v>
      </c>
      <c r="J2021" s="34">
        <v>0.2397</v>
      </c>
      <c r="K2021" s="34">
        <f t="shared" si="62"/>
        <v>1711.4580000000001</v>
      </c>
      <c r="L2021" s="34">
        <v>3.85</v>
      </c>
      <c r="M2021" s="34">
        <v>27489</v>
      </c>
      <c r="N2021" s="34">
        <f t="shared" si="63"/>
        <v>16.061743846474762</v>
      </c>
    </row>
    <row r="2022" spans="1:14" x14ac:dyDescent="0.45">
      <c r="A2022" s="30">
        <v>2023</v>
      </c>
      <c r="B2022" s="30" t="s">
        <v>18</v>
      </c>
      <c r="C2022" s="30" t="s">
        <v>46</v>
      </c>
      <c r="D2022" s="30" t="s">
        <v>47</v>
      </c>
      <c r="E2022" s="31" t="s">
        <v>265</v>
      </c>
      <c r="F2022" s="32" t="s">
        <v>49</v>
      </c>
      <c r="G2022" s="32" t="s">
        <v>50</v>
      </c>
      <c r="H2022" s="33">
        <v>30270</v>
      </c>
      <c r="I2022" s="34">
        <f>Table3[[#This Row],[Volume, kg.]]/1000</f>
        <v>30.27</v>
      </c>
      <c r="J2022" s="34">
        <v>0.29570000000000002</v>
      </c>
      <c r="K2022" s="34">
        <f t="shared" si="62"/>
        <v>8950.8389999999999</v>
      </c>
      <c r="L2022" s="34">
        <v>3.92</v>
      </c>
      <c r="M2022" s="34">
        <v>118625</v>
      </c>
      <c r="N2022" s="34">
        <f t="shared" si="63"/>
        <v>13.256679066621574</v>
      </c>
    </row>
    <row r="2023" spans="1:14" x14ac:dyDescent="0.45">
      <c r="A2023" s="30">
        <v>2023</v>
      </c>
      <c r="B2023" s="30" t="s">
        <v>18</v>
      </c>
      <c r="C2023" s="30" t="s">
        <v>46</v>
      </c>
      <c r="D2023" s="30" t="s">
        <v>47</v>
      </c>
      <c r="E2023" s="31" t="s">
        <v>77</v>
      </c>
      <c r="F2023" s="32" t="s">
        <v>49</v>
      </c>
      <c r="G2023" s="32" t="s">
        <v>50</v>
      </c>
      <c r="H2023" s="33">
        <v>10790</v>
      </c>
      <c r="I2023" s="34">
        <f>Table3[[#This Row],[Volume, kg.]]/1000</f>
        <v>10.79</v>
      </c>
      <c r="J2023" s="34">
        <v>0.2762</v>
      </c>
      <c r="K2023" s="34">
        <f t="shared" si="62"/>
        <v>2980.1979999999999</v>
      </c>
      <c r="L2023" s="34">
        <v>3.81</v>
      </c>
      <c r="M2023" s="34">
        <v>41103</v>
      </c>
      <c r="N2023" s="34">
        <f t="shared" si="63"/>
        <v>13.794351918899348</v>
      </c>
    </row>
    <row r="2024" spans="1:14" x14ac:dyDescent="0.45">
      <c r="A2024" s="30">
        <v>2023</v>
      </c>
      <c r="B2024" s="30" t="s">
        <v>18</v>
      </c>
      <c r="C2024" s="30" t="s">
        <v>46</v>
      </c>
      <c r="D2024" s="30" t="s">
        <v>102</v>
      </c>
      <c r="E2024" s="31" t="s">
        <v>336</v>
      </c>
      <c r="F2024" s="32" t="s">
        <v>114</v>
      </c>
      <c r="G2024" s="32" t="s">
        <v>108</v>
      </c>
      <c r="H2024" s="33">
        <v>538240</v>
      </c>
      <c r="I2024" s="34">
        <f>Table3[[#This Row],[Volume, kg.]]/1000</f>
        <v>538.24</v>
      </c>
      <c r="J2024" s="34">
        <v>0.25079999999999997</v>
      </c>
      <c r="K2024" s="34">
        <f t="shared" si="62"/>
        <v>134990.59199999998</v>
      </c>
      <c r="L2024" s="34">
        <v>3.83</v>
      </c>
      <c r="M2024" s="34">
        <v>2062607.5</v>
      </c>
      <c r="N2024" s="34">
        <f t="shared" si="63"/>
        <v>15.271132376395537</v>
      </c>
    </row>
    <row r="2025" spans="1:14" x14ac:dyDescent="0.45">
      <c r="A2025" s="30">
        <v>2023</v>
      </c>
      <c r="B2025" s="30" t="s">
        <v>18</v>
      </c>
      <c r="C2025" s="30" t="s">
        <v>46</v>
      </c>
      <c r="D2025" s="30" t="s">
        <v>47</v>
      </c>
      <c r="E2025" s="31" t="s">
        <v>518</v>
      </c>
      <c r="F2025" s="32" t="s">
        <v>49</v>
      </c>
      <c r="G2025" s="32" t="s">
        <v>50</v>
      </c>
      <c r="H2025" s="33">
        <v>14200</v>
      </c>
      <c r="I2025" s="34">
        <f>Table3[[#This Row],[Volume, kg.]]/1000</f>
        <v>14.2</v>
      </c>
      <c r="J2025" s="34">
        <v>0.26890000000000003</v>
      </c>
      <c r="K2025" s="34">
        <f t="shared" si="62"/>
        <v>3818.3800000000006</v>
      </c>
      <c r="L2025" s="34">
        <v>3.98</v>
      </c>
      <c r="M2025" s="34">
        <v>56474.5</v>
      </c>
      <c r="N2025" s="34">
        <f t="shared" si="63"/>
        <v>14.801041279285979</v>
      </c>
    </row>
    <row r="2026" spans="1:14" x14ac:dyDescent="0.45">
      <c r="A2026" s="30">
        <v>2023</v>
      </c>
      <c r="B2026" s="30" t="s">
        <v>18</v>
      </c>
      <c r="C2026" s="30" t="s">
        <v>46</v>
      </c>
      <c r="D2026" s="30" t="s">
        <v>47</v>
      </c>
      <c r="E2026" s="31" t="s">
        <v>80</v>
      </c>
      <c r="F2026" s="32" t="s">
        <v>81</v>
      </c>
      <c r="G2026" s="32" t="s">
        <v>50</v>
      </c>
      <c r="H2026" s="33">
        <v>23220</v>
      </c>
      <c r="I2026" s="34">
        <f>Table3[[#This Row],[Volume, kg.]]/1000</f>
        <v>23.22</v>
      </c>
      <c r="J2026" s="34">
        <v>0.24170000000000003</v>
      </c>
      <c r="K2026" s="34">
        <f t="shared" si="62"/>
        <v>5612.2740000000003</v>
      </c>
      <c r="L2026" s="34">
        <v>3.57</v>
      </c>
      <c r="M2026" s="34">
        <v>83008.5</v>
      </c>
      <c r="N2026" s="34">
        <f t="shared" si="63"/>
        <v>14.77037649979313</v>
      </c>
    </row>
    <row r="2027" spans="1:14" x14ac:dyDescent="0.45">
      <c r="A2027" s="30">
        <v>2023</v>
      </c>
      <c r="B2027" s="30" t="s">
        <v>18</v>
      </c>
      <c r="C2027" s="30" t="s">
        <v>46</v>
      </c>
      <c r="D2027" s="30" t="s">
        <v>47</v>
      </c>
      <c r="E2027" s="31" t="s">
        <v>267</v>
      </c>
      <c r="F2027" s="32" t="s">
        <v>57</v>
      </c>
      <c r="G2027" s="32" t="s">
        <v>50</v>
      </c>
      <c r="H2027" s="33">
        <v>15780</v>
      </c>
      <c r="I2027" s="34">
        <f>Table3[[#This Row],[Volume, kg.]]/1000</f>
        <v>15.78</v>
      </c>
      <c r="J2027" s="34">
        <v>0.26940000000000003</v>
      </c>
      <c r="K2027" s="34">
        <f t="shared" si="62"/>
        <v>4251.1320000000005</v>
      </c>
      <c r="L2027" s="34">
        <v>3.72</v>
      </c>
      <c r="M2027" s="34">
        <v>58736</v>
      </c>
      <c r="N2027" s="34">
        <f t="shared" si="63"/>
        <v>13.808463251670378</v>
      </c>
    </row>
    <row r="2028" spans="1:14" x14ac:dyDescent="0.45">
      <c r="A2028" s="30">
        <v>2023</v>
      </c>
      <c r="B2028" s="30" t="s">
        <v>18</v>
      </c>
      <c r="C2028" s="30" t="s">
        <v>46</v>
      </c>
      <c r="D2028" s="30" t="s">
        <v>102</v>
      </c>
      <c r="E2028" s="31" t="s">
        <v>337</v>
      </c>
      <c r="F2028" s="32" t="s">
        <v>338</v>
      </c>
      <c r="G2028" s="32" t="s">
        <v>105</v>
      </c>
      <c r="H2028" s="33">
        <v>29630</v>
      </c>
      <c r="I2028" s="34">
        <f>Table3[[#This Row],[Volume, kg.]]/1000</f>
        <v>29.63</v>
      </c>
      <c r="J2028" s="34">
        <v>0.19739999999999999</v>
      </c>
      <c r="K2028" s="34">
        <f t="shared" si="62"/>
        <v>5848.9619999999995</v>
      </c>
      <c r="L2028" s="34">
        <v>3.45</v>
      </c>
      <c r="M2028" s="34">
        <v>102197</v>
      </c>
      <c r="N2028" s="34">
        <f t="shared" si="63"/>
        <v>17.477203647416417</v>
      </c>
    </row>
    <row r="2029" spans="1:14" x14ac:dyDescent="0.45">
      <c r="A2029" s="30">
        <v>2023</v>
      </c>
      <c r="B2029" s="30" t="s">
        <v>18</v>
      </c>
      <c r="C2029" s="30" t="s">
        <v>46</v>
      </c>
      <c r="D2029" s="30" t="s">
        <v>47</v>
      </c>
      <c r="E2029" s="31" t="s">
        <v>536</v>
      </c>
      <c r="F2029" s="32" t="s">
        <v>60</v>
      </c>
      <c r="G2029" s="32" t="s">
        <v>50</v>
      </c>
      <c r="H2029" s="33">
        <v>15790</v>
      </c>
      <c r="I2029" s="34">
        <f>Table3[[#This Row],[Volume, kg.]]/1000</f>
        <v>15.79</v>
      </c>
      <c r="J2029" s="34">
        <v>0.27949999999999997</v>
      </c>
      <c r="K2029" s="34">
        <f t="shared" si="62"/>
        <v>4413.3049999999994</v>
      </c>
      <c r="L2029" s="34">
        <v>4.05</v>
      </c>
      <c r="M2029" s="34">
        <v>63949.5</v>
      </c>
      <c r="N2029" s="34">
        <f t="shared" si="63"/>
        <v>14.490161001788909</v>
      </c>
    </row>
    <row r="2030" spans="1:14" x14ac:dyDescent="0.45">
      <c r="A2030" s="30">
        <v>2023</v>
      </c>
      <c r="B2030" s="30" t="s">
        <v>18</v>
      </c>
      <c r="C2030" s="30" t="s">
        <v>46</v>
      </c>
      <c r="D2030" s="30" t="s">
        <v>47</v>
      </c>
      <c r="E2030" s="31" t="s">
        <v>550</v>
      </c>
      <c r="F2030" s="32" t="s">
        <v>515</v>
      </c>
      <c r="G2030" s="32" t="s">
        <v>50</v>
      </c>
      <c r="H2030" s="33">
        <v>32190</v>
      </c>
      <c r="I2030" s="34">
        <f>Table3[[#This Row],[Volume, kg.]]/1000</f>
        <v>32.19</v>
      </c>
      <c r="J2030" s="34">
        <v>0.24530000000000002</v>
      </c>
      <c r="K2030" s="34">
        <f t="shared" si="62"/>
        <v>7896.2070000000003</v>
      </c>
      <c r="L2030" s="34">
        <v>3.86</v>
      </c>
      <c r="M2030" s="34">
        <v>124303.5</v>
      </c>
      <c r="N2030" s="34">
        <f t="shared" si="63"/>
        <v>15.735833673053403</v>
      </c>
    </row>
    <row r="2031" spans="1:14" x14ac:dyDescent="0.45">
      <c r="A2031" s="30">
        <v>2023</v>
      </c>
      <c r="B2031" s="30" t="s">
        <v>18</v>
      </c>
      <c r="C2031" s="30" t="s">
        <v>46</v>
      </c>
      <c r="D2031" s="30" t="s">
        <v>47</v>
      </c>
      <c r="E2031" s="31" t="s">
        <v>87</v>
      </c>
      <c r="F2031" s="32" t="s">
        <v>49</v>
      </c>
      <c r="G2031" s="32" t="s">
        <v>50</v>
      </c>
      <c r="H2031" s="33">
        <v>1200</v>
      </c>
      <c r="I2031" s="34">
        <f>Table3[[#This Row],[Volume, kg.]]/1000</f>
        <v>1.2</v>
      </c>
      <c r="J2031" s="34">
        <v>0.22899999999999998</v>
      </c>
      <c r="K2031" s="34">
        <f t="shared" si="62"/>
        <v>274.79999999999995</v>
      </c>
      <c r="L2031" s="34">
        <v>3.7</v>
      </c>
      <c r="M2031" s="34">
        <v>4440</v>
      </c>
      <c r="N2031" s="34">
        <f t="shared" si="63"/>
        <v>16.157205240174676</v>
      </c>
    </row>
    <row r="2032" spans="1:14" x14ac:dyDescent="0.45">
      <c r="A2032" s="30">
        <v>2023</v>
      </c>
      <c r="B2032" s="30" t="s">
        <v>18</v>
      </c>
      <c r="C2032" s="30" t="s">
        <v>46</v>
      </c>
      <c r="D2032" s="30" t="s">
        <v>47</v>
      </c>
      <c r="E2032" s="31" t="s">
        <v>402</v>
      </c>
      <c r="F2032" s="32" t="s">
        <v>60</v>
      </c>
      <c r="G2032" s="32" t="s">
        <v>50</v>
      </c>
      <c r="H2032" s="33">
        <v>7230</v>
      </c>
      <c r="I2032" s="34">
        <f>Table3[[#This Row],[Volume, kg.]]/1000</f>
        <v>7.23</v>
      </c>
      <c r="J2032" s="34">
        <v>0.23449999999999999</v>
      </c>
      <c r="K2032" s="34">
        <f t="shared" si="62"/>
        <v>1695.4349999999999</v>
      </c>
      <c r="L2032" s="34">
        <v>3.8</v>
      </c>
      <c r="M2032" s="34">
        <v>27474</v>
      </c>
      <c r="N2032" s="34">
        <f t="shared" si="63"/>
        <v>16.204690831556505</v>
      </c>
    </row>
    <row r="2033" spans="1:14" x14ac:dyDescent="0.45">
      <c r="A2033" s="30">
        <v>2023</v>
      </c>
      <c r="B2033" s="30" t="s">
        <v>18</v>
      </c>
      <c r="C2033" s="30" t="s">
        <v>46</v>
      </c>
      <c r="D2033" s="30" t="s">
        <v>47</v>
      </c>
      <c r="E2033" s="31" t="s">
        <v>90</v>
      </c>
      <c r="F2033" s="32" t="s">
        <v>49</v>
      </c>
      <c r="G2033" s="32" t="s">
        <v>50</v>
      </c>
      <c r="H2033" s="33">
        <v>7510</v>
      </c>
      <c r="I2033" s="34">
        <f>Table3[[#This Row],[Volume, kg.]]/1000</f>
        <v>7.51</v>
      </c>
      <c r="J2033" s="34">
        <v>0.27600000000000002</v>
      </c>
      <c r="K2033" s="34">
        <f t="shared" si="62"/>
        <v>2072.7600000000002</v>
      </c>
      <c r="L2033" s="34">
        <v>4.05</v>
      </c>
      <c r="M2033" s="34">
        <v>30415.5</v>
      </c>
      <c r="N2033" s="34">
        <f t="shared" si="63"/>
        <v>14.67391304347826</v>
      </c>
    </row>
    <row r="2034" spans="1:14" x14ac:dyDescent="0.45">
      <c r="A2034" s="30">
        <v>2023</v>
      </c>
      <c r="B2034" s="30" t="s">
        <v>18</v>
      </c>
      <c r="C2034" s="30" t="s">
        <v>46</v>
      </c>
      <c r="D2034" s="30" t="s">
        <v>47</v>
      </c>
      <c r="E2034" s="31" t="s">
        <v>383</v>
      </c>
      <c r="F2034" s="32" t="s">
        <v>49</v>
      </c>
      <c r="G2034" s="32" t="s">
        <v>50</v>
      </c>
      <c r="H2034" s="33">
        <v>6660</v>
      </c>
      <c r="I2034" s="34">
        <f>Table3[[#This Row],[Volume, kg.]]/1000</f>
        <v>6.66</v>
      </c>
      <c r="J2034" s="34">
        <v>0.23129999999999998</v>
      </c>
      <c r="K2034" s="34">
        <f t="shared" si="62"/>
        <v>1540.4579999999999</v>
      </c>
      <c r="L2034" s="34">
        <v>3.73</v>
      </c>
      <c r="M2034" s="34">
        <v>24818</v>
      </c>
      <c r="N2034" s="34">
        <f t="shared" si="63"/>
        <v>16.126242974492005</v>
      </c>
    </row>
    <row r="2035" spans="1:14" x14ac:dyDescent="0.45">
      <c r="A2035" s="30">
        <v>2023</v>
      </c>
      <c r="B2035" s="30" t="s">
        <v>18</v>
      </c>
      <c r="C2035" s="30" t="s">
        <v>46</v>
      </c>
      <c r="D2035" s="30" t="s">
        <v>47</v>
      </c>
      <c r="E2035" s="31" t="s">
        <v>272</v>
      </c>
      <c r="F2035" s="32" t="s">
        <v>60</v>
      </c>
      <c r="G2035" s="32" t="s">
        <v>50</v>
      </c>
      <c r="H2035" s="33">
        <v>6620</v>
      </c>
      <c r="I2035" s="34">
        <f>Table3[[#This Row],[Volume, kg.]]/1000</f>
        <v>6.62</v>
      </c>
      <c r="J2035" s="34">
        <v>0.21600000000000003</v>
      </c>
      <c r="K2035" s="34">
        <f t="shared" si="62"/>
        <v>1429.92</v>
      </c>
      <c r="L2035" s="34">
        <v>3.75</v>
      </c>
      <c r="M2035" s="34">
        <v>24825</v>
      </c>
      <c r="N2035" s="34">
        <f t="shared" si="63"/>
        <v>17.361111111111111</v>
      </c>
    </row>
    <row r="2036" spans="1:14" x14ac:dyDescent="0.45">
      <c r="A2036" s="30">
        <v>2023</v>
      </c>
      <c r="B2036" s="30" t="s">
        <v>18</v>
      </c>
      <c r="C2036" s="30" t="s">
        <v>46</v>
      </c>
      <c r="D2036" s="30" t="s">
        <v>47</v>
      </c>
      <c r="E2036" s="31" t="s">
        <v>273</v>
      </c>
      <c r="F2036" s="32" t="s">
        <v>49</v>
      </c>
      <c r="G2036" s="32" t="s">
        <v>50</v>
      </c>
      <c r="H2036" s="33">
        <v>4190</v>
      </c>
      <c r="I2036" s="34">
        <f>Table3[[#This Row],[Volume, kg.]]/1000</f>
        <v>4.1900000000000004</v>
      </c>
      <c r="J2036" s="34">
        <v>0.28199999999999997</v>
      </c>
      <c r="K2036" s="34">
        <f t="shared" si="62"/>
        <v>1181.58</v>
      </c>
      <c r="L2036" s="34">
        <v>3.75</v>
      </c>
      <c r="M2036" s="34">
        <v>15712.5</v>
      </c>
      <c r="N2036" s="34">
        <f t="shared" si="63"/>
        <v>13.297872340425533</v>
      </c>
    </row>
    <row r="2037" spans="1:14" x14ac:dyDescent="0.45">
      <c r="A2037" s="30">
        <v>2023</v>
      </c>
      <c r="B2037" s="30" t="s">
        <v>18</v>
      </c>
      <c r="C2037" s="30" t="s">
        <v>46</v>
      </c>
      <c r="D2037" s="30" t="s">
        <v>47</v>
      </c>
      <c r="E2037" s="31" t="s">
        <v>510</v>
      </c>
      <c r="F2037" s="32" t="s">
        <v>49</v>
      </c>
      <c r="G2037" s="32" t="s">
        <v>50</v>
      </c>
      <c r="H2037" s="33">
        <v>17230</v>
      </c>
      <c r="I2037" s="34">
        <f>Table3[[#This Row],[Volume, kg.]]/1000</f>
        <v>17.23</v>
      </c>
      <c r="J2037" s="34">
        <v>0.2631</v>
      </c>
      <c r="K2037" s="34">
        <f t="shared" si="62"/>
        <v>4533.2129999999997</v>
      </c>
      <c r="L2037" s="34">
        <v>3.65</v>
      </c>
      <c r="M2037" s="34">
        <v>62898</v>
      </c>
      <c r="N2037" s="34">
        <f t="shared" si="63"/>
        <v>13.873052071455719</v>
      </c>
    </row>
    <row r="2038" spans="1:14" x14ac:dyDescent="0.45">
      <c r="A2038" s="30">
        <v>2023</v>
      </c>
      <c r="B2038" s="30" t="s">
        <v>18</v>
      </c>
      <c r="C2038" s="30" t="s">
        <v>46</v>
      </c>
      <c r="D2038" s="30" t="s">
        <v>47</v>
      </c>
      <c r="E2038" s="31" t="s">
        <v>275</v>
      </c>
      <c r="F2038" s="32" t="s">
        <v>54</v>
      </c>
      <c r="G2038" s="32" t="s">
        <v>50</v>
      </c>
      <c r="H2038" s="33">
        <v>8980</v>
      </c>
      <c r="I2038" s="34">
        <f>Table3[[#This Row],[Volume, kg.]]/1000</f>
        <v>8.98</v>
      </c>
      <c r="J2038" s="34">
        <v>0.27699999999999997</v>
      </c>
      <c r="K2038" s="34">
        <f t="shared" si="62"/>
        <v>2487.4599999999996</v>
      </c>
      <c r="L2038" s="34">
        <v>4.05</v>
      </c>
      <c r="M2038" s="34">
        <v>36369</v>
      </c>
      <c r="N2038" s="34">
        <f t="shared" si="63"/>
        <v>14.620938628158846</v>
      </c>
    </row>
    <row r="2039" spans="1:14" x14ac:dyDescent="0.45">
      <c r="A2039" s="30">
        <v>2023</v>
      </c>
      <c r="B2039" s="30" t="s">
        <v>18</v>
      </c>
      <c r="C2039" s="30" t="s">
        <v>46</v>
      </c>
      <c r="D2039" s="30" t="s">
        <v>47</v>
      </c>
      <c r="E2039" s="31" t="s">
        <v>430</v>
      </c>
      <c r="F2039" s="32" t="s">
        <v>49</v>
      </c>
      <c r="G2039" s="32" t="s">
        <v>50</v>
      </c>
      <c r="H2039" s="33">
        <v>3440</v>
      </c>
      <c r="I2039" s="34">
        <f>Table3[[#This Row],[Volume, kg.]]/1000</f>
        <v>3.44</v>
      </c>
      <c r="J2039" s="34">
        <v>0.2515</v>
      </c>
      <c r="K2039" s="34">
        <f t="shared" si="62"/>
        <v>865.16</v>
      </c>
      <c r="L2039" s="34">
        <v>3.9</v>
      </c>
      <c r="M2039" s="34">
        <v>13416</v>
      </c>
      <c r="N2039" s="34">
        <f t="shared" si="63"/>
        <v>15.506958250497018</v>
      </c>
    </row>
    <row r="2040" spans="1:14" x14ac:dyDescent="0.45">
      <c r="A2040" s="30">
        <v>2023</v>
      </c>
      <c r="B2040" s="30" t="s">
        <v>18</v>
      </c>
      <c r="C2040" s="30" t="s">
        <v>46</v>
      </c>
      <c r="D2040" s="30" t="s">
        <v>47</v>
      </c>
      <c r="E2040" s="31" t="s">
        <v>94</v>
      </c>
      <c r="F2040" s="32" t="s">
        <v>64</v>
      </c>
      <c r="G2040" s="32" t="s">
        <v>50</v>
      </c>
      <c r="H2040" s="33">
        <v>20320</v>
      </c>
      <c r="I2040" s="34">
        <f>Table3[[#This Row],[Volume, kg.]]/1000</f>
        <v>20.32</v>
      </c>
      <c r="J2040" s="34">
        <v>0.24909999999999999</v>
      </c>
      <c r="K2040" s="34">
        <f t="shared" si="62"/>
        <v>5061.7119999999995</v>
      </c>
      <c r="L2040" s="34">
        <v>3.9</v>
      </c>
      <c r="M2040" s="34">
        <v>79248</v>
      </c>
      <c r="N2040" s="34">
        <f t="shared" si="63"/>
        <v>15.656362906463269</v>
      </c>
    </row>
    <row r="2041" spans="1:14" x14ac:dyDescent="0.45">
      <c r="A2041" s="30">
        <v>2023</v>
      </c>
      <c r="B2041" s="30" t="s">
        <v>18</v>
      </c>
      <c r="C2041" s="30" t="s">
        <v>46</v>
      </c>
      <c r="D2041" s="30" t="s">
        <v>47</v>
      </c>
      <c r="E2041" s="31" t="s">
        <v>95</v>
      </c>
      <c r="F2041" s="32" t="s">
        <v>49</v>
      </c>
      <c r="G2041" s="32" t="s">
        <v>50</v>
      </c>
      <c r="H2041" s="33">
        <v>22300</v>
      </c>
      <c r="I2041" s="34">
        <f>Table3[[#This Row],[Volume, kg.]]/1000</f>
        <v>22.3</v>
      </c>
      <c r="J2041" s="34">
        <v>0.28660000000000002</v>
      </c>
      <c r="K2041" s="34">
        <f t="shared" si="62"/>
        <v>6391.18</v>
      </c>
      <c r="L2041" s="34">
        <v>4.01</v>
      </c>
      <c r="M2041" s="34">
        <v>89407</v>
      </c>
      <c r="N2041" s="34">
        <f t="shared" si="63"/>
        <v>13.99162595952547</v>
      </c>
    </row>
    <row r="2042" spans="1:14" x14ac:dyDescent="0.45">
      <c r="A2042" s="30">
        <v>2023</v>
      </c>
      <c r="B2042" s="30" t="s">
        <v>18</v>
      </c>
      <c r="C2042" s="30" t="s">
        <v>46</v>
      </c>
      <c r="D2042" s="30" t="s">
        <v>47</v>
      </c>
      <c r="E2042" s="31" t="s">
        <v>97</v>
      </c>
      <c r="F2042" s="32" t="s">
        <v>49</v>
      </c>
      <c r="G2042" s="32" t="s">
        <v>50</v>
      </c>
      <c r="H2042" s="33">
        <v>55660</v>
      </c>
      <c r="I2042" s="34">
        <f>Table3[[#This Row],[Volume, kg.]]/1000</f>
        <v>55.66</v>
      </c>
      <c r="J2042" s="34">
        <v>0.24710000000000001</v>
      </c>
      <c r="K2042" s="34">
        <f t="shared" si="62"/>
        <v>13753.586000000001</v>
      </c>
      <c r="L2042" s="34">
        <v>3.6</v>
      </c>
      <c r="M2042" s="34">
        <v>200389</v>
      </c>
      <c r="N2042" s="34">
        <f t="shared" si="63"/>
        <v>14.569000404694455</v>
      </c>
    </row>
    <row r="2043" spans="1:14" x14ac:dyDescent="0.45">
      <c r="A2043" s="30">
        <v>2023</v>
      </c>
      <c r="B2043" s="30" t="s">
        <v>18</v>
      </c>
      <c r="C2043" s="30" t="s">
        <v>46</v>
      </c>
      <c r="D2043" s="30" t="s">
        <v>47</v>
      </c>
      <c r="E2043" s="31" t="s">
        <v>98</v>
      </c>
      <c r="F2043" s="32" t="s">
        <v>49</v>
      </c>
      <c r="G2043" s="32" t="s">
        <v>50</v>
      </c>
      <c r="H2043" s="33">
        <v>83190</v>
      </c>
      <c r="I2043" s="34">
        <f>Table3[[#This Row],[Volume, kg.]]/1000</f>
        <v>83.19</v>
      </c>
      <c r="J2043" s="34">
        <v>0.26519999999999999</v>
      </c>
      <c r="K2043" s="34">
        <f t="shared" si="62"/>
        <v>22061.987999999998</v>
      </c>
      <c r="L2043" s="34">
        <v>3.89</v>
      </c>
      <c r="M2043" s="34">
        <v>323873</v>
      </c>
      <c r="N2043" s="34">
        <f t="shared" si="63"/>
        <v>14.668174962292611</v>
      </c>
    </row>
    <row r="2044" spans="1:14" x14ac:dyDescent="0.45">
      <c r="A2044" s="30">
        <v>2023</v>
      </c>
      <c r="B2044" s="30" t="s">
        <v>18</v>
      </c>
      <c r="C2044" s="30" t="s">
        <v>46</v>
      </c>
      <c r="D2044" s="30" t="s">
        <v>102</v>
      </c>
      <c r="E2044" s="31" t="s">
        <v>103</v>
      </c>
      <c r="F2044" s="32" t="s">
        <v>104</v>
      </c>
      <c r="G2044" s="32" t="s">
        <v>105</v>
      </c>
      <c r="H2044" s="33">
        <v>3485230</v>
      </c>
      <c r="I2044" s="34">
        <f>Table3[[#This Row],[Volume, kg.]]/1000</f>
        <v>3485.23</v>
      </c>
      <c r="J2044" s="34">
        <v>0.21739999999999998</v>
      </c>
      <c r="K2044" s="34">
        <f t="shared" si="62"/>
        <v>757689.00199999998</v>
      </c>
      <c r="L2044" s="34">
        <v>3.7</v>
      </c>
      <c r="M2044" s="34">
        <v>12902090</v>
      </c>
      <c r="N2044" s="34">
        <f t="shared" si="63"/>
        <v>17.019319227230913</v>
      </c>
    </row>
    <row r="2045" spans="1:14" x14ac:dyDescent="0.45">
      <c r="A2045" s="30">
        <v>2023</v>
      </c>
      <c r="B2045" s="30" t="s">
        <v>18</v>
      </c>
      <c r="C2045" s="30" t="s">
        <v>46</v>
      </c>
      <c r="D2045" s="30" t="s">
        <v>102</v>
      </c>
      <c r="E2045" s="31" t="s">
        <v>106</v>
      </c>
      <c r="F2045" s="32" t="s">
        <v>107</v>
      </c>
      <c r="G2045" s="32" t="s">
        <v>108</v>
      </c>
      <c r="H2045" s="33">
        <v>30210</v>
      </c>
      <c r="I2045" s="34">
        <f>Table3[[#This Row],[Volume, kg.]]/1000</f>
        <v>30.21</v>
      </c>
      <c r="J2045" s="34">
        <v>0.248</v>
      </c>
      <c r="K2045" s="34">
        <f t="shared" si="62"/>
        <v>7492.08</v>
      </c>
      <c r="L2045" s="34">
        <v>3.7</v>
      </c>
      <c r="M2045" s="34">
        <v>111777</v>
      </c>
      <c r="N2045" s="34">
        <f t="shared" si="63"/>
        <v>14.919354838709678</v>
      </c>
    </row>
    <row r="2046" spans="1:14" x14ac:dyDescent="0.45">
      <c r="A2046" s="30">
        <v>2023</v>
      </c>
      <c r="B2046" s="30" t="s">
        <v>18</v>
      </c>
      <c r="C2046" s="30" t="s">
        <v>46</v>
      </c>
      <c r="D2046" s="30" t="s">
        <v>47</v>
      </c>
      <c r="E2046" s="31" t="s">
        <v>110</v>
      </c>
      <c r="F2046" s="32" t="s">
        <v>57</v>
      </c>
      <c r="G2046" s="32" t="s">
        <v>50</v>
      </c>
      <c r="H2046" s="33">
        <v>22260</v>
      </c>
      <c r="I2046" s="34">
        <f>Table3[[#This Row],[Volume, kg.]]/1000</f>
        <v>22.26</v>
      </c>
      <c r="J2046" s="34">
        <v>0.28000000000000003</v>
      </c>
      <c r="K2046" s="34">
        <f t="shared" si="62"/>
        <v>6232.8</v>
      </c>
      <c r="L2046" s="34">
        <v>3.85</v>
      </c>
      <c r="M2046" s="34">
        <v>85705</v>
      </c>
      <c r="N2046" s="34">
        <f t="shared" si="63"/>
        <v>13.749999999999998</v>
      </c>
    </row>
    <row r="2047" spans="1:14" x14ac:dyDescent="0.45">
      <c r="A2047" s="30">
        <v>2023</v>
      </c>
      <c r="B2047" s="30" t="s">
        <v>18</v>
      </c>
      <c r="C2047" s="30" t="s">
        <v>46</v>
      </c>
      <c r="D2047" s="30" t="s">
        <v>47</v>
      </c>
      <c r="E2047" s="31" t="s">
        <v>277</v>
      </c>
      <c r="F2047" s="32" t="s">
        <v>60</v>
      </c>
      <c r="G2047" s="32" t="s">
        <v>50</v>
      </c>
      <c r="H2047" s="33">
        <v>9240</v>
      </c>
      <c r="I2047" s="34">
        <f>Table3[[#This Row],[Volume, kg.]]/1000</f>
        <v>9.24</v>
      </c>
      <c r="J2047" s="34">
        <v>0.26400000000000001</v>
      </c>
      <c r="K2047" s="34">
        <f t="shared" si="62"/>
        <v>2439.36</v>
      </c>
      <c r="L2047" s="34">
        <v>3.65</v>
      </c>
      <c r="M2047" s="34">
        <v>33726</v>
      </c>
      <c r="N2047" s="34">
        <f t="shared" si="63"/>
        <v>13.825757575757574</v>
      </c>
    </row>
    <row r="2048" spans="1:14" x14ac:dyDescent="0.45">
      <c r="A2048" s="30">
        <v>2023</v>
      </c>
      <c r="B2048" s="30" t="s">
        <v>18</v>
      </c>
      <c r="C2048" s="30" t="s">
        <v>46</v>
      </c>
      <c r="D2048" s="30" t="s">
        <v>47</v>
      </c>
      <c r="E2048" s="31" t="s">
        <v>112</v>
      </c>
      <c r="F2048" s="32" t="s">
        <v>49</v>
      </c>
      <c r="G2048" s="32" t="s">
        <v>50</v>
      </c>
      <c r="H2048" s="33">
        <v>12130</v>
      </c>
      <c r="I2048" s="34">
        <f>Table3[[#This Row],[Volume, kg.]]/1000</f>
        <v>12.13</v>
      </c>
      <c r="J2048" s="34">
        <v>0.27239999999999998</v>
      </c>
      <c r="K2048" s="34">
        <f t="shared" si="62"/>
        <v>3304.2119999999995</v>
      </c>
      <c r="L2048" s="34">
        <v>3.7</v>
      </c>
      <c r="M2048" s="34">
        <v>44911.5</v>
      </c>
      <c r="N2048" s="34">
        <f t="shared" si="63"/>
        <v>13.582966226138034</v>
      </c>
    </row>
    <row r="2049" spans="1:14" x14ac:dyDescent="0.45">
      <c r="A2049" s="30">
        <v>2023</v>
      </c>
      <c r="B2049" s="30" t="s">
        <v>18</v>
      </c>
      <c r="C2049" s="30" t="s">
        <v>46</v>
      </c>
      <c r="D2049" s="30" t="s">
        <v>47</v>
      </c>
      <c r="E2049" s="31" t="s">
        <v>116</v>
      </c>
      <c r="F2049" s="32" t="s">
        <v>81</v>
      </c>
      <c r="G2049" s="32" t="s">
        <v>50</v>
      </c>
      <c r="H2049" s="33">
        <v>53910</v>
      </c>
      <c r="I2049" s="34">
        <f>Table3[[#This Row],[Volume, kg.]]/1000</f>
        <v>53.91</v>
      </c>
      <c r="J2049" s="34">
        <v>0.27129999999999999</v>
      </c>
      <c r="K2049" s="34">
        <f t="shared" si="62"/>
        <v>14625.782999999999</v>
      </c>
      <c r="L2049" s="34">
        <v>4</v>
      </c>
      <c r="M2049" s="34">
        <v>215707.5</v>
      </c>
      <c r="N2049" s="34">
        <f t="shared" si="63"/>
        <v>14.743826022852931</v>
      </c>
    </row>
    <row r="2050" spans="1:14" x14ac:dyDescent="0.45">
      <c r="A2050" s="30">
        <v>2023</v>
      </c>
      <c r="B2050" s="30" t="s">
        <v>18</v>
      </c>
      <c r="C2050" s="30" t="s">
        <v>46</v>
      </c>
      <c r="D2050" s="30" t="s">
        <v>102</v>
      </c>
      <c r="E2050" s="31" t="s">
        <v>117</v>
      </c>
      <c r="F2050" s="32" t="s">
        <v>118</v>
      </c>
      <c r="G2050" s="32" t="s">
        <v>119</v>
      </c>
      <c r="H2050" s="33">
        <v>1595570</v>
      </c>
      <c r="I2050" s="34">
        <f>Table3[[#This Row],[Volume, kg.]]/1000</f>
        <v>1595.57</v>
      </c>
      <c r="J2050" s="34">
        <v>0.2452</v>
      </c>
      <c r="K2050" s="34">
        <f t="shared" si="62"/>
        <v>391233.76400000002</v>
      </c>
      <c r="L2050" s="34">
        <v>3.82</v>
      </c>
      <c r="M2050" s="34">
        <v>6088964.5</v>
      </c>
      <c r="N2050" s="34">
        <f t="shared" si="63"/>
        <v>15.579119086460032</v>
      </c>
    </row>
    <row r="2051" spans="1:14" x14ac:dyDescent="0.45">
      <c r="A2051" s="30">
        <v>2023</v>
      </c>
      <c r="B2051" s="30" t="s">
        <v>18</v>
      </c>
      <c r="C2051" s="30" t="s">
        <v>46</v>
      </c>
      <c r="D2051" s="30" t="s">
        <v>47</v>
      </c>
      <c r="E2051" s="31" t="s">
        <v>551</v>
      </c>
      <c r="F2051" s="32" t="s">
        <v>54</v>
      </c>
      <c r="G2051" s="32" t="s">
        <v>50</v>
      </c>
      <c r="H2051" s="33">
        <v>6880</v>
      </c>
      <c r="I2051" s="34">
        <f>Table3[[#This Row],[Volume, kg.]]/1000</f>
        <v>6.88</v>
      </c>
      <c r="J2051" s="34">
        <v>0.30149999999999999</v>
      </c>
      <c r="K2051" s="34">
        <f t="shared" ref="K2051:K2114" si="64">H2051*J2051</f>
        <v>2074.3199999999997</v>
      </c>
      <c r="L2051" s="34">
        <v>4.1500000000000004</v>
      </c>
      <c r="M2051" s="34">
        <v>28552</v>
      </c>
      <c r="N2051" s="34">
        <f t="shared" si="63"/>
        <v>13.764510779436154</v>
      </c>
    </row>
    <row r="2052" spans="1:14" x14ac:dyDescent="0.45">
      <c r="A2052" s="30">
        <v>2023</v>
      </c>
      <c r="B2052" s="30" t="s">
        <v>18</v>
      </c>
      <c r="C2052" s="30" t="s">
        <v>46</v>
      </c>
      <c r="D2052" s="30" t="s">
        <v>47</v>
      </c>
      <c r="E2052" s="31" t="s">
        <v>120</v>
      </c>
      <c r="F2052" s="32" t="s">
        <v>49</v>
      </c>
      <c r="G2052" s="32" t="s">
        <v>50</v>
      </c>
      <c r="H2052" s="33">
        <v>21150</v>
      </c>
      <c r="I2052" s="34">
        <f>Table3[[#This Row],[Volume, kg.]]/1000</f>
        <v>21.15</v>
      </c>
      <c r="J2052" s="34">
        <v>0.26950000000000002</v>
      </c>
      <c r="K2052" s="34">
        <f t="shared" si="64"/>
        <v>5699.9250000000002</v>
      </c>
      <c r="L2052" s="34">
        <v>3.7</v>
      </c>
      <c r="M2052" s="34">
        <v>78331</v>
      </c>
      <c r="N2052" s="34">
        <f t="shared" ref="N2052:N2115" si="65">L2052/J2052</f>
        <v>13.729128014842301</v>
      </c>
    </row>
    <row r="2053" spans="1:14" x14ac:dyDescent="0.45">
      <c r="A2053" s="30">
        <v>2023</v>
      </c>
      <c r="B2053" s="30" t="s">
        <v>18</v>
      </c>
      <c r="C2053" s="30" t="s">
        <v>46</v>
      </c>
      <c r="D2053" s="30" t="s">
        <v>47</v>
      </c>
      <c r="E2053" s="31" t="s">
        <v>122</v>
      </c>
      <c r="F2053" s="32" t="s">
        <v>49</v>
      </c>
      <c r="G2053" s="32" t="s">
        <v>50</v>
      </c>
      <c r="H2053" s="33">
        <v>9050</v>
      </c>
      <c r="I2053" s="34">
        <f>Table3[[#This Row],[Volume, kg.]]/1000</f>
        <v>9.0500000000000007</v>
      </c>
      <c r="J2053" s="34">
        <v>0.29530000000000001</v>
      </c>
      <c r="K2053" s="34">
        <f t="shared" si="64"/>
        <v>2672.4650000000001</v>
      </c>
      <c r="L2053" s="34">
        <v>4.12</v>
      </c>
      <c r="M2053" s="34">
        <v>37267.5</v>
      </c>
      <c r="N2053" s="34">
        <f t="shared" si="65"/>
        <v>13.951913308499831</v>
      </c>
    </row>
    <row r="2054" spans="1:14" x14ac:dyDescent="0.45">
      <c r="A2054" s="30">
        <v>2023</v>
      </c>
      <c r="B2054" s="30" t="s">
        <v>18</v>
      </c>
      <c r="C2054" s="30" t="s">
        <v>46</v>
      </c>
      <c r="D2054" s="30" t="s">
        <v>47</v>
      </c>
      <c r="E2054" s="31" t="s">
        <v>125</v>
      </c>
      <c r="F2054" s="32" t="s">
        <v>60</v>
      </c>
      <c r="G2054" s="32" t="s">
        <v>50</v>
      </c>
      <c r="H2054" s="33">
        <v>14810</v>
      </c>
      <c r="I2054" s="34">
        <f>Table3[[#This Row],[Volume, kg.]]/1000</f>
        <v>14.81</v>
      </c>
      <c r="J2054" s="34">
        <v>0.29699999999999999</v>
      </c>
      <c r="K2054" s="34">
        <f t="shared" si="64"/>
        <v>4398.57</v>
      </c>
      <c r="L2054" s="34">
        <v>4.1500000000000004</v>
      </c>
      <c r="M2054" s="34">
        <v>61461.5</v>
      </c>
      <c r="N2054" s="34">
        <f t="shared" si="65"/>
        <v>13.973063973063974</v>
      </c>
    </row>
    <row r="2055" spans="1:14" x14ac:dyDescent="0.45">
      <c r="A2055" s="30">
        <v>2023</v>
      </c>
      <c r="B2055" s="30" t="s">
        <v>18</v>
      </c>
      <c r="C2055" s="30" t="s">
        <v>46</v>
      </c>
      <c r="D2055" s="30" t="s">
        <v>102</v>
      </c>
      <c r="E2055" s="31" t="s">
        <v>126</v>
      </c>
      <c r="F2055" s="32" t="s">
        <v>127</v>
      </c>
      <c r="G2055" s="32" t="s">
        <v>128</v>
      </c>
      <c r="H2055" s="33">
        <v>7290</v>
      </c>
      <c r="I2055" s="34">
        <f>Table3[[#This Row],[Volume, kg.]]/1000</f>
        <v>7.29</v>
      </c>
      <c r="J2055" s="34">
        <v>0.24789999999999998</v>
      </c>
      <c r="K2055" s="34">
        <f t="shared" si="64"/>
        <v>1807.1909999999998</v>
      </c>
      <c r="L2055" s="34">
        <v>3.85</v>
      </c>
      <c r="M2055" s="34">
        <v>28053</v>
      </c>
      <c r="N2055" s="34">
        <f t="shared" si="65"/>
        <v>15.530455828963293</v>
      </c>
    </row>
    <row r="2056" spans="1:14" x14ac:dyDescent="0.45">
      <c r="A2056" s="30">
        <v>2023</v>
      </c>
      <c r="B2056" s="30" t="s">
        <v>18</v>
      </c>
      <c r="C2056" s="30" t="s">
        <v>46</v>
      </c>
      <c r="D2056" s="30" t="s">
        <v>47</v>
      </c>
      <c r="E2056" s="31" t="s">
        <v>129</v>
      </c>
      <c r="F2056" s="32" t="s">
        <v>57</v>
      </c>
      <c r="G2056" s="32" t="s">
        <v>50</v>
      </c>
      <c r="H2056" s="33">
        <v>6410</v>
      </c>
      <c r="I2056" s="34">
        <f>Table3[[#This Row],[Volume, kg.]]/1000</f>
        <v>6.41</v>
      </c>
      <c r="J2056" s="34">
        <v>0.27850000000000003</v>
      </c>
      <c r="K2056" s="34">
        <f t="shared" si="64"/>
        <v>1785.1850000000002</v>
      </c>
      <c r="L2056" s="34">
        <v>4.05</v>
      </c>
      <c r="M2056" s="34">
        <v>25960.5</v>
      </c>
      <c r="N2056" s="34">
        <f t="shared" si="65"/>
        <v>14.542190305206461</v>
      </c>
    </row>
    <row r="2057" spans="1:14" x14ac:dyDescent="0.45">
      <c r="A2057" s="30">
        <v>2023</v>
      </c>
      <c r="B2057" s="30" t="s">
        <v>18</v>
      </c>
      <c r="C2057" s="30" t="s">
        <v>46</v>
      </c>
      <c r="D2057" s="30" t="s">
        <v>47</v>
      </c>
      <c r="E2057" s="31" t="s">
        <v>400</v>
      </c>
      <c r="F2057" s="32" t="s">
        <v>281</v>
      </c>
      <c r="G2057" s="32" t="s">
        <v>50</v>
      </c>
      <c r="H2057" s="33">
        <v>51210</v>
      </c>
      <c r="I2057" s="34">
        <f>Table3[[#This Row],[Volume, kg.]]/1000</f>
        <v>51.21</v>
      </c>
      <c r="J2057" s="34">
        <v>0.26179999999999998</v>
      </c>
      <c r="K2057" s="34">
        <f t="shared" si="64"/>
        <v>13406.777999999998</v>
      </c>
      <c r="L2057" s="34">
        <v>3.84</v>
      </c>
      <c r="M2057" s="34">
        <v>196596.5</v>
      </c>
      <c r="N2057" s="34">
        <f t="shared" si="65"/>
        <v>14.667685255920551</v>
      </c>
    </row>
    <row r="2058" spans="1:14" x14ac:dyDescent="0.45">
      <c r="A2058" s="30">
        <v>2023</v>
      </c>
      <c r="B2058" s="30" t="s">
        <v>18</v>
      </c>
      <c r="C2058" s="30" t="s">
        <v>46</v>
      </c>
      <c r="D2058" s="30" t="s">
        <v>47</v>
      </c>
      <c r="E2058" s="31" t="s">
        <v>133</v>
      </c>
      <c r="F2058" s="32" t="s">
        <v>134</v>
      </c>
      <c r="G2058" s="32" t="s">
        <v>50</v>
      </c>
      <c r="H2058" s="33">
        <v>61470</v>
      </c>
      <c r="I2058" s="34">
        <f>Table3[[#This Row],[Volume, kg.]]/1000</f>
        <v>61.47</v>
      </c>
      <c r="J2058" s="34">
        <v>0.25079999999999997</v>
      </c>
      <c r="K2058" s="34">
        <f t="shared" si="64"/>
        <v>15416.675999999998</v>
      </c>
      <c r="L2058" s="34">
        <v>3.84</v>
      </c>
      <c r="M2058" s="34">
        <v>235770</v>
      </c>
      <c r="N2058" s="34">
        <f t="shared" si="65"/>
        <v>15.311004784688997</v>
      </c>
    </row>
    <row r="2059" spans="1:14" x14ac:dyDescent="0.45">
      <c r="A2059" s="30">
        <v>2023</v>
      </c>
      <c r="B2059" s="30" t="s">
        <v>18</v>
      </c>
      <c r="C2059" s="30" t="s">
        <v>46</v>
      </c>
      <c r="D2059" s="30" t="s">
        <v>47</v>
      </c>
      <c r="E2059" s="31" t="s">
        <v>280</v>
      </c>
      <c r="F2059" s="32" t="s">
        <v>281</v>
      </c>
      <c r="G2059" s="32" t="s">
        <v>50</v>
      </c>
      <c r="H2059" s="33">
        <v>83990</v>
      </c>
      <c r="I2059" s="34">
        <f>Table3[[#This Row],[Volume, kg.]]/1000</f>
        <v>83.99</v>
      </c>
      <c r="J2059" s="34">
        <v>0.24100000000000002</v>
      </c>
      <c r="K2059" s="34">
        <f t="shared" si="64"/>
        <v>20241.59</v>
      </c>
      <c r="L2059" s="34">
        <v>3.76</v>
      </c>
      <c r="M2059" s="34">
        <v>316049</v>
      </c>
      <c r="N2059" s="34">
        <f t="shared" si="65"/>
        <v>15.601659751037342</v>
      </c>
    </row>
    <row r="2060" spans="1:14" x14ac:dyDescent="0.45">
      <c r="A2060" s="30">
        <v>2023</v>
      </c>
      <c r="B2060" s="30" t="s">
        <v>18</v>
      </c>
      <c r="C2060" s="30" t="s">
        <v>46</v>
      </c>
      <c r="D2060" s="30" t="s">
        <v>47</v>
      </c>
      <c r="E2060" s="31" t="s">
        <v>135</v>
      </c>
      <c r="F2060" s="32" t="s">
        <v>49</v>
      </c>
      <c r="G2060" s="32" t="s">
        <v>50</v>
      </c>
      <c r="H2060" s="33">
        <v>76950</v>
      </c>
      <c r="I2060" s="34">
        <f>Table3[[#This Row],[Volume, kg.]]/1000</f>
        <v>76.95</v>
      </c>
      <c r="J2060" s="34">
        <v>0.2397</v>
      </c>
      <c r="K2060" s="34">
        <f t="shared" si="64"/>
        <v>18444.915000000001</v>
      </c>
      <c r="L2060" s="34">
        <v>3.59</v>
      </c>
      <c r="M2060" s="34">
        <v>276213</v>
      </c>
      <c r="N2060" s="34">
        <f t="shared" si="65"/>
        <v>14.977054651647892</v>
      </c>
    </row>
    <row r="2061" spans="1:14" x14ac:dyDescent="0.45">
      <c r="A2061" s="30">
        <v>2023</v>
      </c>
      <c r="B2061" s="30" t="s">
        <v>18</v>
      </c>
      <c r="C2061" s="30" t="s">
        <v>46</v>
      </c>
      <c r="D2061" s="30" t="s">
        <v>102</v>
      </c>
      <c r="E2061" s="31" t="s">
        <v>552</v>
      </c>
      <c r="F2061" s="32" t="s">
        <v>238</v>
      </c>
      <c r="G2061" s="32" t="s">
        <v>50</v>
      </c>
      <c r="H2061" s="33">
        <v>51090</v>
      </c>
      <c r="I2061" s="34">
        <f>Table3[[#This Row],[Volume, kg.]]/1000</f>
        <v>51.09</v>
      </c>
      <c r="J2061" s="34">
        <v>0.22850000000000001</v>
      </c>
      <c r="K2061" s="34">
        <f t="shared" si="64"/>
        <v>11674.065000000001</v>
      </c>
      <c r="L2061" s="34">
        <v>3.9</v>
      </c>
      <c r="M2061" s="34">
        <v>199251</v>
      </c>
      <c r="N2061" s="34">
        <f t="shared" si="65"/>
        <v>17.067833698030633</v>
      </c>
    </row>
    <row r="2062" spans="1:14" x14ac:dyDescent="0.45">
      <c r="A2062" s="30">
        <v>2023</v>
      </c>
      <c r="B2062" s="30" t="s">
        <v>18</v>
      </c>
      <c r="C2062" s="30" t="s">
        <v>46</v>
      </c>
      <c r="D2062" s="30" t="s">
        <v>47</v>
      </c>
      <c r="E2062" s="31" t="s">
        <v>507</v>
      </c>
      <c r="F2062" s="32" t="s">
        <v>60</v>
      </c>
      <c r="G2062" s="32" t="s">
        <v>50</v>
      </c>
      <c r="H2062" s="33">
        <v>5280</v>
      </c>
      <c r="I2062" s="34">
        <f>Table3[[#This Row],[Volume, kg.]]/1000</f>
        <v>5.28</v>
      </c>
      <c r="J2062" s="34">
        <v>0.22600000000000001</v>
      </c>
      <c r="K2062" s="34">
        <f t="shared" si="64"/>
        <v>1193.28</v>
      </c>
      <c r="L2062" s="34">
        <v>3.8</v>
      </c>
      <c r="M2062" s="34">
        <v>20064</v>
      </c>
      <c r="N2062" s="34">
        <f t="shared" si="65"/>
        <v>16.814159292035399</v>
      </c>
    </row>
    <row r="2063" spans="1:14" x14ac:dyDescent="0.45">
      <c r="A2063" s="30">
        <v>2023</v>
      </c>
      <c r="B2063" s="30" t="s">
        <v>18</v>
      </c>
      <c r="C2063" s="30" t="s">
        <v>46</v>
      </c>
      <c r="D2063" s="30" t="s">
        <v>47</v>
      </c>
      <c r="E2063" s="31" t="s">
        <v>282</v>
      </c>
      <c r="F2063" s="32" t="s">
        <v>49</v>
      </c>
      <c r="G2063" s="32" t="s">
        <v>50</v>
      </c>
      <c r="H2063" s="33">
        <v>67540</v>
      </c>
      <c r="I2063" s="34">
        <f>Table3[[#This Row],[Volume, kg.]]/1000</f>
        <v>67.540000000000006</v>
      </c>
      <c r="J2063" s="34">
        <v>0.25590000000000002</v>
      </c>
      <c r="K2063" s="34">
        <f t="shared" si="64"/>
        <v>17283.486000000001</v>
      </c>
      <c r="L2063" s="34">
        <v>3.74</v>
      </c>
      <c r="M2063" s="34">
        <v>252410</v>
      </c>
      <c r="N2063" s="34">
        <f t="shared" si="65"/>
        <v>14.615084017194217</v>
      </c>
    </row>
    <row r="2064" spans="1:14" x14ac:dyDescent="0.45">
      <c r="A2064" s="30">
        <v>2023</v>
      </c>
      <c r="B2064" s="30" t="s">
        <v>18</v>
      </c>
      <c r="C2064" s="30" t="s">
        <v>46</v>
      </c>
      <c r="D2064" s="30" t="s">
        <v>102</v>
      </c>
      <c r="E2064" s="31" t="s">
        <v>418</v>
      </c>
      <c r="F2064" s="32" t="s">
        <v>104</v>
      </c>
      <c r="G2064" s="32" t="s">
        <v>105</v>
      </c>
      <c r="H2064" s="33">
        <v>1898400</v>
      </c>
      <c r="I2064" s="34">
        <f>Table3[[#This Row],[Volume, kg.]]/1000</f>
        <v>1898.4</v>
      </c>
      <c r="J2064" s="34">
        <v>0.22289999999999999</v>
      </c>
      <c r="K2064" s="34">
        <f t="shared" si="64"/>
        <v>423153.36</v>
      </c>
      <c r="L2064" s="34">
        <v>3.66</v>
      </c>
      <c r="M2064" s="34">
        <v>6941824.5</v>
      </c>
      <c r="N2064" s="34">
        <f t="shared" si="65"/>
        <v>16.41991924629879</v>
      </c>
    </row>
    <row r="2065" spans="1:14" x14ac:dyDescent="0.45">
      <c r="A2065" s="30">
        <v>2023</v>
      </c>
      <c r="B2065" s="30" t="s">
        <v>18</v>
      </c>
      <c r="C2065" s="30" t="s">
        <v>46</v>
      </c>
      <c r="D2065" s="30" t="s">
        <v>47</v>
      </c>
      <c r="E2065" s="31" t="s">
        <v>136</v>
      </c>
      <c r="F2065" s="32" t="s">
        <v>49</v>
      </c>
      <c r="G2065" s="32" t="s">
        <v>50</v>
      </c>
      <c r="H2065" s="33">
        <v>17590</v>
      </c>
      <c r="I2065" s="34">
        <f>Table3[[#This Row],[Volume, kg.]]/1000</f>
        <v>17.59</v>
      </c>
      <c r="J2065" s="34">
        <v>0.2198</v>
      </c>
      <c r="K2065" s="34">
        <f t="shared" si="64"/>
        <v>3866.2819999999997</v>
      </c>
      <c r="L2065" s="34">
        <v>3.66</v>
      </c>
      <c r="M2065" s="34">
        <v>64402.5</v>
      </c>
      <c r="N2065" s="34">
        <f t="shared" si="65"/>
        <v>16.651501364877163</v>
      </c>
    </row>
    <row r="2066" spans="1:14" x14ac:dyDescent="0.45">
      <c r="A2066" s="30">
        <v>2023</v>
      </c>
      <c r="B2066" s="30" t="s">
        <v>18</v>
      </c>
      <c r="C2066" s="30" t="s">
        <v>46</v>
      </c>
      <c r="D2066" s="30" t="s">
        <v>47</v>
      </c>
      <c r="E2066" s="31" t="s">
        <v>480</v>
      </c>
      <c r="F2066" s="32" t="s">
        <v>49</v>
      </c>
      <c r="G2066" s="32" t="s">
        <v>50</v>
      </c>
      <c r="H2066" s="33">
        <v>38750</v>
      </c>
      <c r="I2066" s="34">
        <f>Table3[[#This Row],[Volume, kg.]]/1000</f>
        <v>38.75</v>
      </c>
      <c r="J2066" s="34">
        <v>0.29830000000000001</v>
      </c>
      <c r="K2066" s="34">
        <f t="shared" si="64"/>
        <v>11559.125</v>
      </c>
      <c r="L2066" s="34">
        <v>4.1399999999999997</v>
      </c>
      <c r="M2066" s="34">
        <v>160397.5</v>
      </c>
      <c r="N2066" s="34">
        <f t="shared" si="65"/>
        <v>13.878645658732818</v>
      </c>
    </row>
    <row r="2067" spans="1:14" x14ac:dyDescent="0.45">
      <c r="A2067" s="30">
        <v>2023</v>
      </c>
      <c r="B2067" s="30" t="s">
        <v>18</v>
      </c>
      <c r="C2067" s="30" t="s">
        <v>46</v>
      </c>
      <c r="D2067" s="30" t="s">
        <v>47</v>
      </c>
      <c r="E2067" s="31" t="s">
        <v>137</v>
      </c>
      <c r="F2067" s="32" t="s">
        <v>49</v>
      </c>
      <c r="G2067" s="32" t="s">
        <v>50</v>
      </c>
      <c r="H2067" s="33">
        <v>18970</v>
      </c>
      <c r="I2067" s="34">
        <f>Table3[[#This Row],[Volume, kg.]]/1000</f>
        <v>18.97</v>
      </c>
      <c r="J2067" s="34">
        <v>0.25509999999999999</v>
      </c>
      <c r="K2067" s="34">
        <f t="shared" si="64"/>
        <v>4839.2470000000003</v>
      </c>
      <c r="L2067" s="34">
        <v>3.68</v>
      </c>
      <c r="M2067" s="34">
        <v>69878</v>
      </c>
      <c r="N2067" s="34">
        <f t="shared" si="65"/>
        <v>14.425715405723247</v>
      </c>
    </row>
    <row r="2068" spans="1:14" x14ac:dyDescent="0.45">
      <c r="A2068" s="30">
        <v>2023</v>
      </c>
      <c r="B2068" s="30" t="s">
        <v>18</v>
      </c>
      <c r="C2068" s="30" t="s">
        <v>46</v>
      </c>
      <c r="D2068" s="30" t="s">
        <v>47</v>
      </c>
      <c r="E2068" s="31" t="s">
        <v>287</v>
      </c>
      <c r="F2068" s="32" t="s">
        <v>60</v>
      </c>
      <c r="G2068" s="32" t="s">
        <v>50</v>
      </c>
      <c r="H2068" s="33">
        <v>16170</v>
      </c>
      <c r="I2068" s="34">
        <f>Table3[[#This Row],[Volume, kg.]]/1000</f>
        <v>16.170000000000002</v>
      </c>
      <c r="J2068" s="34">
        <v>0.3085</v>
      </c>
      <c r="K2068" s="34">
        <f t="shared" si="64"/>
        <v>4988.4449999999997</v>
      </c>
      <c r="L2068" s="34">
        <v>3.9</v>
      </c>
      <c r="M2068" s="34">
        <v>63063</v>
      </c>
      <c r="N2068" s="34">
        <f t="shared" si="65"/>
        <v>12.641815235008103</v>
      </c>
    </row>
    <row r="2069" spans="1:14" x14ac:dyDescent="0.45">
      <c r="A2069" s="30">
        <v>2023</v>
      </c>
      <c r="B2069" s="30" t="s">
        <v>18</v>
      </c>
      <c r="C2069" s="30" t="s">
        <v>46</v>
      </c>
      <c r="D2069" s="30" t="s">
        <v>47</v>
      </c>
      <c r="E2069" s="31" t="s">
        <v>288</v>
      </c>
      <c r="F2069" s="32" t="s">
        <v>49</v>
      </c>
      <c r="G2069" s="32" t="s">
        <v>50</v>
      </c>
      <c r="H2069" s="33">
        <v>19740</v>
      </c>
      <c r="I2069" s="34">
        <f>Table3[[#This Row],[Volume, kg.]]/1000</f>
        <v>19.739999999999998</v>
      </c>
      <c r="J2069" s="34">
        <v>0.24210000000000001</v>
      </c>
      <c r="K2069" s="34">
        <f t="shared" si="64"/>
        <v>4779.0540000000001</v>
      </c>
      <c r="L2069" s="34">
        <v>3.58</v>
      </c>
      <c r="M2069" s="34">
        <v>70672</v>
      </c>
      <c r="N2069" s="34">
        <f t="shared" si="65"/>
        <v>14.787277984304007</v>
      </c>
    </row>
    <row r="2070" spans="1:14" x14ac:dyDescent="0.45">
      <c r="A2070" s="30">
        <v>2023</v>
      </c>
      <c r="B2070" s="30" t="s">
        <v>18</v>
      </c>
      <c r="C2070" s="30" t="s">
        <v>46</v>
      </c>
      <c r="D2070" s="30" t="s">
        <v>47</v>
      </c>
      <c r="E2070" s="31" t="s">
        <v>350</v>
      </c>
      <c r="F2070" s="32" t="s">
        <v>49</v>
      </c>
      <c r="G2070" s="32" t="s">
        <v>50</v>
      </c>
      <c r="H2070" s="33">
        <v>9680</v>
      </c>
      <c r="I2070" s="34">
        <f>Table3[[#This Row],[Volume, kg.]]/1000</f>
        <v>9.68</v>
      </c>
      <c r="J2070" s="34">
        <v>0.27350000000000002</v>
      </c>
      <c r="K2070" s="34">
        <f t="shared" si="64"/>
        <v>2647.48</v>
      </c>
      <c r="L2070" s="34">
        <v>3.7</v>
      </c>
      <c r="M2070" s="34">
        <v>35816</v>
      </c>
      <c r="N2070" s="34">
        <f t="shared" si="65"/>
        <v>13.528336380255942</v>
      </c>
    </row>
    <row r="2071" spans="1:14" x14ac:dyDescent="0.45">
      <c r="A2071" s="30">
        <v>2023</v>
      </c>
      <c r="B2071" s="30" t="s">
        <v>18</v>
      </c>
      <c r="C2071" s="30" t="s">
        <v>46</v>
      </c>
      <c r="D2071" s="30" t="s">
        <v>102</v>
      </c>
      <c r="E2071" s="31" t="s">
        <v>414</v>
      </c>
      <c r="F2071" s="32" t="s">
        <v>415</v>
      </c>
      <c r="G2071" s="32" t="s">
        <v>50</v>
      </c>
      <c r="H2071" s="33">
        <v>281390</v>
      </c>
      <c r="I2071" s="34">
        <f>Table3[[#This Row],[Volume, kg.]]/1000</f>
        <v>281.39</v>
      </c>
      <c r="J2071" s="34">
        <v>0.2112</v>
      </c>
      <c r="K2071" s="34">
        <f t="shared" si="64"/>
        <v>59429.567999999999</v>
      </c>
      <c r="L2071" s="34">
        <v>3.63</v>
      </c>
      <c r="M2071" s="34">
        <v>1020905</v>
      </c>
      <c r="N2071" s="34">
        <f t="shared" si="65"/>
        <v>17.1875</v>
      </c>
    </row>
    <row r="2072" spans="1:14" x14ac:dyDescent="0.45">
      <c r="A2072" s="30">
        <v>2023</v>
      </c>
      <c r="B2072" s="30" t="s">
        <v>18</v>
      </c>
      <c r="C2072" s="30" t="s">
        <v>46</v>
      </c>
      <c r="D2072" s="30" t="s">
        <v>47</v>
      </c>
      <c r="E2072" s="31" t="s">
        <v>142</v>
      </c>
      <c r="F2072" s="32" t="s">
        <v>57</v>
      </c>
      <c r="G2072" s="32" t="s">
        <v>50</v>
      </c>
      <c r="H2072" s="33">
        <v>9420</v>
      </c>
      <c r="I2072" s="34">
        <f>Table3[[#This Row],[Volume, kg.]]/1000</f>
        <v>9.42</v>
      </c>
      <c r="J2072" s="34">
        <v>0.29949999999999999</v>
      </c>
      <c r="K2072" s="34">
        <f t="shared" si="64"/>
        <v>2821.29</v>
      </c>
      <c r="L2072" s="34">
        <v>4.1500000000000004</v>
      </c>
      <c r="M2072" s="34">
        <v>39093</v>
      </c>
      <c r="N2072" s="34">
        <f t="shared" si="65"/>
        <v>13.856427378964943</v>
      </c>
    </row>
    <row r="2073" spans="1:14" x14ac:dyDescent="0.45">
      <c r="A2073" s="30">
        <v>2023</v>
      </c>
      <c r="B2073" s="30" t="s">
        <v>18</v>
      </c>
      <c r="C2073" s="30" t="s">
        <v>46</v>
      </c>
      <c r="D2073" s="30" t="s">
        <v>47</v>
      </c>
      <c r="E2073" s="31" t="s">
        <v>144</v>
      </c>
      <c r="F2073" s="32" t="s">
        <v>49</v>
      </c>
      <c r="G2073" s="32" t="s">
        <v>50</v>
      </c>
      <c r="H2073" s="33">
        <v>3030</v>
      </c>
      <c r="I2073" s="34">
        <f>Table3[[#This Row],[Volume, kg.]]/1000</f>
        <v>3.03</v>
      </c>
      <c r="J2073" s="34">
        <v>0.22750000000000001</v>
      </c>
      <c r="K2073" s="34">
        <f t="shared" si="64"/>
        <v>689.32500000000005</v>
      </c>
      <c r="L2073" s="34">
        <v>3.5</v>
      </c>
      <c r="M2073" s="34">
        <v>10605</v>
      </c>
      <c r="N2073" s="34">
        <f t="shared" si="65"/>
        <v>15.384615384615383</v>
      </c>
    </row>
    <row r="2074" spans="1:14" x14ac:dyDescent="0.45">
      <c r="A2074" s="30">
        <v>2023</v>
      </c>
      <c r="B2074" s="30" t="s">
        <v>18</v>
      </c>
      <c r="C2074" s="30" t="s">
        <v>46</v>
      </c>
      <c r="D2074" s="30" t="s">
        <v>47</v>
      </c>
      <c r="E2074" s="31" t="s">
        <v>145</v>
      </c>
      <c r="F2074" s="32" t="s">
        <v>60</v>
      </c>
      <c r="G2074" s="32" t="s">
        <v>50</v>
      </c>
      <c r="H2074" s="33">
        <v>13960</v>
      </c>
      <c r="I2074" s="34">
        <f>Table3[[#This Row],[Volume, kg.]]/1000</f>
        <v>13.96</v>
      </c>
      <c r="J2074" s="34">
        <v>0.26450000000000001</v>
      </c>
      <c r="K2074" s="34">
        <f t="shared" si="64"/>
        <v>3692.42</v>
      </c>
      <c r="L2074" s="34">
        <v>3.75</v>
      </c>
      <c r="M2074" s="34">
        <v>52350</v>
      </c>
      <c r="N2074" s="34">
        <f t="shared" si="65"/>
        <v>14.177693761814744</v>
      </c>
    </row>
    <row r="2075" spans="1:14" x14ac:dyDescent="0.45">
      <c r="A2075" s="30">
        <v>2023</v>
      </c>
      <c r="B2075" s="30" t="s">
        <v>18</v>
      </c>
      <c r="C2075" s="30" t="s">
        <v>46</v>
      </c>
      <c r="D2075" s="30" t="s">
        <v>47</v>
      </c>
      <c r="E2075" s="31" t="s">
        <v>146</v>
      </c>
      <c r="F2075" s="32" t="s">
        <v>64</v>
      </c>
      <c r="G2075" s="32" t="s">
        <v>50</v>
      </c>
      <c r="H2075" s="33">
        <v>22710</v>
      </c>
      <c r="I2075" s="34">
        <f>Table3[[#This Row],[Volume, kg.]]/1000</f>
        <v>22.71</v>
      </c>
      <c r="J2075" s="34">
        <v>0.23649999999999999</v>
      </c>
      <c r="K2075" s="34">
        <f t="shared" si="64"/>
        <v>5370.915</v>
      </c>
      <c r="L2075" s="34">
        <v>3.65</v>
      </c>
      <c r="M2075" s="34">
        <v>82918.5</v>
      </c>
      <c r="N2075" s="34">
        <f t="shared" si="65"/>
        <v>15.433403805496829</v>
      </c>
    </row>
    <row r="2076" spans="1:14" x14ac:dyDescent="0.45">
      <c r="A2076" s="30">
        <v>2023</v>
      </c>
      <c r="B2076" s="30" t="s">
        <v>18</v>
      </c>
      <c r="C2076" s="30" t="s">
        <v>46</v>
      </c>
      <c r="D2076" s="30" t="s">
        <v>102</v>
      </c>
      <c r="E2076" s="31" t="s">
        <v>437</v>
      </c>
      <c r="F2076" s="32" t="s">
        <v>49</v>
      </c>
      <c r="G2076" s="32" t="s">
        <v>50</v>
      </c>
      <c r="H2076" s="33">
        <v>2641320</v>
      </c>
      <c r="I2076" s="34">
        <f>Table3[[#This Row],[Volume, kg.]]/1000</f>
        <v>2641.32</v>
      </c>
      <c r="J2076" s="34">
        <v>0.25409999999999999</v>
      </c>
      <c r="K2076" s="34">
        <f t="shared" si="64"/>
        <v>671159.41200000001</v>
      </c>
      <c r="L2076" s="34">
        <v>3.97</v>
      </c>
      <c r="M2076" s="34">
        <v>10474717.5</v>
      </c>
      <c r="N2076" s="34">
        <f t="shared" si="65"/>
        <v>15.623770169224716</v>
      </c>
    </row>
    <row r="2077" spans="1:14" x14ac:dyDescent="0.45">
      <c r="A2077" s="30">
        <v>2023</v>
      </c>
      <c r="B2077" s="30" t="s">
        <v>18</v>
      </c>
      <c r="C2077" s="30" t="s">
        <v>46</v>
      </c>
      <c r="D2077" s="30" t="s">
        <v>47</v>
      </c>
      <c r="E2077" s="31" t="s">
        <v>148</v>
      </c>
      <c r="F2077" s="32" t="s">
        <v>49</v>
      </c>
      <c r="G2077" s="32" t="s">
        <v>50</v>
      </c>
      <c r="H2077" s="33">
        <v>7190</v>
      </c>
      <c r="I2077" s="34">
        <f>Table3[[#This Row],[Volume, kg.]]/1000</f>
        <v>7.19</v>
      </c>
      <c r="J2077" s="34">
        <v>0.25180000000000002</v>
      </c>
      <c r="K2077" s="34">
        <f t="shared" si="64"/>
        <v>1810.4420000000002</v>
      </c>
      <c r="L2077" s="34">
        <v>3.88</v>
      </c>
      <c r="M2077" s="34">
        <v>27911</v>
      </c>
      <c r="N2077" s="34">
        <f t="shared" si="65"/>
        <v>15.40905480540111</v>
      </c>
    </row>
    <row r="2078" spans="1:14" x14ac:dyDescent="0.45">
      <c r="A2078" s="30">
        <v>2023</v>
      </c>
      <c r="B2078" s="30" t="s">
        <v>18</v>
      </c>
      <c r="C2078" s="30" t="s">
        <v>46</v>
      </c>
      <c r="D2078" s="30" t="s">
        <v>47</v>
      </c>
      <c r="E2078" s="31" t="s">
        <v>553</v>
      </c>
      <c r="F2078" s="32" t="s">
        <v>238</v>
      </c>
      <c r="G2078" s="32" t="s">
        <v>50</v>
      </c>
      <c r="H2078" s="33">
        <v>31520</v>
      </c>
      <c r="I2078" s="34">
        <f>Table3[[#This Row],[Volume, kg.]]/1000</f>
        <v>31.52</v>
      </c>
      <c r="J2078" s="34">
        <v>0.25519999999999998</v>
      </c>
      <c r="K2078" s="34">
        <f t="shared" si="64"/>
        <v>8043.9039999999995</v>
      </c>
      <c r="L2078" s="34">
        <v>3.7</v>
      </c>
      <c r="M2078" s="34">
        <v>116613</v>
      </c>
      <c r="N2078" s="34">
        <f t="shared" si="65"/>
        <v>14.498432601880879</v>
      </c>
    </row>
    <row r="2079" spans="1:14" x14ac:dyDescent="0.45">
      <c r="A2079" s="30">
        <v>2023</v>
      </c>
      <c r="B2079" s="30" t="s">
        <v>18</v>
      </c>
      <c r="C2079" s="30" t="s">
        <v>46</v>
      </c>
      <c r="D2079" s="30" t="s">
        <v>47</v>
      </c>
      <c r="E2079" s="31" t="s">
        <v>153</v>
      </c>
      <c r="F2079" s="32" t="s">
        <v>57</v>
      </c>
      <c r="G2079" s="32" t="s">
        <v>50</v>
      </c>
      <c r="H2079" s="33">
        <v>4980</v>
      </c>
      <c r="I2079" s="34">
        <f>Table3[[#This Row],[Volume, kg.]]/1000</f>
        <v>4.9800000000000004</v>
      </c>
      <c r="J2079" s="34">
        <v>0.313</v>
      </c>
      <c r="K2079" s="34">
        <f t="shared" si="64"/>
        <v>1558.74</v>
      </c>
      <c r="L2079" s="34">
        <v>3.9</v>
      </c>
      <c r="M2079" s="34">
        <v>19422</v>
      </c>
      <c r="N2079" s="34">
        <f t="shared" si="65"/>
        <v>12.460063897763577</v>
      </c>
    </row>
    <row r="2080" spans="1:14" x14ac:dyDescent="0.45">
      <c r="A2080" s="30">
        <v>2023</v>
      </c>
      <c r="B2080" s="30" t="s">
        <v>18</v>
      </c>
      <c r="C2080" s="30" t="s">
        <v>46</v>
      </c>
      <c r="D2080" s="30" t="s">
        <v>47</v>
      </c>
      <c r="E2080" s="31" t="s">
        <v>154</v>
      </c>
      <c r="F2080" s="32" t="s">
        <v>60</v>
      </c>
      <c r="G2080" s="32" t="s">
        <v>50</v>
      </c>
      <c r="H2080" s="33">
        <v>9010</v>
      </c>
      <c r="I2080" s="34">
        <f>Table3[[#This Row],[Volume, kg.]]/1000</f>
        <v>9.01</v>
      </c>
      <c r="J2080" s="34">
        <v>0.22989999999999999</v>
      </c>
      <c r="K2080" s="34">
        <f t="shared" si="64"/>
        <v>2071.3989999999999</v>
      </c>
      <c r="L2080" s="34">
        <v>3.67</v>
      </c>
      <c r="M2080" s="34">
        <v>33072.5</v>
      </c>
      <c r="N2080" s="34">
        <f t="shared" si="65"/>
        <v>15.963462374945628</v>
      </c>
    </row>
    <row r="2081" spans="1:14" x14ac:dyDescent="0.45">
      <c r="A2081" s="30">
        <v>2023</v>
      </c>
      <c r="B2081" s="30" t="s">
        <v>18</v>
      </c>
      <c r="C2081" s="30" t="s">
        <v>46</v>
      </c>
      <c r="D2081" s="30" t="s">
        <v>47</v>
      </c>
      <c r="E2081" s="31" t="s">
        <v>155</v>
      </c>
      <c r="F2081" s="32" t="s">
        <v>64</v>
      </c>
      <c r="G2081" s="32" t="s">
        <v>50</v>
      </c>
      <c r="H2081" s="33">
        <v>126190</v>
      </c>
      <c r="I2081" s="34">
        <f>Table3[[#This Row],[Volume, kg.]]/1000</f>
        <v>126.19</v>
      </c>
      <c r="J2081" s="34">
        <v>0.23309999999999997</v>
      </c>
      <c r="K2081" s="34">
        <f t="shared" si="64"/>
        <v>29414.888999999996</v>
      </c>
      <c r="L2081" s="34">
        <v>3.75</v>
      </c>
      <c r="M2081" s="34">
        <v>473041</v>
      </c>
      <c r="N2081" s="34">
        <f t="shared" si="65"/>
        <v>16.087516087516089</v>
      </c>
    </row>
    <row r="2082" spans="1:14" x14ac:dyDescent="0.45">
      <c r="A2082" s="30">
        <v>2023</v>
      </c>
      <c r="B2082" s="30" t="s">
        <v>18</v>
      </c>
      <c r="C2082" s="30" t="s">
        <v>46</v>
      </c>
      <c r="D2082" s="30" t="s">
        <v>102</v>
      </c>
      <c r="E2082" s="31" t="s">
        <v>396</v>
      </c>
      <c r="F2082" s="32" t="s">
        <v>397</v>
      </c>
      <c r="G2082" s="32" t="s">
        <v>105</v>
      </c>
      <c r="H2082" s="33">
        <v>3260</v>
      </c>
      <c r="I2082" s="34">
        <f>Table3[[#This Row],[Volume, kg.]]/1000</f>
        <v>3.26</v>
      </c>
      <c r="J2082" s="34">
        <v>0.23139999999999999</v>
      </c>
      <c r="K2082" s="34">
        <f t="shared" si="64"/>
        <v>754.36400000000003</v>
      </c>
      <c r="L2082" s="34">
        <v>3.85</v>
      </c>
      <c r="M2082" s="34">
        <v>12557.5</v>
      </c>
      <c r="N2082" s="34">
        <f t="shared" si="65"/>
        <v>16.637856525496975</v>
      </c>
    </row>
    <row r="2083" spans="1:14" x14ac:dyDescent="0.45">
      <c r="A2083" s="30">
        <v>2023</v>
      </c>
      <c r="B2083" s="30" t="s">
        <v>18</v>
      </c>
      <c r="C2083" s="30" t="s">
        <v>46</v>
      </c>
      <c r="D2083" s="30" t="s">
        <v>47</v>
      </c>
      <c r="E2083" s="31" t="s">
        <v>156</v>
      </c>
      <c r="F2083" s="32" t="s">
        <v>49</v>
      </c>
      <c r="G2083" s="32" t="s">
        <v>50</v>
      </c>
      <c r="H2083" s="33">
        <v>18310</v>
      </c>
      <c r="I2083" s="34">
        <f>Table3[[#This Row],[Volume, kg.]]/1000</f>
        <v>18.309999999999999</v>
      </c>
      <c r="J2083" s="34">
        <v>0.30320000000000003</v>
      </c>
      <c r="K2083" s="34">
        <f t="shared" si="64"/>
        <v>5551.5920000000006</v>
      </c>
      <c r="L2083" s="34">
        <v>4.0199999999999996</v>
      </c>
      <c r="M2083" s="34">
        <v>73666.5</v>
      </c>
      <c r="N2083" s="34">
        <f t="shared" si="65"/>
        <v>13.258575197889179</v>
      </c>
    </row>
    <row r="2084" spans="1:14" x14ac:dyDescent="0.45">
      <c r="A2084" s="30">
        <v>2023</v>
      </c>
      <c r="B2084" s="30" t="s">
        <v>18</v>
      </c>
      <c r="C2084" s="30" t="s">
        <v>46</v>
      </c>
      <c r="D2084" s="30" t="s">
        <v>102</v>
      </c>
      <c r="E2084" s="31" t="s">
        <v>295</v>
      </c>
      <c r="F2084" s="32" t="s">
        <v>127</v>
      </c>
      <c r="G2084" s="32" t="s">
        <v>128</v>
      </c>
      <c r="H2084" s="33">
        <v>22710</v>
      </c>
      <c r="I2084" s="34">
        <f>Table3[[#This Row],[Volume, kg.]]/1000</f>
        <v>22.71</v>
      </c>
      <c r="J2084" s="34">
        <v>0.223</v>
      </c>
      <c r="K2084" s="34">
        <f t="shared" si="64"/>
        <v>5064.33</v>
      </c>
      <c r="L2084" s="34">
        <v>3.69</v>
      </c>
      <c r="M2084" s="34">
        <v>83890</v>
      </c>
      <c r="N2084" s="34">
        <f t="shared" si="65"/>
        <v>16.54708520179372</v>
      </c>
    </row>
    <row r="2085" spans="1:14" x14ac:dyDescent="0.45">
      <c r="A2085" s="30">
        <v>2023</v>
      </c>
      <c r="B2085" s="30" t="s">
        <v>18</v>
      </c>
      <c r="C2085" s="30" t="s">
        <v>46</v>
      </c>
      <c r="D2085" s="30" t="s">
        <v>102</v>
      </c>
      <c r="E2085" s="31" t="s">
        <v>554</v>
      </c>
      <c r="F2085" s="32" t="s">
        <v>331</v>
      </c>
      <c r="G2085" s="32" t="s">
        <v>105</v>
      </c>
      <c r="H2085" s="33">
        <v>94950</v>
      </c>
      <c r="I2085" s="34">
        <f>Table3[[#This Row],[Volume, kg.]]/1000</f>
        <v>94.95</v>
      </c>
      <c r="J2085" s="34">
        <v>0.2152</v>
      </c>
      <c r="K2085" s="34">
        <f t="shared" si="64"/>
        <v>20433.240000000002</v>
      </c>
      <c r="L2085" s="34">
        <v>3.77</v>
      </c>
      <c r="M2085" s="34">
        <v>357822.5</v>
      </c>
      <c r="N2085" s="34">
        <f t="shared" si="65"/>
        <v>17.518587360594797</v>
      </c>
    </row>
    <row r="2086" spans="1:14" x14ac:dyDescent="0.45">
      <c r="A2086" s="30">
        <v>2023</v>
      </c>
      <c r="B2086" s="30" t="s">
        <v>18</v>
      </c>
      <c r="C2086" s="30" t="s">
        <v>46</v>
      </c>
      <c r="D2086" s="30" t="s">
        <v>47</v>
      </c>
      <c r="E2086" s="31" t="s">
        <v>353</v>
      </c>
      <c r="F2086" s="32" t="s">
        <v>57</v>
      </c>
      <c r="G2086" s="32" t="s">
        <v>50</v>
      </c>
      <c r="H2086" s="33">
        <v>6040</v>
      </c>
      <c r="I2086" s="34">
        <f>Table3[[#This Row],[Volume, kg.]]/1000</f>
        <v>6.04</v>
      </c>
      <c r="J2086" s="34">
        <v>0.23899999999999999</v>
      </c>
      <c r="K2086" s="34">
        <f t="shared" si="64"/>
        <v>1443.56</v>
      </c>
      <c r="L2086" s="34">
        <v>3.55</v>
      </c>
      <c r="M2086" s="34">
        <v>21442</v>
      </c>
      <c r="N2086" s="34">
        <f t="shared" si="65"/>
        <v>14.853556485355648</v>
      </c>
    </row>
    <row r="2087" spans="1:14" x14ac:dyDescent="0.45">
      <c r="A2087" s="30">
        <v>2023</v>
      </c>
      <c r="B2087" s="30" t="s">
        <v>18</v>
      </c>
      <c r="C2087" s="30" t="s">
        <v>46</v>
      </c>
      <c r="D2087" s="30" t="s">
        <v>47</v>
      </c>
      <c r="E2087" s="31" t="s">
        <v>296</v>
      </c>
      <c r="F2087" s="32" t="s">
        <v>60</v>
      </c>
      <c r="G2087" s="32" t="s">
        <v>50</v>
      </c>
      <c r="H2087" s="33">
        <v>15730</v>
      </c>
      <c r="I2087" s="34">
        <f>Table3[[#This Row],[Volume, kg.]]/1000</f>
        <v>15.73</v>
      </c>
      <c r="J2087" s="34">
        <v>0.23350000000000001</v>
      </c>
      <c r="K2087" s="34">
        <f t="shared" si="64"/>
        <v>3672.9550000000004</v>
      </c>
      <c r="L2087" s="34">
        <v>3.61</v>
      </c>
      <c r="M2087" s="34">
        <v>56708.5</v>
      </c>
      <c r="N2087" s="34">
        <f t="shared" si="65"/>
        <v>15.460385438972162</v>
      </c>
    </row>
    <row r="2088" spans="1:14" x14ac:dyDescent="0.45">
      <c r="A2088" s="30">
        <v>2023</v>
      </c>
      <c r="B2088" s="30" t="s">
        <v>18</v>
      </c>
      <c r="C2088" s="30" t="s">
        <v>46</v>
      </c>
      <c r="D2088" s="30" t="s">
        <v>102</v>
      </c>
      <c r="E2088" s="31" t="s">
        <v>157</v>
      </c>
      <c r="F2088" s="32" t="s">
        <v>127</v>
      </c>
      <c r="G2088" s="32" t="s">
        <v>128</v>
      </c>
      <c r="H2088" s="33">
        <v>90460</v>
      </c>
      <c r="I2088" s="34">
        <f>Table3[[#This Row],[Volume, kg.]]/1000</f>
        <v>90.46</v>
      </c>
      <c r="J2088" s="34">
        <v>0.2288</v>
      </c>
      <c r="K2088" s="34">
        <f t="shared" si="64"/>
        <v>20697.248</v>
      </c>
      <c r="L2088" s="34">
        <v>3.6</v>
      </c>
      <c r="M2088" s="34">
        <v>325842</v>
      </c>
      <c r="N2088" s="34">
        <f t="shared" si="65"/>
        <v>15.734265734265735</v>
      </c>
    </row>
    <row r="2089" spans="1:14" x14ac:dyDescent="0.45">
      <c r="A2089" s="30">
        <v>2023</v>
      </c>
      <c r="B2089" s="30" t="s">
        <v>18</v>
      </c>
      <c r="C2089" s="30" t="s">
        <v>46</v>
      </c>
      <c r="D2089" s="30" t="s">
        <v>47</v>
      </c>
      <c r="E2089" s="31" t="s">
        <v>539</v>
      </c>
      <c r="F2089" s="32" t="s">
        <v>57</v>
      </c>
      <c r="G2089" s="32" t="s">
        <v>50</v>
      </c>
      <c r="H2089" s="33">
        <v>1940</v>
      </c>
      <c r="I2089" s="34">
        <f>Table3[[#This Row],[Volume, kg.]]/1000</f>
        <v>1.94</v>
      </c>
      <c r="J2089" s="34">
        <v>0.1595</v>
      </c>
      <c r="K2089" s="34">
        <f t="shared" si="64"/>
        <v>309.43</v>
      </c>
      <c r="L2089" s="34">
        <v>3.15</v>
      </c>
      <c r="M2089" s="34">
        <v>6111</v>
      </c>
      <c r="N2089" s="34">
        <f t="shared" si="65"/>
        <v>19.749216300940439</v>
      </c>
    </row>
    <row r="2090" spans="1:14" x14ac:dyDescent="0.45">
      <c r="A2090" s="30">
        <v>2023</v>
      </c>
      <c r="B2090" s="30" t="s">
        <v>18</v>
      </c>
      <c r="C2090" s="30" t="s">
        <v>46</v>
      </c>
      <c r="D2090" s="30" t="s">
        <v>47</v>
      </c>
      <c r="E2090" s="31" t="s">
        <v>159</v>
      </c>
      <c r="F2090" s="32" t="s">
        <v>81</v>
      </c>
      <c r="G2090" s="32" t="s">
        <v>50</v>
      </c>
      <c r="H2090" s="33">
        <v>111150</v>
      </c>
      <c r="I2090" s="34">
        <f>Table3[[#This Row],[Volume, kg.]]/1000</f>
        <v>111.15</v>
      </c>
      <c r="J2090" s="34">
        <v>0.2515</v>
      </c>
      <c r="K2090" s="34">
        <f t="shared" si="64"/>
        <v>27954.224999999999</v>
      </c>
      <c r="L2090" s="34">
        <v>3.72</v>
      </c>
      <c r="M2090" s="34">
        <v>413204.5</v>
      </c>
      <c r="N2090" s="34">
        <f t="shared" si="65"/>
        <v>14.791252485089464</v>
      </c>
    </row>
    <row r="2091" spans="1:14" x14ac:dyDescent="0.45">
      <c r="A2091" s="30">
        <v>2023</v>
      </c>
      <c r="B2091" s="30" t="s">
        <v>18</v>
      </c>
      <c r="C2091" s="30" t="s">
        <v>46</v>
      </c>
      <c r="D2091" s="30" t="s">
        <v>47</v>
      </c>
      <c r="E2091" s="31" t="s">
        <v>163</v>
      </c>
      <c r="F2091" s="32" t="s">
        <v>60</v>
      </c>
      <c r="G2091" s="32" t="s">
        <v>50</v>
      </c>
      <c r="H2091" s="33">
        <v>9830</v>
      </c>
      <c r="I2091" s="34">
        <f>Table3[[#This Row],[Volume, kg.]]/1000</f>
        <v>9.83</v>
      </c>
      <c r="J2091" s="34">
        <v>0.2213</v>
      </c>
      <c r="K2091" s="34">
        <f t="shared" si="64"/>
        <v>2175.3789999999999</v>
      </c>
      <c r="L2091" s="34">
        <v>3.45</v>
      </c>
      <c r="M2091" s="34">
        <v>33913.5</v>
      </c>
      <c r="N2091" s="34">
        <f t="shared" si="65"/>
        <v>15.589697243560778</v>
      </c>
    </row>
    <row r="2092" spans="1:14" x14ac:dyDescent="0.45">
      <c r="A2092" s="30">
        <v>2023</v>
      </c>
      <c r="B2092" s="30" t="s">
        <v>18</v>
      </c>
      <c r="C2092" s="30" t="s">
        <v>46</v>
      </c>
      <c r="D2092" s="30" t="s">
        <v>47</v>
      </c>
      <c r="E2092" s="31" t="s">
        <v>164</v>
      </c>
      <c r="F2092" s="32" t="s">
        <v>49</v>
      </c>
      <c r="G2092" s="32" t="s">
        <v>50</v>
      </c>
      <c r="H2092" s="33">
        <v>49120</v>
      </c>
      <c r="I2092" s="34">
        <f>Table3[[#This Row],[Volume, kg.]]/1000</f>
        <v>49.12</v>
      </c>
      <c r="J2092" s="34">
        <v>0.27379999999999999</v>
      </c>
      <c r="K2092" s="34">
        <f t="shared" si="64"/>
        <v>13449.055999999999</v>
      </c>
      <c r="L2092" s="34">
        <v>3.84</v>
      </c>
      <c r="M2092" s="34">
        <v>188576.5</v>
      </c>
      <c r="N2092" s="34">
        <f t="shared" si="65"/>
        <v>14.024835646457268</v>
      </c>
    </row>
    <row r="2093" spans="1:14" x14ac:dyDescent="0.45">
      <c r="A2093" s="30">
        <v>2023</v>
      </c>
      <c r="B2093" s="30" t="s">
        <v>18</v>
      </c>
      <c r="C2093" s="30" t="s">
        <v>46</v>
      </c>
      <c r="D2093" s="30" t="s">
        <v>47</v>
      </c>
      <c r="E2093" s="31" t="s">
        <v>165</v>
      </c>
      <c r="F2093" s="32" t="s">
        <v>57</v>
      </c>
      <c r="G2093" s="32" t="s">
        <v>50</v>
      </c>
      <c r="H2093" s="33">
        <v>29910</v>
      </c>
      <c r="I2093" s="34">
        <f>Table3[[#This Row],[Volume, kg.]]/1000</f>
        <v>29.91</v>
      </c>
      <c r="J2093" s="34">
        <v>0.29420000000000002</v>
      </c>
      <c r="K2093" s="34">
        <f t="shared" si="64"/>
        <v>8799.5220000000008</v>
      </c>
      <c r="L2093" s="34">
        <v>3.97</v>
      </c>
      <c r="M2093" s="34">
        <v>118813.5</v>
      </c>
      <c r="N2093" s="34">
        <f t="shared" si="65"/>
        <v>13.494221617946975</v>
      </c>
    </row>
    <row r="2094" spans="1:14" x14ac:dyDescent="0.45">
      <c r="A2094" s="30">
        <v>2023</v>
      </c>
      <c r="B2094" s="30" t="s">
        <v>18</v>
      </c>
      <c r="C2094" s="30" t="s">
        <v>46</v>
      </c>
      <c r="D2094" s="30" t="s">
        <v>47</v>
      </c>
      <c r="E2094" s="31" t="s">
        <v>166</v>
      </c>
      <c r="F2094" s="32" t="s">
        <v>49</v>
      </c>
      <c r="G2094" s="32" t="s">
        <v>50</v>
      </c>
      <c r="H2094" s="33">
        <v>11990</v>
      </c>
      <c r="I2094" s="34">
        <f>Table3[[#This Row],[Volume, kg.]]/1000</f>
        <v>11.99</v>
      </c>
      <c r="J2094" s="34">
        <v>0.2036</v>
      </c>
      <c r="K2094" s="34">
        <f t="shared" si="64"/>
        <v>2441.1640000000002</v>
      </c>
      <c r="L2094" s="34">
        <v>3.68</v>
      </c>
      <c r="M2094" s="34">
        <v>44149</v>
      </c>
      <c r="N2094" s="34">
        <f t="shared" si="65"/>
        <v>18.074656188605108</v>
      </c>
    </row>
    <row r="2095" spans="1:14" x14ac:dyDescent="0.45">
      <c r="A2095" s="30">
        <v>2023</v>
      </c>
      <c r="B2095" s="30" t="s">
        <v>18</v>
      </c>
      <c r="C2095" s="30" t="s">
        <v>46</v>
      </c>
      <c r="D2095" s="30" t="s">
        <v>47</v>
      </c>
      <c r="E2095" s="31" t="s">
        <v>167</v>
      </c>
      <c r="F2095" s="32" t="s">
        <v>49</v>
      </c>
      <c r="G2095" s="32" t="s">
        <v>50</v>
      </c>
      <c r="H2095" s="33">
        <v>38250</v>
      </c>
      <c r="I2095" s="34">
        <f>Table3[[#This Row],[Volume, kg.]]/1000</f>
        <v>38.25</v>
      </c>
      <c r="J2095" s="34">
        <v>0.28199999999999997</v>
      </c>
      <c r="K2095" s="34">
        <f t="shared" si="64"/>
        <v>10786.499999999998</v>
      </c>
      <c r="L2095" s="34">
        <v>3.99</v>
      </c>
      <c r="M2095" s="34">
        <v>152538.5</v>
      </c>
      <c r="N2095" s="34">
        <f t="shared" si="65"/>
        <v>14.148936170212767</v>
      </c>
    </row>
    <row r="2096" spans="1:14" x14ac:dyDescent="0.45">
      <c r="A2096" s="30">
        <v>2023</v>
      </c>
      <c r="B2096" s="30" t="s">
        <v>18</v>
      </c>
      <c r="C2096" s="30" t="s">
        <v>46</v>
      </c>
      <c r="D2096" s="30" t="s">
        <v>47</v>
      </c>
      <c r="E2096" s="31" t="s">
        <v>174</v>
      </c>
      <c r="F2096" s="32" t="s">
        <v>57</v>
      </c>
      <c r="G2096" s="32" t="s">
        <v>50</v>
      </c>
      <c r="H2096" s="33">
        <v>7130</v>
      </c>
      <c r="I2096" s="34">
        <f>Table3[[#This Row],[Volume, kg.]]/1000</f>
        <v>7.13</v>
      </c>
      <c r="J2096" s="34">
        <v>0.27729999999999999</v>
      </c>
      <c r="K2096" s="34">
        <f t="shared" si="64"/>
        <v>1977.1489999999999</v>
      </c>
      <c r="L2096" s="34">
        <v>4.03</v>
      </c>
      <c r="M2096" s="34">
        <v>28723.5</v>
      </c>
      <c r="N2096" s="34">
        <f t="shared" si="65"/>
        <v>14.532996754417599</v>
      </c>
    </row>
    <row r="2097" spans="1:14" x14ac:dyDescent="0.45">
      <c r="A2097" s="30">
        <v>2023</v>
      </c>
      <c r="B2097" s="30" t="s">
        <v>18</v>
      </c>
      <c r="C2097" s="30" t="s">
        <v>46</v>
      </c>
      <c r="D2097" s="30" t="s">
        <v>47</v>
      </c>
      <c r="E2097" s="31" t="s">
        <v>175</v>
      </c>
      <c r="F2097" s="32" t="s">
        <v>64</v>
      </c>
      <c r="G2097" s="32" t="s">
        <v>50</v>
      </c>
      <c r="H2097" s="33">
        <v>32370</v>
      </c>
      <c r="I2097" s="34">
        <f>Table3[[#This Row],[Volume, kg.]]/1000</f>
        <v>32.369999999999997</v>
      </c>
      <c r="J2097" s="34">
        <v>0.26600000000000001</v>
      </c>
      <c r="K2097" s="34">
        <f t="shared" si="64"/>
        <v>8610.42</v>
      </c>
      <c r="L2097" s="34">
        <v>3.98</v>
      </c>
      <c r="M2097" s="34">
        <v>128730</v>
      </c>
      <c r="N2097" s="34">
        <f t="shared" si="65"/>
        <v>14.962406015037594</v>
      </c>
    </row>
    <row r="2098" spans="1:14" x14ac:dyDescent="0.45">
      <c r="A2098" s="30">
        <v>2023</v>
      </c>
      <c r="B2098" s="30" t="s">
        <v>18</v>
      </c>
      <c r="C2098" s="30" t="s">
        <v>46</v>
      </c>
      <c r="D2098" s="30" t="s">
        <v>47</v>
      </c>
      <c r="E2098" s="31" t="s">
        <v>176</v>
      </c>
      <c r="F2098" s="32" t="s">
        <v>49</v>
      </c>
      <c r="G2098" s="32" t="s">
        <v>50</v>
      </c>
      <c r="H2098" s="33">
        <v>6260</v>
      </c>
      <c r="I2098" s="34">
        <f>Table3[[#This Row],[Volume, kg.]]/1000</f>
        <v>6.26</v>
      </c>
      <c r="J2098" s="34">
        <v>0.3</v>
      </c>
      <c r="K2098" s="34">
        <f t="shared" si="64"/>
        <v>1878</v>
      </c>
      <c r="L2098" s="34">
        <v>3.85</v>
      </c>
      <c r="M2098" s="34">
        <v>24101</v>
      </c>
      <c r="N2098" s="34">
        <f t="shared" si="65"/>
        <v>12.833333333333334</v>
      </c>
    </row>
    <row r="2099" spans="1:14" x14ac:dyDescent="0.45">
      <c r="A2099" s="30">
        <v>2023</v>
      </c>
      <c r="B2099" s="30" t="s">
        <v>18</v>
      </c>
      <c r="C2099" s="30" t="s">
        <v>46</v>
      </c>
      <c r="D2099" s="30" t="s">
        <v>47</v>
      </c>
      <c r="E2099" s="31" t="s">
        <v>178</v>
      </c>
      <c r="F2099" s="32" t="s">
        <v>49</v>
      </c>
      <c r="G2099" s="32" t="s">
        <v>50</v>
      </c>
      <c r="H2099" s="33">
        <v>5200</v>
      </c>
      <c r="I2099" s="34">
        <f>Table3[[#This Row],[Volume, kg.]]/1000</f>
        <v>5.2</v>
      </c>
      <c r="J2099" s="34">
        <v>0.2535</v>
      </c>
      <c r="K2099" s="34">
        <f t="shared" si="64"/>
        <v>1318.2</v>
      </c>
      <c r="L2099" s="34">
        <v>3.6</v>
      </c>
      <c r="M2099" s="34">
        <v>18720</v>
      </c>
      <c r="N2099" s="34">
        <f t="shared" si="65"/>
        <v>14.201183431952662</v>
      </c>
    </row>
    <row r="2100" spans="1:14" x14ac:dyDescent="0.45">
      <c r="A2100" s="30">
        <v>2023</v>
      </c>
      <c r="B2100" s="30" t="s">
        <v>18</v>
      </c>
      <c r="C2100" s="30" t="s">
        <v>46</v>
      </c>
      <c r="D2100" s="30" t="s">
        <v>47</v>
      </c>
      <c r="E2100" s="31" t="s">
        <v>298</v>
      </c>
      <c r="F2100" s="32" t="s">
        <v>49</v>
      </c>
      <c r="G2100" s="32" t="s">
        <v>50</v>
      </c>
      <c r="H2100" s="33">
        <v>9630</v>
      </c>
      <c r="I2100" s="34">
        <f>Table3[[#This Row],[Volume, kg.]]/1000</f>
        <v>9.6300000000000008</v>
      </c>
      <c r="J2100" s="34">
        <v>0.25679999999999997</v>
      </c>
      <c r="K2100" s="34">
        <f t="shared" si="64"/>
        <v>2472.9839999999999</v>
      </c>
      <c r="L2100" s="34">
        <v>3.75</v>
      </c>
      <c r="M2100" s="34">
        <v>36112.5</v>
      </c>
      <c r="N2100" s="34">
        <f t="shared" si="65"/>
        <v>14.602803738317759</v>
      </c>
    </row>
    <row r="2101" spans="1:14" x14ac:dyDescent="0.45">
      <c r="A2101" s="30">
        <v>2023</v>
      </c>
      <c r="B2101" s="30" t="s">
        <v>18</v>
      </c>
      <c r="C2101" s="30" t="s">
        <v>46</v>
      </c>
      <c r="D2101" s="30" t="s">
        <v>102</v>
      </c>
      <c r="E2101" s="31" t="s">
        <v>555</v>
      </c>
      <c r="F2101" s="32" t="s">
        <v>556</v>
      </c>
      <c r="G2101" s="32" t="s">
        <v>557</v>
      </c>
      <c r="H2101" s="33">
        <v>205260</v>
      </c>
      <c r="I2101" s="34">
        <f>Table3[[#This Row],[Volume, kg.]]/1000</f>
        <v>205.26</v>
      </c>
      <c r="J2101" s="34">
        <v>0.2205</v>
      </c>
      <c r="K2101" s="34">
        <f t="shared" si="64"/>
        <v>45259.83</v>
      </c>
      <c r="L2101" s="34">
        <v>3.82</v>
      </c>
      <c r="M2101" s="34">
        <v>784622</v>
      </c>
      <c r="N2101" s="34">
        <f t="shared" si="65"/>
        <v>17.324263038548754</v>
      </c>
    </row>
    <row r="2102" spans="1:14" x14ac:dyDescent="0.45">
      <c r="A2102" s="30">
        <v>2023</v>
      </c>
      <c r="B2102" s="30" t="s">
        <v>18</v>
      </c>
      <c r="C2102" s="30" t="s">
        <v>46</v>
      </c>
      <c r="D2102" s="30" t="s">
        <v>47</v>
      </c>
      <c r="E2102" s="31" t="s">
        <v>413</v>
      </c>
      <c r="F2102" s="32" t="s">
        <v>49</v>
      </c>
      <c r="G2102" s="32" t="s">
        <v>50</v>
      </c>
      <c r="H2102" s="33">
        <v>28550</v>
      </c>
      <c r="I2102" s="34">
        <f>Table3[[#This Row],[Volume, kg.]]/1000</f>
        <v>28.55</v>
      </c>
      <c r="J2102" s="34">
        <v>0.25040000000000001</v>
      </c>
      <c r="K2102" s="34">
        <f t="shared" si="64"/>
        <v>7148.92</v>
      </c>
      <c r="L2102" s="34">
        <v>3.7</v>
      </c>
      <c r="M2102" s="34">
        <v>105645</v>
      </c>
      <c r="N2102" s="34">
        <f t="shared" si="65"/>
        <v>14.776357827476039</v>
      </c>
    </row>
    <row r="2103" spans="1:14" x14ac:dyDescent="0.45">
      <c r="A2103" s="30">
        <v>2023</v>
      </c>
      <c r="B2103" s="30" t="s">
        <v>18</v>
      </c>
      <c r="C2103" s="30" t="s">
        <v>46</v>
      </c>
      <c r="D2103" s="30" t="s">
        <v>47</v>
      </c>
      <c r="E2103" s="31" t="s">
        <v>181</v>
      </c>
      <c r="F2103" s="32" t="s">
        <v>57</v>
      </c>
      <c r="G2103" s="32" t="s">
        <v>50</v>
      </c>
      <c r="H2103" s="33">
        <v>11370</v>
      </c>
      <c r="I2103" s="34">
        <f>Table3[[#This Row],[Volume, kg.]]/1000</f>
        <v>11.37</v>
      </c>
      <c r="J2103" s="34">
        <v>0.29199999999999998</v>
      </c>
      <c r="K2103" s="34">
        <f t="shared" si="64"/>
        <v>3320.04</v>
      </c>
      <c r="L2103" s="34">
        <v>4</v>
      </c>
      <c r="M2103" s="34">
        <v>45428.5</v>
      </c>
      <c r="N2103" s="34">
        <f t="shared" si="65"/>
        <v>13.698630136986303</v>
      </c>
    </row>
    <row r="2104" spans="1:14" x14ac:dyDescent="0.45">
      <c r="A2104" s="30">
        <v>2023</v>
      </c>
      <c r="B2104" s="30" t="s">
        <v>18</v>
      </c>
      <c r="C2104" s="30" t="s">
        <v>46</v>
      </c>
      <c r="D2104" s="30" t="s">
        <v>47</v>
      </c>
      <c r="E2104" s="31" t="s">
        <v>182</v>
      </c>
      <c r="F2104" s="32" t="s">
        <v>81</v>
      </c>
      <c r="G2104" s="32" t="s">
        <v>50</v>
      </c>
      <c r="H2104" s="33">
        <v>50880</v>
      </c>
      <c r="I2104" s="34">
        <f>Table3[[#This Row],[Volume, kg.]]/1000</f>
        <v>50.88</v>
      </c>
      <c r="J2104" s="34">
        <v>0.26569999999999999</v>
      </c>
      <c r="K2104" s="34">
        <f t="shared" si="64"/>
        <v>13518.815999999999</v>
      </c>
      <c r="L2104" s="34">
        <v>3.83</v>
      </c>
      <c r="M2104" s="34">
        <v>194765.5</v>
      </c>
      <c r="N2104" s="34">
        <f t="shared" si="65"/>
        <v>14.414753481369967</v>
      </c>
    </row>
    <row r="2105" spans="1:14" x14ac:dyDescent="0.45">
      <c r="A2105" s="30">
        <v>2023</v>
      </c>
      <c r="B2105" s="30" t="s">
        <v>18</v>
      </c>
      <c r="C2105" s="30" t="s">
        <v>46</v>
      </c>
      <c r="D2105" s="30" t="s">
        <v>47</v>
      </c>
      <c r="E2105" s="31" t="s">
        <v>300</v>
      </c>
      <c r="F2105" s="32" t="s">
        <v>57</v>
      </c>
      <c r="G2105" s="32" t="s">
        <v>50</v>
      </c>
      <c r="H2105" s="33">
        <v>9760</v>
      </c>
      <c r="I2105" s="34">
        <f>Table3[[#This Row],[Volume, kg.]]/1000</f>
        <v>9.76</v>
      </c>
      <c r="J2105" s="34">
        <v>0.26960000000000001</v>
      </c>
      <c r="K2105" s="34">
        <f t="shared" si="64"/>
        <v>2631.2960000000003</v>
      </c>
      <c r="L2105" s="34">
        <v>4</v>
      </c>
      <c r="M2105" s="34">
        <v>39035</v>
      </c>
      <c r="N2105" s="34">
        <f t="shared" si="65"/>
        <v>14.836795252225519</v>
      </c>
    </row>
    <row r="2106" spans="1:14" x14ac:dyDescent="0.45">
      <c r="A2106" s="30">
        <v>2023</v>
      </c>
      <c r="B2106" s="30" t="s">
        <v>18</v>
      </c>
      <c r="C2106" s="30" t="s">
        <v>46</v>
      </c>
      <c r="D2106" s="30" t="s">
        <v>47</v>
      </c>
      <c r="E2106" s="31" t="s">
        <v>185</v>
      </c>
      <c r="F2106" s="32" t="s">
        <v>57</v>
      </c>
      <c r="G2106" s="32" t="s">
        <v>50</v>
      </c>
      <c r="H2106" s="33">
        <v>4710</v>
      </c>
      <c r="I2106" s="34">
        <f>Table3[[#This Row],[Volume, kg.]]/1000</f>
        <v>4.71</v>
      </c>
      <c r="J2106" s="34">
        <v>0.28999999999999998</v>
      </c>
      <c r="K2106" s="34">
        <f t="shared" si="64"/>
        <v>1365.8999999999999</v>
      </c>
      <c r="L2106" s="34">
        <v>4.0999999999999996</v>
      </c>
      <c r="M2106" s="34">
        <v>19311</v>
      </c>
      <c r="N2106" s="34">
        <f t="shared" si="65"/>
        <v>14.137931034482758</v>
      </c>
    </row>
    <row r="2107" spans="1:14" x14ac:dyDescent="0.45">
      <c r="A2107" s="30">
        <v>2023</v>
      </c>
      <c r="B2107" s="30" t="s">
        <v>18</v>
      </c>
      <c r="C2107" s="30" t="s">
        <v>46</v>
      </c>
      <c r="D2107" s="30" t="s">
        <v>47</v>
      </c>
      <c r="E2107" s="31" t="s">
        <v>186</v>
      </c>
      <c r="F2107" s="32" t="s">
        <v>64</v>
      </c>
      <c r="G2107" s="32" t="s">
        <v>50</v>
      </c>
      <c r="H2107" s="33">
        <v>19650</v>
      </c>
      <c r="I2107" s="34">
        <f>Table3[[#This Row],[Volume, kg.]]/1000</f>
        <v>19.649999999999999</v>
      </c>
      <c r="J2107" s="34">
        <v>0.2616</v>
      </c>
      <c r="K2107" s="34">
        <f t="shared" si="64"/>
        <v>5140.4399999999996</v>
      </c>
      <c r="L2107" s="34">
        <v>3.95</v>
      </c>
      <c r="M2107" s="34">
        <v>77628.5</v>
      </c>
      <c r="N2107" s="34">
        <f t="shared" si="65"/>
        <v>15.099388379204894</v>
      </c>
    </row>
    <row r="2108" spans="1:14" x14ac:dyDescent="0.45">
      <c r="A2108" s="30">
        <v>2023</v>
      </c>
      <c r="B2108" s="30" t="s">
        <v>18</v>
      </c>
      <c r="C2108" s="30" t="s">
        <v>46</v>
      </c>
      <c r="D2108" s="30" t="s">
        <v>47</v>
      </c>
      <c r="E2108" s="31" t="s">
        <v>187</v>
      </c>
      <c r="F2108" s="32" t="s">
        <v>54</v>
      </c>
      <c r="G2108" s="32" t="s">
        <v>50</v>
      </c>
      <c r="H2108" s="33">
        <v>87660</v>
      </c>
      <c r="I2108" s="34">
        <f>Table3[[#This Row],[Volume, kg.]]/1000</f>
        <v>87.66</v>
      </c>
      <c r="J2108" s="34">
        <v>0.27379999999999999</v>
      </c>
      <c r="K2108" s="34">
        <f t="shared" si="64"/>
        <v>24001.307999999997</v>
      </c>
      <c r="L2108" s="34">
        <v>3.71</v>
      </c>
      <c r="M2108" s="34">
        <v>325179.5</v>
      </c>
      <c r="N2108" s="34">
        <f t="shared" si="65"/>
        <v>13.550036523009496</v>
      </c>
    </row>
    <row r="2109" spans="1:14" x14ac:dyDescent="0.45">
      <c r="A2109" s="30">
        <v>2023</v>
      </c>
      <c r="B2109" s="30" t="s">
        <v>18</v>
      </c>
      <c r="C2109" s="30" t="s">
        <v>46</v>
      </c>
      <c r="D2109" s="30" t="s">
        <v>47</v>
      </c>
      <c r="E2109" s="31" t="s">
        <v>558</v>
      </c>
      <c r="F2109" s="32" t="s">
        <v>49</v>
      </c>
      <c r="G2109" s="32" t="s">
        <v>50</v>
      </c>
      <c r="H2109" s="33">
        <v>14510</v>
      </c>
      <c r="I2109" s="34">
        <f>Table3[[#This Row],[Volume, kg.]]/1000</f>
        <v>14.51</v>
      </c>
      <c r="J2109" s="34">
        <v>0.23920000000000002</v>
      </c>
      <c r="K2109" s="34">
        <f t="shared" si="64"/>
        <v>3470.7920000000004</v>
      </c>
      <c r="L2109" s="34">
        <v>3.83</v>
      </c>
      <c r="M2109" s="34">
        <v>55568</v>
      </c>
      <c r="N2109" s="34">
        <f t="shared" si="65"/>
        <v>16.011705685618729</v>
      </c>
    </row>
    <row r="2110" spans="1:14" x14ac:dyDescent="0.45">
      <c r="A2110" s="30">
        <v>2023</v>
      </c>
      <c r="B2110" s="30" t="s">
        <v>18</v>
      </c>
      <c r="C2110" s="30" t="s">
        <v>46</v>
      </c>
      <c r="D2110" s="30" t="s">
        <v>47</v>
      </c>
      <c r="E2110" s="31" t="s">
        <v>355</v>
      </c>
      <c r="F2110" s="32" t="s">
        <v>60</v>
      </c>
      <c r="G2110" s="32" t="s">
        <v>50</v>
      </c>
      <c r="H2110" s="33">
        <v>24150</v>
      </c>
      <c r="I2110" s="34">
        <f>Table3[[#This Row],[Volume, kg.]]/1000</f>
        <v>24.15</v>
      </c>
      <c r="J2110" s="34">
        <v>0.2213</v>
      </c>
      <c r="K2110" s="34">
        <f t="shared" si="64"/>
        <v>5344.3949999999995</v>
      </c>
      <c r="L2110" s="34">
        <v>3.54</v>
      </c>
      <c r="M2110" s="34">
        <v>85509</v>
      </c>
      <c r="N2110" s="34">
        <f t="shared" si="65"/>
        <v>15.996384997740623</v>
      </c>
    </row>
    <row r="2111" spans="1:14" x14ac:dyDescent="0.45">
      <c r="A2111" s="30">
        <v>2023</v>
      </c>
      <c r="B2111" s="30" t="s">
        <v>18</v>
      </c>
      <c r="C2111" s="30" t="s">
        <v>46</v>
      </c>
      <c r="D2111" s="30" t="s">
        <v>102</v>
      </c>
      <c r="E2111" s="31" t="s">
        <v>188</v>
      </c>
      <c r="F2111" s="32" t="s">
        <v>189</v>
      </c>
      <c r="G2111" s="32" t="s">
        <v>128</v>
      </c>
      <c r="H2111" s="33">
        <v>775140</v>
      </c>
      <c r="I2111" s="34">
        <f>Table3[[#This Row],[Volume, kg.]]/1000</f>
        <v>775.14</v>
      </c>
      <c r="J2111" s="34">
        <v>0.2336</v>
      </c>
      <c r="K2111" s="34">
        <f t="shared" si="64"/>
        <v>181072.704</v>
      </c>
      <c r="L2111" s="34">
        <v>3.77</v>
      </c>
      <c r="M2111" s="34">
        <v>2923447.5</v>
      </c>
      <c r="N2111" s="34">
        <f t="shared" si="65"/>
        <v>16.138698630136986</v>
      </c>
    </row>
    <row r="2112" spans="1:14" x14ac:dyDescent="0.45">
      <c r="A2112" s="30">
        <v>2023</v>
      </c>
      <c r="B2112" s="30" t="s">
        <v>18</v>
      </c>
      <c r="C2112" s="30" t="s">
        <v>46</v>
      </c>
      <c r="D2112" s="30" t="s">
        <v>47</v>
      </c>
      <c r="E2112" s="31" t="s">
        <v>192</v>
      </c>
      <c r="F2112" s="32" t="s">
        <v>49</v>
      </c>
      <c r="G2112" s="32" t="s">
        <v>50</v>
      </c>
      <c r="H2112" s="33">
        <v>4250</v>
      </c>
      <c r="I2112" s="34">
        <f>Table3[[#This Row],[Volume, kg.]]/1000</f>
        <v>4.25</v>
      </c>
      <c r="J2112" s="34">
        <v>0.25</v>
      </c>
      <c r="K2112" s="34">
        <f t="shared" si="64"/>
        <v>1062.5</v>
      </c>
      <c r="L2112" s="34">
        <v>3.6</v>
      </c>
      <c r="M2112" s="34">
        <v>15300</v>
      </c>
      <c r="N2112" s="34">
        <f t="shared" si="65"/>
        <v>14.4</v>
      </c>
    </row>
    <row r="2113" spans="1:14" x14ac:dyDescent="0.45">
      <c r="A2113" s="30">
        <v>2023</v>
      </c>
      <c r="B2113" s="30" t="s">
        <v>18</v>
      </c>
      <c r="C2113" s="30" t="s">
        <v>46</v>
      </c>
      <c r="D2113" s="30" t="s">
        <v>47</v>
      </c>
      <c r="E2113" s="31" t="s">
        <v>302</v>
      </c>
      <c r="F2113" s="32" t="s">
        <v>49</v>
      </c>
      <c r="G2113" s="32" t="s">
        <v>50</v>
      </c>
      <c r="H2113" s="33">
        <v>4430</v>
      </c>
      <c r="I2113" s="34">
        <f>Table3[[#This Row],[Volume, kg.]]/1000</f>
        <v>4.43</v>
      </c>
      <c r="J2113" s="34">
        <v>0.25600000000000001</v>
      </c>
      <c r="K2113" s="34">
        <f t="shared" si="64"/>
        <v>1134.08</v>
      </c>
      <c r="L2113" s="34">
        <v>3.95</v>
      </c>
      <c r="M2113" s="34">
        <v>17498.5</v>
      </c>
      <c r="N2113" s="34">
        <f t="shared" si="65"/>
        <v>15.4296875</v>
      </c>
    </row>
    <row r="2114" spans="1:14" x14ac:dyDescent="0.45">
      <c r="A2114" s="30">
        <v>2023</v>
      </c>
      <c r="B2114" s="30" t="s">
        <v>18</v>
      </c>
      <c r="C2114" s="30" t="s">
        <v>46</v>
      </c>
      <c r="D2114" s="30" t="s">
        <v>47</v>
      </c>
      <c r="E2114" s="31" t="s">
        <v>303</v>
      </c>
      <c r="F2114" s="32" t="s">
        <v>57</v>
      </c>
      <c r="G2114" s="32" t="s">
        <v>50</v>
      </c>
      <c r="H2114" s="33">
        <v>26380</v>
      </c>
      <c r="I2114" s="34">
        <f>Table3[[#This Row],[Volume, kg.]]/1000</f>
        <v>26.38</v>
      </c>
      <c r="J2114" s="34">
        <v>0.28149999999999997</v>
      </c>
      <c r="K2114" s="34">
        <f t="shared" si="64"/>
        <v>7425.9699999999993</v>
      </c>
      <c r="L2114" s="34">
        <v>3.99</v>
      </c>
      <c r="M2114" s="34">
        <v>105360.5</v>
      </c>
      <c r="N2114" s="34">
        <f t="shared" si="65"/>
        <v>14.174067495559505</v>
      </c>
    </row>
    <row r="2115" spans="1:14" x14ac:dyDescent="0.45">
      <c r="A2115" s="30">
        <v>2023</v>
      </c>
      <c r="B2115" s="30" t="s">
        <v>18</v>
      </c>
      <c r="C2115" s="30" t="s">
        <v>46</v>
      </c>
      <c r="D2115" s="30" t="s">
        <v>47</v>
      </c>
      <c r="E2115" s="31" t="s">
        <v>304</v>
      </c>
      <c r="F2115" s="32" t="s">
        <v>64</v>
      </c>
      <c r="G2115" s="32" t="s">
        <v>50</v>
      </c>
      <c r="H2115" s="33">
        <v>29480</v>
      </c>
      <c r="I2115" s="34">
        <f>Table3[[#This Row],[Volume, kg.]]/1000</f>
        <v>29.48</v>
      </c>
      <c r="J2115" s="34">
        <v>0.23120000000000002</v>
      </c>
      <c r="K2115" s="34">
        <f t="shared" ref="K2115:K2178" si="66">H2115*J2115</f>
        <v>6815.7760000000007</v>
      </c>
      <c r="L2115" s="34">
        <v>3.82</v>
      </c>
      <c r="M2115" s="34">
        <v>112517.5</v>
      </c>
      <c r="N2115" s="34">
        <f t="shared" si="65"/>
        <v>16.522491349480966</v>
      </c>
    </row>
    <row r="2116" spans="1:14" x14ac:dyDescent="0.45">
      <c r="A2116" s="30">
        <v>2023</v>
      </c>
      <c r="B2116" s="30" t="s">
        <v>18</v>
      </c>
      <c r="C2116" s="30" t="s">
        <v>46</v>
      </c>
      <c r="D2116" s="30" t="s">
        <v>47</v>
      </c>
      <c r="E2116" s="31" t="s">
        <v>196</v>
      </c>
      <c r="F2116" s="32" t="s">
        <v>57</v>
      </c>
      <c r="G2116" s="32" t="s">
        <v>50</v>
      </c>
      <c r="H2116" s="33">
        <v>8140</v>
      </c>
      <c r="I2116" s="34">
        <f>Table3[[#This Row],[Volume, kg.]]/1000</f>
        <v>8.14</v>
      </c>
      <c r="J2116" s="34">
        <v>0.26</v>
      </c>
      <c r="K2116" s="34">
        <f t="shared" si="66"/>
        <v>2116.4</v>
      </c>
      <c r="L2116" s="34">
        <v>3.65</v>
      </c>
      <c r="M2116" s="34">
        <v>29711</v>
      </c>
      <c r="N2116" s="34">
        <f t="shared" ref="N2116:N2179" si="67">L2116/J2116</f>
        <v>14.038461538461538</v>
      </c>
    </row>
    <row r="2117" spans="1:14" x14ac:dyDescent="0.45">
      <c r="A2117" s="30">
        <v>2023</v>
      </c>
      <c r="B2117" s="30" t="s">
        <v>18</v>
      </c>
      <c r="C2117" s="30" t="s">
        <v>46</v>
      </c>
      <c r="D2117" s="30" t="s">
        <v>47</v>
      </c>
      <c r="E2117" s="31" t="s">
        <v>388</v>
      </c>
      <c r="F2117" s="32" t="s">
        <v>134</v>
      </c>
      <c r="G2117" s="32" t="s">
        <v>50</v>
      </c>
      <c r="H2117" s="33">
        <v>70910</v>
      </c>
      <c r="I2117" s="34">
        <f>Table3[[#This Row],[Volume, kg.]]/1000</f>
        <v>70.91</v>
      </c>
      <c r="J2117" s="34">
        <v>0.2427</v>
      </c>
      <c r="K2117" s="34">
        <f t="shared" si="66"/>
        <v>17209.857</v>
      </c>
      <c r="L2117" s="34">
        <v>3.59</v>
      </c>
      <c r="M2117" s="34">
        <v>254744.5</v>
      </c>
      <c r="N2117" s="34">
        <f t="shared" si="67"/>
        <v>14.791924186238154</v>
      </c>
    </row>
    <row r="2118" spans="1:14" x14ac:dyDescent="0.45">
      <c r="A2118" s="30">
        <v>2023</v>
      </c>
      <c r="B2118" s="30" t="s">
        <v>18</v>
      </c>
      <c r="C2118" s="30" t="s">
        <v>46</v>
      </c>
      <c r="D2118" s="30" t="s">
        <v>47</v>
      </c>
      <c r="E2118" s="31" t="s">
        <v>305</v>
      </c>
      <c r="F2118" s="32" t="s">
        <v>64</v>
      </c>
      <c r="G2118" s="32" t="s">
        <v>50</v>
      </c>
      <c r="H2118" s="33">
        <v>70800</v>
      </c>
      <c r="I2118" s="34">
        <f>Table3[[#This Row],[Volume, kg.]]/1000</f>
        <v>70.8</v>
      </c>
      <c r="J2118" s="34">
        <v>0.2651</v>
      </c>
      <c r="K2118" s="34">
        <f t="shared" si="66"/>
        <v>18769.080000000002</v>
      </c>
      <c r="L2118" s="34">
        <v>3.98</v>
      </c>
      <c r="M2118" s="34">
        <v>281974</v>
      </c>
      <c r="N2118" s="34">
        <f t="shared" si="67"/>
        <v>15.013202565069784</v>
      </c>
    </row>
    <row r="2119" spans="1:14" x14ac:dyDescent="0.45">
      <c r="A2119" s="30">
        <v>2023</v>
      </c>
      <c r="B2119" s="30" t="s">
        <v>18</v>
      </c>
      <c r="C2119" s="30" t="s">
        <v>46</v>
      </c>
      <c r="D2119" s="30" t="s">
        <v>47</v>
      </c>
      <c r="E2119" s="31" t="s">
        <v>559</v>
      </c>
      <c r="F2119" s="32" t="s">
        <v>49</v>
      </c>
      <c r="G2119" s="32" t="s">
        <v>50</v>
      </c>
      <c r="H2119" s="33">
        <v>9420</v>
      </c>
      <c r="I2119" s="34">
        <f>Table3[[#This Row],[Volume, kg.]]/1000</f>
        <v>9.42</v>
      </c>
      <c r="J2119" s="34">
        <v>0.27889999999999998</v>
      </c>
      <c r="K2119" s="34">
        <f t="shared" si="66"/>
        <v>2627.2379999999998</v>
      </c>
      <c r="L2119" s="34">
        <v>4.03</v>
      </c>
      <c r="M2119" s="34">
        <v>37995</v>
      </c>
      <c r="N2119" s="34">
        <f t="shared" si="67"/>
        <v>14.449623520975262</v>
      </c>
    </row>
    <row r="2120" spans="1:14" x14ac:dyDescent="0.45">
      <c r="A2120" s="30">
        <v>2023</v>
      </c>
      <c r="B2120" s="30" t="s">
        <v>18</v>
      </c>
      <c r="C2120" s="30" t="s">
        <v>46</v>
      </c>
      <c r="D2120" s="30" t="s">
        <v>47</v>
      </c>
      <c r="E2120" s="31" t="s">
        <v>200</v>
      </c>
      <c r="F2120" s="32" t="s">
        <v>64</v>
      </c>
      <c r="G2120" s="32" t="s">
        <v>50</v>
      </c>
      <c r="H2120" s="33">
        <v>33520</v>
      </c>
      <c r="I2120" s="34">
        <f>Table3[[#This Row],[Volume, kg.]]/1000</f>
        <v>33.520000000000003</v>
      </c>
      <c r="J2120" s="34">
        <v>0.26590000000000003</v>
      </c>
      <c r="K2120" s="34">
        <f t="shared" si="66"/>
        <v>8912.9680000000008</v>
      </c>
      <c r="L2120" s="34">
        <v>3.77</v>
      </c>
      <c r="M2120" s="34">
        <v>126459</v>
      </c>
      <c r="N2120" s="34">
        <f t="shared" si="67"/>
        <v>14.178262504701014</v>
      </c>
    </row>
    <row r="2121" spans="1:14" x14ac:dyDescent="0.45">
      <c r="A2121" s="30">
        <v>2023</v>
      </c>
      <c r="B2121" s="30" t="s">
        <v>18</v>
      </c>
      <c r="C2121" s="30" t="s">
        <v>46</v>
      </c>
      <c r="D2121" s="30" t="s">
        <v>47</v>
      </c>
      <c r="E2121" s="31" t="s">
        <v>309</v>
      </c>
      <c r="F2121" s="32" t="s">
        <v>81</v>
      </c>
      <c r="G2121" s="32" t="s">
        <v>50</v>
      </c>
      <c r="H2121" s="33">
        <v>36970</v>
      </c>
      <c r="I2121" s="34">
        <f>Table3[[#This Row],[Volume, kg.]]/1000</f>
        <v>36.97</v>
      </c>
      <c r="J2121" s="34">
        <v>0.22510000000000002</v>
      </c>
      <c r="K2121" s="34">
        <f t="shared" si="66"/>
        <v>8321.9470000000001</v>
      </c>
      <c r="L2121" s="34">
        <v>3.56</v>
      </c>
      <c r="M2121" s="34">
        <v>131721</v>
      </c>
      <c r="N2121" s="34">
        <f t="shared" si="67"/>
        <v>15.815193247445578</v>
      </c>
    </row>
    <row r="2122" spans="1:14" x14ac:dyDescent="0.45">
      <c r="A2122" s="30">
        <v>2023</v>
      </c>
      <c r="B2122" s="30" t="s">
        <v>18</v>
      </c>
      <c r="C2122" s="30" t="s">
        <v>46</v>
      </c>
      <c r="D2122" s="30" t="s">
        <v>47</v>
      </c>
      <c r="E2122" s="31" t="s">
        <v>560</v>
      </c>
      <c r="F2122" s="32" t="s">
        <v>49</v>
      </c>
      <c r="G2122" s="32" t="s">
        <v>50</v>
      </c>
      <c r="H2122" s="33">
        <v>15020</v>
      </c>
      <c r="I2122" s="34">
        <f>Table3[[#This Row],[Volume, kg.]]/1000</f>
        <v>15.02</v>
      </c>
      <c r="J2122" s="34">
        <v>0.22850000000000001</v>
      </c>
      <c r="K2122" s="34">
        <f t="shared" si="66"/>
        <v>3432.07</v>
      </c>
      <c r="L2122" s="34">
        <v>3.55</v>
      </c>
      <c r="M2122" s="34">
        <v>53321</v>
      </c>
      <c r="N2122" s="34">
        <f t="shared" si="67"/>
        <v>15.536105032822755</v>
      </c>
    </row>
    <row r="2123" spans="1:14" x14ac:dyDescent="0.45">
      <c r="A2123" s="30">
        <v>2023</v>
      </c>
      <c r="B2123" s="30" t="s">
        <v>18</v>
      </c>
      <c r="C2123" s="30" t="s">
        <v>46</v>
      </c>
      <c r="D2123" s="30" t="s">
        <v>47</v>
      </c>
      <c r="E2123" s="31" t="s">
        <v>561</v>
      </c>
      <c r="F2123" s="32" t="s">
        <v>54</v>
      </c>
      <c r="G2123" s="32" t="s">
        <v>50</v>
      </c>
      <c r="H2123" s="33">
        <v>39900</v>
      </c>
      <c r="I2123" s="34">
        <f>Table3[[#This Row],[Volume, kg.]]/1000</f>
        <v>39.9</v>
      </c>
      <c r="J2123" s="34">
        <v>0.2858</v>
      </c>
      <c r="K2123" s="34">
        <f t="shared" si="66"/>
        <v>11403.42</v>
      </c>
      <c r="L2123" s="34">
        <v>4.09</v>
      </c>
      <c r="M2123" s="34">
        <v>163019</v>
      </c>
      <c r="N2123" s="34">
        <f t="shared" si="67"/>
        <v>14.310706787963611</v>
      </c>
    </row>
    <row r="2124" spans="1:14" x14ac:dyDescent="0.45">
      <c r="A2124" s="30">
        <v>2023</v>
      </c>
      <c r="B2124" s="30" t="s">
        <v>18</v>
      </c>
      <c r="C2124" s="30" t="s">
        <v>46</v>
      </c>
      <c r="D2124" s="30" t="s">
        <v>47</v>
      </c>
      <c r="E2124" s="31" t="s">
        <v>203</v>
      </c>
      <c r="F2124" s="32" t="s">
        <v>57</v>
      </c>
      <c r="G2124" s="32" t="s">
        <v>50</v>
      </c>
      <c r="H2124" s="33">
        <v>48290</v>
      </c>
      <c r="I2124" s="34">
        <f>Table3[[#This Row],[Volume, kg.]]/1000</f>
        <v>48.29</v>
      </c>
      <c r="J2124" s="34">
        <v>0.24600000000000002</v>
      </c>
      <c r="K2124" s="34">
        <f t="shared" si="66"/>
        <v>11879.340000000002</v>
      </c>
      <c r="L2124" s="34">
        <v>3.84</v>
      </c>
      <c r="M2124" s="34">
        <v>185236</v>
      </c>
      <c r="N2124" s="34">
        <f t="shared" si="67"/>
        <v>15.609756097560973</v>
      </c>
    </row>
    <row r="2125" spans="1:14" x14ac:dyDescent="0.45">
      <c r="A2125" s="30">
        <v>2023</v>
      </c>
      <c r="B2125" s="30" t="s">
        <v>18</v>
      </c>
      <c r="C2125" s="30" t="s">
        <v>46</v>
      </c>
      <c r="D2125" s="30" t="s">
        <v>47</v>
      </c>
      <c r="E2125" s="31" t="s">
        <v>204</v>
      </c>
      <c r="F2125" s="32" t="s">
        <v>49</v>
      </c>
      <c r="G2125" s="32" t="s">
        <v>50</v>
      </c>
      <c r="H2125" s="33">
        <v>82550</v>
      </c>
      <c r="I2125" s="34">
        <f>Table3[[#This Row],[Volume, kg.]]/1000</f>
        <v>82.55</v>
      </c>
      <c r="J2125" s="34">
        <v>0.2651</v>
      </c>
      <c r="K2125" s="34">
        <f t="shared" si="66"/>
        <v>21884.005000000001</v>
      </c>
      <c r="L2125" s="34">
        <v>3.78</v>
      </c>
      <c r="M2125" s="34">
        <v>312226</v>
      </c>
      <c r="N2125" s="34">
        <f t="shared" si="67"/>
        <v>14.258770275367786</v>
      </c>
    </row>
    <row r="2126" spans="1:14" x14ac:dyDescent="0.45">
      <c r="A2126" s="30">
        <v>2023</v>
      </c>
      <c r="B2126" s="30" t="s">
        <v>18</v>
      </c>
      <c r="C2126" s="30" t="s">
        <v>46</v>
      </c>
      <c r="D2126" s="30" t="s">
        <v>47</v>
      </c>
      <c r="E2126" s="31" t="s">
        <v>205</v>
      </c>
      <c r="F2126" s="32" t="s">
        <v>49</v>
      </c>
      <c r="G2126" s="32" t="s">
        <v>50</v>
      </c>
      <c r="H2126" s="33">
        <v>24540</v>
      </c>
      <c r="I2126" s="34">
        <f>Table3[[#This Row],[Volume, kg.]]/1000</f>
        <v>24.54</v>
      </c>
      <c r="J2126" s="34">
        <v>0.24850000000000003</v>
      </c>
      <c r="K2126" s="34">
        <f t="shared" si="66"/>
        <v>6098.1900000000005</v>
      </c>
      <c r="L2126" s="34">
        <v>3.7</v>
      </c>
      <c r="M2126" s="34">
        <v>90810</v>
      </c>
      <c r="N2126" s="34">
        <f t="shared" si="67"/>
        <v>14.889336016096578</v>
      </c>
    </row>
    <row r="2127" spans="1:14" x14ac:dyDescent="0.45">
      <c r="A2127" s="30">
        <v>2023</v>
      </c>
      <c r="B2127" s="30" t="s">
        <v>18</v>
      </c>
      <c r="C2127" s="30" t="s">
        <v>46</v>
      </c>
      <c r="D2127" s="30" t="s">
        <v>47</v>
      </c>
      <c r="E2127" s="31" t="s">
        <v>208</v>
      </c>
      <c r="F2127" s="32" t="s">
        <v>49</v>
      </c>
      <c r="G2127" s="32" t="s">
        <v>50</v>
      </c>
      <c r="H2127" s="33">
        <v>6490</v>
      </c>
      <c r="I2127" s="34">
        <f>Table3[[#This Row],[Volume, kg.]]/1000</f>
        <v>6.49</v>
      </c>
      <c r="J2127" s="34">
        <v>0.26300000000000001</v>
      </c>
      <c r="K2127" s="34">
        <f t="shared" si="66"/>
        <v>1706.8700000000001</v>
      </c>
      <c r="L2127" s="34">
        <v>3.65</v>
      </c>
      <c r="M2127" s="34">
        <v>23688.5</v>
      </c>
      <c r="N2127" s="34">
        <f t="shared" si="67"/>
        <v>13.878326996197718</v>
      </c>
    </row>
    <row r="2128" spans="1:14" x14ac:dyDescent="0.45">
      <c r="A2128" s="30">
        <v>2023</v>
      </c>
      <c r="B2128" s="30" t="s">
        <v>18</v>
      </c>
      <c r="C2128" s="30" t="s">
        <v>46</v>
      </c>
      <c r="D2128" s="30" t="s">
        <v>47</v>
      </c>
      <c r="E2128" s="31" t="s">
        <v>209</v>
      </c>
      <c r="F2128" s="32" t="s">
        <v>49</v>
      </c>
      <c r="G2128" s="32" t="s">
        <v>50</v>
      </c>
      <c r="H2128" s="33">
        <v>8100</v>
      </c>
      <c r="I2128" s="34">
        <f>Table3[[#This Row],[Volume, kg.]]/1000</f>
        <v>8.1</v>
      </c>
      <c r="J2128" s="34">
        <v>0.27500000000000002</v>
      </c>
      <c r="K2128" s="34">
        <f t="shared" si="66"/>
        <v>2227.5</v>
      </c>
      <c r="L2128" s="34">
        <v>3.85</v>
      </c>
      <c r="M2128" s="34">
        <v>31185</v>
      </c>
      <c r="N2128" s="34">
        <f t="shared" si="67"/>
        <v>14</v>
      </c>
    </row>
    <row r="2129" spans="1:14" x14ac:dyDescent="0.45">
      <c r="A2129" s="30">
        <v>2023</v>
      </c>
      <c r="B2129" s="30" t="s">
        <v>18</v>
      </c>
      <c r="C2129" s="30" t="s">
        <v>46</v>
      </c>
      <c r="D2129" s="30" t="s">
        <v>47</v>
      </c>
      <c r="E2129" s="31" t="s">
        <v>210</v>
      </c>
      <c r="F2129" s="32" t="s">
        <v>60</v>
      </c>
      <c r="G2129" s="32" t="s">
        <v>50</v>
      </c>
      <c r="H2129" s="33">
        <v>16320</v>
      </c>
      <c r="I2129" s="34">
        <f>Table3[[#This Row],[Volume, kg.]]/1000</f>
        <v>16.32</v>
      </c>
      <c r="J2129" s="34">
        <v>0.27940000000000004</v>
      </c>
      <c r="K2129" s="34">
        <f t="shared" si="66"/>
        <v>4559.8080000000009</v>
      </c>
      <c r="L2129" s="34">
        <v>3.8</v>
      </c>
      <c r="M2129" s="34">
        <v>62054.5</v>
      </c>
      <c r="N2129" s="34">
        <f t="shared" si="67"/>
        <v>13.600572655690764</v>
      </c>
    </row>
    <row r="2130" spans="1:14" x14ac:dyDescent="0.45">
      <c r="A2130" s="30">
        <v>2023</v>
      </c>
      <c r="B2130" s="30" t="s">
        <v>18</v>
      </c>
      <c r="C2130" s="30" t="s">
        <v>46</v>
      </c>
      <c r="D2130" s="30" t="s">
        <v>47</v>
      </c>
      <c r="E2130" s="31" t="s">
        <v>211</v>
      </c>
      <c r="F2130" s="32" t="s">
        <v>57</v>
      </c>
      <c r="G2130" s="32" t="s">
        <v>50</v>
      </c>
      <c r="H2130" s="33">
        <v>9760</v>
      </c>
      <c r="I2130" s="34">
        <f>Table3[[#This Row],[Volume, kg.]]/1000</f>
        <v>9.76</v>
      </c>
      <c r="J2130" s="34">
        <v>0.28149999999999997</v>
      </c>
      <c r="K2130" s="34">
        <f t="shared" si="66"/>
        <v>2747.4399999999996</v>
      </c>
      <c r="L2130" s="34">
        <v>4.05</v>
      </c>
      <c r="M2130" s="34">
        <v>39528</v>
      </c>
      <c r="N2130" s="34">
        <f t="shared" si="67"/>
        <v>14.38721136767318</v>
      </c>
    </row>
    <row r="2131" spans="1:14" x14ac:dyDescent="0.45">
      <c r="A2131" s="30">
        <v>2023</v>
      </c>
      <c r="B2131" s="30" t="s">
        <v>18</v>
      </c>
      <c r="C2131" s="30" t="s">
        <v>46</v>
      </c>
      <c r="D2131" s="30" t="s">
        <v>47</v>
      </c>
      <c r="E2131" s="31" t="s">
        <v>213</v>
      </c>
      <c r="F2131" s="32" t="s">
        <v>49</v>
      </c>
      <c r="G2131" s="32" t="s">
        <v>50</v>
      </c>
      <c r="H2131" s="33">
        <v>112800</v>
      </c>
      <c r="I2131" s="34">
        <f>Table3[[#This Row],[Volume, kg.]]/1000</f>
        <v>112.8</v>
      </c>
      <c r="J2131" s="34">
        <v>0.23710000000000001</v>
      </c>
      <c r="K2131" s="34">
        <f t="shared" si="66"/>
        <v>26744.880000000001</v>
      </c>
      <c r="L2131" s="34">
        <v>3.68</v>
      </c>
      <c r="M2131" s="34">
        <v>415603</v>
      </c>
      <c r="N2131" s="34">
        <f t="shared" si="67"/>
        <v>15.52087726697596</v>
      </c>
    </row>
    <row r="2132" spans="1:14" x14ac:dyDescent="0.45">
      <c r="A2132" s="30">
        <v>2023</v>
      </c>
      <c r="B2132" s="30" t="s">
        <v>18</v>
      </c>
      <c r="C2132" s="30" t="s">
        <v>46</v>
      </c>
      <c r="D2132" s="30" t="s">
        <v>47</v>
      </c>
      <c r="E2132" s="31" t="s">
        <v>391</v>
      </c>
      <c r="F2132" s="32" t="s">
        <v>60</v>
      </c>
      <c r="G2132" s="32" t="s">
        <v>50</v>
      </c>
      <c r="H2132" s="33">
        <v>4560</v>
      </c>
      <c r="I2132" s="34">
        <f>Table3[[#This Row],[Volume, kg.]]/1000</f>
        <v>4.5599999999999996</v>
      </c>
      <c r="J2132" s="34">
        <v>0.214</v>
      </c>
      <c r="K2132" s="34">
        <f t="shared" si="66"/>
        <v>975.84</v>
      </c>
      <c r="L2132" s="34">
        <v>3.4</v>
      </c>
      <c r="M2132" s="34">
        <v>15504</v>
      </c>
      <c r="N2132" s="34">
        <f t="shared" si="67"/>
        <v>15.88785046728972</v>
      </c>
    </row>
    <row r="2133" spans="1:14" x14ac:dyDescent="0.45">
      <c r="A2133" s="30">
        <v>2023</v>
      </c>
      <c r="B2133" s="30" t="s">
        <v>18</v>
      </c>
      <c r="C2133" s="30" t="s">
        <v>46</v>
      </c>
      <c r="D2133" s="30" t="s">
        <v>47</v>
      </c>
      <c r="E2133" s="31" t="s">
        <v>489</v>
      </c>
      <c r="F2133" s="32" t="s">
        <v>81</v>
      </c>
      <c r="G2133" s="32" t="s">
        <v>50</v>
      </c>
      <c r="H2133" s="33">
        <v>37640</v>
      </c>
      <c r="I2133" s="34">
        <f>Table3[[#This Row],[Volume, kg.]]/1000</f>
        <v>37.64</v>
      </c>
      <c r="J2133" s="34">
        <v>0.22570000000000001</v>
      </c>
      <c r="K2133" s="34">
        <f t="shared" si="66"/>
        <v>8495.348</v>
      </c>
      <c r="L2133" s="34">
        <v>3.48</v>
      </c>
      <c r="M2133" s="34">
        <v>131103.5</v>
      </c>
      <c r="N2133" s="34">
        <f t="shared" si="67"/>
        <v>15.4186973859105</v>
      </c>
    </row>
    <row r="2134" spans="1:14" x14ac:dyDescent="0.45">
      <c r="A2134" s="30">
        <v>2023</v>
      </c>
      <c r="B2134" s="30" t="s">
        <v>18</v>
      </c>
      <c r="C2134" s="30" t="s">
        <v>46</v>
      </c>
      <c r="D2134" s="30" t="s">
        <v>47</v>
      </c>
      <c r="E2134" s="31" t="s">
        <v>408</v>
      </c>
      <c r="F2134" s="32" t="s">
        <v>238</v>
      </c>
      <c r="G2134" s="32" t="s">
        <v>50</v>
      </c>
      <c r="H2134" s="33">
        <v>31400</v>
      </c>
      <c r="I2134" s="34">
        <f>Table3[[#This Row],[Volume, kg.]]/1000</f>
        <v>31.4</v>
      </c>
      <c r="J2134" s="34">
        <v>0.22450000000000001</v>
      </c>
      <c r="K2134" s="34">
        <f t="shared" si="66"/>
        <v>7049.3</v>
      </c>
      <c r="L2134" s="34">
        <v>3.59</v>
      </c>
      <c r="M2134" s="34">
        <v>112794.5</v>
      </c>
      <c r="N2134" s="34">
        <f t="shared" si="67"/>
        <v>15.991091314031179</v>
      </c>
    </row>
    <row r="2135" spans="1:14" x14ac:dyDescent="0.45">
      <c r="A2135" s="30">
        <v>2023</v>
      </c>
      <c r="B2135" s="30" t="s">
        <v>18</v>
      </c>
      <c r="C2135" s="30" t="s">
        <v>46</v>
      </c>
      <c r="D2135" s="30" t="s">
        <v>47</v>
      </c>
      <c r="E2135" s="31" t="s">
        <v>216</v>
      </c>
      <c r="F2135" s="32" t="s">
        <v>64</v>
      </c>
      <c r="G2135" s="32" t="s">
        <v>50</v>
      </c>
      <c r="H2135" s="33">
        <v>38890</v>
      </c>
      <c r="I2135" s="34">
        <f>Table3[[#This Row],[Volume, kg.]]/1000</f>
        <v>38.89</v>
      </c>
      <c r="J2135" s="34">
        <v>0.23230000000000001</v>
      </c>
      <c r="K2135" s="34">
        <f t="shared" si="66"/>
        <v>9034.1470000000008</v>
      </c>
      <c r="L2135" s="34">
        <v>3.81</v>
      </c>
      <c r="M2135" s="34">
        <v>148090.5</v>
      </c>
      <c r="N2135" s="34">
        <f t="shared" si="67"/>
        <v>16.401205337925095</v>
      </c>
    </row>
    <row r="2136" spans="1:14" x14ac:dyDescent="0.45">
      <c r="A2136" s="30">
        <v>2023</v>
      </c>
      <c r="B2136" s="30" t="s">
        <v>18</v>
      </c>
      <c r="C2136" s="30" t="s">
        <v>46</v>
      </c>
      <c r="D2136" s="30" t="s">
        <v>47</v>
      </c>
      <c r="E2136" s="31" t="s">
        <v>492</v>
      </c>
      <c r="F2136" s="32" t="s">
        <v>57</v>
      </c>
      <c r="G2136" s="32" t="s">
        <v>50</v>
      </c>
      <c r="H2136" s="33">
        <v>19680</v>
      </c>
      <c r="I2136" s="34">
        <f>Table3[[#This Row],[Volume, kg.]]/1000</f>
        <v>19.68</v>
      </c>
      <c r="J2136" s="34">
        <v>0.25559999999999999</v>
      </c>
      <c r="K2136" s="34">
        <f t="shared" si="66"/>
        <v>5030.2079999999996</v>
      </c>
      <c r="L2136" s="34">
        <v>3.8</v>
      </c>
      <c r="M2136" s="34">
        <v>74702</v>
      </c>
      <c r="N2136" s="34">
        <f t="shared" si="67"/>
        <v>14.866979655712051</v>
      </c>
    </row>
    <row r="2137" spans="1:14" x14ac:dyDescent="0.45">
      <c r="A2137" s="30">
        <v>2023</v>
      </c>
      <c r="B2137" s="30" t="s">
        <v>18</v>
      </c>
      <c r="C2137" s="30" t="s">
        <v>46</v>
      </c>
      <c r="D2137" s="30" t="s">
        <v>47</v>
      </c>
      <c r="E2137" s="31" t="s">
        <v>562</v>
      </c>
      <c r="F2137" s="32" t="s">
        <v>64</v>
      </c>
      <c r="G2137" s="32" t="s">
        <v>50</v>
      </c>
      <c r="H2137" s="33">
        <v>7670</v>
      </c>
      <c r="I2137" s="34">
        <f>Table3[[#This Row],[Volume, kg.]]/1000</f>
        <v>7.67</v>
      </c>
      <c r="J2137" s="34">
        <v>0.249</v>
      </c>
      <c r="K2137" s="34">
        <f t="shared" si="66"/>
        <v>1909.83</v>
      </c>
      <c r="L2137" s="34">
        <v>3.9</v>
      </c>
      <c r="M2137" s="34">
        <v>29913</v>
      </c>
      <c r="N2137" s="34">
        <f t="shared" si="67"/>
        <v>15.662650602409638</v>
      </c>
    </row>
    <row r="2138" spans="1:14" x14ac:dyDescent="0.45">
      <c r="A2138" s="30">
        <v>2023</v>
      </c>
      <c r="B2138" s="30" t="s">
        <v>18</v>
      </c>
      <c r="C2138" s="30" t="s">
        <v>46</v>
      </c>
      <c r="D2138" s="30" t="s">
        <v>47</v>
      </c>
      <c r="E2138" s="31" t="s">
        <v>220</v>
      </c>
      <c r="F2138" s="32" t="s">
        <v>49</v>
      </c>
      <c r="G2138" s="32" t="s">
        <v>50</v>
      </c>
      <c r="H2138" s="33">
        <v>47430</v>
      </c>
      <c r="I2138" s="34">
        <f>Table3[[#This Row],[Volume, kg.]]/1000</f>
        <v>47.43</v>
      </c>
      <c r="J2138" s="34">
        <v>0.27489999999999998</v>
      </c>
      <c r="K2138" s="34">
        <f t="shared" si="66"/>
        <v>13038.507</v>
      </c>
      <c r="L2138" s="34">
        <v>3.97</v>
      </c>
      <c r="M2138" s="34">
        <v>188425</v>
      </c>
      <c r="N2138" s="34">
        <f t="shared" si="67"/>
        <v>14.441615132775556</v>
      </c>
    </row>
    <row r="2139" spans="1:14" x14ac:dyDescent="0.45">
      <c r="A2139" s="30">
        <v>2023</v>
      </c>
      <c r="B2139" s="30" t="s">
        <v>18</v>
      </c>
      <c r="C2139" s="30" t="s">
        <v>46</v>
      </c>
      <c r="D2139" s="30" t="s">
        <v>102</v>
      </c>
      <c r="E2139" s="31" t="s">
        <v>364</v>
      </c>
      <c r="F2139" s="32" t="s">
        <v>223</v>
      </c>
      <c r="G2139" s="32" t="s">
        <v>50</v>
      </c>
      <c r="H2139" s="33">
        <v>60070</v>
      </c>
      <c r="I2139" s="34">
        <f>Table3[[#This Row],[Volume, kg.]]/1000</f>
        <v>60.07</v>
      </c>
      <c r="J2139" s="34">
        <v>0.24379999999999999</v>
      </c>
      <c r="K2139" s="34">
        <f t="shared" si="66"/>
        <v>14645.065999999999</v>
      </c>
      <c r="L2139" s="34">
        <v>3.95</v>
      </c>
      <c r="M2139" s="34">
        <v>237229</v>
      </c>
      <c r="N2139" s="34">
        <f t="shared" si="67"/>
        <v>16.20180475799836</v>
      </c>
    </row>
    <row r="2140" spans="1:14" x14ac:dyDescent="0.45">
      <c r="A2140" s="30">
        <v>2023</v>
      </c>
      <c r="B2140" s="30" t="s">
        <v>18</v>
      </c>
      <c r="C2140" s="30" t="s">
        <v>46</v>
      </c>
      <c r="D2140" s="30" t="s">
        <v>47</v>
      </c>
      <c r="E2140" s="31" t="s">
        <v>225</v>
      </c>
      <c r="F2140" s="32" t="s">
        <v>64</v>
      </c>
      <c r="G2140" s="32" t="s">
        <v>50</v>
      </c>
      <c r="H2140" s="33">
        <v>40700</v>
      </c>
      <c r="I2140" s="34">
        <f>Table3[[#This Row],[Volume, kg.]]/1000</f>
        <v>40.700000000000003</v>
      </c>
      <c r="J2140" s="34">
        <v>0.26839999999999997</v>
      </c>
      <c r="K2140" s="34">
        <f t="shared" si="66"/>
        <v>10923.88</v>
      </c>
      <c r="L2140" s="34">
        <v>3.99</v>
      </c>
      <c r="M2140" s="34">
        <v>162223.5</v>
      </c>
      <c r="N2140" s="34">
        <f t="shared" si="67"/>
        <v>14.865871833084951</v>
      </c>
    </row>
    <row r="2141" spans="1:14" x14ac:dyDescent="0.45">
      <c r="A2141" s="30">
        <v>2023</v>
      </c>
      <c r="B2141" s="30" t="s">
        <v>18</v>
      </c>
      <c r="C2141" s="30" t="s">
        <v>46</v>
      </c>
      <c r="D2141" s="30" t="s">
        <v>102</v>
      </c>
      <c r="E2141" s="31" t="s">
        <v>389</v>
      </c>
      <c r="F2141" s="32" t="s">
        <v>238</v>
      </c>
      <c r="G2141" s="32" t="s">
        <v>50</v>
      </c>
      <c r="H2141" s="33">
        <v>195250</v>
      </c>
      <c r="I2141" s="34">
        <f>Table3[[#This Row],[Volume, kg.]]/1000</f>
        <v>195.25</v>
      </c>
      <c r="J2141" s="34">
        <v>0.20910000000000001</v>
      </c>
      <c r="K2141" s="34">
        <f t="shared" si="66"/>
        <v>40826.775000000001</v>
      </c>
      <c r="L2141" s="34">
        <v>3.73</v>
      </c>
      <c r="M2141" s="34">
        <v>727459.5</v>
      </c>
      <c r="N2141" s="34">
        <f t="shared" si="67"/>
        <v>17.838354854136774</v>
      </c>
    </row>
    <row r="2142" spans="1:14" x14ac:dyDescent="0.45">
      <c r="A2142" s="30">
        <v>2023</v>
      </c>
      <c r="B2142" s="30" t="s">
        <v>18</v>
      </c>
      <c r="C2142" s="30" t="s">
        <v>46</v>
      </c>
      <c r="D2142" s="30" t="s">
        <v>47</v>
      </c>
      <c r="E2142" s="31" t="s">
        <v>227</v>
      </c>
      <c r="F2142" s="32" t="s">
        <v>57</v>
      </c>
      <c r="G2142" s="32" t="s">
        <v>50</v>
      </c>
      <c r="H2142" s="33">
        <v>16960</v>
      </c>
      <c r="I2142" s="34">
        <f>Table3[[#This Row],[Volume, kg.]]/1000</f>
        <v>16.96</v>
      </c>
      <c r="J2142" s="34">
        <v>0.29199999999999998</v>
      </c>
      <c r="K2142" s="34">
        <f t="shared" si="66"/>
        <v>4952.32</v>
      </c>
      <c r="L2142" s="34">
        <v>4.1100000000000003</v>
      </c>
      <c r="M2142" s="34">
        <v>69670</v>
      </c>
      <c r="N2142" s="34">
        <f t="shared" si="67"/>
        <v>14.075342465753426</v>
      </c>
    </row>
    <row r="2143" spans="1:14" x14ac:dyDescent="0.45">
      <c r="A2143" s="30">
        <v>2023</v>
      </c>
      <c r="B2143" s="30" t="s">
        <v>18</v>
      </c>
      <c r="C2143" s="30" t="s">
        <v>46</v>
      </c>
      <c r="D2143" s="30" t="s">
        <v>47</v>
      </c>
      <c r="E2143" s="31" t="s">
        <v>229</v>
      </c>
      <c r="F2143" s="32" t="s">
        <v>57</v>
      </c>
      <c r="G2143" s="32" t="s">
        <v>50</v>
      </c>
      <c r="H2143" s="33">
        <v>17380</v>
      </c>
      <c r="I2143" s="34">
        <f>Table3[[#This Row],[Volume, kg.]]/1000</f>
        <v>17.38</v>
      </c>
      <c r="J2143" s="34">
        <v>0.28249999999999997</v>
      </c>
      <c r="K2143" s="34">
        <f t="shared" si="66"/>
        <v>4909.8499999999995</v>
      </c>
      <c r="L2143" s="34">
        <v>4.0599999999999996</v>
      </c>
      <c r="M2143" s="34">
        <v>70533</v>
      </c>
      <c r="N2143" s="34">
        <f t="shared" si="67"/>
        <v>14.371681415929203</v>
      </c>
    </row>
    <row r="2144" spans="1:14" x14ac:dyDescent="0.45">
      <c r="A2144" s="30">
        <v>2023</v>
      </c>
      <c r="B2144" s="30" t="s">
        <v>18</v>
      </c>
      <c r="C2144" s="30" t="s">
        <v>46</v>
      </c>
      <c r="D2144" s="30" t="s">
        <v>47</v>
      </c>
      <c r="E2144" s="31" t="s">
        <v>232</v>
      </c>
      <c r="F2144" s="32" t="s">
        <v>49</v>
      </c>
      <c r="G2144" s="32" t="s">
        <v>50</v>
      </c>
      <c r="H2144" s="33">
        <v>9120</v>
      </c>
      <c r="I2144" s="34">
        <f>Table3[[#This Row],[Volume, kg.]]/1000</f>
        <v>9.1199999999999992</v>
      </c>
      <c r="J2144" s="34">
        <v>0.22949999999999998</v>
      </c>
      <c r="K2144" s="34">
        <f t="shared" si="66"/>
        <v>2093.04</v>
      </c>
      <c r="L2144" s="34">
        <v>3.8</v>
      </c>
      <c r="M2144" s="34">
        <v>34656</v>
      </c>
      <c r="N2144" s="34">
        <f t="shared" si="67"/>
        <v>16.557734204793029</v>
      </c>
    </row>
    <row r="2145" spans="1:14" x14ac:dyDescent="0.45">
      <c r="A2145" s="30">
        <v>2023</v>
      </c>
      <c r="B2145" s="30" t="s">
        <v>18</v>
      </c>
      <c r="C2145" s="30" t="s">
        <v>46</v>
      </c>
      <c r="D2145" s="30" t="s">
        <v>47</v>
      </c>
      <c r="E2145" s="31" t="s">
        <v>381</v>
      </c>
      <c r="F2145" s="32" t="s">
        <v>49</v>
      </c>
      <c r="G2145" s="32" t="s">
        <v>50</v>
      </c>
      <c r="H2145" s="33">
        <v>31550</v>
      </c>
      <c r="I2145" s="34">
        <f>Table3[[#This Row],[Volume, kg.]]/1000</f>
        <v>31.55</v>
      </c>
      <c r="J2145" s="34">
        <v>0.27760000000000001</v>
      </c>
      <c r="K2145" s="34">
        <f t="shared" si="66"/>
        <v>8758.2800000000007</v>
      </c>
      <c r="L2145" s="34">
        <v>3.91</v>
      </c>
      <c r="M2145" s="34">
        <v>123358.5</v>
      </c>
      <c r="N2145" s="34">
        <f t="shared" si="67"/>
        <v>14.085014409221902</v>
      </c>
    </row>
    <row r="2146" spans="1:14" x14ac:dyDescent="0.45">
      <c r="A2146" s="30">
        <v>2023</v>
      </c>
      <c r="B2146" s="30" t="s">
        <v>18</v>
      </c>
      <c r="C2146" s="30" t="s">
        <v>46</v>
      </c>
      <c r="D2146" s="30" t="s">
        <v>47</v>
      </c>
      <c r="E2146" s="31" t="s">
        <v>233</v>
      </c>
      <c r="F2146" s="32" t="s">
        <v>57</v>
      </c>
      <c r="G2146" s="32" t="s">
        <v>50</v>
      </c>
      <c r="H2146" s="33">
        <v>20930</v>
      </c>
      <c r="I2146" s="34">
        <f>Table3[[#This Row],[Volume, kg.]]/1000</f>
        <v>20.93</v>
      </c>
      <c r="J2146" s="34">
        <v>0.29870000000000002</v>
      </c>
      <c r="K2146" s="34">
        <f t="shared" si="66"/>
        <v>6251.7910000000002</v>
      </c>
      <c r="L2146" s="34">
        <v>3.85</v>
      </c>
      <c r="M2146" s="34">
        <v>80580.5</v>
      </c>
      <c r="N2146" s="34">
        <f t="shared" si="67"/>
        <v>12.889186474723802</v>
      </c>
    </row>
    <row r="2147" spans="1:14" x14ac:dyDescent="0.45">
      <c r="A2147" s="30">
        <v>2023</v>
      </c>
      <c r="B2147" s="30" t="s">
        <v>18</v>
      </c>
      <c r="C2147" s="30" t="s">
        <v>46</v>
      </c>
      <c r="D2147" s="30" t="s">
        <v>47</v>
      </c>
      <c r="E2147" s="31" t="s">
        <v>235</v>
      </c>
      <c r="F2147" s="32" t="s">
        <v>57</v>
      </c>
      <c r="G2147" s="32" t="s">
        <v>50</v>
      </c>
      <c r="H2147" s="33">
        <v>17380</v>
      </c>
      <c r="I2147" s="34">
        <f>Table3[[#This Row],[Volume, kg.]]/1000</f>
        <v>17.38</v>
      </c>
      <c r="J2147" s="34">
        <v>0.24859999999999999</v>
      </c>
      <c r="K2147" s="34">
        <f t="shared" si="66"/>
        <v>4320.6679999999997</v>
      </c>
      <c r="L2147" s="34">
        <v>3.6</v>
      </c>
      <c r="M2147" s="34">
        <v>62616</v>
      </c>
      <c r="N2147" s="34">
        <f t="shared" si="67"/>
        <v>14.481094127111827</v>
      </c>
    </row>
    <row r="2148" spans="1:14" x14ac:dyDescent="0.45">
      <c r="A2148" s="30">
        <v>2023</v>
      </c>
      <c r="B2148" s="30" t="s">
        <v>18</v>
      </c>
      <c r="C2148" s="30" t="s">
        <v>46</v>
      </c>
      <c r="D2148" s="30" t="s">
        <v>102</v>
      </c>
      <c r="E2148" s="31" t="s">
        <v>563</v>
      </c>
      <c r="F2148" s="32" t="s">
        <v>564</v>
      </c>
      <c r="G2148" s="32" t="s">
        <v>565</v>
      </c>
      <c r="H2148" s="33">
        <v>227480</v>
      </c>
      <c r="I2148" s="34">
        <f>Table3[[#This Row],[Volume, kg.]]/1000</f>
        <v>227.48</v>
      </c>
      <c r="J2148" s="34">
        <v>0.22399999999999998</v>
      </c>
      <c r="K2148" s="34">
        <f t="shared" si="66"/>
        <v>50955.519999999997</v>
      </c>
      <c r="L2148" s="34">
        <v>3.97</v>
      </c>
      <c r="M2148" s="34">
        <v>902962.5</v>
      </c>
      <c r="N2148" s="34">
        <f t="shared" si="67"/>
        <v>17.723214285714288</v>
      </c>
    </row>
    <row r="2149" spans="1:14" x14ac:dyDescent="0.45">
      <c r="A2149" s="30">
        <v>2023</v>
      </c>
      <c r="B2149" s="30" t="s">
        <v>18</v>
      </c>
      <c r="C2149" s="30" t="s">
        <v>46</v>
      </c>
      <c r="D2149" s="30" t="s">
        <v>47</v>
      </c>
      <c r="E2149" s="31" t="s">
        <v>484</v>
      </c>
      <c r="F2149" s="32" t="s">
        <v>81</v>
      </c>
      <c r="G2149" s="32" t="s">
        <v>50</v>
      </c>
      <c r="H2149" s="33">
        <v>27950</v>
      </c>
      <c r="I2149" s="34">
        <f>Table3[[#This Row],[Volume, kg.]]/1000</f>
        <v>27.95</v>
      </c>
      <c r="J2149" s="34">
        <v>0.2351</v>
      </c>
      <c r="K2149" s="34">
        <f t="shared" si="66"/>
        <v>6571.0450000000001</v>
      </c>
      <c r="L2149" s="34">
        <v>3.58</v>
      </c>
      <c r="M2149" s="34">
        <v>100164.5</v>
      </c>
      <c r="N2149" s="34">
        <f t="shared" si="67"/>
        <v>15.22756273925989</v>
      </c>
    </row>
    <row r="2150" spans="1:14" x14ac:dyDescent="0.45">
      <c r="A2150" s="30">
        <v>2023</v>
      </c>
      <c r="B2150" s="30" t="s">
        <v>18</v>
      </c>
      <c r="C2150" s="30" t="s">
        <v>46</v>
      </c>
      <c r="D2150" s="30" t="s">
        <v>102</v>
      </c>
      <c r="E2150" s="31" t="s">
        <v>239</v>
      </c>
      <c r="F2150" s="32" t="s">
        <v>240</v>
      </c>
      <c r="G2150" s="32" t="s">
        <v>50</v>
      </c>
      <c r="H2150" s="33">
        <v>417410</v>
      </c>
      <c r="I2150" s="34">
        <f>Table3[[#This Row],[Volume, kg.]]/1000</f>
        <v>417.41</v>
      </c>
      <c r="J2150" s="34">
        <v>0.2369</v>
      </c>
      <c r="K2150" s="34">
        <f t="shared" si="66"/>
        <v>98884.429000000004</v>
      </c>
      <c r="L2150" s="34">
        <v>3.85</v>
      </c>
      <c r="M2150" s="34">
        <v>1607918</v>
      </c>
      <c r="N2150" s="34">
        <f t="shared" si="67"/>
        <v>16.251582946390883</v>
      </c>
    </row>
    <row r="2151" spans="1:14" x14ac:dyDescent="0.45">
      <c r="A2151" s="30">
        <v>2023</v>
      </c>
      <c r="B2151" s="30" t="s">
        <v>18</v>
      </c>
      <c r="C2151" s="30" t="s">
        <v>46</v>
      </c>
      <c r="D2151" s="30" t="s">
        <v>47</v>
      </c>
      <c r="E2151" s="31" t="s">
        <v>566</v>
      </c>
      <c r="F2151" s="32" t="s">
        <v>134</v>
      </c>
      <c r="G2151" s="32" t="s">
        <v>50</v>
      </c>
      <c r="H2151" s="33">
        <v>25110</v>
      </c>
      <c r="I2151" s="34">
        <f>Table3[[#This Row],[Volume, kg.]]/1000</f>
        <v>25.11</v>
      </c>
      <c r="J2151" s="34">
        <v>0.25869999999999999</v>
      </c>
      <c r="K2151" s="34">
        <f t="shared" si="66"/>
        <v>6495.9569999999994</v>
      </c>
      <c r="L2151" s="34">
        <v>3.95</v>
      </c>
      <c r="M2151" s="34">
        <v>99184.5</v>
      </c>
      <c r="N2151" s="34">
        <f t="shared" si="67"/>
        <v>15.268650947042909</v>
      </c>
    </row>
    <row r="2152" spans="1:14" x14ac:dyDescent="0.45">
      <c r="A2152" s="30">
        <v>2023</v>
      </c>
      <c r="B2152" s="30" t="s">
        <v>18</v>
      </c>
      <c r="C2152" s="30" t="s">
        <v>46</v>
      </c>
      <c r="D2152" s="30" t="s">
        <v>47</v>
      </c>
      <c r="E2152" s="31" t="s">
        <v>242</v>
      </c>
      <c r="F2152" s="32" t="s">
        <v>60</v>
      </c>
      <c r="G2152" s="32" t="s">
        <v>50</v>
      </c>
      <c r="H2152" s="33">
        <v>16770</v>
      </c>
      <c r="I2152" s="34">
        <f>Table3[[#This Row],[Volume, kg.]]/1000</f>
        <v>16.77</v>
      </c>
      <c r="J2152" s="34">
        <v>0.30760000000000004</v>
      </c>
      <c r="K2152" s="34">
        <f t="shared" si="66"/>
        <v>5158.4520000000002</v>
      </c>
      <c r="L2152" s="34">
        <v>4.1900000000000004</v>
      </c>
      <c r="M2152" s="34">
        <v>70197</v>
      </c>
      <c r="N2152" s="34">
        <f t="shared" si="67"/>
        <v>13.621586475942783</v>
      </c>
    </row>
    <row r="2153" spans="1:14" x14ac:dyDescent="0.45">
      <c r="A2153" s="30">
        <v>2023</v>
      </c>
      <c r="B2153" s="30" t="s">
        <v>18</v>
      </c>
      <c r="C2153" s="30" t="s">
        <v>46</v>
      </c>
      <c r="D2153" s="30" t="s">
        <v>47</v>
      </c>
      <c r="E2153" s="31" t="s">
        <v>452</v>
      </c>
      <c r="F2153" s="32" t="s">
        <v>134</v>
      </c>
      <c r="G2153" s="32" t="s">
        <v>50</v>
      </c>
      <c r="H2153" s="33">
        <v>41710</v>
      </c>
      <c r="I2153" s="34">
        <f>Table3[[#This Row],[Volume, kg.]]/1000</f>
        <v>41.71</v>
      </c>
      <c r="J2153" s="34">
        <v>0.27779999999999999</v>
      </c>
      <c r="K2153" s="34">
        <f t="shared" si="66"/>
        <v>11587.038</v>
      </c>
      <c r="L2153" s="34">
        <v>4.03</v>
      </c>
      <c r="M2153" s="34">
        <v>168107.5</v>
      </c>
      <c r="N2153" s="34">
        <f t="shared" si="67"/>
        <v>14.506839452843774</v>
      </c>
    </row>
    <row r="2154" spans="1:14" x14ac:dyDescent="0.45">
      <c r="A2154" s="30">
        <v>2023</v>
      </c>
      <c r="B2154" s="30" t="s">
        <v>18</v>
      </c>
      <c r="C2154" s="30" t="s">
        <v>46</v>
      </c>
      <c r="D2154" s="30" t="s">
        <v>47</v>
      </c>
      <c r="E2154" s="31" t="s">
        <v>410</v>
      </c>
      <c r="F2154" s="32" t="s">
        <v>54</v>
      </c>
      <c r="G2154" s="32" t="s">
        <v>50</v>
      </c>
      <c r="H2154" s="33">
        <v>5730</v>
      </c>
      <c r="I2154" s="34">
        <f>Table3[[#This Row],[Volume, kg.]]/1000</f>
        <v>5.73</v>
      </c>
      <c r="J2154" s="34">
        <v>0.28550000000000003</v>
      </c>
      <c r="K2154" s="34">
        <f t="shared" si="66"/>
        <v>1635.9150000000002</v>
      </c>
      <c r="L2154" s="34">
        <v>3.8</v>
      </c>
      <c r="M2154" s="34">
        <v>21774</v>
      </c>
      <c r="N2154" s="34">
        <f t="shared" si="67"/>
        <v>13.309982486865147</v>
      </c>
    </row>
    <row r="2155" spans="1:14" x14ac:dyDescent="0.45">
      <c r="A2155" s="30">
        <v>2023</v>
      </c>
      <c r="B2155" s="30" t="s">
        <v>18</v>
      </c>
      <c r="C2155" s="30" t="s">
        <v>46</v>
      </c>
      <c r="D2155" s="30" t="s">
        <v>47</v>
      </c>
      <c r="E2155" s="31" t="s">
        <v>567</v>
      </c>
      <c r="F2155" s="32" t="s">
        <v>49</v>
      </c>
      <c r="G2155" s="32" t="s">
        <v>50</v>
      </c>
      <c r="H2155" s="33">
        <v>25590</v>
      </c>
      <c r="I2155" s="34">
        <f>Table3[[#This Row],[Volume, kg.]]/1000</f>
        <v>25.59</v>
      </c>
      <c r="J2155" s="34">
        <v>0.2515</v>
      </c>
      <c r="K2155" s="34">
        <f t="shared" si="66"/>
        <v>6435.8850000000002</v>
      </c>
      <c r="L2155" s="34">
        <v>3.72</v>
      </c>
      <c r="M2155" s="34">
        <v>95283</v>
      </c>
      <c r="N2155" s="34">
        <f t="shared" si="67"/>
        <v>14.791252485089464</v>
      </c>
    </row>
    <row r="2156" spans="1:14" x14ac:dyDescent="0.45">
      <c r="A2156" s="30">
        <v>2023</v>
      </c>
      <c r="B2156" s="30" t="s">
        <v>18</v>
      </c>
      <c r="C2156" s="30" t="s">
        <v>46</v>
      </c>
      <c r="D2156" s="30" t="s">
        <v>102</v>
      </c>
      <c r="E2156" s="31" t="s">
        <v>568</v>
      </c>
      <c r="F2156" s="32" t="s">
        <v>569</v>
      </c>
      <c r="G2156" s="32" t="s">
        <v>119</v>
      </c>
      <c r="H2156" s="33">
        <v>37330</v>
      </c>
      <c r="I2156" s="34">
        <f>Table3[[#This Row],[Volume, kg.]]/1000</f>
        <v>37.33</v>
      </c>
      <c r="J2156" s="34">
        <v>0.21460000000000001</v>
      </c>
      <c r="K2156" s="34">
        <f t="shared" si="66"/>
        <v>8011.018</v>
      </c>
      <c r="L2156" s="34">
        <v>3.8</v>
      </c>
      <c r="M2156" s="34">
        <v>141853.5</v>
      </c>
      <c r="N2156" s="34">
        <f t="shared" si="67"/>
        <v>17.707362534948739</v>
      </c>
    </row>
    <row r="2157" spans="1:14" x14ac:dyDescent="0.45">
      <c r="A2157" s="30">
        <v>2023</v>
      </c>
      <c r="B2157" s="30" t="s">
        <v>18</v>
      </c>
      <c r="C2157" s="30" t="s">
        <v>46</v>
      </c>
      <c r="D2157" s="30" t="s">
        <v>47</v>
      </c>
      <c r="E2157" s="31" t="s">
        <v>322</v>
      </c>
      <c r="F2157" s="32" t="s">
        <v>57</v>
      </c>
      <c r="G2157" s="32" t="s">
        <v>50</v>
      </c>
      <c r="H2157" s="33">
        <v>7950</v>
      </c>
      <c r="I2157" s="34">
        <f>Table3[[#This Row],[Volume, kg.]]/1000</f>
        <v>7.95</v>
      </c>
      <c r="J2157" s="34">
        <v>0.2828</v>
      </c>
      <c r="K2157" s="34">
        <f t="shared" si="66"/>
        <v>2248.2599999999998</v>
      </c>
      <c r="L2157" s="34">
        <v>4.05</v>
      </c>
      <c r="M2157" s="34">
        <v>32197.5</v>
      </c>
      <c r="N2157" s="34">
        <f t="shared" si="67"/>
        <v>14.321074964639321</v>
      </c>
    </row>
    <row r="2158" spans="1:14" x14ac:dyDescent="0.45">
      <c r="A2158" s="30">
        <v>2023</v>
      </c>
      <c r="B2158" s="30" t="s">
        <v>18</v>
      </c>
      <c r="C2158" s="30" t="s">
        <v>46</v>
      </c>
      <c r="D2158" s="30" t="s">
        <v>47</v>
      </c>
      <c r="E2158" s="31" t="s">
        <v>483</v>
      </c>
      <c r="F2158" s="32" t="s">
        <v>238</v>
      </c>
      <c r="G2158" s="32" t="s">
        <v>50</v>
      </c>
      <c r="H2158" s="33">
        <v>55140</v>
      </c>
      <c r="I2158" s="34">
        <f>Table3[[#This Row],[Volume, kg.]]/1000</f>
        <v>55.14</v>
      </c>
      <c r="J2158" s="34">
        <v>0.2082</v>
      </c>
      <c r="K2158" s="34">
        <f t="shared" si="66"/>
        <v>11480.147999999999</v>
      </c>
      <c r="L2158" s="34">
        <v>3.5</v>
      </c>
      <c r="M2158" s="34">
        <v>192721.5</v>
      </c>
      <c r="N2158" s="34">
        <f t="shared" si="67"/>
        <v>16.810758885686841</v>
      </c>
    </row>
    <row r="2159" spans="1:14" x14ac:dyDescent="0.45">
      <c r="A2159" s="30">
        <v>2023</v>
      </c>
      <c r="B2159" s="30" t="s">
        <v>18</v>
      </c>
      <c r="C2159" s="30" t="s">
        <v>46</v>
      </c>
      <c r="D2159" s="30" t="s">
        <v>47</v>
      </c>
      <c r="E2159" s="31" t="s">
        <v>245</v>
      </c>
      <c r="F2159" s="32" t="s">
        <v>57</v>
      </c>
      <c r="G2159" s="32" t="s">
        <v>50</v>
      </c>
      <c r="H2159" s="33">
        <v>57130</v>
      </c>
      <c r="I2159" s="34">
        <f>Table3[[#This Row],[Volume, kg.]]/1000</f>
        <v>57.13</v>
      </c>
      <c r="J2159" s="34">
        <v>0.27440000000000003</v>
      </c>
      <c r="K2159" s="34">
        <f t="shared" si="66"/>
        <v>15676.472000000002</v>
      </c>
      <c r="L2159" s="34">
        <v>3.9</v>
      </c>
      <c r="M2159" s="34">
        <v>222866</v>
      </c>
      <c r="N2159" s="34">
        <f t="shared" si="67"/>
        <v>14.212827988338191</v>
      </c>
    </row>
    <row r="2160" spans="1:14" x14ac:dyDescent="0.45">
      <c r="A2160" s="30">
        <v>2023</v>
      </c>
      <c r="B2160" s="30" t="s">
        <v>18</v>
      </c>
      <c r="C2160" s="30" t="s">
        <v>46</v>
      </c>
      <c r="D2160" s="30" t="s">
        <v>47</v>
      </c>
      <c r="E2160" s="31" t="s">
        <v>246</v>
      </c>
      <c r="F2160" s="32" t="s">
        <v>49</v>
      </c>
      <c r="G2160" s="32" t="s">
        <v>50</v>
      </c>
      <c r="H2160" s="33">
        <v>2480</v>
      </c>
      <c r="I2160" s="34">
        <f>Table3[[#This Row],[Volume, kg.]]/1000</f>
        <v>2.48</v>
      </c>
      <c r="J2160" s="34">
        <v>0.247</v>
      </c>
      <c r="K2160" s="34">
        <f t="shared" si="66"/>
        <v>612.55999999999995</v>
      </c>
      <c r="L2160" s="34">
        <v>3.6</v>
      </c>
      <c r="M2160" s="34">
        <v>8928</v>
      </c>
      <c r="N2160" s="34">
        <f t="shared" si="67"/>
        <v>14.574898785425102</v>
      </c>
    </row>
    <row r="2161" spans="1:14" x14ac:dyDescent="0.45">
      <c r="A2161" s="30">
        <v>2023</v>
      </c>
      <c r="B2161" s="30" t="s">
        <v>18</v>
      </c>
      <c r="C2161" s="30" t="s">
        <v>46</v>
      </c>
      <c r="D2161" s="30" t="s">
        <v>102</v>
      </c>
      <c r="E2161" s="31" t="s">
        <v>250</v>
      </c>
      <c r="F2161" s="32" t="s">
        <v>49</v>
      </c>
      <c r="G2161" s="32" t="s">
        <v>50</v>
      </c>
      <c r="H2161" s="33">
        <v>2480850</v>
      </c>
      <c r="I2161" s="34">
        <f>Table3[[#This Row],[Volume, kg.]]/1000</f>
        <v>2480.85</v>
      </c>
      <c r="J2161" s="34">
        <v>0.26780000000000004</v>
      </c>
      <c r="K2161" s="34">
        <f t="shared" si="66"/>
        <v>664371.63000000012</v>
      </c>
      <c r="L2161" s="34">
        <v>4.04</v>
      </c>
      <c r="M2161" s="34">
        <v>10017888</v>
      </c>
      <c r="N2161" s="34">
        <f t="shared" si="67"/>
        <v>15.085884988797607</v>
      </c>
    </row>
    <row r="2162" spans="1:14" x14ac:dyDescent="0.45">
      <c r="A2162" s="30">
        <v>2023</v>
      </c>
      <c r="B2162" s="30" t="s">
        <v>18</v>
      </c>
      <c r="C2162" s="30" t="s">
        <v>46</v>
      </c>
      <c r="D2162" s="30" t="s">
        <v>47</v>
      </c>
      <c r="E2162" s="31" t="s">
        <v>252</v>
      </c>
      <c r="F2162" s="32" t="s">
        <v>49</v>
      </c>
      <c r="G2162" s="32" t="s">
        <v>50</v>
      </c>
      <c r="H2162" s="33">
        <v>22500</v>
      </c>
      <c r="I2162" s="34">
        <f>Table3[[#This Row],[Volume, kg.]]/1000</f>
        <v>22.5</v>
      </c>
      <c r="J2162" s="34">
        <v>0.28350000000000003</v>
      </c>
      <c r="K2162" s="34">
        <f t="shared" si="66"/>
        <v>6378.7500000000009</v>
      </c>
      <c r="L2162" s="34">
        <v>4.07</v>
      </c>
      <c r="M2162" s="34">
        <v>91651.5</v>
      </c>
      <c r="N2162" s="34">
        <f t="shared" si="67"/>
        <v>14.35626102292769</v>
      </c>
    </row>
    <row r="2163" spans="1:14" x14ac:dyDescent="0.45">
      <c r="A2163" s="30">
        <v>2023</v>
      </c>
      <c r="B2163" s="30" t="s">
        <v>18</v>
      </c>
      <c r="C2163" s="30" t="s">
        <v>46</v>
      </c>
      <c r="D2163" s="30" t="s">
        <v>47</v>
      </c>
      <c r="E2163" s="31" t="s">
        <v>570</v>
      </c>
      <c r="F2163" s="32" t="s">
        <v>49</v>
      </c>
      <c r="G2163" s="32" t="s">
        <v>50</v>
      </c>
      <c r="H2163" s="33">
        <v>7270</v>
      </c>
      <c r="I2163" s="34">
        <f>Table3[[#This Row],[Volume, kg.]]/1000</f>
        <v>7.27</v>
      </c>
      <c r="J2163" s="34">
        <v>0.19450000000000001</v>
      </c>
      <c r="K2163" s="34">
        <f t="shared" si="66"/>
        <v>1414.0150000000001</v>
      </c>
      <c r="L2163" s="34">
        <v>3.6</v>
      </c>
      <c r="M2163" s="34">
        <v>26172</v>
      </c>
      <c r="N2163" s="34">
        <f t="shared" si="67"/>
        <v>18.508997429305911</v>
      </c>
    </row>
    <row r="2164" spans="1:14" x14ac:dyDescent="0.45">
      <c r="A2164" s="30">
        <v>2023</v>
      </c>
      <c r="B2164" s="30" t="s">
        <v>18</v>
      </c>
      <c r="C2164" s="30" t="s">
        <v>46</v>
      </c>
      <c r="D2164" s="30" t="s">
        <v>47</v>
      </c>
      <c r="E2164" s="31" t="s">
        <v>457</v>
      </c>
      <c r="F2164" s="32" t="s">
        <v>49</v>
      </c>
      <c r="G2164" s="32" t="s">
        <v>50</v>
      </c>
      <c r="H2164" s="33">
        <v>14830</v>
      </c>
      <c r="I2164" s="34">
        <f>Table3[[#This Row],[Volume, kg.]]/1000</f>
        <v>14.83</v>
      </c>
      <c r="J2164" s="34">
        <v>0.25409999999999999</v>
      </c>
      <c r="K2164" s="34">
        <f t="shared" si="66"/>
        <v>3768.3029999999999</v>
      </c>
      <c r="L2164" s="34">
        <v>3.91</v>
      </c>
      <c r="M2164" s="34">
        <v>57959</v>
      </c>
      <c r="N2164" s="34">
        <f t="shared" si="67"/>
        <v>15.387642660369934</v>
      </c>
    </row>
    <row r="2165" spans="1:14" x14ac:dyDescent="0.45">
      <c r="A2165" s="30">
        <v>2023</v>
      </c>
      <c r="B2165" s="30" t="s">
        <v>18</v>
      </c>
      <c r="C2165" s="30" t="s">
        <v>46</v>
      </c>
      <c r="D2165" s="30" t="s">
        <v>47</v>
      </c>
      <c r="E2165" s="31" t="s">
        <v>545</v>
      </c>
      <c r="F2165" s="32" t="s">
        <v>54</v>
      </c>
      <c r="G2165" s="32" t="s">
        <v>50</v>
      </c>
      <c r="H2165" s="33">
        <v>48450</v>
      </c>
      <c r="I2165" s="34">
        <f>Table3[[#This Row],[Volume, kg.]]/1000</f>
        <v>48.45</v>
      </c>
      <c r="J2165" s="34">
        <v>0.23929999999999998</v>
      </c>
      <c r="K2165" s="34">
        <f t="shared" si="66"/>
        <v>11594.084999999999</v>
      </c>
      <c r="L2165" s="34">
        <v>3.54</v>
      </c>
      <c r="M2165" s="34">
        <v>171747.5</v>
      </c>
      <c r="N2165" s="34">
        <f t="shared" si="67"/>
        <v>14.793146677810281</v>
      </c>
    </row>
    <row r="2166" spans="1:14" x14ac:dyDescent="0.45">
      <c r="A2166" s="30">
        <v>2023</v>
      </c>
      <c r="B2166" s="30" t="s">
        <v>18</v>
      </c>
      <c r="C2166" s="30" t="s">
        <v>46</v>
      </c>
      <c r="D2166" s="30" t="s">
        <v>47</v>
      </c>
      <c r="E2166" s="31" t="s">
        <v>254</v>
      </c>
      <c r="F2166" s="32" t="s">
        <v>49</v>
      </c>
      <c r="G2166" s="32" t="s">
        <v>50</v>
      </c>
      <c r="H2166" s="33">
        <v>109390</v>
      </c>
      <c r="I2166" s="34">
        <f>Table3[[#This Row],[Volume, kg.]]/1000</f>
        <v>109.39</v>
      </c>
      <c r="J2166" s="34">
        <v>0.25280000000000002</v>
      </c>
      <c r="K2166" s="34">
        <f t="shared" si="66"/>
        <v>27653.792000000001</v>
      </c>
      <c r="L2166" s="34">
        <v>3.8</v>
      </c>
      <c r="M2166" s="34">
        <v>416127</v>
      </c>
      <c r="N2166" s="34">
        <f t="shared" si="67"/>
        <v>15.031645569620251</v>
      </c>
    </row>
    <row r="2167" spans="1:14" x14ac:dyDescent="0.45">
      <c r="A2167" s="30">
        <v>2023</v>
      </c>
      <c r="B2167" s="30" t="s">
        <v>18</v>
      </c>
      <c r="C2167" s="30" t="s">
        <v>46</v>
      </c>
      <c r="D2167" s="30" t="s">
        <v>47</v>
      </c>
      <c r="E2167" s="31" t="s">
        <v>256</v>
      </c>
      <c r="F2167" s="32" t="s">
        <v>81</v>
      </c>
      <c r="G2167" s="32" t="s">
        <v>50</v>
      </c>
      <c r="H2167" s="33">
        <v>45110</v>
      </c>
      <c r="I2167" s="34">
        <f>Table3[[#This Row],[Volume, kg.]]/1000</f>
        <v>45.11</v>
      </c>
      <c r="J2167" s="34">
        <v>0.23769999999999999</v>
      </c>
      <c r="K2167" s="34">
        <f t="shared" si="66"/>
        <v>10722.646999999999</v>
      </c>
      <c r="L2167" s="34">
        <v>3.54</v>
      </c>
      <c r="M2167" s="34">
        <v>159519</v>
      </c>
      <c r="N2167" s="34">
        <f t="shared" si="67"/>
        <v>14.892721918384519</v>
      </c>
    </row>
    <row r="2168" spans="1:14" x14ac:dyDescent="0.45">
      <c r="A2168" s="30">
        <v>2023</v>
      </c>
      <c r="B2168" s="30" t="s">
        <v>18</v>
      </c>
      <c r="C2168" s="30" t="s">
        <v>46</v>
      </c>
      <c r="D2168" s="30" t="s">
        <v>47</v>
      </c>
      <c r="E2168" s="31" t="s">
        <v>257</v>
      </c>
      <c r="F2168" s="32" t="s">
        <v>64</v>
      </c>
      <c r="G2168" s="32" t="s">
        <v>50</v>
      </c>
      <c r="H2168" s="33">
        <v>153210</v>
      </c>
      <c r="I2168" s="34">
        <f>Table3[[#This Row],[Volume, kg.]]/1000</f>
        <v>153.21</v>
      </c>
      <c r="J2168" s="34">
        <v>0.20829999999999999</v>
      </c>
      <c r="K2168" s="34">
        <f t="shared" si="66"/>
        <v>31913.642999999996</v>
      </c>
      <c r="L2168" s="34">
        <v>3.47</v>
      </c>
      <c r="M2168" s="34">
        <v>530899.5</v>
      </c>
      <c r="N2168" s="34">
        <f t="shared" si="67"/>
        <v>16.658665386461838</v>
      </c>
    </row>
    <row r="2169" spans="1:14" x14ac:dyDescent="0.45">
      <c r="A2169" s="30">
        <v>2023</v>
      </c>
      <c r="B2169" s="30" t="s">
        <v>18</v>
      </c>
      <c r="C2169" s="30" t="s">
        <v>46</v>
      </c>
      <c r="D2169" s="30" t="s">
        <v>47</v>
      </c>
      <c r="E2169" s="31" t="s">
        <v>459</v>
      </c>
      <c r="F2169" s="32" t="s">
        <v>134</v>
      </c>
      <c r="G2169" s="32" t="s">
        <v>50</v>
      </c>
      <c r="H2169" s="33">
        <v>10110</v>
      </c>
      <c r="I2169" s="34">
        <f>Table3[[#This Row],[Volume, kg.]]/1000</f>
        <v>10.11</v>
      </c>
      <c r="J2169" s="34">
        <v>0.245</v>
      </c>
      <c r="K2169" s="34">
        <f t="shared" si="66"/>
        <v>2476.9499999999998</v>
      </c>
      <c r="L2169" s="34">
        <v>3.65</v>
      </c>
      <c r="M2169" s="34">
        <v>36901.5</v>
      </c>
      <c r="N2169" s="34">
        <f t="shared" si="67"/>
        <v>14.897959183673469</v>
      </c>
    </row>
    <row r="2170" spans="1:14" x14ac:dyDescent="0.45">
      <c r="A2170" s="30">
        <v>2023</v>
      </c>
      <c r="B2170" s="30" t="s">
        <v>18</v>
      </c>
      <c r="C2170" s="30" t="s">
        <v>46</v>
      </c>
      <c r="D2170" s="30" t="s">
        <v>47</v>
      </c>
      <c r="E2170" s="31" t="s">
        <v>258</v>
      </c>
      <c r="F2170" s="32" t="s">
        <v>49</v>
      </c>
      <c r="G2170" s="32" t="s">
        <v>50</v>
      </c>
      <c r="H2170" s="33">
        <v>303420</v>
      </c>
      <c r="I2170" s="34">
        <f>Table3[[#This Row],[Volume, kg.]]/1000</f>
        <v>303.42</v>
      </c>
      <c r="J2170" s="34">
        <v>0.25090000000000001</v>
      </c>
      <c r="K2170" s="34">
        <f t="shared" si="66"/>
        <v>76128.078000000009</v>
      </c>
      <c r="L2170" s="34">
        <v>3.82</v>
      </c>
      <c r="M2170" s="34">
        <v>1157872</v>
      </c>
      <c r="N2170" s="34">
        <f t="shared" si="67"/>
        <v>15.225189318453566</v>
      </c>
    </row>
    <row r="2171" spans="1:14" x14ac:dyDescent="0.45">
      <c r="A2171" s="30">
        <v>2023</v>
      </c>
      <c r="B2171" s="30" t="s">
        <v>19</v>
      </c>
      <c r="C2171" s="30" t="s">
        <v>46</v>
      </c>
      <c r="D2171" s="30" t="s">
        <v>47</v>
      </c>
      <c r="E2171" s="31" t="s">
        <v>260</v>
      </c>
      <c r="F2171" s="32" t="s">
        <v>49</v>
      </c>
      <c r="G2171" s="32" t="s">
        <v>50</v>
      </c>
      <c r="H2171" s="33">
        <v>32680</v>
      </c>
      <c r="I2171" s="34">
        <f>Table3[[#This Row],[Volume, kg.]]/1000</f>
        <v>32.68</v>
      </c>
      <c r="J2171" s="34">
        <v>0.24979999999999999</v>
      </c>
      <c r="K2171" s="34">
        <f t="shared" si="66"/>
        <v>8163.4639999999999</v>
      </c>
      <c r="L2171" s="34">
        <v>3.75</v>
      </c>
      <c r="M2171" s="34">
        <v>122579</v>
      </c>
      <c r="N2171" s="34">
        <f t="shared" si="67"/>
        <v>15.012009607686149</v>
      </c>
    </row>
    <row r="2172" spans="1:14" x14ac:dyDescent="0.45">
      <c r="A2172" s="30">
        <v>2023</v>
      </c>
      <c r="B2172" s="30" t="s">
        <v>19</v>
      </c>
      <c r="C2172" s="30" t="s">
        <v>46</v>
      </c>
      <c r="D2172" s="30" t="s">
        <v>47</v>
      </c>
      <c r="E2172" s="31" t="s">
        <v>48</v>
      </c>
      <c r="F2172" s="32" t="s">
        <v>49</v>
      </c>
      <c r="G2172" s="32" t="s">
        <v>50</v>
      </c>
      <c r="H2172" s="33">
        <v>11180</v>
      </c>
      <c r="I2172" s="34">
        <f>Table3[[#This Row],[Volume, kg.]]/1000</f>
        <v>11.18</v>
      </c>
      <c r="J2172" s="34">
        <v>0.2883</v>
      </c>
      <c r="K2172" s="34">
        <f t="shared" si="66"/>
        <v>3223.194</v>
      </c>
      <c r="L2172" s="34">
        <v>3.95</v>
      </c>
      <c r="M2172" s="34">
        <v>44161</v>
      </c>
      <c r="N2172" s="34">
        <f t="shared" si="67"/>
        <v>13.701005896635451</v>
      </c>
    </row>
    <row r="2173" spans="1:14" x14ac:dyDescent="0.45">
      <c r="A2173" s="30">
        <v>2023</v>
      </c>
      <c r="B2173" s="30" t="s">
        <v>19</v>
      </c>
      <c r="C2173" s="30" t="s">
        <v>46</v>
      </c>
      <c r="D2173" s="30" t="s">
        <v>47</v>
      </c>
      <c r="E2173" s="31" t="s">
        <v>51</v>
      </c>
      <c r="F2173" s="32" t="s">
        <v>49</v>
      </c>
      <c r="G2173" s="32" t="s">
        <v>50</v>
      </c>
      <c r="H2173" s="33">
        <v>15280</v>
      </c>
      <c r="I2173" s="34">
        <f>Table3[[#This Row],[Volume, kg.]]/1000</f>
        <v>15.28</v>
      </c>
      <c r="J2173" s="34">
        <v>0.28760000000000002</v>
      </c>
      <c r="K2173" s="34">
        <f t="shared" si="66"/>
        <v>4394.5280000000002</v>
      </c>
      <c r="L2173" s="34">
        <v>3.99</v>
      </c>
      <c r="M2173" s="34">
        <v>60967.5</v>
      </c>
      <c r="N2173" s="34">
        <f t="shared" si="67"/>
        <v>13.873435326842836</v>
      </c>
    </row>
    <row r="2174" spans="1:14" x14ac:dyDescent="0.45">
      <c r="A2174" s="30">
        <v>2023</v>
      </c>
      <c r="B2174" s="30" t="s">
        <v>19</v>
      </c>
      <c r="C2174" s="30" t="s">
        <v>46</v>
      </c>
      <c r="D2174" s="30" t="s">
        <v>47</v>
      </c>
      <c r="E2174" s="31" t="s">
        <v>52</v>
      </c>
      <c r="F2174" s="32" t="s">
        <v>49</v>
      </c>
      <c r="G2174" s="32" t="s">
        <v>50</v>
      </c>
      <c r="H2174" s="33">
        <v>19440</v>
      </c>
      <c r="I2174" s="34">
        <f>Table3[[#This Row],[Volume, kg.]]/1000</f>
        <v>19.440000000000001</v>
      </c>
      <c r="J2174" s="34">
        <v>0.25989999999999996</v>
      </c>
      <c r="K2174" s="34">
        <f t="shared" si="66"/>
        <v>5052.4559999999992</v>
      </c>
      <c r="L2174" s="34">
        <v>3.93</v>
      </c>
      <c r="M2174" s="34">
        <v>76335</v>
      </c>
      <c r="N2174" s="34">
        <f t="shared" si="67"/>
        <v>15.121200461716047</v>
      </c>
    </row>
    <row r="2175" spans="1:14" x14ac:dyDescent="0.45">
      <c r="A2175" s="30">
        <v>2023</v>
      </c>
      <c r="B2175" s="30" t="s">
        <v>19</v>
      </c>
      <c r="C2175" s="30" t="s">
        <v>46</v>
      </c>
      <c r="D2175" s="30" t="s">
        <v>47</v>
      </c>
      <c r="E2175" s="31" t="s">
        <v>53</v>
      </c>
      <c r="F2175" s="32" t="s">
        <v>54</v>
      </c>
      <c r="G2175" s="32" t="s">
        <v>50</v>
      </c>
      <c r="H2175" s="33">
        <v>130430</v>
      </c>
      <c r="I2175" s="34">
        <f>Table3[[#This Row],[Volume, kg.]]/1000</f>
        <v>130.43</v>
      </c>
      <c r="J2175" s="34">
        <v>0.30109999999999998</v>
      </c>
      <c r="K2175" s="34">
        <f t="shared" si="66"/>
        <v>39272.472999999998</v>
      </c>
      <c r="L2175" s="34">
        <v>4.05</v>
      </c>
      <c r="M2175" s="34">
        <v>527683.5</v>
      </c>
      <c r="N2175" s="34">
        <f t="shared" si="67"/>
        <v>13.450680836931252</v>
      </c>
    </row>
    <row r="2176" spans="1:14" x14ac:dyDescent="0.45">
      <c r="A2176" s="30">
        <v>2023</v>
      </c>
      <c r="B2176" s="30" t="s">
        <v>19</v>
      </c>
      <c r="C2176" s="30" t="s">
        <v>46</v>
      </c>
      <c r="D2176" s="30" t="s">
        <v>102</v>
      </c>
      <c r="E2176" s="31" t="s">
        <v>546</v>
      </c>
      <c r="F2176" s="32" t="s">
        <v>547</v>
      </c>
      <c r="G2176" s="32" t="s">
        <v>341</v>
      </c>
      <c r="H2176" s="33">
        <v>26000</v>
      </c>
      <c r="I2176" s="34">
        <f>Table3[[#This Row],[Volume, kg.]]/1000</f>
        <v>26</v>
      </c>
      <c r="J2176" s="34">
        <v>0.24149999999999999</v>
      </c>
      <c r="K2176" s="34">
        <f t="shared" si="66"/>
        <v>6279</v>
      </c>
      <c r="L2176" s="34">
        <v>3.9</v>
      </c>
      <c r="M2176" s="34">
        <v>101400</v>
      </c>
      <c r="N2176" s="34">
        <f t="shared" si="67"/>
        <v>16.149068322981368</v>
      </c>
    </row>
    <row r="2177" spans="1:14" x14ac:dyDescent="0.45">
      <c r="A2177" s="30">
        <v>2023</v>
      </c>
      <c r="B2177" s="30" t="s">
        <v>19</v>
      </c>
      <c r="C2177" s="30" t="s">
        <v>46</v>
      </c>
      <c r="D2177" s="30" t="s">
        <v>47</v>
      </c>
      <c r="E2177" s="31" t="s">
        <v>422</v>
      </c>
      <c r="F2177" s="32" t="s">
        <v>134</v>
      </c>
      <c r="G2177" s="32" t="s">
        <v>50</v>
      </c>
      <c r="H2177" s="33">
        <v>6340</v>
      </c>
      <c r="I2177" s="34">
        <f>Table3[[#This Row],[Volume, kg.]]/1000</f>
        <v>6.34</v>
      </c>
      <c r="J2177" s="34">
        <v>0.26700000000000002</v>
      </c>
      <c r="K2177" s="34">
        <f t="shared" si="66"/>
        <v>1692.7800000000002</v>
      </c>
      <c r="L2177" s="34">
        <v>3.85</v>
      </c>
      <c r="M2177" s="34">
        <v>24409</v>
      </c>
      <c r="N2177" s="34">
        <f t="shared" si="67"/>
        <v>14.419475655430711</v>
      </c>
    </row>
    <row r="2178" spans="1:14" x14ac:dyDescent="0.45">
      <c r="A2178" s="30">
        <v>2023</v>
      </c>
      <c r="B2178" s="30" t="s">
        <v>19</v>
      </c>
      <c r="C2178" s="30" t="s">
        <v>46</v>
      </c>
      <c r="D2178" s="30" t="s">
        <v>47</v>
      </c>
      <c r="E2178" s="31" t="s">
        <v>59</v>
      </c>
      <c r="F2178" s="32" t="s">
        <v>60</v>
      </c>
      <c r="G2178" s="32" t="s">
        <v>50</v>
      </c>
      <c r="H2178" s="33">
        <v>43240</v>
      </c>
      <c r="I2178" s="34">
        <f>Table3[[#This Row],[Volume, kg.]]/1000</f>
        <v>43.24</v>
      </c>
      <c r="J2178" s="34">
        <v>0.2717</v>
      </c>
      <c r="K2178" s="34">
        <f t="shared" si="66"/>
        <v>11748.307999999999</v>
      </c>
      <c r="L2178" s="34">
        <v>3.86</v>
      </c>
      <c r="M2178" s="34">
        <v>166743</v>
      </c>
      <c r="N2178" s="34">
        <f t="shared" si="67"/>
        <v>14.206845785793154</v>
      </c>
    </row>
    <row r="2179" spans="1:14" x14ac:dyDescent="0.45">
      <c r="A2179" s="30">
        <v>2023</v>
      </c>
      <c r="B2179" s="30" t="s">
        <v>19</v>
      </c>
      <c r="C2179" s="30" t="s">
        <v>46</v>
      </c>
      <c r="D2179" s="30" t="s">
        <v>47</v>
      </c>
      <c r="E2179" s="31" t="s">
        <v>548</v>
      </c>
      <c r="F2179" s="32" t="s">
        <v>49</v>
      </c>
      <c r="G2179" s="32" t="s">
        <v>50</v>
      </c>
      <c r="H2179" s="33">
        <v>72710</v>
      </c>
      <c r="I2179" s="34">
        <f>Table3[[#This Row],[Volume, kg.]]/1000</f>
        <v>72.709999999999994</v>
      </c>
      <c r="J2179" s="34">
        <v>0.29089999999999999</v>
      </c>
      <c r="K2179" s="34">
        <f t="shared" ref="K2179:K2242" si="68">H2179*J2179</f>
        <v>21151.339</v>
      </c>
      <c r="L2179" s="34">
        <v>4</v>
      </c>
      <c r="M2179" s="34">
        <v>291056</v>
      </c>
      <c r="N2179" s="34">
        <f t="shared" si="67"/>
        <v>13.750429700928155</v>
      </c>
    </row>
    <row r="2180" spans="1:14" x14ac:dyDescent="0.45">
      <c r="A2180" s="30">
        <v>2023</v>
      </c>
      <c r="B2180" s="30" t="s">
        <v>19</v>
      </c>
      <c r="C2180" s="30" t="s">
        <v>46</v>
      </c>
      <c r="D2180" s="30" t="s">
        <v>47</v>
      </c>
      <c r="E2180" s="31" t="s">
        <v>261</v>
      </c>
      <c r="F2180" s="32" t="s">
        <v>81</v>
      </c>
      <c r="G2180" s="32" t="s">
        <v>50</v>
      </c>
      <c r="H2180" s="33">
        <v>23110</v>
      </c>
      <c r="I2180" s="34">
        <f>Table3[[#This Row],[Volume, kg.]]/1000</f>
        <v>23.11</v>
      </c>
      <c r="J2180" s="34">
        <v>0.29160000000000003</v>
      </c>
      <c r="K2180" s="34">
        <f t="shared" si="68"/>
        <v>6738.8760000000002</v>
      </c>
      <c r="L2180" s="34">
        <v>4</v>
      </c>
      <c r="M2180" s="34">
        <v>92416.5</v>
      </c>
      <c r="N2180" s="34">
        <f t="shared" ref="N2180:N2243" si="69">L2180/J2180</f>
        <v>13.717421124828531</v>
      </c>
    </row>
    <row r="2181" spans="1:14" x14ac:dyDescent="0.45">
      <c r="A2181" s="30">
        <v>2023</v>
      </c>
      <c r="B2181" s="30" t="s">
        <v>19</v>
      </c>
      <c r="C2181" s="30" t="s">
        <v>46</v>
      </c>
      <c r="D2181" s="30" t="s">
        <v>47</v>
      </c>
      <c r="E2181" s="31" t="s">
        <v>63</v>
      </c>
      <c r="F2181" s="32" t="s">
        <v>64</v>
      </c>
      <c r="G2181" s="32" t="s">
        <v>50</v>
      </c>
      <c r="H2181" s="33">
        <v>31960</v>
      </c>
      <c r="I2181" s="34">
        <f>Table3[[#This Row],[Volume, kg.]]/1000</f>
        <v>31.96</v>
      </c>
      <c r="J2181" s="34">
        <v>0.25530000000000003</v>
      </c>
      <c r="K2181" s="34">
        <f t="shared" si="68"/>
        <v>8159.3880000000008</v>
      </c>
      <c r="L2181" s="34">
        <v>3.85</v>
      </c>
      <c r="M2181" s="34">
        <v>123086</v>
      </c>
      <c r="N2181" s="34">
        <f t="shared" si="69"/>
        <v>15.08029768899334</v>
      </c>
    </row>
    <row r="2182" spans="1:14" x14ac:dyDescent="0.45">
      <c r="A2182" s="30">
        <v>2023</v>
      </c>
      <c r="B2182" s="30" t="s">
        <v>19</v>
      </c>
      <c r="C2182" s="30" t="s">
        <v>46</v>
      </c>
      <c r="D2182" s="30" t="s">
        <v>47</v>
      </c>
      <c r="E2182" s="31" t="s">
        <v>66</v>
      </c>
      <c r="F2182" s="32" t="s">
        <v>49</v>
      </c>
      <c r="G2182" s="32" t="s">
        <v>50</v>
      </c>
      <c r="H2182" s="33">
        <v>7520</v>
      </c>
      <c r="I2182" s="34">
        <f>Table3[[#This Row],[Volume, kg.]]/1000</f>
        <v>7.52</v>
      </c>
      <c r="J2182" s="34">
        <v>0.26050000000000001</v>
      </c>
      <c r="K2182" s="34">
        <f t="shared" si="68"/>
        <v>1958.96</v>
      </c>
      <c r="L2182" s="34">
        <v>3.8</v>
      </c>
      <c r="M2182" s="34">
        <v>28576</v>
      </c>
      <c r="N2182" s="34">
        <f t="shared" si="69"/>
        <v>14.5873320537428</v>
      </c>
    </row>
    <row r="2183" spans="1:14" x14ac:dyDescent="0.45">
      <c r="A2183" s="30">
        <v>2023</v>
      </c>
      <c r="B2183" s="30" t="s">
        <v>19</v>
      </c>
      <c r="C2183" s="30" t="s">
        <v>46</v>
      </c>
      <c r="D2183" s="30" t="s">
        <v>47</v>
      </c>
      <c r="E2183" s="31" t="s">
        <v>69</v>
      </c>
      <c r="F2183" s="32" t="s">
        <v>49</v>
      </c>
      <c r="G2183" s="32" t="s">
        <v>50</v>
      </c>
      <c r="H2183" s="33">
        <v>59720</v>
      </c>
      <c r="I2183" s="34">
        <f>Table3[[#This Row],[Volume, kg.]]/1000</f>
        <v>59.72</v>
      </c>
      <c r="J2183" s="34">
        <v>0.27129999999999999</v>
      </c>
      <c r="K2183" s="34">
        <f t="shared" si="68"/>
        <v>16202.035999999998</v>
      </c>
      <c r="L2183" s="34">
        <v>3.88</v>
      </c>
      <c r="M2183" s="34">
        <v>231616</v>
      </c>
      <c r="N2183" s="34">
        <f t="shared" si="69"/>
        <v>14.301511242167344</v>
      </c>
    </row>
    <row r="2184" spans="1:14" x14ac:dyDescent="0.45">
      <c r="A2184" s="30">
        <v>2023</v>
      </c>
      <c r="B2184" s="30" t="s">
        <v>19</v>
      </c>
      <c r="C2184" s="30" t="s">
        <v>46</v>
      </c>
      <c r="D2184" s="30" t="s">
        <v>47</v>
      </c>
      <c r="E2184" s="31" t="s">
        <v>70</v>
      </c>
      <c r="F2184" s="32" t="s">
        <v>49</v>
      </c>
      <c r="G2184" s="32" t="s">
        <v>50</v>
      </c>
      <c r="H2184" s="33">
        <v>146100</v>
      </c>
      <c r="I2184" s="34">
        <f>Table3[[#This Row],[Volume, kg.]]/1000</f>
        <v>146.1</v>
      </c>
      <c r="J2184" s="34">
        <v>0.28710000000000002</v>
      </c>
      <c r="K2184" s="34">
        <f t="shared" si="68"/>
        <v>41945.310000000005</v>
      </c>
      <c r="L2184" s="34">
        <v>3.97</v>
      </c>
      <c r="M2184" s="34">
        <v>579514.5</v>
      </c>
      <c r="N2184" s="34">
        <f t="shared" si="69"/>
        <v>13.827934517589689</v>
      </c>
    </row>
    <row r="2185" spans="1:14" x14ac:dyDescent="0.45">
      <c r="A2185" s="30">
        <v>2023</v>
      </c>
      <c r="B2185" s="30" t="s">
        <v>19</v>
      </c>
      <c r="C2185" s="30" t="s">
        <v>46</v>
      </c>
      <c r="D2185" s="30" t="s">
        <v>47</v>
      </c>
      <c r="E2185" s="31" t="s">
        <v>571</v>
      </c>
      <c r="F2185" s="32" t="s">
        <v>49</v>
      </c>
      <c r="G2185" s="32" t="s">
        <v>50</v>
      </c>
      <c r="H2185" s="33">
        <v>33390</v>
      </c>
      <c r="I2185" s="34">
        <f>Table3[[#This Row],[Volume, kg.]]/1000</f>
        <v>33.39</v>
      </c>
      <c r="J2185" s="34">
        <v>0.29059999999999997</v>
      </c>
      <c r="K2185" s="34">
        <f t="shared" si="68"/>
        <v>9703.1339999999982</v>
      </c>
      <c r="L2185" s="34">
        <v>4.05</v>
      </c>
      <c r="M2185" s="34">
        <v>135121.5</v>
      </c>
      <c r="N2185" s="34">
        <f t="shared" si="69"/>
        <v>13.936682725395734</v>
      </c>
    </row>
    <row r="2186" spans="1:14" x14ac:dyDescent="0.45">
      <c r="A2186" s="30">
        <v>2023</v>
      </c>
      <c r="B2186" s="30" t="s">
        <v>19</v>
      </c>
      <c r="C2186" s="30" t="s">
        <v>46</v>
      </c>
      <c r="D2186" s="30" t="s">
        <v>47</v>
      </c>
      <c r="E2186" s="31" t="s">
        <v>503</v>
      </c>
      <c r="F2186" s="32" t="s">
        <v>49</v>
      </c>
      <c r="G2186" s="32" t="s">
        <v>50</v>
      </c>
      <c r="H2186" s="33">
        <v>18050</v>
      </c>
      <c r="I2186" s="34">
        <f>Table3[[#This Row],[Volume, kg.]]/1000</f>
        <v>18.05</v>
      </c>
      <c r="J2186" s="34">
        <v>0.2359</v>
      </c>
      <c r="K2186" s="34">
        <f t="shared" si="68"/>
        <v>4257.9949999999999</v>
      </c>
      <c r="L2186" s="34">
        <v>3.79</v>
      </c>
      <c r="M2186" s="34">
        <v>68458.5</v>
      </c>
      <c r="N2186" s="34">
        <f t="shared" si="69"/>
        <v>16.066129715981347</v>
      </c>
    </row>
    <row r="2187" spans="1:14" x14ac:dyDescent="0.45">
      <c r="A2187" s="30">
        <v>2023</v>
      </c>
      <c r="B2187" s="30" t="s">
        <v>19</v>
      </c>
      <c r="C2187" s="30" t="s">
        <v>46</v>
      </c>
      <c r="D2187" s="30" t="s">
        <v>47</v>
      </c>
      <c r="E2187" s="31" t="s">
        <v>73</v>
      </c>
      <c r="F2187" s="32" t="s">
        <v>49</v>
      </c>
      <c r="G2187" s="32" t="s">
        <v>50</v>
      </c>
      <c r="H2187" s="33">
        <v>71110</v>
      </c>
      <c r="I2187" s="34">
        <f>Table3[[#This Row],[Volume, kg.]]/1000</f>
        <v>71.11</v>
      </c>
      <c r="J2187" s="34">
        <v>0.31030000000000002</v>
      </c>
      <c r="K2187" s="34">
        <f t="shared" si="68"/>
        <v>22065.433000000001</v>
      </c>
      <c r="L2187" s="34">
        <v>4.05</v>
      </c>
      <c r="M2187" s="34">
        <v>288222</v>
      </c>
      <c r="N2187" s="34">
        <f t="shared" si="69"/>
        <v>13.051885272317111</v>
      </c>
    </row>
    <row r="2188" spans="1:14" x14ac:dyDescent="0.45">
      <c r="A2188" s="30">
        <v>2023</v>
      </c>
      <c r="B2188" s="30" t="s">
        <v>19</v>
      </c>
      <c r="C2188" s="30" t="s">
        <v>46</v>
      </c>
      <c r="D2188" s="30" t="s">
        <v>47</v>
      </c>
      <c r="E2188" s="31" t="s">
        <v>334</v>
      </c>
      <c r="F2188" s="32" t="s">
        <v>81</v>
      </c>
      <c r="G2188" s="32" t="s">
        <v>50</v>
      </c>
      <c r="H2188" s="33">
        <v>31030</v>
      </c>
      <c r="I2188" s="34">
        <f>Table3[[#This Row],[Volume, kg.]]/1000</f>
        <v>31.03</v>
      </c>
      <c r="J2188" s="34">
        <v>0.30199999999999999</v>
      </c>
      <c r="K2188" s="34">
        <f t="shared" si="68"/>
        <v>9371.06</v>
      </c>
      <c r="L2188" s="34">
        <v>4.09</v>
      </c>
      <c r="M2188" s="34">
        <v>126956.5</v>
      </c>
      <c r="N2188" s="34">
        <f t="shared" si="69"/>
        <v>13.543046357615895</v>
      </c>
    </row>
    <row r="2189" spans="1:14" x14ac:dyDescent="0.45">
      <c r="A2189" s="30">
        <v>2023</v>
      </c>
      <c r="B2189" s="30" t="s">
        <v>19</v>
      </c>
      <c r="C2189" s="30" t="s">
        <v>46</v>
      </c>
      <c r="D2189" s="30" t="s">
        <v>47</v>
      </c>
      <c r="E2189" s="31" t="s">
        <v>75</v>
      </c>
      <c r="F2189" s="32" t="s">
        <v>49</v>
      </c>
      <c r="G2189" s="32" t="s">
        <v>50</v>
      </c>
      <c r="H2189" s="33">
        <v>4270</v>
      </c>
      <c r="I2189" s="34">
        <f>Table3[[#This Row],[Volume, kg.]]/1000</f>
        <v>4.2699999999999996</v>
      </c>
      <c r="J2189" s="34">
        <v>0.27500000000000002</v>
      </c>
      <c r="K2189" s="34">
        <f t="shared" si="68"/>
        <v>1174.25</v>
      </c>
      <c r="L2189" s="34">
        <v>4</v>
      </c>
      <c r="M2189" s="34">
        <v>17080</v>
      </c>
      <c r="N2189" s="34">
        <f t="shared" si="69"/>
        <v>14.545454545454545</v>
      </c>
    </row>
    <row r="2190" spans="1:14" x14ac:dyDescent="0.45">
      <c r="A2190" s="30">
        <v>2023</v>
      </c>
      <c r="B2190" s="30" t="s">
        <v>19</v>
      </c>
      <c r="C2190" s="30" t="s">
        <v>46</v>
      </c>
      <c r="D2190" s="30" t="s">
        <v>47</v>
      </c>
      <c r="E2190" s="31" t="s">
        <v>265</v>
      </c>
      <c r="F2190" s="32" t="s">
        <v>49</v>
      </c>
      <c r="G2190" s="32" t="s">
        <v>50</v>
      </c>
      <c r="H2190" s="33">
        <v>15080</v>
      </c>
      <c r="I2190" s="34">
        <f>Table3[[#This Row],[Volume, kg.]]/1000</f>
        <v>15.08</v>
      </c>
      <c r="J2190" s="34">
        <v>0.2858</v>
      </c>
      <c r="K2190" s="34">
        <f t="shared" si="68"/>
        <v>4309.8639999999996</v>
      </c>
      <c r="L2190" s="34">
        <v>4.03</v>
      </c>
      <c r="M2190" s="34">
        <v>60731.5</v>
      </c>
      <c r="N2190" s="34">
        <f t="shared" si="69"/>
        <v>14.100769769069281</v>
      </c>
    </row>
    <row r="2191" spans="1:14" x14ac:dyDescent="0.45">
      <c r="A2191" s="30">
        <v>2023</v>
      </c>
      <c r="B2191" s="30" t="s">
        <v>19</v>
      </c>
      <c r="C2191" s="30" t="s">
        <v>46</v>
      </c>
      <c r="D2191" s="30" t="s">
        <v>47</v>
      </c>
      <c r="E2191" s="31" t="s">
        <v>77</v>
      </c>
      <c r="F2191" s="32" t="s">
        <v>49</v>
      </c>
      <c r="G2191" s="32" t="s">
        <v>50</v>
      </c>
      <c r="H2191" s="33">
        <v>62810</v>
      </c>
      <c r="I2191" s="34">
        <f>Table3[[#This Row],[Volume, kg.]]/1000</f>
        <v>62.81</v>
      </c>
      <c r="J2191" s="34">
        <v>0.2944</v>
      </c>
      <c r="K2191" s="34">
        <f t="shared" si="68"/>
        <v>18491.263999999999</v>
      </c>
      <c r="L2191" s="34">
        <v>4</v>
      </c>
      <c r="M2191" s="34">
        <v>251298.5</v>
      </c>
      <c r="N2191" s="34">
        <f t="shared" si="69"/>
        <v>13.586956521739131</v>
      </c>
    </row>
    <row r="2192" spans="1:14" x14ac:dyDescent="0.45">
      <c r="A2192" s="30">
        <v>2023</v>
      </c>
      <c r="B2192" s="30" t="s">
        <v>19</v>
      </c>
      <c r="C2192" s="30" t="s">
        <v>46</v>
      </c>
      <c r="D2192" s="30" t="s">
        <v>47</v>
      </c>
      <c r="E2192" s="31" t="s">
        <v>80</v>
      </c>
      <c r="F2192" s="32" t="s">
        <v>81</v>
      </c>
      <c r="G2192" s="32" t="s">
        <v>50</v>
      </c>
      <c r="H2192" s="33">
        <v>116560</v>
      </c>
      <c r="I2192" s="34">
        <f>Table3[[#This Row],[Volume, kg.]]/1000</f>
        <v>116.56</v>
      </c>
      <c r="J2192" s="34">
        <v>0.248</v>
      </c>
      <c r="K2192" s="34">
        <f t="shared" si="68"/>
        <v>28906.880000000001</v>
      </c>
      <c r="L2192" s="34">
        <v>3.72</v>
      </c>
      <c r="M2192" s="34">
        <v>433649</v>
      </c>
      <c r="N2192" s="34">
        <f t="shared" si="69"/>
        <v>15.000000000000002</v>
      </c>
    </row>
    <row r="2193" spans="1:14" x14ac:dyDescent="0.45">
      <c r="A2193" s="30">
        <v>2023</v>
      </c>
      <c r="B2193" s="30" t="s">
        <v>19</v>
      </c>
      <c r="C2193" s="30" t="s">
        <v>46</v>
      </c>
      <c r="D2193" s="30" t="s">
        <v>47</v>
      </c>
      <c r="E2193" s="31" t="s">
        <v>267</v>
      </c>
      <c r="F2193" s="32" t="s">
        <v>57</v>
      </c>
      <c r="G2193" s="32" t="s">
        <v>50</v>
      </c>
      <c r="H2193" s="33">
        <v>6540</v>
      </c>
      <c r="I2193" s="34">
        <f>Table3[[#This Row],[Volume, kg.]]/1000</f>
        <v>6.54</v>
      </c>
      <c r="J2193" s="34">
        <v>0.27649999999999997</v>
      </c>
      <c r="K2193" s="34">
        <f t="shared" si="68"/>
        <v>1808.3099999999997</v>
      </c>
      <c r="L2193" s="34">
        <v>3.95</v>
      </c>
      <c r="M2193" s="34">
        <v>25833</v>
      </c>
      <c r="N2193" s="34">
        <f t="shared" si="69"/>
        <v>14.285714285714288</v>
      </c>
    </row>
    <row r="2194" spans="1:14" x14ac:dyDescent="0.45">
      <c r="A2194" s="30">
        <v>2023</v>
      </c>
      <c r="B2194" s="30" t="s">
        <v>19</v>
      </c>
      <c r="C2194" s="30" t="s">
        <v>46</v>
      </c>
      <c r="D2194" s="30" t="s">
        <v>47</v>
      </c>
      <c r="E2194" s="31" t="s">
        <v>536</v>
      </c>
      <c r="F2194" s="32" t="s">
        <v>60</v>
      </c>
      <c r="G2194" s="32" t="s">
        <v>50</v>
      </c>
      <c r="H2194" s="33">
        <v>48700</v>
      </c>
      <c r="I2194" s="34">
        <f>Table3[[#This Row],[Volume, kg.]]/1000</f>
        <v>48.7</v>
      </c>
      <c r="J2194" s="34">
        <v>0.29549999999999998</v>
      </c>
      <c r="K2194" s="34">
        <f t="shared" si="68"/>
        <v>14390.849999999999</v>
      </c>
      <c r="L2194" s="34">
        <v>4.0199999999999996</v>
      </c>
      <c r="M2194" s="34">
        <v>195576.5</v>
      </c>
      <c r="N2194" s="34">
        <f t="shared" si="69"/>
        <v>13.604060913705583</v>
      </c>
    </row>
    <row r="2195" spans="1:14" x14ac:dyDescent="0.45">
      <c r="A2195" s="30">
        <v>2023</v>
      </c>
      <c r="B2195" s="30" t="s">
        <v>19</v>
      </c>
      <c r="C2195" s="30" t="s">
        <v>46</v>
      </c>
      <c r="D2195" s="30" t="s">
        <v>47</v>
      </c>
      <c r="E2195" s="31" t="s">
        <v>550</v>
      </c>
      <c r="F2195" s="32" t="s">
        <v>515</v>
      </c>
      <c r="G2195" s="32" t="s">
        <v>50</v>
      </c>
      <c r="H2195" s="33">
        <v>4530</v>
      </c>
      <c r="I2195" s="34">
        <f>Table3[[#This Row],[Volume, kg.]]/1000</f>
        <v>4.53</v>
      </c>
      <c r="J2195" s="34">
        <v>0.24249999999999999</v>
      </c>
      <c r="K2195" s="34">
        <f t="shared" si="68"/>
        <v>1098.5249999999999</v>
      </c>
      <c r="L2195" s="34">
        <v>3.8</v>
      </c>
      <c r="M2195" s="34">
        <v>17214</v>
      </c>
      <c r="N2195" s="34">
        <f t="shared" si="69"/>
        <v>15.670103092783505</v>
      </c>
    </row>
    <row r="2196" spans="1:14" x14ac:dyDescent="0.45">
      <c r="A2196" s="30">
        <v>2023</v>
      </c>
      <c r="B2196" s="30" t="s">
        <v>19</v>
      </c>
      <c r="C2196" s="30" t="s">
        <v>46</v>
      </c>
      <c r="D2196" s="30" t="s">
        <v>47</v>
      </c>
      <c r="E2196" s="31" t="s">
        <v>426</v>
      </c>
      <c r="F2196" s="32" t="s">
        <v>49</v>
      </c>
      <c r="G2196" s="32" t="s">
        <v>50</v>
      </c>
      <c r="H2196" s="33">
        <v>11190</v>
      </c>
      <c r="I2196" s="34">
        <f>Table3[[#This Row],[Volume, kg.]]/1000</f>
        <v>11.19</v>
      </c>
      <c r="J2196" s="34">
        <v>0.28839999999999999</v>
      </c>
      <c r="K2196" s="34">
        <f t="shared" si="68"/>
        <v>3227.1959999999999</v>
      </c>
      <c r="L2196" s="34">
        <v>3.94</v>
      </c>
      <c r="M2196" s="34">
        <v>44046</v>
      </c>
      <c r="N2196" s="34">
        <f t="shared" si="69"/>
        <v>13.661581137309293</v>
      </c>
    </row>
    <row r="2197" spans="1:14" x14ac:dyDescent="0.45">
      <c r="A2197" s="30">
        <v>2023</v>
      </c>
      <c r="B2197" s="30" t="s">
        <v>19</v>
      </c>
      <c r="C2197" s="30" t="s">
        <v>46</v>
      </c>
      <c r="D2197" s="30" t="s">
        <v>47</v>
      </c>
      <c r="E2197" s="31" t="s">
        <v>84</v>
      </c>
      <c r="F2197" s="32" t="s">
        <v>57</v>
      </c>
      <c r="G2197" s="32" t="s">
        <v>50</v>
      </c>
      <c r="H2197" s="33">
        <v>23770</v>
      </c>
      <c r="I2197" s="34">
        <f>Table3[[#This Row],[Volume, kg.]]/1000</f>
        <v>23.77</v>
      </c>
      <c r="J2197" s="34">
        <v>0.28949999999999998</v>
      </c>
      <c r="K2197" s="34">
        <f t="shared" si="68"/>
        <v>6881.415</v>
      </c>
      <c r="L2197" s="34">
        <v>3.95</v>
      </c>
      <c r="M2197" s="34">
        <v>93801.5</v>
      </c>
      <c r="N2197" s="34">
        <f t="shared" si="69"/>
        <v>13.644214162348879</v>
      </c>
    </row>
    <row r="2198" spans="1:14" x14ac:dyDescent="0.45">
      <c r="A2198" s="30">
        <v>2023</v>
      </c>
      <c r="B2198" s="30" t="s">
        <v>19</v>
      </c>
      <c r="C2198" s="30" t="s">
        <v>46</v>
      </c>
      <c r="D2198" s="30" t="s">
        <v>47</v>
      </c>
      <c r="E2198" s="31" t="s">
        <v>86</v>
      </c>
      <c r="F2198" s="32" t="s">
        <v>49</v>
      </c>
      <c r="G2198" s="32" t="s">
        <v>50</v>
      </c>
      <c r="H2198" s="33">
        <v>57140</v>
      </c>
      <c r="I2198" s="34">
        <f>Table3[[#This Row],[Volume, kg.]]/1000</f>
        <v>57.14</v>
      </c>
      <c r="J2198" s="34">
        <v>0.27390000000000003</v>
      </c>
      <c r="K2198" s="34">
        <f t="shared" si="68"/>
        <v>15650.646000000002</v>
      </c>
      <c r="L2198" s="34">
        <v>3.87</v>
      </c>
      <c r="M2198" s="34">
        <v>220853</v>
      </c>
      <c r="N2198" s="34">
        <f t="shared" si="69"/>
        <v>14.129244249726176</v>
      </c>
    </row>
    <row r="2199" spans="1:14" x14ac:dyDescent="0.45">
      <c r="A2199" s="30">
        <v>2023</v>
      </c>
      <c r="B2199" s="30" t="s">
        <v>19</v>
      </c>
      <c r="C2199" s="30" t="s">
        <v>46</v>
      </c>
      <c r="D2199" s="30" t="s">
        <v>47</v>
      </c>
      <c r="E2199" s="31" t="s">
        <v>87</v>
      </c>
      <c r="F2199" s="32" t="s">
        <v>49</v>
      </c>
      <c r="G2199" s="32" t="s">
        <v>50</v>
      </c>
      <c r="H2199" s="33">
        <v>4000</v>
      </c>
      <c r="I2199" s="34">
        <f>Table3[[#This Row],[Volume, kg.]]/1000</f>
        <v>4</v>
      </c>
      <c r="J2199" s="34">
        <v>0.25700000000000001</v>
      </c>
      <c r="K2199" s="34">
        <f t="shared" si="68"/>
        <v>1028</v>
      </c>
      <c r="L2199" s="34">
        <v>3.8</v>
      </c>
      <c r="M2199" s="34">
        <v>15200</v>
      </c>
      <c r="N2199" s="34">
        <f t="shared" si="69"/>
        <v>14.785992217898832</v>
      </c>
    </row>
    <row r="2200" spans="1:14" x14ac:dyDescent="0.45">
      <c r="A2200" s="30">
        <v>2023</v>
      </c>
      <c r="B2200" s="30" t="s">
        <v>19</v>
      </c>
      <c r="C2200" s="30" t="s">
        <v>46</v>
      </c>
      <c r="D2200" s="30" t="s">
        <v>47</v>
      </c>
      <c r="E2200" s="31" t="s">
        <v>88</v>
      </c>
      <c r="F2200" s="32" t="s">
        <v>49</v>
      </c>
      <c r="G2200" s="32" t="s">
        <v>50</v>
      </c>
      <c r="H2200" s="33">
        <v>76470</v>
      </c>
      <c r="I2200" s="34">
        <f>Table3[[#This Row],[Volume, kg.]]/1000</f>
        <v>76.47</v>
      </c>
      <c r="J2200" s="34">
        <v>0.26989999999999997</v>
      </c>
      <c r="K2200" s="34">
        <f t="shared" si="68"/>
        <v>20639.252999999997</v>
      </c>
      <c r="L2200" s="34">
        <v>3.83</v>
      </c>
      <c r="M2200" s="34">
        <v>292525</v>
      </c>
      <c r="N2200" s="34">
        <f t="shared" si="69"/>
        <v>14.190440904038535</v>
      </c>
    </row>
    <row r="2201" spans="1:14" x14ac:dyDescent="0.45">
      <c r="A2201" s="30">
        <v>2023</v>
      </c>
      <c r="B2201" s="30" t="s">
        <v>19</v>
      </c>
      <c r="C2201" s="30" t="s">
        <v>46</v>
      </c>
      <c r="D2201" s="30" t="s">
        <v>47</v>
      </c>
      <c r="E2201" s="31" t="s">
        <v>90</v>
      </c>
      <c r="F2201" s="32" t="s">
        <v>49</v>
      </c>
      <c r="G2201" s="32" t="s">
        <v>50</v>
      </c>
      <c r="H2201" s="33">
        <v>11780</v>
      </c>
      <c r="I2201" s="34">
        <f>Table3[[#This Row],[Volume, kg.]]/1000</f>
        <v>11.78</v>
      </c>
      <c r="J2201" s="34">
        <v>0.30149999999999999</v>
      </c>
      <c r="K2201" s="34">
        <f t="shared" si="68"/>
        <v>3551.67</v>
      </c>
      <c r="L2201" s="34">
        <v>4.05</v>
      </c>
      <c r="M2201" s="34">
        <v>47709</v>
      </c>
      <c r="N2201" s="34">
        <f t="shared" si="69"/>
        <v>13.432835820895523</v>
      </c>
    </row>
    <row r="2202" spans="1:14" x14ac:dyDescent="0.45">
      <c r="A2202" s="30">
        <v>2023</v>
      </c>
      <c r="B2202" s="30" t="s">
        <v>19</v>
      </c>
      <c r="C2202" s="30" t="s">
        <v>46</v>
      </c>
      <c r="D2202" s="30" t="s">
        <v>47</v>
      </c>
      <c r="E2202" s="31" t="s">
        <v>91</v>
      </c>
      <c r="F2202" s="32" t="s">
        <v>60</v>
      </c>
      <c r="G2202" s="32" t="s">
        <v>50</v>
      </c>
      <c r="H2202" s="33">
        <v>19840</v>
      </c>
      <c r="I2202" s="34">
        <f>Table3[[#This Row],[Volume, kg.]]/1000</f>
        <v>19.84</v>
      </c>
      <c r="J2202" s="34">
        <v>0.28300000000000003</v>
      </c>
      <c r="K2202" s="34">
        <f t="shared" si="68"/>
        <v>5614.72</v>
      </c>
      <c r="L2202" s="34">
        <v>3.93</v>
      </c>
      <c r="M2202" s="34">
        <v>77979</v>
      </c>
      <c r="N2202" s="34">
        <f t="shared" si="69"/>
        <v>13.886925795053003</v>
      </c>
    </row>
    <row r="2203" spans="1:14" x14ac:dyDescent="0.45">
      <c r="A2203" s="30">
        <v>2023</v>
      </c>
      <c r="B2203" s="30" t="s">
        <v>19</v>
      </c>
      <c r="C2203" s="30" t="s">
        <v>46</v>
      </c>
      <c r="D2203" s="30" t="s">
        <v>47</v>
      </c>
      <c r="E2203" s="31" t="s">
        <v>510</v>
      </c>
      <c r="F2203" s="32" t="s">
        <v>49</v>
      </c>
      <c r="G2203" s="32" t="s">
        <v>50</v>
      </c>
      <c r="H2203" s="33">
        <v>11690</v>
      </c>
      <c r="I2203" s="34">
        <f>Table3[[#This Row],[Volume, kg.]]/1000</f>
        <v>11.69</v>
      </c>
      <c r="J2203" s="34">
        <v>0.27510000000000001</v>
      </c>
      <c r="K2203" s="34">
        <f t="shared" si="68"/>
        <v>3215.9190000000003</v>
      </c>
      <c r="L2203" s="34">
        <v>3.89</v>
      </c>
      <c r="M2203" s="34">
        <v>45451.5</v>
      </c>
      <c r="N2203" s="34">
        <f t="shared" si="69"/>
        <v>14.140312613595055</v>
      </c>
    </row>
    <row r="2204" spans="1:14" x14ac:dyDescent="0.45">
      <c r="A2204" s="30">
        <v>2023</v>
      </c>
      <c r="B2204" s="30" t="s">
        <v>19</v>
      </c>
      <c r="C2204" s="30" t="s">
        <v>46</v>
      </c>
      <c r="D2204" s="30" t="s">
        <v>47</v>
      </c>
      <c r="E2204" s="31" t="s">
        <v>275</v>
      </c>
      <c r="F2204" s="32" t="s">
        <v>54</v>
      </c>
      <c r="G2204" s="32" t="s">
        <v>50</v>
      </c>
      <c r="H2204" s="33">
        <v>81030</v>
      </c>
      <c r="I2204" s="34">
        <f>Table3[[#This Row],[Volume, kg.]]/1000</f>
        <v>81.03</v>
      </c>
      <c r="J2204" s="34">
        <v>0.30469999999999997</v>
      </c>
      <c r="K2204" s="34">
        <f t="shared" si="68"/>
        <v>24689.840999999997</v>
      </c>
      <c r="L2204" s="34">
        <v>4.07</v>
      </c>
      <c r="M2204" s="34">
        <v>330037</v>
      </c>
      <c r="N2204" s="34">
        <f t="shared" si="69"/>
        <v>13.357400722021662</v>
      </c>
    </row>
    <row r="2205" spans="1:14" x14ac:dyDescent="0.45">
      <c r="A2205" s="30">
        <v>2023</v>
      </c>
      <c r="B2205" s="30" t="s">
        <v>19</v>
      </c>
      <c r="C2205" s="30" t="s">
        <v>46</v>
      </c>
      <c r="D2205" s="30" t="s">
        <v>47</v>
      </c>
      <c r="E2205" s="31" t="s">
        <v>94</v>
      </c>
      <c r="F2205" s="32" t="s">
        <v>64</v>
      </c>
      <c r="G2205" s="32" t="s">
        <v>50</v>
      </c>
      <c r="H2205" s="33">
        <v>45430</v>
      </c>
      <c r="I2205" s="34">
        <f>Table3[[#This Row],[Volume, kg.]]/1000</f>
        <v>45.43</v>
      </c>
      <c r="J2205" s="34">
        <v>0.28029999999999999</v>
      </c>
      <c r="K2205" s="34">
        <f t="shared" si="68"/>
        <v>12734.029</v>
      </c>
      <c r="L2205" s="34">
        <v>3.91</v>
      </c>
      <c r="M2205" s="34">
        <v>177683.5</v>
      </c>
      <c r="N2205" s="34">
        <f t="shared" si="69"/>
        <v>13.949339992864788</v>
      </c>
    </row>
    <row r="2206" spans="1:14" x14ac:dyDescent="0.45">
      <c r="A2206" s="30">
        <v>2023</v>
      </c>
      <c r="B2206" s="30" t="s">
        <v>19</v>
      </c>
      <c r="C2206" s="30" t="s">
        <v>46</v>
      </c>
      <c r="D2206" s="30" t="s">
        <v>47</v>
      </c>
      <c r="E2206" s="31" t="s">
        <v>95</v>
      </c>
      <c r="F2206" s="32" t="s">
        <v>49</v>
      </c>
      <c r="G2206" s="32" t="s">
        <v>50</v>
      </c>
      <c r="H2206" s="33">
        <v>14470</v>
      </c>
      <c r="I2206" s="34">
        <f>Table3[[#This Row],[Volume, kg.]]/1000</f>
        <v>14.47</v>
      </c>
      <c r="J2206" s="34">
        <v>0.29089999999999999</v>
      </c>
      <c r="K2206" s="34">
        <f t="shared" si="68"/>
        <v>4209.3230000000003</v>
      </c>
      <c r="L2206" s="34">
        <v>3.96</v>
      </c>
      <c r="M2206" s="34">
        <v>57253.5</v>
      </c>
      <c r="N2206" s="34">
        <f t="shared" si="69"/>
        <v>13.612925403918872</v>
      </c>
    </row>
    <row r="2207" spans="1:14" x14ac:dyDescent="0.45">
      <c r="A2207" s="30">
        <v>2023</v>
      </c>
      <c r="B2207" s="30" t="s">
        <v>19</v>
      </c>
      <c r="C2207" s="30" t="s">
        <v>46</v>
      </c>
      <c r="D2207" s="30" t="s">
        <v>47</v>
      </c>
      <c r="E2207" s="31" t="s">
        <v>96</v>
      </c>
      <c r="F2207" s="32" t="s">
        <v>49</v>
      </c>
      <c r="G2207" s="32" t="s">
        <v>50</v>
      </c>
      <c r="H2207" s="33">
        <v>38650</v>
      </c>
      <c r="I2207" s="34">
        <f>Table3[[#This Row],[Volume, kg.]]/1000</f>
        <v>38.65</v>
      </c>
      <c r="J2207" s="34">
        <v>0.28089999999999998</v>
      </c>
      <c r="K2207" s="34">
        <f t="shared" si="68"/>
        <v>10856.785</v>
      </c>
      <c r="L2207" s="34">
        <v>3.95</v>
      </c>
      <c r="M2207" s="34">
        <v>152691.5</v>
      </c>
      <c r="N2207" s="34">
        <f t="shared" si="69"/>
        <v>14.061943752224993</v>
      </c>
    </row>
    <row r="2208" spans="1:14" x14ac:dyDescent="0.45">
      <c r="A2208" s="30">
        <v>2023</v>
      </c>
      <c r="B2208" s="30" t="s">
        <v>19</v>
      </c>
      <c r="C2208" s="30" t="s">
        <v>46</v>
      </c>
      <c r="D2208" s="30" t="s">
        <v>47</v>
      </c>
      <c r="E2208" s="31" t="s">
        <v>97</v>
      </c>
      <c r="F2208" s="32" t="s">
        <v>49</v>
      </c>
      <c r="G2208" s="32" t="s">
        <v>50</v>
      </c>
      <c r="H2208" s="33">
        <v>40190</v>
      </c>
      <c r="I2208" s="34">
        <f>Table3[[#This Row],[Volume, kg.]]/1000</f>
        <v>40.19</v>
      </c>
      <c r="J2208" s="34">
        <v>0.27410000000000001</v>
      </c>
      <c r="K2208" s="34">
        <f t="shared" si="68"/>
        <v>11016.079</v>
      </c>
      <c r="L2208" s="34">
        <v>3.89</v>
      </c>
      <c r="M2208" s="34">
        <v>156396.5</v>
      </c>
      <c r="N2208" s="34">
        <f t="shared" si="69"/>
        <v>14.191900766143743</v>
      </c>
    </row>
    <row r="2209" spans="1:14" x14ac:dyDescent="0.45">
      <c r="A2209" s="30">
        <v>2023</v>
      </c>
      <c r="B2209" s="30" t="s">
        <v>19</v>
      </c>
      <c r="C2209" s="30" t="s">
        <v>46</v>
      </c>
      <c r="D2209" s="30" t="s">
        <v>47</v>
      </c>
      <c r="E2209" s="31" t="s">
        <v>98</v>
      </c>
      <c r="F2209" s="32" t="s">
        <v>49</v>
      </c>
      <c r="G2209" s="32" t="s">
        <v>50</v>
      </c>
      <c r="H2209" s="33">
        <v>36090</v>
      </c>
      <c r="I2209" s="34">
        <f>Table3[[#This Row],[Volume, kg.]]/1000</f>
        <v>36.090000000000003</v>
      </c>
      <c r="J2209" s="34">
        <v>0.2742</v>
      </c>
      <c r="K2209" s="34">
        <f t="shared" si="68"/>
        <v>9895.8780000000006</v>
      </c>
      <c r="L2209" s="34">
        <v>3.98</v>
      </c>
      <c r="M2209" s="34">
        <v>143464</v>
      </c>
      <c r="N2209" s="34">
        <f t="shared" si="69"/>
        <v>14.514952589350839</v>
      </c>
    </row>
    <row r="2210" spans="1:14" x14ac:dyDescent="0.45">
      <c r="A2210" s="30">
        <v>2023</v>
      </c>
      <c r="B2210" s="30" t="s">
        <v>19</v>
      </c>
      <c r="C2210" s="30" t="s">
        <v>46</v>
      </c>
      <c r="D2210" s="30" t="s">
        <v>47</v>
      </c>
      <c r="E2210" s="31" t="s">
        <v>99</v>
      </c>
      <c r="F2210" s="32" t="s">
        <v>49</v>
      </c>
      <c r="G2210" s="32" t="s">
        <v>50</v>
      </c>
      <c r="H2210" s="33">
        <v>17820</v>
      </c>
      <c r="I2210" s="34">
        <f>Table3[[#This Row],[Volume, kg.]]/1000</f>
        <v>17.82</v>
      </c>
      <c r="J2210" s="34">
        <v>0.22320000000000001</v>
      </c>
      <c r="K2210" s="34">
        <f t="shared" si="68"/>
        <v>3977.424</v>
      </c>
      <c r="L2210" s="34">
        <v>3.68</v>
      </c>
      <c r="M2210" s="34">
        <v>65505.5</v>
      </c>
      <c r="N2210" s="34">
        <f t="shared" si="69"/>
        <v>16.487455197132615</v>
      </c>
    </row>
    <row r="2211" spans="1:14" x14ac:dyDescent="0.45">
      <c r="A2211" s="30">
        <v>2023</v>
      </c>
      <c r="B2211" s="30" t="s">
        <v>19</v>
      </c>
      <c r="C2211" s="30" t="s">
        <v>46</v>
      </c>
      <c r="D2211" s="30" t="s">
        <v>102</v>
      </c>
      <c r="E2211" s="31" t="s">
        <v>103</v>
      </c>
      <c r="F2211" s="32" t="s">
        <v>104</v>
      </c>
      <c r="G2211" s="32" t="s">
        <v>105</v>
      </c>
      <c r="H2211" s="33">
        <v>1495210</v>
      </c>
      <c r="I2211" s="34">
        <f>Table3[[#This Row],[Volume, kg.]]/1000</f>
        <v>1495.21</v>
      </c>
      <c r="J2211" s="34">
        <v>0.25489999999999996</v>
      </c>
      <c r="K2211" s="34">
        <f t="shared" si="68"/>
        <v>381129.02899999992</v>
      </c>
      <c r="L2211" s="34">
        <v>3.82</v>
      </c>
      <c r="M2211" s="34">
        <v>5715928.5</v>
      </c>
      <c r="N2211" s="34">
        <f t="shared" si="69"/>
        <v>14.986269125147118</v>
      </c>
    </row>
    <row r="2212" spans="1:14" x14ac:dyDescent="0.45">
      <c r="A2212" s="30">
        <v>2023</v>
      </c>
      <c r="B2212" s="30" t="s">
        <v>19</v>
      </c>
      <c r="C2212" s="30" t="s">
        <v>46</v>
      </c>
      <c r="D2212" s="30" t="s">
        <v>102</v>
      </c>
      <c r="E2212" s="31" t="s">
        <v>106</v>
      </c>
      <c r="F2212" s="32" t="s">
        <v>107</v>
      </c>
      <c r="G2212" s="32" t="s">
        <v>108</v>
      </c>
      <c r="H2212" s="33">
        <v>44610</v>
      </c>
      <c r="I2212" s="34">
        <f>Table3[[#This Row],[Volume, kg.]]/1000</f>
        <v>44.61</v>
      </c>
      <c r="J2212" s="34">
        <v>0.24850000000000003</v>
      </c>
      <c r="K2212" s="34">
        <f t="shared" si="68"/>
        <v>11085.585000000001</v>
      </c>
      <c r="L2212" s="34">
        <v>3.7</v>
      </c>
      <c r="M2212" s="34">
        <v>165057</v>
      </c>
      <c r="N2212" s="34">
        <f t="shared" si="69"/>
        <v>14.889336016096578</v>
      </c>
    </row>
    <row r="2213" spans="1:14" x14ac:dyDescent="0.45">
      <c r="A2213" s="30">
        <v>2023</v>
      </c>
      <c r="B2213" s="30" t="s">
        <v>19</v>
      </c>
      <c r="C2213" s="30" t="s">
        <v>46</v>
      </c>
      <c r="D2213" s="30" t="s">
        <v>47</v>
      </c>
      <c r="E2213" s="31" t="s">
        <v>109</v>
      </c>
      <c r="F2213" s="32" t="s">
        <v>60</v>
      </c>
      <c r="G2213" s="32" t="s">
        <v>50</v>
      </c>
      <c r="H2213" s="33">
        <v>2120</v>
      </c>
      <c r="I2213" s="34">
        <f>Table3[[#This Row],[Volume, kg.]]/1000</f>
        <v>2.12</v>
      </c>
      <c r="J2213" s="34">
        <v>0.27750000000000002</v>
      </c>
      <c r="K2213" s="34">
        <f t="shared" si="68"/>
        <v>588.30000000000007</v>
      </c>
      <c r="L2213" s="34">
        <v>4</v>
      </c>
      <c r="M2213" s="34">
        <v>8480</v>
      </c>
      <c r="N2213" s="34">
        <f t="shared" si="69"/>
        <v>14.414414414414413</v>
      </c>
    </row>
    <row r="2214" spans="1:14" x14ac:dyDescent="0.45">
      <c r="A2214" s="30">
        <v>2023</v>
      </c>
      <c r="B2214" s="30" t="s">
        <v>19</v>
      </c>
      <c r="C2214" s="30" t="s">
        <v>46</v>
      </c>
      <c r="D2214" s="30" t="s">
        <v>47</v>
      </c>
      <c r="E2214" s="31" t="s">
        <v>277</v>
      </c>
      <c r="F2214" s="32" t="s">
        <v>60</v>
      </c>
      <c r="G2214" s="32" t="s">
        <v>50</v>
      </c>
      <c r="H2214" s="33">
        <v>28490</v>
      </c>
      <c r="I2214" s="34">
        <f>Table3[[#This Row],[Volume, kg.]]/1000</f>
        <v>28.49</v>
      </c>
      <c r="J2214" s="34">
        <v>0.25659999999999999</v>
      </c>
      <c r="K2214" s="34">
        <f t="shared" si="68"/>
        <v>7310.5339999999997</v>
      </c>
      <c r="L2214" s="34">
        <v>3.82</v>
      </c>
      <c r="M2214" s="34">
        <v>108895</v>
      </c>
      <c r="N2214" s="34">
        <f t="shared" si="69"/>
        <v>14.886983632112237</v>
      </c>
    </row>
    <row r="2215" spans="1:14" x14ac:dyDescent="0.45">
      <c r="A2215" s="30">
        <v>2023</v>
      </c>
      <c r="B2215" s="30" t="s">
        <v>19</v>
      </c>
      <c r="C2215" s="30" t="s">
        <v>46</v>
      </c>
      <c r="D2215" s="30" t="s">
        <v>47</v>
      </c>
      <c r="E2215" s="31" t="s">
        <v>111</v>
      </c>
      <c r="F2215" s="32" t="s">
        <v>60</v>
      </c>
      <c r="G2215" s="32" t="s">
        <v>50</v>
      </c>
      <c r="H2215" s="33">
        <v>43530</v>
      </c>
      <c r="I2215" s="34">
        <f>Table3[[#This Row],[Volume, kg.]]/1000</f>
        <v>43.53</v>
      </c>
      <c r="J2215" s="34">
        <v>0.30030000000000001</v>
      </c>
      <c r="K2215" s="34">
        <f t="shared" si="68"/>
        <v>13072.059000000001</v>
      </c>
      <c r="L2215" s="34">
        <v>4.05</v>
      </c>
      <c r="M2215" s="34">
        <v>176361</v>
      </c>
      <c r="N2215" s="34">
        <f t="shared" si="69"/>
        <v>13.486513486513486</v>
      </c>
    </row>
    <row r="2216" spans="1:14" x14ac:dyDescent="0.45">
      <c r="A2216" s="30">
        <v>2023</v>
      </c>
      <c r="B2216" s="30" t="s">
        <v>19</v>
      </c>
      <c r="C2216" s="30" t="s">
        <v>46</v>
      </c>
      <c r="D2216" s="30" t="s">
        <v>47</v>
      </c>
      <c r="E2216" s="31" t="s">
        <v>342</v>
      </c>
      <c r="F2216" s="32" t="s">
        <v>81</v>
      </c>
      <c r="G2216" s="32" t="s">
        <v>50</v>
      </c>
      <c r="H2216" s="33">
        <v>29010</v>
      </c>
      <c r="I2216" s="34">
        <f>Table3[[#This Row],[Volume, kg.]]/1000</f>
        <v>29.01</v>
      </c>
      <c r="J2216" s="34">
        <v>0.26140000000000002</v>
      </c>
      <c r="K2216" s="34">
        <f t="shared" si="68"/>
        <v>7583.2140000000009</v>
      </c>
      <c r="L2216" s="34">
        <v>3.75</v>
      </c>
      <c r="M2216" s="34">
        <v>108864</v>
      </c>
      <c r="N2216" s="34">
        <f t="shared" si="69"/>
        <v>14.345830145371078</v>
      </c>
    </row>
    <row r="2217" spans="1:14" x14ac:dyDescent="0.45">
      <c r="A2217" s="30">
        <v>2023</v>
      </c>
      <c r="B2217" s="30" t="s">
        <v>19</v>
      </c>
      <c r="C2217" s="30" t="s">
        <v>46</v>
      </c>
      <c r="D2217" s="30" t="s">
        <v>47</v>
      </c>
      <c r="E2217" s="31" t="s">
        <v>572</v>
      </c>
      <c r="F2217" s="32" t="s">
        <v>64</v>
      </c>
      <c r="G2217" s="32" t="s">
        <v>50</v>
      </c>
      <c r="H2217" s="33">
        <v>192740</v>
      </c>
      <c r="I2217" s="34">
        <f>Table3[[#This Row],[Volume, kg.]]/1000</f>
        <v>192.74</v>
      </c>
      <c r="J2217" s="34">
        <v>0.26869999999999999</v>
      </c>
      <c r="K2217" s="34">
        <f t="shared" si="68"/>
        <v>51789.237999999998</v>
      </c>
      <c r="L2217" s="34">
        <v>3.85</v>
      </c>
      <c r="M2217" s="34">
        <v>741122</v>
      </c>
      <c r="N2217" s="34">
        <f t="shared" si="69"/>
        <v>14.328247115742464</v>
      </c>
    </row>
    <row r="2218" spans="1:14" x14ac:dyDescent="0.45">
      <c r="A2218" s="30">
        <v>2023</v>
      </c>
      <c r="B2218" s="30" t="s">
        <v>19</v>
      </c>
      <c r="C2218" s="30" t="s">
        <v>46</v>
      </c>
      <c r="D2218" s="30" t="s">
        <v>47</v>
      </c>
      <c r="E2218" s="31" t="s">
        <v>116</v>
      </c>
      <c r="F2218" s="32" t="s">
        <v>81</v>
      </c>
      <c r="G2218" s="32" t="s">
        <v>50</v>
      </c>
      <c r="H2218" s="33">
        <v>106200</v>
      </c>
      <c r="I2218" s="34">
        <f>Table3[[#This Row],[Volume, kg.]]/1000</f>
        <v>106.2</v>
      </c>
      <c r="J2218" s="34">
        <v>0.29510000000000003</v>
      </c>
      <c r="K2218" s="34">
        <f t="shared" si="68"/>
        <v>31339.620000000003</v>
      </c>
      <c r="L2218" s="34">
        <v>4.01</v>
      </c>
      <c r="M2218" s="34">
        <v>425378.5</v>
      </c>
      <c r="N2218" s="34">
        <f t="shared" si="69"/>
        <v>13.588614029142661</v>
      </c>
    </row>
    <row r="2219" spans="1:14" x14ac:dyDescent="0.45">
      <c r="A2219" s="30">
        <v>2023</v>
      </c>
      <c r="B2219" s="30" t="s">
        <v>19</v>
      </c>
      <c r="C2219" s="30" t="s">
        <v>46</v>
      </c>
      <c r="D2219" s="30" t="s">
        <v>47</v>
      </c>
      <c r="E2219" s="31" t="s">
        <v>551</v>
      </c>
      <c r="F2219" s="32" t="s">
        <v>54</v>
      </c>
      <c r="G2219" s="32" t="s">
        <v>50</v>
      </c>
      <c r="H2219" s="33">
        <v>52500</v>
      </c>
      <c r="I2219" s="34">
        <f>Table3[[#This Row],[Volume, kg.]]/1000</f>
        <v>52.5</v>
      </c>
      <c r="J2219" s="34">
        <v>0.31159999999999999</v>
      </c>
      <c r="K2219" s="34">
        <f t="shared" si="68"/>
        <v>16359</v>
      </c>
      <c r="L2219" s="34">
        <v>4.13</v>
      </c>
      <c r="M2219" s="34">
        <v>217060.5</v>
      </c>
      <c r="N2219" s="34">
        <f t="shared" si="69"/>
        <v>13.254172015404365</v>
      </c>
    </row>
    <row r="2220" spans="1:14" x14ac:dyDescent="0.45">
      <c r="A2220" s="30">
        <v>2023</v>
      </c>
      <c r="B2220" s="30" t="s">
        <v>19</v>
      </c>
      <c r="C2220" s="30" t="s">
        <v>46</v>
      </c>
      <c r="D2220" s="30" t="s">
        <v>47</v>
      </c>
      <c r="E2220" s="31" t="s">
        <v>122</v>
      </c>
      <c r="F2220" s="32" t="s">
        <v>49</v>
      </c>
      <c r="G2220" s="32" t="s">
        <v>50</v>
      </c>
      <c r="H2220" s="33">
        <v>11960</v>
      </c>
      <c r="I2220" s="34">
        <f>Table3[[#This Row],[Volume, kg.]]/1000</f>
        <v>11.96</v>
      </c>
      <c r="J2220" s="34">
        <v>0.28089999999999998</v>
      </c>
      <c r="K2220" s="34">
        <f t="shared" si="68"/>
        <v>3359.5639999999999</v>
      </c>
      <c r="L2220" s="34">
        <v>3.91</v>
      </c>
      <c r="M2220" s="34">
        <v>46779</v>
      </c>
      <c r="N2220" s="34">
        <f t="shared" si="69"/>
        <v>13.919544321822714</v>
      </c>
    </row>
    <row r="2221" spans="1:14" x14ac:dyDescent="0.45">
      <c r="A2221" s="30">
        <v>2023</v>
      </c>
      <c r="B2221" s="30" t="s">
        <v>19</v>
      </c>
      <c r="C2221" s="30" t="s">
        <v>46</v>
      </c>
      <c r="D2221" s="30" t="s">
        <v>47</v>
      </c>
      <c r="E2221" s="31" t="s">
        <v>537</v>
      </c>
      <c r="F2221" s="32" t="s">
        <v>49</v>
      </c>
      <c r="G2221" s="32" t="s">
        <v>50</v>
      </c>
      <c r="H2221" s="33">
        <v>11810</v>
      </c>
      <c r="I2221" s="34">
        <f>Table3[[#This Row],[Volume, kg.]]/1000</f>
        <v>11.81</v>
      </c>
      <c r="J2221" s="34">
        <v>0.24840000000000001</v>
      </c>
      <c r="K2221" s="34">
        <f t="shared" si="68"/>
        <v>2933.6040000000003</v>
      </c>
      <c r="L2221" s="34">
        <v>3.8</v>
      </c>
      <c r="M2221" s="34">
        <v>44864.5</v>
      </c>
      <c r="N2221" s="34">
        <f t="shared" si="69"/>
        <v>15.297906602254427</v>
      </c>
    </row>
    <row r="2222" spans="1:14" x14ac:dyDescent="0.45">
      <c r="A2222" s="30">
        <v>2023</v>
      </c>
      <c r="B2222" s="30" t="s">
        <v>19</v>
      </c>
      <c r="C2222" s="30" t="s">
        <v>46</v>
      </c>
      <c r="D2222" s="30" t="s">
        <v>47</v>
      </c>
      <c r="E2222" s="31" t="s">
        <v>125</v>
      </c>
      <c r="F2222" s="32" t="s">
        <v>60</v>
      </c>
      <c r="G2222" s="32" t="s">
        <v>50</v>
      </c>
      <c r="H2222" s="33">
        <v>5840</v>
      </c>
      <c r="I2222" s="34">
        <f>Table3[[#This Row],[Volume, kg.]]/1000</f>
        <v>5.84</v>
      </c>
      <c r="J2222" s="34">
        <v>0.23430000000000001</v>
      </c>
      <c r="K2222" s="34">
        <f t="shared" si="68"/>
        <v>1368.3120000000001</v>
      </c>
      <c r="L2222" s="34">
        <v>3.7</v>
      </c>
      <c r="M2222" s="34">
        <v>21608</v>
      </c>
      <c r="N2222" s="34">
        <f t="shared" si="69"/>
        <v>15.79172001707213</v>
      </c>
    </row>
    <row r="2223" spans="1:14" x14ac:dyDescent="0.45">
      <c r="A2223" s="30">
        <v>2023</v>
      </c>
      <c r="B2223" s="30" t="s">
        <v>19</v>
      </c>
      <c r="C2223" s="30" t="s">
        <v>46</v>
      </c>
      <c r="D2223" s="30" t="s">
        <v>47</v>
      </c>
      <c r="E2223" s="31" t="s">
        <v>343</v>
      </c>
      <c r="F2223" s="32" t="s">
        <v>49</v>
      </c>
      <c r="G2223" s="32" t="s">
        <v>50</v>
      </c>
      <c r="H2223" s="33">
        <v>11250</v>
      </c>
      <c r="I2223" s="34">
        <f>Table3[[#This Row],[Volume, kg.]]/1000</f>
        <v>11.25</v>
      </c>
      <c r="J2223" s="34">
        <v>0.25159999999999999</v>
      </c>
      <c r="K2223" s="34">
        <f t="shared" si="68"/>
        <v>2830.5</v>
      </c>
      <c r="L2223" s="34">
        <v>3.78</v>
      </c>
      <c r="M2223" s="34">
        <v>42479</v>
      </c>
      <c r="N2223" s="34">
        <f t="shared" si="69"/>
        <v>15.023847376788552</v>
      </c>
    </row>
    <row r="2224" spans="1:14" x14ac:dyDescent="0.45">
      <c r="A2224" s="30">
        <v>2023</v>
      </c>
      <c r="B2224" s="30" t="s">
        <v>19</v>
      </c>
      <c r="C2224" s="30" t="s">
        <v>46</v>
      </c>
      <c r="D2224" s="30" t="s">
        <v>47</v>
      </c>
      <c r="E2224" s="31" t="s">
        <v>129</v>
      </c>
      <c r="F2224" s="32" t="s">
        <v>57</v>
      </c>
      <c r="G2224" s="32" t="s">
        <v>50</v>
      </c>
      <c r="H2224" s="33">
        <v>13570</v>
      </c>
      <c r="I2224" s="34">
        <f>Table3[[#This Row],[Volume, kg.]]/1000</f>
        <v>13.57</v>
      </c>
      <c r="J2224" s="34">
        <v>0.30059999999999998</v>
      </c>
      <c r="K2224" s="34">
        <f t="shared" si="68"/>
        <v>4079.1419999999998</v>
      </c>
      <c r="L2224" s="34">
        <v>4.03</v>
      </c>
      <c r="M2224" s="34">
        <v>54685</v>
      </c>
      <c r="N2224" s="34">
        <f t="shared" si="69"/>
        <v>13.406520292747839</v>
      </c>
    </row>
    <row r="2225" spans="1:14" x14ac:dyDescent="0.45">
      <c r="A2225" s="30">
        <v>2023</v>
      </c>
      <c r="B2225" s="30" t="s">
        <v>19</v>
      </c>
      <c r="C2225" s="30" t="s">
        <v>46</v>
      </c>
      <c r="D2225" s="30" t="s">
        <v>47</v>
      </c>
      <c r="E2225" s="31" t="s">
        <v>403</v>
      </c>
      <c r="F2225" s="32" t="s">
        <v>60</v>
      </c>
      <c r="G2225" s="32" t="s">
        <v>50</v>
      </c>
      <c r="H2225" s="33">
        <v>12610</v>
      </c>
      <c r="I2225" s="34">
        <f>Table3[[#This Row],[Volume, kg.]]/1000</f>
        <v>12.61</v>
      </c>
      <c r="J2225" s="34">
        <v>0.28850000000000003</v>
      </c>
      <c r="K2225" s="34">
        <f t="shared" si="68"/>
        <v>3637.9850000000006</v>
      </c>
      <c r="L2225" s="34">
        <v>3.95</v>
      </c>
      <c r="M2225" s="34">
        <v>49809.5</v>
      </c>
      <c r="N2225" s="34">
        <f t="shared" si="69"/>
        <v>13.691507798960137</v>
      </c>
    </row>
    <row r="2226" spans="1:14" x14ac:dyDescent="0.45">
      <c r="A2226" s="30">
        <v>2023</v>
      </c>
      <c r="B2226" s="30" t="s">
        <v>19</v>
      </c>
      <c r="C2226" s="30" t="s">
        <v>46</v>
      </c>
      <c r="D2226" s="30" t="s">
        <v>47</v>
      </c>
      <c r="E2226" s="31" t="s">
        <v>130</v>
      </c>
      <c r="F2226" s="32" t="s">
        <v>64</v>
      </c>
      <c r="G2226" s="32" t="s">
        <v>50</v>
      </c>
      <c r="H2226" s="33">
        <v>74680</v>
      </c>
      <c r="I2226" s="34">
        <f>Table3[[#This Row],[Volume, kg.]]/1000</f>
        <v>74.680000000000007</v>
      </c>
      <c r="J2226" s="34">
        <v>0.26069999999999999</v>
      </c>
      <c r="K2226" s="34">
        <f t="shared" si="68"/>
        <v>19469.075999999997</v>
      </c>
      <c r="L2226" s="34">
        <v>3.82</v>
      </c>
      <c r="M2226" s="34">
        <v>285466</v>
      </c>
      <c r="N2226" s="34">
        <f t="shared" si="69"/>
        <v>14.652857690832375</v>
      </c>
    </row>
    <row r="2227" spans="1:14" x14ac:dyDescent="0.45">
      <c r="A2227" s="30">
        <v>2023</v>
      </c>
      <c r="B2227" s="30" t="s">
        <v>19</v>
      </c>
      <c r="C2227" s="30" t="s">
        <v>46</v>
      </c>
      <c r="D2227" s="30" t="s">
        <v>47</v>
      </c>
      <c r="E2227" s="31" t="s">
        <v>133</v>
      </c>
      <c r="F2227" s="32" t="s">
        <v>134</v>
      </c>
      <c r="G2227" s="32" t="s">
        <v>50</v>
      </c>
      <c r="H2227" s="33">
        <v>13700</v>
      </c>
      <c r="I2227" s="34">
        <f>Table3[[#This Row],[Volume, kg.]]/1000</f>
        <v>13.7</v>
      </c>
      <c r="J2227" s="34">
        <v>0.249</v>
      </c>
      <c r="K2227" s="34">
        <f t="shared" si="68"/>
        <v>3411.3</v>
      </c>
      <c r="L2227" s="34">
        <v>3.85</v>
      </c>
      <c r="M2227" s="34">
        <v>52745</v>
      </c>
      <c r="N2227" s="34">
        <f t="shared" si="69"/>
        <v>15.461847389558233</v>
      </c>
    </row>
    <row r="2228" spans="1:14" x14ac:dyDescent="0.45">
      <c r="A2228" s="30">
        <v>2023</v>
      </c>
      <c r="B2228" s="30" t="s">
        <v>19</v>
      </c>
      <c r="C2228" s="30" t="s">
        <v>46</v>
      </c>
      <c r="D2228" s="30" t="s">
        <v>47</v>
      </c>
      <c r="E2228" s="31" t="s">
        <v>135</v>
      </c>
      <c r="F2228" s="32" t="s">
        <v>49</v>
      </c>
      <c r="G2228" s="32" t="s">
        <v>50</v>
      </c>
      <c r="H2228" s="33">
        <v>56630</v>
      </c>
      <c r="I2228" s="34">
        <f>Table3[[#This Row],[Volume, kg.]]/1000</f>
        <v>56.63</v>
      </c>
      <c r="J2228" s="34">
        <v>0.28470000000000001</v>
      </c>
      <c r="K2228" s="34">
        <f t="shared" si="68"/>
        <v>16122.561</v>
      </c>
      <c r="L2228" s="34">
        <v>3.94</v>
      </c>
      <c r="M2228" s="34">
        <v>222991.5</v>
      </c>
      <c r="N2228" s="34">
        <f t="shared" si="69"/>
        <v>13.839128907622058</v>
      </c>
    </row>
    <row r="2229" spans="1:14" x14ac:dyDescent="0.45">
      <c r="A2229" s="30">
        <v>2023</v>
      </c>
      <c r="B2229" s="30" t="s">
        <v>19</v>
      </c>
      <c r="C2229" s="30" t="s">
        <v>46</v>
      </c>
      <c r="D2229" s="30" t="s">
        <v>47</v>
      </c>
      <c r="E2229" s="31" t="s">
        <v>507</v>
      </c>
      <c r="F2229" s="32" t="s">
        <v>60</v>
      </c>
      <c r="G2229" s="32" t="s">
        <v>50</v>
      </c>
      <c r="H2229" s="33">
        <v>8420</v>
      </c>
      <c r="I2229" s="34">
        <f>Table3[[#This Row],[Volume, kg.]]/1000</f>
        <v>8.42</v>
      </c>
      <c r="J2229" s="34">
        <v>0.23499999999999999</v>
      </c>
      <c r="K2229" s="34">
        <f t="shared" si="68"/>
        <v>1978.6999999999998</v>
      </c>
      <c r="L2229" s="34">
        <v>3.7</v>
      </c>
      <c r="M2229" s="34">
        <v>31154</v>
      </c>
      <c r="N2229" s="34">
        <f t="shared" si="69"/>
        <v>15.744680851063832</v>
      </c>
    </row>
    <row r="2230" spans="1:14" x14ac:dyDescent="0.45">
      <c r="A2230" s="30">
        <v>2023</v>
      </c>
      <c r="B2230" s="30" t="s">
        <v>19</v>
      </c>
      <c r="C2230" s="30" t="s">
        <v>46</v>
      </c>
      <c r="D2230" s="30" t="s">
        <v>47</v>
      </c>
      <c r="E2230" s="31" t="s">
        <v>398</v>
      </c>
      <c r="F2230" s="32" t="s">
        <v>64</v>
      </c>
      <c r="G2230" s="32" t="s">
        <v>50</v>
      </c>
      <c r="H2230" s="33">
        <v>50780</v>
      </c>
      <c r="I2230" s="34">
        <f>Table3[[#This Row],[Volume, kg.]]/1000</f>
        <v>50.78</v>
      </c>
      <c r="J2230" s="34">
        <v>0.25</v>
      </c>
      <c r="K2230" s="34">
        <f t="shared" si="68"/>
        <v>12695</v>
      </c>
      <c r="L2230" s="34">
        <v>3.76</v>
      </c>
      <c r="M2230" s="34">
        <v>191161.5</v>
      </c>
      <c r="N2230" s="34">
        <f t="shared" si="69"/>
        <v>15.04</v>
      </c>
    </row>
    <row r="2231" spans="1:14" x14ac:dyDescent="0.45">
      <c r="A2231" s="30">
        <v>2023</v>
      </c>
      <c r="B2231" s="30" t="s">
        <v>19</v>
      </c>
      <c r="C2231" s="30" t="s">
        <v>46</v>
      </c>
      <c r="D2231" s="30" t="s">
        <v>102</v>
      </c>
      <c r="E2231" s="31" t="s">
        <v>418</v>
      </c>
      <c r="F2231" s="32" t="s">
        <v>104</v>
      </c>
      <c r="G2231" s="32" t="s">
        <v>105</v>
      </c>
      <c r="H2231" s="33">
        <v>1021500</v>
      </c>
      <c r="I2231" s="34">
        <f>Table3[[#This Row],[Volume, kg.]]/1000</f>
        <v>1021.5</v>
      </c>
      <c r="J2231" s="34">
        <v>0.26419999999999999</v>
      </c>
      <c r="K2231" s="34">
        <f t="shared" si="68"/>
        <v>269880.3</v>
      </c>
      <c r="L2231" s="34">
        <v>3.86</v>
      </c>
      <c r="M2231" s="34">
        <v>3945529.5</v>
      </c>
      <c r="N2231" s="34">
        <f t="shared" si="69"/>
        <v>14.610143830431491</v>
      </c>
    </row>
    <row r="2232" spans="1:14" x14ac:dyDescent="0.45">
      <c r="A2232" s="30">
        <v>2023</v>
      </c>
      <c r="B2232" s="30" t="s">
        <v>19</v>
      </c>
      <c r="C2232" s="30" t="s">
        <v>46</v>
      </c>
      <c r="D2232" s="30" t="s">
        <v>47</v>
      </c>
      <c r="E2232" s="31" t="s">
        <v>480</v>
      </c>
      <c r="F2232" s="32" t="s">
        <v>49</v>
      </c>
      <c r="G2232" s="32" t="s">
        <v>50</v>
      </c>
      <c r="H2232" s="33">
        <v>20360</v>
      </c>
      <c r="I2232" s="34">
        <f>Table3[[#This Row],[Volume, kg.]]/1000</f>
        <v>20.36</v>
      </c>
      <c r="J2232" s="34">
        <v>0.247</v>
      </c>
      <c r="K2232" s="34">
        <f t="shared" si="68"/>
        <v>5028.92</v>
      </c>
      <c r="L2232" s="34">
        <v>3.75</v>
      </c>
      <c r="M2232" s="34">
        <v>76400</v>
      </c>
      <c r="N2232" s="34">
        <f t="shared" si="69"/>
        <v>15.182186234817815</v>
      </c>
    </row>
    <row r="2233" spans="1:14" x14ac:dyDescent="0.45">
      <c r="A2233" s="30">
        <v>2023</v>
      </c>
      <c r="B2233" s="30" t="s">
        <v>19</v>
      </c>
      <c r="C2233" s="30" t="s">
        <v>46</v>
      </c>
      <c r="D2233" s="30" t="s">
        <v>47</v>
      </c>
      <c r="E2233" s="31" t="s">
        <v>470</v>
      </c>
      <c r="F2233" s="32" t="s">
        <v>57</v>
      </c>
      <c r="G2233" s="32" t="s">
        <v>50</v>
      </c>
      <c r="H2233" s="33">
        <v>4210</v>
      </c>
      <c r="I2233" s="34">
        <f>Table3[[#This Row],[Volume, kg.]]/1000</f>
        <v>4.21</v>
      </c>
      <c r="J2233" s="34">
        <v>0.23350000000000001</v>
      </c>
      <c r="K2233" s="34">
        <f t="shared" si="68"/>
        <v>983.03500000000008</v>
      </c>
      <c r="L2233" s="34">
        <v>3.65</v>
      </c>
      <c r="M2233" s="34">
        <v>15366.5</v>
      </c>
      <c r="N2233" s="34">
        <f t="shared" si="69"/>
        <v>15.631691648822269</v>
      </c>
    </row>
    <row r="2234" spans="1:14" x14ac:dyDescent="0.45">
      <c r="A2234" s="30">
        <v>2023</v>
      </c>
      <c r="B2234" s="30" t="s">
        <v>19</v>
      </c>
      <c r="C2234" s="30" t="s">
        <v>46</v>
      </c>
      <c r="D2234" s="30" t="s">
        <v>47</v>
      </c>
      <c r="E2234" s="31" t="s">
        <v>137</v>
      </c>
      <c r="F2234" s="32" t="s">
        <v>49</v>
      </c>
      <c r="G2234" s="32" t="s">
        <v>50</v>
      </c>
      <c r="H2234" s="33">
        <v>64080</v>
      </c>
      <c r="I2234" s="34">
        <f>Table3[[#This Row],[Volume, kg.]]/1000</f>
        <v>64.08</v>
      </c>
      <c r="J2234" s="34">
        <v>0.2868</v>
      </c>
      <c r="K2234" s="34">
        <f t="shared" si="68"/>
        <v>18378.144</v>
      </c>
      <c r="L2234" s="34">
        <v>3.94</v>
      </c>
      <c r="M2234" s="34">
        <v>252377</v>
      </c>
      <c r="N2234" s="34">
        <f t="shared" si="69"/>
        <v>13.737796373779638</v>
      </c>
    </row>
    <row r="2235" spans="1:14" x14ac:dyDescent="0.45">
      <c r="A2235" s="30">
        <v>2023</v>
      </c>
      <c r="B2235" s="30" t="s">
        <v>19</v>
      </c>
      <c r="C2235" s="30" t="s">
        <v>46</v>
      </c>
      <c r="D2235" s="30" t="s">
        <v>47</v>
      </c>
      <c r="E2235" s="31" t="s">
        <v>138</v>
      </c>
      <c r="F2235" s="32" t="s">
        <v>49</v>
      </c>
      <c r="G2235" s="32" t="s">
        <v>50</v>
      </c>
      <c r="H2235" s="33">
        <v>15680</v>
      </c>
      <c r="I2235" s="34">
        <f>Table3[[#This Row],[Volume, kg.]]/1000</f>
        <v>15.68</v>
      </c>
      <c r="J2235" s="34">
        <v>0.27750000000000002</v>
      </c>
      <c r="K2235" s="34">
        <f t="shared" si="68"/>
        <v>4351.2000000000007</v>
      </c>
      <c r="L2235" s="34">
        <v>4.05</v>
      </c>
      <c r="M2235" s="34">
        <v>63504</v>
      </c>
      <c r="N2235" s="34">
        <f t="shared" si="69"/>
        <v>14.594594594594593</v>
      </c>
    </row>
    <row r="2236" spans="1:14" x14ac:dyDescent="0.45">
      <c r="A2236" s="30">
        <v>2023</v>
      </c>
      <c r="B2236" s="30" t="s">
        <v>19</v>
      </c>
      <c r="C2236" s="30" t="s">
        <v>46</v>
      </c>
      <c r="D2236" s="30" t="s">
        <v>47</v>
      </c>
      <c r="E2236" s="31" t="s">
        <v>350</v>
      </c>
      <c r="F2236" s="32" t="s">
        <v>49</v>
      </c>
      <c r="G2236" s="32" t="s">
        <v>50</v>
      </c>
      <c r="H2236" s="33">
        <v>25610</v>
      </c>
      <c r="I2236" s="34">
        <f>Table3[[#This Row],[Volume, kg.]]/1000</f>
        <v>25.61</v>
      </c>
      <c r="J2236" s="34">
        <v>0.27960000000000002</v>
      </c>
      <c r="K2236" s="34">
        <f t="shared" si="68"/>
        <v>7160.5560000000005</v>
      </c>
      <c r="L2236" s="34">
        <v>3.92</v>
      </c>
      <c r="M2236" s="34">
        <v>100352</v>
      </c>
      <c r="N2236" s="34">
        <f t="shared" si="69"/>
        <v>14.020028612303289</v>
      </c>
    </row>
    <row r="2237" spans="1:14" x14ac:dyDescent="0.45">
      <c r="A2237" s="30">
        <v>2023</v>
      </c>
      <c r="B2237" s="30" t="s">
        <v>19</v>
      </c>
      <c r="C2237" s="30" t="s">
        <v>46</v>
      </c>
      <c r="D2237" s="30" t="s">
        <v>47</v>
      </c>
      <c r="E2237" s="31" t="s">
        <v>142</v>
      </c>
      <c r="F2237" s="32" t="s">
        <v>57</v>
      </c>
      <c r="G2237" s="32" t="s">
        <v>50</v>
      </c>
      <c r="H2237" s="33">
        <v>30030</v>
      </c>
      <c r="I2237" s="34">
        <f>Table3[[#This Row],[Volume, kg.]]/1000</f>
        <v>30.03</v>
      </c>
      <c r="J2237" s="34">
        <v>0.28949999999999998</v>
      </c>
      <c r="K2237" s="34">
        <f t="shared" si="68"/>
        <v>8693.6849999999995</v>
      </c>
      <c r="L2237" s="34">
        <v>4.08</v>
      </c>
      <c r="M2237" s="34">
        <v>122449.5</v>
      </c>
      <c r="N2237" s="34">
        <f t="shared" si="69"/>
        <v>14.093264248704665</v>
      </c>
    </row>
    <row r="2238" spans="1:14" x14ac:dyDescent="0.45">
      <c r="A2238" s="30">
        <v>2023</v>
      </c>
      <c r="B2238" s="30" t="s">
        <v>19</v>
      </c>
      <c r="C2238" s="30" t="s">
        <v>46</v>
      </c>
      <c r="D2238" s="30" t="s">
        <v>47</v>
      </c>
      <c r="E2238" s="31" t="s">
        <v>144</v>
      </c>
      <c r="F2238" s="32" t="s">
        <v>49</v>
      </c>
      <c r="G2238" s="32" t="s">
        <v>50</v>
      </c>
      <c r="H2238" s="33">
        <v>73440</v>
      </c>
      <c r="I2238" s="34">
        <f>Table3[[#This Row],[Volume, kg.]]/1000</f>
        <v>73.44</v>
      </c>
      <c r="J2238" s="34">
        <v>0.28309999999999996</v>
      </c>
      <c r="K2238" s="34">
        <f t="shared" si="68"/>
        <v>20790.863999999998</v>
      </c>
      <c r="L2238" s="34">
        <v>3.97</v>
      </c>
      <c r="M2238" s="34">
        <v>291257</v>
      </c>
      <c r="N2238" s="34">
        <f t="shared" si="69"/>
        <v>14.023313316849173</v>
      </c>
    </row>
    <row r="2239" spans="1:14" x14ac:dyDescent="0.45">
      <c r="A2239" s="30">
        <v>2023</v>
      </c>
      <c r="B2239" s="30" t="s">
        <v>19</v>
      </c>
      <c r="C2239" s="30" t="s">
        <v>46</v>
      </c>
      <c r="D2239" s="30" t="s">
        <v>47</v>
      </c>
      <c r="E2239" s="31" t="s">
        <v>146</v>
      </c>
      <c r="F2239" s="32" t="s">
        <v>64</v>
      </c>
      <c r="G2239" s="32" t="s">
        <v>50</v>
      </c>
      <c r="H2239" s="33">
        <v>111050</v>
      </c>
      <c r="I2239" s="34">
        <f>Table3[[#This Row],[Volume, kg.]]/1000</f>
        <v>111.05</v>
      </c>
      <c r="J2239" s="34">
        <v>0.25440000000000002</v>
      </c>
      <c r="K2239" s="34">
        <f t="shared" si="68"/>
        <v>28251.120000000003</v>
      </c>
      <c r="L2239" s="34">
        <v>3.75</v>
      </c>
      <c r="M2239" s="34">
        <v>416595</v>
      </c>
      <c r="N2239" s="34">
        <f t="shared" si="69"/>
        <v>14.740566037735848</v>
      </c>
    </row>
    <row r="2240" spans="1:14" x14ac:dyDescent="0.45">
      <c r="A2240" s="30">
        <v>2023</v>
      </c>
      <c r="B2240" s="30" t="s">
        <v>19</v>
      </c>
      <c r="C2240" s="30" t="s">
        <v>46</v>
      </c>
      <c r="D2240" s="30" t="s">
        <v>47</v>
      </c>
      <c r="E2240" s="31" t="s">
        <v>291</v>
      </c>
      <c r="F2240" s="32" t="s">
        <v>57</v>
      </c>
      <c r="G2240" s="32" t="s">
        <v>50</v>
      </c>
      <c r="H2240" s="33">
        <v>6340</v>
      </c>
      <c r="I2240" s="34">
        <f>Table3[[#This Row],[Volume, kg.]]/1000</f>
        <v>6.34</v>
      </c>
      <c r="J2240" s="34">
        <v>0.2555</v>
      </c>
      <c r="K2240" s="34">
        <f t="shared" si="68"/>
        <v>1619.8700000000001</v>
      </c>
      <c r="L2240" s="34">
        <v>3.85</v>
      </c>
      <c r="M2240" s="34">
        <v>24409</v>
      </c>
      <c r="N2240" s="34">
        <f t="shared" si="69"/>
        <v>15.068493150684931</v>
      </c>
    </row>
    <row r="2241" spans="1:14" x14ac:dyDescent="0.45">
      <c r="A2241" s="30">
        <v>2023</v>
      </c>
      <c r="B2241" s="30" t="s">
        <v>19</v>
      </c>
      <c r="C2241" s="30" t="s">
        <v>46</v>
      </c>
      <c r="D2241" s="30" t="s">
        <v>102</v>
      </c>
      <c r="E2241" s="31" t="s">
        <v>437</v>
      </c>
      <c r="F2241" s="32" t="s">
        <v>49</v>
      </c>
      <c r="G2241" s="32" t="s">
        <v>50</v>
      </c>
      <c r="H2241" s="33">
        <v>1733090</v>
      </c>
      <c r="I2241" s="34">
        <f>Table3[[#This Row],[Volume, kg.]]/1000</f>
        <v>1733.09</v>
      </c>
      <c r="J2241" s="34">
        <v>0.2747</v>
      </c>
      <c r="K2241" s="34">
        <f t="shared" si="68"/>
        <v>476079.82299999997</v>
      </c>
      <c r="L2241" s="34">
        <v>4.0199999999999996</v>
      </c>
      <c r="M2241" s="34">
        <v>6959294.5</v>
      </c>
      <c r="N2241" s="34">
        <f t="shared" si="69"/>
        <v>14.634146341463413</v>
      </c>
    </row>
    <row r="2242" spans="1:14" x14ac:dyDescent="0.45">
      <c r="A2242" s="30">
        <v>2023</v>
      </c>
      <c r="B2242" s="30" t="s">
        <v>19</v>
      </c>
      <c r="C2242" s="30" t="s">
        <v>46</v>
      </c>
      <c r="D2242" s="30" t="s">
        <v>47</v>
      </c>
      <c r="E2242" s="31" t="s">
        <v>148</v>
      </c>
      <c r="F2242" s="32" t="s">
        <v>49</v>
      </c>
      <c r="G2242" s="32" t="s">
        <v>50</v>
      </c>
      <c r="H2242" s="33">
        <v>6380</v>
      </c>
      <c r="I2242" s="34">
        <f>Table3[[#This Row],[Volume, kg.]]/1000</f>
        <v>6.38</v>
      </c>
      <c r="J2242" s="34">
        <v>0.25950000000000001</v>
      </c>
      <c r="K2242" s="34">
        <f t="shared" si="68"/>
        <v>1655.6100000000001</v>
      </c>
      <c r="L2242" s="34">
        <v>3.8</v>
      </c>
      <c r="M2242" s="34">
        <v>24244</v>
      </c>
      <c r="N2242" s="34">
        <f t="shared" si="69"/>
        <v>14.643545279383428</v>
      </c>
    </row>
    <row r="2243" spans="1:14" x14ac:dyDescent="0.45">
      <c r="A2243" s="30">
        <v>2023</v>
      </c>
      <c r="B2243" s="30" t="s">
        <v>19</v>
      </c>
      <c r="C2243" s="30" t="s">
        <v>46</v>
      </c>
      <c r="D2243" s="30" t="s">
        <v>47</v>
      </c>
      <c r="E2243" s="31" t="s">
        <v>149</v>
      </c>
      <c r="F2243" s="32" t="s">
        <v>49</v>
      </c>
      <c r="G2243" s="32" t="s">
        <v>50</v>
      </c>
      <c r="H2243" s="33">
        <v>36280</v>
      </c>
      <c r="I2243" s="34">
        <f>Table3[[#This Row],[Volume, kg.]]/1000</f>
        <v>36.28</v>
      </c>
      <c r="J2243" s="34">
        <v>0.28749999999999998</v>
      </c>
      <c r="K2243" s="34">
        <f t="shared" ref="K2243:K2306" si="70">H2243*J2243</f>
        <v>10430.5</v>
      </c>
      <c r="L2243" s="34">
        <v>3.96</v>
      </c>
      <c r="M2243" s="34">
        <v>143620.5</v>
      </c>
      <c r="N2243" s="34">
        <f t="shared" si="69"/>
        <v>13.773913043478261</v>
      </c>
    </row>
    <row r="2244" spans="1:14" x14ac:dyDescent="0.45">
      <c r="A2244" s="30">
        <v>2023</v>
      </c>
      <c r="B2244" s="30" t="s">
        <v>19</v>
      </c>
      <c r="C2244" s="30" t="s">
        <v>46</v>
      </c>
      <c r="D2244" s="30" t="s">
        <v>47</v>
      </c>
      <c r="E2244" s="31" t="s">
        <v>150</v>
      </c>
      <c r="F2244" s="32" t="s">
        <v>49</v>
      </c>
      <c r="G2244" s="32" t="s">
        <v>50</v>
      </c>
      <c r="H2244" s="33">
        <v>460</v>
      </c>
      <c r="I2244" s="34">
        <f>Table3[[#This Row],[Volume, kg.]]/1000</f>
        <v>0.46</v>
      </c>
      <c r="J2244" s="34">
        <v>0.26</v>
      </c>
      <c r="K2244" s="34">
        <f t="shared" si="70"/>
        <v>119.60000000000001</v>
      </c>
      <c r="L2244" s="34">
        <v>3.85</v>
      </c>
      <c r="M2244" s="34">
        <v>1771</v>
      </c>
      <c r="N2244" s="34">
        <f t="shared" ref="N2244:N2307" si="71">L2244/J2244</f>
        <v>14.807692307692308</v>
      </c>
    </row>
    <row r="2245" spans="1:14" x14ac:dyDescent="0.45">
      <c r="A2245" s="30">
        <v>2023</v>
      </c>
      <c r="B2245" s="30" t="s">
        <v>19</v>
      </c>
      <c r="C2245" s="30" t="s">
        <v>46</v>
      </c>
      <c r="D2245" s="30" t="s">
        <v>47</v>
      </c>
      <c r="E2245" s="31" t="s">
        <v>462</v>
      </c>
      <c r="F2245" s="32" t="s">
        <v>49</v>
      </c>
      <c r="G2245" s="32" t="s">
        <v>50</v>
      </c>
      <c r="H2245" s="33">
        <v>6070</v>
      </c>
      <c r="I2245" s="34">
        <f>Table3[[#This Row],[Volume, kg.]]/1000</f>
        <v>6.07</v>
      </c>
      <c r="J2245" s="34">
        <v>0.23350000000000001</v>
      </c>
      <c r="K2245" s="34">
        <f t="shared" si="70"/>
        <v>1417.345</v>
      </c>
      <c r="L2245" s="34">
        <v>3.6</v>
      </c>
      <c r="M2245" s="34">
        <v>21852</v>
      </c>
      <c r="N2245" s="34">
        <f t="shared" si="71"/>
        <v>15.417558886509635</v>
      </c>
    </row>
    <row r="2246" spans="1:14" x14ac:dyDescent="0.45">
      <c r="A2246" s="30">
        <v>2023</v>
      </c>
      <c r="B2246" s="30" t="s">
        <v>19</v>
      </c>
      <c r="C2246" s="30" t="s">
        <v>46</v>
      </c>
      <c r="D2246" s="30" t="s">
        <v>47</v>
      </c>
      <c r="E2246" s="31" t="s">
        <v>573</v>
      </c>
      <c r="F2246" s="32" t="s">
        <v>49</v>
      </c>
      <c r="G2246" s="32" t="s">
        <v>50</v>
      </c>
      <c r="H2246" s="33">
        <v>25630</v>
      </c>
      <c r="I2246" s="34">
        <f>Table3[[#This Row],[Volume, kg.]]/1000</f>
        <v>25.63</v>
      </c>
      <c r="J2246" s="34">
        <v>0.28689999999999999</v>
      </c>
      <c r="K2246" s="34">
        <f t="shared" si="70"/>
        <v>7353.2469999999994</v>
      </c>
      <c r="L2246" s="34">
        <v>3.92</v>
      </c>
      <c r="M2246" s="34">
        <v>100431.5</v>
      </c>
      <c r="N2246" s="34">
        <f t="shared" si="71"/>
        <v>13.663297316138028</v>
      </c>
    </row>
    <row r="2247" spans="1:14" x14ac:dyDescent="0.45">
      <c r="A2247" s="30">
        <v>2023</v>
      </c>
      <c r="B2247" s="30" t="s">
        <v>19</v>
      </c>
      <c r="C2247" s="30" t="s">
        <v>46</v>
      </c>
      <c r="D2247" s="30" t="s">
        <v>47</v>
      </c>
      <c r="E2247" s="31" t="s">
        <v>155</v>
      </c>
      <c r="F2247" s="32" t="s">
        <v>64</v>
      </c>
      <c r="G2247" s="32" t="s">
        <v>50</v>
      </c>
      <c r="H2247" s="33">
        <v>156640</v>
      </c>
      <c r="I2247" s="34">
        <f>Table3[[#This Row],[Volume, kg.]]/1000</f>
        <v>156.63999999999999</v>
      </c>
      <c r="J2247" s="34">
        <v>0.25390000000000001</v>
      </c>
      <c r="K2247" s="34">
        <f t="shared" si="70"/>
        <v>39770.896000000001</v>
      </c>
      <c r="L2247" s="34">
        <v>3.83</v>
      </c>
      <c r="M2247" s="34">
        <v>600574</v>
      </c>
      <c r="N2247" s="34">
        <f t="shared" si="71"/>
        <v>15.08467900748326</v>
      </c>
    </row>
    <row r="2248" spans="1:14" x14ac:dyDescent="0.45">
      <c r="A2248" s="30">
        <v>2023</v>
      </c>
      <c r="B2248" s="30" t="s">
        <v>19</v>
      </c>
      <c r="C2248" s="30" t="s">
        <v>46</v>
      </c>
      <c r="D2248" s="30" t="s">
        <v>47</v>
      </c>
      <c r="E2248" s="31" t="s">
        <v>574</v>
      </c>
      <c r="F2248" s="32" t="s">
        <v>134</v>
      </c>
      <c r="G2248" s="32" t="s">
        <v>50</v>
      </c>
      <c r="H2248" s="33">
        <v>11420</v>
      </c>
      <c r="I2248" s="34">
        <f>Table3[[#This Row],[Volume, kg.]]/1000</f>
        <v>11.42</v>
      </c>
      <c r="J2248" s="34">
        <v>0.22800000000000001</v>
      </c>
      <c r="K2248" s="34">
        <f t="shared" si="70"/>
        <v>2603.7600000000002</v>
      </c>
      <c r="L2248" s="34">
        <v>3.8</v>
      </c>
      <c r="M2248" s="34">
        <v>43396</v>
      </c>
      <c r="N2248" s="34">
        <f t="shared" si="71"/>
        <v>16.666666666666664</v>
      </c>
    </row>
    <row r="2249" spans="1:14" x14ac:dyDescent="0.45">
      <c r="A2249" s="30">
        <v>2023</v>
      </c>
      <c r="B2249" s="30" t="s">
        <v>19</v>
      </c>
      <c r="C2249" s="30" t="s">
        <v>46</v>
      </c>
      <c r="D2249" s="30" t="s">
        <v>47</v>
      </c>
      <c r="E2249" s="31" t="s">
        <v>156</v>
      </c>
      <c r="F2249" s="32" t="s">
        <v>49</v>
      </c>
      <c r="G2249" s="32" t="s">
        <v>50</v>
      </c>
      <c r="H2249" s="33">
        <v>16130</v>
      </c>
      <c r="I2249" s="34">
        <f>Table3[[#This Row],[Volume, kg.]]/1000</f>
        <v>16.13</v>
      </c>
      <c r="J2249" s="34">
        <v>0.30879999999999996</v>
      </c>
      <c r="K2249" s="34">
        <f t="shared" si="70"/>
        <v>4980.9439999999995</v>
      </c>
      <c r="L2249" s="34">
        <v>4.0199999999999996</v>
      </c>
      <c r="M2249" s="34">
        <v>64845</v>
      </c>
      <c r="N2249" s="34">
        <f t="shared" si="71"/>
        <v>13.018134715025907</v>
      </c>
    </row>
    <row r="2250" spans="1:14" x14ac:dyDescent="0.45">
      <c r="A2250" s="30">
        <v>2023</v>
      </c>
      <c r="B2250" s="30" t="s">
        <v>19</v>
      </c>
      <c r="C2250" s="30" t="s">
        <v>46</v>
      </c>
      <c r="D2250" s="30" t="s">
        <v>47</v>
      </c>
      <c r="E2250" s="31" t="s">
        <v>575</v>
      </c>
      <c r="F2250" s="32" t="s">
        <v>64</v>
      </c>
      <c r="G2250" s="32" t="s">
        <v>50</v>
      </c>
      <c r="H2250" s="33">
        <v>16560</v>
      </c>
      <c r="I2250" s="34">
        <f>Table3[[#This Row],[Volume, kg.]]/1000</f>
        <v>16.559999999999999</v>
      </c>
      <c r="J2250" s="34">
        <v>0.27579999999999999</v>
      </c>
      <c r="K2250" s="34">
        <f t="shared" si="70"/>
        <v>4567.2479999999996</v>
      </c>
      <c r="L2250" s="34">
        <v>3.88</v>
      </c>
      <c r="M2250" s="34">
        <v>64218</v>
      </c>
      <c r="N2250" s="34">
        <f t="shared" si="71"/>
        <v>14.06816533720087</v>
      </c>
    </row>
    <row r="2251" spans="1:14" x14ac:dyDescent="0.45">
      <c r="A2251" s="30">
        <v>2023</v>
      </c>
      <c r="B2251" s="30" t="s">
        <v>19</v>
      </c>
      <c r="C2251" s="30" t="s">
        <v>46</v>
      </c>
      <c r="D2251" s="30" t="s">
        <v>47</v>
      </c>
      <c r="E2251" s="31" t="s">
        <v>159</v>
      </c>
      <c r="F2251" s="32" t="s">
        <v>81</v>
      </c>
      <c r="G2251" s="32" t="s">
        <v>50</v>
      </c>
      <c r="H2251" s="33">
        <v>81780</v>
      </c>
      <c r="I2251" s="34">
        <f>Table3[[#This Row],[Volume, kg.]]/1000</f>
        <v>81.78</v>
      </c>
      <c r="J2251" s="34">
        <v>0.29760000000000003</v>
      </c>
      <c r="K2251" s="34">
        <f t="shared" si="70"/>
        <v>24337.728000000003</v>
      </c>
      <c r="L2251" s="34">
        <v>4</v>
      </c>
      <c r="M2251" s="34">
        <v>326895</v>
      </c>
      <c r="N2251" s="34">
        <f t="shared" si="71"/>
        <v>13.440860215053762</v>
      </c>
    </row>
    <row r="2252" spans="1:14" x14ac:dyDescent="0.45">
      <c r="A2252" s="30">
        <v>2023</v>
      </c>
      <c r="B2252" s="30" t="s">
        <v>19</v>
      </c>
      <c r="C2252" s="30" t="s">
        <v>46</v>
      </c>
      <c r="D2252" s="30" t="s">
        <v>47</v>
      </c>
      <c r="E2252" s="31" t="s">
        <v>162</v>
      </c>
      <c r="F2252" s="32" t="s">
        <v>49</v>
      </c>
      <c r="G2252" s="32" t="s">
        <v>50</v>
      </c>
      <c r="H2252" s="33">
        <v>77820</v>
      </c>
      <c r="I2252" s="34">
        <f>Table3[[#This Row],[Volume, kg.]]/1000</f>
        <v>77.819999999999993</v>
      </c>
      <c r="J2252" s="34">
        <v>0.25940000000000002</v>
      </c>
      <c r="K2252" s="34">
        <f t="shared" si="70"/>
        <v>20186.508000000002</v>
      </c>
      <c r="L2252" s="34">
        <v>3.84</v>
      </c>
      <c r="M2252" s="34">
        <v>299023.5</v>
      </c>
      <c r="N2252" s="34">
        <f t="shared" si="71"/>
        <v>14.803392444101771</v>
      </c>
    </row>
    <row r="2253" spans="1:14" x14ac:dyDescent="0.45">
      <c r="A2253" s="30">
        <v>2023</v>
      </c>
      <c r="B2253" s="30" t="s">
        <v>19</v>
      </c>
      <c r="C2253" s="30" t="s">
        <v>46</v>
      </c>
      <c r="D2253" s="30" t="s">
        <v>47</v>
      </c>
      <c r="E2253" s="31" t="s">
        <v>164</v>
      </c>
      <c r="F2253" s="32" t="s">
        <v>49</v>
      </c>
      <c r="G2253" s="32" t="s">
        <v>50</v>
      </c>
      <c r="H2253" s="33">
        <v>29430</v>
      </c>
      <c r="I2253" s="34">
        <f>Table3[[#This Row],[Volume, kg.]]/1000</f>
        <v>29.43</v>
      </c>
      <c r="J2253" s="34">
        <v>0.28089999999999998</v>
      </c>
      <c r="K2253" s="34">
        <f t="shared" si="70"/>
        <v>8266.8869999999988</v>
      </c>
      <c r="L2253" s="34">
        <v>3.96</v>
      </c>
      <c r="M2253" s="34">
        <v>116618</v>
      </c>
      <c r="N2253" s="34">
        <f t="shared" si="71"/>
        <v>14.097543609825561</v>
      </c>
    </row>
    <row r="2254" spans="1:14" x14ac:dyDescent="0.45">
      <c r="A2254" s="30">
        <v>2023</v>
      </c>
      <c r="B2254" s="30" t="s">
        <v>19</v>
      </c>
      <c r="C2254" s="30" t="s">
        <v>46</v>
      </c>
      <c r="D2254" s="30" t="s">
        <v>47</v>
      </c>
      <c r="E2254" s="31" t="s">
        <v>165</v>
      </c>
      <c r="F2254" s="32" t="s">
        <v>57</v>
      </c>
      <c r="G2254" s="32" t="s">
        <v>50</v>
      </c>
      <c r="H2254" s="33">
        <v>34890</v>
      </c>
      <c r="I2254" s="34">
        <f>Table3[[#This Row],[Volume, kg.]]/1000</f>
        <v>34.89</v>
      </c>
      <c r="J2254" s="34">
        <v>0.2883</v>
      </c>
      <c r="K2254" s="34">
        <f t="shared" si="70"/>
        <v>10058.787</v>
      </c>
      <c r="L2254" s="34">
        <v>4</v>
      </c>
      <c r="M2254" s="34">
        <v>139705.5</v>
      </c>
      <c r="N2254" s="34">
        <f t="shared" si="71"/>
        <v>13.87443635102324</v>
      </c>
    </row>
    <row r="2255" spans="1:14" x14ac:dyDescent="0.45">
      <c r="A2255" s="30">
        <v>2023</v>
      </c>
      <c r="B2255" s="30" t="s">
        <v>19</v>
      </c>
      <c r="C2255" s="30" t="s">
        <v>46</v>
      </c>
      <c r="D2255" s="30" t="s">
        <v>47</v>
      </c>
      <c r="E2255" s="31" t="s">
        <v>166</v>
      </c>
      <c r="F2255" s="32" t="s">
        <v>49</v>
      </c>
      <c r="G2255" s="32" t="s">
        <v>50</v>
      </c>
      <c r="H2255" s="33">
        <v>560</v>
      </c>
      <c r="I2255" s="34">
        <f>Table3[[#This Row],[Volume, kg.]]/1000</f>
        <v>0.56000000000000005</v>
      </c>
      <c r="J2255" s="34">
        <v>0.2145</v>
      </c>
      <c r="K2255" s="34">
        <f t="shared" si="70"/>
        <v>120.12</v>
      </c>
      <c r="L2255" s="34">
        <v>3.6</v>
      </c>
      <c r="M2255" s="34">
        <v>2016</v>
      </c>
      <c r="N2255" s="34">
        <f t="shared" si="71"/>
        <v>16.783216783216783</v>
      </c>
    </row>
    <row r="2256" spans="1:14" x14ac:dyDescent="0.45">
      <c r="A2256" s="30">
        <v>2023</v>
      </c>
      <c r="B2256" s="30" t="s">
        <v>19</v>
      </c>
      <c r="C2256" s="30" t="s">
        <v>46</v>
      </c>
      <c r="D2256" s="30" t="s">
        <v>47</v>
      </c>
      <c r="E2256" s="31" t="s">
        <v>167</v>
      </c>
      <c r="F2256" s="32" t="s">
        <v>49</v>
      </c>
      <c r="G2256" s="32" t="s">
        <v>50</v>
      </c>
      <c r="H2256" s="33">
        <v>100090</v>
      </c>
      <c r="I2256" s="34">
        <f>Table3[[#This Row],[Volume, kg.]]/1000</f>
        <v>100.09</v>
      </c>
      <c r="J2256" s="34">
        <v>0.2742</v>
      </c>
      <c r="K2256" s="34">
        <f t="shared" si="70"/>
        <v>27444.678</v>
      </c>
      <c r="L2256" s="34">
        <v>3.89</v>
      </c>
      <c r="M2256" s="34">
        <v>389541</v>
      </c>
      <c r="N2256" s="34">
        <f t="shared" si="71"/>
        <v>14.186725018234865</v>
      </c>
    </row>
    <row r="2257" spans="1:14" x14ac:dyDescent="0.45">
      <c r="A2257" s="30">
        <v>2023</v>
      </c>
      <c r="B2257" s="30" t="s">
        <v>19</v>
      </c>
      <c r="C2257" s="30" t="s">
        <v>46</v>
      </c>
      <c r="D2257" s="30" t="s">
        <v>47</v>
      </c>
      <c r="E2257" s="31" t="s">
        <v>170</v>
      </c>
      <c r="F2257" s="32" t="s">
        <v>49</v>
      </c>
      <c r="G2257" s="32" t="s">
        <v>50</v>
      </c>
      <c r="H2257" s="33">
        <v>5620</v>
      </c>
      <c r="I2257" s="34">
        <f>Table3[[#This Row],[Volume, kg.]]/1000</f>
        <v>5.62</v>
      </c>
      <c r="J2257" s="34">
        <v>0.28699999999999998</v>
      </c>
      <c r="K2257" s="34">
        <f t="shared" si="70"/>
        <v>1612.9399999999998</v>
      </c>
      <c r="L2257" s="34">
        <v>3.95</v>
      </c>
      <c r="M2257" s="34">
        <v>22199</v>
      </c>
      <c r="N2257" s="34">
        <f t="shared" si="71"/>
        <v>13.763066202090593</v>
      </c>
    </row>
    <row r="2258" spans="1:14" x14ac:dyDescent="0.45">
      <c r="A2258" s="30">
        <v>2023</v>
      </c>
      <c r="B2258" s="30" t="s">
        <v>19</v>
      </c>
      <c r="C2258" s="30" t="s">
        <v>46</v>
      </c>
      <c r="D2258" s="30" t="s">
        <v>47</v>
      </c>
      <c r="E2258" s="31" t="s">
        <v>175</v>
      </c>
      <c r="F2258" s="32" t="s">
        <v>64</v>
      </c>
      <c r="G2258" s="32" t="s">
        <v>50</v>
      </c>
      <c r="H2258" s="33">
        <v>27160</v>
      </c>
      <c r="I2258" s="34">
        <f>Table3[[#This Row],[Volume, kg.]]/1000</f>
        <v>27.16</v>
      </c>
      <c r="J2258" s="34">
        <v>0.248</v>
      </c>
      <c r="K2258" s="34">
        <f t="shared" si="70"/>
        <v>6735.68</v>
      </c>
      <c r="L2258" s="34">
        <v>3.75</v>
      </c>
      <c r="M2258" s="34">
        <v>101723</v>
      </c>
      <c r="N2258" s="34">
        <f t="shared" si="71"/>
        <v>15.120967741935484</v>
      </c>
    </row>
    <row r="2259" spans="1:14" x14ac:dyDescent="0.45">
      <c r="A2259" s="30">
        <v>2023</v>
      </c>
      <c r="B2259" s="30" t="s">
        <v>19</v>
      </c>
      <c r="C2259" s="30" t="s">
        <v>46</v>
      </c>
      <c r="D2259" s="30" t="s">
        <v>47</v>
      </c>
      <c r="E2259" s="31" t="s">
        <v>176</v>
      </c>
      <c r="F2259" s="32" t="s">
        <v>49</v>
      </c>
      <c r="G2259" s="32" t="s">
        <v>50</v>
      </c>
      <c r="H2259" s="33">
        <v>4190</v>
      </c>
      <c r="I2259" s="34">
        <f>Table3[[#This Row],[Volume, kg.]]/1000</f>
        <v>4.1900000000000004</v>
      </c>
      <c r="J2259" s="34">
        <v>0.29799999999999999</v>
      </c>
      <c r="K2259" s="34">
        <f t="shared" si="70"/>
        <v>1248.6199999999999</v>
      </c>
      <c r="L2259" s="34">
        <v>4.0999999999999996</v>
      </c>
      <c r="M2259" s="34">
        <v>17179</v>
      </c>
      <c r="N2259" s="34">
        <f t="shared" si="71"/>
        <v>13.758389261744966</v>
      </c>
    </row>
    <row r="2260" spans="1:14" x14ac:dyDescent="0.45">
      <c r="A2260" s="30">
        <v>2023</v>
      </c>
      <c r="B2260" s="30" t="s">
        <v>19</v>
      </c>
      <c r="C2260" s="30" t="s">
        <v>46</v>
      </c>
      <c r="D2260" s="30" t="s">
        <v>47</v>
      </c>
      <c r="E2260" s="31" t="s">
        <v>178</v>
      </c>
      <c r="F2260" s="32" t="s">
        <v>49</v>
      </c>
      <c r="G2260" s="32" t="s">
        <v>50</v>
      </c>
      <c r="H2260" s="33">
        <v>26450</v>
      </c>
      <c r="I2260" s="34">
        <f>Table3[[#This Row],[Volume, kg.]]/1000</f>
        <v>26.45</v>
      </c>
      <c r="J2260" s="34">
        <v>0.29399999999999998</v>
      </c>
      <c r="K2260" s="34">
        <f t="shared" si="70"/>
        <v>7776.2999999999993</v>
      </c>
      <c r="L2260" s="34">
        <v>4</v>
      </c>
      <c r="M2260" s="34">
        <v>105704.5</v>
      </c>
      <c r="N2260" s="34">
        <f t="shared" si="71"/>
        <v>13.605442176870749</v>
      </c>
    </row>
    <row r="2261" spans="1:14" x14ac:dyDescent="0.45">
      <c r="A2261" s="30">
        <v>2023</v>
      </c>
      <c r="B2261" s="30" t="s">
        <v>19</v>
      </c>
      <c r="C2261" s="30" t="s">
        <v>46</v>
      </c>
      <c r="D2261" s="30" t="s">
        <v>47</v>
      </c>
      <c r="E2261" s="31" t="s">
        <v>179</v>
      </c>
      <c r="F2261" s="32" t="s">
        <v>60</v>
      </c>
      <c r="G2261" s="32" t="s">
        <v>50</v>
      </c>
      <c r="H2261" s="33">
        <v>8510</v>
      </c>
      <c r="I2261" s="34">
        <f>Table3[[#This Row],[Volume, kg.]]/1000</f>
        <v>8.51</v>
      </c>
      <c r="J2261" s="34">
        <v>0.25700000000000001</v>
      </c>
      <c r="K2261" s="34">
        <f t="shared" si="70"/>
        <v>2187.0700000000002</v>
      </c>
      <c r="L2261" s="34">
        <v>3.8</v>
      </c>
      <c r="M2261" s="34">
        <v>32338</v>
      </c>
      <c r="N2261" s="34">
        <f t="shared" si="71"/>
        <v>14.785992217898832</v>
      </c>
    </row>
    <row r="2262" spans="1:14" x14ac:dyDescent="0.45">
      <c r="A2262" s="30">
        <v>2023</v>
      </c>
      <c r="B2262" s="30" t="s">
        <v>19</v>
      </c>
      <c r="C2262" s="30" t="s">
        <v>46</v>
      </c>
      <c r="D2262" s="30" t="s">
        <v>47</v>
      </c>
      <c r="E2262" s="31" t="s">
        <v>441</v>
      </c>
      <c r="F2262" s="32" t="s">
        <v>64</v>
      </c>
      <c r="G2262" s="32" t="s">
        <v>50</v>
      </c>
      <c r="H2262" s="33">
        <v>82100</v>
      </c>
      <c r="I2262" s="34">
        <f>Table3[[#This Row],[Volume, kg.]]/1000</f>
        <v>82.1</v>
      </c>
      <c r="J2262" s="34">
        <v>0.27410000000000001</v>
      </c>
      <c r="K2262" s="34">
        <f t="shared" si="70"/>
        <v>22503.61</v>
      </c>
      <c r="L2262" s="34">
        <v>3.88</v>
      </c>
      <c r="M2262" s="34">
        <v>318808.5</v>
      </c>
      <c r="N2262" s="34">
        <f t="shared" si="71"/>
        <v>14.155417730755198</v>
      </c>
    </row>
    <row r="2263" spans="1:14" x14ac:dyDescent="0.45">
      <c r="A2263" s="30">
        <v>2023</v>
      </c>
      <c r="B2263" s="30" t="s">
        <v>19</v>
      </c>
      <c r="C2263" s="30" t="s">
        <v>46</v>
      </c>
      <c r="D2263" s="30" t="s">
        <v>47</v>
      </c>
      <c r="E2263" s="31" t="s">
        <v>576</v>
      </c>
      <c r="F2263" s="32" t="s">
        <v>60</v>
      </c>
      <c r="G2263" s="32" t="s">
        <v>50</v>
      </c>
      <c r="H2263" s="33">
        <v>7850</v>
      </c>
      <c r="I2263" s="34">
        <f>Table3[[#This Row],[Volume, kg.]]/1000</f>
        <v>7.85</v>
      </c>
      <c r="J2263" s="34">
        <v>0.30149999999999999</v>
      </c>
      <c r="K2263" s="34">
        <f t="shared" si="70"/>
        <v>2366.7750000000001</v>
      </c>
      <c r="L2263" s="34">
        <v>4</v>
      </c>
      <c r="M2263" s="34">
        <v>31400</v>
      </c>
      <c r="N2263" s="34">
        <f t="shared" si="71"/>
        <v>13.266998341625207</v>
      </c>
    </row>
    <row r="2264" spans="1:14" x14ac:dyDescent="0.45">
      <c r="A2264" s="30">
        <v>2023</v>
      </c>
      <c r="B2264" s="30" t="s">
        <v>19</v>
      </c>
      <c r="C2264" s="30" t="s">
        <v>46</v>
      </c>
      <c r="D2264" s="30" t="s">
        <v>47</v>
      </c>
      <c r="E2264" s="31" t="s">
        <v>181</v>
      </c>
      <c r="F2264" s="32" t="s">
        <v>57</v>
      </c>
      <c r="G2264" s="32" t="s">
        <v>50</v>
      </c>
      <c r="H2264" s="33">
        <v>2840</v>
      </c>
      <c r="I2264" s="34">
        <f>Table3[[#This Row],[Volume, kg.]]/1000</f>
        <v>2.84</v>
      </c>
      <c r="J2264" s="34">
        <v>0.29549999999999998</v>
      </c>
      <c r="K2264" s="34">
        <f t="shared" si="70"/>
        <v>839.21999999999991</v>
      </c>
      <c r="L2264" s="34">
        <v>4</v>
      </c>
      <c r="M2264" s="34">
        <v>11360</v>
      </c>
      <c r="N2264" s="34">
        <f t="shared" si="71"/>
        <v>13.536379018612521</v>
      </c>
    </row>
    <row r="2265" spans="1:14" x14ac:dyDescent="0.45">
      <c r="A2265" s="30">
        <v>2023</v>
      </c>
      <c r="B2265" s="30" t="s">
        <v>19</v>
      </c>
      <c r="C2265" s="30" t="s">
        <v>46</v>
      </c>
      <c r="D2265" s="30" t="s">
        <v>47</v>
      </c>
      <c r="E2265" s="31" t="s">
        <v>182</v>
      </c>
      <c r="F2265" s="32" t="s">
        <v>81</v>
      </c>
      <c r="G2265" s="32" t="s">
        <v>50</v>
      </c>
      <c r="H2265" s="33">
        <v>89710</v>
      </c>
      <c r="I2265" s="34">
        <f>Table3[[#This Row],[Volume, kg.]]/1000</f>
        <v>89.71</v>
      </c>
      <c r="J2265" s="34">
        <v>0.28539999999999999</v>
      </c>
      <c r="K2265" s="34">
        <f t="shared" si="70"/>
        <v>25603.234</v>
      </c>
      <c r="L2265" s="34">
        <v>3.91</v>
      </c>
      <c r="M2265" s="34">
        <v>350418</v>
      </c>
      <c r="N2265" s="34">
        <f t="shared" si="71"/>
        <v>13.700070077084794</v>
      </c>
    </row>
    <row r="2266" spans="1:14" x14ac:dyDescent="0.45">
      <c r="A2266" s="30">
        <v>2023</v>
      </c>
      <c r="B2266" s="30" t="s">
        <v>19</v>
      </c>
      <c r="C2266" s="30" t="s">
        <v>46</v>
      </c>
      <c r="D2266" s="30" t="s">
        <v>47</v>
      </c>
      <c r="E2266" s="31" t="s">
        <v>299</v>
      </c>
      <c r="F2266" s="32" t="s">
        <v>49</v>
      </c>
      <c r="G2266" s="32" t="s">
        <v>50</v>
      </c>
      <c r="H2266" s="33">
        <v>9730</v>
      </c>
      <c r="I2266" s="34">
        <f>Table3[[#This Row],[Volume, kg.]]/1000</f>
        <v>9.73</v>
      </c>
      <c r="J2266" s="34">
        <v>0.24890000000000001</v>
      </c>
      <c r="K2266" s="34">
        <f t="shared" si="70"/>
        <v>2421.797</v>
      </c>
      <c r="L2266" s="34">
        <v>3.7</v>
      </c>
      <c r="M2266" s="34">
        <v>36001</v>
      </c>
      <c r="N2266" s="34">
        <f t="shared" si="71"/>
        <v>14.865407794294898</v>
      </c>
    </row>
    <row r="2267" spans="1:14" x14ac:dyDescent="0.45">
      <c r="A2267" s="30">
        <v>2023</v>
      </c>
      <c r="B2267" s="30" t="s">
        <v>19</v>
      </c>
      <c r="C2267" s="30" t="s">
        <v>46</v>
      </c>
      <c r="D2267" s="30" t="s">
        <v>47</v>
      </c>
      <c r="E2267" s="31" t="s">
        <v>577</v>
      </c>
      <c r="F2267" s="32" t="s">
        <v>81</v>
      </c>
      <c r="G2267" s="32" t="s">
        <v>50</v>
      </c>
      <c r="H2267" s="33">
        <v>9760</v>
      </c>
      <c r="I2267" s="34">
        <f>Table3[[#This Row],[Volume, kg.]]/1000</f>
        <v>9.76</v>
      </c>
      <c r="J2267" s="34">
        <v>0.28949999999999998</v>
      </c>
      <c r="K2267" s="34">
        <f t="shared" si="70"/>
        <v>2825.52</v>
      </c>
      <c r="L2267" s="34">
        <v>4.05</v>
      </c>
      <c r="M2267" s="34">
        <v>39528</v>
      </c>
      <c r="N2267" s="34">
        <f t="shared" si="71"/>
        <v>13.989637305699482</v>
      </c>
    </row>
    <row r="2268" spans="1:14" x14ac:dyDescent="0.45">
      <c r="A2268" s="30">
        <v>2023</v>
      </c>
      <c r="B2268" s="30" t="s">
        <v>19</v>
      </c>
      <c r="C2268" s="30" t="s">
        <v>46</v>
      </c>
      <c r="D2268" s="30" t="s">
        <v>47</v>
      </c>
      <c r="E2268" s="31" t="s">
        <v>401</v>
      </c>
      <c r="F2268" s="32" t="s">
        <v>57</v>
      </c>
      <c r="G2268" s="32" t="s">
        <v>50</v>
      </c>
      <c r="H2268" s="33">
        <v>12900</v>
      </c>
      <c r="I2268" s="34">
        <f>Table3[[#This Row],[Volume, kg.]]/1000</f>
        <v>12.9</v>
      </c>
      <c r="J2268" s="34">
        <v>0.28370000000000001</v>
      </c>
      <c r="K2268" s="34">
        <f t="shared" si="70"/>
        <v>3659.73</v>
      </c>
      <c r="L2268" s="34">
        <v>3.89</v>
      </c>
      <c r="M2268" s="34">
        <v>50210.5</v>
      </c>
      <c r="N2268" s="34">
        <f t="shared" si="71"/>
        <v>13.711667254141698</v>
      </c>
    </row>
    <row r="2269" spans="1:14" x14ac:dyDescent="0.45">
      <c r="A2269" s="30">
        <v>2023</v>
      </c>
      <c r="B2269" s="30" t="s">
        <v>19</v>
      </c>
      <c r="C2269" s="30" t="s">
        <v>46</v>
      </c>
      <c r="D2269" s="30" t="s">
        <v>47</v>
      </c>
      <c r="E2269" s="31" t="s">
        <v>526</v>
      </c>
      <c r="F2269" s="32" t="s">
        <v>49</v>
      </c>
      <c r="G2269" s="32" t="s">
        <v>50</v>
      </c>
      <c r="H2269" s="33">
        <v>4680</v>
      </c>
      <c r="I2269" s="34">
        <f>Table3[[#This Row],[Volume, kg.]]/1000</f>
        <v>4.68</v>
      </c>
      <c r="J2269" s="34">
        <v>0.28499999999999998</v>
      </c>
      <c r="K2269" s="34">
        <f t="shared" si="70"/>
        <v>1333.8</v>
      </c>
      <c r="L2269" s="34">
        <v>4</v>
      </c>
      <c r="M2269" s="34">
        <v>18720</v>
      </c>
      <c r="N2269" s="34">
        <f t="shared" si="71"/>
        <v>14.035087719298247</v>
      </c>
    </row>
    <row r="2270" spans="1:14" x14ac:dyDescent="0.45">
      <c r="A2270" s="30">
        <v>2023</v>
      </c>
      <c r="B2270" s="30" t="s">
        <v>19</v>
      </c>
      <c r="C2270" s="30" t="s">
        <v>46</v>
      </c>
      <c r="D2270" s="30" t="s">
        <v>47</v>
      </c>
      <c r="E2270" s="31" t="s">
        <v>185</v>
      </c>
      <c r="F2270" s="32" t="s">
        <v>57</v>
      </c>
      <c r="G2270" s="32" t="s">
        <v>50</v>
      </c>
      <c r="H2270" s="33">
        <v>10270</v>
      </c>
      <c r="I2270" s="34">
        <f>Table3[[#This Row],[Volume, kg.]]/1000</f>
        <v>10.27</v>
      </c>
      <c r="J2270" s="34">
        <v>0.27089999999999997</v>
      </c>
      <c r="K2270" s="34">
        <f t="shared" si="70"/>
        <v>2782.1429999999996</v>
      </c>
      <c r="L2270" s="34">
        <v>3.85</v>
      </c>
      <c r="M2270" s="34">
        <v>39539.5</v>
      </c>
      <c r="N2270" s="34">
        <f t="shared" si="71"/>
        <v>14.211886304909562</v>
      </c>
    </row>
    <row r="2271" spans="1:14" x14ac:dyDescent="0.45">
      <c r="A2271" s="30">
        <v>2023</v>
      </c>
      <c r="B2271" s="30" t="s">
        <v>19</v>
      </c>
      <c r="C2271" s="30" t="s">
        <v>46</v>
      </c>
      <c r="D2271" s="30" t="s">
        <v>47</v>
      </c>
      <c r="E2271" s="31" t="s">
        <v>186</v>
      </c>
      <c r="F2271" s="32" t="s">
        <v>64</v>
      </c>
      <c r="G2271" s="32" t="s">
        <v>50</v>
      </c>
      <c r="H2271" s="33">
        <v>58230</v>
      </c>
      <c r="I2271" s="34">
        <f>Table3[[#This Row],[Volume, kg.]]/1000</f>
        <v>58.23</v>
      </c>
      <c r="J2271" s="34">
        <v>0.24859999999999999</v>
      </c>
      <c r="K2271" s="34">
        <f t="shared" si="70"/>
        <v>14475.977999999999</v>
      </c>
      <c r="L2271" s="34">
        <v>3.77</v>
      </c>
      <c r="M2271" s="34">
        <v>219290.5</v>
      </c>
      <c r="N2271" s="34">
        <f t="shared" si="71"/>
        <v>15.164923572003218</v>
      </c>
    </row>
    <row r="2272" spans="1:14" x14ac:dyDescent="0.45">
      <c r="A2272" s="30">
        <v>2023</v>
      </c>
      <c r="B2272" s="30" t="s">
        <v>19</v>
      </c>
      <c r="C2272" s="30" t="s">
        <v>46</v>
      </c>
      <c r="D2272" s="30" t="s">
        <v>47</v>
      </c>
      <c r="E2272" s="31" t="s">
        <v>187</v>
      </c>
      <c r="F2272" s="32" t="s">
        <v>54</v>
      </c>
      <c r="G2272" s="32" t="s">
        <v>50</v>
      </c>
      <c r="H2272" s="33">
        <v>9250</v>
      </c>
      <c r="I2272" s="34">
        <f>Table3[[#This Row],[Volume, kg.]]/1000</f>
        <v>9.25</v>
      </c>
      <c r="J2272" s="34">
        <v>0.30299999999999999</v>
      </c>
      <c r="K2272" s="34">
        <f t="shared" si="70"/>
        <v>2802.75</v>
      </c>
      <c r="L2272" s="34">
        <v>4.0999999999999996</v>
      </c>
      <c r="M2272" s="34">
        <v>37925</v>
      </c>
      <c r="N2272" s="34">
        <f t="shared" si="71"/>
        <v>13.53135313531353</v>
      </c>
    </row>
    <row r="2273" spans="1:14" x14ac:dyDescent="0.45">
      <c r="A2273" s="30">
        <v>2023</v>
      </c>
      <c r="B2273" s="30" t="s">
        <v>19</v>
      </c>
      <c r="C2273" s="30" t="s">
        <v>46</v>
      </c>
      <c r="D2273" s="30" t="s">
        <v>47</v>
      </c>
      <c r="E2273" s="31" t="s">
        <v>355</v>
      </c>
      <c r="F2273" s="32" t="s">
        <v>60</v>
      </c>
      <c r="G2273" s="32" t="s">
        <v>50</v>
      </c>
      <c r="H2273" s="33">
        <v>25120</v>
      </c>
      <c r="I2273" s="34">
        <f>Table3[[#This Row],[Volume, kg.]]/1000</f>
        <v>25.12</v>
      </c>
      <c r="J2273" s="34">
        <v>0.26950000000000002</v>
      </c>
      <c r="K2273" s="34">
        <f t="shared" si="70"/>
        <v>6769.84</v>
      </c>
      <c r="L2273" s="34">
        <v>3.95</v>
      </c>
      <c r="M2273" s="34">
        <v>99323</v>
      </c>
      <c r="N2273" s="34">
        <f t="shared" si="71"/>
        <v>14.656771799628942</v>
      </c>
    </row>
    <row r="2274" spans="1:14" x14ac:dyDescent="0.45">
      <c r="A2274" s="30">
        <v>2023</v>
      </c>
      <c r="B2274" s="30" t="s">
        <v>19</v>
      </c>
      <c r="C2274" s="30" t="s">
        <v>46</v>
      </c>
      <c r="D2274" s="30" t="s">
        <v>102</v>
      </c>
      <c r="E2274" s="31" t="s">
        <v>188</v>
      </c>
      <c r="F2274" s="32" t="s">
        <v>189</v>
      </c>
      <c r="G2274" s="32" t="s">
        <v>128</v>
      </c>
      <c r="H2274" s="33">
        <v>744170</v>
      </c>
      <c r="I2274" s="34">
        <f>Table3[[#This Row],[Volume, kg.]]/1000</f>
        <v>744.17</v>
      </c>
      <c r="J2274" s="34">
        <v>0.26329999999999998</v>
      </c>
      <c r="K2274" s="34">
        <f t="shared" si="70"/>
        <v>195939.96099999998</v>
      </c>
      <c r="L2274" s="34">
        <v>3.9</v>
      </c>
      <c r="M2274" s="34">
        <v>2904443.5</v>
      </c>
      <c r="N2274" s="34">
        <f t="shared" si="71"/>
        <v>14.812001519179644</v>
      </c>
    </row>
    <row r="2275" spans="1:14" x14ac:dyDescent="0.45">
      <c r="A2275" s="30">
        <v>2023</v>
      </c>
      <c r="B2275" s="30" t="s">
        <v>19</v>
      </c>
      <c r="C2275" s="30" t="s">
        <v>46</v>
      </c>
      <c r="D2275" s="30" t="s">
        <v>47</v>
      </c>
      <c r="E2275" s="31" t="s">
        <v>190</v>
      </c>
      <c r="F2275" s="32" t="s">
        <v>81</v>
      </c>
      <c r="G2275" s="32" t="s">
        <v>50</v>
      </c>
      <c r="H2275" s="33">
        <v>84050</v>
      </c>
      <c r="I2275" s="34">
        <f>Table3[[#This Row],[Volume, kg.]]/1000</f>
        <v>84.05</v>
      </c>
      <c r="J2275" s="34">
        <v>0.28100000000000003</v>
      </c>
      <c r="K2275" s="34">
        <f t="shared" si="70"/>
        <v>23618.050000000003</v>
      </c>
      <c r="L2275" s="34">
        <v>3.92</v>
      </c>
      <c r="M2275" s="34">
        <v>329151</v>
      </c>
      <c r="N2275" s="34">
        <f t="shared" si="71"/>
        <v>13.950177935943058</v>
      </c>
    </row>
    <row r="2276" spans="1:14" x14ac:dyDescent="0.45">
      <c r="A2276" s="30">
        <v>2023</v>
      </c>
      <c r="B2276" s="30" t="s">
        <v>19</v>
      </c>
      <c r="C2276" s="30" t="s">
        <v>46</v>
      </c>
      <c r="D2276" s="30" t="s">
        <v>47</v>
      </c>
      <c r="E2276" s="31" t="s">
        <v>192</v>
      </c>
      <c r="F2276" s="32" t="s">
        <v>49</v>
      </c>
      <c r="G2276" s="32" t="s">
        <v>50</v>
      </c>
      <c r="H2276" s="33">
        <v>16400</v>
      </c>
      <c r="I2276" s="34">
        <f>Table3[[#This Row],[Volume, kg.]]/1000</f>
        <v>16.399999999999999</v>
      </c>
      <c r="J2276" s="34">
        <v>0.32049999999999995</v>
      </c>
      <c r="K2276" s="34">
        <f t="shared" si="70"/>
        <v>5256.1999999999989</v>
      </c>
      <c r="L2276" s="34">
        <v>4.2</v>
      </c>
      <c r="M2276" s="34">
        <v>68833</v>
      </c>
      <c r="N2276" s="34">
        <f t="shared" si="71"/>
        <v>13.104524180967241</v>
      </c>
    </row>
    <row r="2277" spans="1:14" x14ac:dyDescent="0.45">
      <c r="A2277" s="30">
        <v>2023</v>
      </c>
      <c r="B2277" s="30" t="s">
        <v>19</v>
      </c>
      <c r="C2277" s="30" t="s">
        <v>46</v>
      </c>
      <c r="D2277" s="30" t="s">
        <v>47</v>
      </c>
      <c r="E2277" s="31" t="s">
        <v>302</v>
      </c>
      <c r="F2277" s="32" t="s">
        <v>49</v>
      </c>
      <c r="G2277" s="32" t="s">
        <v>50</v>
      </c>
      <c r="H2277" s="33">
        <v>17700</v>
      </c>
      <c r="I2277" s="34">
        <f>Table3[[#This Row],[Volume, kg.]]/1000</f>
        <v>17.7</v>
      </c>
      <c r="J2277" s="34">
        <v>0.27750000000000002</v>
      </c>
      <c r="K2277" s="34">
        <f t="shared" si="70"/>
        <v>4911.75</v>
      </c>
      <c r="L2277" s="34">
        <v>3.87</v>
      </c>
      <c r="M2277" s="34">
        <v>68539.5</v>
      </c>
      <c r="N2277" s="34">
        <f t="shared" si="71"/>
        <v>13.945945945945946</v>
      </c>
    </row>
    <row r="2278" spans="1:14" x14ac:dyDescent="0.45">
      <c r="A2278" s="30">
        <v>2023</v>
      </c>
      <c r="B2278" s="30" t="s">
        <v>19</v>
      </c>
      <c r="C2278" s="30" t="s">
        <v>46</v>
      </c>
      <c r="D2278" s="30" t="s">
        <v>47</v>
      </c>
      <c r="E2278" s="31" t="s">
        <v>303</v>
      </c>
      <c r="F2278" s="32" t="s">
        <v>57</v>
      </c>
      <c r="G2278" s="32" t="s">
        <v>50</v>
      </c>
      <c r="H2278" s="33">
        <v>9030</v>
      </c>
      <c r="I2278" s="34">
        <f>Table3[[#This Row],[Volume, kg.]]/1000</f>
        <v>9.0299999999999994</v>
      </c>
      <c r="J2278" s="34">
        <v>0.30409999999999998</v>
      </c>
      <c r="K2278" s="34">
        <f t="shared" si="70"/>
        <v>2746.0229999999997</v>
      </c>
      <c r="L2278" s="34">
        <v>4.07</v>
      </c>
      <c r="M2278" s="34">
        <v>36775.5</v>
      </c>
      <c r="N2278" s="34">
        <f t="shared" si="71"/>
        <v>13.383755343636963</v>
      </c>
    </row>
    <row r="2279" spans="1:14" x14ac:dyDescent="0.45">
      <c r="A2279" s="30">
        <v>2023</v>
      </c>
      <c r="B2279" s="30" t="s">
        <v>19</v>
      </c>
      <c r="C2279" s="30" t="s">
        <v>46</v>
      </c>
      <c r="D2279" s="30" t="s">
        <v>47</v>
      </c>
      <c r="E2279" s="31" t="s">
        <v>194</v>
      </c>
      <c r="F2279" s="32" t="s">
        <v>49</v>
      </c>
      <c r="G2279" s="32" t="s">
        <v>50</v>
      </c>
      <c r="H2279" s="33">
        <v>55230</v>
      </c>
      <c r="I2279" s="34">
        <f>Table3[[#This Row],[Volume, kg.]]/1000</f>
        <v>55.23</v>
      </c>
      <c r="J2279" s="34">
        <v>0.26419999999999999</v>
      </c>
      <c r="K2279" s="34">
        <f t="shared" si="70"/>
        <v>14591.766</v>
      </c>
      <c r="L2279" s="34">
        <v>3.85</v>
      </c>
      <c r="M2279" s="34">
        <v>212849.5</v>
      </c>
      <c r="N2279" s="34">
        <f t="shared" si="71"/>
        <v>14.572293716881152</v>
      </c>
    </row>
    <row r="2280" spans="1:14" x14ac:dyDescent="0.45">
      <c r="A2280" s="30">
        <v>2023</v>
      </c>
      <c r="B2280" s="30" t="s">
        <v>19</v>
      </c>
      <c r="C2280" s="30" t="s">
        <v>46</v>
      </c>
      <c r="D2280" s="30" t="s">
        <v>47</v>
      </c>
      <c r="E2280" s="31" t="s">
        <v>388</v>
      </c>
      <c r="F2280" s="32" t="s">
        <v>134</v>
      </c>
      <c r="G2280" s="32" t="s">
        <v>50</v>
      </c>
      <c r="H2280" s="33">
        <v>134590</v>
      </c>
      <c r="I2280" s="34">
        <f>Table3[[#This Row],[Volume, kg.]]/1000</f>
        <v>134.59</v>
      </c>
      <c r="J2280" s="34">
        <v>0.27390000000000003</v>
      </c>
      <c r="K2280" s="34">
        <f t="shared" si="70"/>
        <v>36864.201000000001</v>
      </c>
      <c r="L2280" s="34">
        <v>3.89</v>
      </c>
      <c r="M2280" s="34">
        <v>523637.5</v>
      </c>
      <c r="N2280" s="34">
        <f t="shared" si="71"/>
        <v>14.202263599853961</v>
      </c>
    </row>
    <row r="2281" spans="1:14" x14ac:dyDescent="0.45">
      <c r="A2281" s="30">
        <v>2023</v>
      </c>
      <c r="B2281" s="30" t="s">
        <v>19</v>
      </c>
      <c r="C2281" s="30" t="s">
        <v>46</v>
      </c>
      <c r="D2281" s="30" t="s">
        <v>47</v>
      </c>
      <c r="E2281" s="31" t="s">
        <v>305</v>
      </c>
      <c r="F2281" s="32" t="s">
        <v>64</v>
      </c>
      <c r="G2281" s="32" t="s">
        <v>50</v>
      </c>
      <c r="H2281" s="33">
        <v>180550</v>
      </c>
      <c r="I2281" s="34">
        <f>Table3[[#This Row],[Volume, kg.]]/1000</f>
        <v>180.55</v>
      </c>
      <c r="J2281" s="34">
        <v>0.25180000000000002</v>
      </c>
      <c r="K2281" s="34">
        <f t="shared" si="70"/>
        <v>45462.490000000005</v>
      </c>
      <c r="L2281" s="34">
        <v>3.8</v>
      </c>
      <c r="M2281" s="34">
        <v>686668</v>
      </c>
      <c r="N2281" s="34">
        <f t="shared" si="71"/>
        <v>15.091342335186654</v>
      </c>
    </row>
    <row r="2282" spans="1:14" x14ac:dyDescent="0.45">
      <c r="A2282" s="30">
        <v>2023</v>
      </c>
      <c r="B2282" s="30" t="s">
        <v>19</v>
      </c>
      <c r="C2282" s="30" t="s">
        <v>46</v>
      </c>
      <c r="D2282" s="30" t="s">
        <v>47</v>
      </c>
      <c r="E2282" s="31" t="s">
        <v>308</v>
      </c>
      <c r="F2282" s="32" t="s">
        <v>81</v>
      </c>
      <c r="G2282" s="32" t="s">
        <v>50</v>
      </c>
      <c r="H2282" s="33">
        <v>61240</v>
      </c>
      <c r="I2282" s="34">
        <f>Table3[[#This Row],[Volume, kg.]]/1000</f>
        <v>61.24</v>
      </c>
      <c r="J2282" s="34">
        <v>0.28970000000000001</v>
      </c>
      <c r="K2282" s="34">
        <f t="shared" si="70"/>
        <v>17741.227999999999</v>
      </c>
      <c r="L2282" s="34">
        <v>3.94</v>
      </c>
      <c r="M2282" s="34">
        <v>241075</v>
      </c>
      <c r="N2282" s="34">
        <f t="shared" si="71"/>
        <v>13.60027614773904</v>
      </c>
    </row>
    <row r="2283" spans="1:14" x14ac:dyDescent="0.45">
      <c r="A2283" s="30">
        <v>2023</v>
      </c>
      <c r="B2283" s="30" t="s">
        <v>19</v>
      </c>
      <c r="C2283" s="30" t="s">
        <v>46</v>
      </c>
      <c r="D2283" s="30" t="s">
        <v>47</v>
      </c>
      <c r="E2283" s="31" t="s">
        <v>200</v>
      </c>
      <c r="F2283" s="32" t="s">
        <v>64</v>
      </c>
      <c r="G2283" s="32" t="s">
        <v>50</v>
      </c>
      <c r="H2283" s="33">
        <v>48760</v>
      </c>
      <c r="I2283" s="34">
        <f>Table3[[#This Row],[Volume, kg.]]/1000</f>
        <v>48.76</v>
      </c>
      <c r="J2283" s="34">
        <v>0.28999999999999998</v>
      </c>
      <c r="K2283" s="34">
        <f t="shared" si="70"/>
        <v>14140.4</v>
      </c>
      <c r="L2283" s="34">
        <v>3.95</v>
      </c>
      <c r="M2283" s="34">
        <v>192602</v>
      </c>
      <c r="N2283" s="34">
        <f t="shared" si="71"/>
        <v>13.620689655172415</v>
      </c>
    </row>
    <row r="2284" spans="1:14" x14ac:dyDescent="0.45">
      <c r="A2284" s="30">
        <v>2023</v>
      </c>
      <c r="B2284" s="30" t="s">
        <v>19</v>
      </c>
      <c r="C2284" s="30" t="s">
        <v>46</v>
      </c>
      <c r="D2284" s="30" t="s">
        <v>47</v>
      </c>
      <c r="E2284" s="31" t="s">
        <v>201</v>
      </c>
      <c r="F2284" s="32" t="s">
        <v>49</v>
      </c>
      <c r="G2284" s="32" t="s">
        <v>50</v>
      </c>
      <c r="H2284" s="33">
        <v>15420</v>
      </c>
      <c r="I2284" s="34">
        <f>Table3[[#This Row],[Volume, kg.]]/1000</f>
        <v>15.42</v>
      </c>
      <c r="J2284" s="34">
        <v>0.25530000000000003</v>
      </c>
      <c r="K2284" s="34">
        <f t="shared" si="70"/>
        <v>3936.7260000000006</v>
      </c>
      <c r="L2284" s="34">
        <v>3.9</v>
      </c>
      <c r="M2284" s="34">
        <v>60138</v>
      </c>
      <c r="N2284" s="34">
        <f t="shared" si="71"/>
        <v>15.276145710928319</v>
      </c>
    </row>
    <row r="2285" spans="1:14" x14ac:dyDescent="0.45">
      <c r="A2285" s="30">
        <v>2023</v>
      </c>
      <c r="B2285" s="30" t="s">
        <v>19</v>
      </c>
      <c r="C2285" s="30" t="s">
        <v>46</v>
      </c>
      <c r="D2285" s="30" t="s">
        <v>47</v>
      </c>
      <c r="E2285" s="31" t="s">
        <v>356</v>
      </c>
      <c r="F2285" s="32" t="s">
        <v>49</v>
      </c>
      <c r="G2285" s="32" t="s">
        <v>50</v>
      </c>
      <c r="H2285" s="33">
        <v>6500</v>
      </c>
      <c r="I2285" s="34">
        <f>Table3[[#This Row],[Volume, kg.]]/1000</f>
        <v>6.5</v>
      </c>
      <c r="J2285" s="34">
        <v>0.31530000000000002</v>
      </c>
      <c r="K2285" s="34">
        <f t="shared" si="70"/>
        <v>2049.4500000000003</v>
      </c>
      <c r="L2285" s="34">
        <v>4.08</v>
      </c>
      <c r="M2285" s="34">
        <v>26543</v>
      </c>
      <c r="N2285" s="34">
        <f t="shared" si="71"/>
        <v>12.940057088487155</v>
      </c>
    </row>
    <row r="2286" spans="1:14" x14ac:dyDescent="0.45">
      <c r="A2286" s="30">
        <v>2023</v>
      </c>
      <c r="B2286" s="30" t="s">
        <v>19</v>
      </c>
      <c r="C2286" s="30" t="s">
        <v>46</v>
      </c>
      <c r="D2286" s="30" t="s">
        <v>47</v>
      </c>
      <c r="E2286" s="31" t="s">
        <v>561</v>
      </c>
      <c r="F2286" s="32" t="s">
        <v>54</v>
      </c>
      <c r="G2286" s="32" t="s">
        <v>50</v>
      </c>
      <c r="H2286" s="33">
        <v>106090</v>
      </c>
      <c r="I2286" s="34">
        <f>Table3[[#This Row],[Volume, kg.]]/1000</f>
        <v>106.09</v>
      </c>
      <c r="J2286" s="34">
        <v>0.26530000000000004</v>
      </c>
      <c r="K2286" s="34">
        <f t="shared" si="70"/>
        <v>28145.677000000003</v>
      </c>
      <c r="L2286" s="34">
        <v>3.86</v>
      </c>
      <c r="M2286" s="34">
        <v>409693.5</v>
      </c>
      <c r="N2286" s="34">
        <f t="shared" si="71"/>
        <v>14.549566528458346</v>
      </c>
    </row>
    <row r="2287" spans="1:14" x14ac:dyDescent="0.45">
      <c r="A2287" s="30">
        <v>2023</v>
      </c>
      <c r="B2287" s="30" t="s">
        <v>19</v>
      </c>
      <c r="C2287" s="30" t="s">
        <v>46</v>
      </c>
      <c r="D2287" s="30" t="s">
        <v>47</v>
      </c>
      <c r="E2287" s="32" t="s">
        <v>203</v>
      </c>
      <c r="F2287" s="32" t="s">
        <v>57</v>
      </c>
      <c r="G2287" s="32" t="s">
        <v>50</v>
      </c>
      <c r="H2287" s="33">
        <v>61810</v>
      </c>
      <c r="I2287" s="34">
        <f>Table3[[#This Row],[Volume, kg.]]/1000</f>
        <v>61.81</v>
      </c>
      <c r="J2287" s="34">
        <v>0.27879999999999999</v>
      </c>
      <c r="K2287" s="34">
        <f t="shared" si="70"/>
        <v>17232.628000000001</v>
      </c>
      <c r="L2287" s="34">
        <v>3.94</v>
      </c>
      <c r="M2287" s="34">
        <v>243822.5</v>
      </c>
      <c r="N2287" s="34">
        <f t="shared" si="71"/>
        <v>14.131994261119083</v>
      </c>
    </row>
    <row r="2288" spans="1:14" x14ac:dyDescent="0.45">
      <c r="A2288" s="30">
        <v>2023</v>
      </c>
      <c r="B2288" s="30" t="s">
        <v>19</v>
      </c>
      <c r="C2288" s="30" t="s">
        <v>46</v>
      </c>
      <c r="D2288" s="30" t="s">
        <v>47</v>
      </c>
      <c r="E2288" s="32" t="s">
        <v>204</v>
      </c>
      <c r="F2288" s="32" t="s">
        <v>49</v>
      </c>
      <c r="G2288" s="32" t="s">
        <v>50</v>
      </c>
      <c r="H2288" s="33">
        <v>33680</v>
      </c>
      <c r="I2288" s="34">
        <f>Table3[[#This Row],[Volume, kg.]]/1000</f>
        <v>33.68</v>
      </c>
      <c r="J2288" s="34">
        <v>0.2893</v>
      </c>
      <c r="K2288" s="34">
        <f t="shared" si="70"/>
        <v>9743.6239999999998</v>
      </c>
      <c r="L2288" s="34">
        <v>3.98</v>
      </c>
      <c r="M2288" s="34">
        <v>134147.5</v>
      </c>
      <c r="N2288" s="34">
        <f t="shared" si="71"/>
        <v>13.757345316280677</v>
      </c>
    </row>
    <row r="2289" spans="1:14" x14ac:dyDescent="0.45">
      <c r="A2289" s="30">
        <v>2023</v>
      </c>
      <c r="B2289" s="30" t="s">
        <v>19</v>
      </c>
      <c r="C2289" s="30" t="s">
        <v>46</v>
      </c>
      <c r="D2289" s="30" t="s">
        <v>47</v>
      </c>
      <c r="E2289" s="32" t="s">
        <v>205</v>
      </c>
      <c r="F2289" s="32" t="s">
        <v>49</v>
      </c>
      <c r="G2289" s="32" t="s">
        <v>50</v>
      </c>
      <c r="H2289" s="33">
        <v>10630</v>
      </c>
      <c r="I2289" s="34">
        <f>Table3[[#This Row],[Volume, kg.]]/1000</f>
        <v>10.63</v>
      </c>
      <c r="J2289" s="34">
        <v>0.2298</v>
      </c>
      <c r="K2289" s="34">
        <f t="shared" si="70"/>
        <v>2442.7739999999999</v>
      </c>
      <c r="L2289" s="34">
        <v>3.75</v>
      </c>
      <c r="M2289" s="34">
        <v>39862.5</v>
      </c>
      <c r="N2289" s="34">
        <f t="shared" si="71"/>
        <v>16.318537859007833</v>
      </c>
    </row>
    <row r="2290" spans="1:14" x14ac:dyDescent="0.45">
      <c r="A2290" s="30">
        <v>2023</v>
      </c>
      <c r="B2290" s="30" t="s">
        <v>19</v>
      </c>
      <c r="C2290" s="30" t="s">
        <v>46</v>
      </c>
      <c r="D2290" s="30" t="s">
        <v>47</v>
      </c>
      <c r="E2290" s="32" t="s">
        <v>206</v>
      </c>
      <c r="F2290" s="32" t="s">
        <v>81</v>
      </c>
      <c r="G2290" s="32" t="s">
        <v>50</v>
      </c>
      <c r="H2290" s="33">
        <v>232160</v>
      </c>
      <c r="I2290" s="34">
        <f>Table3[[#This Row],[Volume, kg.]]/1000</f>
        <v>232.16</v>
      </c>
      <c r="J2290" s="34">
        <v>0.26919999999999999</v>
      </c>
      <c r="K2290" s="34">
        <f t="shared" si="70"/>
        <v>62497.472000000002</v>
      </c>
      <c r="L2290" s="34">
        <v>3.86</v>
      </c>
      <c r="M2290" s="34">
        <v>895159</v>
      </c>
      <c r="N2290" s="34">
        <f t="shared" si="71"/>
        <v>14.338781575037148</v>
      </c>
    </row>
    <row r="2291" spans="1:14" x14ac:dyDescent="0.45">
      <c r="A2291" s="30">
        <v>2023</v>
      </c>
      <c r="B2291" s="30" t="s">
        <v>19</v>
      </c>
      <c r="C2291" s="30" t="s">
        <v>46</v>
      </c>
      <c r="D2291" s="30" t="s">
        <v>47</v>
      </c>
      <c r="E2291" s="32" t="s">
        <v>208</v>
      </c>
      <c r="F2291" s="32" t="s">
        <v>49</v>
      </c>
      <c r="G2291" s="32" t="s">
        <v>50</v>
      </c>
      <c r="H2291" s="33">
        <v>7080</v>
      </c>
      <c r="I2291" s="34">
        <f>Table3[[#This Row],[Volume, kg.]]/1000</f>
        <v>7.08</v>
      </c>
      <c r="J2291" s="34">
        <v>0.28949999999999998</v>
      </c>
      <c r="K2291" s="34">
        <f t="shared" si="70"/>
        <v>2049.66</v>
      </c>
      <c r="L2291" s="34">
        <v>3.95</v>
      </c>
      <c r="M2291" s="34">
        <v>27966</v>
      </c>
      <c r="N2291" s="34">
        <f t="shared" si="71"/>
        <v>13.644214162348879</v>
      </c>
    </row>
    <row r="2292" spans="1:14" x14ac:dyDescent="0.45">
      <c r="A2292" s="30">
        <v>2023</v>
      </c>
      <c r="B2292" s="30" t="s">
        <v>19</v>
      </c>
      <c r="C2292" s="30" t="s">
        <v>46</v>
      </c>
      <c r="D2292" s="30" t="s">
        <v>47</v>
      </c>
      <c r="E2292" s="32" t="s">
        <v>209</v>
      </c>
      <c r="F2292" s="32" t="s">
        <v>49</v>
      </c>
      <c r="G2292" s="32" t="s">
        <v>50</v>
      </c>
      <c r="H2292" s="33">
        <v>9590</v>
      </c>
      <c r="I2292" s="34">
        <f>Table3[[#This Row],[Volume, kg.]]/1000</f>
        <v>9.59</v>
      </c>
      <c r="J2292" s="34">
        <v>0.28600000000000003</v>
      </c>
      <c r="K2292" s="34">
        <f t="shared" si="70"/>
        <v>2742.7400000000002</v>
      </c>
      <c r="L2292" s="34">
        <v>3.95</v>
      </c>
      <c r="M2292" s="34">
        <v>37880.5</v>
      </c>
      <c r="N2292" s="34">
        <f t="shared" si="71"/>
        <v>13.81118881118881</v>
      </c>
    </row>
    <row r="2293" spans="1:14" x14ac:dyDescent="0.45">
      <c r="A2293" s="30">
        <v>2023</v>
      </c>
      <c r="B2293" s="30" t="s">
        <v>19</v>
      </c>
      <c r="C2293" s="30" t="s">
        <v>46</v>
      </c>
      <c r="D2293" s="30" t="s">
        <v>47</v>
      </c>
      <c r="E2293" s="32" t="s">
        <v>210</v>
      </c>
      <c r="F2293" s="32" t="s">
        <v>60</v>
      </c>
      <c r="G2293" s="32" t="s">
        <v>50</v>
      </c>
      <c r="H2293" s="33">
        <v>42420</v>
      </c>
      <c r="I2293" s="34">
        <f>Table3[[#This Row],[Volume, kg.]]/1000</f>
        <v>42.42</v>
      </c>
      <c r="J2293" s="34">
        <v>0.27800000000000002</v>
      </c>
      <c r="K2293" s="34">
        <f t="shared" si="70"/>
        <v>11792.76</v>
      </c>
      <c r="L2293" s="34">
        <v>3.93</v>
      </c>
      <c r="M2293" s="34">
        <v>166515</v>
      </c>
      <c r="N2293" s="34">
        <f t="shared" si="71"/>
        <v>14.136690647482014</v>
      </c>
    </row>
    <row r="2294" spans="1:14" x14ac:dyDescent="0.45">
      <c r="A2294" s="30">
        <v>2023</v>
      </c>
      <c r="B2294" s="30" t="s">
        <v>19</v>
      </c>
      <c r="C2294" s="30" t="s">
        <v>46</v>
      </c>
      <c r="D2294" s="30" t="s">
        <v>47</v>
      </c>
      <c r="E2294" s="32" t="s">
        <v>213</v>
      </c>
      <c r="F2294" s="32" t="s">
        <v>49</v>
      </c>
      <c r="G2294" s="32" t="s">
        <v>50</v>
      </c>
      <c r="H2294" s="33">
        <v>89910</v>
      </c>
      <c r="I2294" s="34">
        <f>Table3[[#This Row],[Volume, kg.]]/1000</f>
        <v>89.91</v>
      </c>
      <c r="J2294" s="34">
        <v>0.27260000000000001</v>
      </c>
      <c r="K2294" s="34">
        <f t="shared" si="70"/>
        <v>24509.466</v>
      </c>
      <c r="L2294" s="34">
        <v>3.86</v>
      </c>
      <c r="M2294" s="34">
        <v>346819.5</v>
      </c>
      <c r="N2294" s="34">
        <f t="shared" si="71"/>
        <v>14.159941305942773</v>
      </c>
    </row>
    <row r="2295" spans="1:14" x14ac:dyDescent="0.45">
      <c r="A2295" s="30">
        <v>2023</v>
      </c>
      <c r="B2295" s="30" t="s">
        <v>19</v>
      </c>
      <c r="C2295" s="30" t="s">
        <v>46</v>
      </c>
      <c r="D2295" s="30" t="s">
        <v>47</v>
      </c>
      <c r="E2295" s="32" t="s">
        <v>363</v>
      </c>
      <c r="F2295" s="32" t="s">
        <v>60</v>
      </c>
      <c r="G2295" s="32" t="s">
        <v>50</v>
      </c>
      <c r="H2295" s="33">
        <v>5240</v>
      </c>
      <c r="I2295" s="34">
        <f>Table3[[#This Row],[Volume, kg.]]/1000</f>
        <v>5.24</v>
      </c>
      <c r="J2295" s="34">
        <v>0.28399999999999997</v>
      </c>
      <c r="K2295" s="34">
        <f t="shared" si="70"/>
        <v>1488.1599999999999</v>
      </c>
      <c r="L2295" s="34">
        <v>4</v>
      </c>
      <c r="M2295" s="34">
        <v>20960</v>
      </c>
      <c r="N2295" s="34">
        <f t="shared" si="71"/>
        <v>14.084507042253522</v>
      </c>
    </row>
    <row r="2296" spans="1:14" x14ac:dyDescent="0.45">
      <c r="A2296" s="30">
        <v>2023</v>
      </c>
      <c r="B2296" s="30" t="s">
        <v>19</v>
      </c>
      <c r="C2296" s="30" t="s">
        <v>46</v>
      </c>
      <c r="D2296" s="30" t="s">
        <v>47</v>
      </c>
      <c r="E2296" s="32" t="s">
        <v>214</v>
      </c>
      <c r="F2296" s="32" t="s">
        <v>64</v>
      </c>
      <c r="G2296" s="32" t="s">
        <v>50</v>
      </c>
      <c r="H2296" s="33">
        <v>78880</v>
      </c>
      <c r="I2296" s="34">
        <f>Table3[[#This Row],[Volume, kg.]]/1000</f>
        <v>78.88</v>
      </c>
      <c r="J2296" s="34">
        <v>0.26839999999999997</v>
      </c>
      <c r="K2296" s="34">
        <f t="shared" si="70"/>
        <v>21171.391999999996</v>
      </c>
      <c r="L2296" s="34">
        <v>3.83</v>
      </c>
      <c r="M2296" s="34">
        <v>302311.5</v>
      </c>
      <c r="N2296" s="34">
        <f t="shared" si="71"/>
        <v>14.269746646795829</v>
      </c>
    </row>
    <row r="2297" spans="1:14" x14ac:dyDescent="0.45">
      <c r="A2297" s="30">
        <v>2023</v>
      </c>
      <c r="B2297" s="30" t="s">
        <v>19</v>
      </c>
      <c r="C2297" s="30" t="s">
        <v>46</v>
      </c>
      <c r="D2297" s="30" t="s">
        <v>47</v>
      </c>
      <c r="E2297" s="32" t="s">
        <v>391</v>
      </c>
      <c r="F2297" s="32" t="s">
        <v>60</v>
      </c>
      <c r="G2297" s="32" t="s">
        <v>50</v>
      </c>
      <c r="H2297" s="33">
        <v>17910</v>
      </c>
      <c r="I2297" s="34">
        <f>Table3[[#This Row],[Volume, kg.]]/1000</f>
        <v>17.91</v>
      </c>
      <c r="J2297" s="34">
        <v>0.2903</v>
      </c>
      <c r="K2297" s="34">
        <f t="shared" si="70"/>
        <v>5199.2730000000001</v>
      </c>
      <c r="L2297" s="34">
        <v>4.05</v>
      </c>
      <c r="M2297" s="34">
        <v>72535.5</v>
      </c>
      <c r="N2297" s="34">
        <f t="shared" si="71"/>
        <v>13.951085084395451</v>
      </c>
    </row>
    <row r="2298" spans="1:14" x14ac:dyDescent="0.45">
      <c r="A2298" s="30">
        <v>2023</v>
      </c>
      <c r="B2298" s="30" t="s">
        <v>19</v>
      </c>
      <c r="C2298" s="30" t="s">
        <v>46</v>
      </c>
      <c r="D2298" s="30" t="s">
        <v>47</v>
      </c>
      <c r="E2298" s="32" t="s">
        <v>489</v>
      </c>
      <c r="F2298" s="32" t="s">
        <v>81</v>
      </c>
      <c r="G2298" s="32" t="s">
        <v>50</v>
      </c>
      <c r="H2298" s="33">
        <v>40320</v>
      </c>
      <c r="I2298" s="34">
        <f>Table3[[#This Row],[Volume, kg.]]/1000</f>
        <v>40.32</v>
      </c>
      <c r="J2298" s="34">
        <v>0.2717</v>
      </c>
      <c r="K2298" s="34">
        <f t="shared" si="70"/>
        <v>10954.944</v>
      </c>
      <c r="L2298" s="34">
        <v>3.86</v>
      </c>
      <c r="M2298" s="34">
        <v>155815</v>
      </c>
      <c r="N2298" s="34">
        <f t="shared" si="71"/>
        <v>14.206845785793154</v>
      </c>
    </row>
    <row r="2299" spans="1:14" x14ac:dyDescent="0.45">
      <c r="A2299" s="30">
        <v>2023</v>
      </c>
      <c r="B2299" s="30" t="s">
        <v>19</v>
      </c>
      <c r="C2299" s="30" t="s">
        <v>46</v>
      </c>
      <c r="D2299" s="30" t="s">
        <v>47</v>
      </c>
      <c r="E2299" s="32" t="s">
        <v>394</v>
      </c>
      <c r="F2299" s="32" t="s">
        <v>64</v>
      </c>
      <c r="G2299" s="32" t="s">
        <v>50</v>
      </c>
      <c r="H2299" s="33">
        <v>46010</v>
      </c>
      <c r="I2299" s="34">
        <f>Table3[[#This Row],[Volume, kg.]]/1000</f>
        <v>46.01</v>
      </c>
      <c r="J2299" s="34">
        <v>0.2903</v>
      </c>
      <c r="K2299" s="34">
        <f t="shared" si="70"/>
        <v>13356.703</v>
      </c>
      <c r="L2299" s="34">
        <v>4.04</v>
      </c>
      <c r="M2299" s="34">
        <v>186020.5</v>
      </c>
      <c r="N2299" s="34">
        <f t="shared" si="71"/>
        <v>13.916637960730279</v>
      </c>
    </row>
    <row r="2300" spans="1:14" x14ac:dyDescent="0.45">
      <c r="A2300" s="30">
        <v>2023</v>
      </c>
      <c r="B2300" s="30" t="s">
        <v>19</v>
      </c>
      <c r="C2300" s="30" t="s">
        <v>46</v>
      </c>
      <c r="D2300" s="30" t="s">
        <v>47</v>
      </c>
      <c r="E2300" s="32" t="s">
        <v>216</v>
      </c>
      <c r="F2300" s="32" t="s">
        <v>64</v>
      </c>
      <c r="G2300" s="32" t="s">
        <v>50</v>
      </c>
      <c r="H2300" s="33">
        <v>70760</v>
      </c>
      <c r="I2300" s="34">
        <f>Table3[[#This Row],[Volume, kg.]]/1000</f>
        <v>70.760000000000005</v>
      </c>
      <c r="J2300" s="34">
        <v>0.25619999999999998</v>
      </c>
      <c r="K2300" s="34">
        <f t="shared" si="70"/>
        <v>18128.712</v>
      </c>
      <c r="L2300" s="34">
        <v>3.78</v>
      </c>
      <c r="M2300" s="34">
        <v>267489.5</v>
      </c>
      <c r="N2300" s="34">
        <f t="shared" si="71"/>
        <v>14.754098360655737</v>
      </c>
    </row>
    <row r="2301" spans="1:14" x14ac:dyDescent="0.45">
      <c r="A2301" s="30">
        <v>2023</v>
      </c>
      <c r="B2301" s="30" t="s">
        <v>19</v>
      </c>
      <c r="C2301" s="30" t="s">
        <v>46</v>
      </c>
      <c r="D2301" s="30" t="s">
        <v>47</v>
      </c>
      <c r="E2301" s="32" t="s">
        <v>314</v>
      </c>
      <c r="F2301" s="32" t="s">
        <v>57</v>
      </c>
      <c r="G2301" s="32" t="s">
        <v>50</v>
      </c>
      <c r="H2301" s="33">
        <v>21390</v>
      </c>
      <c r="I2301" s="34">
        <f>Table3[[#This Row],[Volume, kg.]]/1000</f>
        <v>21.39</v>
      </c>
      <c r="J2301" s="34">
        <v>0.28410000000000002</v>
      </c>
      <c r="K2301" s="34">
        <f t="shared" si="70"/>
        <v>6076.8990000000003</v>
      </c>
      <c r="L2301" s="34">
        <v>3.93</v>
      </c>
      <c r="M2301" s="34">
        <v>84083.5</v>
      </c>
      <c r="N2301" s="34">
        <f t="shared" si="71"/>
        <v>13.833157338965153</v>
      </c>
    </row>
    <row r="2302" spans="1:14" x14ac:dyDescent="0.45">
      <c r="A2302" s="30">
        <v>2023</v>
      </c>
      <c r="B2302" s="30" t="s">
        <v>19</v>
      </c>
      <c r="C2302" s="30" t="s">
        <v>46</v>
      </c>
      <c r="D2302" s="30" t="s">
        <v>47</v>
      </c>
      <c r="E2302" s="32" t="s">
        <v>492</v>
      </c>
      <c r="F2302" s="32" t="s">
        <v>57</v>
      </c>
      <c r="G2302" s="32" t="s">
        <v>50</v>
      </c>
      <c r="H2302" s="33">
        <v>85320</v>
      </c>
      <c r="I2302" s="34">
        <f>Table3[[#This Row],[Volume, kg.]]/1000</f>
        <v>85.32</v>
      </c>
      <c r="J2302" s="34">
        <v>0.26789999999999997</v>
      </c>
      <c r="K2302" s="34">
        <f t="shared" si="70"/>
        <v>22857.227999999999</v>
      </c>
      <c r="L2302" s="34">
        <v>3.87</v>
      </c>
      <c r="M2302" s="34">
        <v>330261</v>
      </c>
      <c r="N2302" s="34">
        <f t="shared" si="71"/>
        <v>14.445688689809632</v>
      </c>
    </row>
    <row r="2303" spans="1:14" x14ac:dyDescent="0.45">
      <c r="A2303" s="30">
        <v>2023</v>
      </c>
      <c r="B2303" s="30" t="s">
        <v>19</v>
      </c>
      <c r="C2303" s="30" t="s">
        <v>46</v>
      </c>
      <c r="D2303" s="30" t="s">
        <v>47</v>
      </c>
      <c r="E2303" s="32" t="s">
        <v>562</v>
      </c>
      <c r="F2303" s="32" t="s">
        <v>64</v>
      </c>
      <c r="G2303" s="32" t="s">
        <v>50</v>
      </c>
      <c r="H2303" s="33">
        <v>10950</v>
      </c>
      <c r="I2303" s="34">
        <f>Table3[[#This Row],[Volume, kg.]]/1000</f>
        <v>10.95</v>
      </c>
      <c r="J2303" s="34">
        <v>0.26100000000000001</v>
      </c>
      <c r="K2303" s="34">
        <f t="shared" si="70"/>
        <v>2857.9500000000003</v>
      </c>
      <c r="L2303" s="34">
        <v>3.8</v>
      </c>
      <c r="M2303" s="34">
        <v>41610</v>
      </c>
      <c r="N2303" s="34">
        <f t="shared" si="71"/>
        <v>14.559386973180075</v>
      </c>
    </row>
    <row r="2304" spans="1:14" x14ac:dyDescent="0.45">
      <c r="A2304" s="30">
        <v>2023</v>
      </c>
      <c r="B2304" s="30" t="s">
        <v>19</v>
      </c>
      <c r="C2304" s="30" t="s">
        <v>46</v>
      </c>
      <c r="D2304" s="30" t="s">
        <v>47</v>
      </c>
      <c r="E2304" s="32" t="s">
        <v>218</v>
      </c>
      <c r="F2304" s="32" t="s">
        <v>49</v>
      </c>
      <c r="G2304" s="32" t="s">
        <v>50</v>
      </c>
      <c r="H2304" s="33">
        <v>9060</v>
      </c>
      <c r="I2304" s="34">
        <f>Table3[[#This Row],[Volume, kg.]]/1000</f>
        <v>9.06</v>
      </c>
      <c r="J2304" s="34">
        <v>0.28699999999999998</v>
      </c>
      <c r="K2304" s="34">
        <f t="shared" si="70"/>
        <v>2600.2199999999998</v>
      </c>
      <c r="L2304" s="34">
        <v>3.95</v>
      </c>
      <c r="M2304" s="34">
        <v>35787</v>
      </c>
      <c r="N2304" s="34">
        <f t="shared" si="71"/>
        <v>13.763066202090593</v>
      </c>
    </row>
    <row r="2305" spans="1:14" x14ac:dyDescent="0.45">
      <c r="A2305" s="30">
        <v>2023</v>
      </c>
      <c r="B2305" s="30" t="s">
        <v>19</v>
      </c>
      <c r="C2305" s="30" t="s">
        <v>46</v>
      </c>
      <c r="D2305" s="30" t="s">
        <v>47</v>
      </c>
      <c r="E2305" s="32" t="s">
        <v>220</v>
      </c>
      <c r="F2305" s="32" t="s">
        <v>49</v>
      </c>
      <c r="G2305" s="32" t="s">
        <v>50</v>
      </c>
      <c r="H2305" s="33">
        <v>74180</v>
      </c>
      <c r="I2305" s="34">
        <f>Table3[[#This Row],[Volume, kg.]]/1000</f>
        <v>74.180000000000007</v>
      </c>
      <c r="J2305" s="34">
        <v>0.28939999999999999</v>
      </c>
      <c r="K2305" s="34">
        <f t="shared" si="70"/>
        <v>21467.691999999999</v>
      </c>
      <c r="L2305" s="34">
        <v>4.01</v>
      </c>
      <c r="M2305" s="34">
        <v>297568.5</v>
      </c>
      <c r="N2305" s="34">
        <f t="shared" si="71"/>
        <v>13.856254319281271</v>
      </c>
    </row>
    <row r="2306" spans="1:14" x14ac:dyDescent="0.45">
      <c r="A2306" s="30">
        <v>2023</v>
      </c>
      <c r="B2306" s="30" t="s">
        <v>19</v>
      </c>
      <c r="C2306" s="30" t="s">
        <v>46</v>
      </c>
      <c r="D2306" s="30" t="s">
        <v>47</v>
      </c>
      <c r="E2306" s="32" t="s">
        <v>225</v>
      </c>
      <c r="F2306" s="32" t="s">
        <v>64</v>
      </c>
      <c r="G2306" s="32" t="s">
        <v>50</v>
      </c>
      <c r="H2306" s="33">
        <v>257340</v>
      </c>
      <c r="I2306" s="34">
        <f>Table3[[#This Row],[Volume, kg.]]/1000</f>
        <v>257.33999999999997</v>
      </c>
      <c r="J2306" s="34">
        <v>0.25359999999999999</v>
      </c>
      <c r="K2306" s="34">
        <f t="shared" si="70"/>
        <v>65261.423999999999</v>
      </c>
      <c r="L2306" s="34">
        <v>3.79</v>
      </c>
      <c r="M2306" s="34">
        <v>974958</v>
      </c>
      <c r="N2306" s="34">
        <f t="shared" si="71"/>
        <v>14.944794952681388</v>
      </c>
    </row>
    <row r="2307" spans="1:14" x14ac:dyDescent="0.45">
      <c r="A2307" s="30">
        <v>2023</v>
      </c>
      <c r="B2307" s="30" t="s">
        <v>19</v>
      </c>
      <c r="C2307" s="30" t="s">
        <v>46</v>
      </c>
      <c r="D2307" s="30" t="s">
        <v>47</v>
      </c>
      <c r="E2307" s="32" t="s">
        <v>228</v>
      </c>
      <c r="F2307" s="32" t="s">
        <v>64</v>
      </c>
      <c r="G2307" s="32" t="s">
        <v>50</v>
      </c>
      <c r="H2307" s="33">
        <v>30390</v>
      </c>
      <c r="I2307" s="34">
        <f>Table3[[#This Row],[Volume, kg.]]/1000</f>
        <v>30.39</v>
      </c>
      <c r="J2307" s="34">
        <v>0.2596</v>
      </c>
      <c r="K2307" s="34">
        <f t="shared" ref="K2307:K2370" si="72">H2307*J2307</f>
        <v>7889.2439999999997</v>
      </c>
      <c r="L2307" s="34">
        <v>3.82</v>
      </c>
      <c r="M2307" s="34">
        <v>116003.5</v>
      </c>
      <c r="N2307" s="34">
        <f t="shared" si="71"/>
        <v>14.714946070878273</v>
      </c>
    </row>
    <row r="2308" spans="1:14" x14ac:dyDescent="0.45">
      <c r="A2308" s="30">
        <v>2023</v>
      </c>
      <c r="B2308" s="30" t="s">
        <v>19</v>
      </c>
      <c r="C2308" s="30" t="s">
        <v>46</v>
      </c>
      <c r="D2308" s="30" t="s">
        <v>47</v>
      </c>
      <c r="E2308" s="32" t="s">
        <v>381</v>
      </c>
      <c r="F2308" s="32" t="s">
        <v>49</v>
      </c>
      <c r="G2308" s="32" t="s">
        <v>50</v>
      </c>
      <c r="H2308" s="33">
        <v>10270</v>
      </c>
      <c r="I2308" s="34">
        <f>Table3[[#This Row],[Volume, kg.]]/1000</f>
        <v>10.27</v>
      </c>
      <c r="J2308" s="34">
        <v>0.26400000000000001</v>
      </c>
      <c r="K2308" s="34">
        <f t="shared" si="72"/>
        <v>2711.28</v>
      </c>
      <c r="L2308" s="34">
        <v>3.8</v>
      </c>
      <c r="M2308" s="34">
        <v>39026</v>
      </c>
      <c r="N2308" s="34">
        <f t="shared" ref="N2308:N2371" si="73">L2308/J2308</f>
        <v>14.393939393939393</v>
      </c>
    </row>
    <row r="2309" spans="1:14" x14ac:dyDescent="0.45">
      <c r="A2309" s="30">
        <v>2023</v>
      </c>
      <c r="B2309" s="30" t="s">
        <v>19</v>
      </c>
      <c r="C2309" s="30" t="s">
        <v>46</v>
      </c>
      <c r="D2309" s="30" t="s">
        <v>47</v>
      </c>
      <c r="E2309" s="32" t="s">
        <v>234</v>
      </c>
      <c r="F2309" s="32" t="s">
        <v>49</v>
      </c>
      <c r="G2309" s="32" t="s">
        <v>50</v>
      </c>
      <c r="H2309" s="33">
        <v>11700</v>
      </c>
      <c r="I2309" s="34">
        <f>Table3[[#This Row],[Volume, kg.]]/1000</f>
        <v>11.7</v>
      </c>
      <c r="J2309" s="34">
        <v>0.30469999999999997</v>
      </c>
      <c r="K2309" s="34">
        <f t="shared" si="72"/>
        <v>3564.99</v>
      </c>
      <c r="L2309" s="34">
        <v>4.03</v>
      </c>
      <c r="M2309" s="34">
        <v>47127</v>
      </c>
      <c r="N2309" s="34">
        <f t="shared" si="73"/>
        <v>13.226124056448969</v>
      </c>
    </row>
    <row r="2310" spans="1:14" x14ac:dyDescent="0.45">
      <c r="A2310" s="30">
        <v>2023</v>
      </c>
      <c r="B2310" s="30" t="s">
        <v>19</v>
      </c>
      <c r="C2310" s="30" t="s">
        <v>46</v>
      </c>
      <c r="D2310" s="30" t="s">
        <v>47</v>
      </c>
      <c r="E2310" s="32" t="s">
        <v>236</v>
      </c>
      <c r="F2310" s="32" t="s">
        <v>49</v>
      </c>
      <c r="G2310" s="32" t="s">
        <v>50</v>
      </c>
      <c r="H2310" s="33">
        <v>16290</v>
      </c>
      <c r="I2310" s="34">
        <f>Table3[[#This Row],[Volume, kg.]]/1000</f>
        <v>16.29</v>
      </c>
      <c r="J2310" s="34">
        <v>0.28939999999999999</v>
      </c>
      <c r="K2310" s="34">
        <f t="shared" si="72"/>
        <v>4714.326</v>
      </c>
      <c r="L2310" s="34">
        <v>3.94</v>
      </c>
      <c r="M2310" s="34">
        <v>64164.5</v>
      </c>
      <c r="N2310" s="34">
        <f t="shared" si="73"/>
        <v>13.614374568071874</v>
      </c>
    </row>
    <row r="2311" spans="1:14" x14ac:dyDescent="0.45">
      <c r="A2311" s="30">
        <v>2023</v>
      </c>
      <c r="B2311" s="30" t="s">
        <v>19</v>
      </c>
      <c r="C2311" s="30" t="s">
        <v>46</v>
      </c>
      <c r="D2311" s="30" t="s">
        <v>102</v>
      </c>
      <c r="E2311" s="32" t="s">
        <v>239</v>
      </c>
      <c r="F2311" s="32" t="s">
        <v>240</v>
      </c>
      <c r="G2311" s="32" t="s">
        <v>50</v>
      </c>
      <c r="H2311" s="33">
        <v>86410</v>
      </c>
      <c r="I2311" s="34">
        <f>Table3[[#This Row],[Volume, kg.]]/1000</f>
        <v>86.41</v>
      </c>
      <c r="J2311" s="34">
        <v>0.2626</v>
      </c>
      <c r="K2311" s="34">
        <f t="shared" si="72"/>
        <v>22691.266</v>
      </c>
      <c r="L2311" s="34">
        <v>3.87</v>
      </c>
      <c r="M2311" s="34">
        <v>334229.5</v>
      </c>
      <c r="N2311" s="34">
        <f t="shared" si="73"/>
        <v>14.737242955064737</v>
      </c>
    </row>
    <row r="2312" spans="1:14" x14ac:dyDescent="0.45">
      <c r="A2312" s="30">
        <v>2023</v>
      </c>
      <c r="B2312" s="30" t="s">
        <v>19</v>
      </c>
      <c r="C2312" s="30" t="s">
        <v>46</v>
      </c>
      <c r="D2312" s="30" t="s">
        <v>47</v>
      </c>
      <c r="E2312" s="32" t="s">
        <v>566</v>
      </c>
      <c r="F2312" s="32" t="s">
        <v>134</v>
      </c>
      <c r="G2312" s="32" t="s">
        <v>50</v>
      </c>
      <c r="H2312" s="33">
        <v>15010</v>
      </c>
      <c r="I2312" s="34">
        <f>Table3[[#This Row],[Volume, kg.]]/1000</f>
        <v>15.01</v>
      </c>
      <c r="J2312" s="34">
        <v>0.23350000000000001</v>
      </c>
      <c r="K2312" s="34">
        <f t="shared" si="72"/>
        <v>3504.835</v>
      </c>
      <c r="L2312" s="34">
        <v>3.75</v>
      </c>
      <c r="M2312" s="34">
        <v>56287.5</v>
      </c>
      <c r="N2312" s="34">
        <f t="shared" si="73"/>
        <v>16.059957173447536</v>
      </c>
    </row>
    <row r="2313" spans="1:14" x14ac:dyDescent="0.45">
      <c r="A2313" s="30">
        <v>2023</v>
      </c>
      <c r="B2313" s="30" t="s">
        <v>19</v>
      </c>
      <c r="C2313" s="30" t="s">
        <v>46</v>
      </c>
      <c r="D2313" s="30" t="s">
        <v>47</v>
      </c>
      <c r="E2313" s="32" t="s">
        <v>241</v>
      </c>
      <c r="F2313" s="32" t="s">
        <v>57</v>
      </c>
      <c r="G2313" s="32" t="s">
        <v>50</v>
      </c>
      <c r="H2313" s="33">
        <v>6400</v>
      </c>
      <c r="I2313" s="34">
        <f>Table3[[#This Row],[Volume, kg.]]/1000</f>
        <v>6.4</v>
      </c>
      <c r="J2313" s="34">
        <v>0.26800000000000002</v>
      </c>
      <c r="K2313" s="34">
        <f t="shared" si="72"/>
        <v>1715.2</v>
      </c>
      <c r="L2313" s="34">
        <v>3.85</v>
      </c>
      <c r="M2313" s="34">
        <v>24640</v>
      </c>
      <c r="N2313" s="34">
        <f t="shared" si="73"/>
        <v>14.365671641791044</v>
      </c>
    </row>
    <row r="2314" spans="1:14" x14ac:dyDescent="0.45">
      <c r="A2314" s="30">
        <v>2023</v>
      </c>
      <c r="B2314" s="30" t="s">
        <v>19</v>
      </c>
      <c r="C2314" s="30" t="s">
        <v>46</v>
      </c>
      <c r="D2314" s="30" t="s">
        <v>47</v>
      </c>
      <c r="E2314" s="32" t="s">
        <v>534</v>
      </c>
      <c r="F2314" s="32" t="s">
        <v>49</v>
      </c>
      <c r="G2314" s="32" t="s">
        <v>50</v>
      </c>
      <c r="H2314" s="33">
        <v>49090</v>
      </c>
      <c r="I2314" s="34">
        <f>Table3[[#This Row],[Volume, kg.]]/1000</f>
        <v>49.09</v>
      </c>
      <c r="J2314" s="34">
        <v>0.29139999999999999</v>
      </c>
      <c r="K2314" s="34">
        <f t="shared" si="72"/>
        <v>14304.825999999999</v>
      </c>
      <c r="L2314" s="34">
        <v>3.96</v>
      </c>
      <c r="M2314" s="34">
        <v>194613.5</v>
      </c>
      <c r="N2314" s="34">
        <f t="shared" si="73"/>
        <v>13.589567604667124</v>
      </c>
    </row>
    <row r="2315" spans="1:14" x14ac:dyDescent="0.45">
      <c r="A2315" s="30">
        <v>2023</v>
      </c>
      <c r="B2315" s="30" t="s">
        <v>19</v>
      </c>
      <c r="C2315" s="30" t="s">
        <v>46</v>
      </c>
      <c r="D2315" s="30" t="s">
        <v>47</v>
      </c>
      <c r="E2315" s="32" t="s">
        <v>483</v>
      </c>
      <c r="F2315" s="32" t="s">
        <v>238</v>
      </c>
      <c r="G2315" s="32" t="s">
        <v>50</v>
      </c>
      <c r="H2315" s="33">
        <v>14880</v>
      </c>
      <c r="I2315" s="34">
        <f>Table3[[#This Row],[Volume, kg.]]/1000</f>
        <v>14.88</v>
      </c>
      <c r="J2315" s="34">
        <v>0.1905</v>
      </c>
      <c r="K2315" s="34">
        <f t="shared" si="72"/>
        <v>2834.64</v>
      </c>
      <c r="L2315" s="34">
        <v>3.4</v>
      </c>
      <c r="M2315" s="34">
        <v>50592</v>
      </c>
      <c r="N2315" s="34">
        <f t="shared" si="73"/>
        <v>17.84776902887139</v>
      </c>
    </row>
    <row r="2316" spans="1:14" x14ac:dyDescent="0.45">
      <c r="A2316" s="30">
        <v>2023</v>
      </c>
      <c r="B2316" s="30" t="s">
        <v>19</v>
      </c>
      <c r="C2316" s="30" t="s">
        <v>46</v>
      </c>
      <c r="D2316" s="30" t="s">
        <v>47</v>
      </c>
      <c r="E2316" s="32" t="s">
        <v>245</v>
      </c>
      <c r="F2316" s="32" t="s">
        <v>57</v>
      </c>
      <c r="G2316" s="32" t="s">
        <v>50</v>
      </c>
      <c r="H2316" s="33">
        <v>11470</v>
      </c>
      <c r="I2316" s="34">
        <f>Table3[[#This Row],[Volume, kg.]]/1000</f>
        <v>11.47</v>
      </c>
      <c r="J2316" s="34">
        <v>0.29149999999999998</v>
      </c>
      <c r="K2316" s="34">
        <f t="shared" si="72"/>
        <v>3343.5049999999997</v>
      </c>
      <c r="L2316" s="34">
        <v>4.03</v>
      </c>
      <c r="M2316" s="34">
        <v>46169.5</v>
      </c>
      <c r="N2316" s="34">
        <f t="shared" si="73"/>
        <v>13.825042881646658</v>
      </c>
    </row>
    <row r="2317" spans="1:14" x14ac:dyDescent="0.45">
      <c r="A2317" s="30">
        <v>2023</v>
      </c>
      <c r="B2317" s="30" t="s">
        <v>19</v>
      </c>
      <c r="C2317" s="30" t="s">
        <v>46</v>
      </c>
      <c r="D2317" s="30" t="s">
        <v>47</v>
      </c>
      <c r="E2317" s="32" t="s">
        <v>578</v>
      </c>
      <c r="F2317" s="32" t="s">
        <v>60</v>
      </c>
      <c r="G2317" s="32" t="s">
        <v>50</v>
      </c>
      <c r="H2317" s="33">
        <v>2550</v>
      </c>
      <c r="I2317" s="34">
        <f>Table3[[#This Row],[Volume, kg.]]/1000</f>
        <v>2.5499999999999998</v>
      </c>
      <c r="J2317" s="34">
        <v>0.25750000000000001</v>
      </c>
      <c r="K2317" s="34">
        <f t="shared" si="72"/>
        <v>656.625</v>
      </c>
      <c r="L2317" s="34">
        <v>3.8</v>
      </c>
      <c r="M2317" s="34">
        <v>9690</v>
      </c>
      <c r="N2317" s="34">
        <f t="shared" si="73"/>
        <v>14.757281553398057</v>
      </c>
    </row>
    <row r="2318" spans="1:14" x14ac:dyDescent="0.45">
      <c r="A2318" s="30">
        <v>2023</v>
      </c>
      <c r="B2318" s="30" t="s">
        <v>19</v>
      </c>
      <c r="C2318" s="30" t="s">
        <v>46</v>
      </c>
      <c r="D2318" s="30" t="s">
        <v>102</v>
      </c>
      <c r="E2318" s="32" t="s">
        <v>250</v>
      </c>
      <c r="F2318" s="32" t="s">
        <v>49</v>
      </c>
      <c r="G2318" s="32" t="s">
        <v>50</v>
      </c>
      <c r="H2318" s="33">
        <v>2174330</v>
      </c>
      <c r="I2318" s="34">
        <f>Table3[[#This Row],[Volume, kg.]]/1000</f>
        <v>2174.33</v>
      </c>
      <c r="J2318" s="34">
        <v>0.27140000000000003</v>
      </c>
      <c r="K2318" s="34">
        <f t="shared" si="72"/>
        <v>590113.16200000001</v>
      </c>
      <c r="L2318" s="34">
        <v>4</v>
      </c>
      <c r="M2318" s="34">
        <v>8699256</v>
      </c>
      <c r="N2318" s="34">
        <f t="shared" si="73"/>
        <v>14.738393515106852</v>
      </c>
    </row>
    <row r="2319" spans="1:14" x14ac:dyDescent="0.45">
      <c r="A2319" s="30">
        <v>2023</v>
      </c>
      <c r="B2319" s="30" t="s">
        <v>19</v>
      </c>
      <c r="C2319" s="30" t="s">
        <v>46</v>
      </c>
      <c r="D2319" s="30" t="s">
        <v>47</v>
      </c>
      <c r="E2319" s="32" t="s">
        <v>251</v>
      </c>
      <c r="F2319" s="32" t="s">
        <v>49</v>
      </c>
      <c r="G2319" s="32" t="s">
        <v>50</v>
      </c>
      <c r="H2319" s="33">
        <v>15660</v>
      </c>
      <c r="I2319" s="34">
        <f>Table3[[#This Row],[Volume, kg.]]/1000</f>
        <v>15.66</v>
      </c>
      <c r="J2319" s="34">
        <v>0.31379999999999997</v>
      </c>
      <c r="K2319" s="34">
        <f t="shared" si="72"/>
        <v>4914.1079999999993</v>
      </c>
      <c r="L2319" s="34">
        <v>4.17</v>
      </c>
      <c r="M2319" s="34">
        <v>65239.5</v>
      </c>
      <c r="N2319" s="34">
        <f t="shared" si="73"/>
        <v>13.288718929254303</v>
      </c>
    </row>
    <row r="2320" spans="1:14" x14ac:dyDescent="0.45">
      <c r="A2320" s="30">
        <v>2023</v>
      </c>
      <c r="B2320" s="30" t="s">
        <v>19</v>
      </c>
      <c r="C2320" s="30" t="s">
        <v>46</v>
      </c>
      <c r="D2320" s="30" t="s">
        <v>47</v>
      </c>
      <c r="E2320" s="32" t="s">
        <v>252</v>
      </c>
      <c r="F2320" s="32" t="s">
        <v>49</v>
      </c>
      <c r="G2320" s="32" t="s">
        <v>50</v>
      </c>
      <c r="H2320" s="33">
        <v>39970</v>
      </c>
      <c r="I2320" s="34">
        <f>Table3[[#This Row],[Volume, kg.]]/1000</f>
        <v>39.97</v>
      </c>
      <c r="J2320" s="34">
        <v>0.28749999999999998</v>
      </c>
      <c r="K2320" s="34">
        <f t="shared" si="72"/>
        <v>11491.375</v>
      </c>
      <c r="L2320" s="34">
        <v>4</v>
      </c>
      <c r="M2320" s="34">
        <v>159757.5</v>
      </c>
      <c r="N2320" s="34">
        <f t="shared" si="73"/>
        <v>13.913043478260871</v>
      </c>
    </row>
    <row r="2321" spans="1:14" x14ac:dyDescent="0.45">
      <c r="A2321" s="30">
        <v>2023</v>
      </c>
      <c r="B2321" s="30" t="s">
        <v>19</v>
      </c>
      <c r="C2321" s="30" t="s">
        <v>46</v>
      </c>
      <c r="D2321" s="30" t="s">
        <v>47</v>
      </c>
      <c r="E2321" s="32" t="s">
        <v>254</v>
      </c>
      <c r="F2321" s="32" t="s">
        <v>49</v>
      </c>
      <c r="G2321" s="32" t="s">
        <v>50</v>
      </c>
      <c r="H2321" s="33">
        <v>7630</v>
      </c>
      <c r="I2321" s="34">
        <f>Table3[[#This Row],[Volume, kg.]]/1000</f>
        <v>7.63</v>
      </c>
      <c r="J2321" s="34">
        <v>0.28100000000000003</v>
      </c>
      <c r="K2321" s="34">
        <f t="shared" si="72"/>
        <v>2144.0300000000002</v>
      </c>
      <c r="L2321" s="34">
        <v>4.05</v>
      </c>
      <c r="M2321" s="34">
        <v>30901.5</v>
      </c>
      <c r="N2321" s="34">
        <f t="shared" si="73"/>
        <v>14.412811387900353</v>
      </c>
    </row>
    <row r="2322" spans="1:14" x14ac:dyDescent="0.45">
      <c r="A2322" s="30">
        <v>2023</v>
      </c>
      <c r="B2322" s="30" t="s">
        <v>19</v>
      </c>
      <c r="C2322" s="30" t="s">
        <v>46</v>
      </c>
      <c r="D2322" s="30" t="s">
        <v>47</v>
      </c>
      <c r="E2322" s="32" t="s">
        <v>380</v>
      </c>
      <c r="F2322" s="32" t="s">
        <v>49</v>
      </c>
      <c r="G2322" s="32" t="s">
        <v>50</v>
      </c>
      <c r="H2322" s="33">
        <v>17670</v>
      </c>
      <c r="I2322" s="34">
        <f>Table3[[#This Row],[Volume, kg.]]/1000</f>
        <v>17.670000000000002</v>
      </c>
      <c r="J2322" s="34">
        <v>0.2984</v>
      </c>
      <c r="K2322" s="34">
        <f t="shared" si="72"/>
        <v>5272.7280000000001</v>
      </c>
      <c r="L2322" s="34">
        <v>4</v>
      </c>
      <c r="M2322" s="34">
        <v>70741</v>
      </c>
      <c r="N2322" s="34">
        <f t="shared" si="73"/>
        <v>13.404825737265416</v>
      </c>
    </row>
    <row r="2323" spans="1:14" x14ac:dyDescent="0.45">
      <c r="A2323" s="30">
        <v>2023</v>
      </c>
      <c r="B2323" s="30" t="s">
        <v>19</v>
      </c>
      <c r="C2323" s="30" t="s">
        <v>46</v>
      </c>
      <c r="D2323" s="30" t="s">
        <v>47</v>
      </c>
      <c r="E2323" s="32" t="s">
        <v>257</v>
      </c>
      <c r="F2323" s="32" t="s">
        <v>64</v>
      </c>
      <c r="G2323" s="32" t="s">
        <v>50</v>
      </c>
      <c r="H2323" s="33">
        <v>815830</v>
      </c>
      <c r="I2323" s="34">
        <f>Table3[[#This Row],[Volume, kg.]]/1000</f>
        <v>815.83</v>
      </c>
      <c r="J2323" s="34">
        <v>0.25459999999999999</v>
      </c>
      <c r="K2323" s="34">
        <f t="shared" si="72"/>
        <v>207710.318</v>
      </c>
      <c r="L2323" s="34">
        <v>3.88</v>
      </c>
      <c r="M2323" s="34">
        <v>3161568.5</v>
      </c>
      <c r="N2323" s="34">
        <f t="shared" si="73"/>
        <v>15.239591516103692</v>
      </c>
    </row>
    <row r="2324" spans="1:14" x14ac:dyDescent="0.45">
      <c r="A2324" s="30">
        <v>2023</v>
      </c>
      <c r="B2324" s="30" t="s">
        <v>19</v>
      </c>
      <c r="C2324" s="30" t="s">
        <v>46</v>
      </c>
      <c r="D2324" s="30" t="s">
        <v>47</v>
      </c>
      <c r="E2324" s="32" t="s">
        <v>258</v>
      </c>
      <c r="F2324" s="32" t="s">
        <v>49</v>
      </c>
      <c r="G2324" s="32" t="s">
        <v>50</v>
      </c>
      <c r="H2324" s="33">
        <v>330100</v>
      </c>
      <c r="I2324" s="34">
        <f>Table3[[#This Row],[Volume, kg.]]/1000</f>
        <v>330.1</v>
      </c>
      <c r="J2324" s="34">
        <v>0.26919999999999999</v>
      </c>
      <c r="K2324" s="34">
        <f t="shared" si="72"/>
        <v>88862.92</v>
      </c>
      <c r="L2324" s="34">
        <v>3.89</v>
      </c>
      <c r="M2324" s="34">
        <v>1284315.5</v>
      </c>
      <c r="N2324" s="34">
        <f t="shared" si="73"/>
        <v>14.450222882615156</v>
      </c>
    </row>
    <row r="2325" spans="1:14" x14ac:dyDescent="0.45">
      <c r="A2325" s="30">
        <v>2024</v>
      </c>
      <c r="B2325" s="30" t="s">
        <v>8</v>
      </c>
      <c r="C2325" s="30" t="s">
        <v>46</v>
      </c>
      <c r="D2325" s="30" t="s">
        <v>102</v>
      </c>
      <c r="E2325" s="32" t="s">
        <v>239</v>
      </c>
      <c r="F2325" s="32" t="s">
        <v>240</v>
      </c>
      <c r="G2325" s="32" t="s">
        <v>50</v>
      </c>
      <c r="H2325" s="33">
        <v>58280</v>
      </c>
      <c r="I2325" s="34">
        <f>Table3[[#This Row],[Volume, kg.]]/1000</f>
        <v>58.28</v>
      </c>
      <c r="J2325" s="34">
        <v>0.26140000000000002</v>
      </c>
      <c r="K2325" s="34">
        <f t="shared" si="72"/>
        <v>15234.392000000002</v>
      </c>
      <c r="L2325" s="34">
        <v>3.85</v>
      </c>
      <c r="M2325" s="34">
        <v>224378</v>
      </c>
      <c r="N2325" s="34">
        <f t="shared" si="73"/>
        <v>14.728385615914307</v>
      </c>
    </row>
    <row r="2326" spans="1:14" x14ac:dyDescent="0.45">
      <c r="A2326" s="30">
        <v>2024</v>
      </c>
      <c r="B2326" s="30" t="s">
        <v>8</v>
      </c>
      <c r="C2326" s="30" t="s">
        <v>46</v>
      </c>
      <c r="D2326" s="30" t="s">
        <v>102</v>
      </c>
      <c r="E2326" s="32" t="s">
        <v>188</v>
      </c>
      <c r="F2326" s="32" t="s">
        <v>189</v>
      </c>
      <c r="G2326" s="32" t="s">
        <v>128</v>
      </c>
      <c r="H2326" s="33">
        <v>144140</v>
      </c>
      <c r="I2326" s="34">
        <f>Table3[[#This Row],[Volume, kg.]]/1000</f>
        <v>144.13999999999999</v>
      </c>
      <c r="J2326" s="34">
        <v>0.2586</v>
      </c>
      <c r="K2326" s="34">
        <f t="shared" si="72"/>
        <v>37274.603999999999</v>
      </c>
      <c r="L2326" s="34">
        <v>4.04</v>
      </c>
      <c r="M2326" s="34">
        <v>582333</v>
      </c>
      <c r="N2326" s="34">
        <f t="shared" si="73"/>
        <v>15.622583139984533</v>
      </c>
    </row>
    <row r="2327" spans="1:14" x14ac:dyDescent="0.45">
      <c r="A2327" s="30">
        <v>2024</v>
      </c>
      <c r="B2327" s="30" t="s">
        <v>8</v>
      </c>
      <c r="C2327" s="30" t="s">
        <v>46</v>
      </c>
      <c r="D2327" s="30" t="s">
        <v>47</v>
      </c>
      <c r="E2327" s="32" t="s">
        <v>426</v>
      </c>
      <c r="F2327" s="32" t="s">
        <v>49</v>
      </c>
      <c r="G2327" s="32" t="s">
        <v>50</v>
      </c>
      <c r="H2327" s="33">
        <v>8380</v>
      </c>
      <c r="I2327" s="34">
        <f>Table3[[#This Row],[Volume, kg.]]/1000</f>
        <v>8.3800000000000008</v>
      </c>
      <c r="J2327" s="34">
        <v>0.28949999999999998</v>
      </c>
      <c r="K2327" s="34">
        <f t="shared" si="72"/>
        <v>2426.0099999999998</v>
      </c>
      <c r="L2327" s="34">
        <v>4.08</v>
      </c>
      <c r="M2327" s="34">
        <v>34168.5</v>
      </c>
      <c r="N2327" s="34">
        <f t="shared" si="73"/>
        <v>14.093264248704665</v>
      </c>
    </row>
    <row r="2328" spans="1:14" x14ac:dyDescent="0.45">
      <c r="A2328" s="30">
        <v>2024</v>
      </c>
      <c r="B2328" s="30" t="s">
        <v>8</v>
      </c>
      <c r="C2328" s="30" t="s">
        <v>46</v>
      </c>
      <c r="D2328" s="30" t="s">
        <v>47</v>
      </c>
      <c r="E2328" s="32" t="s">
        <v>181</v>
      </c>
      <c r="F2328" s="32" t="s">
        <v>57</v>
      </c>
      <c r="G2328" s="32" t="s">
        <v>50</v>
      </c>
      <c r="H2328" s="33">
        <v>11250</v>
      </c>
      <c r="I2328" s="34">
        <f>Table3[[#This Row],[Volume, kg.]]/1000</f>
        <v>11.25</v>
      </c>
      <c r="J2328" s="34">
        <v>0.25269999999999998</v>
      </c>
      <c r="K2328" s="34">
        <f t="shared" si="72"/>
        <v>2842.875</v>
      </c>
      <c r="L2328" s="34">
        <v>3.88</v>
      </c>
      <c r="M2328" s="34">
        <v>43669.5</v>
      </c>
      <c r="N2328" s="34">
        <f t="shared" si="73"/>
        <v>15.354174910961616</v>
      </c>
    </row>
    <row r="2329" spans="1:14" x14ac:dyDescent="0.45">
      <c r="A2329" s="30">
        <v>2024</v>
      </c>
      <c r="B2329" s="30" t="s">
        <v>8</v>
      </c>
      <c r="C2329" s="30" t="s">
        <v>46</v>
      </c>
      <c r="D2329" s="30" t="s">
        <v>47</v>
      </c>
      <c r="E2329" s="32" t="s">
        <v>213</v>
      </c>
      <c r="F2329" s="32" t="s">
        <v>49</v>
      </c>
      <c r="G2329" s="32" t="s">
        <v>50</v>
      </c>
      <c r="H2329" s="33">
        <v>55480</v>
      </c>
      <c r="I2329" s="34">
        <f>Table3[[#This Row],[Volume, kg.]]/1000</f>
        <v>55.48</v>
      </c>
      <c r="J2329" s="34">
        <v>0.25950000000000001</v>
      </c>
      <c r="K2329" s="34">
        <f t="shared" si="72"/>
        <v>14397.060000000001</v>
      </c>
      <c r="L2329" s="34">
        <v>3.91</v>
      </c>
      <c r="M2329" s="34">
        <v>216889.5</v>
      </c>
      <c r="N2329" s="34">
        <f t="shared" si="73"/>
        <v>15.067437379576107</v>
      </c>
    </row>
    <row r="2330" spans="1:14" x14ac:dyDescent="0.45">
      <c r="A2330" s="30">
        <v>2024</v>
      </c>
      <c r="B2330" s="30" t="s">
        <v>8</v>
      </c>
      <c r="C2330" s="30" t="s">
        <v>46</v>
      </c>
      <c r="D2330" s="30" t="s">
        <v>47</v>
      </c>
      <c r="E2330" s="32" t="s">
        <v>326</v>
      </c>
      <c r="F2330" s="32" t="s">
        <v>57</v>
      </c>
      <c r="G2330" s="32" t="s">
        <v>50</v>
      </c>
      <c r="H2330" s="33">
        <v>9840</v>
      </c>
      <c r="I2330" s="34">
        <f>Table3[[#This Row],[Volume, kg.]]/1000</f>
        <v>9.84</v>
      </c>
      <c r="J2330" s="34">
        <v>0.28190000000000004</v>
      </c>
      <c r="K2330" s="34">
        <f t="shared" si="72"/>
        <v>2773.8960000000002</v>
      </c>
      <c r="L2330" s="34">
        <v>4</v>
      </c>
      <c r="M2330" s="34">
        <v>39360</v>
      </c>
      <c r="N2330" s="34">
        <f t="shared" si="73"/>
        <v>14.18942887548776</v>
      </c>
    </row>
    <row r="2331" spans="1:14" x14ac:dyDescent="0.45">
      <c r="A2331" s="30">
        <v>2024</v>
      </c>
      <c r="B2331" s="30" t="s">
        <v>8</v>
      </c>
      <c r="C2331" s="30" t="s">
        <v>46</v>
      </c>
      <c r="D2331" s="30" t="s">
        <v>47</v>
      </c>
      <c r="E2331" s="32" t="s">
        <v>433</v>
      </c>
      <c r="F2331" s="32" t="s">
        <v>49</v>
      </c>
      <c r="G2331" s="32" t="s">
        <v>50</v>
      </c>
      <c r="H2331" s="33">
        <v>73970</v>
      </c>
      <c r="I2331" s="34">
        <f>Table3[[#This Row],[Volume, kg.]]/1000</f>
        <v>73.97</v>
      </c>
      <c r="J2331" s="34">
        <v>0.2984</v>
      </c>
      <c r="K2331" s="34">
        <f t="shared" si="72"/>
        <v>22072.648000000001</v>
      </c>
      <c r="L2331" s="34">
        <v>4.0199999999999996</v>
      </c>
      <c r="M2331" s="34">
        <v>297397</v>
      </c>
      <c r="N2331" s="34">
        <f t="shared" si="73"/>
        <v>13.471849865951741</v>
      </c>
    </row>
    <row r="2332" spans="1:14" x14ac:dyDescent="0.45">
      <c r="A2332" s="30">
        <v>2024</v>
      </c>
      <c r="B2332" s="30" t="s">
        <v>8</v>
      </c>
      <c r="C2332" s="30" t="s">
        <v>46</v>
      </c>
      <c r="D2332" s="30" t="s">
        <v>47</v>
      </c>
      <c r="E2332" s="32" t="s">
        <v>178</v>
      </c>
      <c r="F2332" s="32" t="s">
        <v>49</v>
      </c>
      <c r="G2332" s="32" t="s">
        <v>50</v>
      </c>
      <c r="H2332" s="33">
        <v>7150</v>
      </c>
      <c r="I2332" s="34">
        <f>Table3[[#This Row],[Volume, kg.]]/1000</f>
        <v>7.15</v>
      </c>
      <c r="J2332" s="34">
        <v>0.2893</v>
      </c>
      <c r="K2332" s="34">
        <f t="shared" si="72"/>
        <v>2068.4949999999999</v>
      </c>
      <c r="L2332" s="34">
        <v>3.98</v>
      </c>
      <c r="M2332" s="34">
        <v>28453.5</v>
      </c>
      <c r="N2332" s="34">
        <f t="shared" si="73"/>
        <v>13.757345316280677</v>
      </c>
    </row>
    <row r="2333" spans="1:14" x14ac:dyDescent="0.45">
      <c r="A2333" s="30">
        <v>2024</v>
      </c>
      <c r="B2333" s="30" t="s">
        <v>8</v>
      </c>
      <c r="C2333" s="30" t="s">
        <v>46</v>
      </c>
      <c r="D2333" s="30" t="s">
        <v>47</v>
      </c>
      <c r="E2333" s="32" t="s">
        <v>48</v>
      </c>
      <c r="F2333" s="32" t="s">
        <v>49</v>
      </c>
      <c r="G2333" s="32" t="s">
        <v>50</v>
      </c>
      <c r="H2333" s="33">
        <v>28550</v>
      </c>
      <c r="I2333" s="34">
        <f>Table3[[#This Row],[Volume, kg.]]/1000</f>
        <v>28.55</v>
      </c>
      <c r="J2333" s="34">
        <v>0.30149999999999999</v>
      </c>
      <c r="K2333" s="34">
        <f t="shared" si="72"/>
        <v>8607.8249999999989</v>
      </c>
      <c r="L2333" s="34">
        <v>4.08</v>
      </c>
      <c r="M2333" s="34">
        <v>116461.5</v>
      </c>
      <c r="N2333" s="34">
        <f t="shared" si="73"/>
        <v>13.532338308457712</v>
      </c>
    </row>
    <row r="2334" spans="1:14" x14ac:dyDescent="0.45">
      <c r="A2334" s="30">
        <v>2024</v>
      </c>
      <c r="B2334" s="30" t="s">
        <v>8</v>
      </c>
      <c r="C2334" s="30" t="s">
        <v>46</v>
      </c>
      <c r="D2334" s="30" t="s">
        <v>47</v>
      </c>
      <c r="E2334" s="32" t="s">
        <v>149</v>
      </c>
      <c r="F2334" s="32" t="s">
        <v>49</v>
      </c>
      <c r="G2334" s="32" t="s">
        <v>50</v>
      </c>
      <c r="H2334" s="33">
        <v>15760</v>
      </c>
      <c r="I2334" s="34">
        <f>Table3[[#This Row],[Volume, kg.]]/1000</f>
        <v>15.76</v>
      </c>
      <c r="J2334" s="34">
        <v>0.3014</v>
      </c>
      <c r="K2334" s="34">
        <f t="shared" si="72"/>
        <v>4750.0640000000003</v>
      </c>
      <c r="L2334" s="34">
        <v>4.16</v>
      </c>
      <c r="M2334" s="34">
        <v>65555</v>
      </c>
      <c r="N2334" s="34">
        <f t="shared" si="73"/>
        <v>13.802256138022562</v>
      </c>
    </row>
    <row r="2335" spans="1:14" x14ac:dyDescent="0.45">
      <c r="A2335" s="30">
        <v>2024</v>
      </c>
      <c r="B2335" s="30" t="s">
        <v>8</v>
      </c>
      <c r="C2335" s="30" t="s">
        <v>46</v>
      </c>
      <c r="D2335" s="30" t="s">
        <v>47</v>
      </c>
      <c r="E2335" s="32" t="s">
        <v>208</v>
      </c>
      <c r="F2335" s="32" t="s">
        <v>49</v>
      </c>
      <c r="G2335" s="32" t="s">
        <v>50</v>
      </c>
      <c r="H2335" s="33">
        <v>6850</v>
      </c>
      <c r="I2335" s="34">
        <f>Table3[[#This Row],[Volume, kg.]]/1000</f>
        <v>6.85</v>
      </c>
      <c r="J2335" s="34">
        <v>0.25800000000000001</v>
      </c>
      <c r="K2335" s="34">
        <f t="shared" si="72"/>
        <v>1767.3</v>
      </c>
      <c r="L2335" s="34">
        <v>3.9</v>
      </c>
      <c r="M2335" s="34">
        <v>26715</v>
      </c>
      <c r="N2335" s="34">
        <f t="shared" si="73"/>
        <v>15.11627906976744</v>
      </c>
    </row>
    <row r="2336" spans="1:14" x14ac:dyDescent="0.45">
      <c r="A2336" s="30">
        <v>2024</v>
      </c>
      <c r="B2336" s="30" t="s">
        <v>8</v>
      </c>
      <c r="C2336" s="30" t="s">
        <v>46</v>
      </c>
      <c r="D2336" s="30" t="s">
        <v>47</v>
      </c>
      <c r="E2336" s="32" t="s">
        <v>185</v>
      </c>
      <c r="F2336" s="32" t="s">
        <v>57</v>
      </c>
      <c r="G2336" s="32" t="s">
        <v>50</v>
      </c>
      <c r="H2336" s="33">
        <v>38050</v>
      </c>
      <c r="I2336" s="34">
        <f>Table3[[#This Row],[Volume, kg.]]/1000</f>
        <v>38.049999999999997</v>
      </c>
      <c r="J2336" s="34">
        <v>0.28570000000000001</v>
      </c>
      <c r="K2336" s="34">
        <f t="shared" si="72"/>
        <v>10870.885</v>
      </c>
      <c r="L2336" s="34">
        <v>4</v>
      </c>
      <c r="M2336" s="34">
        <v>152178.5</v>
      </c>
      <c r="N2336" s="34">
        <f t="shared" si="73"/>
        <v>14.000700035001749</v>
      </c>
    </row>
    <row r="2337" spans="1:14" x14ac:dyDescent="0.45">
      <c r="A2337" s="30">
        <v>2024</v>
      </c>
      <c r="B2337" s="30" t="s">
        <v>8</v>
      </c>
      <c r="C2337" s="30" t="s">
        <v>46</v>
      </c>
      <c r="D2337" s="30" t="s">
        <v>47</v>
      </c>
      <c r="E2337" s="32" t="s">
        <v>99</v>
      </c>
      <c r="F2337" s="32" t="s">
        <v>49</v>
      </c>
      <c r="G2337" s="32" t="s">
        <v>50</v>
      </c>
      <c r="H2337" s="33">
        <v>87820</v>
      </c>
      <c r="I2337" s="34">
        <f>Table3[[#This Row],[Volume, kg.]]/1000</f>
        <v>87.82</v>
      </c>
      <c r="J2337" s="34">
        <v>0.30280000000000001</v>
      </c>
      <c r="K2337" s="34">
        <f t="shared" si="72"/>
        <v>26591.896000000001</v>
      </c>
      <c r="L2337" s="34">
        <v>4.0599999999999996</v>
      </c>
      <c r="M2337" s="34">
        <v>356940.5</v>
      </c>
      <c r="N2337" s="34">
        <f t="shared" si="73"/>
        <v>13.408190224570673</v>
      </c>
    </row>
    <row r="2338" spans="1:14" x14ac:dyDescent="0.45">
      <c r="A2338" s="30">
        <v>2024</v>
      </c>
      <c r="B2338" s="30" t="s">
        <v>8</v>
      </c>
      <c r="C2338" s="30" t="s">
        <v>46</v>
      </c>
      <c r="D2338" s="30" t="s">
        <v>47</v>
      </c>
      <c r="E2338" s="32" t="s">
        <v>165</v>
      </c>
      <c r="F2338" s="32" t="s">
        <v>57</v>
      </c>
      <c r="G2338" s="32" t="s">
        <v>50</v>
      </c>
      <c r="H2338" s="33">
        <v>19150</v>
      </c>
      <c r="I2338" s="34">
        <f>Table3[[#This Row],[Volume, kg.]]/1000</f>
        <v>19.149999999999999</v>
      </c>
      <c r="J2338" s="34">
        <v>0.29449999999999998</v>
      </c>
      <c r="K2338" s="34">
        <f t="shared" si="72"/>
        <v>5639.6749999999993</v>
      </c>
      <c r="L2338" s="34">
        <v>4.08</v>
      </c>
      <c r="M2338" s="34">
        <v>78226.5</v>
      </c>
      <c r="N2338" s="34">
        <f t="shared" si="73"/>
        <v>13.853989813242785</v>
      </c>
    </row>
    <row r="2339" spans="1:14" x14ac:dyDescent="0.45">
      <c r="A2339" s="30">
        <v>2024</v>
      </c>
      <c r="B2339" s="30" t="s">
        <v>8</v>
      </c>
      <c r="C2339" s="30" t="s">
        <v>46</v>
      </c>
      <c r="D2339" s="30" t="s">
        <v>47</v>
      </c>
      <c r="E2339" s="32" t="s">
        <v>219</v>
      </c>
      <c r="F2339" s="32" t="s">
        <v>57</v>
      </c>
      <c r="G2339" s="32" t="s">
        <v>50</v>
      </c>
      <c r="H2339" s="33">
        <v>47700</v>
      </c>
      <c r="I2339" s="34">
        <f>Table3[[#This Row],[Volume, kg.]]/1000</f>
        <v>47.7</v>
      </c>
      <c r="J2339" s="34">
        <v>0.31230000000000002</v>
      </c>
      <c r="K2339" s="34">
        <f t="shared" si="72"/>
        <v>14896.710000000001</v>
      </c>
      <c r="L2339" s="34">
        <v>4.1900000000000004</v>
      </c>
      <c r="M2339" s="34">
        <v>199665.5</v>
      </c>
      <c r="N2339" s="34">
        <f t="shared" si="73"/>
        <v>13.416586615433879</v>
      </c>
    </row>
    <row r="2340" spans="1:14" x14ac:dyDescent="0.45">
      <c r="A2340" s="30">
        <v>2024</v>
      </c>
      <c r="B2340" s="30" t="s">
        <v>8</v>
      </c>
      <c r="C2340" s="30" t="s">
        <v>46</v>
      </c>
      <c r="D2340" s="30" t="s">
        <v>47</v>
      </c>
      <c r="E2340" s="32" t="s">
        <v>182</v>
      </c>
      <c r="F2340" s="32" t="s">
        <v>81</v>
      </c>
      <c r="G2340" s="32" t="s">
        <v>50</v>
      </c>
      <c r="H2340" s="33">
        <v>37280</v>
      </c>
      <c r="I2340" s="34">
        <f>Table3[[#This Row],[Volume, kg.]]/1000</f>
        <v>37.28</v>
      </c>
      <c r="J2340" s="34">
        <v>0.29350000000000004</v>
      </c>
      <c r="K2340" s="34">
        <f t="shared" si="72"/>
        <v>10941.680000000002</v>
      </c>
      <c r="L2340" s="34">
        <v>4</v>
      </c>
      <c r="M2340" s="34">
        <v>148936.5</v>
      </c>
      <c r="N2340" s="34">
        <f t="shared" si="73"/>
        <v>13.628620102214649</v>
      </c>
    </row>
    <row r="2341" spans="1:14" x14ac:dyDescent="0.45">
      <c r="A2341" s="30">
        <v>2024</v>
      </c>
      <c r="B2341" s="30" t="s">
        <v>8</v>
      </c>
      <c r="C2341" s="30" t="s">
        <v>46</v>
      </c>
      <c r="D2341" s="30" t="s">
        <v>47</v>
      </c>
      <c r="E2341" s="32" t="s">
        <v>322</v>
      </c>
      <c r="F2341" s="32" t="s">
        <v>57</v>
      </c>
      <c r="G2341" s="32" t="s">
        <v>50</v>
      </c>
      <c r="H2341" s="33">
        <v>4070</v>
      </c>
      <c r="I2341" s="34">
        <f>Table3[[#This Row],[Volume, kg.]]/1000</f>
        <v>4.07</v>
      </c>
      <c r="J2341" s="34">
        <v>0.26600000000000001</v>
      </c>
      <c r="K2341" s="34">
        <f t="shared" si="72"/>
        <v>1082.6200000000001</v>
      </c>
      <c r="L2341" s="34">
        <v>4</v>
      </c>
      <c r="M2341" s="34">
        <v>16280</v>
      </c>
      <c r="N2341" s="34">
        <f t="shared" si="73"/>
        <v>15.037593984962406</v>
      </c>
    </row>
    <row r="2342" spans="1:14" x14ac:dyDescent="0.45">
      <c r="A2342" s="30">
        <v>2024</v>
      </c>
      <c r="B2342" s="30" t="s">
        <v>8</v>
      </c>
      <c r="C2342" s="30" t="s">
        <v>46</v>
      </c>
      <c r="D2342" s="30" t="s">
        <v>47</v>
      </c>
      <c r="E2342" s="32" t="s">
        <v>195</v>
      </c>
      <c r="F2342" s="32" t="s">
        <v>57</v>
      </c>
      <c r="G2342" s="32" t="s">
        <v>50</v>
      </c>
      <c r="H2342" s="33">
        <v>16210</v>
      </c>
      <c r="I2342" s="34">
        <f>Table3[[#This Row],[Volume, kg.]]/1000</f>
        <v>16.21</v>
      </c>
      <c r="J2342" s="34">
        <v>0.31900000000000001</v>
      </c>
      <c r="K2342" s="34">
        <f t="shared" si="72"/>
        <v>5170.99</v>
      </c>
      <c r="L2342" s="34">
        <v>4.1399999999999997</v>
      </c>
      <c r="M2342" s="34">
        <v>67082</v>
      </c>
      <c r="N2342" s="34">
        <f t="shared" si="73"/>
        <v>12.978056426332287</v>
      </c>
    </row>
    <row r="2343" spans="1:14" x14ac:dyDescent="0.45">
      <c r="A2343" s="30">
        <v>2024</v>
      </c>
      <c r="B2343" s="30" t="s">
        <v>8</v>
      </c>
      <c r="C2343" s="30" t="s">
        <v>46</v>
      </c>
      <c r="D2343" s="30" t="s">
        <v>47</v>
      </c>
      <c r="E2343" s="32" t="s">
        <v>297</v>
      </c>
      <c r="F2343" s="32" t="s">
        <v>57</v>
      </c>
      <c r="G2343" s="32" t="s">
        <v>50</v>
      </c>
      <c r="H2343" s="33">
        <v>14520</v>
      </c>
      <c r="I2343" s="34">
        <f>Table3[[#This Row],[Volume, kg.]]/1000</f>
        <v>14.52</v>
      </c>
      <c r="J2343" s="34">
        <v>0.31040000000000001</v>
      </c>
      <c r="K2343" s="34">
        <f t="shared" si="72"/>
        <v>4507.0079999999998</v>
      </c>
      <c r="L2343" s="34">
        <v>4.16</v>
      </c>
      <c r="M2343" s="34">
        <v>60468.5</v>
      </c>
      <c r="N2343" s="34">
        <f t="shared" si="73"/>
        <v>13.402061855670103</v>
      </c>
    </row>
    <row r="2344" spans="1:14" x14ac:dyDescent="0.45">
      <c r="A2344" s="30">
        <v>2024</v>
      </c>
      <c r="B2344" s="30" t="s">
        <v>8</v>
      </c>
      <c r="C2344" s="30" t="s">
        <v>46</v>
      </c>
      <c r="D2344" s="30" t="s">
        <v>47</v>
      </c>
      <c r="E2344" s="32" t="s">
        <v>73</v>
      </c>
      <c r="F2344" s="32" t="s">
        <v>49</v>
      </c>
      <c r="G2344" s="32" t="s">
        <v>50</v>
      </c>
      <c r="H2344" s="33">
        <v>56520</v>
      </c>
      <c r="I2344" s="34">
        <f>Table3[[#This Row],[Volume, kg.]]/1000</f>
        <v>56.52</v>
      </c>
      <c r="J2344" s="34">
        <v>0.3004</v>
      </c>
      <c r="K2344" s="34">
        <f t="shared" si="72"/>
        <v>16978.608</v>
      </c>
      <c r="L2344" s="34">
        <v>4.08</v>
      </c>
      <c r="M2344" s="34">
        <v>230551</v>
      </c>
      <c r="N2344" s="34">
        <f t="shared" si="73"/>
        <v>13.581890812250332</v>
      </c>
    </row>
    <row r="2345" spans="1:14" x14ac:dyDescent="0.45">
      <c r="A2345" s="30">
        <v>2024</v>
      </c>
      <c r="B2345" s="30" t="s">
        <v>8</v>
      </c>
      <c r="C2345" s="30" t="s">
        <v>46</v>
      </c>
      <c r="D2345" s="30" t="s">
        <v>47</v>
      </c>
      <c r="E2345" s="32" t="s">
        <v>245</v>
      </c>
      <c r="F2345" s="32" t="s">
        <v>57</v>
      </c>
      <c r="G2345" s="32" t="s">
        <v>50</v>
      </c>
      <c r="H2345" s="33">
        <v>22340</v>
      </c>
      <c r="I2345" s="34">
        <f>Table3[[#This Row],[Volume, kg.]]/1000</f>
        <v>22.34</v>
      </c>
      <c r="J2345" s="34">
        <v>0.29859999999999998</v>
      </c>
      <c r="K2345" s="34">
        <f t="shared" si="72"/>
        <v>6670.7239999999993</v>
      </c>
      <c r="L2345" s="34">
        <v>4.03</v>
      </c>
      <c r="M2345" s="34">
        <v>89971</v>
      </c>
      <c r="N2345" s="34">
        <f t="shared" si="73"/>
        <v>13.496316141995983</v>
      </c>
    </row>
    <row r="2346" spans="1:14" x14ac:dyDescent="0.45">
      <c r="A2346" s="30">
        <v>2024</v>
      </c>
      <c r="B2346" s="30" t="s">
        <v>8</v>
      </c>
      <c r="C2346" s="30" t="s">
        <v>46</v>
      </c>
      <c r="D2346" s="30" t="s">
        <v>47</v>
      </c>
      <c r="E2346" s="32" t="s">
        <v>303</v>
      </c>
      <c r="F2346" s="32" t="s">
        <v>57</v>
      </c>
      <c r="G2346" s="32" t="s">
        <v>50</v>
      </c>
      <c r="H2346" s="33">
        <v>36320</v>
      </c>
      <c r="I2346" s="34">
        <f>Table3[[#This Row],[Volume, kg.]]/1000</f>
        <v>36.32</v>
      </c>
      <c r="J2346" s="34">
        <v>0.312</v>
      </c>
      <c r="K2346" s="34">
        <f t="shared" si="72"/>
        <v>11331.84</v>
      </c>
      <c r="L2346" s="34">
        <v>4.1100000000000003</v>
      </c>
      <c r="M2346" s="34">
        <v>149340.5</v>
      </c>
      <c r="N2346" s="34">
        <f t="shared" si="73"/>
        <v>13.173076923076923</v>
      </c>
    </row>
    <row r="2347" spans="1:14" x14ac:dyDescent="0.45">
      <c r="A2347" s="30">
        <v>2024</v>
      </c>
      <c r="B2347" s="30" t="s">
        <v>8</v>
      </c>
      <c r="C2347" s="30" t="s">
        <v>46</v>
      </c>
      <c r="D2347" s="30" t="s">
        <v>47</v>
      </c>
      <c r="E2347" s="32" t="s">
        <v>163</v>
      </c>
      <c r="F2347" s="32" t="s">
        <v>60</v>
      </c>
      <c r="G2347" s="32" t="s">
        <v>50</v>
      </c>
      <c r="H2347" s="33">
        <v>31660</v>
      </c>
      <c r="I2347" s="34">
        <f>Table3[[#This Row],[Volume, kg.]]/1000</f>
        <v>31.66</v>
      </c>
      <c r="J2347" s="34">
        <v>0.29059999999999997</v>
      </c>
      <c r="K2347" s="34">
        <f t="shared" si="72"/>
        <v>9200.3959999999988</v>
      </c>
      <c r="L2347" s="34">
        <v>4.07</v>
      </c>
      <c r="M2347" s="34">
        <v>128846</v>
      </c>
      <c r="N2347" s="34">
        <f t="shared" si="73"/>
        <v>14.005505849965591</v>
      </c>
    </row>
    <row r="2348" spans="1:14" x14ac:dyDescent="0.45">
      <c r="A2348" s="30">
        <v>2024</v>
      </c>
      <c r="B2348" s="30" t="s">
        <v>8</v>
      </c>
      <c r="C2348" s="30" t="s">
        <v>46</v>
      </c>
      <c r="D2348" s="30" t="s">
        <v>47</v>
      </c>
      <c r="E2348" s="32" t="s">
        <v>156</v>
      </c>
      <c r="F2348" s="32" t="s">
        <v>49</v>
      </c>
      <c r="G2348" s="32" t="s">
        <v>50</v>
      </c>
      <c r="H2348" s="33">
        <v>10860</v>
      </c>
      <c r="I2348" s="34">
        <f>Table3[[#This Row],[Volume, kg.]]/1000</f>
        <v>10.86</v>
      </c>
      <c r="J2348" s="34">
        <v>0.3155</v>
      </c>
      <c r="K2348" s="34">
        <f t="shared" si="72"/>
        <v>3426.33</v>
      </c>
      <c r="L2348" s="34">
        <v>4.12</v>
      </c>
      <c r="M2348" s="34">
        <v>44794</v>
      </c>
      <c r="N2348" s="34">
        <f t="shared" si="73"/>
        <v>13.058637083993661</v>
      </c>
    </row>
    <row r="2349" spans="1:14" x14ac:dyDescent="0.45">
      <c r="A2349" s="30">
        <v>2024</v>
      </c>
      <c r="B2349" s="30" t="s">
        <v>8</v>
      </c>
      <c r="C2349" s="30" t="s">
        <v>46</v>
      </c>
      <c r="D2349" s="30" t="s">
        <v>47</v>
      </c>
      <c r="E2349" s="32" t="s">
        <v>172</v>
      </c>
      <c r="F2349" s="32" t="s">
        <v>57</v>
      </c>
      <c r="G2349" s="32" t="s">
        <v>50</v>
      </c>
      <c r="H2349" s="33">
        <v>26660</v>
      </c>
      <c r="I2349" s="34">
        <f>Table3[[#This Row],[Volume, kg.]]/1000</f>
        <v>26.66</v>
      </c>
      <c r="J2349" s="34">
        <v>0.25509999999999999</v>
      </c>
      <c r="K2349" s="34">
        <f t="shared" si="72"/>
        <v>6800.9659999999994</v>
      </c>
      <c r="L2349" s="34">
        <v>3.82</v>
      </c>
      <c r="M2349" s="34">
        <v>101808</v>
      </c>
      <c r="N2349" s="34">
        <f t="shared" si="73"/>
        <v>14.974519796158368</v>
      </c>
    </row>
    <row r="2350" spans="1:14" x14ac:dyDescent="0.45">
      <c r="A2350" s="30">
        <v>2024</v>
      </c>
      <c r="B2350" s="30" t="s">
        <v>8</v>
      </c>
      <c r="C2350" s="30" t="s">
        <v>46</v>
      </c>
      <c r="D2350" s="30" t="s">
        <v>47</v>
      </c>
      <c r="E2350" s="32" t="s">
        <v>300</v>
      </c>
      <c r="F2350" s="32" t="s">
        <v>57</v>
      </c>
      <c r="G2350" s="32" t="s">
        <v>50</v>
      </c>
      <c r="H2350" s="33">
        <v>8480</v>
      </c>
      <c r="I2350" s="34">
        <f>Table3[[#This Row],[Volume, kg.]]/1000</f>
        <v>8.48</v>
      </c>
      <c r="J2350" s="34">
        <v>0.22539999999999999</v>
      </c>
      <c r="K2350" s="34">
        <f t="shared" si="72"/>
        <v>1911.3919999999998</v>
      </c>
      <c r="L2350" s="34">
        <v>3.73</v>
      </c>
      <c r="M2350" s="34">
        <v>31672</v>
      </c>
      <c r="N2350" s="34">
        <f t="shared" si="73"/>
        <v>16.548358473824312</v>
      </c>
    </row>
    <row r="2351" spans="1:14" x14ac:dyDescent="0.45">
      <c r="A2351" s="30">
        <v>2024</v>
      </c>
      <c r="B2351" s="30" t="s">
        <v>8</v>
      </c>
      <c r="C2351" s="30" t="s">
        <v>46</v>
      </c>
      <c r="D2351" s="30" t="s">
        <v>47</v>
      </c>
      <c r="E2351" s="32" t="s">
        <v>301</v>
      </c>
      <c r="F2351" s="32" t="s">
        <v>60</v>
      </c>
      <c r="G2351" s="32" t="s">
        <v>50</v>
      </c>
      <c r="H2351" s="33">
        <v>26870</v>
      </c>
      <c r="I2351" s="34">
        <f>Table3[[#This Row],[Volume, kg.]]/1000</f>
        <v>26.87</v>
      </c>
      <c r="J2351" s="34">
        <v>0.25929999999999997</v>
      </c>
      <c r="K2351" s="34">
        <f t="shared" si="72"/>
        <v>6967.3909999999996</v>
      </c>
      <c r="L2351" s="34">
        <v>3.8</v>
      </c>
      <c r="M2351" s="34">
        <v>102102.5</v>
      </c>
      <c r="N2351" s="34">
        <f t="shared" si="73"/>
        <v>14.654839953721559</v>
      </c>
    </row>
    <row r="2352" spans="1:14" x14ac:dyDescent="0.45">
      <c r="A2352" s="30">
        <v>2024</v>
      </c>
      <c r="B2352" s="30" t="s">
        <v>8</v>
      </c>
      <c r="C2352" s="30" t="s">
        <v>46</v>
      </c>
      <c r="D2352" s="30" t="s">
        <v>47</v>
      </c>
      <c r="E2352" s="32" t="s">
        <v>174</v>
      </c>
      <c r="F2352" s="32" t="s">
        <v>57</v>
      </c>
      <c r="G2352" s="32" t="s">
        <v>50</v>
      </c>
      <c r="H2352" s="33">
        <v>8080</v>
      </c>
      <c r="I2352" s="34">
        <f>Table3[[#This Row],[Volume, kg.]]/1000</f>
        <v>8.08</v>
      </c>
      <c r="J2352" s="34">
        <v>0.2717</v>
      </c>
      <c r="K2352" s="34">
        <f t="shared" si="72"/>
        <v>2195.3359999999998</v>
      </c>
      <c r="L2352" s="34">
        <v>3.92</v>
      </c>
      <c r="M2352" s="34">
        <v>31675</v>
      </c>
      <c r="N2352" s="34">
        <f t="shared" si="73"/>
        <v>14.427677585572322</v>
      </c>
    </row>
    <row r="2353" spans="1:14" x14ac:dyDescent="0.45">
      <c r="A2353" s="30">
        <v>2024</v>
      </c>
      <c r="B2353" s="30" t="s">
        <v>8</v>
      </c>
      <c r="C2353" s="30" t="s">
        <v>46</v>
      </c>
      <c r="D2353" s="30" t="s">
        <v>47</v>
      </c>
      <c r="E2353" s="32" t="s">
        <v>51</v>
      </c>
      <c r="F2353" s="32" t="s">
        <v>49</v>
      </c>
      <c r="G2353" s="32" t="s">
        <v>50</v>
      </c>
      <c r="H2353" s="33">
        <v>9780</v>
      </c>
      <c r="I2353" s="34">
        <f>Table3[[#This Row],[Volume, kg.]]/1000</f>
        <v>9.7799999999999994</v>
      </c>
      <c r="J2353" s="34">
        <v>0.2384</v>
      </c>
      <c r="K2353" s="34">
        <f t="shared" si="72"/>
        <v>2331.5520000000001</v>
      </c>
      <c r="L2353" s="34">
        <v>3.7</v>
      </c>
      <c r="M2353" s="34">
        <v>36186</v>
      </c>
      <c r="N2353" s="34">
        <f t="shared" si="73"/>
        <v>15.520134228187921</v>
      </c>
    </row>
    <row r="2354" spans="1:14" x14ac:dyDescent="0.45">
      <c r="A2354" s="30">
        <v>2024</v>
      </c>
      <c r="B2354" s="30" t="s">
        <v>8</v>
      </c>
      <c r="C2354" s="30" t="s">
        <v>46</v>
      </c>
      <c r="D2354" s="30" t="s">
        <v>47</v>
      </c>
      <c r="E2354" s="32" t="s">
        <v>258</v>
      </c>
      <c r="F2354" s="32" t="s">
        <v>49</v>
      </c>
      <c r="G2354" s="32" t="s">
        <v>50</v>
      </c>
      <c r="H2354" s="33">
        <v>775480</v>
      </c>
      <c r="I2354" s="34">
        <f>Table3[[#This Row],[Volume, kg.]]/1000</f>
        <v>775.48</v>
      </c>
      <c r="J2354" s="34">
        <v>0.27940000000000004</v>
      </c>
      <c r="K2354" s="34">
        <f t="shared" si="72"/>
        <v>216669.11200000002</v>
      </c>
      <c r="L2354" s="34">
        <v>3.95</v>
      </c>
      <c r="M2354" s="34">
        <v>3065694.5</v>
      </c>
      <c r="N2354" s="34">
        <f t="shared" si="73"/>
        <v>14.137437365783821</v>
      </c>
    </row>
    <row r="2355" spans="1:14" x14ac:dyDescent="0.45">
      <c r="A2355" s="30">
        <v>2024</v>
      </c>
      <c r="B2355" s="30" t="s">
        <v>8</v>
      </c>
      <c r="C2355" s="30" t="s">
        <v>46</v>
      </c>
      <c r="D2355" s="30" t="s">
        <v>47</v>
      </c>
      <c r="E2355" s="32" t="s">
        <v>375</v>
      </c>
      <c r="F2355" s="32" t="s">
        <v>49</v>
      </c>
      <c r="G2355" s="32" t="s">
        <v>50</v>
      </c>
      <c r="H2355" s="33">
        <v>1430</v>
      </c>
      <c r="I2355" s="34">
        <f>Table3[[#This Row],[Volume, kg.]]/1000</f>
        <v>1.43</v>
      </c>
      <c r="J2355" s="34">
        <v>0.26300000000000001</v>
      </c>
      <c r="K2355" s="34">
        <f t="shared" si="72"/>
        <v>376.09000000000003</v>
      </c>
      <c r="L2355" s="34">
        <v>3.85</v>
      </c>
      <c r="M2355" s="34">
        <v>5505.5</v>
      </c>
      <c r="N2355" s="34">
        <f t="shared" si="73"/>
        <v>14.638783269961976</v>
      </c>
    </row>
    <row r="2356" spans="1:14" x14ac:dyDescent="0.45">
      <c r="A2356" s="30">
        <v>2024</v>
      </c>
      <c r="B2356" s="30" t="s">
        <v>8</v>
      </c>
      <c r="C2356" s="30" t="s">
        <v>46</v>
      </c>
      <c r="D2356" s="30" t="s">
        <v>47</v>
      </c>
      <c r="E2356" s="32" t="s">
        <v>231</v>
      </c>
      <c r="F2356" s="32" t="s">
        <v>49</v>
      </c>
      <c r="G2356" s="32" t="s">
        <v>50</v>
      </c>
      <c r="H2356" s="33">
        <v>3760</v>
      </c>
      <c r="I2356" s="34">
        <f>Table3[[#This Row],[Volume, kg.]]/1000</f>
        <v>3.76</v>
      </c>
      <c r="J2356" s="34">
        <v>0.26950000000000002</v>
      </c>
      <c r="K2356" s="34">
        <f t="shared" si="72"/>
        <v>1013.32</v>
      </c>
      <c r="L2356" s="34">
        <v>3.9</v>
      </c>
      <c r="M2356" s="34">
        <v>14664</v>
      </c>
      <c r="N2356" s="34">
        <f t="shared" si="73"/>
        <v>14.471243042671613</v>
      </c>
    </row>
    <row r="2357" spans="1:14" x14ac:dyDescent="0.45">
      <c r="A2357" s="30">
        <v>2024</v>
      </c>
      <c r="B2357" s="30" t="s">
        <v>8</v>
      </c>
      <c r="C2357" s="30" t="s">
        <v>46</v>
      </c>
      <c r="D2357" s="30" t="s">
        <v>47</v>
      </c>
      <c r="E2357" s="32" t="s">
        <v>166</v>
      </c>
      <c r="F2357" s="32" t="s">
        <v>49</v>
      </c>
      <c r="G2357" s="32" t="s">
        <v>50</v>
      </c>
      <c r="H2357" s="33">
        <v>17770</v>
      </c>
      <c r="I2357" s="34">
        <f>Table3[[#This Row],[Volume, kg.]]/1000</f>
        <v>17.77</v>
      </c>
      <c r="J2357" s="34">
        <v>0.2218</v>
      </c>
      <c r="K2357" s="34">
        <f t="shared" si="72"/>
        <v>3941.386</v>
      </c>
      <c r="L2357" s="34">
        <v>3.71</v>
      </c>
      <c r="M2357" s="34">
        <v>65964</v>
      </c>
      <c r="N2357" s="34">
        <f t="shared" si="73"/>
        <v>16.726780883678991</v>
      </c>
    </row>
    <row r="2358" spans="1:14" x14ac:dyDescent="0.45">
      <c r="A2358" s="30">
        <v>2024</v>
      </c>
      <c r="B2358" s="30" t="s">
        <v>8</v>
      </c>
      <c r="C2358" s="30" t="s">
        <v>46</v>
      </c>
      <c r="D2358" s="30" t="s">
        <v>47</v>
      </c>
      <c r="E2358" s="32" t="s">
        <v>380</v>
      </c>
      <c r="F2358" s="32" t="s">
        <v>49</v>
      </c>
      <c r="G2358" s="32" t="s">
        <v>50</v>
      </c>
      <c r="H2358" s="33">
        <v>4570</v>
      </c>
      <c r="I2358" s="34">
        <f>Table3[[#This Row],[Volume, kg.]]/1000</f>
        <v>4.57</v>
      </c>
      <c r="J2358" s="34">
        <v>0.30199999999999999</v>
      </c>
      <c r="K2358" s="34">
        <f t="shared" si="72"/>
        <v>1380.1399999999999</v>
      </c>
      <c r="L2358" s="34">
        <v>4.0999999999999996</v>
      </c>
      <c r="M2358" s="34">
        <v>18737</v>
      </c>
      <c r="N2358" s="34">
        <f t="shared" si="73"/>
        <v>13.576158940397351</v>
      </c>
    </row>
    <row r="2359" spans="1:14" x14ac:dyDescent="0.45">
      <c r="A2359" s="30">
        <v>2024</v>
      </c>
      <c r="B2359" s="30" t="s">
        <v>8</v>
      </c>
      <c r="C2359" s="30" t="s">
        <v>46</v>
      </c>
      <c r="D2359" s="30" t="s">
        <v>47</v>
      </c>
      <c r="E2359" s="32" t="s">
        <v>287</v>
      </c>
      <c r="F2359" s="32" t="s">
        <v>60</v>
      </c>
      <c r="G2359" s="32" t="s">
        <v>50</v>
      </c>
      <c r="H2359" s="33">
        <v>14350</v>
      </c>
      <c r="I2359" s="34">
        <f>Table3[[#This Row],[Volume, kg.]]/1000</f>
        <v>14.35</v>
      </c>
      <c r="J2359" s="34">
        <v>0.3085</v>
      </c>
      <c r="K2359" s="34">
        <f t="shared" si="72"/>
        <v>4426.9750000000004</v>
      </c>
      <c r="L2359" s="34">
        <v>4.0999999999999996</v>
      </c>
      <c r="M2359" s="34">
        <v>58835</v>
      </c>
      <c r="N2359" s="34">
        <f t="shared" si="73"/>
        <v>13.290113452188006</v>
      </c>
    </row>
    <row r="2360" spans="1:14" x14ac:dyDescent="0.45">
      <c r="A2360" s="30">
        <v>2024</v>
      </c>
      <c r="B2360" s="30" t="s">
        <v>8</v>
      </c>
      <c r="C2360" s="30" t="s">
        <v>46</v>
      </c>
      <c r="D2360" s="30" t="s">
        <v>47</v>
      </c>
      <c r="E2360" s="32" t="s">
        <v>164</v>
      </c>
      <c r="F2360" s="32" t="s">
        <v>49</v>
      </c>
      <c r="G2360" s="32" t="s">
        <v>50</v>
      </c>
      <c r="H2360" s="33">
        <v>21300</v>
      </c>
      <c r="I2360" s="34">
        <f>Table3[[#This Row],[Volume, kg.]]/1000</f>
        <v>21.3</v>
      </c>
      <c r="J2360" s="34">
        <v>0.28129999999999999</v>
      </c>
      <c r="K2360" s="34">
        <f t="shared" si="72"/>
        <v>5991.69</v>
      </c>
      <c r="L2360" s="34">
        <v>3.96</v>
      </c>
      <c r="M2360" s="34">
        <v>84336.5</v>
      </c>
      <c r="N2360" s="34">
        <f t="shared" si="73"/>
        <v>14.077497333807324</v>
      </c>
    </row>
    <row r="2361" spans="1:14" x14ac:dyDescent="0.45">
      <c r="A2361" s="30">
        <v>2024</v>
      </c>
      <c r="B2361" s="30" t="s">
        <v>8</v>
      </c>
      <c r="C2361" s="30" t="s">
        <v>46</v>
      </c>
      <c r="D2361" s="30" t="s">
        <v>47</v>
      </c>
      <c r="E2361" s="32" t="s">
        <v>534</v>
      </c>
      <c r="F2361" s="32" t="s">
        <v>49</v>
      </c>
      <c r="G2361" s="32" t="s">
        <v>50</v>
      </c>
      <c r="H2361" s="33">
        <v>11740</v>
      </c>
      <c r="I2361" s="34">
        <f>Table3[[#This Row],[Volume, kg.]]/1000</f>
        <v>11.74</v>
      </c>
      <c r="J2361" s="34">
        <v>0.27179999999999999</v>
      </c>
      <c r="K2361" s="34">
        <f t="shared" si="72"/>
        <v>3190.9319999999998</v>
      </c>
      <c r="L2361" s="34">
        <v>3.92</v>
      </c>
      <c r="M2361" s="34">
        <v>46022.5</v>
      </c>
      <c r="N2361" s="34">
        <f t="shared" si="73"/>
        <v>14.422369389256806</v>
      </c>
    </row>
    <row r="2362" spans="1:14" x14ac:dyDescent="0.45">
      <c r="A2362" s="30">
        <v>2024</v>
      </c>
      <c r="B2362" s="30" t="s">
        <v>8</v>
      </c>
      <c r="C2362" s="30" t="s">
        <v>46</v>
      </c>
      <c r="D2362" s="30" t="s">
        <v>47</v>
      </c>
      <c r="E2362" s="32" t="s">
        <v>220</v>
      </c>
      <c r="F2362" s="32" t="s">
        <v>49</v>
      </c>
      <c r="G2362" s="32" t="s">
        <v>50</v>
      </c>
      <c r="H2362" s="33">
        <v>178720</v>
      </c>
      <c r="I2362" s="34">
        <f>Table3[[#This Row],[Volume, kg.]]/1000</f>
        <v>178.72</v>
      </c>
      <c r="J2362" s="34">
        <v>0.28499999999999998</v>
      </c>
      <c r="K2362" s="34">
        <f t="shared" si="72"/>
        <v>50935.199999999997</v>
      </c>
      <c r="L2362" s="34">
        <v>4</v>
      </c>
      <c r="M2362" s="34">
        <v>714410.5</v>
      </c>
      <c r="N2362" s="34">
        <f t="shared" si="73"/>
        <v>14.035087719298247</v>
      </c>
    </row>
    <row r="2363" spans="1:14" x14ac:dyDescent="0.45">
      <c r="A2363" s="30">
        <v>2024</v>
      </c>
      <c r="B2363" s="30" t="s">
        <v>8</v>
      </c>
      <c r="C2363" s="30" t="s">
        <v>46</v>
      </c>
      <c r="D2363" s="30" t="s">
        <v>47</v>
      </c>
      <c r="E2363" s="32" t="s">
        <v>260</v>
      </c>
      <c r="F2363" s="32" t="s">
        <v>49</v>
      </c>
      <c r="G2363" s="32" t="s">
        <v>50</v>
      </c>
      <c r="H2363" s="33">
        <v>21180</v>
      </c>
      <c r="I2363" s="34">
        <f>Table3[[#This Row],[Volume, kg.]]/1000</f>
        <v>21.18</v>
      </c>
      <c r="J2363" s="34">
        <v>0.26780000000000004</v>
      </c>
      <c r="K2363" s="34">
        <f t="shared" si="72"/>
        <v>5672.0040000000008</v>
      </c>
      <c r="L2363" s="34">
        <v>3.83</v>
      </c>
      <c r="M2363" s="34">
        <v>81211</v>
      </c>
      <c r="N2363" s="34">
        <f t="shared" si="73"/>
        <v>14.301717699775951</v>
      </c>
    </row>
    <row r="2364" spans="1:14" x14ac:dyDescent="0.45">
      <c r="A2364" s="30">
        <v>2024</v>
      </c>
      <c r="B2364" s="30" t="s">
        <v>8</v>
      </c>
      <c r="C2364" s="30" t="s">
        <v>46</v>
      </c>
      <c r="D2364" s="30" t="s">
        <v>47</v>
      </c>
      <c r="E2364" s="32" t="s">
        <v>352</v>
      </c>
      <c r="F2364" s="32" t="s">
        <v>54</v>
      </c>
      <c r="G2364" s="32" t="s">
        <v>50</v>
      </c>
      <c r="H2364" s="33">
        <v>2310</v>
      </c>
      <c r="I2364" s="34">
        <f>Table3[[#This Row],[Volume, kg.]]/1000</f>
        <v>2.31</v>
      </c>
      <c r="J2364" s="34">
        <v>0.27800000000000002</v>
      </c>
      <c r="K2364" s="34">
        <f t="shared" si="72"/>
        <v>642.18000000000006</v>
      </c>
      <c r="L2364" s="34">
        <v>3.95</v>
      </c>
      <c r="M2364" s="34">
        <v>9124.5</v>
      </c>
      <c r="N2364" s="34">
        <f t="shared" si="73"/>
        <v>14.208633093525179</v>
      </c>
    </row>
    <row r="2365" spans="1:14" x14ac:dyDescent="0.45">
      <c r="A2365" s="30">
        <v>2024</v>
      </c>
      <c r="B2365" s="30" t="s">
        <v>8</v>
      </c>
      <c r="C2365" s="30" t="s">
        <v>46</v>
      </c>
      <c r="D2365" s="30" t="s">
        <v>47</v>
      </c>
      <c r="E2365" s="32" t="s">
        <v>465</v>
      </c>
      <c r="F2365" s="32" t="s">
        <v>57</v>
      </c>
      <c r="G2365" s="32" t="s">
        <v>50</v>
      </c>
      <c r="H2365" s="33">
        <v>30830</v>
      </c>
      <c r="I2365" s="34">
        <f>Table3[[#This Row],[Volume, kg.]]/1000</f>
        <v>30.83</v>
      </c>
      <c r="J2365" s="34">
        <v>0.28190000000000004</v>
      </c>
      <c r="K2365" s="34">
        <f t="shared" si="72"/>
        <v>8690.9770000000008</v>
      </c>
      <c r="L2365" s="34">
        <v>3.99</v>
      </c>
      <c r="M2365" s="34">
        <v>122949</v>
      </c>
      <c r="N2365" s="34">
        <f t="shared" si="73"/>
        <v>14.153955303299041</v>
      </c>
    </row>
    <row r="2366" spans="1:14" x14ac:dyDescent="0.45">
      <c r="A2366" s="30">
        <v>2024</v>
      </c>
      <c r="B2366" s="30" t="s">
        <v>8</v>
      </c>
      <c r="C2366" s="30" t="s">
        <v>46</v>
      </c>
      <c r="D2366" s="30" t="s">
        <v>47</v>
      </c>
      <c r="E2366" s="32" t="s">
        <v>110</v>
      </c>
      <c r="F2366" s="32" t="s">
        <v>57</v>
      </c>
      <c r="G2366" s="32" t="s">
        <v>50</v>
      </c>
      <c r="H2366" s="33">
        <v>28110</v>
      </c>
      <c r="I2366" s="34">
        <f>Table3[[#This Row],[Volume, kg.]]/1000</f>
        <v>28.11</v>
      </c>
      <c r="J2366" s="34">
        <v>0.28889999999999999</v>
      </c>
      <c r="K2366" s="34">
        <f t="shared" si="72"/>
        <v>8120.9789999999994</v>
      </c>
      <c r="L2366" s="34">
        <v>4.0199999999999996</v>
      </c>
      <c r="M2366" s="34">
        <v>112950</v>
      </c>
      <c r="N2366" s="34">
        <f t="shared" si="73"/>
        <v>13.91484942886812</v>
      </c>
    </row>
    <row r="2367" spans="1:14" x14ac:dyDescent="0.45">
      <c r="A2367" s="30">
        <v>2024</v>
      </c>
      <c r="B2367" s="30" t="s">
        <v>8</v>
      </c>
      <c r="C2367" s="30" t="s">
        <v>46</v>
      </c>
      <c r="D2367" s="30" t="s">
        <v>47</v>
      </c>
      <c r="E2367" s="32" t="s">
        <v>162</v>
      </c>
      <c r="F2367" s="32" t="s">
        <v>49</v>
      </c>
      <c r="G2367" s="32" t="s">
        <v>50</v>
      </c>
      <c r="H2367" s="33">
        <v>49850</v>
      </c>
      <c r="I2367" s="34">
        <f>Table3[[#This Row],[Volume, kg.]]/1000</f>
        <v>49.85</v>
      </c>
      <c r="J2367" s="34">
        <v>0.27800000000000002</v>
      </c>
      <c r="K2367" s="34">
        <f t="shared" si="72"/>
        <v>13858.300000000001</v>
      </c>
      <c r="L2367" s="34">
        <v>3.91</v>
      </c>
      <c r="M2367" s="34">
        <v>194908.5</v>
      </c>
      <c r="N2367" s="34">
        <f t="shared" si="73"/>
        <v>14.064748201438848</v>
      </c>
    </row>
    <row r="2368" spans="1:14" x14ac:dyDescent="0.45">
      <c r="A2368" s="30">
        <v>2024</v>
      </c>
      <c r="B2368" s="30" t="s">
        <v>8</v>
      </c>
      <c r="C2368" s="30" t="s">
        <v>46</v>
      </c>
      <c r="D2368" s="30" t="s">
        <v>47</v>
      </c>
      <c r="E2368" s="32" t="s">
        <v>86</v>
      </c>
      <c r="F2368" s="32" t="s">
        <v>49</v>
      </c>
      <c r="G2368" s="32" t="s">
        <v>50</v>
      </c>
      <c r="H2368" s="33">
        <v>71030</v>
      </c>
      <c r="I2368" s="34">
        <f>Table3[[#This Row],[Volume, kg.]]/1000</f>
        <v>71.03</v>
      </c>
      <c r="J2368" s="34">
        <v>0.27629999999999999</v>
      </c>
      <c r="K2368" s="34">
        <f t="shared" si="72"/>
        <v>19625.589</v>
      </c>
      <c r="L2368" s="34">
        <v>3.95</v>
      </c>
      <c r="M2368" s="34">
        <v>280805.5</v>
      </c>
      <c r="N2368" s="34">
        <f t="shared" si="73"/>
        <v>14.296055012667392</v>
      </c>
    </row>
    <row r="2369" spans="1:14" x14ac:dyDescent="0.45">
      <c r="A2369" s="30">
        <v>2024</v>
      </c>
      <c r="B2369" s="30" t="s">
        <v>8</v>
      </c>
      <c r="C2369" s="30" t="s">
        <v>46</v>
      </c>
      <c r="D2369" s="30" t="s">
        <v>47</v>
      </c>
      <c r="E2369" s="32" t="s">
        <v>421</v>
      </c>
      <c r="F2369" s="32" t="s">
        <v>49</v>
      </c>
      <c r="G2369" s="32" t="s">
        <v>50</v>
      </c>
      <c r="H2369" s="33">
        <v>38840</v>
      </c>
      <c r="I2369" s="34">
        <f>Table3[[#This Row],[Volume, kg.]]/1000</f>
        <v>38.840000000000003</v>
      </c>
      <c r="J2369" s="34">
        <v>0.28999999999999998</v>
      </c>
      <c r="K2369" s="34">
        <f t="shared" si="72"/>
        <v>11263.599999999999</v>
      </c>
      <c r="L2369" s="34">
        <v>4.01</v>
      </c>
      <c r="M2369" s="34">
        <v>155619</v>
      </c>
      <c r="N2369" s="34">
        <f t="shared" si="73"/>
        <v>13.827586206896552</v>
      </c>
    </row>
    <row r="2370" spans="1:14" x14ac:dyDescent="0.45">
      <c r="A2370" s="30">
        <v>2024</v>
      </c>
      <c r="B2370" s="30" t="s">
        <v>8</v>
      </c>
      <c r="C2370" s="30" t="s">
        <v>46</v>
      </c>
      <c r="D2370" s="30" t="s">
        <v>47</v>
      </c>
      <c r="E2370" s="32" t="s">
        <v>167</v>
      </c>
      <c r="F2370" s="32" t="s">
        <v>49</v>
      </c>
      <c r="G2370" s="32" t="s">
        <v>50</v>
      </c>
      <c r="H2370" s="33">
        <v>50880</v>
      </c>
      <c r="I2370" s="34">
        <f>Table3[[#This Row],[Volume, kg.]]/1000</f>
        <v>50.88</v>
      </c>
      <c r="J2370" s="34">
        <v>0.28010000000000002</v>
      </c>
      <c r="K2370" s="34">
        <f t="shared" si="72"/>
        <v>14251.488000000001</v>
      </c>
      <c r="L2370" s="34">
        <v>3.97</v>
      </c>
      <c r="M2370" s="34">
        <v>201898</v>
      </c>
      <c r="N2370" s="34">
        <f t="shared" si="73"/>
        <v>14.17350946090682</v>
      </c>
    </row>
    <row r="2371" spans="1:14" x14ac:dyDescent="0.45">
      <c r="A2371" s="30">
        <v>2024</v>
      </c>
      <c r="B2371" s="30" t="s">
        <v>8</v>
      </c>
      <c r="C2371" s="30" t="s">
        <v>46</v>
      </c>
      <c r="D2371" s="30" t="s">
        <v>47</v>
      </c>
      <c r="E2371" s="32" t="s">
        <v>190</v>
      </c>
      <c r="F2371" s="32" t="s">
        <v>81</v>
      </c>
      <c r="G2371" s="32" t="s">
        <v>50</v>
      </c>
      <c r="H2371" s="33">
        <v>17830</v>
      </c>
      <c r="I2371" s="34">
        <f>Table3[[#This Row],[Volume, kg.]]/1000</f>
        <v>17.829999999999998</v>
      </c>
      <c r="J2371" s="34">
        <v>0.31769999999999998</v>
      </c>
      <c r="K2371" s="34">
        <f t="shared" ref="K2371:K2434" si="74">H2371*J2371</f>
        <v>5664.5909999999994</v>
      </c>
      <c r="L2371" s="34">
        <v>4.2</v>
      </c>
      <c r="M2371" s="34">
        <v>74886</v>
      </c>
      <c r="N2371" s="34">
        <f t="shared" si="73"/>
        <v>13.220018885741267</v>
      </c>
    </row>
    <row r="2372" spans="1:14" x14ac:dyDescent="0.45">
      <c r="A2372" s="30">
        <v>2024</v>
      </c>
      <c r="B2372" s="30" t="s">
        <v>8</v>
      </c>
      <c r="C2372" s="30" t="s">
        <v>46</v>
      </c>
      <c r="D2372" s="30" t="s">
        <v>47</v>
      </c>
      <c r="E2372" s="32" t="s">
        <v>77</v>
      </c>
      <c r="F2372" s="32" t="s">
        <v>49</v>
      </c>
      <c r="G2372" s="32" t="s">
        <v>50</v>
      </c>
      <c r="H2372" s="33">
        <v>35630</v>
      </c>
      <c r="I2372" s="34">
        <f>Table3[[#This Row],[Volume, kg.]]/1000</f>
        <v>35.630000000000003</v>
      </c>
      <c r="J2372" s="34">
        <v>0.28170000000000001</v>
      </c>
      <c r="K2372" s="34">
        <f t="shared" si="74"/>
        <v>10036.971</v>
      </c>
      <c r="L2372" s="34">
        <v>4</v>
      </c>
      <c r="M2372" s="34">
        <v>142363.5</v>
      </c>
      <c r="N2372" s="34">
        <f t="shared" ref="N2372:N2435" si="75">L2372/J2372</f>
        <v>14.199503017394392</v>
      </c>
    </row>
    <row r="2373" spans="1:14" x14ac:dyDescent="0.45">
      <c r="A2373" s="30">
        <v>2024</v>
      </c>
      <c r="B2373" s="30" t="s">
        <v>8</v>
      </c>
      <c r="C2373" s="30" t="s">
        <v>46</v>
      </c>
      <c r="D2373" s="30" t="s">
        <v>47</v>
      </c>
      <c r="E2373" s="32" t="s">
        <v>176</v>
      </c>
      <c r="F2373" s="32" t="s">
        <v>49</v>
      </c>
      <c r="G2373" s="32" t="s">
        <v>50</v>
      </c>
      <c r="H2373" s="33">
        <v>13760</v>
      </c>
      <c r="I2373" s="34">
        <f>Table3[[#This Row],[Volume, kg.]]/1000</f>
        <v>13.76</v>
      </c>
      <c r="J2373" s="34">
        <v>0.29859999999999998</v>
      </c>
      <c r="K2373" s="34">
        <f t="shared" si="74"/>
        <v>4108.7359999999999</v>
      </c>
      <c r="L2373" s="34">
        <v>4</v>
      </c>
      <c r="M2373" s="34">
        <v>55040</v>
      </c>
      <c r="N2373" s="34">
        <f t="shared" si="75"/>
        <v>13.395847287340926</v>
      </c>
    </row>
    <row r="2374" spans="1:14" x14ac:dyDescent="0.45">
      <c r="A2374" s="30">
        <v>2024</v>
      </c>
      <c r="B2374" s="30" t="s">
        <v>8</v>
      </c>
      <c r="C2374" s="30" t="s">
        <v>46</v>
      </c>
      <c r="D2374" s="30" t="s">
        <v>47</v>
      </c>
      <c r="E2374" s="32" t="s">
        <v>308</v>
      </c>
      <c r="F2374" s="32" t="s">
        <v>81</v>
      </c>
      <c r="G2374" s="32" t="s">
        <v>50</v>
      </c>
      <c r="H2374" s="33">
        <v>138730</v>
      </c>
      <c r="I2374" s="34">
        <f>Table3[[#This Row],[Volume, kg.]]/1000</f>
        <v>138.72999999999999</v>
      </c>
      <c r="J2374" s="34">
        <v>0.28639999999999999</v>
      </c>
      <c r="K2374" s="34">
        <f t="shared" si="74"/>
        <v>39732.271999999997</v>
      </c>
      <c r="L2374" s="34">
        <v>3.99</v>
      </c>
      <c r="M2374" s="34">
        <v>553798.5</v>
      </c>
      <c r="N2374" s="34">
        <f t="shared" si="75"/>
        <v>13.931564245810057</v>
      </c>
    </row>
    <row r="2375" spans="1:14" x14ac:dyDescent="0.45">
      <c r="A2375" s="30">
        <v>2024</v>
      </c>
      <c r="B2375" s="30" t="s">
        <v>8</v>
      </c>
      <c r="C2375" s="30" t="s">
        <v>46</v>
      </c>
      <c r="D2375" s="30" t="s">
        <v>47</v>
      </c>
      <c r="E2375" s="32" t="s">
        <v>236</v>
      </c>
      <c r="F2375" s="32" t="s">
        <v>49</v>
      </c>
      <c r="G2375" s="32" t="s">
        <v>50</v>
      </c>
      <c r="H2375" s="33">
        <v>60340</v>
      </c>
      <c r="I2375" s="34">
        <f>Table3[[#This Row],[Volume, kg.]]/1000</f>
        <v>60.34</v>
      </c>
      <c r="J2375" s="34">
        <v>0.27260000000000001</v>
      </c>
      <c r="K2375" s="34">
        <f t="shared" si="74"/>
        <v>16448.684000000001</v>
      </c>
      <c r="L2375" s="34">
        <v>3.93</v>
      </c>
      <c r="M2375" s="34">
        <v>236869</v>
      </c>
      <c r="N2375" s="34">
        <f t="shared" si="75"/>
        <v>14.416727806309611</v>
      </c>
    </row>
    <row r="2376" spans="1:14" x14ac:dyDescent="0.45">
      <c r="A2376" s="30">
        <v>2024</v>
      </c>
      <c r="B2376" s="30" t="s">
        <v>8</v>
      </c>
      <c r="C2376" s="30" t="s">
        <v>46</v>
      </c>
      <c r="D2376" s="30" t="s">
        <v>47</v>
      </c>
      <c r="E2376" s="32" t="s">
        <v>111</v>
      </c>
      <c r="F2376" s="32" t="s">
        <v>60</v>
      </c>
      <c r="G2376" s="32" t="s">
        <v>50</v>
      </c>
      <c r="H2376" s="33">
        <v>113190</v>
      </c>
      <c r="I2376" s="34">
        <f>Table3[[#This Row],[Volume, kg.]]/1000</f>
        <v>113.19</v>
      </c>
      <c r="J2376" s="34">
        <v>0.28939999999999999</v>
      </c>
      <c r="K2376" s="34">
        <f t="shared" si="74"/>
        <v>32757.185999999998</v>
      </c>
      <c r="L2376" s="34">
        <v>4.01</v>
      </c>
      <c r="M2376" s="34">
        <v>454435.5</v>
      </c>
      <c r="N2376" s="34">
        <f t="shared" si="75"/>
        <v>13.856254319281271</v>
      </c>
    </row>
    <row r="2377" spans="1:14" x14ac:dyDescent="0.45">
      <c r="A2377" s="30">
        <v>2024</v>
      </c>
      <c r="B2377" s="30" t="s">
        <v>8</v>
      </c>
      <c r="C2377" s="30" t="s">
        <v>46</v>
      </c>
      <c r="D2377" s="30" t="s">
        <v>47</v>
      </c>
      <c r="E2377" s="32" t="s">
        <v>388</v>
      </c>
      <c r="F2377" s="32" t="s">
        <v>134</v>
      </c>
      <c r="G2377" s="32" t="s">
        <v>50</v>
      </c>
      <c r="H2377" s="33">
        <v>30930</v>
      </c>
      <c r="I2377" s="34">
        <f>Table3[[#This Row],[Volume, kg.]]/1000</f>
        <v>30.93</v>
      </c>
      <c r="J2377" s="34">
        <v>0.26369999999999999</v>
      </c>
      <c r="K2377" s="34">
        <f t="shared" si="74"/>
        <v>8156.241</v>
      </c>
      <c r="L2377" s="34">
        <v>3.87</v>
      </c>
      <c r="M2377" s="34">
        <v>119841</v>
      </c>
      <c r="N2377" s="34">
        <f t="shared" si="75"/>
        <v>14.675767918088738</v>
      </c>
    </row>
    <row r="2378" spans="1:14" x14ac:dyDescent="0.45">
      <c r="A2378" s="30">
        <v>2024</v>
      </c>
      <c r="B2378" s="30" t="s">
        <v>8</v>
      </c>
      <c r="C2378" s="30" t="s">
        <v>46</v>
      </c>
      <c r="D2378" s="30" t="s">
        <v>47</v>
      </c>
      <c r="E2378" s="32" t="s">
        <v>59</v>
      </c>
      <c r="F2378" s="32" t="s">
        <v>60</v>
      </c>
      <c r="G2378" s="32" t="s">
        <v>50</v>
      </c>
      <c r="H2378" s="33">
        <v>38520</v>
      </c>
      <c r="I2378" s="34">
        <f>Table3[[#This Row],[Volume, kg.]]/1000</f>
        <v>38.520000000000003</v>
      </c>
      <c r="J2378" s="34">
        <v>0.26369999999999999</v>
      </c>
      <c r="K2378" s="34">
        <f t="shared" si="74"/>
        <v>10157.724</v>
      </c>
      <c r="L2378" s="34">
        <v>3.96</v>
      </c>
      <c r="M2378" s="34">
        <v>152482.5</v>
      </c>
      <c r="N2378" s="34">
        <f t="shared" si="75"/>
        <v>15.017064846416382</v>
      </c>
    </row>
    <row r="2379" spans="1:14" x14ac:dyDescent="0.45">
      <c r="A2379" s="30">
        <v>2024</v>
      </c>
      <c r="B2379" s="30" t="s">
        <v>8</v>
      </c>
      <c r="C2379" s="30" t="s">
        <v>46</v>
      </c>
      <c r="D2379" s="30" t="s">
        <v>47</v>
      </c>
      <c r="E2379" s="32" t="s">
        <v>192</v>
      </c>
      <c r="F2379" s="32" t="s">
        <v>49</v>
      </c>
      <c r="G2379" s="32" t="s">
        <v>50</v>
      </c>
      <c r="H2379" s="33">
        <v>31460</v>
      </c>
      <c r="I2379" s="34">
        <f>Table3[[#This Row],[Volume, kg.]]/1000</f>
        <v>31.46</v>
      </c>
      <c r="J2379" s="34">
        <v>0.27910000000000001</v>
      </c>
      <c r="K2379" s="34">
        <f t="shared" si="74"/>
        <v>8780.4860000000008</v>
      </c>
      <c r="L2379" s="34">
        <v>3.95</v>
      </c>
      <c r="M2379" s="34">
        <v>124360.5</v>
      </c>
      <c r="N2379" s="34">
        <f t="shared" si="75"/>
        <v>14.152633464707989</v>
      </c>
    </row>
    <row r="2380" spans="1:14" x14ac:dyDescent="0.45">
      <c r="A2380" s="30">
        <v>2024</v>
      </c>
      <c r="B2380" s="30" t="s">
        <v>8</v>
      </c>
      <c r="C2380" s="30" t="s">
        <v>46</v>
      </c>
      <c r="D2380" s="30" t="s">
        <v>47</v>
      </c>
      <c r="E2380" s="32" t="s">
        <v>277</v>
      </c>
      <c r="F2380" s="32" t="s">
        <v>60</v>
      </c>
      <c r="G2380" s="32" t="s">
        <v>50</v>
      </c>
      <c r="H2380" s="33">
        <v>13740</v>
      </c>
      <c r="I2380" s="34">
        <f>Table3[[#This Row],[Volume, kg.]]/1000</f>
        <v>13.74</v>
      </c>
      <c r="J2380" s="34">
        <v>0.25700000000000001</v>
      </c>
      <c r="K2380" s="34">
        <f t="shared" si="74"/>
        <v>3531.1800000000003</v>
      </c>
      <c r="L2380" s="34">
        <v>3.8</v>
      </c>
      <c r="M2380" s="34">
        <v>52212</v>
      </c>
      <c r="N2380" s="34">
        <f t="shared" si="75"/>
        <v>14.785992217898832</v>
      </c>
    </row>
    <row r="2381" spans="1:14" x14ac:dyDescent="0.45">
      <c r="A2381" s="30">
        <v>2024</v>
      </c>
      <c r="B2381" s="30" t="s">
        <v>8</v>
      </c>
      <c r="C2381" s="30" t="s">
        <v>46</v>
      </c>
      <c r="D2381" s="30" t="s">
        <v>47</v>
      </c>
      <c r="E2381" s="32" t="s">
        <v>135</v>
      </c>
      <c r="F2381" s="32" t="s">
        <v>49</v>
      </c>
      <c r="G2381" s="32" t="s">
        <v>50</v>
      </c>
      <c r="H2381" s="33">
        <v>15570</v>
      </c>
      <c r="I2381" s="34">
        <f>Table3[[#This Row],[Volume, kg.]]/1000</f>
        <v>15.57</v>
      </c>
      <c r="J2381" s="34">
        <v>0.27200000000000002</v>
      </c>
      <c r="K2381" s="34">
        <f t="shared" si="74"/>
        <v>4235.04</v>
      </c>
      <c r="L2381" s="34">
        <v>3.95</v>
      </c>
      <c r="M2381" s="34">
        <v>61501.5</v>
      </c>
      <c r="N2381" s="34">
        <f t="shared" si="75"/>
        <v>14.522058823529411</v>
      </c>
    </row>
    <row r="2382" spans="1:14" x14ac:dyDescent="0.45">
      <c r="A2382" s="30">
        <v>2024</v>
      </c>
      <c r="B2382" s="30" t="s">
        <v>8</v>
      </c>
      <c r="C2382" s="30" t="s">
        <v>46</v>
      </c>
      <c r="D2382" s="30" t="s">
        <v>47</v>
      </c>
      <c r="E2382" s="32" t="s">
        <v>100</v>
      </c>
      <c r="F2382" s="32" t="s">
        <v>60</v>
      </c>
      <c r="G2382" s="32" t="s">
        <v>50</v>
      </c>
      <c r="H2382" s="33">
        <v>86210</v>
      </c>
      <c r="I2382" s="34">
        <f>Table3[[#This Row],[Volume, kg.]]/1000</f>
        <v>86.21</v>
      </c>
      <c r="J2382" s="34">
        <v>0.2913</v>
      </c>
      <c r="K2382" s="34">
        <f t="shared" si="74"/>
        <v>25112.973000000002</v>
      </c>
      <c r="L2382" s="34">
        <v>4.0599999999999996</v>
      </c>
      <c r="M2382" s="34">
        <v>350239</v>
      </c>
      <c r="N2382" s="34">
        <f t="shared" si="75"/>
        <v>13.937521455544111</v>
      </c>
    </row>
    <row r="2383" spans="1:14" x14ac:dyDescent="0.45">
      <c r="A2383" s="30">
        <v>2024</v>
      </c>
      <c r="B2383" s="30" t="s">
        <v>8</v>
      </c>
      <c r="C2383" s="30" t="s">
        <v>46</v>
      </c>
      <c r="D2383" s="30" t="s">
        <v>47</v>
      </c>
      <c r="E2383" s="32" t="s">
        <v>145</v>
      </c>
      <c r="F2383" s="32" t="s">
        <v>60</v>
      </c>
      <c r="G2383" s="32" t="s">
        <v>50</v>
      </c>
      <c r="H2383" s="33">
        <v>45120</v>
      </c>
      <c r="I2383" s="34">
        <f>Table3[[#This Row],[Volume, kg.]]/1000</f>
        <v>45.12</v>
      </c>
      <c r="J2383" s="34">
        <v>0.26989999999999997</v>
      </c>
      <c r="K2383" s="34">
        <f t="shared" si="74"/>
        <v>12177.887999999999</v>
      </c>
      <c r="L2383" s="34">
        <v>3.88</v>
      </c>
      <c r="M2383" s="34">
        <v>174994</v>
      </c>
      <c r="N2383" s="34">
        <f t="shared" si="75"/>
        <v>14.375694701741386</v>
      </c>
    </row>
    <row r="2384" spans="1:14" x14ac:dyDescent="0.45">
      <c r="A2384" s="30">
        <v>2024</v>
      </c>
      <c r="B2384" s="30" t="s">
        <v>8</v>
      </c>
      <c r="C2384" s="30" t="s">
        <v>46</v>
      </c>
      <c r="D2384" s="30" t="s">
        <v>47</v>
      </c>
      <c r="E2384" s="32" t="s">
        <v>469</v>
      </c>
      <c r="F2384" s="32" t="s">
        <v>57</v>
      </c>
      <c r="G2384" s="32" t="s">
        <v>50</v>
      </c>
      <c r="H2384" s="33">
        <v>41010</v>
      </c>
      <c r="I2384" s="34">
        <f>Table3[[#This Row],[Volume, kg.]]/1000</f>
        <v>41.01</v>
      </c>
      <c r="J2384" s="34">
        <v>0.2863</v>
      </c>
      <c r="K2384" s="34">
        <f t="shared" si="74"/>
        <v>11741.163</v>
      </c>
      <c r="L2384" s="34">
        <v>4.04</v>
      </c>
      <c r="M2384" s="34">
        <v>165785.5</v>
      </c>
      <c r="N2384" s="34">
        <f t="shared" si="75"/>
        <v>14.111072301781348</v>
      </c>
    </row>
    <row r="2385" spans="1:14" x14ac:dyDescent="0.45">
      <c r="A2385" s="30">
        <v>2024</v>
      </c>
      <c r="B2385" s="30" t="s">
        <v>8</v>
      </c>
      <c r="C2385" s="30" t="s">
        <v>46</v>
      </c>
      <c r="D2385" s="30" t="s">
        <v>47</v>
      </c>
      <c r="E2385" s="32" t="s">
        <v>579</v>
      </c>
      <c r="F2385" s="32" t="s">
        <v>49</v>
      </c>
      <c r="G2385" s="32" t="s">
        <v>50</v>
      </c>
      <c r="H2385" s="33">
        <v>11220</v>
      </c>
      <c r="I2385" s="34">
        <f>Table3[[#This Row],[Volume, kg.]]/1000</f>
        <v>11.22</v>
      </c>
      <c r="J2385" s="34">
        <v>0.28949999999999998</v>
      </c>
      <c r="K2385" s="34">
        <f t="shared" si="74"/>
        <v>3248.1899999999996</v>
      </c>
      <c r="L2385" s="34">
        <v>4</v>
      </c>
      <c r="M2385" s="34">
        <v>44880</v>
      </c>
      <c r="N2385" s="34">
        <f t="shared" si="75"/>
        <v>13.816925734024181</v>
      </c>
    </row>
    <row r="2386" spans="1:14" x14ac:dyDescent="0.45">
      <c r="A2386" s="30">
        <v>2024</v>
      </c>
      <c r="B2386" s="30" t="s">
        <v>8</v>
      </c>
      <c r="C2386" s="30" t="s">
        <v>46</v>
      </c>
      <c r="D2386" s="30" t="s">
        <v>47</v>
      </c>
      <c r="E2386" s="32" t="s">
        <v>147</v>
      </c>
      <c r="F2386" s="32" t="s">
        <v>57</v>
      </c>
      <c r="G2386" s="32" t="s">
        <v>50</v>
      </c>
      <c r="H2386" s="33">
        <v>9060</v>
      </c>
      <c r="I2386" s="34">
        <f>Table3[[#This Row],[Volume, kg.]]/1000</f>
        <v>9.06</v>
      </c>
      <c r="J2386" s="34">
        <v>0.28600000000000003</v>
      </c>
      <c r="K2386" s="34">
        <f t="shared" si="74"/>
        <v>2591.1600000000003</v>
      </c>
      <c r="L2386" s="34">
        <v>3.98</v>
      </c>
      <c r="M2386" s="34">
        <v>36054</v>
      </c>
      <c r="N2386" s="34">
        <f t="shared" si="75"/>
        <v>13.916083916083915</v>
      </c>
    </row>
    <row r="2387" spans="1:14" x14ac:dyDescent="0.45">
      <c r="A2387" s="30">
        <v>2024</v>
      </c>
      <c r="B2387" s="30" t="s">
        <v>8</v>
      </c>
      <c r="C2387" s="30" t="s">
        <v>46</v>
      </c>
      <c r="D2387" s="30" t="s">
        <v>47</v>
      </c>
      <c r="E2387" s="32" t="s">
        <v>580</v>
      </c>
      <c r="F2387" s="32" t="s">
        <v>49</v>
      </c>
      <c r="G2387" s="32" t="s">
        <v>50</v>
      </c>
      <c r="H2387" s="33">
        <v>18180</v>
      </c>
      <c r="I2387" s="34">
        <f>Table3[[#This Row],[Volume, kg.]]/1000</f>
        <v>18.18</v>
      </c>
      <c r="J2387" s="34">
        <v>0.29370000000000002</v>
      </c>
      <c r="K2387" s="34">
        <f t="shared" si="74"/>
        <v>5339.4660000000003</v>
      </c>
      <c r="L2387" s="34">
        <v>4.0199999999999996</v>
      </c>
      <c r="M2387" s="34">
        <v>73173</v>
      </c>
      <c r="N2387" s="34">
        <f t="shared" si="75"/>
        <v>13.687436159346269</v>
      </c>
    </row>
    <row r="2388" spans="1:14" x14ac:dyDescent="0.45">
      <c r="A2388" s="30">
        <v>2024</v>
      </c>
      <c r="B2388" s="30" t="s">
        <v>8</v>
      </c>
      <c r="C2388" s="30" t="s">
        <v>46</v>
      </c>
      <c r="D2388" s="30" t="s">
        <v>47</v>
      </c>
      <c r="E2388" s="32" t="s">
        <v>210</v>
      </c>
      <c r="F2388" s="32" t="s">
        <v>60</v>
      </c>
      <c r="G2388" s="32" t="s">
        <v>50</v>
      </c>
      <c r="H2388" s="33">
        <v>75720</v>
      </c>
      <c r="I2388" s="34">
        <f>Table3[[#This Row],[Volume, kg.]]/1000</f>
        <v>75.72</v>
      </c>
      <c r="J2388" s="34">
        <v>0.27829999999999999</v>
      </c>
      <c r="K2388" s="34">
        <f t="shared" si="74"/>
        <v>21072.876</v>
      </c>
      <c r="L2388" s="34">
        <v>3.94</v>
      </c>
      <c r="M2388" s="34">
        <v>298383</v>
      </c>
      <c r="N2388" s="34">
        <f t="shared" si="75"/>
        <v>14.157384117858426</v>
      </c>
    </row>
    <row r="2389" spans="1:14" x14ac:dyDescent="0.45">
      <c r="A2389" s="30">
        <v>2024</v>
      </c>
      <c r="B2389" s="30" t="s">
        <v>8</v>
      </c>
      <c r="C2389" s="30" t="s">
        <v>46</v>
      </c>
      <c r="D2389" s="30" t="s">
        <v>47</v>
      </c>
      <c r="E2389" s="32" t="s">
        <v>253</v>
      </c>
      <c r="F2389" s="32" t="s">
        <v>57</v>
      </c>
      <c r="G2389" s="32" t="s">
        <v>50</v>
      </c>
      <c r="H2389" s="33">
        <v>22750</v>
      </c>
      <c r="I2389" s="34">
        <f>Table3[[#This Row],[Volume, kg.]]/1000</f>
        <v>22.75</v>
      </c>
      <c r="J2389" s="34">
        <v>0.26910000000000001</v>
      </c>
      <c r="K2389" s="34">
        <f t="shared" si="74"/>
        <v>6122.0250000000005</v>
      </c>
      <c r="L2389" s="34">
        <v>3.86</v>
      </c>
      <c r="M2389" s="34">
        <v>87794</v>
      </c>
      <c r="N2389" s="34">
        <f t="shared" si="75"/>
        <v>14.344109996283908</v>
      </c>
    </row>
    <row r="2390" spans="1:14" x14ac:dyDescent="0.45">
      <c r="A2390" s="30">
        <v>2024</v>
      </c>
      <c r="B2390" s="30" t="s">
        <v>8</v>
      </c>
      <c r="C2390" s="30" t="s">
        <v>46</v>
      </c>
      <c r="D2390" s="30" t="s">
        <v>47</v>
      </c>
      <c r="E2390" s="32" t="s">
        <v>435</v>
      </c>
      <c r="F2390" s="32" t="s">
        <v>49</v>
      </c>
      <c r="G2390" s="32" t="s">
        <v>50</v>
      </c>
      <c r="H2390" s="33">
        <v>20090</v>
      </c>
      <c r="I2390" s="34">
        <f>Table3[[#This Row],[Volume, kg.]]/1000</f>
        <v>20.09</v>
      </c>
      <c r="J2390" s="34">
        <v>0.23569999999999999</v>
      </c>
      <c r="K2390" s="34">
        <f t="shared" si="74"/>
        <v>4735.2129999999997</v>
      </c>
      <c r="L2390" s="34">
        <v>3.74</v>
      </c>
      <c r="M2390" s="34">
        <v>75055</v>
      </c>
      <c r="N2390" s="34">
        <f t="shared" si="75"/>
        <v>15.867628341111583</v>
      </c>
    </row>
    <row r="2391" spans="1:14" x14ac:dyDescent="0.45">
      <c r="A2391" s="30">
        <v>2024</v>
      </c>
      <c r="B2391" s="30" t="s">
        <v>8</v>
      </c>
      <c r="C2391" s="30" t="s">
        <v>46</v>
      </c>
      <c r="D2391" s="30" t="s">
        <v>47</v>
      </c>
      <c r="E2391" s="32" t="s">
        <v>171</v>
      </c>
      <c r="F2391" s="32" t="s">
        <v>49</v>
      </c>
      <c r="G2391" s="32" t="s">
        <v>50</v>
      </c>
      <c r="H2391" s="33">
        <v>62140</v>
      </c>
      <c r="I2391" s="34">
        <f>Table3[[#This Row],[Volume, kg.]]/1000</f>
        <v>62.14</v>
      </c>
      <c r="J2391" s="34">
        <v>0.27399999999999997</v>
      </c>
      <c r="K2391" s="34">
        <f t="shared" si="74"/>
        <v>17026.359999999997</v>
      </c>
      <c r="L2391" s="34">
        <v>3.89</v>
      </c>
      <c r="M2391" s="34">
        <v>241814</v>
      </c>
      <c r="N2391" s="34">
        <f t="shared" si="75"/>
        <v>14.197080291970805</v>
      </c>
    </row>
    <row r="2392" spans="1:14" x14ac:dyDescent="0.45">
      <c r="A2392" s="30">
        <v>2024</v>
      </c>
      <c r="B2392" s="30" t="s">
        <v>8</v>
      </c>
      <c r="C2392" s="30" t="s">
        <v>46</v>
      </c>
      <c r="D2392" s="30" t="s">
        <v>47</v>
      </c>
      <c r="E2392" s="32" t="s">
        <v>233</v>
      </c>
      <c r="F2392" s="32" t="s">
        <v>57</v>
      </c>
      <c r="G2392" s="32" t="s">
        <v>50</v>
      </c>
      <c r="H2392" s="33">
        <v>7390</v>
      </c>
      <c r="I2392" s="34">
        <f>Table3[[#This Row],[Volume, kg.]]/1000</f>
        <v>7.39</v>
      </c>
      <c r="J2392" s="34">
        <v>0.27750000000000002</v>
      </c>
      <c r="K2392" s="34">
        <f t="shared" si="74"/>
        <v>2050.7250000000004</v>
      </c>
      <c r="L2392" s="34">
        <v>4</v>
      </c>
      <c r="M2392" s="34">
        <v>29560</v>
      </c>
      <c r="N2392" s="34">
        <f t="shared" si="75"/>
        <v>14.414414414414413</v>
      </c>
    </row>
    <row r="2393" spans="1:14" x14ac:dyDescent="0.45">
      <c r="A2393" s="30">
        <v>2024</v>
      </c>
      <c r="B2393" s="30" t="s">
        <v>8</v>
      </c>
      <c r="C2393" s="30" t="s">
        <v>46</v>
      </c>
      <c r="D2393" s="30" t="s">
        <v>47</v>
      </c>
      <c r="E2393" s="32" t="s">
        <v>56</v>
      </c>
      <c r="F2393" s="32" t="s">
        <v>57</v>
      </c>
      <c r="G2393" s="32" t="s">
        <v>50</v>
      </c>
      <c r="H2393" s="33">
        <v>12930</v>
      </c>
      <c r="I2393" s="34">
        <f>Table3[[#This Row],[Volume, kg.]]/1000</f>
        <v>12.93</v>
      </c>
      <c r="J2393" s="34">
        <v>0.2999</v>
      </c>
      <c r="K2393" s="34">
        <f t="shared" si="74"/>
        <v>3877.7069999999999</v>
      </c>
      <c r="L2393" s="34">
        <v>4.05</v>
      </c>
      <c r="M2393" s="34">
        <v>52361</v>
      </c>
      <c r="N2393" s="34">
        <f t="shared" si="75"/>
        <v>13.504501500500167</v>
      </c>
    </row>
    <row r="2394" spans="1:14" x14ac:dyDescent="0.45">
      <c r="A2394" s="30">
        <v>2024</v>
      </c>
      <c r="B2394" s="30" t="s">
        <v>8</v>
      </c>
      <c r="C2394" s="30" t="s">
        <v>46</v>
      </c>
      <c r="D2394" s="30" t="s">
        <v>47</v>
      </c>
      <c r="E2394" s="32" t="s">
        <v>90</v>
      </c>
      <c r="F2394" s="32" t="s">
        <v>49</v>
      </c>
      <c r="G2394" s="32" t="s">
        <v>50</v>
      </c>
      <c r="H2394" s="33">
        <v>20560</v>
      </c>
      <c r="I2394" s="34">
        <f>Table3[[#This Row],[Volume, kg.]]/1000</f>
        <v>20.56</v>
      </c>
      <c r="J2394" s="34">
        <v>0.27289999999999998</v>
      </c>
      <c r="K2394" s="34">
        <f t="shared" si="74"/>
        <v>5610.8239999999996</v>
      </c>
      <c r="L2394" s="34">
        <v>3.95</v>
      </c>
      <c r="M2394" s="34">
        <v>81251.5</v>
      </c>
      <c r="N2394" s="34">
        <f t="shared" si="75"/>
        <v>14.474166361304508</v>
      </c>
    </row>
    <row r="2395" spans="1:14" x14ac:dyDescent="0.45">
      <c r="A2395" s="30">
        <v>2024</v>
      </c>
      <c r="B2395" s="30" t="s">
        <v>8</v>
      </c>
      <c r="C2395" s="30" t="s">
        <v>46</v>
      </c>
      <c r="D2395" s="30" t="s">
        <v>47</v>
      </c>
      <c r="E2395" s="32" t="s">
        <v>356</v>
      </c>
      <c r="F2395" s="32" t="s">
        <v>49</v>
      </c>
      <c r="G2395" s="32" t="s">
        <v>50</v>
      </c>
      <c r="H2395" s="33">
        <v>2170</v>
      </c>
      <c r="I2395" s="34">
        <f>Table3[[#This Row],[Volume, kg.]]/1000</f>
        <v>2.17</v>
      </c>
      <c r="J2395" s="34">
        <v>0.28399999999999997</v>
      </c>
      <c r="K2395" s="34">
        <f t="shared" si="74"/>
        <v>616.28</v>
      </c>
      <c r="L2395" s="34">
        <v>3.9</v>
      </c>
      <c r="M2395" s="34">
        <v>8463</v>
      </c>
      <c r="N2395" s="34">
        <f t="shared" si="75"/>
        <v>13.732394366197184</v>
      </c>
    </row>
    <row r="2396" spans="1:14" x14ac:dyDescent="0.45">
      <c r="A2396" s="30">
        <v>2024</v>
      </c>
      <c r="B2396" s="30" t="s">
        <v>8</v>
      </c>
      <c r="C2396" s="30" t="s">
        <v>46</v>
      </c>
      <c r="D2396" s="30" t="s">
        <v>47</v>
      </c>
      <c r="E2396" s="32" t="s">
        <v>578</v>
      </c>
      <c r="F2396" s="32" t="s">
        <v>60</v>
      </c>
      <c r="G2396" s="32" t="s">
        <v>50</v>
      </c>
      <c r="H2396" s="33">
        <v>5390</v>
      </c>
      <c r="I2396" s="34">
        <f>Table3[[#This Row],[Volume, kg.]]/1000</f>
        <v>5.39</v>
      </c>
      <c r="J2396" s="34">
        <v>0.27190000000000003</v>
      </c>
      <c r="K2396" s="34">
        <f t="shared" si="74"/>
        <v>1465.5410000000002</v>
      </c>
      <c r="L2396" s="34">
        <v>3.91</v>
      </c>
      <c r="M2396" s="34">
        <v>21096</v>
      </c>
      <c r="N2396" s="34">
        <f t="shared" si="75"/>
        <v>14.380286870172856</v>
      </c>
    </row>
    <row r="2397" spans="1:14" x14ac:dyDescent="0.45">
      <c r="A2397" s="30">
        <v>2024</v>
      </c>
      <c r="B2397" s="30" t="s">
        <v>8</v>
      </c>
      <c r="C2397" s="30" t="s">
        <v>46</v>
      </c>
      <c r="D2397" s="30" t="s">
        <v>47</v>
      </c>
      <c r="E2397" s="32" t="s">
        <v>545</v>
      </c>
      <c r="F2397" s="32" t="s">
        <v>54</v>
      </c>
      <c r="G2397" s="32" t="s">
        <v>50</v>
      </c>
      <c r="H2397" s="33">
        <v>33740</v>
      </c>
      <c r="I2397" s="34">
        <f>Table3[[#This Row],[Volume, kg.]]/1000</f>
        <v>33.74</v>
      </c>
      <c r="J2397" s="34">
        <v>0.28110000000000002</v>
      </c>
      <c r="K2397" s="34">
        <f t="shared" si="74"/>
        <v>9484.3140000000003</v>
      </c>
      <c r="L2397" s="34">
        <v>3.98</v>
      </c>
      <c r="M2397" s="34">
        <v>134242</v>
      </c>
      <c r="N2397" s="34">
        <f t="shared" si="75"/>
        <v>14.15866239772323</v>
      </c>
    </row>
    <row r="2398" spans="1:14" x14ac:dyDescent="0.45">
      <c r="A2398" s="30">
        <v>2024</v>
      </c>
      <c r="B2398" s="30" t="s">
        <v>8</v>
      </c>
      <c r="C2398" s="30" t="s">
        <v>46</v>
      </c>
      <c r="D2398" s="30" t="s">
        <v>47</v>
      </c>
      <c r="E2398" s="32" t="s">
        <v>116</v>
      </c>
      <c r="F2398" s="32" t="s">
        <v>81</v>
      </c>
      <c r="G2398" s="32" t="s">
        <v>50</v>
      </c>
      <c r="H2398" s="33">
        <v>74400</v>
      </c>
      <c r="I2398" s="34">
        <f>Table3[[#This Row],[Volume, kg.]]/1000</f>
        <v>74.400000000000006</v>
      </c>
      <c r="J2398" s="34">
        <v>0.3054</v>
      </c>
      <c r="K2398" s="34">
        <f t="shared" si="74"/>
        <v>22721.760000000002</v>
      </c>
      <c r="L2398" s="34">
        <v>4.0999999999999996</v>
      </c>
      <c r="M2398" s="34">
        <v>305280.5</v>
      </c>
      <c r="N2398" s="34">
        <f t="shared" si="75"/>
        <v>13.425016371971184</v>
      </c>
    </row>
    <row r="2399" spans="1:14" x14ac:dyDescent="0.45">
      <c r="A2399" s="30">
        <v>2024</v>
      </c>
      <c r="B2399" s="30" t="s">
        <v>8</v>
      </c>
      <c r="C2399" s="30" t="s">
        <v>46</v>
      </c>
      <c r="D2399" s="30" t="s">
        <v>47</v>
      </c>
      <c r="E2399" s="32" t="s">
        <v>225</v>
      </c>
      <c r="F2399" s="32" t="s">
        <v>64</v>
      </c>
      <c r="G2399" s="32" t="s">
        <v>50</v>
      </c>
      <c r="H2399" s="33">
        <v>264020</v>
      </c>
      <c r="I2399" s="34">
        <f>Table3[[#This Row],[Volume, kg.]]/1000</f>
        <v>264.02</v>
      </c>
      <c r="J2399" s="34">
        <v>0.26219999999999999</v>
      </c>
      <c r="K2399" s="34">
        <f t="shared" si="74"/>
        <v>69226.043999999994</v>
      </c>
      <c r="L2399" s="34">
        <v>3.89</v>
      </c>
      <c r="M2399" s="34">
        <v>1027015.5</v>
      </c>
      <c r="N2399" s="34">
        <f t="shared" si="75"/>
        <v>14.836003051106028</v>
      </c>
    </row>
    <row r="2400" spans="1:14" x14ac:dyDescent="0.45">
      <c r="A2400" s="30">
        <v>2024</v>
      </c>
      <c r="B2400" s="30" t="s">
        <v>8</v>
      </c>
      <c r="C2400" s="30" t="s">
        <v>46</v>
      </c>
      <c r="D2400" s="30" t="s">
        <v>47</v>
      </c>
      <c r="E2400" s="32" t="s">
        <v>581</v>
      </c>
      <c r="F2400" s="32" t="s">
        <v>64</v>
      </c>
      <c r="G2400" s="32" t="s">
        <v>50</v>
      </c>
      <c r="H2400" s="33">
        <v>7220</v>
      </c>
      <c r="I2400" s="34">
        <f>Table3[[#This Row],[Volume, kg.]]/1000</f>
        <v>7.22</v>
      </c>
      <c r="J2400" s="34">
        <v>0.20350000000000001</v>
      </c>
      <c r="K2400" s="34">
        <f t="shared" si="74"/>
        <v>1469.2700000000002</v>
      </c>
      <c r="L2400" s="34">
        <v>3.6</v>
      </c>
      <c r="M2400" s="34">
        <v>25992</v>
      </c>
      <c r="N2400" s="34">
        <f t="shared" si="75"/>
        <v>17.690417690417689</v>
      </c>
    </row>
    <row r="2401" spans="1:14" x14ac:dyDescent="0.45">
      <c r="A2401" s="30">
        <v>2024</v>
      </c>
      <c r="B2401" s="30" t="s">
        <v>8</v>
      </c>
      <c r="C2401" s="30" t="s">
        <v>46</v>
      </c>
      <c r="D2401" s="30" t="s">
        <v>47</v>
      </c>
      <c r="E2401" s="32" t="s">
        <v>200</v>
      </c>
      <c r="F2401" s="32" t="s">
        <v>64</v>
      </c>
      <c r="G2401" s="32" t="s">
        <v>50</v>
      </c>
      <c r="H2401" s="33">
        <v>74630</v>
      </c>
      <c r="I2401" s="34">
        <f>Table3[[#This Row],[Volume, kg.]]/1000</f>
        <v>74.63</v>
      </c>
      <c r="J2401" s="34">
        <v>0.245</v>
      </c>
      <c r="K2401" s="34">
        <f t="shared" si="74"/>
        <v>18284.349999999999</v>
      </c>
      <c r="L2401" s="34">
        <v>3.81</v>
      </c>
      <c r="M2401" s="34">
        <v>284335</v>
      </c>
      <c r="N2401" s="34">
        <f t="shared" si="75"/>
        <v>15.551020408163266</v>
      </c>
    </row>
    <row r="2402" spans="1:14" x14ac:dyDescent="0.45">
      <c r="A2402" s="30">
        <v>2024</v>
      </c>
      <c r="B2402" s="30" t="s">
        <v>8</v>
      </c>
      <c r="C2402" s="30" t="s">
        <v>46</v>
      </c>
      <c r="D2402" s="30" t="s">
        <v>47</v>
      </c>
      <c r="E2402" s="32" t="s">
        <v>304</v>
      </c>
      <c r="F2402" s="32" t="s">
        <v>64</v>
      </c>
      <c r="G2402" s="32" t="s">
        <v>50</v>
      </c>
      <c r="H2402" s="33">
        <v>61680</v>
      </c>
      <c r="I2402" s="34">
        <f>Table3[[#This Row],[Volume, kg.]]/1000</f>
        <v>61.68</v>
      </c>
      <c r="J2402" s="34">
        <v>0.2797</v>
      </c>
      <c r="K2402" s="34">
        <f t="shared" si="74"/>
        <v>17251.896000000001</v>
      </c>
      <c r="L2402" s="34">
        <v>3.94</v>
      </c>
      <c r="M2402" s="34">
        <v>242819</v>
      </c>
      <c r="N2402" s="34">
        <f t="shared" si="75"/>
        <v>14.086521272792277</v>
      </c>
    </row>
    <row r="2403" spans="1:14" x14ac:dyDescent="0.45">
      <c r="A2403" s="30">
        <v>2024</v>
      </c>
      <c r="B2403" s="30" t="s">
        <v>8</v>
      </c>
      <c r="C2403" s="30" t="s">
        <v>46</v>
      </c>
      <c r="D2403" s="30" t="s">
        <v>47</v>
      </c>
      <c r="E2403" s="32" t="s">
        <v>206</v>
      </c>
      <c r="F2403" s="32" t="s">
        <v>81</v>
      </c>
      <c r="G2403" s="32" t="s">
        <v>50</v>
      </c>
      <c r="H2403" s="33">
        <v>182090</v>
      </c>
      <c r="I2403" s="34">
        <f>Table3[[#This Row],[Volume, kg.]]/1000</f>
        <v>182.09</v>
      </c>
      <c r="J2403" s="34">
        <v>0.29239999999999999</v>
      </c>
      <c r="K2403" s="34">
        <f t="shared" si="74"/>
        <v>53243.116000000002</v>
      </c>
      <c r="L2403" s="34">
        <v>4.03</v>
      </c>
      <c r="M2403" s="34">
        <v>733859.5</v>
      </c>
      <c r="N2403" s="34">
        <f t="shared" si="75"/>
        <v>13.782489740082081</v>
      </c>
    </row>
    <row r="2404" spans="1:14" x14ac:dyDescent="0.45">
      <c r="A2404" s="30">
        <v>2024</v>
      </c>
      <c r="B2404" s="30" t="s">
        <v>8</v>
      </c>
      <c r="C2404" s="30" t="s">
        <v>46</v>
      </c>
      <c r="D2404" s="30" t="s">
        <v>47</v>
      </c>
      <c r="E2404" s="32" t="s">
        <v>272</v>
      </c>
      <c r="F2404" s="32" t="s">
        <v>60</v>
      </c>
      <c r="G2404" s="32" t="s">
        <v>50</v>
      </c>
      <c r="H2404" s="33">
        <v>90730</v>
      </c>
      <c r="I2404" s="34">
        <f>Table3[[#This Row],[Volume, kg.]]/1000</f>
        <v>90.73</v>
      </c>
      <c r="J2404" s="34">
        <v>0.27629999999999999</v>
      </c>
      <c r="K2404" s="34">
        <f t="shared" si="74"/>
        <v>25068.699000000001</v>
      </c>
      <c r="L2404" s="34">
        <v>3.92</v>
      </c>
      <c r="M2404" s="34">
        <v>355255.5</v>
      </c>
      <c r="N2404" s="34">
        <f t="shared" si="75"/>
        <v>14.187477379659791</v>
      </c>
    </row>
    <row r="2405" spans="1:14" x14ac:dyDescent="0.45">
      <c r="A2405" s="30">
        <v>2024</v>
      </c>
      <c r="B2405" s="30" t="s">
        <v>8</v>
      </c>
      <c r="C2405" s="30" t="s">
        <v>46</v>
      </c>
      <c r="D2405" s="30" t="s">
        <v>47</v>
      </c>
      <c r="E2405" s="32" t="s">
        <v>350</v>
      </c>
      <c r="F2405" s="32" t="s">
        <v>49</v>
      </c>
      <c r="G2405" s="32" t="s">
        <v>50</v>
      </c>
      <c r="H2405" s="33">
        <v>24260</v>
      </c>
      <c r="I2405" s="34">
        <f>Table3[[#This Row],[Volume, kg.]]/1000</f>
        <v>24.26</v>
      </c>
      <c r="J2405" s="34">
        <v>0.2802</v>
      </c>
      <c r="K2405" s="34">
        <f t="shared" si="74"/>
        <v>6797.652</v>
      </c>
      <c r="L2405" s="34">
        <v>3.95</v>
      </c>
      <c r="M2405" s="34">
        <v>95899.5</v>
      </c>
      <c r="N2405" s="34">
        <f t="shared" si="75"/>
        <v>14.09707351891506</v>
      </c>
    </row>
    <row r="2406" spans="1:14" x14ac:dyDescent="0.45">
      <c r="A2406" s="30">
        <v>2024</v>
      </c>
      <c r="B2406" s="30" t="s">
        <v>8</v>
      </c>
      <c r="C2406" s="30" t="s">
        <v>46</v>
      </c>
      <c r="D2406" s="30" t="s">
        <v>47</v>
      </c>
      <c r="E2406" s="32" t="s">
        <v>582</v>
      </c>
      <c r="F2406" s="32" t="s">
        <v>64</v>
      </c>
      <c r="G2406" s="32" t="s">
        <v>50</v>
      </c>
      <c r="H2406" s="33">
        <v>10510</v>
      </c>
      <c r="I2406" s="34">
        <f>Table3[[#This Row],[Volume, kg.]]/1000</f>
        <v>10.51</v>
      </c>
      <c r="J2406" s="34">
        <v>0.21299999999999999</v>
      </c>
      <c r="K2406" s="34">
        <f t="shared" si="74"/>
        <v>2238.63</v>
      </c>
      <c r="L2406" s="34">
        <v>3.55</v>
      </c>
      <c r="M2406" s="34">
        <v>37310.5</v>
      </c>
      <c r="N2406" s="34">
        <f t="shared" si="75"/>
        <v>16.666666666666668</v>
      </c>
    </row>
    <row r="2407" spans="1:14" x14ac:dyDescent="0.45">
      <c r="A2407" s="30">
        <v>2024</v>
      </c>
      <c r="B2407" s="30" t="s">
        <v>8</v>
      </c>
      <c r="C2407" s="30" t="s">
        <v>46</v>
      </c>
      <c r="D2407" s="30" t="s">
        <v>47</v>
      </c>
      <c r="E2407" s="32" t="s">
        <v>542</v>
      </c>
      <c r="F2407" s="32" t="s">
        <v>60</v>
      </c>
      <c r="G2407" s="32" t="s">
        <v>50</v>
      </c>
      <c r="H2407" s="33">
        <v>4110</v>
      </c>
      <c r="I2407" s="34">
        <f>Table3[[#This Row],[Volume, kg.]]/1000</f>
        <v>4.1100000000000003</v>
      </c>
      <c r="J2407" s="34">
        <v>0.30730000000000002</v>
      </c>
      <c r="K2407" s="34">
        <f t="shared" si="74"/>
        <v>1263.0030000000002</v>
      </c>
      <c r="L2407" s="34">
        <v>4.1500000000000004</v>
      </c>
      <c r="M2407" s="34">
        <v>17076</v>
      </c>
      <c r="N2407" s="34">
        <f t="shared" si="75"/>
        <v>13.504718516108039</v>
      </c>
    </row>
    <row r="2408" spans="1:14" x14ac:dyDescent="0.45">
      <c r="A2408" s="30">
        <v>2024</v>
      </c>
      <c r="B2408" s="30" t="s">
        <v>8</v>
      </c>
      <c r="C2408" s="30" t="s">
        <v>46</v>
      </c>
      <c r="D2408" s="30" t="s">
        <v>47</v>
      </c>
      <c r="E2408" s="32" t="s">
        <v>548</v>
      </c>
      <c r="F2408" s="32" t="s">
        <v>49</v>
      </c>
      <c r="G2408" s="32" t="s">
        <v>50</v>
      </c>
      <c r="H2408" s="33">
        <v>67740</v>
      </c>
      <c r="I2408" s="34">
        <f>Table3[[#This Row],[Volume, kg.]]/1000</f>
        <v>67.739999999999995</v>
      </c>
      <c r="J2408" s="34">
        <v>0.28989999999999999</v>
      </c>
      <c r="K2408" s="34">
        <f t="shared" si="74"/>
        <v>19637.826000000001</v>
      </c>
      <c r="L2408" s="34">
        <v>4</v>
      </c>
      <c r="M2408" s="34">
        <v>271243</v>
      </c>
      <c r="N2408" s="34">
        <f t="shared" si="75"/>
        <v>13.797861331493619</v>
      </c>
    </row>
    <row r="2409" spans="1:14" x14ac:dyDescent="0.45">
      <c r="A2409" s="30">
        <v>2024</v>
      </c>
      <c r="B2409" s="30" t="s">
        <v>8</v>
      </c>
      <c r="C2409" s="30" t="s">
        <v>46</v>
      </c>
      <c r="D2409" s="30" t="s">
        <v>47</v>
      </c>
      <c r="E2409" s="32" t="s">
        <v>98</v>
      </c>
      <c r="F2409" s="32" t="s">
        <v>49</v>
      </c>
      <c r="G2409" s="32" t="s">
        <v>50</v>
      </c>
      <c r="H2409" s="33">
        <v>188470</v>
      </c>
      <c r="I2409" s="34">
        <f>Table3[[#This Row],[Volume, kg.]]/1000</f>
        <v>188.47</v>
      </c>
      <c r="J2409" s="34">
        <v>0.29139999999999999</v>
      </c>
      <c r="K2409" s="34">
        <f t="shared" si="74"/>
        <v>54920.157999999996</v>
      </c>
      <c r="L2409" s="34">
        <v>4.0199999999999996</v>
      </c>
      <c r="M2409" s="34">
        <v>757376.5</v>
      </c>
      <c r="N2409" s="34">
        <f t="shared" si="75"/>
        <v>13.795470144131777</v>
      </c>
    </row>
    <row r="2410" spans="1:14" x14ac:dyDescent="0.45">
      <c r="A2410" s="30">
        <v>2024</v>
      </c>
      <c r="B2410" s="30" t="s">
        <v>8</v>
      </c>
      <c r="C2410" s="30" t="s">
        <v>46</v>
      </c>
      <c r="D2410" s="30" t="s">
        <v>47</v>
      </c>
      <c r="E2410" s="32" t="s">
        <v>63</v>
      </c>
      <c r="F2410" s="32" t="s">
        <v>64</v>
      </c>
      <c r="G2410" s="32" t="s">
        <v>50</v>
      </c>
      <c r="H2410" s="33">
        <v>44520</v>
      </c>
      <c r="I2410" s="34">
        <f>Table3[[#This Row],[Volume, kg.]]/1000</f>
        <v>44.52</v>
      </c>
      <c r="J2410" s="34">
        <v>0.27949999999999997</v>
      </c>
      <c r="K2410" s="34">
        <f t="shared" si="74"/>
        <v>12443.339999999998</v>
      </c>
      <c r="L2410" s="34">
        <v>3.99</v>
      </c>
      <c r="M2410" s="34">
        <v>177851.5</v>
      </c>
      <c r="N2410" s="34">
        <f t="shared" si="75"/>
        <v>14.275491949910556</v>
      </c>
    </row>
    <row r="2411" spans="1:14" x14ac:dyDescent="0.45">
      <c r="A2411" s="30">
        <v>2024</v>
      </c>
      <c r="B2411" s="30" t="s">
        <v>8</v>
      </c>
      <c r="C2411" s="30" t="s">
        <v>46</v>
      </c>
      <c r="D2411" s="30" t="s">
        <v>47</v>
      </c>
      <c r="E2411" s="32" t="s">
        <v>129</v>
      </c>
      <c r="F2411" s="32" t="s">
        <v>57</v>
      </c>
      <c r="G2411" s="32" t="s">
        <v>50</v>
      </c>
      <c r="H2411" s="33">
        <v>26710</v>
      </c>
      <c r="I2411" s="34">
        <f>Table3[[#This Row],[Volume, kg.]]/1000</f>
        <v>26.71</v>
      </c>
      <c r="J2411" s="34">
        <v>0.3085</v>
      </c>
      <c r="K2411" s="34">
        <f t="shared" si="74"/>
        <v>8240.0349999999999</v>
      </c>
      <c r="L2411" s="34">
        <v>4.1100000000000003</v>
      </c>
      <c r="M2411" s="34">
        <v>109873.5</v>
      </c>
      <c r="N2411" s="34">
        <f t="shared" si="75"/>
        <v>13.322528363047002</v>
      </c>
    </row>
    <row r="2412" spans="1:14" x14ac:dyDescent="0.45">
      <c r="A2412" s="30">
        <v>2024</v>
      </c>
      <c r="B2412" s="30" t="s">
        <v>8</v>
      </c>
      <c r="C2412" s="30" t="s">
        <v>46</v>
      </c>
      <c r="D2412" s="30" t="s">
        <v>47</v>
      </c>
      <c r="E2412" s="32" t="s">
        <v>80</v>
      </c>
      <c r="F2412" s="32" t="s">
        <v>81</v>
      </c>
      <c r="G2412" s="32" t="s">
        <v>50</v>
      </c>
      <c r="H2412" s="33">
        <v>140870</v>
      </c>
      <c r="I2412" s="34">
        <f>Table3[[#This Row],[Volume, kg.]]/1000</f>
        <v>140.87</v>
      </c>
      <c r="J2412" s="34">
        <v>0.2747</v>
      </c>
      <c r="K2412" s="34">
        <f t="shared" si="74"/>
        <v>38696.989000000001</v>
      </c>
      <c r="L2412" s="34">
        <v>3.93</v>
      </c>
      <c r="M2412" s="34">
        <v>553544.5</v>
      </c>
      <c r="N2412" s="34">
        <f t="shared" si="75"/>
        <v>14.306516199490353</v>
      </c>
    </row>
    <row r="2413" spans="1:14" x14ac:dyDescent="0.45">
      <c r="A2413" s="30">
        <v>2024</v>
      </c>
      <c r="B2413" s="30" t="s">
        <v>8</v>
      </c>
      <c r="C2413" s="30" t="s">
        <v>46</v>
      </c>
      <c r="D2413" s="30" t="s">
        <v>47</v>
      </c>
      <c r="E2413" s="32" t="s">
        <v>583</v>
      </c>
      <c r="F2413" s="32" t="s">
        <v>64</v>
      </c>
      <c r="G2413" s="32" t="s">
        <v>50</v>
      </c>
      <c r="H2413" s="33">
        <v>19370</v>
      </c>
      <c r="I2413" s="34">
        <f>Table3[[#This Row],[Volume, kg.]]/1000</f>
        <v>19.37</v>
      </c>
      <c r="J2413" s="34">
        <v>0.28499999999999998</v>
      </c>
      <c r="K2413" s="34">
        <f t="shared" si="74"/>
        <v>5520.45</v>
      </c>
      <c r="L2413" s="34">
        <v>3.95</v>
      </c>
      <c r="M2413" s="34">
        <v>76511.5</v>
      </c>
      <c r="N2413" s="34">
        <f t="shared" si="75"/>
        <v>13.859649122807019</v>
      </c>
    </row>
    <row r="2414" spans="1:14" x14ac:dyDescent="0.45">
      <c r="A2414" s="30">
        <v>2024</v>
      </c>
      <c r="B2414" s="30" t="s">
        <v>8</v>
      </c>
      <c r="C2414" s="30" t="s">
        <v>46</v>
      </c>
      <c r="D2414" s="30" t="s">
        <v>47</v>
      </c>
      <c r="E2414" s="32" t="s">
        <v>398</v>
      </c>
      <c r="F2414" s="32" t="s">
        <v>64</v>
      </c>
      <c r="G2414" s="32" t="s">
        <v>50</v>
      </c>
      <c r="H2414" s="33">
        <v>84390</v>
      </c>
      <c r="I2414" s="34">
        <f>Table3[[#This Row],[Volume, kg.]]/1000</f>
        <v>84.39</v>
      </c>
      <c r="J2414" s="34">
        <v>0.2581</v>
      </c>
      <c r="K2414" s="34">
        <f t="shared" si="74"/>
        <v>21781.059000000001</v>
      </c>
      <c r="L2414" s="34">
        <v>3.83</v>
      </c>
      <c r="M2414" s="34">
        <v>322997</v>
      </c>
      <c r="N2414" s="34">
        <f t="shared" si="75"/>
        <v>14.839209608678807</v>
      </c>
    </row>
    <row r="2415" spans="1:14" x14ac:dyDescent="0.45">
      <c r="A2415" s="30">
        <v>2024</v>
      </c>
      <c r="B2415" s="30" t="s">
        <v>8</v>
      </c>
      <c r="C2415" s="30" t="s">
        <v>46</v>
      </c>
      <c r="D2415" s="30" t="s">
        <v>47</v>
      </c>
      <c r="E2415" s="32" t="s">
        <v>572</v>
      </c>
      <c r="F2415" s="32" t="s">
        <v>64</v>
      </c>
      <c r="G2415" s="32" t="s">
        <v>50</v>
      </c>
      <c r="H2415" s="33">
        <v>179630</v>
      </c>
      <c r="I2415" s="34">
        <f>Table3[[#This Row],[Volume, kg.]]/1000</f>
        <v>179.63</v>
      </c>
      <c r="J2415" s="34">
        <v>0.26319999999999999</v>
      </c>
      <c r="K2415" s="34">
        <f t="shared" si="74"/>
        <v>47278.615999999995</v>
      </c>
      <c r="L2415" s="34">
        <v>3.87</v>
      </c>
      <c r="M2415" s="34">
        <v>695161</v>
      </c>
      <c r="N2415" s="34">
        <f t="shared" si="75"/>
        <v>14.703647416413375</v>
      </c>
    </row>
    <row r="2416" spans="1:14" x14ac:dyDescent="0.45">
      <c r="A2416" s="30">
        <v>2024</v>
      </c>
      <c r="B2416" s="30" t="s">
        <v>8</v>
      </c>
      <c r="C2416" s="30" t="s">
        <v>46</v>
      </c>
      <c r="D2416" s="30" t="s">
        <v>47</v>
      </c>
      <c r="E2416" s="32" t="s">
        <v>584</v>
      </c>
      <c r="F2416" s="32" t="s">
        <v>64</v>
      </c>
      <c r="G2416" s="32" t="s">
        <v>50</v>
      </c>
      <c r="H2416" s="33">
        <v>29170</v>
      </c>
      <c r="I2416" s="34">
        <f>Table3[[#This Row],[Volume, kg.]]/1000</f>
        <v>29.17</v>
      </c>
      <c r="J2416" s="34">
        <v>0.26530000000000004</v>
      </c>
      <c r="K2416" s="34">
        <f t="shared" si="74"/>
        <v>7738.8010000000013</v>
      </c>
      <c r="L2416" s="34">
        <v>3.86</v>
      </c>
      <c r="M2416" s="34">
        <v>112460</v>
      </c>
      <c r="N2416" s="34">
        <f t="shared" si="75"/>
        <v>14.549566528458346</v>
      </c>
    </row>
    <row r="2417" spans="1:14" x14ac:dyDescent="0.45">
      <c r="A2417" s="30">
        <v>2024</v>
      </c>
      <c r="B2417" s="30" t="s">
        <v>8</v>
      </c>
      <c r="C2417" s="30" t="s">
        <v>46</v>
      </c>
      <c r="D2417" s="30" t="s">
        <v>47</v>
      </c>
      <c r="E2417" s="32" t="s">
        <v>267</v>
      </c>
      <c r="F2417" s="32" t="s">
        <v>57</v>
      </c>
      <c r="G2417" s="32" t="s">
        <v>50</v>
      </c>
      <c r="H2417" s="33">
        <v>15720</v>
      </c>
      <c r="I2417" s="34">
        <f>Table3[[#This Row],[Volume, kg.]]/1000</f>
        <v>15.72</v>
      </c>
      <c r="J2417" s="34">
        <v>0.28499999999999998</v>
      </c>
      <c r="K2417" s="34">
        <f t="shared" si="74"/>
        <v>4480.2</v>
      </c>
      <c r="L2417" s="34">
        <v>3.93</v>
      </c>
      <c r="M2417" s="34">
        <v>61788</v>
      </c>
      <c r="N2417" s="34">
        <f t="shared" si="75"/>
        <v>13.789473684210527</v>
      </c>
    </row>
    <row r="2418" spans="1:14" x14ac:dyDescent="0.45">
      <c r="A2418" s="30">
        <v>2024</v>
      </c>
      <c r="B2418" s="30" t="s">
        <v>8</v>
      </c>
      <c r="C2418" s="30" t="s">
        <v>46</v>
      </c>
      <c r="D2418" s="30" t="s">
        <v>102</v>
      </c>
      <c r="E2418" s="32" t="s">
        <v>103</v>
      </c>
      <c r="F2418" s="32" t="s">
        <v>104</v>
      </c>
      <c r="G2418" s="32" t="s">
        <v>105</v>
      </c>
      <c r="H2418" s="33">
        <v>416510</v>
      </c>
      <c r="I2418" s="34">
        <f>Table3[[#This Row],[Volume, kg.]]/1000</f>
        <v>416.51</v>
      </c>
      <c r="J2418" s="34">
        <v>0.27600000000000002</v>
      </c>
      <c r="K2418" s="34">
        <f t="shared" si="74"/>
        <v>114956.76000000001</v>
      </c>
      <c r="L2418" s="34">
        <v>3.96</v>
      </c>
      <c r="M2418" s="34">
        <v>1649326</v>
      </c>
      <c r="N2418" s="34">
        <f t="shared" si="75"/>
        <v>14.34782608695652</v>
      </c>
    </row>
    <row r="2419" spans="1:14" x14ac:dyDescent="0.45">
      <c r="A2419" s="30">
        <v>2024</v>
      </c>
      <c r="B2419" s="30" t="s">
        <v>8</v>
      </c>
      <c r="C2419" s="30" t="s">
        <v>46</v>
      </c>
      <c r="D2419" s="30" t="s">
        <v>47</v>
      </c>
      <c r="E2419" s="32" t="s">
        <v>203</v>
      </c>
      <c r="F2419" s="32" t="s">
        <v>57</v>
      </c>
      <c r="G2419" s="32" t="s">
        <v>50</v>
      </c>
      <c r="H2419" s="33">
        <v>13300</v>
      </c>
      <c r="I2419" s="34">
        <f>Table3[[#This Row],[Volume, kg.]]/1000</f>
        <v>13.3</v>
      </c>
      <c r="J2419" s="34">
        <v>0.27860000000000001</v>
      </c>
      <c r="K2419" s="34">
        <f t="shared" si="74"/>
        <v>3705.38</v>
      </c>
      <c r="L2419" s="34">
        <v>3.92</v>
      </c>
      <c r="M2419" s="34">
        <v>52175</v>
      </c>
      <c r="N2419" s="34">
        <f t="shared" si="75"/>
        <v>14.070351758793969</v>
      </c>
    </row>
    <row r="2420" spans="1:14" x14ac:dyDescent="0.45">
      <c r="A2420" s="30">
        <v>2024</v>
      </c>
      <c r="B2420" s="30" t="s">
        <v>8</v>
      </c>
      <c r="C2420" s="30" t="s">
        <v>46</v>
      </c>
      <c r="D2420" s="30" t="s">
        <v>47</v>
      </c>
      <c r="E2420" s="32" t="s">
        <v>526</v>
      </c>
      <c r="F2420" s="32" t="s">
        <v>49</v>
      </c>
      <c r="G2420" s="32" t="s">
        <v>50</v>
      </c>
      <c r="H2420" s="33">
        <v>19950</v>
      </c>
      <c r="I2420" s="34">
        <f>Table3[[#This Row],[Volume, kg.]]/1000</f>
        <v>19.95</v>
      </c>
      <c r="J2420" s="34">
        <v>0.2767</v>
      </c>
      <c r="K2420" s="34">
        <f t="shared" si="74"/>
        <v>5520.165</v>
      </c>
      <c r="L2420" s="34">
        <v>4</v>
      </c>
      <c r="M2420" s="34">
        <v>79800</v>
      </c>
      <c r="N2420" s="34">
        <f t="shared" si="75"/>
        <v>14.456089627755691</v>
      </c>
    </row>
    <row r="2421" spans="1:14" x14ac:dyDescent="0.45">
      <c r="A2421" s="30">
        <v>2024</v>
      </c>
      <c r="B2421" s="30" t="s">
        <v>8</v>
      </c>
      <c r="C2421" s="30" t="s">
        <v>46</v>
      </c>
      <c r="D2421" s="30" t="s">
        <v>47</v>
      </c>
      <c r="E2421" s="32" t="s">
        <v>402</v>
      </c>
      <c r="F2421" s="32" t="s">
        <v>60</v>
      </c>
      <c r="G2421" s="32" t="s">
        <v>50</v>
      </c>
      <c r="H2421" s="33">
        <v>72660</v>
      </c>
      <c r="I2421" s="34">
        <f>Table3[[#This Row],[Volume, kg.]]/1000</f>
        <v>72.66</v>
      </c>
      <c r="J2421" s="34">
        <v>0.29120000000000001</v>
      </c>
      <c r="K2421" s="34">
        <f t="shared" si="74"/>
        <v>21158.592000000001</v>
      </c>
      <c r="L2421" s="34">
        <v>4.01</v>
      </c>
      <c r="M2421" s="34">
        <v>291557</v>
      </c>
      <c r="N2421" s="34">
        <f t="shared" si="75"/>
        <v>13.770604395604394</v>
      </c>
    </row>
    <row r="2422" spans="1:14" x14ac:dyDescent="0.45">
      <c r="A2422" s="30">
        <v>2024</v>
      </c>
      <c r="B2422" s="30" t="s">
        <v>8</v>
      </c>
      <c r="C2422" s="30" t="s">
        <v>46</v>
      </c>
      <c r="D2422" s="30" t="s">
        <v>47</v>
      </c>
      <c r="E2422" s="32" t="s">
        <v>214</v>
      </c>
      <c r="F2422" s="32" t="s">
        <v>64</v>
      </c>
      <c r="G2422" s="32" t="s">
        <v>50</v>
      </c>
      <c r="H2422" s="33">
        <v>74710</v>
      </c>
      <c r="I2422" s="34">
        <f>Table3[[#This Row],[Volume, kg.]]/1000</f>
        <v>74.709999999999994</v>
      </c>
      <c r="J2422" s="34">
        <v>0.30430000000000001</v>
      </c>
      <c r="K2422" s="34">
        <f t="shared" si="74"/>
        <v>22734.253000000001</v>
      </c>
      <c r="L2422" s="34">
        <v>4.1100000000000003</v>
      </c>
      <c r="M2422" s="34">
        <v>307107.5</v>
      </c>
      <c r="N2422" s="34">
        <f t="shared" si="75"/>
        <v>13.50640814985212</v>
      </c>
    </row>
    <row r="2423" spans="1:14" x14ac:dyDescent="0.45">
      <c r="A2423" s="30">
        <v>2024</v>
      </c>
      <c r="B2423" s="30" t="s">
        <v>8</v>
      </c>
      <c r="C2423" s="30" t="s">
        <v>46</v>
      </c>
      <c r="D2423" s="30" t="s">
        <v>102</v>
      </c>
      <c r="E2423" s="32" t="s">
        <v>546</v>
      </c>
      <c r="F2423" s="32" t="s">
        <v>547</v>
      </c>
      <c r="G2423" s="32" t="s">
        <v>341</v>
      </c>
      <c r="H2423" s="33">
        <v>26330</v>
      </c>
      <c r="I2423" s="34">
        <f>Table3[[#This Row],[Volume, kg.]]/1000</f>
        <v>26.33</v>
      </c>
      <c r="J2423" s="34">
        <v>0.23100000000000001</v>
      </c>
      <c r="K2423" s="34">
        <f t="shared" si="74"/>
        <v>6082.2300000000005</v>
      </c>
      <c r="L2423" s="34">
        <v>3.95</v>
      </c>
      <c r="M2423" s="34">
        <v>104003.5</v>
      </c>
      <c r="N2423" s="34">
        <f t="shared" si="75"/>
        <v>17.0995670995671</v>
      </c>
    </row>
    <row r="2424" spans="1:14" x14ac:dyDescent="0.45">
      <c r="A2424" s="30">
        <v>2024</v>
      </c>
      <c r="B2424" s="30" t="s">
        <v>8</v>
      </c>
      <c r="C2424" s="30" t="s">
        <v>46</v>
      </c>
      <c r="D2424" s="30" t="s">
        <v>47</v>
      </c>
      <c r="E2424" s="32" t="s">
        <v>221</v>
      </c>
      <c r="F2424" s="32" t="s">
        <v>64</v>
      </c>
      <c r="G2424" s="32" t="s">
        <v>50</v>
      </c>
      <c r="H2424" s="33">
        <v>104630</v>
      </c>
      <c r="I2424" s="34">
        <f>Table3[[#This Row],[Volume, kg.]]/1000</f>
        <v>104.63</v>
      </c>
      <c r="J2424" s="34">
        <v>0.2737</v>
      </c>
      <c r="K2424" s="34">
        <f t="shared" si="74"/>
        <v>28637.231</v>
      </c>
      <c r="L2424" s="34">
        <v>3.9</v>
      </c>
      <c r="M2424" s="34">
        <v>408526</v>
      </c>
      <c r="N2424" s="34">
        <f t="shared" si="75"/>
        <v>14.249177932042382</v>
      </c>
    </row>
    <row r="2425" spans="1:14" x14ac:dyDescent="0.45">
      <c r="A2425" s="30">
        <v>2024</v>
      </c>
      <c r="B2425" s="30" t="s">
        <v>8</v>
      </c>
      <c r="C2425" s="30" t="s">
        <v>46</v>
      </c>
      <c r="D2425" s="30" t="s">
        <v>47</v>
      </c>
      <c r="E2425" s="32" t="s">
        <v>216</v>
      </c>
      <c r="F2425" s="32" t="s">
        <v>64</v>
      </c>
      <c r="G2425" s="32" t="s">
        <v>50</v>
      </c>
      <c r="H2425" s="33">
        <v>137590</v>
      </c>
      <c r="I2425" s="34">
        <f>Table3[[#This Row],[Volume, kg.]]/1000</f>
        <v>137.59</v>
      </c>
      <c r="J2425" s="34">
        <v>0.2853</v>
      </c>
      <c r="K2425" s="34">
        <f t="shared" si="74"/>
        <v>39254.427000000003</v>
      </c>
      <c r="L2425" s="34">
        <v>3.97</v>
      </c>
      <c r="M2425" s="34">
        <v>546500.5</v>
      </c>
      <c r="N2425" s="34">
        <f t="shared" si="75"/>
        <v>13.915177006659658</v>
      </c>
    </row>
    <row r="2426" spans="1:14" x14ac:dyDescent="0.45">
      <c r="A2426" s="30">
        <v>2024</v>
      </c>
      <c r="B2426" s="30" t="s">
        <v>8</v>
      </c>
      <c r="C2426" s="30" t="s">
        <v>46</v>
      </c>
      <c r="D2426" s="30" t="s">
        <v>47</v>
      </c>
      <c r="E2426" s="32" t="s">
        <v>148</v>
      </c>
      <c r="F2426" s="32" t="s">
        <v>49</v>
      </c>
      <c r="G2426" s="32" t="s">
        <v>50</v>
      </c>
      <c r="H2426" s="33">
        <v>30920</v>
      </c>
      <c r="I2426" s="34">
        <f>Table3[[#This Row],[Volume, kg.]]/1000</f>
        <v>30.92</v>
      </c>
      <c r="J2426" s="34">
        <v>0.26739999999999997</v>
      </c>
      <c r="K2426" s="34">
        <f t="shared" si="74"/>
        <v>8268.0079999999998</v>
      </c>
      <c r="L2426" s="34">
        <v>3.87</v>
      </c>
      <c r="M2426" s="34">
        <v>119662</v>
      </c>
      <c r="N2426" s="34">
        <f t="shared" si="75"/>
        <v>14.472700074794318</v>
      </c>
    </row>
    <row r="2427" spans="1:14" x14ac:dyDescent="0.45">
      <c r="A2427" s="30">
        <v>2024</v>
      </c>
      <c r="B2427" s="30" t="s">
        <v>8</v>
      </c>
      <c r="C2427" s="30" t="s">
        <v>46</v>
      </c>
      <c r="D2427" s="30" t="s">
        <v>47</v>
      </c>
      <c r="E2427" s="32" t="s">
        <v>477</v>
      </c>
      <c r="F2427" s="32" t="s">
        <v>54</v>
      </c>
      <c r="G2427" s="32" t="s">
        <v>50</v>
      </c>
      <c r="H2427" s="33">
        <v>51570</v>
      </c>
      <c r="I2427" s="34">
        <f>Table3[[#This Row],[Volume, kg.]]/1000</f>
        <v>51.57</v>
      </c>
      <c r="J2427" s="34">
        <v>0.27239999999999998</v>
      </c>
      <c r="K2427" s="34">
        <f t="shared" si="74"/>
        <v>14047.667999999998</v>
      </c>
      <c r="L2427" s="34">
        <v>3.89</v>
      </c>
      <c r="M2427" s="34">
        <v>200517</v>
      </c>
      <c r="N2427" s="34">
        <f t="shared" si="75"/>
        <v>14.280469897209986</v>
      </c>
    </row>
    <row r="2428" spans="1:14" x14ac:dyDescent="0.45">
      <c r="A2428" s="30">
        <v>2024</v>
      </c>
      <c r="B2428" s="30" t="s">
        <v>8</v>
      </c>
      <c r="C2428" s="30" t="s">
        <v>46</v>
      </c>
      <c r="D2428" s="30" t="s">
        <v>47</v>
      </c>
      <c r="E2428" s="32" t="s">
        <v>204</v>
      </c>
      <c r="F2428" s="32" t="s">
        <v>49</v>
      </c>
      <c r="G2428" s="32" t="s">
        <v>50</v>
      </c>
      <c r="H2428" s="33">
        <v>65340</v>
      </c>
      <c r="I2428" s="34">
        <f>Table3[[#This Row],[Volume, kg.]]/1000</f>
        <v>65.34</v>
      </c>
      <c r="J2428" s="34">
        <v>0.2671</v>
      </c>
      <c r="K2428" s="34">
        <f t="shared" si="74"/>
        <v>17452.313999999998</v>
      </c>
      <c r="L2428" s="34">
        <v>3.87</v>
      </c>
      <c r="M2428" s="34">
        <v>253049</v>
      </c>
      <c r="N2428" s="34">
        <f t="shared" si="75"/>
        <v>14.488955447397979</v>
      </c>
    </row>
    <row r="2429" spans="1:14" x14ac:dyDescent="0.45">
      <c r="A2429" s="30">
        <v>2024</v>
      </c>
      <c r="B2429" s="30" t="s">
        <v>8</v>
      </c>
      <c r="C2429" s="30" t="s">
        <v>46</v>
      </c>
      <c r="D2429" s="30" t="s">
        <v>47</v>
      </c>
      <c r="E2429" s="32" t="s">
        <v>211</v>
      </c>
      <c r="F2429" s="32" t="s">
        <v>57</v>
      </c>
      <c r="G2429" s="32" t="s">
        <v>50</v>
      </c>
      <c r="H2429" s="33">
        <v>10150</v>
      </c>
      <c r="I2429" s="34">
        <f>Table3[[#This Row],[Volume, kg.]]/1000</f>
        <v>10.15</v>
      </c>
      <c r="J2429" s="34">
        <v>0.29600000000000004</v>
      </c>
      <c r="K2429" s="34">
        <f t="shared" si="74"/>
        <v>3004.4000000000005</v>
      </c>
      <c r="L2429" s="34">
        <v>4.0999999999999996</v>
      </c>
      <c r="M2429" s="34">
        <v>41615</v>
      </c>
      <c r="N2429" s="34">
        <f t="shared" si="75"/>
        <v>13.851351351351349</v>
      </c>
    </row>
    <row r="2430" spans="1:14" x14ac:dyDescent="0.45">
      <c r="A2430" s="30">
        <v>2024</v>
      </c>
      <c r="B2430" s="30" t="s">
        <v>8</v>
      </c>
      <c r="C2430" s="30" t="s">
        <v>46</v>
      </c>
      <c r="D2430" s="30" t="s">
        <v>47</v>
      </c>
      <c r="E2430" s="32" t="s">
        <v>75</v>
      </c>
      <c r="F2430" s="32" t="s">
        <v>49</v>
      </c>
      <c r="G2430" s="32" t="s">
        <v>50</v>
      </c>
      <c r="H2430" s="33">
        <v>29830</v>
      </c>
      <c r="I2430" s="34">
        <f>Table3[[#This Row],[Volume, kg.]]/1000</f>
        <v>29.83</v>
      </c>
      <c r="J2430" s="34">
        <v>0.2351</v>
      </c>
      <c r="K2430" s="34">
        <f t="shared" si="74"/>
        <v>7013.0330000000004</v>
      </c>
      <c r="L2430" s="34">
        <v>3.77</v>
      </c>
      <c r="M2430" s="34">
        <v>112360.5</v>
      </c>
      <c r="N2430" s="34">
        <f t="shared" si="75"/>
        <v>16.035729476818375</v>
      </c>
    </row>
    <row r="2431" spans="1:14" x14ac:dyDescent="0.45">
      <c r="A2431" s="30">
        <v>2024</v>
      </c>
      <c r="B2431" s="30" t="s">
        <v>8</v>
      </c>
      <c r="C2431" s="30" t="s">
        <v>46</v>
      </c>
      <c r="D2431" s="30" t="s">
        <v>47</v>
      </c>
      <c r="E2431" s="32" t="s">
        <v>97</v>
      </c>
      <c r="F2431" s="32" t="s">
        <v>49</v>
      </c>
      <c r="G2431" s="32" t="s">
        <v>50</v>
      </c>
      <c r="H2431" s="33">
        <v>40760</v>
      </c>
      <c r="I2431" s="34">
        <f>Table3[[#This Row],[Volume, kg.]]/1000</f>
        <v>40.76</v>
      </c>
      <c r="J2431" s="34">
        <v>0.25659999999999999</v>
      </c>
      <c r="K2431" s="34">
        <f t="shared" si="74"/>
        <v>10459.016</v>
      </c>
      <c r="L2431" s="34">
        <v>3.9</v>
      </c>
      <c r="M2431" s="34">
        <v>158896</v>
      </c>
      <c r="N2431" s="34">
        <f t="shared" si="75"/>
        <v>15.1987529228371</v>
      </c>
    </row>
    <row r="2432" spans="1:14" x14ac:dyDescent="0.45">
      <c r="A2432" s="30">
        <v>2024</v>
      </c>
      <c r="B2432" s="30" t="s">
        <v>8</v>
      </c>
      <c r="C2432" s="30" t="s">
        <v>46</v>
      </c>
      <c r="D2432" s="30" t="s">
        <v>47</v>
      </c>
      <c r="E2432" s="32" t="s">
        <v>305</v>
      </c>
      <c r="F2432" s="32" t="s">
        <v>64</v>
      </c>
      <c r="G2432" s="32" t="s">
        <v>50</v>
      </c>
      <c r="H2432" s="33">
        <v>19400</v>
      </c>
      <c r="I2432" s="34">
        <f>Table3[[#This Row],[Volume, kg.]]/1000</f>
        <v>19.399999999999999</v>
      </c>
      <c r="J2432" s="34">
        <v>0.26800000000000002</v>
      </c>
      <c r="K2432" s="34">
        <f t="shared" si="74"/>
        <v>5199.2000000000007</v>
      </c>
      <c r="L2432" s="34">
        <v>3.9</v>
      </c>
      <c r="M2432" s="34">
        <v>75660</v>
      </c>
      <c r="N2432" s="34">
        <f t="shared" si="75"/>
        <v>14.552238805970148</v>
      </c>
    </row>
    <row r="2433" spans="1:14" x14ac:dyDescent="0.45">
      <c r="A2433" s="30">
        <v>2024</v>
      </c>
      <c r="B2433" s="30" t="s">
        <v>8</v>
      </c>
      <c r="C2433" s="30" t="s">
        <v>46</v>
      </c>
      <c r="D2433" s="30" t="s">
        <v>47</v>
      </c>
      <c r="E2433" s="32" t="s">
        <v>365</v>
      </c>
      <c r="F2433" s="32" t="s">
        <v>49</v>
      </c>
      <c r="G2433" s="32" t="s">
        <v>50</v>
      </c>
      <c r="H2433" s="33">
        <v>40300</v>
      </c>
      <c r="I2433" s="34">
        <f>Table3[[#This Row],[Volume, kg.]]/1000</f>
        <v>40.299999999999997</v>
      </c>
      <c r="J2433" s="34">
        <v>0.30969999999999998</v>
      </c>
      <c r="K2433" s="34">
        <f t="shared" si="74"/>
        <v>12480.91</v>
      </c>
      <c r="L2433" s="34">
        <v>4.09</v>
      </c>
      <c r="M2433" s="34">
        <v>164834</v>
      </c>
      <c r="N2433" s="34">
        <f t="shared" si="75"/>
        <v>13.20632870519858</v>
      </c>
    </row>
    <row r="2434" spans="1:14" x14ac:dyDescent="0.45">
      <c r="A2434" s="30">
        <v>2024</v>
      </c>
      <c r="B2434" s="30" t="s">
        <v>8</v>
      </c>
      <c r="C2434" s="30" t="s">
        <v>46</v>
      </c>
      <c r="D2434" s="30" t="s">
        <v>47</v>
      </c>
      <c r="E2434" s="32" t="s">
        <v>218</v>
      </c>
      <c r="F2434" s="32" t="s">
        <v>49</v>
      </c>
      <c r="G2434" s="32" t="s">
        <v>50</v>
      </c>
      <c r="H2434" s="33">
        <v>6080</v>
      </c>
      <c r="I2434" s="34">
        <f>Table3[[#This Row],[Volume, kg.]]/1000</f>
        <v>6.08</v>
      </c>
      <c r="J2434" s="34">
        <v>0.25600000000000001</v>
      </c>
      <c r="K2434" s="34">
        <f t="shared" si="74"/>
        <v>1556.48</v>
      </c>
      <c r="L2434" s="34">
        <v>3.85</v>
      </c>
      <c r="M2434" s="34">
        <v>23408</v>
      </c>
      <c r="N2434" s="34">
        <f t="shared" si="75"/>
        <v>15.0390625</v>
      </c>
    </row>
    <row r="2435" spans="1:14" x14ac:dyDescent="0.45">
      <c r="A2435" s="30">
        <v>2024</v>
      </c>
      <c r="B2435" s="30" t="s">
        <v>8</v>
      </c>
      <c r="C2435" s="30" t="s">
        <v>46</v>
      </c>
      <c r="D2435" s="30" t="s">
        <v>47</v>
      </c>
      <c r="E2435" s="32" t="s">
        <v>273</v>
      </c>
      <c r="F2435" s="32" t="s">
        <v>49</v>
      </c>
      <c r="G2435" s="32" t="s">
        <v>50</v>
      </c>
      <c r="H2435" s="33">
        <v>12260</v>
      </c>
      <c r="I2435" s="34">
        <f>Table3[[#This Row],[Volume, kg.]]/1000</f>
        <v>12.26</v>
      </c>
      <c r="J2435" s="34">
        <v>0.29559999999999997</v>
      </c>
      <c r="K2435" s="34">
        <f t="shared" ref="K2435:K2498" si="76">H2435*J2435</f>
        <v>3624.0559999999996</v>
      </c>
      <c r="L2435" s="34">
        <v>3.98</v>
      </c>
      <c r="M2435" s="34">
        <v>48759.5</v>
      </c>
      <c r="N2435" s="34">
        <f t="shared" si="75"/>
        <v>13.464140730717187</v>
      </c>
    </row>
    <row r="2436" spans="1:14" x14ac:dyDescent="0.45">
      <c r="A2436" s="30">
        <v>2024</v>
      </c>
      <c r="B2436" s="30" t="s">
        <v>8</v>
      </c>
      <c r="C2436" s="30" t="s">
        <v>46</v>
      </c>
      <c r="D2436" s="30" t="s">
        <v>47</v>
      </c>
      <c r="E2436" s="32" t="s">
        <v>96</v>
      </c>
      <c r="F2436" s="32" t="s">
        <v>49</v>
      </c>
      <c r="G2436" s="32" t="s">
        <v>50</v>
      </c>
      <c r="H2436" s="33">
        <v>7210</v>
      </c>
      <c r="I2436" s="34">
        <f>Table3[[#This Row],[Volume, kg.]]/1000</f>
        <v>7.21</v>
      </c>
      <c r="J2436" s="34">
        <v>0.23089999999999999</v>
      </c>
      <c r="K2436" s="34">
        <f t="shared" si="76"/>
        <v>1664.789</v>
      </c>
      <c r="L2436" s="34">
        <v>3.75</v>
      </c>
      <c r="M2436" s="34">
        <v>27051.5</v>
      </c>
      <c r="N2436" s="34">
        <f t="shared" ref="N2436:N2499" si="77">L2436/J2436</f>
        <v>16.240796881767</v>
      </c>
    </row>
    <row r="2437" spans="1:14" x14ac:dyDescent="0.45">
      <c r="A2437" s="30">
        <v>2024</v>
      </c>
      <c r="B2437" s="30" t="s">
        <v>8</v>
      </c>
      <c r="C2437" s="30" t="s">
        <v>46</v>
      </c>
      <c r="D2437" s="30" t="s">
        <v>47</v>
      </c>
      <c r="E2437" s="32" t="s">
        <v>143</v>
      </c>
      <c r="F2437" s="32" t="s">
        <v>49</v>
      </c>
      <c r="G2437" s="32" t="s">
        <v>50</v>
      </c>
      <c r="H2437" s="33">
        <v>77300</v>
      </c>
      <c r="I2437" s="34">
        <f>Table3[[#This Row],[Volume, kg.]]/1000</f>
        <v>77.3</v>
      </c>
      <c r="J2437" s="34">
        <v>0.29699999999999999</v>
      </c>
      <c r="K2437" s="34">
        <f t="shared" si="76"/>
        <v>22958.1</v>
      </c>
      <c r="L2437" s="34">
        <v>4.01</v>
      </c>
      <c r="M2437" s="34">
        <v>310177</v>
      </c>
      <c r="N2437" s="34">
        <f t="shared" si="77"/>
        <v>13.501683501683502</v>
      </c>
    </row>
    <row r="2438" spans="1:14" x14ac:dyDescent="0.45">
      <c r="A2438" s="30">
        <v>2024</v>
      </c>
      <c r="B2438" s="30" t="s">
        <v>8</v>
      </c>
      <c r="C2438" s="30" t="s">
        <v>46</v>
      </c>
      <c r="D2438" s="30" t="s">
        <v>102</v>
      </c>
      <c r="E2438" s="32" t="s">
        <v>250</v>
      </c>
      <c r="F2438" s="32" t="s">
        <v>49</v>
      </c>
      <c r="G2438" s="32" t="s">
        <v>50</v>
      </c>
      <c r="H2438" s="33">
        <v>1504610</v>
      </c>
      <c r="I2438" s="34">
        <f>Table3[[#This Row],[Volume, kg.]]/1000</f>
        <v>1504.61</v>
      </c>
      <c r="J2438" s="34">
        <v>0.27690000000000003</v>
      </c>
      <c r="K2438" s="34">
        <f t="shared" si="76"/>
        <v>416626.50900000008</v>
      </c>
      <c r="L2438" s="34">
        <v>4.05</v>
      </c>
      <c r="M2438" s="34">
        <v>6089420</v>
      </c>
      <c r="N2438" s="34">
        <f t="shared" si="77"/>
        <v>14.626218851570961</v>
      </c>
    </row>
    <row r="2439" spans="1:14" x14ac:dyDescent="0.45">
      <c r="A2439" s="30">
        <v>2024</v>
      </c>
      <c r="B2439" s="30" t="s">
        <v>8</v>
      </c>
      <c r="C2439" s="30" t="s">
        <v>46</v>
      </c>
      <c r="D2439" s="30" t="s">
        <v>47</v>
      </c>
      <c r="E2439" s="32" t="s">
        <v>94</v>
      </c>
      <c r="F2439" s="32" t="s">
        <v>64</v>
      </c>
      <c r="G2439" s="32" t="s">
        <v>50</v>
      </c>
      <c r="H2439" s="33">
        <v>11570</v>
      </c>
      <c r="I2439" s="34">
        <f>Table3[[#This Row],[Volume, kg.]]/1000</f>
        <v>11.57</v>
      </c>
      <c r="J2439" s="34">
        <v>0.28050000000000003</v>
      </c>
      <c r="K2439" s="34">
        <f t="shared" si="76"/>
        <v>3245.3850000000002</v>
      </c>
      <c r="L2439" s="34">
        <v>4</v>
      </c>
      <c r="M2439" s="34">
        <v>46280</v>
      </c>
      <c r="N2439" s="34">
        <f t="shared" si="77"/>
        <v>14.260249554367199</v>
      </c>
    </row>
    <row r="2440" spans="1:14" x14ac:dyDescent="0.45">
      <c r="A2440" s="30">
        <v>2024</v>
      </c>
      <c r="B2440" s="30" t="s">
        <v>8</v>
      </c>
      <c r="C2440" s="30" t="s">
        <v>46</v>
      </c>
      <c r="D2440" s="30" t="s">
        <v>47</v>
      </c>
      <c r="E2440" s="32" t="s">
        <v>155</v>
      </c>
      <c r="F2440" s="32" t="s">
        <v>64</v>
      </c>
      <c r="G2440" s="32" t="s">
        <v>50</v>
      </c>
      <c r="H2440" s="33">
        <v>70170</v>
      </c>
      <c r="I2440" s="34">
        <f>Table3[[#This Row],[Volume, kg.]]/1000</f>
        <v>70.17</v>
      </c>
      <c r="J2440" s="34">
        <v>0.25540000000000002</v>
      </c>
      <c r="K2440" s="34">
        <f t="shared" si="76"/>
        <v>17921.418000000001</v>
      </c>
      <c r="L2440" s="34">
        <v>3.81</v>
      </c>
      <c r="M2440" s="34">
        <v>267566</v>
      </c>
      <c r="N2440" s="34">
        <f t="shared" si="77"/>
        <v>14.917776037588096</v>
      </c>
    </row>
    <row r="2441" spans="1:14" x14ac:dyDescent="0.45">
      <c r="A2441" s="30">
        <v>2024</v>
      </c>
      <c r="B2441" s="30" t="s">
        <v>8</v>
      </c>
      <c r="C2441" s="30" t="s">
        <v>46</v>
      </c>
      <c r="D2441" s="30" t="s">
        <v>47</v>
      </c>
      <c r="E2441" s="32" t="s">
        <v>441</v>
      </c>
      <c r="F2441" s="32" t="s">
        <v>64</v>
      </c>
      <c r="G2441" s="32" t="s">
        <v>50</v>
      </c>
      <c r="H2441" s="33">
        <v>231220</v>
      </c>
      <c r="I2441" s="34">
        <f>Table3[[#This Row],[Volume, kg.]]/1000</f>
        <v>231.22</v>
      </c>
      <c r="J2441" s="34">
        <v>0.26839999999999997</v>
      </c>
      <c r="K2441" s="34">
        <f t="shared" si="76"/>
        <v>62059.447999999997</v>
      </c>
      <c r="L2441" s="34">
        <v>3.88</v>
      </c>
      <c r="M2441" s="34">
        <v>896227.5</v>
      </c>
      <c r="N2441" s="34">
        <f t="shared" si="77"/>
        <v>14.456035767511178</v>
      </c>
    </row>
    <row r="2442" spans="1:14" x14ac:dyDescent="0.45">
      <c r="A2442" s="30">
        <v>2024</v>
      </c>
      <c r="B2442" s="30" t="s">
        <v>8</v>
      </c>
      <c r="C2442" s="30" t="s">
        <v>46</v>
      </c>
      <c r="D2442" s="30" t="s">
        <v>47</v>
      </c>
      <c r="E2442" s="32" t="s">
        <v>404</v>
      </c>
      <c r="F2442" s="32" t="s">
        <v>60</v>
      </c>
      <c r="G2442" s="32" t="s">
        <v>50</v>
      </c>
      <c r="H2442" s="33">
        <v>27700</v>
      </c>
      <c r="I2442" s="34">
        <f>Table3[[#This Row],[Volume, kg.]]/1000</f>
        <v>27.7</v>
      </c>
      <c r="J2442" s="34">
        <v>0.25640000000000002</v>
      </c>
      <c r="K2442" s="34">
        <f t="shared" si="76"/>
        <v>7102.2800000000007</v>
      </c>
      <c r="L2442" s="34">
        <v>3.82</v>
      </c>
      <c r="M2442" s="34">
        <v>105883.5</v>
      </c>
      <c r="N2442" s="34">
        <f t="shared" si="77"/>
        <v>14.898595943837751</v>
      </c>
    </row>
    <row r="2443" spans="1:14" x14ac:dyDescent="0.45">
      <c r="A2443" s="30">
        <v>2024</v>
      </c>
      <c r="B2443" s="30" t="s">
        <v>8</v>
      </c>
      <c r="C2443" s="30" t="s">
        <v>46</v>
      </c>
      <c r="D2443" s="30" t="s">
        <v>47</v>
      </c>
      <c r="E2443" s="32" t="s">
        <v>254</v>
      </c>
      <c r="F2443" s="32" t="s">
        <v>49</v>
      </c>
      <c r="G2443" s="32" t="s">
        <v>50</v>
      </c>
      <c r="H2443" s="33">
        <v>137060</v>
      </c>
      <c r="I2443" s="34">
        <f>Table3[[#This Row],[Volume, kg.]]/1000</f>
        <v>137.06</v>
      </c>
      <c r="J2443" s="34">
        <v>0.27989999999999998</v>
      </c>
      <c r="K2443" s="34">
        <f t="shared" si="76"/>
        <v>38363.093999999997</v>
      </c>
      <c r="L2443" s="34">
        <v>3.95</v>
      </c>
      <c r="M2443" s="34">
        <v>542037.5</v>
      </c>
      <c r="N2443" s="34">
        <f t="shared" si="77"/>
        <v>14.112182922472313</v>
      </c>
    </row>
    <row r="2444" spans="1:14" x14ac:dyDescent="0.45">
      <c r="A2444" s="30">
        <v>2024</v>
      </c>
      <c r="B2444" s="30" t="s">
        <v>8</v>
      </c>
      <c r="C2444" s="30" t="s">
        <v>46</v>
      </c>
      <c r="D2444" s="30" t="s">
        <v>47</v>
      </c>
      <c r="E2444" s="32" t="s">
        <v>428</v>
      </c>
      <c r="F2444" s="32" t="s">
        <v>64</v>
      </c>
      <c r="G2444" s="32" t="s">
        <v>50</v>
      </c>
      <c r="H2444" s="33">
        <v>9150</v>
      </c>
      <c r="I2444" s="34">
        <f>Table3[[#This Row],[Volume, kg.]]/1000</f>
        <v>9.15</v>
      </c>
      <c r="J2444" s="34">
        <v>0.20949999999999999</v>
      </c>
      <c r="K2444" s="34">
        <f t="shared" si="76"/>
        <v>1916.925</v>
      </c>
      <c r="L2444" s="34">
        <v>3.6</v>
      </c>
      <c r="M2444" s="34">
        <v>32940</v>
      </c>
      <c r="N2444" s="34">
        <f t="shared" si="77"/>
        <v>17.183770883054894</v>
      </c>
    </row>
    <row r="2445" spans="1:14" x14ac:dyDescent="0.45">
      <c r="A2445" s="30">
        <v>2024</v>
      </c>
      <c r="B2445" s="30" t="s">
        <v>8</v>
      </c>
      <c r="C2445" s="30" t="s">
        <v>46</v>
      </c>
      <c r="D2445" s="30" t="s">
        <v>47</v>
      </c>
      <c r="E2445" s="32" t="s">
        <v>199</v>
      </c>
      <c r="F2445" s="32" t="s">
        <v>60</v>
      </c>
      <c r="G2445" s="32" t="s">
        <v>50</v>
      </c>
      <c r="H2445" s="33">
        <v>1930</v>
      </c>
      <c r="I2445" s="34">
        <f>Table3[[#This Row],[Volume, kg.]]/1000</f>
        <v>1.93</v>
      </c>
      <c r="J2445" s="34">
        <v>0.30049999999999999</v>
      </c>
      <c r="K2445" s="34">
        <f t="shared" si="76"/>
        <v>579.96500000000003</v>
      </c>
      <c r="L2445" s="34">
        <v>4.05</v>
      </c>
      <c r="M2445" s="34">
        <v>7816.5</v>
      </c>
      <c r="N2445" s="34">
        <f t="shared" si="77"/>
        <v>13.477537437603994</v>
      </c>
    </row>
    <row r="2446" spans="1:14" x14ac:dyDescent="0.45">
      <c r="A2446" s="30">
        <v>2024</v>
      </c>
      <c r="B2446" s="30" t="s">
        <v>8</v>
      </c>
      <c r="C2446" s="30" t="s">
        <v>46</v>
      </c>
      <c r="D2446" s="30" t="s">
        <v>47</v>
      </c>
      <c r="E2446" s="32" t="s">
        <v>141</v>
      </c>
      <c r="F2446" s="32" t="s">
        <v>49</v>
      </c>
      <c r="G2446" s="32" t="s">
        <v>50</v>
      </c>
      <c r="H2446" s="33">
        <v>8980</v>
      </c>
      <c r="I2446" s="34">
        <f>Table3[[#This Row],[Volume, kg.]]/1000</f>
        <v>8.98</v>
      </c>
      <c r="J2446" s="34">
        <v>0.26250000000000001</v>
      </c>
      <c r="K2446" s="34">
        <f t="shared" si="76"/>
        <v>2357.25</v>
      </c>
      <c r="L2446" s="34">
        <v>3.85</v>
      </c>
      <c r="M2446" s="34">
        <v>34573</v>
      </c>
      <c r="N2446" s="34">
        <f t="shared" si="77"/>
        <v>14.666666666666666</v>
      </c>
    </row>
    <row r="2447" spans="1:14" x14ac:dyDescent="0.45">
      <c r="A2447" s="30">
        <v>2024</v>
      </c>
      <c r="B2447" s="30" t="s">
        <v>8</v>
      </c>
      <c r="C2447" s="30" t="s">
        <v>46</v>
      </c>
      <c r="D2447" s="30" t="s">
        <v>47</v>
      </c>
      <c r="E2447" s="32" t="s">
        <v>66</v>
      </c>
      <c r="F2447" s="32" t="s">
        <v>49</v>
      </c>
      <c r="G2447" s="32" t="s">
        <v>50</v>
      </c>
      <c r="H2447" s="33">
        <v>2990</v>
      </c>
      <c r="I2447" s="34">
        <f>Table3[[#This Row],[Volume, kg.]]/1000</f>
        <v>2.99</v>
      </c>
      <c r="J2447" s="34">
        <v>0.24850000000000003</v>
      </c>
      <c r="K2447" s="34">
        <f t="shared" si="76"/>
        <v>743.0150000000001</v>
      </c>
      <c r="L2447" s="34">
        <v>3.75</v>
      </c>
      <c r="M2447" s="34">
        <v>11212.5</v>
      </c>
      <c r="N2447" s="34">
        <f t="shared" si="77"/>
        <v>15.090543259557343</v>
      </c>
    </row>
    <row r="2448" spans="1:14" x14ac:dyDescent="0.45">
      <c r="A2448" s="30">
        <v>2024</v>
      </c>
      <c r="B2448" s="30" t="s">
        <v>8</v>
      </c>
      <c r="C2448" s="30" t="s">
        <v>46</v>
      </c>
      <c r="D2448" s="30" t="s">
        <v>47</v>
      </c>
      <c r="E2448" s="32" t="s">
        <v>159</v>
      </c>
      <c r="F2448" s="32" t="s">
        <v>81</v>
      </c>
      <c r="G2448" s="32" t="s">
        <v>50</v>
      </c>
      <c r="H2448" s="33">
        <v>190230</v>
      </c>
      <c r="I2448" s="34">
        <f>Table3[[#This Row],[Volume, kg.]]/1000</f>
        <v>190.23</v>
      </c>
      <c r="J2448" s="34">
        <v>0.28800000000000003</v>
      </c>
      <c r="K2448" s="34">
        <f t="shared" si="76"/>
        <v>54786.240000000005</v>
      </c>
      <c r="L2448" s="34">
        <v>4.0199999999999996</v>
      </c>
      <c r="M2448" s="34">
        <v>764778</v>
      </c>
      <c r="N2448" s="34">
        <f t="shared" si="77"/>
        <v>13.95833333333333</v>
      </c>
    </row>
    <row r="2449" spans="1:14" x14ac:dyDescent="0.45">
      <c r="A2449" s="30">
        <v>2024</v>
      </c>
      <c r="B2449" s="30" t="s">
        <v>8</v>
      </c>
      <c r="C2449" s="30" t="s">
        <v>46</v>
      </c>
      <c r="D2449" s="30" t="s">
        <v>47</v>
      </c>
      <c r="E2449" s="32" t="s">
        <v>207</v>
      </c>
      <c r="F2449" s="32" t="s">
        <v>64</v>
      </c>
      <c r="G2449" s="32" t="s">
        <v>50</v>
      </c>
      <c r="H2449" s="33">
        <v>142590</v>
      </c>
      <c r="I2449" s="34">
        <f>Table3[[#This Row],[Volume, kg.]]/1000</f>
        <v>142.59</v>
      </c>
      <c r="J2449" s="34">
        <v>0.27629999999999999</v>
      </c>
      <c r="K2449" s="34">
        <f t="shared" si="76"/>
        <v>39397.616999999998</v>
      </c>
      <c r="L2449" s="34">
        <v>3.95</v>
      </c>
      <c r="M2449" s="34">
        <v>562554.5</v>
      </c>
      <c r="N2449" s="34">
        <f t="shared" si="77"/>
        <v>14.296055012667392</v>
      </c>
    </row>
    <row r="2450" spans="1:14" x14ac:dyDescent="0.45">
      <c r="A2450" s="30">
        <v>2024</v>
      </c>
      <c r="B2450" s="30" t="s">
        <v>8</v>
      </c>
      <c r="C2450" s="30" t="s">
        <v>46</v>
      </c>
      <c r="D2450" s="30" t="s">
        <v>47</v>
      </c>
      <c r="E2450" s="32" t="s">
        <v>61</v>
      </c>
      <c r="F2450" s="32" t="s">
        <v>57</v>
      </c>
      <c r="G2450" s="32" t="s">
        <v>50</v>
      </c>
      <c r="H2450" s="33">
        <v>21850</v>
      </c>
      <c r="I2450" s="34">
        <f>Table3[[#This Row],[Volume, kg.]]/1000</f>
        <v>21.85</v>
      </c>
      <c r="J2450" s="34">
        <v>0.28760000000000002</v>
      </c>
      <c r="K2450" s="34">
        <f t="shared" si="76"/>
        <v>6284.06</v>
      </c>
      <c r="L2450" s="34">
        <v>4.01</v>
      </c>
      <c r="M2450" s="34">
        <v>87720.5</v>
      </c>
      <c r="N2450" s="34">
        <f t="shared" si="77"/>
        <v>13.942976356050067</v>
      </c>
    </row>
    <row r="2451" spans="1:14" x14ac:dyDescent="0.45">
      <c r="A2451" s="30">
        <v>2024</v>
      </c>
      <c r="B2451" s="30" t="s">
        <v>8</v>
      </c>
      <c r="C2451" s="30" t="s">
        <v>46</v>
      </c>
      <c r="D2451" s="30" t="s">
        <v>47</v>
      </c>
      <c r="E2451" s="32" t="s">
        <v>101</v>
      </c>
      <c r="F2451" s="32" t="s">
        <v>64</v>
      </c>
      <c r="G2451" s="32" t="s">
        <v>50</v>
      </c>
      <c r="H2451" s="33">
        <v>50530</v>
      </c>
      <c r="I2451" s="34">
        <f>Table3[[#This Row],[Volume, kg.]]/1000</f>
        <v>50.53</v>
      </c>
      <c r="J2451" s="34">
        <v>0.27500000000000002</v>
      </c>
      <c r="K2451" s="34">
        <f t="shared" si="76"/>
        <v>13895.750000000002</v>
      </c>
      <c r="L2451" s="34">
        <v>3.93</v>
      </c>
      <c r="M2451" s="34">
        <v>198370.5</v>
      </c>
      <c r="N2451" s="34">
        <f t="shared" si="77"/>
        <v>14.290909090909091</v>
      </c>
    </row>
    <row r="2452" spans="1:14" x14ac:dyDescent="0.45">
      <c r="A2452" s="30">
        <v>2024</v>
      </c>
      <c r="B2452" s="30" t="s">
        <v>8</v>
      </c>
      <c r="C2452" s="30" t="s">
        <v>46</v>
      </c>
      <c r="D2452" s="30" t="s">
        <v>47</v>
      </c>
      <c r="E2452" s="32" t="s">
        <v>146</v>
      </c>
      <c r="F2452" s="32" t="s">
        <v>64</v>
      </c>
      <c r="G2452" s="32" t="s">
        <v>50</v>
      </c>
      <c r="H2452" s="33">
        <v>168620</v>
      </c>
      <c r="I2452" s="34">
        <f>Table3[[#This Row],[Volume, kg.]]/1000</f>
        <v>168.62</v>
      </c>
      <c r="J2452" s="34">
        <v>0.27129999999999999</v>
      </c>
      <c r="K2452" s="34">
        <f t="shared" si="76"/>
        <v>45746.606</v>
      </c>
      <c r="L2452" s="34">
        <v>3.89</v>
      </c>
      <c r="M2452" s="34">
        <v>655989</v>
      </c>
      <c r="N2452" s="34">
        <f t="shared" si="77"/>
        <v>14.338370807224475</v>
      </c>
    </row>
    <row r="2453" spans="1:14" x14ac:dyDescent="0.45">
      <c r="A2453" s="30">
        <v>2024</v>
      </c>
      <c r="B2453" s="30" t="s">
        <v>8</v>
      </c>
      <c r="C2453" s="30" t="s">
        <v>46</v>
      </c>
      <c r="D2453" s="30" t="s">
        <v>47</v>
      </c>
      <c r="E2453" s="32" t="s">
        <v>237</v>
      </c>
      <c r="F2453" s="32" t="s">
        <v>238</v>
      </c>
      <c r="G2453" s="32" t="s">
        <v>50</v>
      </c>
      <c r="H2453" s="33">
        <v>34180</v>
      </c>
      <c r="I2453" s="34">
        <f>Table3[[#This Row],[Volume, kg.]]/1000</f>
        <v>34.18</v>
      </c>
      <c r="J2453" s="34">
        <v>0.25009999999999999</v>
      </c>
      <c r="K2453" s="34">
        <f t="shared" si="76"/>
        <v>8548.4179999999997</v>
      </c>
      <c r="L2453" s="34">
        <v>3.8</v>
      </c>
      <c r="M2453" s="34">
        <v>129822.5</v>
      </c>
      <c r="N2453" s="34">
        <f t="shared" si="77"/>
        <v>15.193922431027589</v>
      </c>
    </row>
    <row r="2454" spans="1:14" x14ac:dyDescent="0.45">
      <c r="A2454" s="30">
        <v>2024</v>
      </c>
      <c r="B2454" s="30" t="s">
        <v>8</v>
      </c>
      <c r="C2454" s="30" t="s">
        <v>46</v>
      </c>
      <c r="D2454" s="30" t="s">
        <v>47</v>
      </c>
      <c r="E2454" s="32" t="s">
        <v>347</v>
      </c>
      <c r="F2454" s="32" t="s">
        <v>49</v>
      </c>
      <c r="G2454" s="32" t="s">
        <v>50</v>
      </c>
      <c r="H2454" s="33">
        <v>5120</v>
      </c>
      <c r="I2454" s="34">
        <f>Table3[[#This Row],[Volume, kg.]]/1000</f>
        <v>5.12</v>
      </c>
      <c r="J2454" s="34">
        <v>0.32</v>
      </c>
      <c r="K2454" s="34">
        <f t="shared" si="76"/>
        <v>1638.4</v>
      </c>
      <c r="L2454" s="34">
        <v>4.1500000000000004</v>
      </c>
      <c r="M2454" s="34">
        <v>21248</v>
      </c>
      <c r="N2454" s="34">
        <f t="shared" si="77"/>
        <v>12.96875</v>
      </c>
    </row>
    <row r="2455" spans="1:14" x14ac:dyDescent="0.45">
      <c r="A2455" s="30">
        <v>2024</v>
      </c>
      <c r="B2455" s="30" t="s">
        <v>8</v>
      </c>
      <c r="C2455" s="30" t="s">
        <v>46</v>
      </c>
      <c r="D2455" s="30" t="s">
        <v>47</v>
      </c>
      <c r="E2455" s="32" t="s">
        <v>161</v>
      </c>
      <c r="F2455" s="32" t="s">
        <v>57</v>
      </c>
      <c r="G2455" s="32" t="s">
        <v>50</v>
      </c>
      <c r="H2455" s="33">
        <v>26720</v>
      </c>
      <c r="I2455" s="34">
        <f>Table3[[#This Row],[Volume, kg.]]/1000</f>
        <v>26.72</v>
      </c>
      <c r="J2455" s="34">
        <v>0.26729999999999998</v>
      </c>
      <c r="K2455" s="34">
        <f t="shared" si="76"/>
        <v>7142.2559999999994</v>
      </c>
      <c r="L2455" s="34">
        <v>3.85</v>
      </c>
      <c r="M2455" s="34">
        <v>102912</v>
      </c>
      <c r="N2455" s="34">
        <f t="shared" si="77"/>
        <v>14.403292181069959</v>
      </c>
    </row>
    <row r="2456" spans="1:14" x14ac:dyDescent="0.45">
      <c r="A2456" s="30">
        <v>2024</v>
      </c>
      <c r="B2456" s="30" t="s">
        <v>8</v>
      </c>
      <c r="C2456" s="30" t="s">
        <v>46</v>
      </c>
      <c r="D2456" s="30" t="s">
        <v>47</v>
      </c>
      <c r="E2456" s="32" t="s">
        <v>255</v>
      </c>
      <c r="F2456" s="32" t="s">
        <v>60</v>
      </c>
      <c r="G2456" s="32" t="s">
        <v>50</v>
      </c>
      <c r="H2456" s="33">
        <v>4640</v>
      </c>
      <c r="I2456" s="34">
        <f>Table3[[#This Row],[Volume, kg.]]/1000</f>
        <v>4.6399999999999997</v>
      </c>
      <c r="J2456" s="34">
        <v>0.30049999999999999</v>
      </c>
      <c r="K2456" s="34">
        <f t="shared" si="76"/>
        <v>1394.32</v>
      </c>
      <c r="L2456" s="34">
        <v>4.0999999999999996</v>
      </c>
      <c r="M2456" s="34">
        <v>19024</v>
      </c>
      <c r="N2456" s="34">
        <f t="shared" si="77"/>
        <v>13.643926788685523</v>
      </c>
    </row>
    <row r="2457" spans="1:14" x14ac:dyDescent="0.45">
      <c r="A2457" s="30">
        <v>2024</v>
      </c>
      <c r="B2457" s="30" t="s">
        <v>8</v>
      </c>
      <c r="C2457" s="30" t="s">
        <v>46</v>
      </c>
      <c r="D2457" s="30" t="s">
        <v>47</v>
      </c>
      <c r="E2457" s="32" t="s">
        <v>91</v>
      </c>
      <c r="F2457" s="32" t="s">
        <v>60</v>
      </c>
      <c r="G2457" s="32" t="s">
        <v>50</v>
      </c>
      <c r="H2457" s="33">
        <v>68200</v>
      </c>
      <c r="I2457" s="34">
        <f>Table3[[#This Row],[Volume, kg.]]/1000</f>
        <v>68.2</v>
      </c>
      <c r="J2457" s="34">
        <v>0.2893</v>
      </c>
      <c r="K2457" s="34">
        <f t="shared" si="76"/>
        <v>19730.259999999998</v>
      </c>
      <c r="L2457" s="34">
        <v>3.99</v>
      </c>
      <c r="M2457" s="34">
        <v>271869</v>
      </c>
      <c r="N2457" s="34">
        <f t="shared" si="77"/>
        <v>13.79191151054269</v>
      </c>
    </row>
    <row r="2458" spans="1:14" x14ac:dyDescent="0.45">
      <c r="A2458" s="30">
        <v>2024</v>
      </c>
      <c r="B2458" s="30" t="s">
        <v>8</v>
      </c>
      <c r="C2458" s="30" t="s">
        <v>46</v>
      </c>
      <c r="D2458" s="30" t="s">
        <v>47</v>
      </c>
      <c r="E2458" s="32" t="s">
        <v>53</v>
      </c>
      <c r="F2458" s="32" t="s">
        <v>54</v>
      </c>
      <c r="G2458" s="32" t="s">
        <v>50</v>
      </c>
      <c r="H2458" s="33">
        <v>109000</v>
      </c>
      <c r="I2458" s="34">
        <f>Table3[[#This Row],[Volume, kg.]]/1000</f>
        <v>109</v>
      </c>
      <c r="J2458" s="34">
        <v>0.2964</v>
      </c>
      <c r="K2458" s="34">
        <f t="shared" si="76"/>
        <v>32307.599999999999</v>
      </c>
      <c r="L2458" s="34">
        <v>4.03</v>
      </c>
      <c r="M2458" s="34">
        <v>439255</v>
      </c>
      <c r="N2458" s="34">
        <f t="shared" si="77"/>
        <v>13.596491228070176</v>
      </c>
    </row>
    <row r="2459" spans="1:14" x14ac:dyDescent="0.45">
      <c r="A2459" s="30">
        <v>2024</v>
      </c>
      <c r="B2459" s="30" t="s">
        <v>8</v>
      </c>
      <c r="C2459" s="30" t="s">
        <v>46</v>
      </c>
      <c r="D2459" s="30" t="s">
        <v>47</v>
      </c>
      <c r="E2459" s="32" t="s">
        <v>130</v>
      </c>
      <c r="F2459" s="32" t="s">
        <v>64</v>
      </c>
      <c r="G2459" s="32" t="s">
        <v>50</v>
      </c>
      <c r="H2459" s="33">
        <v>216000</v>
      </c>
      <c r="I2459" s="34">
        <f>Table3[[#This Row],[Volume, kg.]]/1000</f>
        <v>216</v>
      </c>
      <c r="J2459" s="34">
        <v>0.27149999999999996</v>
      </c>
      <c r="K2459" s="34">
        <f t="shared" si="76"/>
        <v>58643.999999999993</v>
      </c>
      <c r="L2459" s="34">
        <v>3.91</v>
      </c>
      <c r="M2459" s="34">
        <v>844360</v>
      </c>
      <c r="N2459" s="34">
        <f t="shared" si="77"/>
        <v>14.401473296500923</v>
      </c>
    </row>
    <row r="2460" spans="1:14" x14ac:dyDescent="0.45">
      <c r="A2460" s="30">
        <v>2024</v>
      </c>
      <c r="B2460" s="30" t="s">
        <v>8</v>
      </c>
      <c r="C2460" s="30" t="s">
        <v>46</v>
      </c>
      <c r="D2460" s="30" t="s">
        <v>47</v>
      </c>
      <c r="E2460" s="32" t="s">
        <v>422</v>
      </c>
      <c r="F2460" s="32" t="s">
        <v>134</v>
      </c>
      <c r="G2460" s="32" t="s">
        <v>50</v>
      </c>
      <c r="H2460" s="33">
        <v>28650</v>
      </c>
      <c r="I2460" s="34">
        <f>Table3[[#This Row],[Volume, kg.]]/1000</f>
        <v>28.65</v>
      </c>
      <c r="J2460" s="34">
        <v>0.24590000000000001</v>
      </c>
      <c r="K2460" s="34">
        <f t="shared" si="76"/>
        <v>7045.0349999999999</v>
      </c>
      <c r="L2460" s="34">
        <v>3.73</v>
      </c>
      <c r="M2460" s="34">
        <v>106737.5</v>
      </c>
      <c r="N2460" s="34">
        <f t="shared" si="77"/>
        <v>15.168767791785278</v>
      </c>
    </row>
    <row r="2461" spans="1:14" x14ac:dyDescent="0.45">
      <c r="A2461" s="30">
        <v>2024</v>
      </c>
      <c r="B2461" s="30" t="s">
        <v>8</v>
      </c>
      <c r="C2461" s="30" t="s">
        <v>46</v>
      </c>
      <c r="D2461" s="30" t="s">
        <v>47</v>
      </c>
      <c r="E2461" s="32" t="s">
        <v>257</v>
      </c>
      <c r="F2461" s="32" t="s">
        <v>64</v>
      </c>
      <c r="G2461" s="32" t="s">
        <v>50</v>
      </c>
      <c r="H2461" s="33">
        <v>1132540</v>
      </c>
      <c r="I2461" s="34">
        <f>Table3[[#This Row],[Volume, kg.]]/1000</f>
        <v>1132.54</v>
      </c>
      <c r="J2461" s="34">
        <v>0.26679999999999998</v>
      </c>
      <c r="K2461" s="34">
        <f t="shared" si="76"/>
        <v>302161.67199999996</v>
      </c>
      <c r="L2461" s="34">
        <v>3.93</v>
      </c>
      <c r="M2461" s="34">
        <v>4456339.5</v>
      </c>
      <c r="N2461" s="34">
        <f t="shared" si="77"/>
        <v>14.730134932533735</v>
      </c>
    </row>
    <row r="2462" spans="1:14" x14ac:dyDescent="0.45">
      <c r="A2462" s="30">
        <v>2024</v>
      </c>
      <c r="B2462" s="30" t="s">
        <v>8</v>
      </c>
      <c r="C2462" s="30" t="s">
        <v>46</v>
      </c>
      <c r="D2462" s="30" t="s">
        <v>47</v>
      </c>
      <c r="E2462" s="32" t="s">
        <v>252</v>
      </c>
      <c r="F2462" s="32" t="s">
        <v>49</v>
      </c>
      <c r="G2462" s="32" t="s">
        <v>50</v>
      </c>
      <c r="H2462" s="33">
        <v>46020</v>
      </c>
      <c r="I2462" s="34">
        <f>Table3[[#This Row],[Volume, kg.]]/1000</f>
        <v>46.02</v>
      </c>
      <c r="J2462" s="34">
        <v>0.29659999999999997</v>
      </c>
      <c r="K2462" s="34">
        <f t="shared" si="76"/>
        <v>13649.531999999999</v>
      </c>
      <c r="L2462" s="34">
        <v>4.03</v>
      </c>
      <c r="M2462" s="34">
        <v>185471.5</v>
      </c>
      <c r="N2462" s="34">
        <f t="shared" si="77"/>
        <v>13.587322993931222</v>
      </c>
    </row>
    <row r="2463" spans="1:14" x14ac:dyDescent="0.45">
      <c r="A2463" s="30">
        <v>2024</v>
      </c>
      <c r="B2463" s="30" t="s">
        <v>8</v>
      </c>
      <c r="C2463" s="30" t="s">
        <v>46</v>
      </c>
      <c r="D2463" s="30" t="s">
        <v>47</v>
      </c>
      <c r="E2463" s="32" t="s">
        <v>95</v>
      </c>
      <c r="F2463" s="32" t="s">
        <v>49</v>
      </c>
      <c r="G2463" s="32" t="s">
        <v>50</v>
      </c>
      <c r="H2463" s="33">
        <v>27920</v>
      </c>
      <c r="I2463" s="34">
        <f>Table3[[#This Row],[Volume, kg.]]/1000</f>
        <v>27.92</v>
      </c>
      <c r="J2463" s="34">
        <v>0.30630000000000002</v>
      </c>
      <c r="K2463" s="34">
        <f t="shared" si="76"/>
        <v>8551.8960000000006</v>
      </c>
      <c r="L2463" s="34">
        <v>4.1100000000000003</v>
      </c>
      <c r="M2463" s="34">
        <v>114659.5</v>
      </c>
      <c r="N2463" s="34">
        <f t="shared" si="77"/>
        <v>13.418217433888344</v>
      </c>
    </row>
    <row r="2464" spans="1:14" x14ac:dyDescent="0.45">
      <c r="A2464" s="30">
        <v>2024</v>
      </c>
      <c r="B2464" s="30" t="s">
        <v>8</v>
      </c>
      <c r="C2464" s="30" t="s">
        <v>46</v>
      </c>
      <c r="D2464" s="30" t="s">
        <v>47</v>
      </c>
      <c r="E2464" s="32" t="s">
        <v>205</v>
      </c>
      <c r="F2464" s="32" t="s">
        <v>49</v>
      </c>
      <c r="G2464" s="32" t="s">
        <v>50</v>
      </c>
      <c r="H2464" s="33">
        <v>79900</v>
      </c>
      <c r="I2464" s="34">
        <f>Table3[[#This Row],[Volume, kg.]]/1000</f>
        <v>79.900000000000006</v>
      </c>
      <c r="J2464" s="34">
        <v>0.31280000000000002</v>
      </c>
      <c r="K2464" s="34">
        <f t="shared" si="76"/>
        <v>24992.720000000001</v>
      </c>
      <c r="L2464" s="34">
        <v>4.12</v>
      </c>
      <c r="M2464" s="34">
        <v>329061</v>
      </c>
      <c r="N2464" s="34">
        <f t="shared" si="77"/>
        <v>13.171355498721226</v>
      </c>
    </row>
    <row r="2465" spans="1:14" x14ac:dyDescent="0.45">
      <c r="A2465" s="30">
        <v>2024</v>
      </c>
      <c r="B2465" s="30" t="s">
        <v>8</v>
      </c>
      <c r="C2465" s="30" t="s">
        <v>46</v>
      </c>
      <c r="D2465" s="30" t="s">
        <v>47</v>
      </c>
      <c r="E2465" s="32" t="s">
        <v>124</v>
      </c>
      <c r="F2465" s="32" t="s">
        <v>49</v>
      </c>
      <c r="G2465" s="32" t="s">
        <v>50</v>
      </c>
      <c r="H2465" s="33">
        <v>16310</v>
      </c>
      <c r="I2465" s="34">
        <f>Table3[[#This Row],[Volume, kg.]]/1000</f>
        <v>16.309999999999999</v>
      </c>
      <c r="J2465" s="34">
        <v>0.2959</v>
      </c>
      <c r="K2465" s="34">
        <f t="shared" si="76"/>
        <v>4826.1289999999999</v>
      </c>
      <c r="L2465" s="34">
        <v>3.99</v>
      </c>
      <c r="M2465" s="34">
        <v>65043</v>
      </c>
      <c r="N2465" s="34">
        <f t="shared" si="77"/>
        <v>13.484285231497129</v>
      </c>
    </row>
    <row r="2466" spans="1:14" x14ac:dyDescent="0.45">
      <c r="A2466" s="30">
        <v>2024</v>
      </c>
      <c r="B2466" s="30" t="s">
        <v>8</v>
      </c>
      <c r="C2466" s="30" t="s">
        <v>46</v>
      </c>
      <c r="D2466" s="30" t="s">
        <v>47</v>
      </c>
      <c r="E2466" s="32" t="s">
        <v>370</v>
      </c>
      <c r="F2466" s="32" t="s">
        <v>223</v>
      </c>
      <c r="G2466" s="32" t="s">
        <v>50</v>
      </c>
      <c r="H2466" s="33">
        <v>8640</v>
      </c>
      <c r="I2466" s="34">
        <f>Table3[[#This Row],[Volume, kg.]]/1000</f>
        <v>8.64</v>
      </c>
      <c r="J2466" s="34">
        <v>0.28300000000000003</v>
      </c>
      <c r="K2466" s="34">
        <f t="shared" si="76"/>
        <v>2445.1200000000003</v>
      </c>
      <c r="L2466" s="34">
        <v>3.95</v>
      </c>
      <c r="M2466" s="34">
        <v>34128</v>
      </c>
      <c r="N2466" s="34">
        <f t="shared" si="77"/>
        <v>13.957597173144876</v>
      </c>
    </row>
    <row r="2467" spans="1:14" x14ac:dyDescent="0.45">
      <c r="A2467" s="30">
        <v>2024</v>
      </c>
      <c r="B2467" s="30" t="s">
        <v>8</v>
      </c>
      <c r="C2467" s="30" t="s">
        <v>46</v>
      </c>
      <c r="D2467" s="30" t="s">
        <v>102</v>
      </c>
      <c r="E2467" s="32" t="s">
        <v>437</v>
      </c>
      <c r="F2467" s="32" t="s">
        <v>49</v>
      </c>
      <c r="G2467" s="32" t="s">
        <v>50</v>
      </c>
      <c r="H2467" s="33">
        <v>1684740</v>
      </c>
      <c r="I2467" s="34">
        <f>Table3[[#This Row],[Volume, kg.]]/1000</f>
        <v>1684.74</v>
      </c>
      <c r="J2467" s="34">
        <v>0.28239999999999998</v>
      </c>
      <c r="K2467" s="34">
        <f t="shared" si="76"/>
        <v>475770.576</v>
      </c>
      <c r="L2467" s="34">
        <v>4.0599999999999996</v>
      </c>
      <c r="M2467" s="34">
        <v>6844354.5</v>
      </c>
      <c r="N2467" s="34">
        <f t="shared" si="77"/>
        <v>14.376770538243626</v>
      </c>
    </row>
    <row r="2468" spans="1:14" x14ac:dyDescent="0.45">
      <c r="A2468" s="30">
        <v>2024</v>
      </c>
      <c r="B2468" s="30" t="s">
        <v>8</v>
      </c>
      <c r="C2468" s="30" t="s">
        <v>46</v>
      </c>
      <c r="D2468" s="30" t="s">
        <v>102</v>
      </c>
      <c r="E2468" s="32" t="s">
        <v>418</v>
      </c>
      <c r="F2468" s="32" t="s">
        <v>104</v>
      </c>
      <c r="G2468" s="32" t="s">
        <v>105</v>
      </c>
      <c r="H2468" s="33">
        <v>399470</v>
      </c>
      <c r="I2468" s="34">
        <f>Table3[[#This Row],[Volume, kg.]]/1000</f>
        <v>399.47</v>
      </c>
      <c r="J2468" s="34">
        <v>0.25619999999999998</v>
      </c>
      <c r="K2468" s="34">
        <f t="shared" si="76"/>
        <v>102344.21399999999</v>
      </c>
      <c r="L2468" s="34">
        <v>3.97</v>
      </c>
      <c r="M2468" s="34">
        <v>1587592.5</v>
      </c>
      <c r="N2468" s="34">
        <f t="shared" si="77"/>
        <v>15.495706479313039</v>
      </c>
    </row>
    <row r="2469" spans="1:14" x14ac:dyDescent="0.45">
      <c r="A2469" s="30">
        <v>2024</v>
      </c>
      <c r="B2469" s="30" t="s">
        <v>8</v>
      </c>
      <c r="C2469" s="30" t="s">
        <v>46</v>
      </c>
      <c r="D2469" s="30" t="s">
        <v>47</v>
      </c>
      <c r="E2469" s="32" t="s">
        <v>484</v>
      </c>
      <c r="F2469" s="32" t="s">
        <v>81</v>
      </c>
      <c r="G2469" s="32" t="s">
        <v>50</v>
      </c>
      <c r="H2469" s="33">
        <v>96710</v>
      </c>
      <c r="I2469" s="34">
        <f>Table3[[#This Row],[Volume, kg.]]/1000</f>
        <v>96.71</v>
      </c>
      <c r="J2469" s="34">
        <v>0.29399999999999998</v>
      </c>
      <c r="K2469" s="34">
        <f t="shared" si="76"/>
        <v>28432.739999999998</v>
      </c>
      <c r="L2469" s="34">
        <v>4.0199999999999996</v>
      </c>
      <c r="M2469" s="34">
        <v>388649</v>
      </c>
      <c r="N2469" s="34">
        <f t="shared" si="77"/>
        <v>13.673469387755102</v>
      </c>
    </row>
    <row r="2470" spans="1:14" x14ac:dyDescent="0.45">
      <c r="A2470" s="30">
        <v>2024</v>
      </c>
      <c r="B2470" s="30" t="s">
        <v>8</v>
      </c>
      <c r="C2470" s="30" t="s">
        <v>46</v>
      </c>
      <c r="D2470" s="30" t="s">
        <v>47</v>
      </c>
      <c r="E2470" s="32" t="s">
        <v>489</v>
      </c>
      <c r="F2470" s="32" t="s">
        <v>81</v>
      </c>
      <c r="G2470" s="32" t="s">
        <v>50</v>
      </c>
      <c r="H2470" s="33">
        <v>14770</v>
      </c>
      <c r="I2470" s="34">
        <f>Table3[[#This Row],[Volume, kg.]]/1000</f>
        <v>14.77</v>
      </c>
      <c r="J2470" s="34">
        <v>0.30620000000000003</v>
      </c>
      <c r="K2470" s="34">
        <f t="shared" si="76"/>
        <v>4522.5740000000005</v>
      </c>
      <c r="L2470" s="34">
        <v>4.05</v>
      </c>
      <c r="M2470" s="34">
        <v>59818.5</v>
      </c>
      <c r="N2470" s="34">
        <f t="shared" si="77"/>
        <v>13.226649248856955</v>
      </c>
    </row>
    <row r="2471" spans="1:14" x14ac:dyDescent="0.45">
      <c r="A2471" s="30">
        <v>2024</v>
      </c>
      <c r="B2471" s="30" t="s">
        <v>8</v>
      </c>
      <c r="C2471" s="30" t="s">
        <v>46</v>
      </c>
      <c r="D2471" s="30" t="s">
        <v>47</v>
      </c>
      <c r="E2471" s="32" t="s">
        <v>492</v>
      </c>
      <c r="F2471" s="32" t="s">
        <v>57</v>
      </c>
      <c r="G2471" s="32" t="s">
        <v>50</v>
      </c>
      <c r="H2471" s="33">
        <v>47080</v>
      </c>
      <c r="I2471" s="34">
        <f>Table3[[#This Row],[Volume, kg.]]/1000</f>
        <v>47.08</v>
      </c>
      <c r="J2471" s="34">
        <v>0.27390000000000003</v>
      </c>
      <c r="K2471" s="34">
        <f t="shared" si="76"/>
        <v>12895.212000000001</v>
      </c>
      <c r="L2471" s="34">
        <v>3.92</v>
      </c>
      <c r="M2471" s="34">
        <v>184698.5</v>
      </c>
      <c r="N2471" s="34">
        <f t="shared" si="77"/>
        <v>14.311792625045635</v>
      </c>
    </row>
    <row r="2472" spans="1:14" x14ac:dyDescent="0.45">
      <c r="A2472" s="30">
        <v>2024</v>
      </c>
      <c r="B2472" s="30" t="s">
        <v>8</v>
      </c>
      <c r="C2472" s="30" t="s">
        <v>46</v>
      </c>
      <c r="D2472" s="30" t="s">
        <v>47</v>
      </c>
      <c r="E2472" s="32" t="s">
        <v>539</v>
      </c>
      <c r="F2472" s="32" t="s">
        <v>57</v>
      </c>
      <c r="G2472" s="32" t="s">
        <v>50</v>
      </c>
      <c r="H2472" s="33">
        <v>6490</v>
      </c>
      <c r="I2472" s="34">
        <f>Table3[[#This Row],[Volume, kg.]]/1000</f>
        <v>6.49</v>
      </c>
      <c r="J2472" s="34">
        <v>0.27399999999999997</v>
      </c>
      <c r="K2472" s="34">
        <f t="shared" si="76"/>
        <v>1778.2599999999998</v>
      </c>
      <c r="L2472" s="34">
        <v>3.95</v>
      </c>
      <c r="M2472" s="34">
        <v>25635.5</v>
      </c>
      <c r="N2472" s="34">
        <f t="shared" si="77"/>
        <v>14.416058394160586</v>
      </c>
    </row>
    <row r="2473" spans="1:14" x14ac:dyDescent="0.45">
      <c r="A2473" s="30">
        <v>2024</v>
      </c>
      <c r="B2473" s="30" t="s">
        <v>8</v>
      </c>
      <c r="C2473" s="30" t="s">
        <v>46</v>
      </c>
      <c r="D2473" s="30" t="s">
        <v>47</v>
      </c>
      <c r="E2473" s="32" t="s">
        <v>558</v>
      </c>
      <c r="F2473" s="32" t="s">
        <v>49</v>
      </c>
      <c r="G2473" s="32" t="s">
        <v>50</v>
      </c>
      <c r="H2473" s="33">
        <v>31180</v>
      </c>
      <c r="I2473" s="34">
        <f>Table3[[#This Row],[Volume, kg.]]/1000</f>
        <v>31.18</v>
      </c>
      <c r="J2473" s="34">
        <v>0.2641</v>
      </c>
      <c r="K2473" s="34">
        <f t="shared" si="76"/>
        <v>8234.6380000000008</v>
      </c>
      <c r="L2473" s="34">
        <v>3.94</v>
      </c>
      <c r="M2473" s="34">
        <v>122722.5</v>
      </c>
      <c r="N2473" s="34">
        <f t="shared" si="77"/>
        <v>14.918591442635366</v>
      </c>
    </row>
    <row r="2474" spans="1:14" x14ac:dyDescent="0.45">
      <c r="A2474" s="30">
        <v>2024</v>
      </c>
      <c r="B2474" s="30" t="s">
        <v>8</v>
      </c>
      <c r="C2474" s="30" t="s">
        <v>46</v>
      </c>
      <c r="D2474" s="30" t="s">
        <v>47</v>
      </c>
      <c r="E2474" s="32" t="s">
        <v>585</v>
      </c>
      <c r="F2474" s="32" t="s">
        <v>49</v>
      </c>
      <c r="G2474" s="32" t="s">
        <v>50</v>
      </c>
      <c r="H2474" s="33">
        <v>10890</v>
      </c>
      <c r="I2474" s="34">
        <f>Table3[[#This Row],[Volume, kg.]]/1000</f>
        <v>10.89</v>
      </c>
      <c r="J2474" s="34">
        <v>0.24149999999999999</v>
      </c>
      <c r="K2474" s="34">
        <f t="shared" si="76"/>
        <v>2629.9349999999999</v>
      </c>
      <c r="L2474" s="34">
        <v>3.85</v>
      </c>
      <c r="M2474" s="34">
        <v>41926.5</v>
      </c>
      <c r="N2474" s="34">
        <f t="shared" si="77"/>
        <v>15.942028985507248</v>
      </c>
    </row>
    <row r="2475" spans="1:14" x14ac:dyDescent="0.45">
      <c r="A2475" s="30">
        <v>2024</v>
      </c>
      <c r="B2475" s="30" t="s">
        <v>8</v>
      </c>
      <c r="C2475" s="30" t="s">
        <v>46</v>
      </c>
      <c r="D2475" s="30" t="s">
        <v>47</v>
      </c>
      <c r="E2475" s="32" t="s">
        <v>586</v>
      </c>
      <c r="F2475" s="32" t="s">
        <v>64</v>
      </c>
      <c r="G2475" s="32" t="s">
        <v>50</v>
      </c>
      <c r="H2475" s="33">
        <v>174110</v>
      </c>
      <c r="I2475" s="34">
        <f>Table3[[#This Row],[Volume, kg.]]/1000</f>
        <v>174.11</v>
      </c>
      <c r="J2475" s="34">
        <v>0.28050000000000003</v>
      </c>
      <c r="K2475" s="34">
        <f t="shared" si="76"/>
        <v>48837.855000000003</v>
      </c>
      <c r="L2475" s="34">
        <v>3.98</v>
      </c>
      <c r="M2475" s="34">
        <v>692458</v>
      </c>
      <c r="N2475" s="34">
        <f t="shared" si="77"/>
        <v>14.188948306595364</v>
      </c>
    </row>
    <row r="2476" spans="1:14" x14ac:dyDescent="0.45">
      <c r="A2476" s="30">
        <v>2024</v>
      </c>
      <c r="B2476" s="30" t="s">
        <v>8</v>
      </c>
      <c r="C2476" s="30" t="s">
        <v>46</v>
      </c>
      <c r="D2476" s="30" t="s">
        <v>47</v>
      </c>
      <c r="E2476" s="32" t="s">
        <v>587</v>
      </c>
      <c r="F2476" s="32" t="s">
        <v>223</v>
      </c>
      <c r="G2476" s="32" t="s">
        <v>50</v>
      </c>
      <c r="H2476" s="33">
        <v>370640</v>
      </c>
      <c r="I2476" s="34">
        <f>Table3[[#This Row],[Volume, kg.]]/1000</f>
        <v>370.64</v>
      </c>
      <c r="J2476" s="34">
        <v>0.2969</v>
      </c>
      <c r="K2476" s="34">
        <f t="shared" si="76"/>
        <v>110043.016</v>
      </c>
      <c r="L2476" s="34">
        <v>4.08</v>
      </c>
      <c r="M2476" s="34">
        <v>1513164</v>
      </c>
      <c r="N2476" s="34">
        <f t="shared" si="77"/>
        <v>13.742000673627484</v>
      </c>
    </row>
    <row r="2477" spans="1:14" x14ac:dyDescent="0.45">
      <c r="A2477" s="30">
        <v>2024</v>
      </c>
      <c r="B2477" s="30" t="s">
        <v>8</v>
      </c>
      <c r="C2477" s="30" t="s">
        <v>46</v>
      </c>
      <c r="D2477" s="30" t="s">
        <v>47</v>
      </c>
      <c r="E2477" s="32" t="s">
        <v>588</v>
      </c>
      <c r="F2477" s="32" t="s">
        <v>223</v>
      </c>
      <c r="G2477" s="32" t="s">
        <v>50</v>
      </c>
      <c r="H2477" s="33">
        <v>84970</v>
      </c>
      <c r="I2477" s="34">
        <f>Table3[[#This Row],[Volume, kg.]]/1000</f>
        <v>84.97</v>
      </c>
      <c r="J2477" s="34">
        <v>0.31879999999999997</v>
      </c>
      <c r="K2477" s="34">
        <f t="shared" si="76"/>
        <v>27088.435999999998</v>
      </c>
      <c r="L2477" s="34">
        <v>4.1399999999999997</v>
      </c>
      <c r="M2477" s="34">
        <v>352176</v>
      </c>
      <c r="N2477" s="34">
        <f t="shared" si="77"/>
        <v>12.986198243412797</v>
      </c>
    </row>
    <row r="2478" spans="1:14" x14ac:dyDescent="0.45">
      <c r="A2478" s="30">
        <v>2024</v>
      </c>
      <c r="B2478" s="30" t="s">
        <v>8</v>
      </c>
      <c r="C2478" s="30" t="s">
        <v>46</v>
      </c>
      <c r="D2478" s="30" t="s">
        <v>47</v>
      </c>
      <c r="E2478" s="32" t="s">
        <v>589</v>
      </c>
      <c r="F2478" s="32" t="s">
        <v>81</v>
      </c>
      <c r="G2478" s="32" t="s">
        <v>50</v>
      </c>
      <c r="H2478" s="33">
        <v>8990</v>
      </c>
      <c r="I2478" s="34">
        <f>Table3[[#This Row],[Volume, kg.]]/1000</f>
        <v>8.99</v>
      </c>
      <c r="J2478" s="34">
        <v>0.254</v>
      </c>
      <c r="K2478" s="34">
        <f t="shared" si="76"/>
        <v>2283.46</v>
      </c>
      <c r="L2478" s="34">
        <v>3.85</v>
      </c>
      <c r="M2478" s="34">
        <v>34611.5</v>
      </c>
      <c r="N2478" s="34">
        <f t="shared" si="77"/>
        <v>15.15748031496063</v>
      </c>
    </row>
    <row r="2479" spans="1:14" x14ac:dyDescent="0.45">
      <c r="A2479" s="30">
        <v>2024</v>
      </c>
      <c r="B2479" s="30" t="s">
        <v>8</v>
      </c>
      <c r="C2479" s="30" t="s">
        <v>46</v>
      </c>
      <c r="D2479" s="30" t="s">
        <v>47</v>
      </c>
      <c r="E2479" s="32" t="s">
        <v>590</v>
      </c>
      <c r="F2479" s="32" t="s">
        <v>49</v>
      </c>
      <c r="G2479" s="32" t="s">
        <v>50</v>
      </c>
      <c r="H2479" s="33">
        <v>51560</v>
      </c>
      <c r="I2479" s="34">
        <f>Table3[[#This Row],[Volume, kg.]]/1000</f>
        <v>51.56</v>
      </c>
      <c r="J2479" s="34">
        <v>0.27729999999999999</v>
      </c>
      <c r="K2479" s="34">
        <f t="shared" si="76"/>
        <v>14297.588</v>
      </c>
      <c r="L2479" s="34">
        <v>3.94</v>
      </c>
      <c r="M2479" s="34">
        <v>203083</v>
      </c>
      <c r="N2479" s="34">
        <f t="shared" si="77"/>
        <v>14.2084385142445</v>
      </c>
    </row>
    <row r="2480" spans="1:14" x14ac:dyDescent="0.45">
      <c r="A2480" s="30">
        <v>2024</v>
      </c>
      <c r="B2480" s="30" t="s">
        <v>8</v>
      </c>
      <c r="C2480" s="30" t="s">
        <v>46</v>
      </c>
      <c r="D2480" s="30" t="s">
        <v>47</v>
      </c>
      <c r="E2480" s="32" t="s">
        <v>591</v>
      </c>
      <c r="F2480" s="32" t="s">
        <v>223</v>
      </c>
      <c r="G2480" s="32" t="s">
        <v>50</v>
      </c>
      <c r="H2480" s="33">
        <v>81190</v>
      </c>
      <c r="I2480" s="34">
        <f>Table3[[#This Row],[Volume, kg.]]/1000</f>
        <v>81.19</v>
      </c>
      <c r="J2480" s="34">
        <v>0.26219999999999999</v>
      </c>
      <c r="K2480" s="34">
        <f t="shared" si="76"/>
        <v>21288.018</v>
      </c>
      <c r="L2480" s="34">
        <v>3.86</v>
      </c>
      <c r="M2480" s="34">
        <v>313140.5</v>
      </c>
      <c r="N2480" s="34">
        <f t="shared" si="77"/>
        <v>14.721586575133486</v>
      </c>
    </row>
    <row r="2481" spans="1:14" x14ac:dyDescent="0.45">
      <c r="A2481" s="30">
        <v>2024</v>
      </c>
      <c r="B2481" s="30" t="s">
        <v>8</v>
      </c>
      <c r="C2481" s="30" t="s">
        <v>46</v>
      </c>
      <c r="D2481" s="30" t="s">
        <v>47</v>
      </c>
      <c r="E2481" s="32" t="s">
        <v>592</v>
      </c>
      <c r="F2481" s="32" t="s">
        <v>223</v>
      </c>
      <c r="G2481" s="32" t="s">
        <v>50</v>
      </c>
      <c r="H2481" s="33">
        <v>174910</v>
      </c>
      <c r="I2481" s="34">
        <f>Table3[[#This Row],[Volume, kg.]]/1000</f>
        <v>174.91</v>
      </c>
      <c r="J2481" s="34">
        <v>0.27339999999999998</v>
      </c>
      <c r="K2481" s="34">
        <f t="shared" si="76"/>
        <v>47820.393999999993</v>
      </c>
      <c r="L2481" s="34">
        <v>3.95</v>
      </c>
      <c r="M2481" s="34">
        <v>691338.5</v>
      </c>
      <c r="N2481" s="34">
        <f t="shared" si="77"/>
        <v>14.44769568397952</v>
      </c>
    </row>
    <row r="2482" spans="1:14" x14ac:dyDescent="0.45">
      <c r="A2482" s="30">
        <v>2024</v>
      </c>
      <c r="B2482" s="30" t="s">
        <v>8</v>
      </c>
      <c r="C2482" s="30" t="s">
        <v>46</v>
      </c>
      <c r="D2482" s="30" t="s">
        <v>47</v>
      </c>
      <c r="E2482" s="32" t="s">
        <v>593</v>
      </c>
      <c r="F2482" s="32" t="s">
        <v>49</v>
      </c>
      <c r="G2482" s="32" t="s">
        <v>50</v>
      </c>
      <c r="H2482" s="33">
        <v>30150</v>
      </c>
      <c r="I2482" s="34">
        <f>Table3[[#This Row],[Volume, kg.]]/1000</f>
        <v>30.15</v>
      </c>
      <c r="J2482" s="34">
        <v>0.28889999999999999</v>
      </c>
      <c r="K2482" s="34">
        <f t="shared" si="76"/>
        <v>8710.3349999999991</v>
      </c>
      <c r="L2482" s="34">
        <v>3.97</v>
      </c>
      <c r="M2482" s="34">
        <v>119836.5</v>
      </c>
      <c r="N2482" s="34">
        <f t="shared" si="77"/>
        <v>13.741779162339911</v>
      </c>
    </row>
    <row r="2483" spans="1:14" x14ac:dyDescent="0.45">
      <c r="A2483" s="30">
        <v>2024</v>
      </c>
      <c r="B2483" s="30" t="s">
        <v>8</v>
      </c>
      <c r="C2483" s="30" t="s">
        <v>46</v>
      </c>
      <c r="D2483" s="30" t="s">
        <v>47</v>
      </c>
      <c r="E2483" s="32" t="s">
        <v>594</v>
      </c>
      <c r="F2483" s="32" t="s">
        <v>223</v>
      </c>
      <c r="G2483" s="32" t="s">
        <v>50</v>
      </c>
      <c r="H2483" s="33">
        <v>66050</v>
      </c>
      <c r="I2483" s="34">
        <f>Table3[[#This Row],[Volume, kg.]]/1000</f>
        <v>66.05</v>
      </c>
      <c r="J2483" s="34">
        <v>0.32829999999999998</v>
      </c>
      <c r="K2483" s="34">
        <f t="shared" si="76"/>
        <v>21684.215</v>
      </c>
      <c r="L2483" s="34">
        <v>4.16</v>
      </c>
      <c r="M2483" s="34">
        <v>274955.5</v>
      </c>
      <c r="N2483" s="34">
        <f t="shared" si="77"/>
        <v>12.671337191593055</v>
      </c>
    </row>
    <row r="2484" spans="1:14" x14ac:dyDescent="0.45">
      <c r="A2484" s="30">
        <v>2024</v>
      </c>
      <c r="B2484" s="30" t="s">
        <v>8</v>
      </c>
      <c r="C2484" s="30" t="s">
        <v>46</v>
      </c>
      <c r="D2484" s="30" t="s">
        <v>47</v>
      </c>
      <c r="E2484" s="32" t="s">
        <v>595</v>
      </c>
      <c r="F2484" s="32" t="s">
        <v>64</v>
      </c>
      <c r="G2484" s="32" t="s">
        <v>50</v>
      </c>
      <c r="H2484" s="33">
        <v>18200</v>
      </c>
      <c r="I2484" s="34">
        <f>Table3[[#This Row],[Volume, kg.]]/1000</f>
        <v>18.2</v>
      </c>
      <c r="J2484" s="34">
        <v>0.26479999999999998</v>
      </c>
      <c r="K2484" s="34">
        <f t="shared" si="76"/>
        <v>4819.3599999999997</v>
      </c>
      <c r="L2484" s="34">
        <v>3.83</v>
      </c>
      <c r="M2484" s="34">
        <v>69636</v>
      </c>
      <c r="N2484" s="34">
        <f t="shared" si="77"/>
        <v>14.463746223564955</v>
      </c>
    </row>
    <row r="2485" spans="1:14" x14ac:dyDescent="0.45">
      <c r="A2485" s="30">
        <v>2024</v>
      </c>
      <c r="B2485" s="30" t="s">
        <v>9</v>
      </c>
      <c r="C2485" s="30" t="s">
        <v>46</v>
      </c>
      <c r="D2485" s="30" t="s">
        <v>102</v>
      </c>
      <c r="E2485" s="32" t="s">
        <v>239</v>
      </c>
      <c r="F2485" s="32" t="s">
        <v>240</v>
      </c>
      <c r="G2485" s="32" t="s">
        <v>50</v>
      </c>
      <c r="H2485" s="33">
        <v>85370</v>
      </c>
      <c r="I2485" s="34">
        <f>Table3[[#This Row],[Volume, kg.]]/1000</f>
        <v>85.37</v>
      </c>
      <c r="J2485" s="34">
        <v>0.2928</v>
      </c>
      <c r="K2485" s="34">
        <f t="shared" si="76"/>
        <v>24996.335999999999</v>
      </c>
      <c r="L2485" s="34">
        <v>3.98</v>
      </c>
      <c r="M2485" s="34">
        <v>339933.5</v>
      </c>
      <c r="N2485" s="34">
        <f t="shared" si="77"/>
        <v>13.592896174863387</v>
      </c>
    </row>
    <row r="2486" spans="1:14" x14ac:dyDescent="0.45">
      <c r="A2486" s="30">
        <v>2024</v>
      </c>
      <c r="B2486" s="30" t="s">
        <v>9</v>
      </c>
      <c r="C2486" s="30" t="s">
        <v>46</v>
      </c>
      <c r="D2486" s="30" t="s">
        <v>47</v>
      </c>
      <c r="E2486" s="32" t="s">
        <v>596</v>
      </c>
      <c r="F2486" s="32" t="s">
        <v>49</v>
      </c>
      <c r="G2486" s="32" t="s">
        <v>50</v>
      </c>
      <c r="H2486" s="33">
        <v>4400</v>
      </c>
      <c r="I2486" s="34">
        <f>Table3[[#This Row],[Volume, kg.]]/1000</f>
        <v>4.4000000000000004</v>
      </c>
      <c r="J2486" s="34">
        <v>0.26550000000000001</v>
      </c>
      <c r="K2486" s="34">
        <f t="shared" si="76"/>
        <v>1168.2</v>
      </c>
      <c r="L2486" s="34">
        <v>3.85</v>
      </c>
      <c r="M2486" s="34">
        <v>16940</v>
      </c>
      <c r="N2486" s="34">
        <f t="shared" si="77"/>
        <v>14.500941619585687</v>
      </c>
    </row>
    <row r="2487" spans="1:14" x14ac:dyDescent="0.45">
      <c r="A2487" s="30">
        <v>2024</v>
      </c>
      <c r="B2487" s="30" t="s">
        <v>9</v>
      </c>
      <c r="C2487" s="30" t="s">
        <v>46</v>
      </c>
      <c r="D2487" s="30" t="s">
        <v>47</v>
      </c>
      <c r="E2487" s="32" t="s">
        <v>138</v>
      </c>
      <c r="F2487" s="32" t="s">
        <v>49</v>
      </c>
      <c r="G2487" s="32" t="s">
        <v>50</v>
      </c>
      <c r="H2487" s="33">
        <v>12660</v>
      </c>
      <c r="I2487" s="34">
        <f>Table3[[#This Row],[Volume, kg.]]/1000</f>
        <v>12.66</v>
      </c>
      <c r="J2487" s="34">
        <v>0.28050000000000003</v>
      </c>
      <c r="K2487" s="34">
        <f t="shared" si="76"/>
        <v>3551.1300000000006</v>
      </c>
      <c r="L2487" s="34">
        <v>3.85</v>
      </c>
      <c r="M2487" s="34">
        <v>48741</v>
      </c>
      <c r="N2487" s="34">
        <f t="shared" si="77"/>
        <v>13.725490196078431</v>
      </c>
    </row>
    <row r="2488" spans="1:14" x14ac:dyDescent="0.45">
      <c r="A2488" s="30">
        <v>2024</v>
      </c>
      <c r="B2488" s="30" t="s">
        <v>9</v>
      </c>
      <c r="C2488" s="30" t="s">
        <v>46</v>
      </c>
      <c r="D2488" s="30" t="s">
        <v>47</v>
      </c>
      <c r="E2488" s="32" t="s">
        <v>232</v>
      </c>
      <c r="F2488" s="32" t="s">
        <v>49</v>
      </c>
      <c r="G2488" s="32" t="s">
        <v>50</v>
      </c>
      <c r="H2488" s="33">
        <v>37360</v>
      </c>
      <c r="I2488" s="34">
        <f>Table3[[#This Row],[Volume, kg.]]/1000</f>
        <v>37.36</v>
      </c>
      <c r="J2488" s="34">
        <v>0.28360000000000002</v>
      </c>
      <c r="K2488" s="34">
        <f t="shared" si="76"/>
        <v>10595.296</v>
      </c>
      <c r="L2488" s="34">
        <v>3.88</v>
      </c>
      <c r="M2488" s="34">
        <v>144966</v>
      </c>
      <c r="N2488" s="34">
        <f t="shared" si="77"/>
        <v>13.681241184767277</v>
      </c>
    </row>
    <row r="2489" spans="1:14" x14ac:dyDescent="0.45">
      <c r="A2489" s="30">
        <v>2024</v>
      </c>
      <c r="B2489" s="30" t="s">
        <v>9</v>
      </c>
      <c r="C2489" s="30" t="s">
        <v>46</v>
      </c>
      <c r="D2489" s="30" t="s">
        <v>47</v>
      </c>
      <c r="E2489" s="32" t="s">
        <v>69</v>
      </c>
      <c r="F2489" s="32" t="s">
        <v>49</v>
      </c>
      <c r="G2489" s="32" t="s">
        <v>50</v>
      </c>
      <c r="H2489" s="33">
        <v>59190</v>
      </c>
      <c r="I2489" s="34">
        <f>Table3[[#This Row],[Volume, kg.]]/1000</f>
        <v>59.19</v>
      </c>
      <c r="J2489" s="34">
        <v>0.25750000000000001</v>
      </c>
      <c r="K2489" s="34">
        <f t="shared" si="76"/>
        <v>15241.425000000001</v>
      </c>
      <c r="L2489" s="34">
        <v>3.79</v>
      </c>
      <c r="M2489" s="34">
        <v>224292.5</v>
      </c>
      <c r="N2489" s="34">
        <f t="shared" si="77"/>
        <v>14.718446601941748</v>
      </c>
    </row>
    <row r="2490" spans="1:14" x14ac:dyDescent="0.45">
      <c r="A2490" s="30">
        <v>2024</v>
      </c>
      <c r="B2490" s="30" t="s">
        <v>9</v>
      </c>
      <c r="C2490" s="30" t="s">
        <v>46</v>
      </c>
      <c r="D2490" s="30" t="s">
        <v>47</v>
      </c>
      <c r="E2490" s="32" t="s">
        <v>264</v>
      </c>
      <c r="F2490" s="32" t="s">
        <v>49</v>
      </c>
      <c r="G2490" s="32" t="s">
        <v>50</v>
      </c>
      <c r="H2490" s="33">
        <v>21010</v>
      </c>
      <c r="I2490" s="34">
        <f>Table3[[#This Row],[Volume, kg.]]/1000</f>
        <v>21.01</v>
      </c>
      <c r="J2490" s="34">
        <v>0.28539999999999999</v>
      </c>
      <c r="K2490" s="34">
        <f t="shared" si="76"/>
        <v>5996.2539999999999</v>
      </c>
      <c r="L2490" s="34">
        <v>3.93</v>
      </c>
      <c r="M2490" s="34">
        <v>82520.5</v>
      </c>
      <c r="N2490" s="34">
        <f t="shared" si="77"/>
        <v>13.770147161878066</v>
      </c>
    </row>
    <row r="2491" spans="1:14" x14ac:dyDescent="0.45">
      <c r="A2491" s="30">
        <v>2024</v>
      </c>
      <c r="B2491" s="30" t="s">
        <v>9</v>
      </c>
      <c r="C2491" s="30" t="s">
        <v>46</v>
      </c>
      <c r="D2491" s="30" t="s">
        <v>47</v>
      </c>
      <c r="E2491" s="32" t="s">
        <v>150</v>
      </c>
      <c r="F2491" s="32" t="s">
        <v>49</v>
      </c>
      <c r="G2491" s="32" t="s">
        <v>50</v>
      </c>
      <c r="H2491" s="33">
        <v>32100</v>
      </c>
      <c r="I2491" s="34">
        <f>Table3[[#This Row],[Volume, kg.]]/1000</f>
        <v>32.1</v>
      </c>
      <c r="J2491" s="34">
        <v>0.29070000000000001</v>
      </c>
      <c r="K2491" s="34">
        <f t="shared" si="76"/>
        <v>9331.4700000000012</v>
      </c>
      <c r="L2491" s="34">
        <v>3.97</v>
      </c>
      <c r="M2491" s="34">
        <v>127453.5</v>
      </c>
      <c r="N2491" s="34">
        <f t="shared" si="77"/>
        <v>13.656690746474029</v>
      </c>
    </row>
    <row r="2492" spans="1:14" x14ac:dyDescent="0.45">
      <c r="A2492" s="30">
        <v>2024</v>
      </c>
      <c r="B2492" s="30" t="s">
        <v>9</v>
      </c>
      <c r="C2492" s="30" t="s">
        <v>46</v>
      </c>
      <c r="D2492" s="30" t="s">
        <v>47</v>
      </c>
      <c r="E2492" s="32" t="s">
        <v>196</v>
      </c>
      <c r="F2492" s="32" t="s">
        <v>57</v>
      </c>
      <c r="G2492" s="32" t="s">
        <v>50</v>
      </c>
      <c r="H2492" s="33">
        <v>12410</v>
      </c>
      <c r="I2492" s="34">
        <f>Table3[[#This Row],[Volume, kg.]]/1000</f>
        <v>12.41</v>
      </c>
      <c r="J2492" s="34">
        <v>0.26250000000000001</v>
      </c>
      <c r="K2492" s="34">
        <f t="shared" si="76"/>
        <v>3257.625</v>
      </c>
      <c r="L2492" s="34">
        <v>3.78</v>
      </c>
      <c r="M2492" s="34">
        <v>46894</v>
      </c>
      <c r="N2492" s="34">
        <f t="shared" si="77"/>
        <v>14.399999999999999</v>
      </c>
    </row>
    <row r="2493" spans="1:14" x14ac:dyDescent="0.45">
      <c r="A2493" s="30">
        <v>2024</v>
      </c>
      <c r="B2493" s="30" t="s">
        <v>9</v>
      </c>
      <c r="C2493" s="30" t="s">
        <v>46</v>
      </c>
      <c r="D2493" s="30" t="s">
        <v>47</v>
      </c>
      <c r="E2493" s="32" t="s">
        <v>327</v>
      </c>
      <c r="F2493" s="32" t="s">
        <v>49</v>
      </c>
      <c r="G2493" s="32" t="s">
        <v>50</v>
      </c>
      <c r="H2493" s="33">
        <v>17270</v>
      </c>
      <c r="I2493" s="34">
        <f>Table3[[#This Row],[Volume, kg.]]/1000</f>
        <v>17.27</v>
      </c>
      <c r="J2493" s="34">
        <v>0.27839999999999998</v>
      </c>
      <c r="K2493" s="34">
        <f t="shared" si="76"/>
        <v>4807.9679999999998</v>
      </c>
      <c r="L2493" s="34">
        <v>3.9</v>
      </c>
      <c r="M2493" s="34">
        <v>67353</v>
      </c>
      <c r="N2493" s="34">
        <f t="shared" si="77"/>
        <v>14.008620689655173</v>
      </c>
    </row>
    <row r="2494" spans="1:14" x14ac:dyDescent="0.45">
      <c r="A2494" s="30">
        <v>2024</v>
      </c>
      <c r="B2494" s="30" t="s">
        <v>9</v>
      </c>
      <c r="C2494" s="30" t="s">
        <v>46</v>
      </c>
      <c r="D2494" s="30" t="s">
        <v>47</v>
      </c>
      <c r="E2494" s="32" t="s">
        <v>178</v>
      </c>
      <c r="F2494" s="32" t="s">
        <v>49</v>
      </c>
      <c r="G2494" s="32" t="s">
        <v>50</v>
      </c>
      <c r="H2494" s="33">
        <v>17780</v>
      </c>
      <c r="I2494" s="34">
        <f>Table3[[#This Row],[Volume, kg.]]/1000</f>
        <v>17.78</v>
      </c>
      <c r="J2494" s="34">
        <v>0.28399999999999997</v>
      </c>
      <c r="K2494" s="34">
        <f t="shared" si="76"/>
        <v>5049.5199999999995</v>
      </c>
      <c r="L2494" s="34">
        <v>3.92</v>
      </c>
      <c r="M2494" s="34">
        <v>69732.5</v>
      </c>
      <c r="N2494" s="34">
        <f t="shared" si="77"/>
        <v>13.802816901408452</v>
      </c>
    </row>
    <row r="2495" spans="1:14" x14ac:dyDescent="0.45">
      <c r="A2495" s="30">
        <v>2024</v>
      </c>
      <c r="B2495" s="30" t="s">
        <v>9</v>
      </c>
      <c r="C2495" s="30" t="s">
        <v>46</v>
      </c>
      <c r="D2495" s="30" t="s">
        <v>47</v>
      </c>
      <c r="E2495" s="32" t="s">
        <v>48</v>
      </c>
      <c r="F2495" s="32" t="s">
        <v>49</v>
      </c>
      <c r="G2495" s="32" t="s">
        <v>50</v>
      </c>
      <c r="H2495" s="33">
        <v>35130</v>
      </c>
      <c r="I2495" s="34">
        <f>Table3[[#This Row],[Volume, kg.]]/1000</f>
        <v>35.130000000000003</v>
      </c>
      <c r="J2495" s="34">
        <v>0.27589999999999998</v>
      </c>
      <c r="K2495" s="34">
        <f t="shared" si="76"/>
        <v>9692.3669999999984</v>
      </c>
      <c r="L2495" s="34">
        <v>3.87</v>
      </c>
      <c r="M2495" s="34">
        <v>136048</v>
      </c>
      <c r="N2495" s="34">
        <f t="shared" si="77"/>
        <v>14.026821312069591</v>
      </c>
    </row>
    <row r="2496" spans="1:14" x14ac:dyDescent="0.45">
      <c r="A2496" s="30">
        <v>2024</v>
      </c>
      <c r="B2496" s="30" t="s">
        <v>9</v>
      </c>
      <c r="C2496" s="30" t="s">
        <v>46</v>
      </c>
      <c r="D2496" s="30" t="s">
        <v>47</v>
      </c>
      <c r="E2496" s="32" t="s">
        <v>246</v>
      </c>
      <c r="F2496" s="32" t="s">
        <v>49</v>
      </c>
      <c r="G2496" s="32" t="s">
        <v>50</v>
      </c>
      <c r="H2496" s="33">
        <v>17310</v>
      </c>
      <c r="I2496" s="34">
        <f>Table3[[#This Row],[Volume, kg.]]/1000</f>
        <v>17.309999999999999</v>
      </c>
      <c r="J2496" s="34">
        <v>0.2863</v>
      </c>
      <c r="K2496" s="34">
        <f t="shared" si="76"/>
        <v>4955.8530000000001</v>
      </c>
      <c r="L2496" s="34">
        <v>3.94</v>
      </c>
      <c r="M2496" s="34">
        <v>68249.5</v>
      </c>
      <c r="N2496" s="34">
        <f t="shared" si="77"/>
        <v>13.761788333915472</v>
      </c>
    </row>
    <row r="2497" spans="1:14" x14ac:dyDescent="0.45">
      <c r="A2497" s="30">
        <v>2024</v>
      </c>
      <c r="B2497" s="30" t="s">
        <v>9</v>
      </c>
      <c r="C2497" s="30" t="s">
        <v>46</v>
      </c>
      <c r="D2497" s="30" t="s">
        <v>47</v>
      </c>
      <c r="E2497" s="32" t="s">
        <v>208</v>
      </c>
      <c r="F2497" s="32" t="s">
        <v>49</v>
      </c>
      <c r="G2497" s="32" t="s">
        <v>50</v>
      </c>
      <c r="H2497" s="33">
        <v>97040</v>
      </c>
      <c r="I2497" s="34">
        <f>Table3[[#This Row],[Volume, kg.]]/1000</f>
        <v>97.04</v>
      </c>
      <c r="J2497" s="34">
        <v>0.27089999999999997</v>
      </c>
      <c r="K2497" s="34">
        <f t="shared" si="76"/>
        <v>26288.135999999999</v>
      </c>
      <c r="L2497" s="34">
        <v>3.83</v>
      </c>
      <c r="M2497" s="34">
        <v>371405.5</v>
      </c>
      <c r="N2497" s="34">
        <f t="shared" si="77"/>
        <v>14.138058324104838</v>
      </c>
    </row>
    <row r="2498" spans="1:14" x14ac:dyDescent="0.45">
      <c r="A2498" s="30">
        <v>2024</v>
      </c>
      <c r="B2498" s="30" t="s">
        <v>9</v>
      </c>
      <c r="C2498" s="30" t="s">
        <v>46</v>
      </c>
      <c r="D2498" s="30" t="s">
        <v>47</v>
      </c>
      <c r="E2498" s="32" t="s">
        <v>185</v>
      </c>
      <c r="F2498" s="32" t="s">
        <v>57</v>
      </c>
      <c r="G2498" s="32" t="s">
        <v>50</v>
      </c>
      <c r="H2498" s="33">
        <v>13580</v>
      </c>
      <c r="I2498" s="34">
        <f>Table3[[#This Row],[Volume, kg.]]/1000</f>
        <v>13.58</v>
      </c>
      <c r="J2498" s="34">
        <v>0.24179999999999999</v>
      </c>
      <c r="K2498" s="34">
        <f t="shared" si="76"/>
        <v>3283.6439999999998</v>
      </c>
      <c r="L2498" s="34">
        <v>3.68</v>
      </c>
      <c r="M2498" s="34">
        <v>49971</v>
      </c>
      <c r="N2498" s="34">
        <f t="shared" si="77"/>
        <v>15.219189412737801</v>
      </c>
    </row>
    <row r="2499" spans="1:14" x14ac:dyDescent="0.45">
      <c r="A2499" s="30">
        <v>2024</v>
      </c>
      <c r="B2499" s="30" t="s">
        <v>9</v>
      </c>
      <c r="C2499" s="30" t="s">
        <v>46</v>
      </c>
      <c r="D2499" s="30" t="s">
        <v>47</v>
      </c>
      <c r="E2499" s="32" t="s">
        <v>99</v>
      </c>
      <c r="F2499" s="32" t="s">
        <v>49</v>
      </c>
      <c r="G2499" s="32" t="s">
        <v>50</v>
      </c>
      <c r="H2499" s="33">
        <v>3300</v>
      </c>
      <c r="I2499" s="34">
        <f>Table3[[#This Row],[Volume, kg.]]/1000</f>
        <v>3.3</v>
      </c>
      <c r="J2499" s="34">
        <v>0.28699999999999998</v>
      </c>
      <c r="K2499" s="34">
        <f t="shared" ref="K2499:K2562" si="78">H2499*J2499</f>
        <v>947.09999999999991</v>
      </c>
      <c r="L2499" s="34">
        <v>3.95</v>
      </c>
      <c r="M2499" s="34">
        <v>13035</v>
      </c>
      <c r="N2499" s="34">
        <f t="shared" si="77"/>
        <v>13.763066202090593</v>
      </c>
    </row>
    <row r="2500" spans="1:14" x14ac:dyDescent="0.45">
      <c r="A2500" s="30">
        <v>2024</v>
      </c>
      <c r="B2500" s="30" t="s">
        <v>9</v>
      </c>
      <c r="C2500" s="30" t="s">
        <v>46</v>
      </c>
      <c r="D2500" s="30" t="s">
        <v>47</v>
      </c>
      <c r="E2500" s="32" t="s">
        <v>165</v>
      </c>
      <c r="F2500" s="32" t="s">
        <v>57</v>
      </c>
      <c r="G2500" s="32" t="s">
        <v>50</v>
      </c>
      <c r="H2500" s="33">
        <v>28220</v>
      </c>
      <c r="I2500" s="34">
        <f>Table3[[#This Row],[Volume, kg.]]/1000</f>
        <v>28.22</v>
      </c>
      <c r="J2500" s="34">
        <v>0.30549999999999999</v>
      </c>
      <c r="K2500" s="34">
        <f t="shared" si="78"/>
        <v>8621.2099999999991</v>
      </c>
      <c r="L2500" s="34">
        <v>4.04</v>
      </c>
      <c r="M2500" s="34">
        <v>113916.5</v>
      </c>
      <c r="N2500" s="34">
        <f t="shared" ref="N2500:N2563" si="79">L2500/J2500</f>
        <v>13.224222585924714</v>
      </c>
    </row>
    <row r="2501" spans="1:14" x14ac:dyDescent="0.45">
      <c r="A2501" s="30">
        <v>2024</v>
      </c>
      <c r="B2501" s="30" t="s">
        <v>9</v>
      </c>
      <c r="C2501" s="30" t="s">
        <v>46</v>
      </c>
      <c r="D2501" s="30" t="s">
        <v>47</v>
      </c>
      <c r="E2501" s="32" t="s">
        <v>226</v>
      </c>
      <c r="F2501" s="32" t="s">
        <v>60</v>
      </c>
      <c r="G2501" s="32" t="s">
        <v>50</v>
      </c>
      <c r="H2501" s="33">
        <v>1790</v>
      </c>
      <c r="I2501" s="34">
        <f>Table3[[#This Row],[Volume, kg.]]/1000</f>
        <v>1.79</v>
      </c>
      <c r="J2501" s="34">
        <v>0.2475</v>
      </c>
      <c r="K2501" s="34">
        <f t="shared" si="78"/>
        <v>443.02499999999998</v>
      </c>
      <c r="L2501" s="34">
        <v>3.75</v>
      </c>
      <c r="M2501" s="34">
        <v>6712.5</v>
      </c>
      <c r="N2501" s="34">
        <f t="shared" si="79"/>
        <v>15.151515151515152</v>
      </c>
    </row>
    <row r="2502" spans="1:14" x14ac:dyDescent="0.45">
      <c r="A2502" s="30">
        <v>2024</v>
      </c>
      <c r="B2502" s="30" t="s">
        <v>9</v>
      </c>
      <c r="C2502" s="30" t="s">
        <v>46</v>
      </c>
      <c r="D2502" s="30" t="s">
        <v>47</v>
      </c>
      <c r="E2502" s="32" t="s">
        <v>182</v>
      </c>
      <c r="F2502" s="32" t="s">
        <v>81</v>
      </c>
      <c r="G2502" s="32" t="s">
        <v>50</v>
      </c>
      <c r="H2502" s="33">
        <v>11800</v>
      </c>
      <c r="I2502" s="34">
        <f>Table3[[#This Row],[Volume, kg.]]/1000</f>
        <v>11.8</v>
      </c>
      <c r="J2502" s="34">
        <v>0.312</v>
      </c>
      <c r="K2502" s="34">
        <f t="shared" si="78"/>
        <v>3681.6</v>
      </c>
      <c r="L2502" s="34">
        <v>4.05</v>
      </c>
      <c r="M2502" s="34">
        <v>47790</v>
      </c>
      <c r="N2502" s="34">
        <f t="shared" si="79"/>
        <v>12.98076923076923</v>
      </c>
    </row>
    <row r="2503" spans="1:14" x14ac:dyDescent="0.45">
      <c r="A2503" s="30">
        <v>2024</v>
      </c>
      <c r="B2503" s="30" t="s">
        <v>9</v>
      </c>
      <c r="C2503" s="30" t="s">
        <v>46</v>
      </c>
      <c r="D2503" s="30" t="s">
        <v>47</v>
      </c>
      <c r="E2503" s="32" t="s">
        <v>73</v>
      </c>
      <c r="F2503" s="32" t="s">
        <v>49</v>
      </c>
      <c r="G2503" s="32" t="s">
        <v>50</v>
      </c>
      <c r="H2503" s="33">
        <v>14760</v>
      </c>
      <c r="I2503" s="34">
        <f>Table3[[#This Row],[Volume, kg.]]/1000</f>
        <v>14.76</v>
      </c>
      <c r="J2503" s="34">
        <v>0.27710000000000001</v>
      </c>
      <c r="K2503" s="34">
        <f t="shared" si="78"/>
        <v>4089.9960000000001</v>
      </c>
      <c r="L2503" s="34">
        <v>3.84</v>
      </c>
      <c r="M2503" s="34">
        <v>56608</v>
      </c>
      <c r="N2503" s="34">
        <f t="shared" si="79"/>
        <v>13.857813063875856</v>
      </c>
    </row>
    <row r="2504" spans="1:14" x14ac:dyDescent="0.45">
      <c r="A2504" s="30">
        <v>2024</v>
      </c>
      <c r="B2504" s="30" t="s">
        <v>9</v>
      </c>
      <c r="C2504" s="30" t="s">
        <v>46</v>
      </c>
      <c r="D2504" s="30" t="s">
        <v>47</v>
      </c>
      <c r="E2504" s="32" t="s">
        <v>65</v>
      </c>
      <c r="F2504" s="32" t="s">
        <v>49</v>
      </c>
      <c r="G2504" s="32" t="s">
        <v>50</v>
      </c>
      <c r="H2504" s="33">
        <v>6250</v>
      </c>
      <c r="I2504" s="34">
        <f>Table3[[#This Row],[Volume, kg.]]/1000</f>
        <v>6.25</v>
      </c>
      <c r="J2504" s="34">
        <v>0.29849999999999999</v>
      </c>
      <c r="K2504" s="34">
        <f t="shared" si="78"/>
        <v>1865.625</v>
      </c>
      <c r="L2504" s="34">
        <v>4</v>
      </c>
      <c r="M2504" s="34">
        <v>25000</v>
      </c>
      <c r="N2504" s="34">
        <f t="shared" si="79"/>
        <v>13.40033500837521</v>
      </c>
    </row>
    <row r="2505" spans="1:14" x14ac:dyDescent="0.45">
      <c r="A2505" s="30">
        <v>2024</v>
      </c>
      <c r="B2505" s="30" t="s">
        <v>9</v>
      </c>
      <c r="C2505" s="30" t="s">
        <v>46</v>
      </c>
      <c r="D2505" s="30" t="s">
        <v>47</v>
      </c>
      <c r="E2505" s="32" t="s">
        <v>245</v>
      </c>
      <c r="F2505" s="32" t="s">
        <v>57</v>
      </c>
      <c r="G2505" s="32" t="s">
        <v>50</v>
      </c>
      <c r="H2505" s="33">
        <v>9470</v>
      </c>
      <c r="I2505" s="34">
        <f>Table3[[#This Row],[Volume, kg.]]/1000</f>
        <v>9.4700000000000006</v>
      </c>
      <c r="J2505" s="34">
        <v>0.30299999999999999</v>
      </c>
      <c r="K2505" s="34">
        <f t="shared" si="78"/>
        <v>2869.41</v>
      </c>
      <c r="L2505" s="34">
        <v>4</v>
      </c>
      <c r="M2505" s="34">
        <v>37880</v>
      </c>
      <c r="N2505" s="34">
        <f t="shared" si="79"/>
        <v>13.201320132013201</v>
      </c>
    </row>
    <row r="2506" spans="1:14" x14ac:dyDescent="0.45">
      <c r="A2506" s="30">
        <v>2024</v>
      </c>
      <c r="B2506" s="30" t="s">
        <v>9</v>
      </c>
      <c r="C2506" s="30" t="s">
        <v>46</v>
      </c>
      <c r="D2506" s="30" t="s">
        <v>47</v>
      </c>
      <c r="E2506" s="32" t="s">
        <v>303</v>
      </c>
      <c r="F2506" s="32" t="s">
        <v>57</v>
      </c>
      <c r="G2506" s="32" t="s">
        <v>50</v>
      </c>
      <c r="H2506" s="33">
        <v>32750</v>
      </c>
      <c r="I2506" s="34">
        <f>Table3[[#This Row],[Volume, kg.]]/1000</f>
        <v>32.75</v>
      </c>
      <c r="J2506" s="34">
        <v>0.30120000000000002</v>
      </c>
      <c r="K2506" s="34">
        <f t="shared" si="78"/>
        <v>9864.3000000000011</v>
      </c>
      <c r="L2506" s="34">
        <v>4.01</v>
      </c>
      <c r="M2506" s="34">
        <v>131356.5</v>
      </c>
      <c r="N2506" s="34">
        <f t="shared" si="79"/>
        <v>13.313413014608232</v>
      </c>
    </row>
    <row r="2507" spans="1:14" x14ac:dyDescent="0.45">
      <c r="A2507" s="30">
        <v>2024</v>
      </c>
      <c r="B2507" s="30" t="s">
        <v>9</v>
      </c>
      <c r="C2507" s="30" t="s">
        <v>46</v>
      </c>
      <c r="D2507" s="30" t="s">
        <v>47</v>
      </c>
      <c r="E2507" s="32" t="s">
        <v>163</v>
      </c>
      <c r="F2507" s="32" t="s">
        <v>60</v>
      </c>
      <c r="G2507" s="32" t="s">
        <v>50</v>
      </c>
      <c r="H2507" s="33">
        <v>33060</v>
      </c>
      <c r="I2507" s="34">
        <f>Table3[[#This Row],[Volume, kg.]]/1000</f>
        <v>33.06</v>
      </c>
      <c r="J2507" s="34">
        <v>0.30680000000000002</v>
      </c>
      <c r="K2507" s="34">
        <f t="shared" si="78"/>
        <v>10142.808000000001</v>
      </c>
      <c r="L2507" s="34">
        <v>4.04</v>
      </c>
      <c r="M2507" s="34">
        <v>133609</v>
      </c>
      <c r="N2507" s="34">
        <f t="shared" si="79"/>
        <v>13.16818774445893</v>
      </c>
    </row>
    <row r="2508" spans="1:14" x14ac:dyDescent="0.45">
      <c r="A2508" s="30">
        <v>2024</v>
      </c>
      <c r="B2508" s="30" t="s">
        <v>9</v>
      </c>
      <c r="C2508" s="30" t="s">
        <v>46</v>
      </c>
      <c r="D2508" s="30" t="s">
        <v>47</v>
      </c>
      <c r="E2508" s="32" t="s">
        <v>229</v>
      </c>
      <c r="F2508" s="32" t="s">
        <v>57</v>
      </c>
      <c r="G2508" s="32" t="s">
        <v>50</v>
      </c>
      <c r="H2508" s="33">
        <v>4930</v>
      </c>
      <c r="I2508" s="34">
        <f>Table3[[#This Row],[Volume, kg.]]/1000</f>
        <v>4.93</v>
      </c>
      <c r="J2508" s="34">
        <v>0.26300000000000001</v>
      </c>
      <c r="K2508" s="34">
        <f t="shared" si="78"/>
        <v>1296.5900000000001</v>
      </c>
      <c r="L2508" s="34">
        <v>3.8</v>
      </c>
      <c r="M2508" s="34">
        <v>18734</v>
      </c>
      <c r="N2508" s="34">
        <f t="shared" si="79"/>
        <v>14.448669201520911</v>
      </c>
    </row>
    <row r="2509" spans="1:14" x14ac:dyDescent="0.45">
      <c r="A2509" s="30">
        <v>2024</v>
      </c>
      <c r="B2509" s="30" t="s">
        <v>9</v>
      </c>
      <c r="C2509" s="30" t="s">
        <v>46</v>
      </c>
      <c r="D2509" s="30" t="s">
        <v>47</v>
      </c>
      <c r="E2509" s="32" t="s">
        <v>172</v>
      </c>
      <c r="F2509" s="32" t="s">
        <v>57</v>
      </c>
      <c r="G2509" s="32" t="s">
        <v>50</v>
      </c>
      <c r="H2509" s="33">
        <v>6880</v>
      </c>
      <c r="I2509" s="34">
        <f>Table3[[#This Row],[Volume, kg.]]/1000</f>
        <v>6.88</v>
      </c>
      <c r="J2509" s="34">
        <v>0.247</v>
      </c>
      <c r="K2509" s="34">
        <f t="shared" si="78"/>
        <v>1699.36</v>
      </c>
      <c r="L2509" s="34">
        <v>3.7</v>
      </c>
      <c r="M2509" s="34">
        <v>25456</v>
      </c>
      <c r="N2509" s="34">
        <f t="shared" si="79"/>
        <v>14.979757085020244</v>
      </c>
    </row>
    <row r="2510" spans="1:14" x14ac:dyDescent="0.45">
      <c r="A2510" s="30">
        <v>2024</v>
      </c>
      <c r="B2510" s="30" t="s">
        <v>9</v>
      </c>
      <c r="C2510" s="30" t="s">
        <v>46</v>
      </c>
      <c r="D2510" s="30" t="s">
        <v>47</v>
      </c>
      <c r="E2510" s="32" t="s">
        <v>302</v>
      </c>
      <c r="F2510" s="32" t="s">
        <v>49</v>
      </c>
      <c r="G2510" s="32" t="s">
        <v>50</v>
      </c>
      <c r="H2510" s="33">
        <v>17860</v>
      </c>
      <c r="I2510" s="34">
        <f>Table3[[#This Row],[Volume, kg.]]/1000</f>
        <v>17.86</v>
      </c>
      <c r="J2510" s="34">
        <v>0.29420000000000002</v>
      </c>
      <c r="K2510" s="34">
        <f t="shared" si="78"/>
        <v>5254.4120000000003</v>
      </c>
      <c r="L2510" s="34">
        <v>3.98</v>
      </c>
      <c r="M2510" s="34">
        <v>71083.5</v>
      </c>
      <c r="N2510" s="34">
        <f t="shared" si="79"/>
        <v>13.528212100611828</v>
      </c>
    </row>
    <row r="2511" spans="1:14" x14ac:dyDescent="0.45">
      <c r="A2511" s="30">
        <v>2024</v>
      </c>
      <c r="B2511" s="30" t="s">
        <v>9</v>
      </c>
      <c r="C2511" s="30" t="s">
        <v>46</v>
      </c>
      <c r="D2511" s="30" t="s">
        <v>47</v>
      </c>
      <c r="E2511" s="32" t="s">
        <v>301</v>
      </c>
      <c r="F2511" s="32" t="s">
        <v>60</v>
      </c>
      <c r="G2511" s="32" t="s">
        <v>50</v>
      </c>
      <c r="H2511" s="33">
        <v>158250</v>
      </c>
      <c r="I2511" s="34">
        <f>Table3[[#This Row],[Volume, kg.]]/1000</f>
        <v>158.25</v>
      </c>
      <c r="J2511" s="34">
        <v>0.27800000000000002</v>
      </c>
      <c r="K2511" s="34">
        <f t="shared" si="78"/>
        <v>43993.500000000007</v>
      </c>
      <c r="L2511" s="34">
        <v>3.89</v>
      </c>
      <c r="M2511" s="34">
        <v>615792</v>
      </c>
      <c r="N2511" s="34">
        <f t="shared" si="79"/>
        <v>13.992805755395683</v>
      </c>
    </row>
    <row r="2512" spans="1:14" x14ac:dyDescent="0.45">
      <c r="A2512" s="30">
        <v>2024</v>
      </c>
      <c r="B2512" s="30" t="s">
        <v>9</v>
      </c>
      <c r="C2512" s="30" t="s">
        <v>46</v>
      </c>
      <c r="D2512" s="30" t="s">
        <v>47</v>
      </c>
      <c r="E2512" s="32" t="s">
        <v>423</v>
      </c>
      <c r="F2512" s="32" t="s">
        <v>49</v>
      </c>
      <c r="G2512" s="32" t="s">
        <v>50</v>
      </c>
      <c r="H2512" s="33">
        <v>23200</v>
      </c>
      <c r="I2512" s="34">
        <f>Table3[[#This Row],[Volume, kg.]]/1000</f>
        <v>23.2</v>
      </c>
      <c r="J2512" s="34">
        <v>0.26899999999999996</v>
      </c>
      <c r="K2512" s="34">
        <f t="shared" si="78"/>
        <v>6240.7999999999993</v>
      </c>
      <c r="L2512" s="34">
        <v>3.8</v>
      </c>
      <c r="M2512" s="34">
        <v>88209</v>
      </c>
      <c r="N2512" s="34">
        <f t="shared" si="79"/>
        <v>14.126394052044612</v>
      </c>
    </row>
    <row r="2513" spans="1:14" x14ac:dyDescent="0.45">
      <c r="A2513" s="30">
        <v>2024</v>
      </c>
      <c r="B2513" s="30" t="s">
        <v>9</v>
      </c>
      <c r="C2513" s="30" t="s">
        <v>46</v>
      </c>
      <c r="D2513" s="30" t="s">
        <v>47</v>
      </c>
      <c r="E2513" s="32" t="s">
        <v>174</v>
      </c>
      <c r="F2513" s="32" t="s">
        <v>57</v>
      </c>
      <c r="G2513" s="32" t="s">
        <v>50</v>
      </c>
      <c r="H2513" s="33">
        <v>12090</v>
      </c>
      <c r="I2513" s="34">
        <f>Table3[[#This Row],[Volume, kg.]]/1000</f>
        <v>12.09</v>
      </c>
      <c r="J2513" s="34">
        <v>0.26690000000000003</v>
      </c>
      <c r="K2513" s="34">
        <f t="shared" si="78"/>
        <v>3226.8210000000004</v>
      </c>
      <c r="L2513" s="34">
        <v>3.84</v>
      </c>
      <c r="M2513" s="34">
        <v>46423</v>
      </c>
      <c r="N2513" s="34">
        <f t="shared" si="79"/>
        <v>14.387411015361558</v>
      </c>
    </row>
    <row r="2514" spans="1:14" x14ac:dyDescent="0.45">
      <c r="A2514" s="30">
        <v>2024</v>
      </c>
      <c r="B2514" s="30" t="s">
        <v>9</v>
      </c>
      <c r="C2514" s="30" t="s">
        <v>46</v>
      </c>
      <c r="D2514" s="30" t="s">
        <v>47</v>
      </c>
      <c r="E2514" s="32" t="s">
        <v>325</v>
      </c>
      <c r="F2514" s="32" t="s">
        <v>60</v>
      </c>
      <c r="G2514" s="32" t="s">
        <v>50</v>
      </c>
      <c r="H2514" s="33">
        <v>29120</v>
      </c>
      <c r="I2514" s="34">
        <f>Table3[[#This Row],[Volume, kg.]]/1000</f>
        <v>29.12</v>
      </c>
      <c r="J2514" s="34">
        <v>0.29339999999999999</v>
      </c>
      <c r="K2514" s="34">
        <f t="shared" si="78"/>
        <v>8543.8079999999991</v>
      </c>
      <c r="L2514" s="34">
        <v>3.98</v>
      </c>
      <c r="M2514" s="34">
        <v>115982.5</v>
      </c>
      <c r="N2514" s="34">
        <f t="shared" si="79"/>
        <v>13.56509884117246</v>
      </c>
    </row>
    <row r="2515" spans="1:14" x14ac:dyDescent="0.45">
      <c r="A2515" s="30">
        <v>2024</v>
      </c>
      <c r="B2515" s="30" t="s">
        <v>9</v>
      </c>
      <c r="C2515" s="30" t="s">
        <v>46</v>
      </c>
      <c r="D2515" s="30" t="s">
        <v>47</v>
      </c>
      <c r="E2515" s="32" t="s">
        <v>51</v>
      </c>
      <c r="F2515" s="32" t="s">
        <v>49</v>
      </c>
      <c r="G2515" s="32" t="s">
        <v>50</v>
      </c>
      <c r="H2515" s="33">
        <v>67630</v>
      </c>
      <c r="I2515" s="34">
        <f>Table3[[#This Row],[Volume, kg.]]/1000</f>
        <v>67.63</v>
      </c>
      <c r="J2515" s="34">
        <v>0.26219999999999999</v>
      </c>
      <c r="K2515" s="34">
        <f t="shared" si="78"/>
        <v>17732.585999999999</v>
      </c>
      <c r="L2515" s="34">
        <v>3.81</v>
      </c>
      <c r="M2515" s="34">
        <v>257757.5</v>
      </c>
      <c r="N2515" s="34">
        <f t="shared" si="79"/>
        <v>14.530892448512587</v>
      </c>
    </row>
    <row r="2516" spans="1:14" x14ac:dyDescent="0.45">
      <c r="A2516" s="30">
        <v>2024</v>
      </c>
      <c r="B2516" s="30" t="s">
        <v>9</v>
      </c>
      <c r="C2516" s="30" t="s">
        <v>46</v>
      </c>
      <c r="D2516" s="30" t="s">
        <v>47</v>
      </c>
      <c r="E2516" s="32" t="s">
        <v>179</v>
      </c>
      <c r="F2516" s="32" t="s">
        <v>60</v>
      </c>
      <c r="G2516" s="32" t="s">
        <v>50</v>
      </c>
      <c r="H2516" s="33">
        <v>27320</v>
      </c>
      <c r="I2516" s="34">
        <f>Table3[[#This Row],[Volume, kg.]]/1000</f>
        <v>27.32</v>
      </c>
      <c r="J2516" s="34">
        <v>0.29510000000000003</v>
      </c>
      <c r="K2516" s="34">
        <f t="shared" si="78"/>
        <v>8062.1320000000005</v>
      </c>
      <c r="L2516" s="34">
        <v>3.98</v>
      </c>
      <c r="M2516" s="34">
        <v>108849</v>
      </c>
      <c r="N2516" s="34">
        <f t="shared" si="79"/>
        <v>13.486953575059301</v>
      </c>
    </row>
    <row r="2517" spans="1:14" x14ac:dyDescent="0.45">
      <c r="A2517" s="30">
        <v>2024</v>
      </c>
      <c r="B2517" s="30" t="s">
        <v>9</v>
      </c>
      <c r="C2517" s="30" t="s">
        <v>46</v>
      </c>
      <c r="D2517" s="30" t="s">
        <v>47</v>
      </c>
      <c r="E2517" s="32" t="s">
        <v>84</v>
      </c>
      <c r="F2517" s="32" t="s">
        <v>57</v>
      </c>
      <c r="G2517" s="32" t="s">
        <v>50</v>
      </c>
      <c r="H2517" s="33">
        <v>14020</v>
      </c>
      <c r="I2517" s="34">
        <f>Table3[[#This Row],[Volume, kg.]]/1000</f>
        <v>14.02</v>
      </c>
      <c r="J2517" s="34">
        <v>0.3004</v>
      </c>
      <c r="K2517" s="34">
        <f t="shared" si="78"/>
        <v>4211.6080000000002</v>
      </c>
      <c r="L2517" s="34">
        <v>4</v>
      </c>
      <c r="M2517" s="34">
        <v>56080</v>
      </c>
      <c r="N2517" s="34">
        <f t="shared" si="79"/>
        <v>13.315579227696405</v>
      </c>
    </row>
    <row r="2518" spans="1:14" x14ac:dyDescent="0.45">
      <c r="A2518" s="30">
        <v>2024</v>
      </c>
      <c r="B2518" s="30" t="s">
        <v>9</v>
      </c>
      <c r="C2518" s="30" t="s">
        <v>46</v>
      </c>
      <c r="D2518" s="30" t="s">
        <v>47</v>
      </c>
      <c r="E2518" s="32" t="s">
        <v>258</v>
      </c>
      <c r="F2518" s="32" t="s">
        <v>49</v>
      </c>
      <c r="G2518" s="32" t="s">
        <v>50</v>
      </c>
      <c r="H2518" s="33">
        <v>342430</v>
      </c>
      <c r="I2518" s="34">
        <f>Table3[[#This Row],[Volume, kg.]]/1000</f>
        <v>342.43</v>
      </c>
      <c r="J2518" s="34">
        <v>0.27800000000000002</v>
      </c>
      <c r="K2518" s="34">
        <f t="shared" si="78"/>
        <v>95195.540000000008</v>
      </c>
      <c r="L2518" s="34">
        <v>3.89</v>
      </c>
      <c r="M2518" s="34">
        <v>1330970</v>
      </c>
      <c r="N2518" s="34">
        <f t="shared" si="79"/>
        <v>13.992805755395683</v>
      </c>
    </row>
    <row r="2519" spans="1:14" x14ac:dyDescent="0.45">
      <c r="A2519" s="30">
        <v>2024</v>
      </c>
      <c r="B2519" s="30" t="s">
        <v>9</v>
      </c>
      <c r="C2519" s="30" t="s">
        <v>46</v>
      </c>
      <c r="D2519" s="30" t="s">
        <v>47</v>
      </c>
      <c r="E2519" s="32" t="s">
        <v>231</v>
      </c>
      <c r="F2519" s="32" t="s">
        <v>49</v>
      </c>
      <c r="G2519" s="32" t="s">
        <v>50</v>
      </c>
      <c r="H2519" s="33">
        <v>39310</v>
      </c>
      <c r="I2519" s="34">
        <f>Table3[[#This Row],[Volume, kg.]]/1000</f>
        <v>39.31</v>
      </c>
      <c r="J2519" s="34">
        <v>0.29830000000000001</v>
      </c>
      <c r="K2519" s="34">
        <f t="shared" si="78"/>
        <v>11726.173000000001</v>
      </c>
      <c r="L2519" s="34">
        <v>3.99</v>
      </c>
      <c r="M2519" s="34">
        <v>156723.5</v>
      </c>
      <c r="N2519" s="34">
        <f t="shared" si="79"/>
        <v>13.375796178343949</v>
      </c>
    </row>
    <row r="2520" spans="1:14" x14ac:dyDescent="0.45">
      <c r="A2520" s="30">
        <v>2024</v>
      </c>
      <c r="B2520" s="30" t="s">
        <v>9</v>
      </c>
      <c r="C2520" s="30" t="s">
        <v>46</v>
      </c>
      <c r="D2520" s="30" t="s">
        <v>47</v>
      </c>
      <c r="E2520" s="32" t="s">
        <v>166</v>
      </c>
      <c r="F2520" s="32" t="s">
        <v>49</v>
      </c>
      <c r="G2520" s="32" t="s">
        <v>50</v>
      </c>
      <c r="H2520" s="33">
        <v>8830</v>
      </c>
      <c r="I2520" s="34">
        <f>Table3[[#This Row],[Volume, kg.]]/1000</f>
        <v>8.83</v>
      </c>
      <c r="J2520" s="34">
        <v>0.23300000000000001</v>
      </c>
      <c r="K2520" s="34">
        <f t="shared" si="78"/>
        <v>2057.3900000000003</v>
      </c>
      <c r="L2520" s="34">
        <v>3.6</v>
      </c>
      <c r="M2520" s="34">
        <v>31788</v>
      </c>
      <c r="N2520" s="34">
        <f t="shared" si="79"/>
        <v>15.450643776824034</v>
      </c>
    </row>
    <row r="2521" spans="1:14" x14ac:dyDescent="0.45">
      <c r="A2521" s="30">
        <v>2024</v>
      </c>
      <c r="B2521" s="30" t="s">
        <v>9</v>
      </c>
      <c r="C2521" s="30" t="s">
        <v>46</v>
      </c>
      <c r="D2521" s="30" t="s">
        <v>47</v>
      </c>
      <c r="E2521" s="32" t="s">
        <v>244</v>
      </c>
      <c r="F2521" s="32" t="s">
        <v>60</v>
      </c>
      <c r="G2521" s="32" t="s">
        <v>50</v>
      </c>
      <c r="H2521" s="33">
        <v>27200</v>
      </c>
      <c r="I2521" s="34">
        <f>Table3[[#This Row],[Volume, kg.]]/1000</f>
        <v>27.2</v>
      </c>
      <c r="J2521" s="34">
        <v>0.26170000000000004</v>
      </c>
      <c r="K2521" s="34">
        <f t="shared" si="78"/>
        <v>7118.2400000000016</v>
      </c>
      <c r="L2521" s="34">
        <v>3.81</v>
      </c>
      <c r="M2521" s="34">
        <v>103536.5</v>
      </c>
      <c r="N2521" s="34">
        <f t="shared" si="79"/>
        <v>14.558654948414212</v>
      </c>
    </row>
    <row r="2522" spans="1:14" x14ac:dyDescent="0.45">
      <c r="A2522" s="30">
        <v>2024</v>
      </c>
      <c r="B2522" s="30" t="s">
        <v>9</v>
      </c>
      <c r="C2522" s="30" t="s">
        <v>46</v>
      </c>
      <c r="D2522" s="30" t="s">
        <v>47</v>
      </c>
      <c r="E2522" s="32" t="s">
        <v>256</v>
      </c>
      <c r="F2522" s="32" t="s">
        <v>81</v>
      </c>
      <c r="G2522" s="32" t="s">
        <v>50</v>
      </c>
      <c r="H2522" s="33">
        <v>23470</v>
      </c>
      <c r="I2522" s="34">
        <f>Table3[[#This Row],[Volume, kg.]]/1000</f>
        <v>23.47</v>
      </c>
      <c r="J2522" s="34">
        <v>0.26039999999999996</v>
      </c>
      <c r="K2522" s="34">
        <f t="shared" si="78"/>
        <v>6111.5879999999988</v>
      </c>
      <c r="L2522" s="34">
        <v>3.75</v>
      </c>
      <c r="M2522" s="34">
        <v>87995</v>
      </c>
      <c r="N2522" s="34">
        <f t="shared" si="79"/>
        <v>14.400921658986178</v>
      </c>
    </row>
    <row r="2523" spans="1:14" x14ac:dyDescent="0.45">
      <c r="A2523" s="30">
        <v>2024</v>
      </c>
      <c r="B2523" s="30" t="s">
        <v>9</v>
      </c>
      <c r="C2523" s="30" t="s">
        <v>46</v>
      </c>
      <c r="D2523" s="30" t="s">
        <v>47</v>
      </c>
      <c r="E2523" s="32" t="s">
        <v>597</v>
      </c>
      <c r="F2523" s="32" t="s">
        <v>49</v>
      </c>
      <c r="G2523" s="32" t="s">
        <v>50</v>
      </c>
      <c r="H2523" s="33">
        <v>7220</v>
      </c>
      <c r="I2523" s="34">
        <f>Table3[[#This Row],[Volume, kg.]]/1000</f>
        <v>7.22</v>
      </c>
      <c r="J2523" s="34">
        <v>0.25379999999999997</v>
      </c>
      <c r="K2523" s="34">
        <f t="shared" si="78"/>
        <v>1832.4359999999997</v>
      </c>
      <c r="L2523" s="34">
        <v>3.76</v>
      </c>
      <c r="M2523" s="34">
        <v>27164</v>
      </c>
      <c r="N2523" s="34">
        <f t="shared" si="79"/>
        <v>14.814814814814815</v>
      </c>
    </row>
    <row r="2524" spans="1:14" x14ac:dyDescent="0.45">
      <c r="A2524" s="30">
        <v>2024</v>
      </c>
      <c r="B2524" s="30" t="s">
        <v>9</v>
      </c>
      <c r="C2524" s="30" t="s">
        <v>46</v>
      </c>
      <c r="D2524" s="30" t="s">
        <v>47</v>
      </c>
      <c r="E2524" s="32" t="s">
        <v>287</v>
      </c>
      <c r="F2524" s="32" t="s">
        <v>60</v>
      </c>
      <c r="G2524" s="32" t="s">
        <v>50</v>
      </c>
      <c r="H2524" s="33">
        <v>23770</v>
      </c>
      <c r="I2524" s="34">
        <f>Table3[[#This Row],[Volume, kg.]]/1000</f>
        <v>23.77</v>
      </c>
      <c r="J2524" s="34">
        <v>0.2651</v>
      </c>
      <c r="K2524" s="34">
        <f t="shared" si="78"/>
        <v>6301.4269999999997</v>
      </c>
      <c r="L2524" s="34">
        <v>3.83</v>
      </c>
      <c r="M2524" s="34">
        <v>91142.5</v>
      </c>
      <c r="N2524" s="34">
        <f t="shared" si="79"/>
        <v>14.447378347793286</v>
      </c>
    </row>
    <row r="2525" spans="1:14" x14ac:dyDescent="0.45">
      <c r="A2525" s="30">
        <v>2024</v>
      </c>
      <c r="B2525" s="30" t="s">
        <v>9</v>
      </c>
      <c r="C2525" s="30" t="s">
        <v>46</v>
      </c>
      <c r="D2525" s="30" t="s">
        <v>47</v>
      </c>
      <c r="E2525" s="32" t="s">
        <v>164</v>
      </c>
      <c r="F2525" s="32" t="s">
        <v>49</v>
      </c>
      <c r="G2525" s="32" t="s">
        <v>50</v>
      </c>
      <c r="H2525" s="33">
        <v>10680</v>
      </c>
      <c r="I2525" s="34">
        <f>Table3[[#This Row],[Volume, kg.]]/1000</f>
        <v>10.68</v>
      </c>
      <c r="J2525" s="34">
        <v>0.24979999999999999</v>
      </c>
      <c r="K2525" s="34">
        <f t="shared" si="78"/>
        <v>2667.864</v>
      </c>
      <c r="L2525" s="34">
        <v>3.7</v>
      </c>
      <c r="M2525" s="34">
        <v>39484</v>
      </c>
      <c r="N2525" s="34">
        <f t="shared" si="79"/>
        <v>14.811849479583667</v>
      </c>
    </row>
    <row r="2526" spans="1:14" x14ac:dyDescent="0.45">
      <c r="A2526" s="30">
        <v>2024</v>
      </c>
      <c r="B2526" s="30" t="s">
        <v>9</v>
      </c>
      <c r="C2526" s="30" t="s">
        <v>46</v>
      </c>
      <c r="D2526" s="30" t="s">
        <v>47</v>
      </c>
      <c r="E2526" s="32" t="s">
        <v>534</v>
      </c>
      <c r="F2526" s="32" t="s">
        <v>49</v>
      </c>
      <c r="G2526" s="32" t="s">
        <v>50</v>
      </c>
      <c r="H2526" s="33">
        <v>43030</v>
      </c>
      <c r="I2526" s="34">
        <f>Table3[[#This Row],[Volume, kg.]]/1000</f>
        <v>43.03</v>
      </c>
      <c r="J2526" s="34">
        <v>0.26929999999999998</v>
      </c>
      <c r="K2526" s="34">
        <f t="shared" si="78"/>
        <v>11587.978999999999</v>
      </c>
      <c r="L2526" s="34">
        <v>3.83</v>
      </c>
      <c r="M2526" s="34">
        <v>164996.5</v>
      </c>
      <c r="N2526" s="34">
        <f t="shared" si="79"/>
        <v>14.222057185295212</v>
      </c>
    </row>
    <row r="2527" spans="1:14" x14ac:dyDescent="0.45">
      <c r="A2527" s="30">
        <v>2024</v>
      </c>
      <c r="B2527" s="30" t="s">
        <v>9</v>
      </c>
      <c r="C2527" s="30" t="s">
        <v>46</v>
      </c>
      <c r="D2527" s="30" t="s">
        <v>47</v>
      </c>
      <c r="E2527" s="32" t="s">
        <v>220</v>
      </c>
      <c r="F2527" s="32" t="s">
        <v>49</v>
      </c>
      <c r="G2527" s="32" t="s">
        <v>50</v>
      </c>
      <c r="H2527" s="33">
        <v>103310</v>
      </c>
      <c r="I2527" s="34">
        <f>Table3[[#This Row],[Volume, kg.]]/1000</f>
        <v>103.31</v>
      </c>
      <c r="J2527" s="34">
        <v>0.28420000000000001</v>
      </c>
      <c r="K2527" s="34">
        <f t="shared" si="78"/>
        <v>29360.702000000001</v>
      </c>
      <c r="L2527" s="34">
        <v>3.9</v>
      </c>
      <c r="M2527" s="34">
        <v>403028</v>
      </c>
      <c r="N2527" s="34">
        <f t="shared" si="79"/>
        <v>13.722730471498943</v>
      </c>
    </row>
    <row r="2528" spans="1:14" x14ac:dyDescent="0.45">
      <c r="A2528" s="30">
        <v>2024</v>
      </c>
      <c r="B2528" s="30" t="s">
        <v>9</v>
      </c>
      <c r="C2528" s="30" t="s">
        <v>46</v>
      </c>
      <c r="D2528" s="30" t="s">
        <v>47</v>
      </c>
      <c r="E2528" s="32" t="s">
        <v>464</v>
      </c>
      <c r="F2528" s="32" t="s">
        <v>57</v>
      </c>
      <c r="G2528" s="32" t="s">
        <v>50</v>
      </c>
      <c r="H2528" s="33">
        <v>5120</v>
      </c>
      <c r="I2528" s="34">
        <f>Table3[[#This Row],[Volume, kg.]]/1000</f>
        <v>5.12</v>
      </c>
      <c r="J2528" s="34">
        <v>0.25850000000000001</v>
      </c>
      <c r="K2528" s="34">
        <f t="shared" si="78"/>
        <v>1323.52</v>
      </c>
      <c r="L2528" s="34">
        <v>3.8</v>
      </c>
      <c r="M2528" s="34">
        <v>19456</v>
      </c>
      <c r="N2528" s="34">
        <f t="shared" si="79"/>
        <v>14.700193423597678</v>
      </c>
    </row>
    <row r="2529" spans="1:14" x14ac:dyDescent="0.45">
      <c r="A2529" s="30">
        <v>2024</v>
      </c>
      <c r="B2529" s="30" t="s">
        <v>9</v>
      </c>
      <c r="C2529" s="30" t="s">
        <v>46</v>
      </c>
      <c r="D2529" s="30" t="s">
        <v>47</v>
      </c>
      <c r="E2529" s="32" t="s">
        <v>260</v>
      </c>
      <c r="F2529" s="32" t="s">
        <v>49</v>
      </c>
      <c r="G2529" s="32" t="s">
        <v>50</v>
      </c>
      <c r="H2529" s="33">
        <v>114240</v>
      </c>
      <c r="I2529" s="34">
        <f>Table3[[#This Row],[Volume, kg.]]/1000</f>
        <v>114.24</v>
      </c>
      <c r="J2529" s="34">
        <v>0.27539999999999998</v>
      </c>
      <c r="K2529" s="34">
        <f t="shared" si="78"/>
        <v>31461.695999999996</v>
      </c>
      <c r="L2529" s="34">
        <v>3.88</v>
      </c>
      <c r="M2529" s="34">
        <v>443572.5</v>
      </c>
      <c r="N2529" s="34">
        <f t="shared" si="79"/>
        <v>14.088598402323893</v>
      </c>
    </row>
    <row r="2530" spans="1:14" x14ac:dyDescent="0.45">
      <c r="A2530" s="30">
        <v>2024</v>
      </c>
      <c r="B2530" s="30" t="s">
        <v>9</v>
      </c>
      <c r="C2530" s="30" t="s">
        <v>46</v>
      </c>
      <c r="D2530" s="30" t="s">
        <v>47</v>
      </c>
      <c r="E2530" s="32" t="s">
        <v>191</v>
      </c>
      <c r="F2530" s="32" t="s">
        <v>49</v>
      </c>
      <c r="G2530" s="32" t="s">
        <v>50</v>
      </c>
      <c r="H2530" s="33">
        <v>14980</v>
      </c>
      <c r="I2530" s="34">
        <f>Table3[[#This Row],[Volume, kg.]]/1000</f>
        <v>14.98</v>
      </c>
      <c r="J2530" s="34">
        <v>0.26750000000000002</v>
      </c>
      <c r="K2530" s="34">
        <f t="shared" si="78"/>
        <v>4007.15</v>
      </c>
      <c r="L2530" s="34">
        <v>3.85</v>
      </c>
      <c r="M2530" s="34">
        <v>57609</v>
      </c>
      <c r="N2530" s="34">
        <f t="shared" si="79"/>
        <v>14.392523364485982</v>
      </c>
    </row>
    <row r="2531" spans="1:14" x14ac:dyDescent="0.45">
      <c r="A2531" s="30">
        <v>2024</v>
      </c>
      <c r="B2531" s="30" t="s">
        <v>9</v>
      </c>
      <c r="C2531" s="30" t="s">
        <v>46</v>
      </c>
      <c r="D2531" s="30" t="s">
        <v>47</v>
      </c>
      <c r="E2531" s="32" t="s">
        <v>110</v>
      </c>
      <c r="F2531" s="32" t="s">
        <v>57</v>
      </c>
      <c r="G2531" s="32" t="s">
        <v>50</v>
      </c>
      <c r="H2531" s="33">
        <v>24740</v>
      </c>
      <c r="I2531" s="34">
        <f>Table3[[#This Row],[Volume, kg.]]/1000</f>
        <v>24.74</v>
      </c>
      <c r="J2531" s="34">
        <v>0.28649999999999998</v>
      </c>
      <c r="K2531" s="34">
        <f t="shared" si="78"/>
        <v>7088.0099999999993</v>
      </c>
      <c r="L2531" s="34">
        <v>3.94</v>
      </c>
      <c r="M2531" s="34">
        <v>97490</v>
      </c>
      <c r="N2531" s="34">
        <f t="shared" si="79"/>
        <v>13.7521815008726</v>
      </c>
    </row>
    <row r="2532" spans="1:14" x14ac:dyDescent="0.45">
      <c r="A2532" s="30">
        <v>2024</v>
      </c>
      <c r="B2532" s="30" t="s">
        <v>9</v>
      </c>
      <c r="C2532" s="30" t="s">
        <v>46</v>
      </c>
      <c r="D2532" s="30" t="s">
        <v>47</v>
      </c>
      <c r="E2532" s="32" t="s">
        <v>142</v>
      </c>
      <c r="F2532" s="32" t="s">
        <v>57</v>
      </c>
      <c r="G2532" s="32" t="s">
        <v>50</v>
      </c>
      <c r="H2532" s="33">
        <v>24650</v>
      </c>
      <c r="I2532" s="34">
        <f>Table3[[#This Row],[Volume, kg.]]/1000</f>
        <v>24.65</v>
      </c>
      <c r="J2532" s="34">
        <v>0.25509999999999999</v>
      </c>
      <c r="K2532" s="34">
        <f t="shared" si="78"/>
        <v>6288.2150000000001</v>
      </c>
      <c r="L2532" s="34">
        <v>3.72</v>
      </c>
      <c r="M2532" s="34">
        <v>91690</v>
      </c>
      <c r="N2532" s="34">
        <f t="shared" si="79"/>
        <v>14.582516660133281</v>
      </c>
    </row>
    <row r="2533" spans="1:14" x14ac:dyDescent="0.45">
      <c r="A2533" s="30">
        <v>2024</v>
      </c>
      <c r="B2533" s="30" t="s">
        <v>9</v>
      </c>
      <c r="C2533" s="30" t="s">
        <v>46</v>
      </c>
      <c r="D2533" s="30" t="s">
        <v>47</v>
      </c>
      <c r="E2533" s="32" t="s">
        <v>86</v>
      </c>
      <c r="F2533" s="32" t="s">
        <v>49</v>
      </c>
      <c r="G2533" s="32" t="s">
        <v>50</v>
      </c>
      <c r="H2533" s="33">
        <v>47640</v>
      </c>
      <c r="I2533" s="34">
        <f>Table3[[#This Row],[Volume, kg.]]/1000</f>
        <v>47.64</v>
      </c>
      <c r="J2533" s="34">
        <v>0.2802</v>
      </c>
      <c r="K2533" s="34">
        <f t="shared" si="78"/>
        <v>13348.728000000001</v>
      </c>
      <c r="L2533" s="34">
        <v>3.89</v>
      </c>
      <c r="M2533" s="34">
        <v>185547.5</v>
      </c>
      <c r="N2533" s="34">
        <f t="shared" si="79"/>
        <v>13.882940756602427</v>
      </c>
    </row>
    <row r="2534" spans="1:14" x14ac:dyDescent="0.45">
      <c r="A2534" s="30">
        <v>2024</v>
      </c>
      <c r="B2534" s="30" t="s">
        <v>9</v>
      </c>
      <c r="C2534" s="30" t="s">
        <v>46</v>
      </c>
      <c r="D2534" s="30" t="s">
        <v>47</v>
      </c>
      <c r="E2534" s="32" t="s">
        <v>431</v>
      </c>
      <c r="F2534" s="32" t="s">
        <v>49</v>
      </c>
      <c r="G2534" s="32" t="s">
        <v>50</v>
      </c>
      <c r="H2534" s="33">
        <v>30220</v>
      </c>
      <c r="I2534" s="34">
        <f>Table3[[#This Row],[Volume, kg.]]/1000</f>
        <v>30.22</v>
      </c>
      <c r="J2534" s="34">
        <v>0.27699999999999997</v>
      </c>
      <c r="K2534" s="34">
        <f t="shared" si="78"/>
        <v>8370.9399999999987</v>
      </c>
      <c r="L2534" s="34">
        <v>3.88</v>
      </c>
      <c r="M2534" s="34">
        <v>117379</v>
      </c>
      <c r="N2534" s="34">
        <f t="shared" si="79"/>
        <v>14.0072202166065</v>
      </c>
    </row>
    <row r="2535" spans="1:14" x14ac:dyDescent="0.45">
      <c r="A2535" s="30">
        <v>2024</v>
      </c>
      <c r="B2535" s="30" t="s">
        <v>9</v>
      </c>
      <c r="C2535" s="30" t="s">
        <v>46</v>
      </c>
      <c r="D2535" s="30" t="s">
        <v>47</v>
      </c>
      <c r="E2535" s="32" t="s">
        <v>112</v>
      </c>
      <c r="F2535" s="32" t="s">
        <v>49</v>
      </c>
      <c r="G2535" s="32" t="s">
        <v>50</v>
      </c>
      <c r="H2535" s="33">
        <v>10140</v>
      </c>
      <c r="I2535" s="34">
        <f>Table3[[#This Row],[Volume, kg.]]/1000</f>
        <v>10.14</v>
      </c>
      <c r="J2535" s="34">
        <v>0.28820000000000001</v>
      </c>
      <c r="K2535" s="34">
        <f t="shared" si="78"/>
        <v>2922.348</v>
      </c>
      <c r="L2535" s="34">
        <v>3.95</v>
      </c>
      <c r="M2535" s="34">
        <v>40079.5</v>
      </c>
      <c r="N2535" s="34">
        <f t="shared" si="79"/>
        <v>13.705759888965996</v>
      </c>
    </row>
    <row r="2536" spans="1:14" x14ac:dyDescent="0.45">
      <c r="A2536" s="30">
        <v>2024</v>
      </c>
      <c r="B2536" s="30" t="s">
        <v>9</v>
      </c>
      <c r="C2536" s="30" t="s">
        <v>46</v>
      </c>
      <c r="D2536" s="30" t="s">
        <v>47</v>
      </c>
      <c r="E2536" s="32" t="s">
        <v>167</v>
      </c>
      <c r="F2536" s="32" t="s">
        <v>49</v>
      </c>
      <c r="G2536" s="32" t="s">
        <v>50</v>
      </c>
      <c r="H2536" s="33">
        <v>77190</v>
      </c>
      <c r="I2536" s="34">
        <f>Table3[[#This Row],[Volume, kg.]]/1000</f>
        <v>77.19</v>
      </c>
      <c r="J2536" s="34">
        <v>0.26829999999999998</v>
      </c>
      <c r="K2536" s="34">
        <f t="shared" si="78"/>
        <v>20710.076999999997</v>
      </c>
      <c r="L2536" s="34">
        <v>3.84</v>
      </c>
      <c r="M2536" s="34">
        <v>296127</v>
      </c>
      <c r="N2536" s="34">
        <f t="shared" si="79"/>
        <v>14.312336936265375</v>
      </c>
    </row>
    <row r="2537" spans="1:14" x14ac:dyDescent="0.45">
      <c r="A2537" s="30">
        <v>2024</v>
      </c>
      <c r="B2537" s="30" t="s">
        <v>9</v>
      </c>
      <c r="C2537" s="30" t="s">
        <v>46</v>
      </c>
      <c r="D2537" s="30" t="s">
        <v>47</v>
      </c>
      <c r="E2537" s="32" t="s">
        <v>190</v>
      </c>
      <c r="F2537" s="32" t="s">
        <v>81</v>
      </c>
      <c r="G2537" s="32" t="s">
        <v>50</v>
      </c>
      <c r="H2537" s="33">
        <v>55280</v>
      </c>
      <c r="I2537" s="34">
        <f>Table3[[#This Row],[Volume, kg.]]/1000</f>
        <v>55.28</v>
      </c>
      <c r="J2537" s="34">
        <v>0.28899999999999998</v>
      </c>
      <c r="K2537" s="34">
        <f t="shared" si="78"/>
        <v>15975.919999999998</v>
      </c>
      <c r="L2537" s="34">
        <v>3.93</v>
      </c>
      <c r="M2537" s="34">
        <v>217150.5</v>
      </c>
      <c r="N2537" s="34">
        <f t="shared" si="79"/>
        <v>13.598615916955019</v>
      </c>
    </row>
    <row r="2538" spans="1:14" x14ac:dyDescent="0.45">
      <c r="A2538" s="30">
        <v>2024</v>
      </c>
      <c r="B2538" s="30" t="s">
        <v>9</v>
      </c>
      <c r="C2538" s="30" t="s">
        <v>46</v>
      </c>
      <c r="D2538" s="30" t="s">
        <v>47</v>
      </c>
      <c r="E2538" s="32" t="s">
        <v>77</v>
      </c>
      <c r="F2538" s="32" t="s">
        <v>49</v>
      </c>
      <c r="G2538" s="32" t="s">
        <v>50</v>
      </c>
      <c r="H2538" s="33">
        <v>4340</v>
      </c>
      <c r="I2538" s="34">
        <f>Table3[[#This Row],[Volume, kg.]]/1000</f>
        <v>4.34</v>
      </c>
      <c r="J2538" s="34">
        <v>0.22170000000000001</v>
      </c>
      <c r="K2538" s="34">
        <f t="shared" si="78"/>
        <v>962.178</v>
      </c>
      <c r="L2538" s="34">
        <v>3.6</v>
      </c>
      <c r="M2538" s="34">
        <v>15624</v>
      </c>
      <c r="N2538" s="34">
        <f t="shared" si="79"/>
        <v>16.238159675236805</v>
      </c>
    </row>
    <row r="2539" spans="1:14" x14ac:dyDescent="0.45">
      <c r="A2539" s="30">
        <v>2024</v>
      </c>
      <c r="B2539" s="30" t="s">
        <v>9</v>
      </c>
      <c r="C2539" s="30" t="s">
        <v>46</v>
      </c>
      <c r="D2539" s="30" t="s">
        <v>47</v>
      </c>
      <c r="E2539" s="32" t="s">
        <v>263</v>
      </c>
      <c r="F2539" s="32" t="s">
        <v>81</v>
      </c>
      <c r="G2539" s="32" t="s">
        <v>50</v>
      </c>
      <c r="H2539" s="33">
        <v>10480</v>
      </c>
      <c r="I2539" s="34">
        <f>Table3[[#This Row],[Volume, kg.]]/1000</f>
        <v>10.48</v>
      </c>
      <c r="J2539" s="34">
        <v>0.2505</v>
      </c>
      <c r="K2539" s="34">
        <f t="shared" si="78"/>
        <v>2625.24</v>
      </c>
      <c r="L2539" s="34">
        <v>3.7</v>
      </c>
      <c r="M2539" s="34">
        <v>38776</v>
      </c>
      <c r="N2539" s="34">
        <f t="shared" si="79"/>
        <v>14.770459081836329</v>
      </c>
    </row>
    <row r="2540" spans="1:14" x14ac:dyDescent="0.45">
      <c r="A2540" s="30">
        <v>2024</v>
      </c>
      <c r="B2540" s="30" t="s">
        <v>9</v>
      </c>
      <c r="C2540" s="30" t="s">
        <v>46</v>
      </c>
      <c r="D2540" s="30" t="s">
        <v>47</v>
      </c>
      <c r="E2540" s="32" t="s">
        <v>308</v>
      </c>
      <c r="F2540" s="32" t="s">
        <v>81</v>
      </c>
      <c r="G2540" s="32" t="s">
        <v>50</v>
      </c>
      <c r="H2540" s="33">
        <v>111300</v>
      </c>
      <c r="I2540" s="34">
        <f>Table3[[#This Row],[Volume, kg.]]/1000</f>
        <v>111.3</v>
      </c>
      <c r="J2540" s="34">
        <v>0.29270000000000002</v>
      </c>
      <c r="K2540" s="34">
        <f t="shared" si="78"/>
        <v>32577.510000000002</v>
      </c>
      <c r="L2540" s="34">
        <v>3.96</v>
      </c>
      <c r="M2540" s="34">
        <v>441102</v>
      </c>
      <c r="N2540" s="34">
        <f t="shared" si="79"/>
        <v>13.529210796036898</v>
      </c>
    </row>
    <row r="2541" spans="1:14" x14ac:dyDescent="0.45">
      <c r="A2541" s="30">
        <v>2024</v>
      </c>
      <c r="B2541" s="30" t="s">
        <v>9</v>
      </c>
      <c r="C2541" s="30" t="s">
        <v>46</v>
      </c>
      <c r="D2541" s="30" t="s">
        <v>47</v>
      </c>
      <c r="E2541" s="32" t="s">
        <v>236</v>
      </c>
      <c r="F2541" s="32" t="s">
        <v>49</v>
      </c>
      <c r="G2541" s="32" t="s">
        <v>50</v>
      </c>
      <c r="H2541" s="33">
        <v>35920</v>
      </c>
      <c r="I2541" s="34">
        <f>Table3[[#This Row],[Volume, kg.]]/1000</f>
        <v>35.92</v>
      </c>
      <c r="J2541" s="34">
        <v>0.2878</v>
      </c>
      <c r="K2541" s="34">
        <f t="shared" si="78"/>
        <v>10337.776</v>
      </c>
      <c r="L2541" s="34">
        <v>3.95</v>
      </c>
      <c r="M2541" s="34">
        <v>141792.5</v>
      </c>
      <c r="N2541" s="34">
        <f t="shared" si="79"/>
        <v>13.724808895066019</v>
      </c>
    </row>
    <row r="2542" spans="1:14" x14ac:dyDescent="0.45">
      <c r="A2542" s="30">
        <v>2024</v>
      </c>
      <c r="B2542" s="30" t="s">
        <v>9</v>
      </c>
      <c r="C2542" s="30" t="s">
        <v>46</v>
      </c>
      <c r="D2542" s="30" t="s">
        <v>47</v>
      </c>
      <c r="E2542" s="32" t="s">
        <v>152</v>
      </c>
      <c r="F2542" s="32" t="s">
        <v>60</v>
      </c>
      <c r="G2542" s="32" t="s">
        <v>50</v>
      </c>
      <c r="H2542" s="33">
        <v>1830</v>
      </c>
      <c r="I2542" s="34">
        <f>Table3[[#This Row],[Volume, kg.]]/1000</f>
        <v>1.83</v>
      </c>
      <c r="J2542" s="34">
        <v>0.249</v>
      </c>
      <c r="K2542" s="34">
        <f t="shared" si="78"/>
        <v>455.67</v>
      </c>
      <c r="L2542" s="34">
        <v>3.75</v>
      </c>
      <c r="M2542" s="34">
        <v>6862.5</v>
      </c>
      <c r="N2542" s="34">
        <f t="shared" si="79"/>
        <v>15.060240963855422</v>
      </c>
    </row>
    <row r="2543" spans="1:14" x14ac:dyDescent="0.45">
      <c r="A2543" s="30">
        <v>2024</v>
      </c>
      <c r="B2543" s="30" t="s">
        <v>9</v>
      </c>
      <c r="C2543" s="30" t="s">
        <v>46</v>
      </c>
      <c r="D2543" s="30" t="s">
        <v>47</v>
      </c>
      <c r="E2543" s="32" t="s">
        <v>111</v>
      </c>
      <c r="F2543" s="32" t="s">
        <v>60</v>
      </c>
      <c r="G2543" s="32" t="s">
        <v>50</v>
      </c>
      <c r="H2543" s="33">
        <v>42570</v>
      </c>
      <c r="I2543" s="34">
        <f>Table3[[#This Row],[Volume, kg.]]/1000</f>
        <v>42.57</v>
      </c>
      <c r="J2543" s="34">
        <v>0.2742</v>
      </c>
      <c r="K2543" s="34">
        <f t="shared" si="78"/>
        <v>11672.694</v>
      </c>
      <c r="L2543" s="34">
        <v>3.87</v>
      </c>
      <c r="M2543" s="34">
        <v>164747.5</v>
      </c>
      <c r="N2543" s="34">
        <f t="shared" si="79"/>
        <v>14.113785557986871</v>
      </c>
    </row>
    <row r="2544" spans="1:14" x14ac:dyDescent="0.45">
      <c r="A2544" s="30">
        <v>2024</v>
      </c>
      <c r="B2544" s="30" t="s">
        <v>9</v>
      </c>
      <c r="C2544" s="30" t="s">
        <v>46</v>
      </c>
      <c r="D2544" s="30" t="s">
        <v>47</v>
      </c>
      <c r="E2544" s="32" t="s">
        <v>121</v>
      </c>
      <c r="F2544" s="32" t="s">
        <v>60</v>
      </c>
      <c r="G2544" s="32" t="s">
        <v>50</v>
      </c>
      <c r="H2544" s="33">
        <v>151310</v>
      </c>
      <c r="I2544" s="34">
        <f>Table3[[#This Row],[Volume, kg.]]/1000</f>
        <v>151.31</v>
      </c>
      <c r="J2544" s="34">
        <v>0.2777</v>
      </c>
      <c r="K2544" s="34">
        <f t="shared" si="78"/>
        <v>42018.787000000004</v>
      </c>
      <c r="L2544" s="34">
        <v>3.88</v>
      </c>
      <c r="M2544" s="34">
        <v>587453</v>
      </c>
      <c r="N2544" s="34">
        <f t="shared" si="79"/>
        <v>13.971912135397911</v>
      </c>
    </row>
    <row r="2545" spans="1:14" x14ac:dyDescent="0.45">
      <c r="A2545" s="30">
        <v>2024</v>
      </c>
      <c r="B2545" s="30" t="s">
        <v>9</v>
      </c>
      <c r="C2545" s="30" t="s">
        <v>46</v>
      </c>
      <c r="D2545" s="30" t="s">
        <v>47</v>
      </c>
      <c r="E2545" s="32" t="s">
        <v>388</v>
      </c>
      <c r="F2545" s="32" t="s">
        <v>134</v>
      </c>
      <c r="G2545" s="32" t="s">
        <v>50</v>
      </c>
      <c r="H2545" s="33">
        <v>191520</v>
      </c>
      <c r="I2545" s="34">
        <f>Table3[[#This Row],[Volume, kg.]]/1000</f>
        <v>191.52</v>
      </c>
      <c r="J2545" s="34">
        <v>0.2747</v>
      </c>
      <c r="K2545" s="34">
        <f t="shared" si="78"/>
        <v>52610.544000000002</v>
      </c>
      <c r="L2545" s="34">
        <v>3.88</v>
      </c>
      <c r="M2545" s="34">
        <v>742578.5</v>
      </c>
      <c r="N2545" s="34">
        <f t="shared" si="79"/>
        <v>14.124499453949763</v>
      </c>
    </row>
    <row r="2546" spans="1:14" x14ac:dyDescent="0.45">
      <c r="A2546" s="30">
        <v>2024</v>
      </c>
      <c r="B2546" s="30" t="s">
        <v>9</v>
      </c>
      <c r="C2546" s="30" t="s">
        <v>46</v>
      </c>
      <c r="D2546" s="30" t="s">
        <v>47</v>
      </c>
      <c r="E2546" s="32" t="s">
        <v>59</v>
      </c>
      <c r="F2546" s="32" t="s">
        <v>60</v>
      </c>
      <c r="G2546" s="32" t="s">
        <v>50</v>
      </c>
      <c r="H2546" s="33">
        <v>54670</v>
      </c>
      <c r="I2546" s="34">
        <f>Table3[[#This Row],[Volume, kg.]]/1000</f>
        <v>54.67</v>
      </c>
      <c r="J2546" s="34">
        <v>0.28199999999999997</v>
      </c>
      <c r="K2546" s="34">
        <f t="shared" si="78"/>
        <v>15416.939999999999</v>
      </c>
      <c r="L2546" s="34">
        <v>3.9</v>
      </c>
      <c r="M2546" s="34">
        <v>213441</v>
      </c>
      <c r="N2546" s="34">
        <f t="shared" si="79"/>
        <v>13.829787234042554</v>
      </c>
    </row>
    <row r="2547" spans="1:14" x14ac:dyDescent="0.45">
      <c r="A2547" s="30">
        <v>2024</v>
      </c>
      <c r="B2547" s="30" t="s">
        <v>9</v>
      </c>
      <c r="C2547" s="30" t="s">
        <v>46</v>
      </c>
      <c r="D2547" s="30" t="s">
        <v>47</v>
      </c>
      <c r="E2547" s="32" t="s">
        <v>288</v>
      </c>
      <c r="F2547" s="32" t="s">
        <v>49</v>
      </c>
      <c r="G2547" s="32" t="s">
        <v>50</v>
      </c>
      <c r="H2547" s="33">
        <v>95450</v>
      </c>
      <c r="I2547" s="34">
        <f>Table3[[#This Row],[Volume, kg.]]/1000</f>
        <v>95.45</v>
      </c>
      <c r="J2547" s="34">
        <v>0.27350000000000002</v>
      </c>
      <c r="K2547" s="34">
        <f t="shared" si="78"/>
        <v>26105.575000000001</v>
      </c>
      <c r="L2547" s="34">
        <v>3.87</v>
      </c>
      <c r="M2547" s="34">
        <v>369154</v>
      </c>
      <c r="N2547" s="34">
        <f t="shared" si="79"/>
        <v>14.149908592321754</v>
      </c>
    </row>
    <row r="2548" spans="1:14" x14ac:dyDescent="0.45">
      <c r="A2548" s="30">
        <v>2024</v>
      </c>
      <c r="B2548" s="30" t="s">
        <v>9</v>
      </c>
      <c r="C2548" s="30" t="s">
        <v>46</v>
      </c>
      <c r="D2548" s="30" t="s">
        <v>47</v>
      </c>
      <c r="E2548" s="32" t="s">
        <v>70</v>
      </c>
      <c r="F2548" s="32" t="s">
        <v>49</v>
      </c>
      <c r="G2548" s="32" t="s">
        <v>50</v>
      </c>
      <c r="H2548" s="33">
        <v>37310</v>
      </c>
      <c r="I2548" s="34">
        <f>Table3[[#This Row],[Volume, kg.]]/1000</f>
        <v>37.31</v>
      </c>
      <c r="J2548" s="34">
        <v>0.26079999999999998</v>
      </c>
      <c r="K2548" s="34">
        <f t="shared" si="78"/>
        <v>9730.4479999999985</v>
      </c>
      <c r="L2548" s="34">
        <v>3.75</v>
      </c>
      <c r="M2548" s="34">
        <v>140011</v>
      </c>
      <c r="N2548" s="34">
        <f t="shared" si="79"/>
        <v>14.378834355828221</v>
      </c>
    </row>
    <row r="2549" spans="1:14" x14ac:dyDescent="0.45">
      <c r="A2549" s="30">
        <v>2024</v>
      </c>
      <c r="B2549" s="30" t="s">
        <v>9</v>
      </c>
      <c r="C2549" s="30" t="s">
        <v>46</v>
      </c>
      <c r="D2549" s="30" t="s">
        <v>47</v>
      </c>
      <c r="E2549" s="32" t="s">
        <v>265</v>
      </c>
      <c r="F2549" s="32" t="s">
        <v>49</v>
      </c>
      <c r="G2549" s="32" t="s">
        <v>50</v>
      </c>
      <c r="H2549" s="33">
        <v>106890</v>
      </c>
      <c r="I2549" s="34">
        <f>Table3[[#This Row],[Volume, kg.]]/1000</f>
        <v>106.89</v>
      </c>
      <c r="J2549" s="34">
        <v>0.2888</v>
      </c>
      <c r="K2549" s="34">
        <f t="shared" si="78"/>
        <v>30869.831999999999</v>
      </c>
      <c r="L2549" s="34">
        <v>3.94</v>
      </c>
      <c r="M2549" s="34">
        <v>420774</v>
      </c>
      <c r="N2549" s="34">
        <f t="shared" si="79"/>
        <v>13.642659279778393</v>
      </c>
    </row>
    <row r="2550" spans="1:14" x14ac:dyDescent="0.45">
      <c r="A2550" s="30">
        <v>2024</v>
      </c>
      <c r="B2550" s="30" t="s">
        <v>9</v>
      </c>
      <c r="C2550" s="30" t="s">
        <v>46</v>
      </c>
      <c r="D2550" s="30" t="s">
        <v>47</v>
      </c>
      <c r="E2550" s="32" t="s">
        <v>192</v>
      </c>
      <c r="F2550" s="32" t="s">
        <v>49</v>
      </c>
      <c r="G2550" s="32" t="s">
        <v>50</v>
      </c>
      <c r="H2550" s="33">
        <v>10860</v>
      </c>
      <c r="I2550" s="34">
        <f>Table3[[#This Row],[Volume, kg.]]/1000</f>
        <v>10.86</v>
      </c>
      <c r="J2550" s="34">
        <v>0.27429999999999999</v>
      </c>
      <c r="K2550" s="34">
        <f t="shared" si="78"/>
        <v>2978.8979999999997</v>
      </c>
      <c r="L2550" s="34">
        <v>3.87</v>
      </c>
      <c r="M2550" s="34">
        <v>42045</v>
      </c>
      <c r="N2550" s="34">
        <f t="shared" si="79"/>
        <v>14.108640174990887</v>
      </c>
    </row>
    <row r="2551" spans="1:14" x14ac:dyDescent="0.45">
      <c r="A2551" s="30">
        <v>2024</v>
      </c>
      <c r="B2551" s="30" t="s">
        <v>9</v>
      </c>
      <c r="C2551" s="30" t="s">
        <v>46</v>
      </c>
      <c r="D2551" s="30" t="s">
        <v>47</v>
      </c>
      <c r="E2551" s="32" t="s">
        <v>277</v>
      </c>
      <c r="F2551" s="32" t="s">
        <v>60</v>
      </c>
      <c r="G2551" s="32" t="s">
        <v>50</v>
      </c>
      <c r="H2551" s="33">
        <v>15550</v>
      </c>
      <c r="I2551" s="34">
        <f>Table3[[#This Row],[Volume, kg.]]/1000</f>
        <v>15.55</v>
      </c>
      <c r="J2551" s="34">
        <v>0.29449999999999998</v>
      </c>
      <c r="K2551" s="34">
        <f t="shared" si="78"/>
        <v>4579.4749999999995</v>
      </c>
      <c r="L2551" s="34">
        <v>3.9</v>
      </c>
      <c r="M2551" s="34">
        <v>60645</v>
      </c>
      <c r="N2551" s="34">
        <f t="shared" si="79"/>
        <v>13.242784380305602</v>
      </c>
    </row>
    <row r="2552" spans="1:14" x14ac:dyDescent="0.45">
      <c r="A2552" s="30">
        <v>2024</v>
      </c>
      <c r="B2552" s="30" t="s">
        <v>9</v>
      </c>
      <c r="C2552" s="30" t="s">
        <v>46</v>
      </c>
      <c r="D2552" s="30" t="s">
        <v>47</v>
      </c>
      <c r="E2552" s="32" t="s">
        <v>324</v>
      </c>
      <c r="F2552" s="32" t="s">
        <v>81</v>
      </c>
      <c r="G2552" s="32" t="s">
        <v>50</v>
      </c>
      <c r="H2552" s="33">
        <v>21550</v>
      </c>
      <c r="I2552" s="34">
        <f>Table3[[#This Row],[Volume, kg.]]/1000</f>
        <v>21.55</v>
      </c>
      <c r="J2552" s="34">
        <v>0.26919999999999999</v>
      </c>
      <c r="K2552" s="34">
        <f t="shared" si="78"/>
        <v>5801.26</v>
      </c>
      <c r="L2552" s="34">
        <v>3.85</v>
      </c>
      <c r="M2552" s="34">
        <v>83041</v>
      </c>
      <c r="N2552" s="34">
        <f t="shared" si="79"/>
        <v>14.301634472511145</v>
      </c>
    </row>
    <row r="2553" spans="1:14" x14ac:dyDescent="0.45">
      <c r="A2553" s="30">
        <v>2024</v>
      </c>
      <c r="B2553" s="30" t="s">
        <v>9</v>
      </c>
      <c r="C2553" s="30" t="s">
        <v>46</v>
      </c>
      <c r="D2553" s="30" t="s">
        <v>47</v>
      </c>
      <c r="E2553" s="32" t="s">
        <v>74</v>
      </c>
      <c r="F2553" s="32" t="s">
        <v>49</v>
      </c>
      <c r="G2553" s="32" t="s">
        <v>50</v>
      </c>
      <c r="H2553" s="33">
        <v>10750</v>
      </c>
      <c r="I2553" s="34">
        <f>Table3[[#This Row],[Volume, kg.]]/1000</f>
        <v>10.75</v>
      </c>
      <c r="J2553" s="34">
        <v>0.26200000000000001</v>
      </c>
      <c r="K2553" s="34">
        <f t="shared" si="78"/>
        <v>2816.5</v>
      </c>
      <c r="L2553" s="34">
        <v>3.75</v>
      </c>
      <c r="M2553" s="34">
        <v>40312.5</v>
      </c>
      <c r="N2553" s="34">
        <f t="shared" si="79"/>
        <v>14.31297709923664</v>
      </c>
    </row>
    <row r="2554" spans="1:14" x14ac:dyDescent="0.45">
      <c r="A2554" s="30">
        <v>2024</v>
      </c>
      <c r="B2554" s="30" t="s">
        <v>9</v>
      </c>
      <c r="C2554" s="30" t="s">
        <v>46</v>
      </c>
      <c r="D2554" s="30" t="s">
        <v>47</v>
      </c>
      <c r="E2554" s="32" t="s">
        <v>135</v>
      </c>
      <c r="F2554" s="32" t="s">
        <v>49</v>
      </c>
      <c r="G2554" s="32" t="s">
        <v>50</v>
      </c>
      <c r="H2554" s="33">
        <v>30330</v>
      </c>
      <c r="I2554" s="34">
        <f>Table3[[#This Row],[Volume, kg.]]/1000</f>
        <v>30.33</v>
      </c>
      <c r="J2554" s="34">
        <v>0.2893</v>
      </c>
      <c r="K2554" s="34">
        <f t="shared" si="78"/>
        <v>8774.4689999999991</v>
      </c>
      <c r="L2554" s="34">
        <v>3.96</v>
      </c>
      <c r="M2554" s="34">
        <v>120082.5</v>
      </c>
      <c r="N2554" s="34">
        <f t="shared" si="79"/>
        <v>13.688212927756654</v>
      </c>
    </row>
    <row r="2555" spans="1:14" x14ac:dyDescent="0.45">
      <c r="A2555" s="30">
        <v>2024</v>
      </c>
      <c r="B2555" s="30" t="s">
        <v>9</v>
      </c>
      <c r="C2555" s="30" t="s">
        <v>46</v>
      </c>
      <c r="D2555" s="30" t="s">
        <v>47</v>
      </c>
      <c r="E2555" s="32" t="s">
        <v>598</v>
      </c>
      <c r="F2555" s="32" t="s">
        <v>49</v>
      </c>
      <c r="G2555" s="32" t="s">
        <v>50</v>
      </c>
      <c r="H2555" s="33">
        <v>7110</v>
      </c>
      <c r="I2555" s="34">
        <f>Table3[[#This Row],[Volume, kg.]]/1000</f>
        <v>7.11</v>
      </c>
      <c r="J2555" s="34">
        <v>0.26899999999999996</v>
      </c>
      <c r="K2555" s="34">
        <f t="shared" si="78"/>
        <v>1912.5899999999997</v>
      </c>
      <c r="L2555" s="34">
        <v>3.85</v>
      </c>
      <c r="M2555" s="34">
        <v>27373.5</v>
      </c>
      <c r="N2555" s="34">
        <f t="shared" si="79"/>
        <v>14.312267657992567</v>
      </c>
    </row>
    <row r="2556" spans="1:14" x14ac:dyDescent="0.45">
      <c r="A2556" s="30">
        <v>2024</v>
      </c>
      <c r="B2556" s="30" t="s">
        <v>9</v>
      </c>
      <c r="C2556" s="30" t="s">
        <v>46</v>
      </c>
      <c r="D2556" s="30" t="s">
        <v>47</v>
      </c>
      <c r="E2556" s="32" t="s">
        <v>390</v>
      </c>
      <c r="F2556" s="32" t="s">
        <v>60</v>
      </c>
      <c r="G2556" s="32" t="s">
        <v>50</v>
      </c>
      <c r="H2556" s="33">
        <v>2380</v>
      </c>
      <c r="I2556" s="34">
        <f>Table3[[#This Row],[Volume, kg.]]/1000</f>
        <v>2.38</v>
      </c>
      <c r="J2556" s="34">
        <v>0.252</v>
      </c>
      <c r="K2556" s="34">
        <f t="shared" si="78"/>
        <v>599.76</v>
      </c>
      <c r="L2556" s="34">
        <v>3.75</v>
      </c>
      <c r="M2556" s="34">
        <v>8925</v>
      </c>
      <c r="N2556" s="34">
        <f t="shared" si="79"/>
        <v>14.880952380952381</v>
      </c>
    </row>
    <row r="2557" spans="1:14" x14ac:dyDescent="0.45">
      <c r="A2557" s="30">
        <v>2024</v>
      </c>
      <c r="B2557" s="30" t="s">
        <v>9</v>
      </c>
      <c r="C2557" s="30" t="s">
        <v>46</v>
      </c>
      <c r="D2557" s="30" t="s">
        <v>47</v>
      </c>
      <c r="E2557" s="32" t="s">
        <v>76</v>
      </c>
      <c r="F2557" s="32" t="s">
        <v>60</v>
      </c>
      <c r="G2557" s="32" t="s">
        <v>50</v>
      </c>
      <c r="H2557" s="33">
        <v>22100</v>
      </c>
      <c r="I2557" s="34">
        <f>Table3[[#This Row],[Volume, kg.]]/1000</f>
        <v>22.1</v>
      </c>
      <c r="J2557" s="34">
        <v>0.28179999999999999</v>
      </c>
      <c r="K2557" s="34">
        <f t="shared" si="78"/>
        <v>6227.78</v>
      </c>
      <c r="L2557" s="34">
        <v>3.91</v>
      </c>
      <c r="M2557" s="34">
        <v>86442</v>
      </c>
      <c r="N2557" s="34">
        <f t="shared" si="79"/>
        <v>13.875088715400995</v>
      </c>
    </row>
    <row r="2558" spans="1:14" x14ac:dyDescent="0.45">
      <c r="A2558" s="30">
        <v>2024</v>
      </c>
      <c r="B2558" s="30" t="s">
        <v>9</v>
      </c>
      <c r="C2558" s="30" t="s">
        <v>46</v>
      </c>
      <c r="D2558" s="30" t="s">
        <v>47</v>
      </c>
      <c r="E2558" s="32" t="s">
        <v>100</v>
      </c>
      <c r="F2558" s="32" t="s">
        <v>60</v>
      </c>
      <c r="G2558" s="32" t="s">
        <v>50</v>
      </c>
      <c r="H2558" s="33">
        <v>36700</v>
      </c>
      <c r="I2558" s="34">
        <f>Table3[[#This Row],[Volume, kg.]]/1000</f>
        <v>36.700000000000003</v>
      </c>
      <c r="J2558" s="34">
        <v>0.27660000000000001</v>
      </c>
      <c r="K2558" s="34">
        <f t="shared" si="78"/>
        <v>10151.220000000001</v>
      </c>
      <c r="L2558" s="34">
        <v>3.89</v>
      </c>
      <c r="M2558" s="34">
        <v>142659.5</v>
      </c>
      <c r="N2558" s="34">
        <f t="shared" si="79"/>
        <v>14.063629790310918</v>
      </c>
    </row>
    <row r="2559" spans="1:14" x14ac:dyDescent="0.45">
      <c r="A2559" s="30">
        <v>2024</v>
      </c>
      <c r="B2559" s="30" t="s">
        <v>9</v>
      </c>
      <c r="C2559" s="30" t="s">
        <v>46</v>
      </c>
      <c r="D2559" s="30" t="s">
        <v>47</v>
      </c>
      <c r="E2559" s="32" t="s">
        <v>145</v>
      </c>
      <c r="F2559" s="32" t="s">
        <v>60</v>
      </c>
      <c r="G2559" s="32" t="s">
        <v>50</v>
      </c>
      <c r="H2559" s="33">
        <v>29890</v>
      </c>
      <c r="I2559" s="34">
        <f>Table3[[#This Row],[Volume, kg.]]/1000</f>
        <v>29.89</v>
      </c>
      <c r="J2559" s="34">
        <v>0.2883</v>
      </c>
      <c r="K2559" s="34">
        <f t="shared" si="78"/>
        <v>8617.2870000000003</v>
      </c>
      <c r="L2559" s="34">
        <v>3.94</v>
      </c>
      <c r="M2559" s="34">
        <v>117760.5</v>
      </c>
      <c r="N2559" s="34">
        <f t="shared" si="79"/>
        <v>13.66631980575789</v>
      </c>
    </row>
    <row r="2560" spans="1:14" x14ac:dyDescent="0.45">
      <c r="A2560" s="30">
        <v>2024</v>
      </c>
      <c r="B2560" s="30" t="s">
        <v>9</v>
      </c>
      <c r="C2560" s="30" t="s">
        <v>46</v>
      </c>
      <c r="D2560" s="30" t="s">
        <v>47</v>
      </c>
      <c r="E2560" s="32" t="s">
        <v>469</v>
      </c>
      <c r="F2560" s="32" t="s">
        <v>57</v>
      </c>
      <c r="G2560" s="32" t="s">
        <v>50</v>
      </c>
      <c r="H2560" s="33">
        <v>5480</v>
      </c>
      <c r="I2560" s="34">
        <f>Table3[[#This Row],[Volume, kg.]]/1000</f>
        <v>5.48</v>
      </c>
      <c r="J2560" s="34">
        <v>0.23530000000000001</v>
      </c>
      <c r="K2560" s="34">
        <f t="shared" si="78"/>
        <v>1289.444</v>
      </c>
      <c r="L2560" s="34">
        <v>3.7</v>
      </c>
      <c r="M2560" s="34">
        <v>20276</v>
      </c>
      <c r="N2560" s="34">
        <f t="shared" si="79"/>
        <v>15.72460688482788</v>
      </c>
    </row>
    <row r="2561" spans="1:14" x14ac:dyDescent="0.45">
      <c r="A2561" s="30">
        <v>2024</v>
      </c>
      <c r="B2561" s="30" t="s">
        <v>9</v>
      </c>
      <c r="C2561" s="30" t="s">
        <v>46</v>
      </c>
      <c r="D2561" s="30" t="s">
        <v>47</v>
      </c>
      <c r="E2561" s="32" t="s">
        <v>283</v>
      </c>
      <c r="F2561" s="32" t="s">
        <v>49</v>
      </c>
      <c r="G2561" s="32" t="s">
        <v>50</v>
      </c>
      <c r="H2561" s="33">
        <v>103810</v>
      </c>
      <c r="I2561" s="34">
        <f>Table3[[#This Row],[Volume, kg.]]/1000</f>
        <v>103.81</v>
      </c>
      <c r="J2561" s="34">
        <v>0.26479999999999998</v>
      </c>
      <c r="K2561" s="34">
        <f t="shared" si="78"/>
        <v>27488.887999999999</v>
      </c>
      <c r="L2561" s="34">
        <v>3.81</v>
      </c>
      <c r="M2561" s="34">
        <v>395014</v>
      </c>
      <c r="N2561" s="34">
        <f t="shared" si="79"/>
        <v>14.388217522658612</v>
      </c>
    </row>
    <row r="2562" spans="1:14" x14ac:dyDescent="0.45">
      <c r="A2562" s="30">
        <v>2024</v>
      </c>
      <c r="B2562" s="30" t="s">
        <v>9</v>
      </c>
      <c r="C2562" s="30" t="s">
        <v>46</v>
      </c>
      <c r="D2562" s="30" t="s">
        <v>47</v>
      </c>
      <c r="E2562" s="32" t="s">
        <v>299</v>
      </c>
      <c r="F2562" s="32" t="s">
        <v>49</v>
      </c>
      <c r="G2562" s="32" t="s">
        <v>50</v>
      </c>
      <c r="H2562" s="33">
        <v>19690</v>
      </c>
      <c r="I2562" s="34">
        <f>Table3[[#This Row],[Volume, kg.]]/1000</f>
        <v>19.690000000000001</v>
      </c>
      <c r="J2562" s="34">
        <v>0.24710000000000001</v>
      </c>
      <c r="K2562" s="34">
        <f t="shared" si="78"/>
        <v>4865.3990000000003</v>
      </c>
      <c r="L2562" s="34">
        <v>3.73</v>
      </c>
      <c r="M2562" s="34">
        <v>73534</v>
      </c>
      <c r="N2562" s="34">
        <f t="shared" si="79"/>
        <v>15.0951031970862</v>
      </c>
    </row>
    <row r="2563" spans="1:14" x14ac:dyDescent="0.45">
      <c r="A2563" s="30">
        <v>2024</v>
      </c>
      <c r="B2563" s="30" t="s">
        <v>9</v>
      </c>
      <c r="C2563" s="30" t="s">
        <v>46</v>
      </c>
      <c r="D2563" s="30" t="s">
        <v>47</v>
      </c>
      <c r="E2563" s="32" t="s">
        <v>253</v>
      </c>
      <c r="F2563" s="32" t="s">
        <v>57</v>
      </c>
      <c r="G2563" s="32" t="s">
        <v>50</v>
      </c>
      <c r="H2563" s="33">
        <v>13110</v>
      </c>
      <c r="I2563" s="34">
        <f>Table3[[#This Row],[Volume, kg.]]/1000</f>
        <v>13.11</v>
      </c>
      <c r="J2563" s="34">
        <v>0.28689999999999999</v>
      </c>
      <c r="K2563" s="34">
        <f t="shared" ref="K2563:K2626" si="80">H2563*J2563</f>
        <v>3761.259</v>
      </c>
      <c r="L2563" s="34">
        <v>3.88</v>
      </c>
      <c r="M2563" s="34">
        <v>50833</v>
      </c>
      <c r="N2563" s="34">
        <f t="shared" si="79"/>
        <v>13.523875914952946</v>
      </c>
    </row>
    <row r="2564" spans="1:14" x14ac:dyDescent="0.45">
      <c r="A2564" s="30">
        <v>2024</v>
      </c>
      <c r="B2564" s="30" t="s">
        <v>9</v>
      </c>
      <c r="C2564" s="30" t="s">
        <v>46</v>
      </c>
      <c r="D2564" s="30" t="s">
        <v>47</v>
      </c>
      <c r="E2564" s="32" t="s">
        <v>217</v>
      </c>
      <c r="F2564" s="32" t="s">
        <v>49</v>
      </c>
      <c r="G2564" s="32" t="s">
        <v>50</v>
      </c>
      <c r="H2564" s="33">
        <v>38690</v>
      </c>
      <c r="I2564" s="34">
        <f>Table3[[#This Row],[Volume, kg.]]/1000</f>
        <v>38.69</v>
      </c>
      <c r="J2564" s="34">
        <v>0.29699999999999999</v>
      </c>
      <c r="K2564" s="34">
        <f t="shared" si="80"/>
        <v>11490.93</v>
      </c>
      <c r="L2564" s="34">
        <v>3.98</v>
      </c>
      <c r="M2564" s="34">
        <v>154082.5</v>
      </c>
      <c r="N2564" s="34">
        <f t="shared" ref="N2564:N2627" si="81">L2564/J2564</f>
        <v>13.400673400673401</v>
      </c>
    </row>
    <row r="2565" spans="1:14" x14ac:dyDescent="0.45">
      <c r="A2565" s="30">
        <v>2024</v>
      </c>
      <c r="B2565" s="30" t="s">
        <v>9</v>
      </c>
      <c r="C2565" s="30" t="s">
        <v>46</v>
      </c>
      <c r="D2565" s="30" t="s">
        <v>47</v>
      </c>
      <c r="E2565" s="32" t="s">
        <v>233</v>
      </c>
      <c r="F2565" s="32" t="s">
        <v>57</v>
      </c>
      <c r="G2565" s="32" t="s">
        <v>50</v>
      </c>
      <c r="H2565" s="33">
        <v>46120</v>
      </c>
      <c r="I2565" s="34">
        <f>Table3[[#This Row],[Volume, kg.]]/1000</f>
        <v>46.12</v>
      </c>
      <c r="J2565" s="34">
        <v>0.29549999999999998</v>
      </c>
      <c r="K2565" s="34">
        <f t="shared" si="80"/>
        <v>13628.46</v>
      </c>
      <c r="L2565" s="34">
        <v>3.98</v>
      </c>
      <c r="M2565" s="34">
        <v>183479</v>
      </c>
      <c r="N2565" s="34">
        <f t="shared" si="81"/>
        <v>13.468697123519458</v>
      </c>
    </row>
    <row r="2566" spans="1:14" x14ac:dyDescent="0.45">
      <c r="A2566" s="30">
        <v>2024</v>
      </c>
      <c r="B2566" s="30" t="s">
        <v>9</v>
      </c>
      <c r="C2566" s="30" t="s">
        <v>46</v>
      </c>
      <c r="D2566" s="30" t="s">
        <v>47</v>
      </c>
      <c r="E2566" s="32" t="s">
        <v>90</v>
      </c>
      <c r="F2566" s="32" t="s">
        <v>49</v>
      </c>
      <c r="G2566" s="32" t="s">
        <v>50</v>
      </c>
      <c r="H2566" s="33">
        <v>38390</v>
      </c>
      <c r="I2566" s="34">
        <f>Table3[[#This Row],[Volume, kg.]]/1000</f>
        <v>38.39</v>
      </c>
      <c r="J2566" s="34">
        <v>0.26280000000000003</v>
      </c>
      <c r="K2566" s="34">
        <f t="shared" si="80"/>
        <v>10088.892000000002</v>
      </c>
      <c r="L2566" s="34">
        <v>3.8</v>
      </c>
      <c r="M2566" s="34">
        <v>145924.5</v>
      </c>
      <c r="N2566" s="34">
        <f t="shared" si="81"/>
        <v>14.459665144596649</v>
      </c>
    </row>
    <row r="2567" spans="1:14" x14ac:dyDescent="0.45">
      <c r="A2567" s="30">
        <v>2024</v>
      </c>
      <c r="B2567" s="30" t="s">
        <v>9</v>
      </c>
      <c r="C2567" s="30" t="s">
        <v>46</v>
      </c>
      <c r="D2567" s="30" t="s">
        <v>47</v>
      </c>
      <c r="E2567" s="32" t="s">
        <v>88</v>
      </c>
      <c r="F2567" s="32" t="s">
        <v>49</v>
      </c>
      <c r="G2567" s="32" t="s">
        <v>50</v>
      </c>
      <c r="H2567" s="33">
        <v>23640</v>
      </c>
      <c r="I2567" s="34">
        <f>Table3[[#This Row],[Volume, kg.]]/1000</f>
        <v>23.64</v>
      </c>
      <c r="J2567" s="34">
        <v>0.27979999999999999</v>
      </c>
      <c r="K2567" s="34">
        <f t="shared" si="80"/>
        <v>6614.4719999999998</v>
      </c>
      <c r="L2567" s="34">
        <v>3.9</v>
      </c>
      <c r="M2567" s="34">
        <v>92196</v>
      </c>
      <c r="N2567" s="34">
        <f t="shared" si="81"/>
        <v>13.938527519656898</v>
      </c>
    </row>
    <row r="2568" spans="1:14" x14ac:dyDescent="0.45">
      <c r="A2568" s="30">
        <v>2024</v>
      </c>
      <c r="B2568" s="30" t="s">
        <v>9</v>
      </c>
      <c r="C2568" s="30" t="s">
        <v>46</v>
      </c>
      <c r="D2568" s="30" t="s">
        <v>47</v>
      </c>
      <c r="E2568" s="32" t="s">
        <v>599</v>
      </c>
      <c r="F2568" s="32" t="s">
        <v>57</v>
      </c>
      <c r="G2568" s="32" t="s">
        <v>50</v>
      </c>
      <c r="H2568" s="33">
        <v>53040</v>
      </c>
      <c r="I2568" s="34">
        <f>Table3[[#This Row],[Volume, kg.]]/1000</f>
        <v>53.04</v>
      </c>
      <c r="J2568" s="34">
        <v>0.28550000000000003</v>
      </c>
      <c r="K2568" s="34">
        <f t="shared" si="80"/>
        <v>15142.920000000002</v>
      </c>
      <c r="L2568" s="34">
        <v>3.92</v>
      </c>
      <c r="M2568" s="34">
        <v>207866.5</v>
      </c>
      <c r="N2568" s="34">
        <f t="shared" si="81"/>
        <v>13.730297723292468</v>
      </c>
    </row>
    <row r="2569" spans="1:14" x14ac:dyDescent="0.45">
      <c r="A2569" s="30">
        <v>2024</v>
      </c>
      <c r="B2569" s="30" t="s">
        <v>9</v>
      </c>
      <c r="C2569" s="30" t="s">
        <v>46</v>
      </c>
      <c r="D2569" s="30" t="s">
        <v>47</v>
      </c>
      <c r="E2569" s="32" t="s">
        <v>356</v>
      </c>
      <c r="F2569" s="32" t="s">
        <v>49</v>
      </c>
      <c r="G2569" s="32" t="s">
        <v>50</v>
      </c>
      <c r="H2569" s="33">
        <v>830</v>
      </c>
      <c r="I2569" s="34">
        <f>Table3[[#This Row],[Volume, kg.]]/1000</f>
        <v>0.83</v>
      </c>
      <c r="J2569" s="34">
        <v>0.27250000000000002</v>
      </c>
      <c r="K2569" s="34">
        <f t="shared" si="80"/>
        <v>226.17500000000001</v>
      </c>
      <c r="L2569" s="34">
        <v>3.85</v>
      </c>
      <c r="M2569" s="34">
        <v>3195.5</v>
      </c>
      <c r="N2569" s="34">
        <f t="shared" si="81"/>
        <v>14.128440366972477</v>
      </c>
    </row>
    <row r="2570" spans="1:14" x14ac:dyDescent="0.45">
      <c r="A2570" s="30">
        <v>2024</v>
      </c>
      <c r="B2570" s="30" t="s">
        <v>9</v>
      </c>
      <c r="C2570" s="30" t="s">
        <v>46</v>
      </c>
      <c r="D2570" s="30" t="s">
        <v>47</v>
      </c>
      <c r="E2570" s="32" t="s">
        <v>545</v>
      </c>
      <c r="F2570" s="32" t="s">
        <v>54</v>
      </c>
      <c r="G2570" s="32" t="s">
        <v>50</v>
      </c>
      <c r="H2570" s="33">
        <v>25000</v>
      </c>
      <c r="I2570" s="34">
        <f>Table3[[#This Row],[Volume, kg.]]/1000</f>
        <v>25</v>
      </c>
      <c r="J2570" s="34">
        <v>0.28499999999999998</v>
      </c>
      <c r="K2570" s="34">
        <f t="shared" si="80"/>
        <v>7124.9999999999991</v>
      </c>
      <c r="L2570" s="34">
        <v>3.95</v>
      </c>
      <c r="M2570" s="34">
        <v>98750</v>
      </c>
      <c r="N2570" s="34">
        <f t="shared" si="81"/>
        <v>13.859649122807019</v>
      </c>
    </row>
    <row r="2571" spans="1:14" x14ac:dyDescent="0.45">
      <c r="A2571" s="30">
        <v>2024</v>
      </c>
      <c r="B2571" s="30" t="s">
        <v>9</v>
      </c>
      <c r="C2571" s="30" t="s">
        <v>46</v>
      </c>
      <c r="D2571" s="30" t="s">
        <v>47</v>
      </c>
      <c r="E2571" s="32" t="s">
        <v>537</v>
      </c>
      <c r="F2571" s="32" t="s">
        <v>49</v>
      </c>
      <c r="G2571" s="32" t="s">
        <v>50</v>
      </c>
      <c r="H2571" s="33">
        <v>10410</v>
      </c>
      <c r="I2571" s="34">
        <f>Table3[[#This Row],[Volume, kg.]]/1000</f>
        <v>10.41</v>
      </c>
      <c r="J2571" s="34">
        <v>0.24100000000000002</v>
      </c>
      <c r="K2571" s="34">
        <f t="shared" si="80"/>
        <v>2508.8100000000004</v>
      </c>
      <c r="L2571" s="34">
        <v>3.7</v>
      </c>
      <c r="M2571" s="34">
        <v>38517</v>
      </c>
      <c r="N2571" s="34">
        <f t="shared" si="81"/>
        <v>15.352697095435683</v>
      </c>
    </row>
    <row r="2572" spans="1:14" x14ac:dyDescent="0.45">
      <c r="A2572" s="30">
        <v>2024</v>
      </c>
      <c r="B2572" s="30" t="s">
        <v>9</v>
      </c>
      <c r="C2572" s="30" t="s">
        <v>46</v>
      </c>
      <c r="D2572" s="30" t="s">
        <v>47</v>
      </c>
      <c r="E2572" s="32" t="s">
        <v>116</v>
      </c>
      <c r="F2572" s="32" t="s">
        <v>81</v>
      </c>
      <c r="G2572" s="32" t="s">
        <v>50</v>
      </c>
      <c r="H2572" s="33">
        <v>152230</v>
      </c>
      <c r="I2572" s="34">
        <f>Table3[[#This Row],[Volume, kg.]]/1000</f>
        <v>152.22999999999999</v>
      </c>
      <c r="J2572" s="34">
        <v>0.29420000000000002</v>
      </c>
      <c r="K2572" s="34">
        <f t="shared" si="80"/>
        <v>44786.066000000006</v>
      </c>
      <c r="L2572" s="34">
        <v>3.98</v>
      </c>
      <c r="M2572" s="34">
        <v>605155</v>
      </c>
      <c r="N2572" s="34">
        <f t="shared" si="81"/>
        <v>13.528212100611828</v>
      </c>
    </row>
    <row r="2573" spans="1:14" x14ac:dyDescent="0.45">
      <c r="A2573" s="30">
        <v>2024</v>
      </c>
      <c r="B2573" s="30" t="s">
        <v>9</v>
      </c>
      <c r="C2573" s="30" t="s">
        <v>46</v>
      </c>
      <c r="D2573" s="30" t="s">
        <v>47</v>
      </c>
      <c r="E2573" s="32" t="s">
        <v>186</v>
      </c>
      <c r="F2573" s="32" t="s">
        <v>64</v>
      </c>
      <c r="G2573" s="32" t="s">
        <v>50</v>
      </c>
      <c r="H2573" s="33">
        <v>58860</v>
      </c>
      <c r="I2573" s="34">
        <f>Table3[[#This Row],[Volume, kg.]]/1000</f>
        <v>58.86</v>
      </c>
      <c r="J2573" s="34">
        <v>0.27529999999999999</v>
      </c>
      <c r="K2573" s="34">
        <f t="shared" si="80"/>
        <v>16204.157999999999</v>
      </c>
      <c r="L2573" s="34">
        <v>3.88</v>
      </c>
      <c r="M2573" s="34">
        <v>228317</v>
      </c>
      <c r="N2573" s="34">
        <f t="shared" si="81"/>
        <v>14.093715946240465</v>
      </c>
    </row>
    <row r="2574" spans="1:14" x14ac:dyDescent="0.45">
      <c r="A2574" s="30">
        <v>2024</v>
      </c>
      <c r="B2574" s="30" t="s">
        <v>9</v>
      </c>
      <c r="C2574" s="30" t="s">
        <v>46</v>
      </c>
      <c r="D2574" s="30" t="s">
        <v>47</v>
      </c>
      <c r="E2574" s="32" t="s">
        <v>225</v>
      </c>
      <c r="F2574" s="32" t="s">
        <v>64</v>
      </c>
      <c r="G2574" s="32" t="s">
        <v>50</v>
      </c>
      <c r="H2574" s="33">
        <v>196100</v>
      </c>
      <c r="I2574" s="34">
        <f>Table3[[#This Row],[Volume, kg.]]/1000</f>
        <v>196.1</v>
      </c>
      <c r="J2574" s="34">
        <v>0.2858</v>
      </c>
      <c r="K2574" s="34">
        <f t="shared" si="80"/>
        <v>56045.38</v>
      </c>
      <c r="L2574" s="34">
        <v>3.93</v>
      </c>
      <c r="M2574" s="34">
        <v>770042.5</v>
      </c>
      <c r="N2574" s="34">
        <f t="shared" si="81"/>
        <v>13.750874737578727</v>
      </c>
    </row>
    <row r="2575" spans="1:14" x14ac:dyDescent="0.45">
      <c r="A2575" s="30">
        <v>2024</v>
      </c>
      <c r="B2575" s="30" t="s">
        <v>9</v>
      </c>
      <c r="C2575" s="30" t="s">
        <v>46</v>
      </c>
      <c r="D2575" s="30" t="s">
        <v>47</v>
      </c>
      <c r="E2575" s="32" t="s">
        <v>200</v>
      </c>
      <c r="F2575" s="32" t="s">
        <v>64</v>
      </c>
      <c r="G2575" s="32" t="s">
        <v>50</v>
      </c>
      <c r="H2575" s="33">
        <v>145890</v>
      </c>
      <c r="I2575" s="34">
        <f>Table3[[#This Row],[Volume, kg.]]/1000</f>
        <v>145.88999999999999</v>
      </c>
      <c r="J2575" s="34">
        <v>0.27899999999999997</v>
      </c>
      <c r="K2575" s="34">
        <f t="shared" si="80"/>
        <v>40703.31</v>
      </c>
      <c r="L2575" s="34">
        <v>3.9</v>
      </c>
      <c r="M2575" s="34">
        <v>568437.5</v>
      </c>
      <c r="N2575" s="34">
        <f t="shared" si="81"/>
        <v>13.978494623655916</v>
      </c>
    </row>
    <row r="2576" spans="1:14" x14ac:dyDescent="0.45">
      <c r="A2576" s="30">
        <v>2024</v>
      </c>
      <c r="B2576" s="30" t="s">
        <v>9</v>
      </c>
      <c r="C2576" s="30" t="s">
        <v>46</v>
      </c>
      <c r="D2576" s="30" t="s">
        <v>47</v>
      </c>
      <c r="E2576" s="32" t="s">
        <v>175</v>
      </c>
      <c r="F2576" s="32" t="s">
        <v>64</v>
      </c>
      <c r="G2576" s="32" t="s">
        <v>50</v>
      </c>
      <c r="H2576" s="33">
        <v>42400</v>
      </c>
      <c r="I2576" s="34">
        <f>Table3[[#This Row],[Volume, kg.]]/1000</f>
        <v>42.4</v>
      </c>
      <c r="J2576" s="34">
        <v>0.28649999999999998</v>
      </c>
      <c r="K2576" s="34">
        <f t="shared" si="80"/>
        <v>12147.599999999999</v>
      </c>
      <c r="L2576" s="34">
        <v>3.94</v>
      </c>
      <c r="M2576" s="34">
        <v>167023.5</v>
      </c>
      <c r="N2576" s="34">
        <f t="shared" si="81"/>
        <v>13.7521815008726</v>
      </c>
    </row>
    <row r="2577" spans="1:14" x14ac:dyDescent="0.45">
      <c r="A2577" s="30">
        <v>2024</v>
      </c>
      <c r="B2577" s="30" t="s">
        <v>9</v>
      </c>
      <c r="C2577" s="30" t="s">
        <v>46</v>
      </c>
      <c r="D2577" s="30" t="s">
        <v>47</v>
      </c>
      <c r="E2577" s="32" t="s">
        <v>304</v>
      </c>
      <c r="F2577" s="32" t="s">
        <v>64</v>
      </c>
      <c r="G2577" s="32" t="s">
        <v>50</v>
      </c>
      <c r="H2577" s="33">
        <v>43550</v>
      </c>
      <c r="I2577" s="34">
        <f>Table3[[#This Row],[Volume, kg.]]/1000</f>
        <v>43.55</v>
      </c>
      <c r="J2577" s="34">
        <v>0.25309999999999999</v>
      </c>
      <c r="K2577" s="34">
        <f t="shared" si="80"/>
        <v>11022.504999999999</v>
      </c>
      <c r="L2577" s="34">
        <v>3.77</v>
      </c>
      <c r="M2577" s="34">
        <v>164340</v>
      </c>
      <c r="N2577" s="34">
        <f t="shared" si="81"/>
        <v>14.895298301066772</v>
      </c>
    </row>
    <row r="2578" spans="1:14" x14ac:dyDescent="0.45">
      <c r="A2578" s="30">
        <v>2024</v>
      </c>
      <c r="B2578" s="30" t="s">
        <v>9</v>
      </c>
      <c r="C2578" s="30" t="s">
        <v>46</v>
      </c>
      <c r="D2578" s="30" t="s">
        <v>47</v>
      </c>
      <c r="E2578" s="32" t="s">
        <v>262</v>
      </c>
      <c r="F2578" s="32" t="s">
        <v>81</v>
      </c>
      <c r="G2578" s="32" t="s">
        <v>50</v>
      </c>
      <c r="H2578" s="33">
        <v>22120</v>
      </c>
      <c r="I2578" s="34">
        <f>Table3[[#This Row],[Volume, kg.]]/1000</f>
        <v>22.12</v>
      </c>
      <c r="J2578" s="34">
        <v>0.26300000000000001</v>
      </c>
      <c r="K2578" s="34">
        <f t="shared" si="80"/>
        <v>5817.56</v>
      </c>
      <c r="L2578" s="34">
        <v>3.82</v>
      </c>
      <c r="M2578" s="34">
        <v>84596</v>
      </c>
      <c r="N2578" s="34">
        <f t="shared" si="81"/>
        <v>14.524714828897338</v>
      </c>
    </row>
    <row r="2579" spans="1:14" x14ac:dyDescent="0.45">
      <c r="A2579" s="30">
        <v>2024</v>
      </c>
      <c r="B2579" s="30" t="s">
        <v>9</v>
      </c>
      <c r="C2579" s="30" t="s">
        <v>46</v>
      </c>
      <c r="D2579" s="30" t="s">
        <v>47</v>
      </c>
      <c r="E2579" s="32" t="s">
        <v>197</v>
      </c>
      <c r="F2579" s="32" t="s">
        <v>57</v>
      </c>
      <c r="G2579" s="32" t="s">
        <v>50</v>
      </c>
      <c r="H2579" s="33">
        <v>2480</v>
      </c>
      <c r="I2579" s="34">
        <f>Table3[[#This Row],[Volume, kg.]]/1000</f>
        <v>2.48</v>
      </c>
      <c r="J2579" s="34">
        <v>0.27300000000000002</v>
      </c>
      <c r="K2579" s="34">
        <f t="shared" si="80"/>
        <v>677.04000000000008</v>
      </c>
      <c r="L2579" s="34">
        <v>3.85</v>
      </c>
      <c r="M2579" s="34">
        <v>9548</v>
      </c>
      <c r="N2579" s="34">
        <f t="shared" si="81"/>
        <v>14.102564102564102</v>
      </c>
    </row>
    <row r="2580" spans="1:14" x14ac:dyDescent="0.45">
      <c r="A2580" s="30">
        <v>2024</v>
      </c>
      <c r="B2580" s="30" t="s">
        <v>9</v>
      </c>
      <c r="C2580" s="30" t="s">
        <v>46</v>
      </c>
      <c r="D2580" s="30" t="s">
        <v>47</v>
      </c>
      <c r="E2580" s="32" t="s">
        <v>177</v>
      </c>
      <c r="F2580" s="32" t="s">
        <v>49</v>
      </c>
      <c r="G2580" s="32" t="s">
        <v>50</v>
      </c>
      <c r="H2580" s="33">
        <v>9900</v>
      </c>
      <c r="I2580" s="34">
        <f>Table3[[#This Row],[Volume, kg.]]/1000</f>
        <v>9.9</v>
      </c>
      <c r="J2580" s="34">
        <v>0.26789999999999997</v>
      </c>
      <c r="K2580" s="34">
        <f t="shared" si="80"/>
        <v>2652.2099999999996</v>
      </c>
      <c r="L2580" s="34">
        <v>3.83</v>
      </c>
      <c r="M2580" s="34">
        <v>37965.5</v>
      </c>
      <c r="N2580" s="34">
        <f t="shared" si="81"/>
        <v>14.29637924598731</v>
      </c>
    </row>
    <row r="2581" spans="1:14" x14ac:dyDescent="0.45">
      <c r="A2581" s="30">
        <v>2024</v>
      </c>
      <c r="B2581" s="30" t="s">
        <v>9</v>
      </c>
      <c r="C2581" s="30" t="s">
        <v>46</v>
      </c>
      <c r="D2581" s="30" t="s">
        <v>47</v>
      </c>
      <c r="E2581" s="32" t="s">
        <v>206</v>
      </c>
      <c r="F2581" s="32" t="s">
        <v>81</v>
      </c>
      <c r="G2581" s="32" t="s">
        <v>50</v>
      </c>
      <c r="H2581" s="33">
        <v>279000</v>
      </c>
      <c r="I2581" s="34">
        <f>Table3[[#This Row],[Volume, kg.]]/1000</f>
        <v>279</v>
      </c>
      <c r="J2581" s="34">
        <v>0.27679999999999999</v>
      </c>
      <c r="K2581" s="34">
        <f t="shared" si="80"/>
        <v>77227.199999999997</v>
      </c>
      <c r="L2581" s="34">
        <v>3.88</v>
      </c>
      <c r="M2581" s="34">
        <v>1083516</v>
      </c>
      <c r="N2581" s="34">
        <f t="shared" si="81"/>
        <v>14.017341040462428</v>
      </c>
    </row>
    <row r="2582" spans="1:14" x14ac:dyDescent="0.45">
      <c r="A2582" s="30">
        <v>2024</v>
      </c>
      <c r="B2582" s="30" t="s">
        <v>9</v>
      </c>
      <c r="C2582" s="30" t="s">
        <v>46</v>
      </c>
      <c r="D2582" s="30" t="s">
        <v>47</v>
      </c>
      <c r="E2582" s="32" t="s">
        <v>272</v>
      </c>
      <c r="F2582" s="32" t="s">
        <v>60</v>
      </c>
      <c r="G2582" s="32" t="s">
        <v>50</v>
      </c>
      <c r="H2582" s="33">
        <v>41340</v>
      </c>
      <c r="I2582" s="34">
        <f>Table3[[#This Row],[Volume, kg.]]/1000</f>
        <v>41.34</v>
      </c>
      <c r="J2582" s="34">
        <v>0.30870000000000003</v>
      </c>
      <c r="K2582" s="34">
        <f t="shared" si="80"/>
        <v>12761.658000000001</v>
      </c>
      <c r="L2582" s="34">
        <v>4.04</v>
      </c>
      <c r="M2582" s="34">
        <v>167027</v>
      </c>
      <c r="N2582" s="34">
        <f t="shared" si="81"/>
        <v>13.087139617751861</v>
      </c>
    </row>
    <row r="2583" spans="1:14" x14ac:dyDescent="0.45">
      <c r="A2583" s="30">
        <v>2024</v>
      </c>
      <c r="B2583" s="30" t="s">
        <v>9</v>
      </c>
      <c r="C2583" s="30" t="s">
        <v>46</v>
      </c>
      <c r="D2583" s="30" t="s">
        <v>47</v>
      </c>
      <c r="E2583" s="32" t="s">
        <v>350</v>
      </c>
      <c r="F2583" s="32" t="s">
        <v>49</v>
      </c>
      <c r="G2583" s="32" t="s">
        <v>50</v>
      </c>
      <c r="H2583" s="33">
        <v>32270</v>
      </c>
      <c r="I2583" s="34">
        <f>Table3[[#This Row],[Volume, kg.]]/1000</f>
        <v>32.270000000000003</v>
      </c>
      <c r="J2583" s="34">
        <v>0.28300000000000003</v>
      </c>
      <c r="K2583" s="34">
        <f t="shared" si="80"/>
        <v>9132.4100000000017</v>
      </c>
      <c r="L2583" s="34">
        <v>3.91</v>
      </c>
      <c r="M2583" s="34">
        <v>126084.5</v>
      </c>
      <c r="N2583" s="34">
        <f t="shared" si="81"/>
        <v>13.816254416961129</v>
      </c>
    </row>
    <row r="2584" spans="1:14" x14ac:dyDescent="0.45">
      <c r="A2584" s="30">
        <v>2024</v>
      </c>
      <c r="B2584" s="30" t="s">
        <v>9</v>
      </c>
      <c r="C2584" s="30" t="s">
        <v>46</v>
      </c>
      <c r="D2584" s="30" t="s">
        <v>47</v>
      </c>
      <c r="E2584" s="32" t="s">
        <v>312</v>
      </c>
      <c r="F2584" s="32" t="s">
        <v>60</v>
      </c>
      <c r="G2584" s="32" t="s">
        <v>50</v>
      </c>
      <c r="H2584" s="33">
        <v>22200</v>
      </c>
      <c r="I2584" s="34">
        <f>Table3[[#This Row],[Volume, kg.]]/1000</f>
        <v>22.2</v>
      </c>
      <c r="J2584" s="34">
        <v>0.27460000000000001</v>
      </c>
      <c r="K2584" s="34">
        <f t="shared" si="80"/>
        <v>6096.12</v>
      </c>
      <c r="L2584" s="34">
        <v>3.87</v>
      </c>
      <c r="M2584" s="34">
        <v>85869</v>
      </c>
      <c r="N2584" s="34">
        <f t="shared" si="81"/>
        <v>14.093226511289147</v>
      </c>
    </row>
    <row r="2585" spans="1:14" x14ac:dyDescent="0.45">
      <c r="A2585" s="30">
        <v>2024</v>
      </c>
      <c r="B2585" s="30" t="s">
        <v>9</v>
      </c>
      <c r="C2585" s="30" t="s">
        <v>46</v>
      </c>
      <c r="D2585" s="30" t="s">
        <v>47</v>
      </c>
      <c r="E2585" s="32" t="s">
        <v>548</v>
      </c>
      <c r="F2585" s="32" t="s">
        <v>49</v>
      </c>
      <c r="G2585" s="32" t="s">
        <v>50</v>
      </c>
      <c r="H2585" s="33">
        <v>66600</v>
      </c>
      <c r="I2585" s="34">
        <f>Table3[[#This Row],[Volume, kg.]]/1000</f>
        <v>66.599999999999994</v>
      </c>
      <c r="J2585" s="34">
        <v>0.28749999999999998</v>
      </c>
      <c r="K2585" s="34">
        <f t="shared" si="80"/>
        <v>19147.5</v>
      </c>
      <c r="L2585" s="34">
        <v>3.93</v>
      </c>
      <c r="M2585" s="34">
        <v>261881</v>
      </c>
      <c r="N2585" s="34">
        <f t="shared" si="81"/>
        <v>13.669565217391305</v>
      </c>
    </row>
    <row r="2586" spans="1:14" x14ac:dyDescent="0.45">
      <c r="A2586" s="30">
        <v>2024</v>
      </c>
      <c r="B2586" s="30" t="s">
        <v>9</v>
      </c>
      <c r="C2586" s="30" t="s">
        <v>46</v>
      </c>
      <c r="D2586" s="30" t="s">
        <v>47</v>
      </c>
      <c r="E2586" s="32" t="s">
        <v>98</v>
      </c>
      <c r="F2586" s="32" t="s">
        <v>49</v>
      </c>
      <c r="G2586" s="32" t="s">
        <v>50</v>
      </c>
      <c r="H2586" s="33">
        <v>13640</v>
      </c>
      <c r="I2586" s="34">
        <f>Table3[[#This Row],[Volume, kg.]]/1000</f>
        <v>13.64</v>
      </c>
      <c r="J2586" s="34">
        <v>0.27110000000000001</v>
      </c>
      <c r="K2586" s="34">
        <f t="shared" si="80"/>
        <v>3697.8040000000001</v>
      </c>
      <c r="L2586" s="34">
        <v>3.86</v>
      </c>
      <c r="M2586" s="34">
        <v>52665.5</v>
      </c>
      <c r="N2586" s="34">
        <f t="shared" si="81"/>
        <v>14.238288454444854</v>
      </c>
    </row>
    <row r="2587" spans="1:14" x14ac:dyDescent="0.45">
      <c r="A2587" s="30">
        <v>2024</v>
      </c>
      <c r="B2587" s="30" t="s">
        <v>9</v>
      </c>
      <c r="C2587" s="30" t="s">
        <v>46</v>
      </c>
      <c r="D2587" s="30" t="s">
        <v>47</v>
      </c>
      <c r="E2587" s="32" t="s">
        <v>129</v>
      </c>
      <c r="F2587" s="32" t="s">
        <v>57</v>
      </c>
      <c r="G2587" s="32" t="s">
        <v>50</v>
      </c>
      <c r="H2587" s="33">
        <v>45370</v>
      </c>
      <c r="I2587" s="34">
        <f>Table3[[#This Row],[Volume, kg.]]/1000</f>
        <v>45.37</v>
      </c>
      <c r="J2587" s="34">
        <v>0.2792</v>
      </c>
      <c r="K2587" s="34">
        <f t="shared" si="80"/>
        <v>12667.304</v>
      </c>
      <c r="L2587" s="34">
        <v>3.9</v>
      </c>
      <c r="M2587" s="34">
        <v>176816</v>
      </c>
      <c r="N2587" s="34">
        <f t="shared" si="81"/>
        <v>13.968481375358166</v>
      </c>
    </row>
    <row r="2588" spans="1:14" x14ac:dyDescent="0.45">
      <c r="A2588" s="30">
        <v>2024</v>
      </c>
      <c r="B2588" s="30" t="s">
        <v>9</v>
      </c>
      <c r="C2588" s="30" t="s">
        <v>46</v>
      </c>
      <c r="D2588" s="30" t="s">
        <v>47</v>
      </c>
      <c r="E2588" s="32" t="s">
        <v>374</v>
      </c>
      <c r="F2588" s="32" t="s">
        <v>81</v>
      </c>
      <c r="G2588" s="32" t="s">
        <v>50</v>
      </c>
      <c r="H2588" s="33">
        <v>16610</v>
      </c>
      <c r="I2588" s="34">
        <f>Table3[[#This Row],[Volume, kg.]]/1000</f>
        <v>16.61</v>
      </c>
      <c r="J2588" s="34">
        <v>0.27129999999999999</v>
      </c>
      <c r="K2588" s="34">
        <f t="shared" si="80"/>
        <v>4506.2929999999997</v>
      </c>
      <c r="L2588" s="34">
        <v>3.84</v>
      </c>
      <c r="M2588" s="34">
        <v>63729</v>
      </c>
      <c r="N2588" s="34">
        <f t="shared" si="81"/>
        <v>14.154072981938814</v>
      </c>
    </row>
    <row r="2589" spans="1:14" x14ac:dyDescent="0.45">
      <c r="A2589" s="30">
        <v>2024</v>
      </c>
      <c r="B2589" s="30" t="s">
        <v>9</v>
      </c>
      <c r="C2589" s="30" t="s">
        <v>46</v>
      </c>
      <c r="D2589" s="30" t="s">
        <v>47</v>
      </c>
      <c r="E2589" s="32" t="s">
        <v>583</v>
      </c>
      <c r="F2589" s="32" t="s">
        <v>64</v>
      </c>
      <c r="G2589" s="32" t="s">
        <v>50</v>
      </c>
      <c r="H2589" s="33">
        <v>80060</v>
      </c>
      <c r="I2589" s="34">
        <f>Table3[[#This Row],[Volume, kg.]]/1000</f>
        <v>80.06</v>
      </c>
      <c r="J2589" s="34">
        <v>0.26780000000000004</v>
      </c>
      <c r="K2589" s="34">
        <f t="shared" si="80"/>
        <v>21440.068000000003</v>
      </c>
      <c r="L2589" s="34">
        <v>3.84</v>
      </c>
      <c r="M2589" s="34">
        <v>307266</v>
      </c>
      <c r="N2589" s="34">
        <f t="shared" si="81"/>
        <v>14.339058999253172</v>
      </c>
    </row>
    <row r="2590" spans="1:14" x14ac:dyDescent="0.45">
      <c r="A2590" s="30">
        <v>2024</v>
      </c>
      <c r="B2590" s="30" t="s">
        <v>9</v>
      </c>
      <c r="C2590" s="30" t="s">
        <v>46</v>
      </c>
      <c r="D2590" s="30" t="s">
        <v>47</v>
      </c>
      <c r="E2590" s="32" t="s">
        <v>398</v>
      </c>
      <c r="F2590" s="32" t="s">
        <v>64</v>
      </c>
      <c r="G2590" s="32" t="s">
        <v>50</v>
      </c>
      <c r="H2590" s="33">
        <v>8790</v>
      </c>
      <c r="I2590" s="34">
        <f>Table3[[#This Row],[Volume, kg.]]/1000</f>
        <v>8.7899999999999991</v>
      </c>
      <c r="J2590" s="34">
        <v>0.24600000000000002</v>
      </c>
      <c r="K2590" s="34">
        <f t="shared" si="80"/>
        <v>2162.34</v>
      </c>
      <c r="L2590" s="34">
        <v>3.75</v>
      </c>
      <c r="M2590" s="34">
        <v>32962.5</v>
      </c>
      <c r="N2590" s="34">
        <f t="shared" si="81"/>
        <v>15.243902439024389</v>
      </c>
    </row>
    <row r="2591" spans="1:14" x14ac:dyDescent="0.45">
      <c r="A2591" s="30">
        <v>2024</v>
      </c>
      <c r="B2591" s="30" t="s">
        <v>9</v>
      </c>
      <c r="C2591" s="30" t="s">
        <v>46</v>
      </c>
      <c r="D2591" s="30" t="s">
        <v>47</v>
      </c>
      <c r="E2591" s="32" t="s">
        <v>572</v>
      </c>
      <c r="F2591" s="32" t="s">
        <v>64</v>
      </c>
      <c r="G2591" s="32" t="s">
        <v>50</v>
      </c>
      <c r="H2591" s="33">
        <v>81050</v>
      </c>
      <c r="I2591" s="34">
        <f>Table3[[#This Row],[Volume, kg.]]/1000</f>
        <v>81.05</v>
      </c>
      <c r="J2591" s="34">
        <v>0.26229999999999998</v>
      </c>
      <c r="K2591" s="34">
        <f t="shared" si="80"/>
        <v>21259.414999999997</v>
      </c>
      <c r="L2591" s="34">
        <v>3.81</v>
      </c>
      <c r="M2591" s="34">
        <v>308953.5</v>
      </c>
      <c r="N2591" s="34">
        <f t="shared" si="81"/>
        <v>14.525352649637821</v>
      </c>
    </row>
    <row r="2592" spans="1:14" x14ac:dyDescent="0.45">
      <c r="A2592" s="30">
        <v>2024</v>
      </c>
      <c r="B2592" s="30" t="s">
        <v>9</v>
      </c>
      <c r="C2592" s="30" t="s">
        <v>46</v>
      </c>
      <c r="D2592" s="30" t="s">
        <v>47</v>
      </c>
      <c r="E2592" s="32" t="s">
        <v>584</v>
      </c>
      <c r="F2592" s="32" t="s">
        <v>64</v>
      </c>
      <c r="G2592" s="32" t="s">
        <v>50</v>
      </c>
      <c r="H2592" s="33">
        <v>10520</v>
      </c>
      <c r="I2592" s="34">
        <f>Table3[[#This Row],[Volume, kg.]]/1000</f>
        <v>10.52</v>
      </c>
      <c r="J2592" s="34">
        <v>0.23350000000000001</v>
      </c>
      <c r="K2592" s="34">
        <f t="shared" si="80"/>
        <v>2456.42</v>
      </c>
      <c r="L2592" s="34">
        <v>3.65</v>
      </c>
      <c r="M2592" s="34">
        <v>38398</v>
      </c>
      <c r="N2592" s="34">
        <f t="shared" si="81"/>
        <v>15.631691648822269</v>
      </c>
    </row>
    <row r="2593" spans="1:14" x14ac:dyDescent="0.45">
      <c r="A2593" s="30">
        <v>2024</v>
      </c>
      <c r="B2593" s="30" t="s">
        <v>9</v>
      </c>
      <c r="C2593" s="30" t="s">
        <v>46</v>
      </c>
      <c r="D2593" s="30" t="s">
        <v>102</v>
      </c>
      <c r="E2593" s="32" t="s">
        <v>103</v>
      </c>
      <c r="F2593" s="32" t="s">
        <v>104</v>
      </c>
      <c r="G2593" s="32" t="s">
        <v>105</v>
      </c>
      <c r="H2593" s="33">
        <v>440960</v>
      </c>
      <c r="I2593" s="34">
        <f>Table3[[#This Row],[Volume, kg.]]/1000</f>
        <v>440.96</v>
      </c>
      <c r="J2593" s="34">
        <v>0.2767</v>
      </c>
      <c r="K2593" s="34">
        <f t="shared" si="80"/>
        <v>122013.632</v>
      </c>
      <c r="L2593" s="34">
        <v>3.89</v>
      </c>
      <c r="M2593" s="34">
        <v>1714168</v>
      </c>
      <c r="N2593" s="34">
        <f t="shared" si="81"/>
        <v>14.058547162992411</v>
      </c>
    </row>
    <row r="2594" spans="1:14" x14ac:dyDescent="0.45">
      <c r="A2594" s="30">
        <v>2024</v>
      </c>
      <c r="B2594" s="30" t="s">
        <v>9</v>
      </c>
      <c r="C2594" s="30" t="s">
        <v>46</v>
      </c>
      <c r="D2594" s="30" t="s">
        <v>47</v>
      </c>
      <c r="E2594" s="32" t="s">
        <v>203</v>
      </c>
      <c r="F2594" s="32" t="s">
        <v>57</v>
      </c>
      <c r="G2594" s="32" t="s">
        <v>50</v>
      </c>
      <c r="H2594" s="33">
        <v>10460</v>
      </c>
      <c r="I2594" s="34">
        <f>Table3[[#This Row],[Volume, kg.]]/1000</f>
        <v>10.46</v>
      </c>
      <c r="J2594" s="34">
        <v>0.2445</v>
      </c>
      <c r="K2594" s="34">
        <f t="shared" si="80"/>
        <v>2557.4699999999998</v>
      </c>
      <c r="L2594" s="34">
        <v>3.73</v>
      </c>
      <c r="M2594" s="34">
        <v>39032</v>
      </c>
      <c r="N2594" s="34">
        <f t="shared" si="81"/>
        <v>15.25562372188139</v>
      </c>
    </row>
    <row r="2595" spans="1:14" x14ac:dyDescent="0.45">
      <c r="A2595" s="30">
        <v>2024</v>
      </c>
      <c r="B2595" s="30" t="s">
        <v>9</v>
      </c>
      <c r="C2595" s="30" t="s">
        <v>46</v>
      </c>
      <c r="D2595" s="30" t="s">
        <v>47</v>
      </c>
      <c r="E2595" s="32" t="s">
        <v>137</v>
      </c>
      <c r="F2595" s="32" t="s">
        <v>49</v>
      </c>
      <c r="G2595" s="32" t="s">
        <v>50</v>
      </c>
      <c r="H2595" s="33">
        <v>15990</v>
      </c>
      <c r="I2595" s="34">
        <f>Table3[[#This Row],[Volume, kg.]]/1000</f>
        <v>15.99</v>
      </c>
      <c r="J2595" s="34">
        <v>0.22649999999999998</v>
      </c>
      <c r="K2595" s="34">
        <f t="shared" si="80"/>
        <v>3621.7349999999997</v>
      </c>
      <c r="L2595" s="34">
        <v>3.65</v>
      </c>
      <c r="M2595" s="34">
        <v>58363.5</v>
      </c>
      <c r="N2595" s="34">
        <f t="shared" si="81"/>
        <v>16.114790286975719</v>
      </c>
    </row>
    <row r="2596" spans="1:14" x14ac:dyDescent="0.45">
      <c r="A2596" s="30">
        <v>2024</v>
      </c>
      <c r="B2596" s="30" t="s">
        <v>9</v>
      </c>
      <c r="C2596" s="30" t="s">
        <v>46</v>
      </c>
      <c r="D2596" s="30" t="s">
        <v>47</v>
      </c>
      <c r="E2596" s="32" t="s">
        <v>476</v>
      </c>
      <c r="F2596" s="32" t="s">
        <v>49</v>
      </c>
      <c r="G2596" s="32" t="s">
        <v>50</v>
      </c>
      <c r="H2596" s="33">
        <v>14920</v>
      </c>
      <c r="I2596" s="34">
        <f>Table3[[#This Row],[Volume, kg.]]/1000</f>
        <v>14.92</v>
      </c>
      <c r="J2596" s="34">
        <v>0.24670000000000003</v>
      </c>
      <c r="K2596" s="34">
        <f t="shared" si="80"/>
        <v>3680.7640000000006</v>
      </c>
      <c r="L2596" s="34">
        <v>3.75</v>
      </c>
      <c r="M2596" s="34">
        <v>55887</v>
      </c>
      <c r="N2596" s="34">
        <f t="shared" si="81"/>
        <v>15.200648561005268</v>
      </c>
    </row>
    <row r="2597" spans="1:14" x14ac:dyDescent="0.45">
      <c r="A2597" s="30">
        <v>2024</v>
      </c>
      <c r="B2597" s="30" t="s">
        <v>9</v>
      </c>
      <c r="C2597" s="30" t="s">
        <v>46</v>
      </c>
      <c r="D2597" s="30" t="s">
        <v>102</v>
      </c>
      <c r="E2597" s="32" t="s">
        <v>117</v>
      </c>
      <c r="F2597" s="32" t="s">
        <v>118</v>
      </c>
      <c r="G2597" s="32" t="s">
        <v>119</v>
      </c>
      <c r="H2597" s="33">
        <v>207830</v>
      </c>
      <c r="I2597" s="34">
        <f>Table3[[#This Row],[Volume, kg.]]/1000</f>
        <v>207.83</v>
      </c>
      <c r="J2597" s="34">
        <v>0.28190000000000004</v>
      </c>
      <c r="K2597" s="34">
        <f t="shared" si="80"/>
        <v>58587.277000000009</v>
      </c>
      <c r="L2597" s="34">
        <v>3.92</v>
      </c>
      <c r="M2597" s="34">
        <v>814047</v>
      </c>
      <c r="N2597" s="34">
        <f t="shared" si="81"/>
        <v>13.905640297978005</v>
      </c>
    </row>
    <row r="2598" spans="1:14" x14ac:dyDescent="0.45">
      <c r="A2598" s="30">
        <v>2024</v>
      </c>
      <c r="B2598" s="30" t="s">
        <v>9</v>
      </c>
      <c r="C2598" s="30" t="s">
        <v>46</v>
      </c>
      <c r="D2598" s="30" t="s">
        <v>47</v>
      </c>
      <c r="E2598" s="32" t="s">
        <v>567</v>
      </c>
      <c r="F2598" s="32" t="s">
        <v>49</v>
      </c>
      <c r="G2598" s="32" t="s">
        <v>50</v>
      </c>
      <c r="H2598" s="33">
        <v>300</v>
      </c>
      <c r="I2598" s="34">
        <f>Table3[[#This Row],[Volume, kg.]]/1000</f>
        <v>0.3</v>
      </c>
      <c r="J2598" s="34">
        <v>0.16800000000000001</v>
      </c>
      <c r="K2598" s="34">
        <f t="shared" si="80"/>
        <v>50.400000000000006</v>
      </c>
      <c r="L2598" s="34">
        <v>3.35</v>
      </c>
      <c r="M2598" s="34">
        <v>1005</v>
      </c>
      <c r="N2598" s="34">
        <f t="shared" si="81"/>
        <v>19.94047619047619</v>
      </c>
    </row>
    <row r="2599" spans="1:14" x14ac:dyDescent="0.45">
      <c r="A2599" s="30">
        <v>2024</v>
      </c>
      <c r="B2599" s="30" t="s">
        <v>9</v>
      </c>
      <c r="C2599" s="30" t="s">
        <v>46</v>
      </c>
      <c r="D2599" s="30" t="s">
        <v>47</v>
      </c>
      <c r="E2599" s="32" t="s">
        <v>214</v>
      </c>
      <c r="F2599" s="32" t="s">
        <v>64</v>
      </c>
      <c r="G2599" s="32" t="s">
        <v>50</v>
      </c>
      <c r="H2599" s="33">
        <v>123760</v>
      </c>
      <c r="I2599" s="34">
        <f>Table3[[#This Row],[Volume, kg.]]/1000</f>
        <v>123.76</v>
      </c>
      <c r="J2599" s="34">
        <v>0.29730000000000001</v>
      </c>
      <c r="K2599" s="34">
        <f t="shared" si="80"/>
        <v>36793.847999999998</v>
      </c>
      <c r="L2599" s="34">
        <v>3.97</v>
      </c>
      <c r="M2599" s="34">
        <v>491936</v>
      </c>
      <c r="N2599" s="34">
        <f t="shared" si="81"/>
        <v>13.353514968045745</v>
      </c>
    </row>
    <row r="2600" spans="1:14" x14ac:dyDescent="0.45">
      <c r="A2600" s="30">
        <v>2024</v>
      </c>
      <c r="B2600" s="30" t="s">
        <v>9</v>
      </c>
      <c r="C2600" s="30" t="s">
        <v>46</v>
      </c>
      <c r="D2600" s="30" t="s">
        <v>47</v>
      </c>
      <c r="E2600" s="32" t="s">
        <v>318</v>
      </c>
      <c r="F2600" s="32" t="s">
        <v>60</v>
      </c>
      <c r="G2600" s="32" t="s">
        <v>50</v>
      </c>
      <c r="H2600" s="33">
        <v>89990</v>
      </c>
      <c r="I2600" s="34">
        <f>Table3[[#This Row],[Volume, kg.]]/1000</f>
        <v>89.99</v>
      </c>
      <c r="J2600" s="34">
        <v>0.30020000000000002</v>
      </c>
      <c r="K2600" s="34">
        <f t="shared" si="80"/>
        <v>27014.998000000003</v>
      </c>
      <c r="L2600" s="34">
        <v>3.99</v>
      </c>
      <c r="M2600" s="34">
        <v>359446</v>
      </c>
      <c r="N2600" s="34">
        <f t="shared" si="81"/>
        <v>13.291139240506329</v>
      </c>
    </row>
    <row r="2601" spans="1:14" x14ac:dyDescent="0.45">
      <c r="A2601" s="30">
        <v>2024</v>
      </c>
      <c r="B2601" s="30" t="s">
        <v>9</v>
      </c>
      <c r="C2601" s="30" t="s">
        <v>46</v>
      </c>
      <c r="D2601" s="30" t="s">
        <v>47</v>
      </c>
      <c r="E2601" s="32" t="s">
        <v>221</v>
      </c>
      <c r="F2601" s="32" t="s">
        <v>64</v>
      </c>
      <c r="G2601" s="32" t="s">
        <v>50</v>
      </c>
      <c r="H2601" s="33">
        <v>159150</v>
      </c>
      <c r="I2601" s="34">
        <f>Table3[[#This Row],[Volume, kg.]]/1000</f>
        <v>159.15</v>
      </c>
      <c r="J2601" s="34">
        <v>0.2555</v>
      </c>
      <c r="K2601" s="34">
        <f t="shared" si="80"/>
        <v>40662.825000000004</v>
      </c>
      <c r="L2601" s="34">
        <v>3.77</v>
      </c>
      <c r="M2601" s="34">
        <v>599540</v>
      </c>
      <c r="N2601" s="34">
        <f t="shared" si="81"/>
        <v>14.755381604696673</v>
      </c>
    </row>
    <row r="2602" spans="1:14" x14ac:dyDescent="0.45">
      <c r="A2602" s="30">
        <v>2024</v>
      </c>
      <c r="B2602" s="30" t="s">
        <v>9</v>
      </c>
      <c r="C2602" s="30" t="s">
        <v>46</v>
      </c>
      <c r="D2602" s="30" t="s">
        <v>47</v>
      </c>
      <c r="E2602" s="32" t="s">
        <v>600</v>
      </c>
      <c r="F2602" s="32" t="s">
        <v>64</v>
      </c>
      <c r="G2602" s="32" t="s">
        <v>50</v>
      </c>
      <c r="H2602" s="33">
        <v>58450</v>
      </c>
      <c r="I2602" s="34">
        <f>Table3[[#This Row],[Volume, kg.]]/1000</f>
        <v>58.45</v>
      </c>
      <c r="J2602" s="34">
        <v>0.30990000000000001</v>
      </c>
      <c r="K2602" s="34">
        <f t="shared" si="80"/>
        <v>18113.654999999999</v>
      </c>
      <c r="L2602" s="34">
        <v>4.05</v>
      </c>
      <c r="M2602" s="34">
        <v>236722.5</v>
      </c>
      <c r="N2602" s="34">
        <f t="shared" si="81"/>
        <v>13.068731848983543</v>
      </c>
    </row>
    <row r="2603" spans="1:14" x14ac:dyDescent="0.45">
      <c r="A2603" s="30">
        <v>2024</v>
      </c>
      <c r="B2603" s="30" t="s">
        <v>9</v>
      </c>
      <c r="C2603" s="30" t="s">
        <v>46</v>
      </c>
      <c r="D2603" s="30" t="s">
        <v>47</v>
      </c>
      <c r="E2603" s="32" t="s">
        <v>216</v>
      </c>
      <c r="F2603" s="32" t="s">
        <v>64</v>
      </c>
      <c r="G2603" s="32" t="s">
        <v>50</v>
      </c>
      <c r="H2603" s="33">
        <v>63400</v>
      </c>
      <c r="I2603" s="34">
        <f>Table3[[#This Row],[Volume, kg.]]/1000</f>
        <v>63.4</v>
      </c>
      <c r="J2603" s="34">
        <v>0.27679999999999999</v>
      </c>
      <c r="K2603" s="34">
        <f t="shared" si="80"/>
        <v>17549.12</v>
      </c>
      <c r="L2603" s="34">
        <v>3.87</v>
      </c>
      <c r="M2603" s="34">
        <v>245168</v>
      </c>
      <c r="N2603" s="34">
        <f t="shared" si="81"/>
        <v>13.98121387283237</v>
      </c>
    </row>
    <row r="2604" spans="1:14" x14ac:dyDescent="0.45">
      <c r="A2604" s="30">
        <v>2024</v>
      </c>
      <c r="B2604" s="30" t="s">
        <v>9</v>
      </c>
      <c r="C2604" s="30" t="s">
        <v>46</v>
      </c>
      <c r="D2604" s="30" t="s">
        <v>47</v>
      </c>
      <c r="E2604" s="32" t="s">
        <v>601</v>
      </c>
      <c r="F2604" s="32" t="s">
        <v>60</v>
      </c>
      <c r="G2604" s="32" t="s">
        <v>50</v>
      </c>
      <c r="H2604" s="33">
        <v>103110</v>
      </c>
      <c r="I2604" s="34">
        <f>Table3[[#This Row],[Volume, kg.]]/1000</f>
        <v>103.11</v>
      </c>
      <c r="J2604" s="34">
        <v>0.2787</v>
      </c>
      <c r="K2604" s="34">
        <f t="shared" si="80"/>
        <v>28736.757000000001</v>
      </c>
      <c r="L2604" s="34">
        <v>3.9</v>
      </c>
      <c r="M2604" s="34">
        <v>402057</v>
      </c>
      <c r="N2604" s="34">
        <f t="shared" si="81"/>
        <v>13.993541442411194</v>
      </c>
    </row>
    <row r="2605" spans="1:14" x14ac:dyDescent="0.45">
      <c r="A2605" s="30">
        <v>2024</v>
      </c>
      <c r="B2605" s="30" t="s">
        <v>9</v>
      </c>
      <c r="C2605" s="30" t="s">
        <v>46</v>
      </c>
      <c r="D2605" s="30" t="s">
        <v>47</v>
      </c>
      <c r="E2605" s="32" t="s">
        <v>602</v>
      </c>
      <c r="F2605" s="32" t="s">
        <v>49</v>
      </c>
      <c r="G2605" s="32" t="s">
        <v>50</v>
      </c>
      <c r="H2605" s="33">
        <v>3760</v>
      </c>
      <c r="I2605" s="34">
        <f>Table3[[#This Row],[Volume, kg.]]/1000</f>
        <v>3.76</v>
      </c>
      <c r="J2605" s="34">
        <v>0.23600000000000002</v>
      </c>
      <c r="K2605" s="34">
        <f t="shared" si="80"/>
        <v>887.36</v>
      </c>
      <c r="L2605" s="34">
        <v>3.7</v>
      </c>
      <c r="M2605" s="34">
        <v>13912</v>
      </c>
      <c r="N2605" s="34">
        <f t="shared" si="81"/>
        <v>15.677966101694915</v>
      </c>
    </row>
    <row r="2606" spans="1:14" x14ac:dyDescent="0.45">
      <c r="A2606" s="30">
        <v>2024</v>
      </c>
      <c r="B2606" s="30" t="s">
        <v>9</v>
      </c>
      <c r="C2606" s="30" t="s">
        <v>46</v>
      </c>
      <c r="D2606" s="30" t="s">
        <v>47</v>
      </c>
      <c r="E2606" s="32" t="s">
        <v>243</v>
      </c>
      <c r="F2606" s="32" t="s">
        <v>60</v>
      </c>
      <c r="G2606" s="32" t="s">
        <v>50</v>
      </c>
      <c r="H2606" s="33">
        <v>34310</v>
      </c>
      <c r="I2606" s="34">
        <f>Table3[[#This Row],[Volume, kg.]]/1000</f>
        <v>34.31</v>
      </c>
      <c r="J2606" s="34">
        <v>0.28199999999999997</v>
      </c>
      <c r="K2606" s="34">
        <f t="shared" si="80"/>
        <v>9675.4199999999983</v>
      </c>
      <c r="L2606" s="34">
        <v>3.91</v>
      </c>
      <c r="M2606" s="34">
        <v>134065</v>
      </c>
      <c r="N2606" s="34">
        <f t="shared" si="81"/>
        <v>13.865248226950357</v>
      </c>
    </row>
    <row r="2607" spans="1:14" x14ac:dyDescent="0.45">
      <c r="A2607" s="30">
        <v>2024</v>
      </c>
      <c r="B2607" s="30" t="s">
        <v>9</v>
      </c>
      <c r="C2607" s="30" t="s">
        <v>46</v>
      </c>
      <c r="D2607" s="30" t="s">
        <v>47</v>
      </c>
      <c r="E2607" s="32" t="s">
        <v>148</v>
      </c>
      <c r="F2607" s="32" t="s">
        <v>49</v>
      </c>
      <c r="G2607" s="32" t="s">
        <v>50</v>
      </c>
      <c r="H2607" s="33">
        <v>29970</v>
      </c>
      <c r="I2607" s="34">
        <f>Table3[[#This Row],[Volume, kg.]]/1000</f>
        <v>29.97</v>
      </c>
      <c r="J2607" s="34">
        <v>0.26700000000000002</v>
      </c>
      <c r="K2607" s="34">
        <f t="shared" si="80"/>
        <v>8001.9900000000007</v>
      </c>
      <c r="L2607" s="34">
        <v>3.84</v>
      </c>
      <c r="M2607" s="34">
        <v>115070.5</v>
      </c>
      <c r="N2607" s="34">
        <f t="shared" si="81"/>
        <v>14.38202247191011</v>
      </c>
    </row>
    <row r="2608" spans="1:14" x14ac:dyDescent="0.45">
      <c r="A2608" s="30">
        <v>2024</v>
      </c>
      <c r="B2608" s="30" t="s">
        <v>9</v>
      </c>
      <c r="C2608" s="30" t="s">
        <v>46</v>
      </c>
      <c r="D2608" s="30" t="s">
        <v>47</v>
      </c>
      <c r="E2608" s="32" t="s">
        <v>549</v>
      </c>
      <c r="F2608" s="32" t="s">
        <v>49</v>
      </c>
      <c r="G2608" s="32" t="s">
        <v>50</v>
      </c>
      <c r="H2608" s="33">
        <v>116360</v>
      </c>
      <c r="I2608" s="34">
        <f>Table3[[#This Row],[Volume, kg.]]/1000</f>
        <v>116.36</v>
      </c>
      <c r="J2608" s="34">
        <v>0.27210000000000001</v>
      </c>
      <c r="K2608" s="34">
        <f t="shared" si="80"/>
        <v>31661.556</v>
      </c>
      <c r="L2608" s="34">
        <v>3.86</v>
      </c>
      <c r="M2608" s="34">
        <v>448723.5</v>
      </c>
      <c r="N2608" s="34">
        <f t="shared" si="81"/>
        <v>14.18596104373392</v>
      </c>
    </row>
    <row r="2609" spans="1:14" x14ac:dyDescent="0.45">
      <c r="A2609" s="30">
        <v>2024</v>
      </c>
      <c r="B2609" s="30" t="s">
        <v>9</v>
      </c>
      <c r="C2609" s="30" t="s">
        <v>46</v>
      </c>
      <c r="D2609" s="30" t="s">
        <v>47</v>
      </c>
      <c r="E2609" s="32" t="s">
        <v>477</v>
      </c>
      <c r="F2609" s="32" t="s">
        <v>54</v>
      </c>
      <c r="G2609" s="32" t="s">
        <v>50</v>
      </c>
      <c r="H2609" s="33">
        <v>7960</v>
      </c>
      <c r="I2609" s="34">
        <f>Table3[[#This Row],[Volume, kg.]]/1000</f>
        <v>7.96</v>
      </c>
      <c r="J2609" s="34">
        <v>0.26800000000000002</v>
      </c>
      <c r="K2609" s="34">
        <f t="shared" si="80"/>
        <v>2133.2800000000002</v>
      </c>
      <c r="L2609" s="34">
        <v>3.85</v>
      </c>
      <c r="M2609" s="34">
        <v>30646</v>
      </c>
      <c r="N2609" s="34">
        <f t="shared" si="81"/>
        <v>14.365671641791044</v>
      </c>
    </row>
    <row r="2610" spans="1:14" x14ac:dyDescent="0.45">
      <c r="A2610" s="30">
        <v>2024</v>
      </c>
      <c r="B2610" s="30" t="s">
        <v>9</v>
      </c>
      <c r="C2610" s="30" t="s">
        <v>46</v>
      </c>
      <c r="D2610" s="30" t="s">
        <v>47</v>
      </c>
      <c r="E2610" s="32" t="s">
        <v>204</v>
      </c>
      <c r="F2610" s="32" t="s">
        <v>49</v>
      </c>
      <c r="G2610" s="32" t="s">
        <v>50</v>
      </c>
      <c r="H2610" s="33">
        <v>85800</v>
      </c>
      <c r="I2610" s="34">
        <f>Table3[[#This Row],[Volume, kg.]]/1000</f>
        <v>85.8</v>
      </c>
      <c r="J2610" s="34">
        <v>0.29089999999999999</v>
      </c>
      <c r="K2610" s="34">
        <f t="shared" si="80"/>
        <v>24959.219999999998</v>
      </c>
      <c r="L2610" s="34">
        <v>3.95</v>
      </c>
      <c r="M2610" s="34">
        <v>338980.5</v>
      </c>
      <c r="N2610" s="34">
        <f t="shared" si="81"/>
        <v>13.578549329666552</v>
      </c>
    </row>
    <row r="2611" spans="1:14" x14ac:dyDescent="0.45">
      <c r="A2611" s="30">
        <v>2024</v>
      </c>
      <c r="B2611" s="30" t="s">
        <v>9</v>
      </c>
      <c r="C2611" s="30" t="s">
        <v>46</v>
      </c>
      <c r="D2611" s="30" t="s">
        <v>47</v>
      </c>
      <c r="E2611" s="32" t="s">
        <v>154</v>
      </c>
      <c r="F2611" s="32" t="s">
        <v>60</v>
      </c>
      <c r="G2611" s="32" t="s">
        <v>50</v>
      </c>
      <c r="H2611" s="33">
        <v>4830</v>
      </c>
      <c r="I2611" s="34">
        <f>Table3[[#This Row],[Volume, kg.]]/1000</f>
        <v>4.83</v>
      </c>
      <c r="J2611" s="34">
        <v>0.254</v>
      </c>
      <c r="K2611" s="34">
        <f t="shared" si="80"/>
        <v>1226.82</v>
      </c>
      <c r="L2611" s="34">
        <v>3.75</v>
      </c>
      <c r="M2611" s="34">
        <v>18112.5</v>
      </c>
      <c r="N2611" s="34">
        <f t="shared" si="81"/>
        <v>14.763779527559056</v>
      </c>
    </row>
    <row r="2612" spans="1:14" x14ac:dyDescent="0.45">
      <c r="A2612" s="30">
        <v>2024</v>
      </c>
      <c r="B2612" s="30" t="s">
        <v>9</v>
      </c>
      <c r="C2612" s="30" t="s">
        <v>46</v>
      </c>
      <c r="D2612" s="30" t="s">
        <v>47</v>
      </c>
      <c r="E2612" s="32" t="s">
        <v>211</v>
      </c>
      <c r="F2612" s="32" t="s">
        <v>57</v>
      </c>
      <c r="G2612" s="32" t="s">
        <v>50</v>
      </c>
      <c r="H2612" s="33">
        <v>16640</v>
      </c>
      <c r="I2612" s="34">
        <f>Table3[[#This Row],[Volume, kg.]]/1000</f>
        <v>16.64</v>
      </c>
      <c r="J2612" s="34">
        <v>0.30769999999999997</v>
      </c>
      <c r="K2612" s="34">
        <f t="shared" si="80"/>
        <v>5120.1279999999997</v>
      </c>
      <c r="L2612" s="34">
        <v>4.05</v>
      </c>
      <c r="M2612" s="34">
        <v>67392</v>
      </c>
      <c r="N2612" s="34">
        <f t="shared" si="81"/>
        <v>13.162170945726357</v>
      </c>
    </row>
    <row r="2613" spans="1:14" x14ac:dyDescent="0.45">
      <c r="A2613" s="30">
        <v>2024</v>
      </c>
      <c r="B2613" s="30" t="s">
        <v>9</v>
      </c>
      <c r="C2613" s="30" t="s">
        <v>46</v>
      </c>
      <c r="D2613" s="30" t="s">
        <v>47</v>
      </c>
      <c r="E2613" s="32" t="s">
        <v>75</v>
      </c>
      <c r="F2613" s="32" t="s">
        <v>49</v>
      </c>
      <c r="G2613" s="32" t="s">
        <v>50</v>
      </c>
      <c r="H2613" s="33">
        <v>13510</v>
      </c>
      <c r="I2613" s="34">
        <f>Table3[[#This Row],[Volume, kg.]]/1000</f>
        <v>13.51</v>
      </c>
      <c r="J2613" s="34">
        <v>0.26269999999999999</v>
      </c>
      <c r="K2613" s="34">
        <f t="shared" si="80"/>
        <v>3549.0769999999998</v>
      </c>
      <c r="L2613" s="34">
        <v>3.8</v>
      </c>
      <c r="M2613" s="34">
        <v>51367.5</v>
      </c>
      <c r="N2613" s="34">
        <f t="shared" si="81"/>
        <v>14.465169394746859</v>
      </c>
    </row>
    <row r="2614" spans="1:14" x14ac:dyDescent="0.45">
      <c r="A2614" s="30">
        <v>2024</v>
      </c>
      <c r="B2614" s="30" t="s">
        <v>9</v>
      </c>
      <c r="C2614" s="30" t="s">
        <v>46</v>
      </c>
      <c r="D2614" s="30" t="s">
        <v>47</v>
      </c>
      <c r="E2614" s="32" t="s">
        <v>97</v>
      </c>
      <c r="F2614" s="32" t="s">
        <v>49</v>
      </c>
      <c r="G2614" s="32" t="s">
        <v>50</v>
      </c>
      <c r="H2614" s="33">
        <v>11610</v>
      </c>
      <c r="I2614" s="34">
        <f>Table3[[#This Row],[Volume, kg.]]/1000</f>
        <v>11.61</v>
      </c>
      <c r="J2614" s="34">
        <v>0.2641</v>
      </c>
      <c r="K2614" s="34">
        <f t="shared" si="80"/>
        <v>3066.201</v>
      </c>
      <c r="L2614" s="34">
        <v>3.81</v>
      </c>
      <c r="M2614" s="34">
        <v>44263.5</v>
      </c>
      <c r="N2614" s="34">
        <f t="shared" si="81"/>
        <v>14.426353653918969</v>
      </c>
    </row>
    <row r="2615" spans="1:14" x14ac:dyDescent="0.45">
      <c r="A2615" s="30">
        <v>2024</v>
      </c>
      <c r="B2615" s="30" t="s">
        <v>9</v>
      </c>
      <c r="C2615" s="30" t="s">
        <v>46</v>
      </c>
      <c r="D2615" s="30" t="s">
        <v>47</v>
      </c>
      <c r="E2615" s="32" t="s">
        <v>305</v>
      </c>
      <c r="F2615" s="32" t="s">
        <v>64</v>
      </c>
      <c r="G2615" s="32" t="s">
        <v>50</v>
      </c>
      <c r="H2615" s="33">
        <v>120510</v>
      </c>
      <c r="I2615" s="34">
        <f>Table3[[#This Row],[Volume, kg.]]/1000</f>
        <v>120.51</v>
      </c>
      <c r="J2615" s="34">
        <v>0.28360000000000002</v>
      </c>
      <c r="K2615" s="34">
        <f t="shared" si="80"/>
        <v>34176.636000000006</v>
      </c>
      <c r="L2615" s="34">
        <v>3.91</v>
      </c>
      <c r="M2615" s="34">
        <v>470830</v>
      </c>
      <c r="N2615" s="34">
        <f t="shared" si="81"/>
        <v>13.787023977433003</v>
      </c>
    </row>
    <row r="2616" spans="1:14" x14ac:dyDescent="0.45">
      <c r="A2616" s="30">
        <v>2024</v>
      </c>
      <c r="B2616" s="30" t="s">
        <v>9</v>
      </c>
      <c r="C2616" s="30" t="s">
        <v>46</v>
      </c>
      <c r="D2616" s="30" t="s">
        <v>47</v>
      </c>
      <c r="E2616" s="32" t="s">
        <v>218</v>
      </c>
      <c r="F2616" s="32" t="s">
        <v>49</v>
      </c>
      <c r="G2616" s="32" t="s">
        <v>50</v>
      </c>
      <c r="H2616" s="33">
        <v>10880</v>
      </c>
      <c r="I2616" s="34">
        <f>Table3[[#This Row],[Volume, kg.]]/1000</f>
        <v>10.88</v>
      </c>
      <c r="J2616" s="34">
        <v>0.28850000000000003</v>
      </c>
      <c r="K2616" s="34">
        <f t="shared" si="80"/>
        <v>3138.8800000000006</v>
      </c>
      <c r="L2616" s="34">
        <v>3.95</v>
      </c>
      <c r="M2616" s="34">
        <v>42976</v>
      </c>
      <c r="N2616" s="34">
        <f t="shared" si="81"/>
        <v>13.691507798960137</v>
      </c>
    </row>
    <row r="2617" spans="1:14" x14ac:dyDescent="0.45">
      <c r="A2617" s="30">
        <v>2024</v>
      </c>
      <c r="B2617" s="30" t="s">
        <v>9</v>
      </c>
      <c r="C2617" s="30" t="s">
        <v>46</v>
      </c>
      <c r="D2617" s="30" t="s">
        <v>47</v>
      </c>
      <c r="E2617" s="32" t="s">
        <v>273</v>
      </c>
      <c r="F2617" s="32" t="s">
        <v>49</v>
      </c>
      <c r="G2617" s="32" t="s">
        <v>50</v>
      </c>
      <c r="H2617" s="33">
        <v>13030</v>
      </c>
      <c r="I2617" s="34">
        <f>Table3[[#This Row],[Volume, kg.]]/1000</f>
        <v>13.03</v>
      </c>
      <c r="J2617" s="34">
        <v>0.28149999999999997</v>
      </c>
      <c r="K2617" s="34">
        <f t="shared" si="80"/>
        <v>3667.9449999999997</v>
      </c>
      <c r="L2617" s="34">
        <v>3.9</v>
      </c>
      <c r="M2617" s="34">
        <v>50850</v>
      </c>
      <c r="N2617" s="34">
        <f t="shared" si="81"/>
        <v>13.854351687388988</v>
      </c>
    </row>
    <row r="2618" spans="1:14" x14ac:dyDescent="0.45">
      <c r="A2618" s="30">
        <v>2024</v>
      </c>
      <c r="B2618" s="30" t="s">
        <v>9</v>
      </c>
      <c r="C2618" s="30" t="s">
        <v>46</v>
      </c>
      <c r="D2618" s="30" t="s">
        <v>47</v>
      </c>
      <c r="E2618" s="32" t="s">
        <v>96</v>
      </c>
      <c r="F2618" s="32" t="s">
        <v>49</v>
      </c>
      <c r="G2618" s="32" t="s">
        <v>50</v>
      </c>
      <c r="H2618" s="33">
        <v>46120</v>
      </c>
      <c r="I2618" s="34">
        <f>Table3[[#This Row],[Volume, kg.]]/1000</f>
        <v>46.12</v>
      </c>
      <c r="J2618" s="34">
        <v>0.26289999999999997</v>
      </c>
      <c r="K2618" s="34">
        <f t="shared" si="80"/>
        <v>12124.947999999999</v>
      </c>
      <c r="L2618" s="34">
        <v>3.81</v>
      </c>
      <c r="M2618" s="34">
        <v>175791.5</v>
      </c>
      <c r="N2618" s="34">
        <f t="shared" si="81"/>
        <v>14.492202358311147</v>
      </c>
    </row>
    <row r="2619" spans="1:14" x14ac:dyDescent="0.45">
      <c r="A2619" s="30">
        <v>2024</v>
      </c>
      <c r="B2619" s="30" t="s">
        <v>9</v>
      </c>
      <c r="C2619" s="30" t="s">
        <v>46</v>
      </c>
      <c r="D2619" s="30" t="s">
        <v>47</v>
      </c>
      <c r="E2619" s="32" t="s">
        <v>279</v>
      </c>
      <c r="F2619" s="32" t="s">
        <v>49</v>
      </c>
      <c r="G2619" s="32" t="s">
        <v>50</v>
      </c>
      <c r="H2619" s="33">
        <v>5240</v>
      </c>
      <c r="I2619" s="34">
        <f>Table3[[#This Row],[Volume, kg.]]/1000</f>
        <v>5.24</v>
      </c>
      <c r="J2619" s="34">
        <v>0.28350000000000003</v>
      </c>
      <c r="K2619" s="34">
        <f t="shared" si="80"/>
        <v>1485.5400000000002</v>
      </c>
      <c r="L2619" s="34">
        <v>3.9</v>
      </c>
      <c r="M2619" s="34">
        <v>20436</v>
      </c>
      <c r="N2619" s="34">
        <f t="shared" si="81"/>
        <v>13.756613756613755</v>
      </c>
    </row>
    <row r="2620" spans="1:14" x14ac:dyDescent="0.45">
      <c r="A2620" s="30">
        <v>2024</v>
      </c>
      <c r="B2620" s="30" t="s">
        <v>9</v>
      </c>
      <c r="C2620" s="30" t="s">
        <v>46</v>
      </c>
      <c r="D2620" s="30" t="s">
        <v>102</v>
      </c>
      <c r="E2620" s="32" t="s">
        <v>250</v>
      </c>
      <c r="F2620" s="32" t="s">
        <v>49</v>
      </c>
      <c r="G2620" s="32" t="s">
        <v>50</v>
      </c>
      <c r="H2620" s="33">
        <v>1120420</v>
      </c>
      <c r="I2620" s="34">
        <f>Table3[[#This Row],[Volume, kg.]]/1000</f>
        <v>1120.42</v>
      </c>
      <c r="J2620" s="34">
        <v>0.2863</v>
      </c>
      <c r="K2620" s="34">
        <f t="shared" si="80"/>
        <v>320776.24599999998</v>
      </c>
      <c r="L2620" s="34">
        <v>3.98</v>
      </c>
      <c r="M2620" s="34">
        <v>4457273</v>
      </c>
      <c r="N2620" s="34">
        <f t="shared" si="81"/>
        <v>13.901501921061824</v>
      </c>
    </row>
    <row r="2621" spans="1:14" x14ac:dyDescent="0.45">
      <c r="A2621" s="30">
        <v>2024</v>
      </c>
      <c r="B2621" s="30" t="s">
        <v>9</v>
      </c>
      <c r="C2621" s="30" t="s">
        <v>46</v>
      </c>
      <c r="D2621" s="30" t="s">
        <v>47</v>
      </c>
      <c r="E2621" s="32" t="s">
        <v>155</v>
      </c>
      <c r="F2621" s="32" t="s">
        <v>64</v>
      </c>
      <c r="G2621" s="32" t="s">
        <v>50</v>
      </c>
      <c r="H2621" s="33">
        <v>35000</v>
      </c>
      <c r="I2621" s="34">
        <f>Table3[[#This Row],[Volume, kg.]]/1000</f>
        <v>35</v>
      </c>
      <c r="J2621" s="34">
        <v>0.27789999999999998</v>
      </c>
      <c r="K2621" s="34">
        <f t="shared" si="80"/>
        <v>9726.5</v>
      </c>
      <c r="L2621" s="34">
        <v>3.89</v>
      </c>
      <c r="M2621" s="34">
        <v>136011.5</v>
      </c>
      <c r="N2621" s="34">
        <f t="shared" si="81"/>
        <v>13.99784094998201</v>
      </c>
    </row>
    <row r="2622" spans="1:14" x14ac:dyDescent="0.45">
      <c r="A2622" s="30">
        <v>2024</v>
      </c>
      <c r="B2622" s="30" t="s">
        <v>9</v>
      </c>
      <c r="C2622" s="30" t="s">
        <v>46</v>
      </c>
      <c r="D2622" s="30" t="s">
        <v>47</v>
      </c>
      <c r="E2622" s="32" t="s">
        <v>285</v>
      </c>
      <c r="F2622" s="32" t="s">
        <v>49</v>
      </c>
      <c r="G2622" s="32" t="s">
        <v>50</v>
      </c>
      <c r="H2622" s="33">
        <v>3050</v>
      </c>
      <c r="I2622" s="34">
        <f>Table3[[#This Row],[Volume, kg.]]/1000</f>
        <v>3.05</v>
      </c>
      <c r="J2622" s="34">
        <v>0.20050000000000001</v>
      </c>
      <c r="K2622" s="34">
        <f t="shared" si="80"/>
        <v>611.52500000000009</v>
      </c>
      <c r="L2622" s="34">
        <v>3.45</v>
      </c>
      <c r="M2622" s="34">
        <v>10522.5</v>
      </c>
      <c r="N2622" s="34">
        <f t="shared" si="81"/>
        <v>17.206982543640898</v>
      </c>
    </row>
    <row r="2623" spans="1:14" x14ac:dyDescent="0.45">
      <c r="A2623" s="30">
        <v>2024</v>
      </c>
      <c r="B2623" s="30" t="s">
        <v>9</v>
      </c>
      <c r="C2623" s="30" t="s">
        <v>46</v>
      </c>
      <c r="D2623" s="30" t="s">
        <v>47</v>
      </c>
      <c r="E2623" s="32" t="s">
        <v>254</v>
      </c>
      <c r="F2623" s="32" t="s">
        <v>49</v>
      </c>
      <c r="G2623" s="32" t="s">
        <v>50</v>
      </c>
      <c r="H2623" s="33">
        <v>96070</v>
      </c>
      <c r="I2623" s="34">
        <f>Table3[[#This Row],[Volume, kg.]]/1000</f>
        <v>96.07</v>
      </c>
      <c r="J2623" s="34">
        <v>0.27679999999999999</v>
      </c>
      <c r="K2623" s="34">
        <f t="shared" si="80"/>
        <v>26592.175999999999</v>
      </c>
      <c r="L2623" s="34">
        <v>3.89</v>
      </c>
      <c r="M2623" s="34">
        <v>373282</v>
      </c>
      <c r="N2623" s="34">
        <f t="shared" si="81"/>
        <v>14.053468208092486</v>
      </c>
    </row>
    <row r="2624" spans="1:14" x14ac:dyDescent="0.45">
      <c r="A2624" s="30">
        <v>2024</v>
      </c>
      <c r="B2624" s="30" t="s">
        <v>9</v>
      </c>
      <c r="C2624" s="30" t="s">
        <v>46</v>
      </c>
      <c r="D2624" s="30" t="s">
        <v>47</v>
      </c>
      <c r="E2624" s="32" t="s">
        <v>199</v>
      </c>
      <c r="F2624" s="32" t="s">
        <v>60</v>
      </c>
      <c r="G2624" s="32" t="s">
        <v>50</v>
      </c>
      <c r="H2624" s="33">
        <v>10390</v>
      </c>
      <c r="I2624" s="34">
        <f>Table3[[#This Row],[Volume, kg.]]/1000</f>
        <v>10.39</v>
      </c>
      <c r="J2624" s="34">
        <v>0.29420000000000002</v>
      </c>
      <c r="K2624" s="34">
        <f t="shared" si="80"/>
        <v>3056.7380000000003</v>
      </c>
      <c r="L2624" s="34">
        <v>3.96</v>
      </c>
      <c r="M2624" s="34">
        <v>41164</v>
      </c>
      <c r="N2624" s="34">
        <f t="shared" si="81"/>
        <v>13.46023113528212</v>
      </c>
    </row>
    <row r="2625" spans="1:14" x14ac:dyDescent="0.45">
      <c r="A2625" s="30">
        <v>2024</v>
      </c>
      <c r="B2625" s="30" t="s">
        <v>9</v>
      </c>
      <c r="C2625" s="30" t="s">
        <v>46</v>
      </c>
      <c r="D2625" s="30" t="s">
        <v>47</v>
      </c>
      <c r="E2625" s="32" t="s">
        <v>315</v>
      </c>
      <c r="F2625" s="32" t="s">
        <v>134</v>
      </c>
      <c r="G2625" s="32" t="s">
        <v>50</v>
      </c>
      <c r="H2625" s="33">
        <v>102360</v>
      </c>
      <c r="I2625" s="34">
        <f>Table3[[#This Row],[Volume, kg.]]/1000</f>
        <v>102.36</v>
      </c>
      <c r="J2625" s="34">
        <v>0.27140000000000003</v>
      </c>
      <c r="K2625" s="34">
        <f t="shared" si="80"/>
        <v>27780.504000000004</v>
      </c>
      <c r="L2625" s="34">
        <v>3.82</v>
      </c>
      <c r="M2625" s="34">
        <v>391432</v>
      </c>
      <c r="N2625" s="34">
        <f t="shared" si="81"/>
        <v>14.075165806927043</v>
      </c>
    </row>
    <row r="2626" spans="1:14" x14ac:dyDescent="0.45">
      <c r="A2626" s="30">
        <v>2024</v>
      </c>
      <c r="B2626" s="30" t="s">
        <v>9</v>
      </c>
      <c r="C2626" s="30" t="s">
        <v>46</v>
      </c>
      <c r="D2626" s="30" t="s">
        <v>47</v>
      </c>
      <c r="E2626" s="32" t="s">
        <v>227</v>
      </c>
      <c r="F2626" s="32" t="s">
        <v>57</v>
      </c>
      <c r="G2626" s="32" t="s">
        <v>50</v>
      </c>
      <c r="H2626" s="33">
        <v>14990</v>
      </c>
      <c r="I2626" s="34">
        <f>Table3[[#This Row],[Volume, kg.]]/1000</f>
        <v>14.99</v>
      </c>
      <c r="J2626" s="34">
        <v>0.28350000000000003</v>
      </c>
      <c r="K2626" s="34">
        <f t="shared" si="80"/>
        <v>4249.6650000000009</v>
      </c>
      <c r="L2626" s="34">
        <v>3.92</v>
      </c>
      <c r="M2626" s="34">
        <v>58820.5</v>
      </c>
      <c r="N2626" s="34">
        <f t="shared" si="81"/>
        <v>13.827160493827158</v>
      </c>
    </row>
    <row r="2627" spans="1:14" x14ac:dyDescent="0.45">
      <c r="A2627" s="30">
        <v>2024</v>
      </c>
      <c r="B2627" s="30" t="s">
        <v>9</v>
      </c>
      <c r="C2627" s="30" t="s">
        <v>46</v>
      </c>
      <c r="D2627" s="30" t="s">
        <v>47</v>
      </c>
      <c r="E2627" s="32" t="s">
        <v>159</v>
      </c>
      <c r="F2627" s="32" t="s">
        <v>81</v>
      </c>
      <c r="G2627" s="32" t="s">
        <v>50</v>
      </c>
      <c r="H2627" s="33">
        <v>92480</v>
      </c>
      <c r="I2627" s="34">
        <f>Table3[[#This Row],[Volume, kg.]]/1000</f>
        <v>92.48</v>
      </c>
      <c r="J2627" s="34">
        <v>0.25819999999999999</v>
      </c>
      <c r="K2627" s="34">
        <f t="shared" ref="K2627:K2690" si="82">H2627*J2627</f>
        <v>23878.335999999999</v>
      </c>
      <c r="L2627" s="34">
        <v>3.79</v>
      </c>
      <c r="M2627" s="34">
        <v>350270</v>
      </c>
      <c r="N2627" s="34">
        <f t="shared" si="81"/>
        <v>14.678543764523626</v>
      </c>
    </row>
    <row r="2628" spans="1:14" x14ac:dyDescent="0.45">
      <c r="A2628" s="30">
        <v>2024</v>
      </c>
      <c r="B2628" s="30" t="s">
        <v>9</v>
      </c>
      <c r="C2628" s="30" t="s">
        <v>46</v>
      </c>
      <c r="D2628" s="30" t="s">
        <v>47</v>
      </c>
      <c r="E2628" s="32" t="s">
        <v>562</v>
      </c>
      <c r="F2628" s="32" t="s">
        <v>64</v>
      </c>
      <c r="G2628" s="32" t="s">
        <v>50</v>
      </c>
      <c r="H2628" s="33">
        <v>29140</v>
      </c>
      <c r="I2628" s="34">
        <f>Table3[[#This Row],[Volume, kg.]]/1000</f>
        <v>29.14</v>
      </c>
      <c r="J2628" s="34">
        <v>0.27779999999999999</v>
      </c>
      <c r="K2628" s="34">
        <f t="shared" si="82"/>
        <v>8095.0919999999996</v>
      </c>
      <c r="L2628" s="34">
        <v>3.9</v>
      </c>
      <c r="M2628" s="34">
        <v>113646</v>
      </c>
      <c r="N2628" s="34">
        <f t="shared" ref="N2628:N2691" si="83">L2628/J2628</f>
        <v>14.038876889848812</v>
      </c>
    </row>
    <row r="2629" spans="1:14" x14ac:dyDescent="0.45">
      <c r="A2629" s="30">
        <v>2024</v>
      </c>
      <c r="B2629" s="30" t="s">
        <v>9</v>
      </c>
      <c r="C2629" s="30" t="s">
        <v>46</v>
      </c>
      <c r="D2629" s="30" t="s">
        <v>47</v>
      </c>
      <c r="E2629" s="32" t="s">
        <v>207</v>
      </c>
      <c r="F2629" s="32" t="s">
        <v>64</v>
      </c>
      <c r="G2629" s="32" t="s">
        <v>50</v>
      </c>
      <c r="H2629" s="33">
        <v>67390</v>
      </c>
      <c r="I2629" s="34">
        <f>Table3[[#This Row],[Volume, kg.]]/1000</f>
        <v>67.39</v>
      </c>
      <c r="J2629" s="34">
        <v>0.26019999999999999</v>
      </c>
      <c r="K2629" s="34">
        <f t="shared" si="82"/>
        <v>17534.878000000001</v>
      </c>
      <c r="L2629" s="34">
        <v>3.8</v>
      </c>
      <c r="M2629" s="34">
        <v>256298.5</v>
      </c>
      <c r="N2629" s="34">
        <f t="shared" si="83"/>
        <v>14.604150653343583</v>
      </c>
    </row>
    <row r="2630" spans="1:14" x14ac:dyDescent="0.45">
      <c r="A2630" s="30">
        <v>2024</v>
      </c>
      <c r="B2630" s="30" t="s">
        <v>9</v>
      </c>
      <c r="C2630" s="30" t="s">
        <v>46</v>
      </c>
      <c r="D2630" s="30" t="s">
        <v>47</v>
      </c>
      <c r="E2630" s="32" t="s">
        <v>228</v>
      </c>
      <c r="F2630" s="32" t="s">
        <v>64</v>
      </c>
      <c r="G2630" s="32" t="s">
        <v>50</v>
      </c>
      <c r="H2630" s="33">
        <v>33770</v>
      </c>
      <c r="I2630" s="34">
        <f>Table3[[#This Row],[Volume, kg.]]/1000</f>
        <v>33.770000000000003</v>
      </c>
      <c r="J2630" s="34">
        <v>0.29570000000000002</v>
      </c>
      <c r="K2630" s="34">
        <f t="shared" si="82"/>
        <v>9985.7890000000007</v>
      </c>
      <c r="L2630" s="34">
        <v>3.98</v>
      </c>
      <c r="M2630" s="34">
        <v>134255.5</v>
      </c>
      <c r="N2630" s="34">
        <f t="shared" si="83"/>
        <v>13.459587419682109</v>
      </c>
    </row>
    <row r="2631" spans="1:14" x14ac:dyDescent="0.45">
      <c r="A2631" s="30">
        <v>2024</v>
      </c>
      <c r="B2631" s="30" t="s">
        <v>9</v>
      </c>
      <c r="C2631" s="30" t="s">
        <v>46</v>
      </c>
      <c r="D2631" s="30" t="s">
        <v>47</v>
      </c>
      <c r="E2631" s="32" t="s">
        <v>101</v>
      </c>
      <c r="F2631" s="32" t="s">
        <v>64</v>
      </c>
      <c r="G2631" s="32" t="s">
        <v>50</v>
      </c>
      <c r="H2631" s="33">
        <v>17150</v>
      </c>
      <c r="I2631" s="34">
        <f>Table3[[#This Row],[Volume, kg.]]/1000</f>
        <v>17.149999999999999</v>
      </c>
      <c r="J2631" s="34">
        <v>0.27200000000000002</v>
      </c>
      <c r="K2631" s="34">
        <f t="shared" si="82"/>
        <v>4664.8</v>
      </c>
      <c r="L2631" s="34">
        <v>3.87</v>
      </c>
      <c r="M2631" s="34">
        <v>66422.5</v>
      </c>
      <c r="N2631" s="34">
        <f t="shared" si="83"/>
        <v>14.227941176470587</v>
      </c>
    </row>
    <row r="2632" spans="1:14" x14ac:dyDescent="0.45">
      <c r="A2632" s="30">
        <v>2024</v>
      </c>
      <c r="B2632" s="30" t="s">
        <v>9</v>
      </c>
      <c r="C2632" s="30" t="s">
        <v>46</v>
      </c>
      <c r="D2632" s="30" t="s">
        <v>47</v>
      </c>
      <c r="E2632" s="32" t="s">
        <v>146</v>
      </c>
      <c r="F2632" s="32" t="s">
        <v>64</v>
      </c>
      <c r="G2632" s="32" t="s">
        <v>50</v>
      </c>
      <c r="H2632" s="33">
        <v>250010</v>
      </c>
      <c r="I2632" s="34">
        <f>Table3[[#This Row],[Volume, kg.]]/1000</f>
        <v>250.01</v>
      </c>
      <c r="J2632" s="34">
        <v>0.26850000000000002</v>
      </c>
      <c r="K2632" s="34">
        <f t="shared" si="82"/>
        <v>67127.684999999998</v>
      </c>
      <c r="L2632" s="34">
        <v>3.85</v>
      </c>
      <c r="M2632" s="34">
        <v>961723.5</v>
      </c>
      <c r="N2632" s="34">
        <f t="shared" si="83"/>
        <v>14.338919925512103</v>
      </c>
    </row>
    <row r="2633" spans="1:14" x14ac:dyDescent="0.45">
      <c r="A2633" s="30">
        <v>2024</v>
      </c>
      <c r="B2633" s="30" t="s">
        <v>9</v>
      </c>
      <c r="C2633" s="30" t="s">
        <v>46</v>
      </c>
      <c r="D2633" s="30" t="s">
        <v>47</v>
      </c>
      <c r="E2633" s="32" t="s">
        <v>237</v>
      </c>
      <c r="F2633" s="32" t="s">
        <v>238</v>
      </c>
      <c r="G2633" s="32" t="s">
        <v>50</v>
      </c>
      <c r="H2633" s="33">
        <v>23590</v>
      </c>
      <c r="I2633" s="34">
        <f>Table3[[#This Row],[Volume, kg.]]/1000</f>
        <v>23.59</v>
      </c>
      <c r="J2633" s="34">
        <v>0.25209999999999999</v>
      </c>
      <c r="K2633" s="34">
        <f t="shared" si="82"/>
        <v>5947.0389999999998</v>
      </c>
      <c r="L2633" s="34">
        <v>3.75</v>
      </c>
      <c r="M2633" s="34">
        <v>88462.5</v>
      </c>
      <c r="N2633" s="34">
        <f t="shared" si="83"/>
        <v>14.875049583498612</v>
      </c>
    </row>
    <row r="2634" spans="1:14" x14ac:dyDescent="0.45">
      <c r="A2634" s="30">
        <v>2024</v>
      </c>
      <c r="B2634" s="30" t="s">
        <v>9</v>
      </c>
      <c r="C2634" s="30" t="s">
        <v>46</v>
      </c>
      <c r="D2634" s="30" t="s">
        <v>47</v>
      </c>
      <c r="E2634" s="32" t="s">
        <v>91</v>
      </c>
      <c r="F2634" s="32" t="s">
        <v>60</v>
      </c>
      <c r="G2634" s="32" t="s">
        <v>50</v>
      </c>
      <c r="H2634" s="33">
        <v>113300</v>
      </c>
      <c r="I2634" s="34">
        <f>Table3[[#This Row],[Volume, kg.]]/1000</f>
        <v>113.3</v>
      </c>
      <c r="J2634" s="34">
        <v>0.30380000000000001</v>
      </c>
      <c r="K2634" s="34">
        <f t="shared" si="82"/>
        <v>34420.54</v>
      </c>
      <c r="L2634" s="34">
        <v>4.01</v>
      </c>
      <c r="M2634" s="34">
        <v>454864</v>
      </c>
      <c r="N2634" s="34">
        <f t="shared" si="83"/>
        <v>13.199473337722184</v>
      </c>
    </row>
    <row r="2635" spans="1:14" x14ac:dyDescent="0.45">
      <c r="A2635" s="30">
        <v>2024</v>
      </c>
      <c r="B2635" s="30" t="s">
        <v>9</v>
      </c>
      <c r="C2635" s="30" t="s">
        <v>46</v>
      </c>
      <c r="D2635" s="30" t="s">
        <v>47</v>
      </c>
      <c r="E2635" s="32" t="s">
        <v>457</v>
      </c>
      <c r="F2635" s="32" t="s">
        <v>49</v>
      </c>
      <c r="G2635" s="32" t="s">
        <v>50</v>
      </c>
      <c r="H2635" s="33">
        <v>36440</v>
      </c>
      <c r="I2635" s="34">
        <f>Table3[[#This Row],[Volume, kg.]]/1000</f>
        <v>36.44</v>
      </c>
      <c r="J2635" s="34">
        <v>0.27039999999999997</v>
      </c>
      <c r="K2635" s="34">
        <f t="shared" si="82"/>
        <v>9853.3759999999984</v>
      </c>
      <c r="L2635" s="34">
        <v>3.83</v>
      </c>
      <c r="M2635" s="34">
        <v>139561</v>
      </c>
      <c r="N2635" s="34">
        <f t="shared" si="83"/>
        <v>14.164201183431954</v>
      </c>
    </row>
    <row r="2636" spans="1:14" x14ac:dyDescent="0.45">
      <c r="A2636" s="30">
        <v>2024</v>
      </c>
      <c r="B2636" s="30" t="s">
        <v>9</v>
      </c>
      <c r="C2636" s="30" t="s">
        <v>46</v>
      </c>
      <c r="D2636" s="30" t="s">
        <v>47</v>
      </c>
      <c r="E2636" s="32" t="s">
        <v>522</v>
      </c>
      <c r="F2636" s="32" t="s">
        <v>64</v>
      </c>
      <c r="G2636" s="32" t="s">
        <v>50</v>
      </c>
      <c r="H2636" s="33">
        <v>10340</v>
      </c>
      <c r="I2636" s="34">
        <f>Table3[[#This Row],[Volume, kg.]]/1000</f>
        <v>10.34</v>
      </c>
      <c r="J2636" s="34">
        <v>0.247</v>
      </c>
      <c r="K2636" s="34">
        <f t="shared" si="82"/>
        <v>2553.98</v>
      </c>
      <c r="L2636" s="34">
        <v>3.75</v>
      </c>
      <c r="M2636" s="34">
        <v>38775</v>
      </c>
      <c r="N2636" s="34">
        <f t="shared" si="83"/>
        <v>15.182186234817815</v>
      </c>
    </row>
    <row r="2637" spans="1:14" x14ac:dyDescent="0.45">
      <c r="A2637" s="30">
        <v>2024</v>
      </c>
      <c r="B2637" s="30" t="s">
        <v>9</v>
      </c>
      <c r="C2637" s="30" t="s">
        <v>46</v>
      </c>
      <c r="D2637" s="30" t="s">
        <v>47</v>
      </c>
      <c r="E2637" s="32" t="s">
        <v>53</v>
      </c>
      <c r="F2637" s="32" t="s">
        <v>54</v>
      </c>
      <c r="G2637" s="32" t="s">
        <v>50</v>
      </c>
      <c r="H2637" s="33">
        <v>38420</v>
      </c>
      <c r="I2637" s="34">
        <f>Table3[[#This Row],[Volume, kg.]]/1000</f>
        <v>38.42</v>
      </c>
      <c r="J2637" s="34">
        <v>0.28309999999999996</v>
      </c>
      <c r="K2637" s="34">
        <f t="shared" si="82"/>
        <v>10876.701999999999</v>
      </c>
      <c r="L2637" s="34">
        <v>3.91</v>
      </c>
      <c r="M2637" s="34">
        <v>150168.5</v>
      </c>
      <c r="N2637" s="34">
        <f t="shared" si="83"/>
        <v>13.81137407276581</v>
      </c>
    </row>
    <row r="2638" spans="1:14" x14ac:dyDescent="0.45">
      <c r="A2638" s="30">
        <v>2024</v>
      </c>
      <c r="B2638" s="30" t="s">
        <v>9</v>
      </c>
      <c r="C2638" s="30" t="s">
        <v>46</v>
      </c>
      <c r="D2638" s="30" t="s">
        <v>47</v>
      </c>
      <c r="E2638" s="32" t="s">
        <v>130</v>
      </c>
      <c r="F2638" s="32" t="s">
        <v>64</v>
      </c>
      <c r="G2638" s="32" t="s">
        <v>50</v>
      </c>
      <c r="H2638" s="33">
        <v>105450</v>
      </c>
      <c r="I2638" s="34">
        <f>Table3[[#This Row],[Volume, kg.]]/1000</f>
        <v>105.45</v>
      </c>
      <c r="J2638" s="34">
        <v>0.26890000000000003</v>
      </c>
      <c r="K2638" s="34">
        <f t="shared" si="82"/>
        <v>28355.505000000005</v>
      </c>
      <c r="L2638" s="34">
        <v>3.84</v>
      </c>
      <c r="M2638" s="34">
        <v>404483</v>
      </c>
      <c r="N2638" s="34">
        <f t="shared" si="83"/>
        <v>14.280401636296018</v>
      </c>
    </row>
    <row r="2639" spans="1:14" x14ac:dyDescent="0.45">
      <c r="A2639" s="30">
        <v>2024</v>
      </c>
      <c r="B2639" s="30" t="s">
        <v>9</v>
      </c>
      <c r="C2639" s="30" t="s">
        <v>46</v>
      </c>
      <c r="D2639" s="30" t="s">
        <v>47</v>
      </c>
      <c r="E2639" s="32" t="s">
        <v>270</v>
      </c>
      <c r="F2639" s="32" t="s">
        <v>49</v>
      </c>
      <c r="G2639" s="32" t="s">
        <v>50</v>
      </c>
      <c r="H2639" s="33">
        <v>21880</v>
      </c>
      <c r="I2639" s="34">
        <f>Table3[[#This Row],[Volume, kg.]]/1000</f>
        <v>21.88</v>
      </c>
      <c r="J2639" s="34">
        <v>0.26150000000000001</v>
      </c>
      <c r="K2639" s="34">
        <f t="shared" si="82"/>
        <v>5721.62</v>
      </c>
      <c r="L2639" s="34">
        <v>3.82</v>
      </c>
      <c r="M2639" s="34">
        <v>83618.5</v>
      </c>
      <c r="N2639" s="34">
        <f t="shared" si="83"/>
        <v>14.608030592734224</v>
      </c>
    </row>
    <row r="2640" spans="1:14" x14ac:dyDescent="0.45">
      <c r="A2640" s="30">
        <v>2024</v>
      </c>
      <c r="B2640" s="30" t="s">
        <v>9</v>
      </c>
      <c r="C2640" s="30" t="s">
        <v>46</v>
      </c>
      <c r="D2640" s="30" t="s">
        <v>47</v>
      </c>
      <c r="E2640" s="32" t="s">
        <v>184</v>
      </c>
      <c r="F2640" s="32" t="s">
        <v>57</v>
      </c>
      <c r="G2640" s="32" t="s">
        <v>50</v>
      </c>
      <c r="H2640" s="33">
        <v>77260</v>
      </c>
      <c r="I2640" s="34">
        <f>Table3[[#This Row],[Volume, kg.]]/1000</f>
        <v>77.260000000000005</v>
      </c>
      <c r="J2640" s="34">
        <v>0.28989999999999999</v>
      </c>
      <c r="K2640" s="34">
        <f t="shared" si="82"/>
        <v>22397.673999999999</v>
      </c>
      <c r="L2640" s="34">
        <v>3.94</v>
      </c>
      <c r="M2640" s="34">
        <v>304759.5</v>
      </c>
      <c r="N2640" s="34">
        <f t="shared" si="83"/>
        <v>13.590893411521215</v>
      </c>
    </row>
    <row r="2641" spans="1:14" x14ac:dyDescent="0.45">
      <c r="A2641" s="30">
        <v>2024</v>
      </c>
      <c r="B2641" s="30" t="s">
        <v>9</v>
      </c>
      <c r="C2641" s="30" t="s">
        <v>46</v>
      </c>
      <c r="D2641" s="30" t="s">
        <v>47</v>
      </c>
      <c r="E2641" s="32" t="s">
        <v>422</v>
      </c>
      <c r="F2641" s="32" t="s">
        <v>134</v>
      </c>
      <c r="G2641" s="32" t="s">
        <v>50</v>
      </c>
      <c r="H2641" s="33">
        <v>70020</v>
      </c>
      <c r="I2641" s="34">
        <f>Table3[[#This Row],[Volume, kg.]]/1000</f>
        <v>70.02</v>
      </c>
      <c r="J2641" s="34">
        <v>0.26919999999999999</v>
      </c>
      <c r="K2641" s="34">
        <f t="shared" si="82"/>
        <v>18849.383999999998</v>
      </c>
      <c r="L2641" s="34">
        <v>3.84</v>
      </c>
      <c r="M2641" s="34">
        <v>268974</v>
      </c>
      <c r="N2641" s="34">
        <f t="shared" si="83"/>
        <v>14.26448736998514</v>
      </c>
    </row>
    <row r="2642" spans="1:14" x14ac:dyDescent="0.45">
      <c r="A2642" s="30">
        <v>2024</v>
      </c>
      <c r="B2642" s="30" t="s">
        <v>9</v>
      </c>
      <c r="C2642" s="30" t="s">
        <v>46</v>
      </c>
      <c r="D2642" s="30" t="s">
        <v>47</v>
      </c>
      <c r="E2642" s="32" t="s">
        <v>257</v>
      </c>
      <c r="F2642" s="32" t="s">
        <v>64</v>
      </c>
      <c r="G2642" s="32" t="s">
        <v>50</v>
      </c>
      <c r="H2642" s="33">
        <v>1210990</v>
      </c>
      <c r="I2642" s="34">
        <f>Table3[[#This Row],[Volume, kg.]]/1000</f>
        <v>1210.99</v>
      </c>
      <c r="J2642" s="34">
        <v>0.2681</v>
      </c>
      <c r="K2642" s="34">
        <f t="shared" si="82"/>
        <v>324666.41899999999</v>
      </c>
      <c r="L2642" s="34">
        <v>3.9</v>
      </c>
      <c r="M2642" s="34">
        <v>4716933</v>
      </c>
      <c r="N2642" s="34">
        <f t="shared" si="83"/>
        <v>14.54681089145841</v>
      </c>
    </row>
    <row r="2643" spans="1:14" x14ac:dyDescent="0.45">
      <c r="A2643" s="30">
        <v>2024</v>
      </c>
      <c r="B2643" s="30" t="s">
        <v>9</v>
      </c>
      <c r="C2643" s="30" t="s">
        <v>46</v>
      </c>
      <c r="D2643" s="30" t="s">
        <v>47</v>
      </c>
      <c r="E2643" s="32" t="s">
        <v>133</v>
      </c>
      <c r="F2643" s="32" t="s">
        <v>134</v>
      </c>
      <c r="G2643" s="32" t="s">
        <v>50</v>
      </c>
      <c r="H2643" s="33">
        <v>348370</v>
      </c>
      <c r="I2643" s="34">
        <f>Table3[[#This Row],[Volume, kg.]]/1000</f>
        <v>348.37</v>
      </c>
      <c r="J2643" s="34">
        <v>0.27339999999999998</v>
      </c>
      <c r="K2643" s="34">
        <f t="shared" si="82"/>
        <v>95244.357999999993</v>
      </c>
      <c r="L2643" s="34">
        <v>3.86</v>
      </c>
      <c r="M2643" s="34">
        <v>1345106.5</v>
      </c>
      <c r="N2643" s="34">
        <f t="shared" si="83"/>
        <v>14.118507681053403</v>
      </c>
    </row>
    <row r="2644" spans="1:14" x14ac:dyDescent="0.45">
      <c r="A2644" s="30">
        <v>2024</v>
      </c>
      <c r="B2644" s="30" t="s">
        <v>9</v>
      </c>
      <c r="C2644" s="30" t="s">
        <v>46</v>
      </c>
      <c r="D2644" s="30" t="s">
        <v>47</v>
      </c>
      <c r="E2644" s="32" t="s">
        <v>252</v>
      </c>
      <c r="F2644" s="32" t="s">
        <v>49</v>
      </c>
      <c r="G2644" s="32" t="s">
        <v>50</v>
      </c>
      <c r="H2644" s="33">
        <v>33610</v>
      </c>
      <c r="I2644" s="34">
        <f>Table3[[#This Row],[Volume, kg.]]/1000</f>
        <v>33.61</v>
      </c>
      <c r="J2644" s="34">
        <v>0.28800000000000003</v>
      </c>
      <c r="K2644" s="34">
        <f t="shared" si="82"/>
        <v>9679.68</v>
      </c>
      <c r="L2644" s="34">
        <v>3.94</v>
      </c>
      <c r="M2644" s="34">
        <v>132383.5</v>
      </c>
      <c r="N2644" s="34">
        <f t="shared" si="83"/>
        <v>13.680555555555554</v>
      </c>
    </row>
    <row r="2645" spans="1:14" x14ac:dyDescent="0.45">
      <c r="A2645" s="30">
        <v>2024</v>
      </c>
      <c r="B2645" s="30" t="s">
        <v>9</v>
      </c>
      <c r="C2645" s="30" t="s">
        <v>46</v>
      </c>
      <c r="D2645" s="30" t="s">
        <v>47</v>
      </c>
      <c r="E2645" s="32" t="s">
        <v>95</v>
      </c>
      <c r="F2645" s="32" t="s">
        <v>49</v>
      </c>
      <c r="G2645" s="32" t="s">
        <v>50</v>
      </c>
      <c r="H2645" s="33">
        <v>31660</v>
      </c>
      <c r="I2645" s="34">
        <f>Table3[[#This Row],[Volume, kg.]]/1000</f>
        <v>31.66</v>
      </c>
      <c r="J2645" s="34">
        <v>0.28039999999999998</v>
      </c>
      <c r="K2645" s="34">
        <f t="shared" si="82"/>
        <v>8877.4639999999999</v>
      </c>
      <c r="L2645" s="34">
        <v>3.9</v>
      </c>
      <c r="M2645" s="34">
        <v>123501</v>
      </c>
      <c r="N2645" s="34">
        <f t="shared" si="83"/>
        <v>13.908701854493581</v>
      </c>
    </row>
    <row r="2646" spans="1:14" x14ac:dyDescent="0.45">
      <c r="A2646" s="30">
        <v>2024</v>
      </c>
      <c r="B2646" s="30" t="s">
        <v>9</v>
      </c>
      <c r="C2646" s="30" t="s">
        <v>46</v>
      </c>
      <c r="D2646" s="30" t="s">
        <v>47</v>
      </c>
      <c r="E2646" s="32" t="s">
        <v>439</v>
      </c>
      <c r="F2646" s="32" t="s">
        <v>64</v>
      </c>
      <c r="G2646" s="32" t="s">
        <v>50</v>
      </c>
      <c r="H2646" s="33">
        <v>13780</v>
      </c>
      <c r="I2646" s="34">
        <f>Table3[[#This Row],[Volume, kg.]]/1000</f>
        <v>13.78</v>
      </c>
      <c r="J2646" s="34">
        <v>0.28350000000000003</v>
      </c>
      <c r="K2646" s="34">
        <f t="shared" si="82"/>
        <v>3906.6300000000006</v>
      </c>
      <c r="L2646" s="34">
        <v>3.9</v>
      </c>
      <c r="M2646" s="34">
        <v>53742</v>
      </c>
      <c r="N2646" s="34">
        <f t="shared" si="83"/>
        <v>13.756613756613755</v>
      </c>
    </row>
    <row r="2647" spans="1:14" x14ac:dyDescent="0.45">
      <c r="A2647" s="30">
        <v>2024</v>
      </c>
      <c r="B2647" s="30" t="s">
        <v>9</v>
      </c>
      <c r="C2647" s="30" t="s">
        <v>46</v>
      </c>
      <c r="D2647" s="30" t="s">
        <v>47</v>
      </c>
      <c r="E2647" s="32" t="s">
        <v>370</v>
      </c>
      <c r="F2647" s="32" t="s">
        <v>223</v>
      </c>
      <c r="G2647" s="32" t="s">
        <v>50</v>
      </c>
      <c r="H2647" s="33">
        <v>38770</v>
      </c>
      <c r="I2647" s="34">
        <f>Table3[[#This Row],[Volume, kg.]]/1000</f>
        <v>38.770000000000003</v>
      </c>
      <c r="J2647" s="34">
        <v>0.26219999999999999</v>
      </c>
      <c r="K2647" s="34">
        <f t="shared" si="82"/>
        <v>10165.493999999999</v>
      </c>
      <c r="L2647" s="34">
        <v>3.82</v>
      </c>
      <c r="M2647" s="34">
        <v>147949</v>
      </c>
      <c r="N2647" s="34">
        <f t="shared" si="83"/>
        <v>14.569031273836766</v>
      </c>
    </row>
    <row r="2648" spans="1:14" x14ac:dyDescent="0.45">
      <c r="A2648" s="30">
        <v>2024</v>
      </c>
      <c r="B2648" s="30" t="s">
        <v>9</v>
      </c>
      <c r="C2648" s="30" t="s">
        <v>46</v>
      </c>
      <c r="D2648" s="30" t="s">
        <v>102</v>
      </c>
      <c r="E2648" s="32" t="s">
        <v>437</v>
      </c>
      <c r="F2648" s="32" t="s">
        <v>49</v>
      </c>
      <c r="G2648" s="32" t="s">
        <v>50</v>
      </c>
      <c r="H2648" s="33">
        <v>965060</v>
      </c>
      <c r="I2648" s="34">
        <f>Table3[[#This Row],[Volume, kg.]]/1000</f>
        <v>965.06</v>
      </c>
      <c r="J2648" s="34">
        <v>0.27810000000000001</v>
      </c>
      <c r="K2648" s="34">
        <f t="shared" si="82"/>
        <v>268383.18599999999</v>
      </c>
      <c r="L2648" s="34">
        <v>3.95</v>
      </c>
      <c r="M2648" s="34">
        <v>3807496</v>
      </c>
      <c r="N2648" s="34">
        <f t="shared" si="83"/>
        <v>14.203523912261776</v>
      </c>
    </row>
    <row r="2649" spans="1:14" x14ac:dyDescent="0.45">
      <c r="A2649" s="30">
        <v>2024</v>
      </c>
      <c r="B2649" s="30" t="s">
        <v>9</v>
      </c>
      <c r="C2649" s="30" t="s">
        <v>46</v>
      </c>
      <c r="D2649" s="30" t="s">
        <v>47</v>
      </c>
      <c r="E2649" s="32" t="s">
        <v>409</v>
      </c>
      <c r="F2649" s="32" t="s">
        <v>57</v>
      </c>
      <c r="G2649" s="32" t="s">
        <v>50</v>
      </c>
      <c r="H2649" s="33">
        <v>99240</v>
      </c>
      <c r="I2649" s="34">
        <f>Table3[[#This Row],[Volume, kg.]]/1000</f>
        <v>99.24</v>
      </c>
      <c r="J2649" s="34">
        <v>0.28339999999999999</v>
      </c>
      <c r="K2649" s="34">
        <f t="shared" si="82"/>
        <v>28124.615999999998</v>
      </c>
      <c r="L2649" s="34">
        <v>3.91</v>
      </c>
      <c r="M2649" s="34">
        <v>388509.5</v>
      </c>
      <c r="N2649" s="34">
        <f t="shared" si="83"/>
        <v>13.796753705010588</v>
      </c>
    </row>
    <row r="2650" spans="1:14" x14ac:dyDescent="0.45">
      <c r="A2650" s="30">
        <v>2024</v>
      </c>
      <c r="B2650" s="30" t="s">
        <v>9</v>
      </c>
      <c r="C2650" s="30" t="s">
        <v>46</v>
      </c>
      <c r="D2650" s="30" t="s">
        <v>47</v>
      </c>
      <c r="E2650" s="32" t="s">
        <v>413</v>
      </c>
      <c r="F2650" s="32" t="s">
        <v>49</v>
      </c>
      <c r="G2650" s="32" t="s">
        <v>50</v>
      </c>
      <c r="H2650" s="33">
        <v>50100</v>
      </c>
      <c r="I2650" s="34">
        <f>Table3[[#This Row],[Volume, kg.]]/1000</f>
        <v>50.1</v>
      </c>
      <c r="J2650" s="34">
        <v>0.2752</v>
      </c>
      <c r="K2650" s="34">
        <f t="shared" si="82"/>
        <v>13787.52</v>
      </c>
      <c r="L2650" s="34">
        <v>3.88</v>
      </c>
      <c r="M2650" s="34">
        <v>194350</v>
      </c>
      <c r="N2650" s="34">
        <f t="shared" si="83"/>
        <v>14.098837209302324</v>
      </c>
    </row>
    <row r="2651" spans="1:14" x14ac:dyDescent="0.45">
      <c r="A2651" s="30">
        <v>2024</v>
      </c>
      <c r="B2651" s="30" t="s">
        <v>9</v>
      </c>
      <c r="C2651" s="30" t="s">
        <v>46</v>
      </c>
      <c r="D2651" s="30" t="s">
        <v>47</v>
      </c>
      <c r="E2651" s="32" t="s">
        <v>455</v>
      </c>
      <c r="F2651" s="32" t="s">
        <v>456</v>
      </c>
      <c r="G2651" s="32" t="s">
        <v>341</v>
      </c>
      <c r="H2651" s="33">
        <v>579310</v>
      </c>
      <c r="I2651" s="34">
        <f>Table3[[#This Row],[Volume, kg.]]/1000</f>
        <v>579.30999999999995</v>
      </c>
      <c r="J2651" s="34">
        <v>0.26500000000000001</v>
      </c>
      <c r="K2651" s="34">
        <f t="shared" si="82"/>
        <v>153517.15</v>
      </c>
      <c r="L2651" s="34">
        <v>3.88</v>
      </c>
      <c r="M2651" s="34">
        <v>2245569</v>
      </c>
      <c r="N2651" s="34">
        <f t="shared" si="83"/>
        <v>14.641509433962263</v>
      </c>
    </row>
    <row r="2652" spans="1:14" x14ac:dyDescent="0.45">
      <c r="A2652" s="30">
        <v>2024</v>
      </c>
      <c r="B2652" s="30" t="s">
        <v>9</v>
      </c>
      <c r="C2652" s="30" t="s">
        <v>46</v>
      </c>
      <c r="D2652" s="30" t="s">
        <v>47</v>
      </c>
      <c r="E2652" s="32" t="s">
        <v>417</v>
      </c>
      <c r="F2652" s="32" t="s">
        <v>49</v>
      </c>
      <c r="G2652" s="32" t="s">
        <v>50</v>
      </c>
      <c r="H2652" s="33">
        <v>13390</v>
      </c>
      <c r="I2652" s="34">
        <f>Table3[[#This Row],[Volume, kg.]]/1000</f>
        <v>13.39</v>
      </c>
      <c r="J2652" s="34">
        <v>0.27739999999999998</v>
      </c>
      <c r="K2652" s="34">
        <f t="shared" si="82"/>
        <v>3714.3859999999995</v>
      </c>
      <c r="L2652" s="34">
        <v>3.88</v>
      </c>
      <c r="M2652" s="34">
        <v>51896</v>
      </c>
      <c r="N2652" s="34">
        <f t="shared" si="83"/>
        <v>13.98702235039654</v>
      </c>
    </row>
    <row r="2653" spans="1:14" x14ac:dyDescent="0.45">
      <c r="A2653" s="30">
        <v>2024</v>
      </c>
      <c r="B2653" s="30" t="s">
        <v>9</v>
      </c>
      <c r="C2653" s="30" t="s">
        <v>46</v>
      </c>
      <c r="D2653" s="30" t="s">
        <v>102</v>
      </c>
      <c r="E2653" s="32" t="s">
        <v>418</v>
      </c>
      <c r="F2653" s="32" t="s">
        <v>104</v>
      </c>
      <c r="G2653" s="32" t="s">
        <v>105</v>
      </c>
      <c r="H2653" s="33">
        <v>425390</v>
      </c>
      <c r="I2653" s="34">
        <f>Table3[[#This Row],[Volume, kg.]]/1000</f>
        <v>425.39</v>
      </c>
      <c r="J2653" s="34">
        <v>0.28220000000000001</v>
      </c>
      <c r="K2653" s="34">
        <f t="shared" si="82"/>
        <v>120045.058</v>
      </c>
      <c r="L2653" s="34">
        <v>3.91</v>
      </c>
      <c r="M2653" s="34">
        <v>1664320</v>
      </c>
      <c r="N2653" s="34">
        <f t="shared" si="83"/>
        <v>13.855421686746988</v>
      </c>
    </row>
    <row r="2654" spans="1:14" x14ac:dyDescent="0.45">
      <c r="A2654" s="30">
        <v>2024</v>
      </c>
      <c r="B2654" s="30" t="s">
        <v>9</v>
      </c>
      <c r="C2654" s="30" t="s">
        <v>46</v>
      </c>
      <c r="D2654" s="30" t="s">
        <v>47</v>
      </c>
      <c r="E2654" s="32" t="s">
        <v>452</v>
      </c>
      <c r="F2654" s="32" t="s">
        <v>134</v>
      </c>
      <c r="G2654" s="32" t="s">
        <v>50</v>
      </c>
      <c r="H2654" s="33">
        <v>86270</v>
      </c>
      <c r="I2654" s="34">
        <f>Table3[[#This Row],[Volume, kg.]]/1000</f>
        <v>86.27</v>
      </c>
      <c r="J2654" s="34">
        <v>0.2722</v>
      </c>
      <c r="K2654" s="34">
        <f t="shared" si="82"/>
        <v>23482.694</v>
      </c>
      <c r="L2654" s="34">
        <v>3.86</v>
      </c>
      <c r="M2654" s="34">
        <v>332860.5</v>
      </c>
      <c r="N2654" s="34">
        <f t="shared" si="83"/>
        <v>14.180749448934607</v>
      </c>
    </row>
    <row r="2655" spans="1:14" x14ac:dyDescent="0.45">
      <c r="A2655" s="30">
        <v>2024</v>
      </c>
      <c r="B2655" s="30" t="s">
        <v>9</v>
      </c>
      <c r="C2655" s="30" t="s">
        <v>46</v>
      </c>
      <c r="D2655" s="30" t="s">
        <v>47</v>
      </c>
      <c r="E2655" s="32" t="s">
        <v>491</v>
      </c>
      <c r="F2655" s="32" t="s">
        <v>81</v>
      </c>
      <c r="G2655" s="32" t="s">
        <v>50</v>
      </c>
      <c r="H2655" s="33">
        <v>40690</v>
      </c>
      <c r="I2655" s="34">
        <f>Table3[[#This Row],[Volume, kg.]]/1000</f>
        <v>40.69</v>
      </c>
      <c r="J2655" s="34">
        <v>0.27510000000000001</v>
      </c>
      <c r="K2655" s="34">
        <f t="shared" si="82"/>
        <v>11193.819000000001</v>
      </c>
      <c r="L2655" s="34">
        <v>3.88</v>
      </c>
      <c r="M2655" s="34">
        <v>157947</v>
      </c>
      <c r="N2655" s="34">
        <f t="shared" si="83"/>
        <v>14.103962195565249</v>
      </c>
    </row>
    <row r="2656" spans="1:14" x14ac:dyDescent="0.45">
      <c r="A2656" s="30">
        <v>2024</v>
      </c>
      <c r="B2656" s="30" t="s">
        <v>9</v>
      </c>
      <c r="C2656" s="30" t="s">
        <v>46</v>
      </c>
      <c r="D2656" s="30" t="s">
        <v>47</v>
      </c>
      <c r="E2656" s="32" t="s">
        <v>539</v>
      </c>
      <c r="F2656" s="32" t="s">
        <v>57</v>
      </c>
      <c r="G2656" s="32" t="s">
        <v>50</v>
      </c>
      <c r="H2656" s="33">
        <v>34680</v>
      </c>
      <c r="I2656" s="34">
        <f>Table3[[#This Row],[Volume, kg.]]/1000</f>
        <v>34.68</v>
      </c>
      <c r="J2656" s="34">
        <v>0.3049</v>
      </c>
      <c r="K2656" s="34">
        <f t="shared" si="82"/>
        <v>10573.932000000001</v>
      </c>
      <c r="L2656" s="34">
        <v>4.03</v>
      </c>
      <c r="M2656" s="34">
        <v>139668</v>
      </c>
      <c r="N2656" s="34">
        <f t="shared" si="83"/>
        <v>13.217448343719253</v>
      </c>
    </row>
    <row r="2657" spans="1:14" x14ac:dyDescent="0.45">
      <c r="A2657" s="30">
        <v>2024</v>
      </c>
      <c r="B2657" s="30" t="s">
        <v>9</v>
      </c>
      <c r="C2657" s="30" t="s">
        <v>46</v>
      </c>
      <c r="D2657" s="30" t="s">
        <v>47</v>
      </c>
      <c r="E2657" s="32" t="s">
        <v>553</v>
      </c>
      <c r="F2657" s="32" t="s">
        <v>238</v>
      </c>
      <c r="G2657" s="32" t="s">
        <v>50</v>
      </c>
      <c r="H2657" s="33">
        <v>6820</v>
      </c>
      <c r="I2657" s="34">
        <f>Table3[[#This Row],[Volume, kg.]]/1000</f>
        <v>6.82</v>
      </c>
      <c r="J2657" s="34">
        <v>0.28449999999999998</v>
      </c>
      <c r="K2657" s="34">
        <f t="shared" si="82"/>
        <v>1940.2899999999997</v>
      </c>
      <c r="L2657" s="34">
        <v>3.9</v>
      </c>
      <c r="M2657" s="34">
        <v>26598</v>
      </c>
      <c r="N2657" s="34">
        <f t="shared" si="83"/>
        <v>13.708260105448156</v>
      </c>
    </row>
    <row r="2658" spans="1:14" x14ac:dyDescent="0.45">
      <c r="A2658" s="30">
        <v>2024</v>
      </c>
      <c r="B2658" s="30" t="s">
        <v>9</v>
      </c>
      <c r="C2658" s="30" t="s">
        <v>46</v>
      </c>
      <c r="D2658" s="30" t="s">
        <v>47</v>
      </c>
      <c r="E2658" s="32" t="s">
        <v>603</v>
      </c>
      <c r="F2658" s="32" t="s">
        <v>49</v>
      </c>
      <c r="G2658" s="32" t="s">
        <v>50</v>
      </c>
      <c r="H2658" s="33">
        <v>0</v>
      </c>
      <c r="I2658" s="34">
        <f>Table3[[#This Row],[Volume, kg.]]/1000</f>
        <v>0</v>
      </c>
      <c r="J2658" s="34">
        <v>0</v>
      </c>
      <c r="K2658" s="34">
        <f t="shared" si="82"/>
        <v>0</v>
      </c>
      <c r="L2658" s="34">
        <v>0</v>
      </c>
      <c r="M2658" s="34">
        <v>0</v>
      </c>
      <c r="N2658" s="34" t="e">
        <f t="shared" si="83"/>
        <v>#DIV/0!</v>
      </c>
    </row>
    <row r="2659" spans="1:14" x14ac:dyDescent="0.45">
      <c r="A2659" s="30">
        <v>2024</v>
      </c>
      <c r="B2659" s="30" t="s">
        <v>9</v>
      </c>
      <c r="C2659" s="30" t="s">
        <v>46</v>
      </c>
      <c r="D2659" s="30" t="s">
        <v>47</v>
      </c>
      <c r="E2659" s="32" t="s">
        <v>586</v>
      </c>
      <c r="F2659" s="32" t="s">
        <v>64</v>
      </c>
      <c r="G2659" s="32" t="s">
        <v>50</v>
      </c>
      <c r="H2659" s="33">
        <v>35960</v>
      </c>
      <c r="I2659" s="34">
        <f>Table3[[#This Row],[Volume, kg.]]/1000</f>
        <v>35.96</v>
      </c>
      <c r="J2659" s="34">
        <v>0.26579999999999998</v>
      </c>
      <c r="K2659" s="34">
        <f t="shared" si="82"/>
        <v>9558.1679999999997</v>
      </c>
      <c r="L2659" s="34">
        <v>3.84</v>
      </c>
      <c r="M2659" s="34">
        <v>137917.5</v>
      </c>
      <c r="N2659" s="34">
        <f t="shared" si="83"/>
        <v>14.446952595936795</v>
      </c>
    </row>
    <row r="2660" spans="1:14" x14ac:dyDescent="0.45">
      <c r="A2660" s="30">
        <v>2024</v>
      </c>
      <c r="B2660" s="30" t="s">
        <v>9</v>
      </c>
      <c r="C2660" s="30" t="s">
        <v>46</v>
      </c>
      <c r="D2660" s="30" t="s">
        <v>47</v>
      </c>
      <c r="E2660" s="32" t="s">
        <v>587</v>
      </c>
      <c r="F2660" s="32" t="s">
        <v>223</v>
      </c>
      <c r="G2660" s="32" t="s">
        <v>50</v>
      </c>
      <c r="H2660" s="33">
        <v>243600</v>
      </c>
      <c r="I2660" s="34">
        <f>Table3[[#This Row],[Volume, kg.]]/1000</f>
        <v>243.6</v>
      </c>
      <c r="J2660" s="34">
        <v>0.28699999999999998</v>
      </c>
      <c r="K2660" s="34">
        <f t="shared" si="82"/>
        <v>69913.2</v>
      </c>
      <c r="L2660" s="34">
        <v>3.99</v>
      </c>
      <c r="M2660" s="34">
        <v>971307.5</v>
      </c>
      <c r="N2660" s="34">
        <f t="shared" si="83"/>
        <v>13.902439024390246</v>
      </c>
    </row>
    <row r="2661" spans="1:14" x14ac:dyDescent="0.45">
      <c r="A2661" s="30">
        <v>2024</v>
      </c>
      <c r="B2661" s="30" t="s">
        <v>9</v>
      </c>
      <c r="C2661" s="30" t="s">
        <v>46</v>
      </c>
      <c r="D2661" s="30" t="s">
        <v>47</v>
      </c>
      <c r="E2661" s="32" t="s">
        <v>590</v>
      </c>
      <c r="F2661" s="32" t="s">
        <v>49</v>
      </c>
      <c r="G2661" s="32" t="s">
        <v>50</v>
      </c>
      <c r="H2661" s="33">
        <v>43480</v>
      </c>
      <c r="I2661" s="34">
        <f>Table3[[#This Row],[Volume, kg.]]/1000</f>
        <v>43.48</v>
      </c>
      <c r="J2661" s="34">
        <v>0.27660000000000001</v>
      </c>
      <c r="K2661" s="34">
        <f t="shared" si="82"/>
        <v>12026.568000000001</v>
      </c>
      <c r="L2661" s="34">
        <v>3.88</v>
      </c>
      <c r="M2661" s="34">
        <v>168571</v>
      </c>
      <c r="N2661" s="34">
        <f t="shared" si="83"/>
        <v>14.027476500361532</v>
      </c>
    </row>
    <row r="2662" spans="1:14" x14ac:dyDescent="0.45">
      <c r="A2662" s="30">
        <v>2024</v>
      </c>
      <c r="B2662" s="30" t="s">
        <v>9</v>
      </c>
      <c r="C2662" s="30" t="s">
        <v>46</v>
      </c>
      <c r="D2662" s="30" t="s">
        <v>47</v>
      </c>
      <c r="E2662" s="32" t="s">
        <v>591</v>
      </c>
      <c r="F2662" s="32" t="s">
        <v>223</v>
      </c>
      <c r="G2662" s="32" t="s">
        <v>50</v>
      </c>
      <c r="H2662" s="33">
        <v>64690</v>
      </c>
      <c r="I2662" s="34">
        <f>Table3[[#This Row],[Volume, kg.]]/1000</f>
        <v>64.69</v>
      </c>
      <c r="J2662" s="34">
        <v>0.2848</v>
      </c>
      <c r="K2662" s="34">
        <f t="shared" si="82"/>
        <v>18423.712</v>
      </c>
      <c r="L2662" s="34">
        <v>3.92</v>
      </c>
      <c r="M2662" s="34">
        <v>253469</v>
      </c>
      <c r="N2662" s="34">
        <f t="shared" si="83"/>
        <v>13.764044943820224</v>
      </c>
    </row>
    <row r="2663" spans="1:14" x14ac:dyDescent="0.45">
      <c r="A2663" s="30">
        <v>2024</v>
      </c>
      <c r="B2663" s="30" t="s">
        <v>9</v>
      </c>
      <c r="C2663" s="30" t="s">
        <v>46</v>
      </c>
      <c r="D2663" s="30" t="s">
        <v>47</v>
      </c>
      <c r="E2663" s="32" t="s">
        <v>592</v>
      </c>
      <c r="F2663" s="32" t="s">
        <v>223</v>
      </c>
      <c r="G2663" s="32" t="s">
        <v>50</v>
      </c>
      <c r="H2663" s="33">
        <v>163040</v>
      </c>
      <c r="I2663" s="34">
        <f>Table3[[#This Row],[Volume, kg.]]/1000</f>
        <v>163.04</v>
      </c>
      <c r="J2663" s="34">
        <v>0.28710000000000002</v>
      </c>
      <c r="K2663" s="34">
        <f t="shared" si="82"/>
        <v>46808.784000000007</v>
      </c>
      <c r="L2663" s="34">
        <v>3.98</v>
      </c>
      <c r="M2663" s="34">
        <v>649636.5</v>
      </c>
      <c r="N2663" s="34">
        <f t="shared" si="83"/>
        <v>13.862765586903517</v>
      </c>
    </row>
    <row r="2664" spans="1:14" x14ac:dyDescent="0.45">
      <c r="A2664" s="30">
        <v>2024</v>
      </c>
      <c r="B2664" s="30" t="s">
        <v>9</v>
      </c>
      <c r="C2664" s="30" t="s">
        <v>46</v>
      </c>
      <c r="D2664" s="30" t="s">
        <v>47</v>
      </c>
      <c r="E2664" s="32" t="s">
        <v>593</v>
      </c>
      <c r="F2664" s="32" t="s">
        <v>49</v>
      </c>
      <c r="G2664" s="32" t="s">
        <v>50</v>
      </c>
      <c r="H2664" s="33">
        <v>12450</v>
      </c>
      <c r="I2664" s="34">
        <f>Table3[[#This Row],[Volume, kg.]]/1000</f>
        <v>12.45</v>
      </c>
      <c r="J2664" s="34">
        <v>0.28170000000000001</v>
      </c>
      <c r="K2664" s="34">
        <f t="shared" si="82"/>
        <v>3507.165</v>
      </c>
      <c r="L2664" s="34">
        <v>3.87</v>
      </c>
      <c r="M2664" s="34">
        <v>48228</v>
      </c>
      <c r="N2664" s="34">
        <f t="shared" si="83"/>
        <v>13.738019169329073</v>
      </c>
    </row>
    <row r="2665" spans="1:14" x14ac:dyDescent="0.45">
      <c r="A2665" s="30">
        <v>2024</v>
      </c>
      <c r="B2665" s="30" t="s">
        <v>9</v>
      </c>
      <c r="C2665" s="30" t="s">
        <v>46</v>
      </c>
      <c r="D2665" s="30" t="s">
        <v>47</v>
      </c>
      <c r="E2665" s="32" t="s">
        <v>594</v>
      </c>
      <c r="F2665" s="32" t="s">
        <v>223</v>
      </c>
      <c r="G2665" s="32" t="s">
        <v>50</v>
      </c>
      <c r="H2665" s="33">
        <v>51780</v>
      </c>
      <c r="I2665" s="34">
        <f>Table3[[#This Row],[Volume, kg.]]/1000</f>
        <v>51.78</v>
      </c>
      <c r="J2665" s="34">
        <v>0.32340000000000002</v>
      </c>
      <c r="K2665" s="34">
        <f t="shared" si="82"/>
        <v>16745.652000000002</v>
      </c>
      <c r="L2665" s="34">
        <v>4.12</v>
      </c>
      <c r="M2665" s="34">
        <v>213244.5</v>
      </c>
      <c r="N2665" s="34">
        <f t="shared" si="83"/>
        <v>12.739641311069882</v>
      </c>
    </row>
    <row r="2666" spans="1:14" x14ac:dyDescent="0.45">
      <c r="A2666" s="30">
        <v>2024</v>
      </c>
      <c r="B2666" s="30" t="s">
        <v>9</v>
      </c>
      <c r="C2666" s="30" t="s">
        <v>46</v>
      </c>
      <c r="D2666" s="30" t="s">
        <v>47</v>
      </c>
      <c r="E2666" s="32" t="s">
        <v>595</v>
      </c>
      <c r="F2666" s="32" t="s">
        <v>64</v>
      </c>
      <c r="G2666" s="32" t="s">
        <v>50</v>
      </c>
      <c r="H2666" s="33">
        <v>106940</v>
      </c>
      <c r="I2666" s="34">
        <f>Table3[[#This Row],[Volume, kg.]]/1000</f>
        <v>106.94</v>
      </c>
      <c r="J2666" s="34">
        <v>0.26829999999999998</v>
      </c>
      <c r="K2666" s="34">
        <f t="shared" si="82"/>
        <v>28692.001999999997</v>
      </c>
      <c r="L2666" s="34">
        <v>3.84</v>
      </c>
      <c r="M2666" s="34">
        <v>410882</v>
      </c>
      <c r="N2666" s="34">
        <f t="shared" si="83"/>
        <v>14.312336936265375</v>
      </c>
    </row>
    <row r="2667" spans="1:14" x14ac:dyDescent="0.45">
      <c r="A2667" s="30">
        <v>2024</v>
      </c>
      <c r="B2667" s="30" t="s">
        <v>9</v>
      </c>
      <c r="C2667" s="30" t="s">
        <v>46</v>
      </c>
      <c r="D2667" s="30" t="s">
        <v>47</v>
      </c>
      <c r="E2667" s="32" t="s">
        <v>604</v>
      </c>
      <c r="F2667" s="32" t="s">
        <v>134</v>
      </c>
      <c r="G2667" s="32" t="s">
        <v>50</v>
      </c>
      <c r="H2667" s="33">
        <v>51580</v>
      </c>
      <c r="I2667" s="34">
        <f>Table3[[#This Row],[Volume, kg.]]/1000</f>
        <v>51.58</v>
      </c>
      <c r="J2667" s="34">
        <v>0.27589999999999998</v>
      </c>
      <c r="K2667" s="34">
        <f t="shared" si="82"/>
        <v>14230.921999999999</v>
      </c>
      <c r="L2667" s="34">
        <v>3.88</v>
      </c>
      <c r="M2667" s="34">
        <v>199964.5</v>
      </c>
      <c r="N2667" s="34">
        <f t="shared" si="83"/>
        <v>14.063066328379849</v>
      </c>
    </row>
    <row r="2668" spans="1:14" x14ac:dyDescent="0.45">
      <c r="A2668" s="30">
        <v>2024</v>
      </c>
      <c r="B2668" s="30" t="s">
        <v>9</v>
      </c>
      <c r="C2668" s="30" t="s">
        <v>46</v>
      </c>
      <c r="D2668" s="30" t="s">
        <v>47</v>
      </c>
      <c r="E2668" s="32" t="s">
        <v>605</v>
      </c>
      <c r="F2668" s="32" t="s">
        <v>240</v>
      </c>
      <c r="G2668" s="32" t="s">
        <v>50</v>
      </c>
      <c r="H2668" s="33">
        <v>33460</v>
      </c>
      <c r="I2668" s="34">
        <f>Table3[[#This Row],[Volume, kg.]]/1000</f>
        <v>33.46</v>
      </c>
      <c r="J2668" s="34">
        <v>0.31</v>
      </c>
      <c r="K2668" s="34">
        <f t="shared" si="82"/>
        <v>10372.6</v>
      </c>
      <c r="L2668" s="34">
        <v>4.05</v>
      </c>
      <c r="M2668" s="34">
        <v>135513</v>
      </c>
      <c r="N2668" s="34">
        <f t="shared" si="83"/>
        <v>13.064516129032258</v>
      </c>
    </row>
    <row r="2669" spans="1:14" x14ac:dyDescent="0.45">
      <c r="A2669" s="30">
        <v>2024</v>
      </c>
      <c r="B2669" s="30" t="s">
        <v>9</v>
      </c>
      <c r="C2669" s="30" t="s">
        <v>46</v>
      </c>
      <c r="D2669" s="30" t="s">
        <v>47</v>
      </c>
      <c r="E2669" s="32" t="s">
        <v>606</v>
      </c>
      <c r="F2669" s="32" t="s">
        <v>49</v>
      </c>
      <c r="G2669" s="32" t="s">
        <v>50</v>
      </c>
      <c r="H2669" s="33">
        <v>36700</v>
      </c>
      <c r="I2669" s="34">
        <f>Table3[[#This Row],[Volume, kg.]]/1000</f>
        <v>36.700000000000003</v>
      </c>
      <c r="J2669" s="34">
        <v>0.24719999999999998</v>
      </c>
      <c r="K2669" s="34">
        <f t="shared" si="82"/>
        <v>9072.24</v>
      </c>
      <c r="L2669" s="34">
        <v>3.74</v>
      </c>
      <c r="M2669" s="34">
        <v>137432</v>
      </c>
      <c r="N2669" s="34">
        <f t="shared" si="83"/>
        <v>15.129449838187705</v>
      </c>
    </row>
    <row r="2670" spans="1:14" x14ac:dyDescent="0.45">
      <c r="A2670" s="30">
        <v>2024</v>
      </c>
      <c r="B2670" s="30" t="s">
        <v>9</v>
      </c>
      <c r="C2670" s="30" t="s">
        <v>46</v>
      </c>
      <c r="D2670" s="30" t="s">
        <v>47</v>
      </c>
      <c r="E2670" s="32" t="s">
        <v>607</v>
      </c>
      <c r="F2670" s="32" t="s">
        <v>81</v>
      </c>
      <c r="G2670" s="32" t="s">
        <v>50</v>
      </c>
      <c r="H2670" s="33">
        <v>12990</v>
      </c>
      <c r="I2670" s="34">
        <f>Table3[[#This Row],[Volume, kg.]]/1000</f>
        <v>12.99</v>
      </c>
      <c r="J2670" s="34">
        <v>0.29499999999999998</v>
      </c>
      <c r="K2670" s="34">
        <f t="shared" si="82"/>
        <v>3832.0499999999997</v>
      </c>
      <c r="L2670" s="34">
        <v>3.95</v>
      </c>
      <c r="M2670" s="34">
        <v>51310.5</v>
      </c>
      <c r="N2670" s="34">
        <f t="shared" si="83"/>
        <v>13.389830508474578</v>
      </c>
    </row>
    <row r="2671" spans="1:14" x14ac:dyDescent="0.45">
      <c r="A2671" s="30">
        <v>2024</v>
      </c>
      <c r="B2671" s="30" t="s">
        <v>10</v>
      </c>
      <c r="C2671" s="30" t="s">
        <v>46</v>
      </c>
      <c r="D2671" s="30" t="s">
        <v>47</v>
      </c>
      <c r="E2671" s="32" t="s">
        <v>181</v>
      </c>
      <c r="F2671" s="32" t="s">
        <v>57</v>
      </c>
      <c r="G2671" s="32" t="s">
        <v>50</v>
      </c>
      <c r="H2671" s="33">
        <v>38460</v>
      </c>
      <c r="I2671" s="34">
        <f>Table3[[#This Row],[Volume, kg.]]/1000</f>
        <v>38.46</v>
      </c>
      <c r="J2671" s="34">
        <v>0.28100000000000003</v>
      </c>
      <c r="K2671" s="34">
        <f t="shared" si="82"/>
        <v>10807.26</v>
      </c>
      <c r="L2671" s="34">
        <v>3.87</v>
      </c>
      <c r="M2671" s="34">
        <v>148702</v>
      </c>
      <c r="N2671" s="34">
        <f t="shared" si="83"/>
        <v>13.772241992882561</v>
      </c>
    </row>
    <row r="2672" spans="1:14" x14ac:dyDescent="0.45">
      <c r="A2672" s="30">
        <v>2024</v>
      </c>
      <c r="B2672" s="30" t="s">
        <v>10</v>
      </c>
      <c r="C2672" s="30" t="s">
        <v>46</v>
      </c>
      <c r="D2672" s="30" t="s">
        <v>47</v>
      </c>
      <c r="E2672" s="32" t="s">
        <v>213</v>
      </c>
      <c r="F2672" s="32" t="s">
        <v>49</v>
      </c>
      <c r="G2672" s="32" t="s">
        <v>50</v>
      </c>
      <c r="H2672" s="33">
        <v>75140</v>
      </c>
      <c r="I2672" s="34">
        <f>Table3[[#This Row],[Volume, kg.]]/1000</f>
        <v>75.14</v>
      </c>
      <c r="J2672" s="34">
        <v>0.26679999999999998</v>
      </c>
      <c r="K2672" s="34">
        <f t="shared" si="82"/>
        <v>20047.351999999999</v>
      </c>
      <c r="L2672" s="34">
        <v>3.71</v>
      </c>
      <c r="M2672" s="34">
        <v>279100</v>
      </c>
      <c r="N2672" s="34">
        <f t="shared" si="83"/>
        <v>13.905547226386808</v>
      </c>
    </row>
    <row r="2673" spans="1:14" x14ac:dyDescent="0.45">
      <c r="A2673" s="30">
        <v>2024</v>
      </c>
      <c r="B2673" s="30" t="s">
        <v>10</v>
      </c>
      <c r="C2673" s="30" t="s">
        <v>46</v>
      </c>
      <c r="D2673" s="30" t="s">
        <v>47</v>
      </c>
      <c r="E2673" s="32" t="s">
        <v>69</v>
      </c>
      <c r="F2673" s="32" t="s">
        <v>49</v>
      </c>
      <c r="G2673" s="32" t="s">
        <v>50</v>
      </c>
      <c r="H2673" s="33">
        <v>74150</v>
      </c>
      <c r="I2673" s="34">
        <f>Table3[[#This Row],[Volume, kg.]]/1000</f>
        <v>74.150000000000006</v>
      </c>
      <c r="J2673" s="34">
        <v>0.27839999999999998</v>
      </c>
      <c r="K2673" s="34">
        <f t="shared" si="82"/>
        <v>20643.359999999997</v>
      </c>
      <c r="L2673" s="34">
        <v>3.81</v>
      </c>
      <c r="M2673" s="34">
        <v>282316</v>
      </c>
      <c r="N2673" s="34">
        <f t="shared" si="83"/>
        <v>13.685344827586208</v>
      </c>
    </row>
    <row r="2674" spans="1:14" x14ac:dyDescent="0.45">
      <c r="A2674" s="30">
        <v>2024</v>
      </c>
      <c r="B2674" s="30" t="s">
        <v>10</v>
      </c>
      <c r="C2674" s="30" t="s">
        <v>46</v>
      </c>
      <c r="D2674" s="30" t="s">
        <v>47</v>
      </c>
      <c r="E2674" s="32" t="s">
        <v>326</v>
      </c>
      <c r="F2674" s="32" t="s">
        <v>57</v>
      </c>
      <c r="G2674" s="32" t="s">
        <v>50</v>
      </c>
      <c r="H2674" s="33">
        <v>27170</v>
      </c>
      <c r="I2674" s="34">
        <f>Table3[[#This Row],[Volume, kg.]]/1000</f>
        <v>27.17</v>
      </c>
      <c r="J2674" s="34">
        <v>0.26640000000000003</v>
      </c>
      <c r="K2674" s="34">
        <f t="shared" si="82"/>
        <v>7238.0880000000006</v>
      </c>
      <c r="L2674" s="34">
        <v>3.8</v>
      </c>
      <c r="M2674" s="34">
        <v>103182.5</v>
      </c>
      <c r="N2674" s="34">
        <f t="shared" si="83"/>
        <v>14.264264264264263</v>
      </c>
    </row>
    <row r="2675" spans="1:14" x14ac:dyDescent="0.45">
      <c r="A2675" s="30">
        <v>2024</v>
      </c>
      <c r="B2675" s="30" t="s">
        <v>10</v>
      </c>
      <c r="C2675" s="30" t="s">
        <v>46</v>
      </c>
      <c r="D2675" s="30" t="s">
        <v>47</v>
      </c>
      <c r="E2675" s="32" t="s">
        <v>327</v>
      </c>
      <c r="F2675" s="32" t="s">
        <v>49</v>
      </c>
      <c r="G2675" s="32" t="s">
        <v>50</v>
      </c>
      <c r="H2675" s="33">
        <v>106070</v>
      </c>
      <c r="I2675" s="34">
        <f>Table3[[#This Row],[Volume, kg.]]/1000</f>
        <v>106.07</v>
      </c>
      <c r="J2675" s="34">
        <v>0.2616</v>
      </c>
      <c r="K2675" s="34">
        <f t="shared" si="82"/>
        <v>27747.912</v>
      </c>
      <c r="L2675" s="34">
        <v>3.73</v>
      </c>
      <c r="M2675" s="34">
        <v>395368</v>
      </c>
      <c r="N2675" s="34">
        <f t="shared" si="83"/>
        <v>14.258409785932722</v>
      </c>
    </row>
    <row r="2676" spans="1:14" x14ac:dyDescent="0.45">
      <c r="A2676" s="30">
        <v>2024</v>
      </c>
      <c r="B2676" s="30" t="s">
        <v>10</v>
      </c>
      <c r="C2676" s="30" t="s">
        <v>46</v>
      </c>
      <c r="D2676" s="30" t="s">
        <v>47</v>
      </c>
      <c r="E2676" s="32" t="s">
        <v>85</v>
      </c>
      <c r="F2676" s="32" t="s">
        <v>49</v>
      </c>
      <c r="G2676" s="32" t="s">
        <v>50</v>
      </c>
      <c r="H2676" s="33">
        <v>49240</v>
      </c>
      <c r="I2676" s="34">
        <f>Table3[[#This Row],[Volume, kg.]]/1000</f>
        <v>49.24</v>
      </c>
      <c r="J2676" s="34">
        <v>0.28600000000000003</v>
      </c>
      <c r="K2676" s="34">
        <f t="shared" si="82"/>
        <v>14082.640000000001</v>
      </c>
      <c r="L2676" s="34">
        <v>3.87</v>
      </c>
      <c r="M2676" s="34">
        <v>190343.5</v>
      </c>
      <c r="N2676" s="34">
        <f t="shared" si="83"/>
        <v>13.53146853146853</v>
      </c>
    </row>
    <row r="2677" spans="1:14" x14ac:dyDescent="0.45">
      <c r="A2677" s="30">
        <v>2024</v>
      </c>
      <c r="B2677" s="30" t="s">
        <v>10</v>
      </c>
      <c r="C2677" s="30" t="s">
        <v>46</v>
      </c>
      <c r="D2677" s="30" t="s">
        <v>47</v>
      </c>
      <c r="E2677" s="32" t="s">
        <v>234</v>
      </c>
      <c r="F2677" s="32" t="s">
        <v>49</v>
      </c>
      <c r="G2677" s="32" t="s">
        <v>50</v>
      </c>
      <c r="H2677" s="33">
        <v>5520</v>
      </c>
      <c r="I2677" s="34">
        <f>Table3[[#This Row],[Volume, kg.]]/1000</f>
        <v>5.52</v>
      </c>
      <c r="J2677" s="34">
        <v>0.26899999999999996</v>
      </c>
      <c r="K2677" s="34">
        <f t="shared" si="82"/>
        <v>1484.8799999999999</v>
      </c>
      <c r="L2677" s="34">
        <v>3.75</v>
      </c>
      <c r="M2677" s="34">
        <v>20700</v>
      </c>
      <c r="N2677" s="34">
        <f t="shared" si="83"/>
        <v>13.940520446096656</v>
      </c>
    </row>
    <row r="2678" spans="1:14" x14ac:dyDescent="0.45">
      <c r="A2678" s="30">
        <v>2024</v>
      </c>
      <c r="B2678" s="30" t="s">
        <v>10</v>
      </c>
      <c r="C2678" s="30" t="s">
        <v>46</v>
      </c>
      <c r="D2678" s="30" t="s">
        <v>47</v>
      </c>
      <c r="E2678" s="32" t="s">
        <v>149</v>
      </c>
      <c r="F2678" s="32" t="s">
        <v>49</v>
      </c>
      <c r="G2678" s="32" t="s">
        <v>50</v>
      </c>
      <c r="H2678" s="33">
        <v>67330</v>
      </c>
      <c r="I2678" s="34">
        <f>Table3[[#This Row],[Volume, kg.]]/1000</f>
        <v>67.33</v>
      </c>
      <c r="J2678" s="34">
        <v>0.27440000000000003</v>
      </c>
      <c r="K2678" s="34">
        <f t="shared" si="82"/>
        <v>18475.352000000003</v>
      </c>
      <c r="L2678" s="34">
        <v>3.76</v>
      </c>
      <c r="M2678" s="34">
        <v>253157</v>
      </c>
      <c r="N2678" s="34">
        <f t="shared" si="83"/>
        <v>13.702623906705536</v>
      </c>
    </row>
    <row r="2679" spans="1:14" x14ac:dyDescent="0.45">
      <c r="A2679" s="30">
        <v>2024</v>
      </c>
      <c r="B2679" s="30" t="s">
        <v>10</v>
      </c>
      <c r="C2679" s="30" t="s">
        <v>46</v>
      </c>
      <c r="D2679" s="30" t="s">
        <v>47</v>
      </c>
      <c r="E2679" s="32" t="s">
        <v>246</v>
      </c>
      <c r="F2679" s="32" t="s">
        <v>49</v>
      </c>
      <c r="G2679" s="32" t="s">
        <v>50</v>
      </c>
      <c r="H2679" s="33">
        <v>5050</v>
      </c>
      <c r="I2679" s="34">
        <f>Table3[[#This Row],[Volume, kg.]]/1000</f>
        <v>5.05</v>
      </c>
      <c r="J2679" s="34">
        <v>0.2707</v>
      </c>
      <c r="K2679" s="34">
        <f t="shared" si="82"/>
        <v>1367.0350000000001</v>
      </c>
      <c r="L2679" s="34">
        <v>3.72</v>
      </c>
      <c r="M2679" s="34">
        <v>18798.5</v>
      </c>
      <c r="N2679" s="34">
        <f t="shared" si="83"/>
        <v>13.742149981529369</v>
      </c>
    </row>
    <row r="2680" spans="1:14" x14ac:dyDescent="0.45">
      <c r="A2680" s="30">
        <v>2024</v>
      </c>
      <c r="B2680" s="30" t="s">
        <v>10</v>
      </c>
      <c r="C2680" s="30" t="s">
        <v>46</v>
      </c>
      <c r="D2680" s="30" t="s">
        <v>47</v>
      </c>
      <c r="E2680" s="32" t="s">
        <v>383</v>
      </c>
      <c r="F2680" s="32" t="s">
        <v>49</v>
      </c>
      <c r="G2680" s="32" t="s">
        <v>50</v>
      </c>
      <c r="H2680" s="33">
        <v>3940</v>
      </c>
      <c r="I2680" s="34">
        <f>Table3[[#This Row],[Volume, kg.]]/1000</f>
        <v>3.94</v>
      </c>
      <c r="J2680" s="34">
        <v>0.23699999999999999</v>
      </c>
      <c r="K2680" s="34">
        <f t="shared" si="82"/>
        <v>933.78</v>
      </c>
      <c r="L2680" s="34">
        <v>3.5</v>
      </c>
      <c r="M2680" s="34">
        <v>13790</v>
      </c>
      <c r="N2680" s="34">
        <f t="shared" si="83"/>
        <v>14.767932489451477</v>
      </c>
    </row>
    <row r="2681" spans="1:14" x14ac:dyDescent="0.45">
      <c r="A2681" s="30">
        <v>2024</v>
      </c>
      <c r="B2681" s="30" t="s">
        <v>10</v>
      </c>
      <c r="C2681" s="30" t="s">
        <v>46</v>
      </c>
      <c r="D2681" s="30" t="s">
        <v>47</v>
      </c>
      <c r="E2681" s="32" t="s">
        <v>493</v>
      </c>
      <c r="F2681" s="32" t="s">
        <v>49</v>
      </c>
      <c r="G2681" s="32" t="s">
        <v>50</v>
      </c>
      <c r="H2681" s="33">
        <v>55580</v>
      </c>
      <c r="I2681" s="34">
        <f>Table3[[#This Row],[Volume, kg.]]/1000</f>
        <v>55.58</v>
      </c>
      <c r="J2681" s="34">
        <v>0.28100000000000003</v>
      </c>
      <c r="K2681" s="34">
        <f t="shared" si="82"/>
        <v>15617.980000000001</v>
      </c>
      <c r="L2681" s="34">
        <v>3.77</v>
      </c>
      <c r="M2681" s="34">
        <v>209490</v>
      </c>
      <c r="N2681" s="34">
        <f t="shared" si="83"/>
        <v>13.416370106761564</v>
      </c>
    </row>
    <row r="2682" spans="1:14" x14ac:dyDescent="0.45">
      <c r="A2682" s="30">
        <v>2024</v>
      </c>
      <c r="B2682" s="30" t="s">
        <v>10</v>
      </c>
      <c r="C2682" s="30" t="s">
        <v>46</v>
      </c>
      <c r="D2682" s="30" t="s">
        <v>47</v>
      </c>
      <c r="E2682" s="32" t="s">
        <v>208</v>
      </c>
      <c r="F2682" s="32" t="s">
        <v>49</v>
      </c>
      <c r="G2682" s="32" t="s">
        <v>50</v>
      </c>
      <c r="H2682" s="33">
        <v>8660</v>
      </c>
      <c r="I2682" s="34">
        <f>Table3[[#This Row],[Volume, kg.]]/1000</f>
        <v>8.66</v>
      </c>
      <c r="J2682" s="34">
        <v>0.28999999999999998</v>
      </c>
      <c r="K2682" s="34">
        <f t="shared" si="82"/>
        <v>2511.3999999999996</v>
      </c>
      <c r="L2682" s="34">
        <v>3.9</v>
      </c>
      <c r="M2682" s="34">
        <v>33774</v>
      </c>
      <c r="N2682" s="34">
        <f t="shared" si="83"/>
        <v>13.448275862068966</v>
      </c>
    </row>
    <row r="2683" spans="1:14" x14ac:dyDescent="0.45">
      <c r="A2683" s="30">
        <v>2024</v>
      </c>
      <c r="B2683" s="30" t="s">
        <v>10</v>
      </c>
      <c r="C2683" s="30" t="s">
        <v>46</v>
      </c>
      <c r="D2683" s="30" t="s">
        <v>47</v>
      </c>
      <c r="E2683" s="32" t="s">
        <v>123</v>
      </c>
      <c r="F2683" s="32" t="s">
        <v>49</v>
      </c>
      <c r="G2683" s="32" t="s">
        <v>50</v>
      </c>
      <c r="H2683" s="33">
        <v>23160</v>
      </c>
      <c r="I2683" s="34">
        <f>Table3[[#This Row],[Volume, kg.]]/1000</f>
        <v>23.16</v>
      </c>
      <c r="J2683" s="34">
        <v>0.25600000000000001</v>
      </c>
      <c r="K2683" s="34">
        <f t="shared" si="82"/>
        <v>5928.96</v>
      </c>
      <c r="L2683" s="34">
        <v>3.66</v>
      </c>
      <c r="M2683" s="34">
        <v>84874</v>
      </c>
      <c r="N2683" s="34">
        <f t="shared" si="83"/>
        <v>14.296875</v>
      </c>
    </row>
    <row r="2684" spans="1:14" x14ac:dyDescent="0.45">
      <c r="A2684" s="30">
        <v>2024</v>
      </c>
      <c r="B2684" s="30" t="s">
        <v>10</v>
      </c>
      <c r="C2684" s="30" t="s">
        <v>46</v>
      </c>
      <c r="D2684" s="30" t="s">
        <v>47</v>
      </c>
      <c r="E2684" s="32" t="s">
        <v>99</v>
      </c>
      <c r="F2684" s="32" t="s">
        <v>49</v>
      </c>
      <c r="G2684" s="32" t="s">
        <v>50</v>
      </c>
      <c r="H2684" s="33">
        <v>52620</v>
      </c>
      <c r="I2684" s="34">
        <f>Table3[[#This Row],[Volume, kg.]]/1000</f>
        <v>52.62</v>
      </c>
      <c r="J2684" s="34">
        <v>0.27200000000000002</v>
      </c>
      <c r="K2684" s="34">
        <f t="shared" si="82"/>
        <v>14312.640000000001</v>
      </c>
      <c r="L2684" s="34">
        <v>3.78</v>
      </c>
      <c r="M2684" s="34">
        <v>199057.5</v>
      </c>
      <c r="N2684" s="34">
        <f t="shared" si="83"/>
        <v>13.897058823529409</v>
      </c>
    </row>
    <row r="2685" spans="1:14" x14ac:dyDescent="0.45">
      <c r="A2685" s="30">
        <v>2024</v>
      </c>
      <c r="B2685" s="30" t="s">
        <v>10</v>
      </c>
      <c r="C2685" s="30" t="s">
        <v>46</v>
      </c>
      <c r="D2685" s="30" t="s">
        <v>47</v>
      </c>
      <c r="E2685" s="32" t="s">
        <v>165</v>
      </c>
      <c r="F2685" s="32" t="s">
        <v>57</v>
      </c>
      <c r="G2685" s="32" t="s">
        <v>50</v>
      </c>
      <c r="H2685" s="33">
        <v>9010</v>
      </c>
      <c r="I2685" s="34">
        <f>Table3[[#This Row],[Volume, kg.]]/1000</f>
        <v>9.01</v>
      </c>
      <c r="J2685" s="34">
        <v>0.2457</v>
      </c>
      <c r="K2685" s="34">
        <f t="shared" si="82"/>
        <v>2213.7570000000001</v>
      </c>
      <c r="L2685" s="34">
        <v>3.58</v>
      </c>
      <c r="M2685" s="34">
        <v>32237</v>
      </c>
      <c r="N2685" s="34">
        <f t="shared" si="83"/>
        <v>14.570614570614572</v>
      </c>
    </row>
    <row r="2686" spans="1:14" x14ac:dyDescent="0.45">
      <c r="A2686" s="30">
        <v>2024</v>
      </c>
      <c r="B2686" s="30" t="s">
        <v>10</v>
      </c>
      <c r="C2686" s="30" t="s">
        <v>46</v>
      </c>
      <c r="D2686" s="30" t="s">
        <v>47</v>
      </c>
      <c r="E2686" s="32" t="s">
        <v>226</v>
      </c>
      <c r="F2686" s="32" t="s">
        <v>60</v>
      </c>
      <c r="G2686" s="32" t="s">
        <v>50</v>
      </c>
      <c r="H2686" s="33">
        <v>20970</v>
      </c>
      <c r="I2686" s="34">
        <f>Table3[[#This Row],[Volume, kg.]]/1000</f>
        <v>20.97</v>
      </c>
      <c r="J2686" s="34">
        <v>0.26519999999999999</v>
      </c>
      <c r="K2686" s="34">
        <f t="shared" si="82"/>
        <v>5561.2439999999997</v>
      </c>
      <c r="L2686" s="34">
        <v>3.7</v>
      </c>
      <c r="M2686" s="34">
        <v>77589</v>
      </c>
      <c r="N2686" s="34">
        <f t="shared" si="83"/>
        <v>13.951734539969836</v>
      </c>
    </row>
    <row r="2687" spans="1:14" x14ac:dyDescent="0.45">
      <c r="A2687" s="30">
        <v>2024</v>
      </c>
      <c r="B2687" s="30" t="s">
        <v>10</v>
      </c>
      <c r="C2687" s="30" t="s">
        <v>46</v>
      </c>
      <c r="D2687" s="30" t="s">
        <v>47</v>
      </c>
      <c r="E2687" s="32" t="s">
        <v>182</v>
      </c>
      <c r="F2687" s="32" t="s">
        <v>81</v>
      </c>
      <c r="G2687" s="32" t="s">
        <v>50</v>
      </c>
      <c r="H2687" s="33">
        <v>7550</v>
      </c>
      <c r="I2687" s="34">
        <f>Table3[[#This Row],[Volume, kg.]]/1000</f>
        <v>7.55</v>
      </c>
      <c r="J2687" s="34">
        <v>0.22899999999999998</v>
      </c>
      <c r="K2687" s="34">
        <f t="shared" si="82"/>
        <v>1728.9499999999998</v>
      </c>
      <c r="L2687" s="34">
        <v>3.5</v>
      </c>
      <c r="M2687" s="34">
        <v>26425</v>
      </c>
      <c r="N2687" s="34">
        <f t="shared" si="83"/>
        <v>15.283842794759826</v>
      </c>
    </row>
    <row r="2688" spans="1:14" x14ac:dyDescent="0.45">
      <c r="A2688" s="30">
        <v>2024</v>
      </c>
      <c r="B2688" s="30" t="s">
        <v>10</v>
      </c>
      <c r="C2688" s="30" t="s">
        <v>46</v>
      </c>
      <c r="D2688" s="30" t="s">
        <v>47</v>
      </c>
      <c r="E2688" s="32" t="s">
        <v>322</v>
      </c>
      <c r="F2688" s="32" t="s">
        <v>57</v>
      </c>
      <c r="G2688" s="32" t="s">
        <v>50</v>
      </c>
      <c r="H2688" s="33">
        <v>8640</v>
      </c>
      <c r="I2688" s="34">
        <f>Table3[[#This Row],[Volume, kg.]]/1000</f>
        <v>8.64</v>
      </c>
      <c r="J2688" s="34">
        <v>0.25329999999999997</v>
      </c>
      <c r="K2688" s="34">
        <f t="shared" si="82"/>
        <v>2188.5119999999997</v>
      </c>
      <c r="L2688" s="34">
        <v>3.68</v>
      </c>
      <c r="M2688" s="34">
        <v>31800</v>
      </c>
      <c r="N2688" s="34">
        <f t="shared" si="83"/>
        <v>14.528227398341889</v>
      </c>
    </row>
    <row r="2689" spans="1:14" x14ac:dyDescent="0.45">
      <c r="A2689" s="30">
        <v>2024</v>
      </c>
      <c r="B2689" s="30" t="s">
        <v>10</v>
      </c>
      <c r="C2689" s="30" t="s">
        <v>46</v>
      </c>
      <c r="D2689" s="30" t="s">
        <v>47</v>
      </c>
      <c r="E2689" s="32" t="s">
        <v>195</v>
      </c>
      <c r="F2689" s="32" t="s">
        <v>57</v>
      </c>
      <c r="G2689" s="32" t="s">
        <v>50</v>
      </c>
      <c r="H2689" s="33">
        <v>10600</v>
      </c>
      <c r="I2689" s="34">
        <f>Table3[[#This Row],[Volume, kg.]]/1000</f>
        <v>10.6</v>
      </c>
      <c r="J2689" s="34">
        <v>0.29719999999999996</v>
      </c>
      <c r="K2689" s="34">
        <f t="shared" si="82"/>
        <v>3150.3199999999997</v>
      </c>
      <c r="L2689" s="34">
        <v>3.89</v>
      </c>
      <c r="M2689" s="34">
        <v>41203</v>
      </c>
      <c r="N2689" s="34">
        <f t="shared" si="83"/>
        <v>13.088829071332437</v>
      </c>
    </row>
    <row r="2690" spans="1:14" x14ac:dyDescent="0.45">
      <c r="A2690" s="30">
        <v>2024</v>
      </c>
      <c r="B2690" s="30" t="s">
        <v>10</v>
      </c>
      <c r="C2690" s="30" t="s">
        <v>46</v>
      </c>
      <c r="D2690" s="30" t="s">
        <v>47</v>
      </c>
      <c r="E2690" s="32" t="s">
        <v>73</v>
      </c>
      <c r="F2690" s="32" t="s">
        <v>49</v>
      </c>
      <c r="G2690" s="32" t="s">
        <v>50</v>
      </c>
      <c r="H2690" s="33">
        <v>13990</v>
      </c>
      <c r="I2690" s="34">
        <f>Table3[[#This Row],[Volume, kg.]]/1000</f>
        <v>13.99</v>
      </c>
      <c r="J2690" s="34">
        <v>0.27260000000000001</v>
      </c>
      <c r="K2690" s="34">
        <f t="shared" si="82"/>
        <v>3813.674</v>
      </c>
      <c r="L2690" s="34">
        <v>3.82</v>
      </c>
      <c r="M2690" s="34">
        <v>53398.5</v>
      </c>
      <c r="N2690" s="34">
        <f t="shared" si="83"/>
        <v>14.013206162876008</v>
      </c>
    </row>
    <row r="2691" spans="1:14" x14ac:dyDescent="0.45">
      <c r="A2691" s="30">
        <v>2024</v>
      </c>
      <c r="B2691" s="30" t="s">
        <v>10</v>
      </c>
      <c r="C2691" s="30" t="s">
        <v>46</v>
      </c>
      <c r="D2691" s="30" t="s">
        <v>47</v>
      </c>
      <c r="E2691" s="32" t="s">
        <v>65</v>
      </c>
      <c r="F2691" s="32" t="s">
        <v>49</v>
      </c>
      <c r="G2691" s="32" t="s">
        <v>50</v>
      </c>
      <c r="H2691" s="33">
        <v>24500</v>
      </c>
      <c r="I2691" s="34">
        <f>Table3[[#This Row],[Volume, kg.]]/1000</f>
        <v>24.5</v>
      </c>
      <c r="J2691" s="34">
        <v>0.26229999999999998</v>
      </c>
      <c r="K2691" s="34">
        <f t="shared" ref="K2691:K2754" si="84">H2691*J2691</f>
        <v>6426.3499999999995</v>
      </c>
      <c r="L2691" s="34">
        <v>3.64</v>
      </c>
      <c r="M2691" s="34">
        <v>89242.5</v>
      </c>
      <c r="N2691" s="34">
        <f t="shared" si="83"/>
        <v>13.877239801753719</v>
      </c>
    </row>
    <row r="2692" spans="1:14" x14ac:dyDescent="0.45">
      <c r="A2692" s="30">
        <v>2024</v>
      </c>
      <c r="B2692" s="30" t="s">
        <v>10</v>
      </c>
      <c r="C2692" s="30" t="s">
        <v>46</v>
      </c>
      <c r="D2692" s="30" t="s">
        <v>47</v>
      </c>
      <c r="E2692" s="32" t="s">
        <v>245</v>
      </c>
      <c r="F2692" s="32" t="s">
        <v>57</v>
      </c>
      <c r="G2692" s="32" t="s">
        <v>50</v>
      </c>
      <c r="H2692" s="33">
        <v>42320</v>
      </c>
      <c r="I2692" s="34">
        <f>Table3[[#This Row],[Volume, kg.]]/1000</f>
        <v>42.32</v>
      </c>
      <c r="J2692" s="34">
        <v>0.27729999999999999</v>
      </c>
      <c r="K2692" s="34">
        <f t="shared" si="84"/>
        <v>11735.335999999999</v>
      </c>
      <c r="L2692" s="34">
        <v>3.8</v>
      </c>
      <c r="M2692" s="34">
        <v>160838</v>
      </c>
      <c r="N2692" s="34">
        <f t="shared" ref="N2692:N2755" si="85">L2692/J2692</f>
        <v>13.703570140641904</v>
      </c>
    </row>
    <row r="2693" spans="1:14" x14ac:dyDescent="0.45">
      <c r="A2693" s="30">
        <v>2024</v>
      </c>
      <c r="B2693" s="30" t="s">
        <v>10</v>
      </c>
      <c r="C2693" s="30" t="s">
        <v>46</v>
      </c>
      <c r="D2693" s="30" t="s">
        <v>47</v>
      </c>
      <c r="E2693" s="32" t="s">
        <v>303</v>
      </c>
      <c r="F2693" s="32" t="s">
        <v>57</v>
      </c>
      <c r="G2693" s="32" t="s">
        <v>50</v>
      </c>
      <c r="H2693" s="33">
        <v>19140</v>
      </c>
      <c r="I2693" s="34">
        <f>Table3[[#This Row],[Volume, kg.]]/1000</f>
        <v>19.14</v>
      </c>
      <c r="J2693" s="34">
        <v>0.2823</v>
      </c>
      <c r="K2693" s="34">
        <f t="shared" si="84"/>
        <v>5403.2219999999998</v>
      </c>
      <c r="L2693" s="34">
        <v>3.8</v>
      </c>
      <c r="M2693" s="34">
        <v>72802.5</v>
      </c>
      <c r="N2693" s="34">
        <f t="shared" si="85"/>
        <v>13.460857244066595</v>
      </c>
    </row>
    <row r="2694" spans="1:14" x14ac:dyDescent="0.45">
      <c r="A2694" s="30">
        <v>2024</v>
      </c>
      <c r="B2694" s="30" t="s">
        <v>10</v>
      </c>
      <c r="C2694" s="30" t="s">
        <v>46</v>
      </c>
      <c r="D2694" s="30" t="s">
        <v>47</v>
      </c>
      <c r="E2694" s="32" t="s">
        <v>163</v>
      </c>
      <c r="F2694" s="32" t="s">
        <v>60</v>
      </c>
      <c r="G2694" s="32" t="s">
        <v>50</v>
      </c>
      <c r="H2694" s="33">
        <v>90850</v>
      </c>
      <c r="I2694" s="34">
        <f>Table3[[#This Row],[Volume, kg.]]/1000</f>
        <v>90.85</v>
      </c>
      <c r="J2694" s="34">
        <v>0.2535</v>
      </c>
      <c r="K2694" s="34">
        <f t="shared" si="84"/>
        <v>23030.474999999999</v>
      </c>
      <c r="L2694" s="34">
        <v>3.69</v>
      </c>
      <c r="M2694" s="34">
        <v>335235.5</v>
      </c>
      <c r="N2694" s="34">
        <f t="shared" si="85"/>
        <v>14.556213017751478</v>
      </c>
    </row>
    <row r="2695" spans="1:14" x14ac:dyDescent="0.45">
      <c r="A2695" s="30">
        <v>2024</v>
      </c>
      <c r="B2695" s="30" t="s">
        <v>10</v>
      </c>
      <c r="C2695" s="30" t="s">
        <v>46</v>
      </c>
      <c r="D2695" s="30" t="s">
        <v>47</v>
      </c>
      <c r="E2695" s="32" t="s">
        <v>172</v>
      </c>
      <c r="F2695" s="32" t="s">
        <v>57</v>
      </c>
      <c r="G2695" s="32" t="s">
        <v>50</v>
      </c>
      <c r="H2695" s="33">
        <v>47750</v>
      </c>
      <c r="I2695" s="34">
        <f>Table3[[#This Row],[Volume, kg.]]/1000</f>
        <v>47.75</v>
      </c>
      <c r="J2695" s="34">
        <v>0.2477</v>
      </c>
      <c r="K2695" s="34">
        <f t="shared" si="84"/>
        <v>11827.674999999999</v>
      </c>
      <c r="L2695" s="34">
        <v>3.67</v>
      </c>
      <c r="M2695" s="34">
        <v>175187</v>
      </c>
      <c r="N2695" s="34">
        <f t="shared" si="85"/>
        <v>14.816310052482841</v>
      </c>
    </row>
    <row r="2696" spans="1:14" x14ac:dyDescent="0.45">
      <c r="A2696" s="30">
        <v>2024</v>
      </c>
      <c r="B2696" s="30" t="s">
        <v>10</v>
      </c>
      <c r="C2696" s="30" t="s">
        <v>46</v>
      </c>
      <c r="D2696" s="30" t="s">
        <v>47</v>
      </c>
      <c r="E2696" s="32" t="s">
        <v>170</v>
      </c>
      <c r="F2696" s="32" t="s">
        <v>49</v>
      </c>
      <c r="G2696" s="32" t="s">
        <v>50</v>
      </c>
      <c r="H2696" s="33">
        <v>36930</v>
      </c>
      <c r="I2696" s="34">
        <f>Table3[[#This Row],[Volume, kg.]]/1000</f>
        <v>36.93</v>
      </c>
      <c r="J2696" s="34">
        <v>0.28249999999999997</v>
      </c>
      <c r="K2696" s="34">
        <f t="shared" si="84"/>
        <v>10432.724999999999</v>
      </c>
      <c r="L2696" s="34">
        <v>3.78</v>
      </c>
      <c r="M2696" s="34">
        <v>139631.5</v>
      </c>
      <c r="N2696" s="34">
        <f t="shared" si="85"/>
        <v>13.380530973451329</v>
      </c>
    </row>
    <row r="2697" spans="1:14" x14ac:dyDescent="0.45">
      <c r="A2697" s="30">
        <v>2024</v>
      </c>
      <c r="B2697" s="30" t="s">
        <v>10</v>
      </c>
      <c r="C2697" s="30" t="s">
        <v>46</v>
      </c>
      <c r="D2697" s="30" t="s">
        <v>47</v>
      </c>
      <c r="E2697" s="32" t="s">
        <v>302</v>
      </c>
      <c r="F2697" s="32" t="s">
        <v>49</v>
      </c>
      <c r="G2697" s="32" t="s">
        <v>50</v>
      </c>
      <c r="H2697" s="33">
        <v>49080</v>
      </c>
      <c r="I2697" s="34">
        <f>Table3[[#This Row],[Volume, kg.]]/1000</f>
        <v>49.08</v>
      </c>
      <c r="J2697" s="34">
        <v>0.27429999999999999</v>
      </c>
      <c r="K2697" s="34">
        <f t="shared" si="84"/>
        <v>13462.644</v>
      </c>
      <c r="L2697" s="34">
        <v>3.77</v>
      </c>
      <c r="M2697" s="34">
        <v>185191</v>
      </c>
      <c r="N2697" s="34">
        <f t="shared" si="85"/>
        <v>13.744075829383887</v>
      </c>
    </row>
    <row r="2698" spans="1:14" x14ac:dyDescent="0.45">
      <c r="A2698" s="30">
        <v>2024</v>
      </c>
      <c r="B2698" s="30" t="s">
        <v>10</v>
      </c>
      <c r="C2698" s="30" t="s">
        <v>46</v>
      </c>
      <c r="D2698" s="30" t="s">
        <v>47</v>
      </c>
      <c r="E2698" s="32" t="s">
        <v>301</v>
      </c>
      <c r="F2698" s="32" t="s">
        <v>60</v>
      </c>
      <c r="G2698" s="32" t="s">
        <v>50</v>
      </c>
      <c r="H2698" s="33">
        <v>47600</v>
      </c>
      <c r="I2698" s="34">
        <f>Table3[[#This Row],[Volume, kg.]]/1000</f>
        <v>47.6</v>
      </c>
      <c r="J2698" s="34">
        <v>0.25619999999999998</v>
      </c>
      <c r="K2698" s="34">
        <f t="shared" si="84"/>
        <v>12195.119999999999</v>
      </c>
      <c r="L2698" s="34">
        <v>3.71</v>
      </c>
      <c r="M2698" s="34">
        <v>176462</v>
      </c>
      <c r="N2698" s="34">
        <f t="shared" si="85"/>
        <v>14.480874316939891</v>
      </c>
    </row>
    <row r="2699" spans="1:14" x14ac:dyDescent="0.45">
      <c r="A2699" s="30">
        <v>2024</v>
      </c>
      <c r="B2699" s="30" t="s">
        <v>10</v>
      </c>
      <c r="C2699" s="30" t="s">
        <v>46</v>
      </c>
      <c r="D2699" s="30" t="s">
        <v>47</v>
      </c>
      <c r="E2699" s="32" t="s">
        <v>325</v>
      </c>
      <c r="F2699" s="32" t="s">
        <v>60</v>
      </c>
      <c r="G2699" s="32" t="s">
        <v>50</v>
      </c>
      <c r="H2699" s="33">
        <v>12690</v>
      </c>
      <c r="I2699" s="34">
        <f>Table3[[#This Row],[Volume, kg.]]/1000</f>
        <v>12.69</v>
      </c>
      <c r="J2699" s="34">
        <v>0.28149999999999997</v>
      </c>
      <c r="K2699" s="34">
        <f t="shared" si="84"/>
        <v>3572.2349999999997</v>
      </c>
      <c r="L2699" s="34">
        <v>3.8</v>
      </c>
      <c r="M2699" s="34">
        <v>48222</v>
      </c>
      <c r="N2699" s="34">
        <f t="shared" si="85"/>
        <v>13.49911190053286</v>
      </c>
    </row>
    <row r="2700" spans="1:14" x14ac:dyDescent="0.45">
      <c r="A2700" s="30">
        <v>2024</v>
      </c>
      <c r="B2700" s="30" t="s">
        <v>10</v>
      </c>
      <c r="C2700" s="30" t="s">
        <v>46</v>
      </c>
      <c r="D2700" s="30" t="s">
        <v>47</v>
      </c>
      <c r="E2700" s="32" t="s">
        <v>51</v>
      </c>
      <c r="F2700" s="32" t="s">
        <v>49</v>
      </c>
      <c r="G2700" s="32" t="s">
        <v>50</v>
      </c>
      <c r="H2700" s="33">
        <v>69830</v>
      </c>
      <c r="I2700" s="34">
        <f>Table3[[#This Row],[Volume, kg.]]/1000</f>
        <v>69.83</v>
      </c>
      <c r="J2700" s="34">
        <v>0.25379999999999997</v>
      </c>
      <c r="K2700" s="34">
        <f t="shared" si="84"/>
        <v>17722.853999999999</v>
      </c>
      <c r="L2700" s="34">
        <v>3.68</v>
      </c>
      <c r="M2700" s="34">
        <v>256793</v>
      </c>
      <c r="N2700" s="34">
        <f t="shared" si="85"/>
        <v>14.499605988967694</v>
      </c>
    </row>
    <row r="2701" spans="1:14" x14ac:dyDescent="0.45">
      <c r="A2701" s="30">
        <v>2024</v>
      </c>
      <c r="B2701" s="30" t="s">
        <v>10</v>
      </c>
      <c r="C2701" s="30" t="s">
        <v>46</v>
      </c>
      <c r="D2701" s="30" t="s">
        <v>47</v>
      </c>
      <c r="E2701" s="32" t="s">
        <v>463</v>
      </c>
      <c r="F2701" s="32" t="s">
        <v>49</v>
      </c>
      <c r="G2701" s="32" t="s">
        <v>50</v>
      </c>
      <c r="H2701" s="33">
        <v>6060</v>
      </c>
      <c r="I2701" s="34">
        <f>Table3[[#This Row],[Volume, kg.]]/1000</f>
        <v>6.06</v>
      </c>
      <c r="J2701" s="34">
        <v>0.27800000000000002</v>
      </c>
      <c r="K2701" s="34">
        <f t="shared" si="84"/>
        <v>1684.68</v>
      </c>
      <c r="L2701" s="34">
        <v>3.8</v>
      </c>
      <c r="M2701" s="34">
        <v>23028</v>
      </c>
      <c r="N2701" s="34">
        <f t="shared" si="85"/>
        <v>13.669064748201437</v>
      </c>
    </row>
    <row r="2702" spans="1:14" x14ac:dyDescent="0.45">
      <c r="A2702" s="30">
        <v>2024</v>
      </c>
      <c r="B2702" s="30" t="s">
        <v>10</v>
      </c>
      <c r="C2702" s="30" t="s">
        <v>46</v>
      </c>
      <c r="D2702" s="30" t="s">
        <v>47</v>
      </c>
      <c r="E2702" s="32" t="s">
        <v>258</v>
      </c>
      <c r="F2702" s="32" t="s">
        <v>49</v>
      </c>
      <c r="G2702" s="32" t="s">
        <v>50</v>
      </c>
      <c r="H2702" s="33">
        <v>697240</v>
      </c>
      <c r="I2702" s="34">
        <f>Table3[[#This Row],[Volume, kg.]]/1000</f>
        <v>697.24</v>
      </c>
      <c r="J2702" s="34">
        <v>0.25420000000000004</v>
      </c>
      <c r="K2702" s="34">
        <f t="shared" si="84"/>
        <v>177238.40800000002</v>
      </c>
      <c r="L2702" s="34">
        <v>3.65</v>
      </c>
      <c r="M2702" s="34">
        <v>2547502.5</v>
      </c>
      <c r="N2702" s="34">
        <f t="shared" si="85"/>
        <v>14.358772619984261</v>
      </c>
    </row>
    <row r="2703" spans="1:14" x14ac:dyDescent="0.45">
      <c r="A2703" s="30">
        <v>2024</v>
      </c>
      <c r="B2703" s="30" t="s">
        <v>10</v>
      </c>
      <c r="C2703" s="30" t="s">
        <v>46</v>
      </c>
      <c r="D2703" s="30" t="s">
        <v>47</v>
      </c>
      <c r="E2703" s="32" t="s">
        <v>375</v>
      </c>
      <c r="F2703" s="32" t="s">
        <v>49</v>
      </c>
      <c r="G2703" s="32" t="s">
        <v>50</v>
      </c>
      <c r="H2703" s="33">
        <v>920</v>
      </c>
      <c r="I2703" s="34">
        <f>Table3[[#This Row],[Volume, kg.]]/1000</f>
        <v>0.92</v>
      </c>
      <c r="J2703" s="34">
        <v>0.29299999999999998</v>
      </c>
      <c r="K2703" s="34">
        <f t="shared" si="84"/>
        <v>269.56</v>
      </c>
      <c r="L2703" s="34">
        <v>3.85</v>
      </c>
      <c r="M2703" s="34">
        <v>3542</v>
      </c>
      <c r="N2703" s="34">
        <f t="shared" si="85"/>
        <v>13.139931740614335</v>
      </c>
    </row>
    <row r="2704" spans="1:14" x14ac:dyDescent="0.45">
      <c r="A2704" s="30">
        <v>2024</v>
      </c>
      <c r="B2704" s="30" t="s">
        <v>10</v>
      </c>
      <c r="C2704" s="30" t="s">
        <v>46</v>
      </c>
      <c r="D2704" s="30" t="s">
        <v>47</v>
      </c>
      <c r="E2704" s="32" t="s">
        <v>166</v>
      </c>
      <c r="F2704" s="32" t="s">
        <v>49</v>
      </c>
      <c r="G2704" s="32" t="s">
        <v>50</v>
      </c>
      <c r="H2704" s="33">
        <v>9380</v>
      </c>
      <c r="I2704" s="34">
        <f>Table3[[#This Row],[Volume, kg.]]/1000</f>
        <v>9.3800000000000008</v>
      </c>
      <c r="J2704" s="34">
        <v>0.23769999999999999</v>
      </c>
      <c r="K2704" s="34">
        <f t="shared" si="84"/>
        <v>2229.6259999999997</v>
      </c>
      <c r="L2704" s="34">
        <v>3.6</v>
      </c>
      <c r="M2704" s="34">
        <v>33729.5</v>
      </c>
      <c r="N2704" s="34">
        <f t="shared" si="85"/>
        <v>15.145140933950358</v>
      </c>
    </row>
    <row r="2705" spans="1:14" x14ac:dyDescent="0.45">
      <c r="A2705" s="30">
        <v>2024</v>
      </c>
      <c r="B2705" s="30" t="s">
        <v>10</v>
      </c>
      <c r="C2705" s="30" t="s">
        <v>46</v>
      </c>
      <c r="D2705" s="30" t="s">
        <v>47</v>
      </c>
      <c r="E2705" s="32" t="s">
        <v>293</v>
      </c>
      <c r="F2705" s="32" t="s">
        <v>60</v>
      </c>
      <c r="G2705" s="32" t="s">
        <v>50</v>
      </c>
      <c r="H2705" s="33">
        <v>21860</v>
      </c>
      <c r="I2705" s="34">
        <f>Table3[[#This Row],[Volume, kg.]]/1000</f>
        <v>21.86</v>
      </c>
      <c r="J2705" s="34">
        <v>0.253</v>
      </c>
      <c r="K2705" s="34">
        <f t="shared" si="84"/>
        <v>5530.58</v>
      </c>
      <c r="L2705" s="34">
        <v>3.62</v>
      </c>
      <c r="M2705" s="34">
        <v>79183</v>
      </c>
      <c r="N2705" s="34">
        <f t="shared" si="85"/>
        <v>14.308300395256918</v>
      </c>
    </row>
    <row r="2706" spans="1:14" x14ac:dyDescent="0.45">
      <c r="A2706" s="30">
        <v>2024</v>
      </c>
      <c r="B2706" s="30" t="s">
        <v>10</v>
      </c>
      <c r="C2706" s="30" t="s">
        <v>46</v>
      </c>
      <c r="D2706" s="30" t="s">
        <v>47</v>
      </c>
      <c r="E2706" s="32" t="s">
        <v>242</v>
      </c>
      <c r="F2706" s="32" t="s">
        <v>60</v>
      </c>
      <c r="G2706" s="32" t="s">
        <v>50</v>
      </c>
      <c r="H2706" s="33">
        <v>28230</v>
      </c>
      <c r="I2706" s="34">
        <f>Table3[[#This Row],[Volume, kg.]]/1000</f>
        <v>28.23</v>
      </c>
      <c r="J2706" s="34">
        <v>0.29320000000000002</v>
      </c>
      <c r="K2706" s="34">
        <f t="shared" si="84"/>
        <v>8277.0360000000001</v>
      </c>
      <c r="L2706" s="34">
        <v>3.85</v>
      </c>
      <c r="M2706" s="34">
        <v>108685.5</v>
      </c>
      <c r="N2706" s="34">
        <f t="shared" si="85"/>
        <v>13.130968622100955</v>
      </c>
    </row>
    <row r="2707" spans="1:14" x14ac:dyDescent="0.45">
      <c r="A2707" s="30">
        <v>2024</v>
      </c>
      <c r="B2707" s="30" t="s">
        <v>10</v>
      </c>
      <c r="C2707" s="30" t="s">
        <v>46</v>
      </c>
      <c r="D2707" s="30" t="s">
        <v>47</v>
      </c>
      <c r="E2707" s="32" t="s">
        <v>256</v>
      </c>
      <c r="F2707" s="32" t="s">
        <v>81</v>
      </c>
      <c r="G2707" s="32" t="s">
        <v>50</v>
      </c>
      <c r="H2707" s="33">
        <v>25790</v>
      </c>
      <c r="I2707" s="34">
        <f>Table3[[#This Row],[Volume, kg.]]/1000</f>
        <v>25.79</v>
      </c>
      <c r="J2707" s="34">
        <v>0.26</v>
      </c>
      <c r="K2707" s="34">
        <f t="shared" si="84"/>
        <v>6705.4000000000005</v>
      </c>
      <c r="L2707" s="34">
        <v>3.75</v>
      </c>
      <c r="M2707" s="34">
        <v>96712.5</v>
      </c>
      <c r="N2707" s="34">
        <f t="shared" si="85"/>
        <v>14.423076923076923</v>
      </c>
    </row>
    <row r="2708" spans="1:14" x14ac:dyDescent="0.45">
      <c r="A2708" s="30">
        <v>2024</v>
      </c>
      <c r="B2708" s="30" t="s">
        <v>10</v>
      </c>
      <c r="C2708" s="30" t="s">
        <v>46</v>
      </c>
      <c r="D2708" s="30" t="s">
        <v>47</v>
      </c>
      <c r="E2708" s="32" t="s">
        <v>597</v>
      </c>
      <c r="F2708" s="32" t="s">
        <v>49</v>
      </c>
      <c r="G2708" s="32" t="s">
        <v>50</v>
      </c>
      <c r="H2708" s="33">
        <v>7640</v>
      </c>
      <c r="I2708" s="34">
        <f>Table3[[#This Row],[Volume, kg.]]/1000</f>
        <v>7.64</v>
      </c>
      <c r="J2708" s="34">
        <v>0.26400000000000001</v>
      </c>
      <c r="K2708" s="34">
        <f t="shared" si="84"/>
        <v>2016.96</v>
      </c>
      <c r="L2708" s="34">
        <v>3.7</v>
      </c>
      <c r="M2708" s="34">
        <v>28268</v>
      </c>
      <c r="N2708" s="34">
        <f t="shared" si="85"/>
        <v>14.015151515151516</v>
      </c>
    </row>
    <row r="2709" spans="1:14" x14ac:dyDescent="0.45">
      <c r="A2709" s="30">
        <v>2024</v>
      </c>
      <c r="B2709" s="30" t="s">
        <v>10</v>
      </c>
      <c r="C2709" s="30" t="s">
        <v>46</v>
      </c>
      <c r="D2709" s="30" t="s">
        <v>47</v>
      </c>
      <c r="E2709" s="32" t="s">
        <v>198</v>
      </c>
      <c r="F2709" s="32" t="s">
        <v>49</v>
      </c>
      <c r="G2709" s="32" t="s">
        <v>50</v>
      </c>
      <c r="H2709" s="33">
        <v>12320</v>
      </c>
      <c r="I2709" s="34">
        <f>Table3[[#This Row],[Volume, kg.]]/1000</f>
        <v>12.32</v>
      </c>
      <c r="J2709" s="34">
        <v>0.24249999999999999</v>
      </c>
      <c r="K2709" s="34">
        <f t="shared" si="84"/>
        <v>2987.6</v>
      </c>
      <c r="L2709" s="34">
        <v>3.6</v>
      </c>
      <c r="M2709" s="34">
        <v>44352</v>
      </c>
      <c r="N2709" s="34">
        <f t="shared" si="85"/>
        <v>14.845360824742269</v>
      </c>
    </row>
    <row r="2710" spans="1:14" x14ac:dyDescent="0.45">
      <c r="A2710" s="30">
        <v>2024</v>
      </c>
      <c r="B2710" s="30" t="s">
        <v>10</v>
      </c>
      <c r="C2710" s="30" t="s">
        <v>46</v>
      </c>
      <c r="D2710" s="30" t="s">
        <v>47</v>
      </c>
      <c r="E2710" s="32" t="s">
        <v>380</v>
      </c>
      <c r="F2710" s="32" t="s">
        <v>49</v>
      </c>
      <c r="G2710" s="32" t="s">
        <v>50</v>
      </c>
      <c r="H2710" s="33">
        <v>79890</v>
      </c>
      <c r="I2710" s="34">
        <f>Table3[[#This Row],[Volume, kg.]]/1000</f>
        <v>79.89</v>
      </c>
      <c r="J2710" s="34">
        <v>0.26489999999999997</v>
      </c>
      <c r="K2710" s="34">
        <f t="shared" si="84"/>
        <v>21162.860999999997</v>
      </c>
      <c r="L2710" s="34">
        <v>3.74</v>
      </c>
      <c r="M2710" s="34">
        <v>298850.5</v>
      </c>
      <c r="N2710" s="34">
        <f t="shared" si="85"/>
        <v>14.118535296338242</v>
      </c>
    </row>
    <row r="2711" spans="1:14" x14ac:dyDescent="0.45">
      <c r="A2711" s="30">
        <v>2024</v>
      </c>
      <c r="B2711" s="30" t="s">
        <v>10</v>
      </c>
      <c r="C2711" s="30" t="s">
        <v>46</v>
      </c>
      <c r="D2711" s="30" t="s">
        <v>47</v>
      </c>
      <c r="E2711" s="32" t="s">
        <v>287</v>
      </c>
      <c r="F2711" s="32" t="s">
        <v>60</v>
      </c>
      <c r="G2711" s="32" t="s">
        <v>50</v>
      </c>
      <c r="H2711" s="33">
        <v>9280</v>
      </c>
      <c r="I2711" s="34">
        <f>Table3[[#This Row],[Volume, kg.]]/1000</f>
        <v>9.2799999999999994</v>
      </c>
      <c r="J2711" s="34">
        <v>0.2225</v>
      </c>
      <c r="K2711" s="34">
        <f t="shared" si="84"/>
        <v>2064.8000000000002</v>
      </c>
      <c r="L2711" s="34">
        <v>3.55</v>
      </c>
      <c r="M2711" s="34">
        <v>32944</v>
      </c>
      <c r="N2711" s="34">
        <f t="shared" si="85"/>
        <v>15.95505617977528</v>
      </c>
    </row>
    <row r="2712" spans="1:14" x14ac:dyDescent="0.45">
      <c r="A2712" s="30">
        <v>2024</v>
      </c>
      <c r="B2712" s="30" t="s">
        <v>10</v>
      </c>
      <c r="C2712" s="30" t="s">
        <v>46</v>
      </c>
      <c r="D2712" s="30" t="s">
        <v>47</v>
      </c>
      <c r="E2712" s="32" t="s">
        <v>164</v>
      </c>
      <c r="F2712" s="32" t="s">
        <v>49</v>
      </c>
      <c r="G2712" s="32" t="s">
        <v>50</v>
      </c>
      <c r="H2712" s="33">
        <v>7450</v>
      </c>
      <c r="I2712" s="34">
        <f>Table3[[#This Row],[Volume, kg.]]/1000</f>
        <v>7.45</v>
      </c>
      <c r="J2712" s="34">
        <v>0.22989999999999999</v>
      </c>
      <c r="K2712" s="34">
        <f t="shared" si="84"/>
        <v>1712.7549999999999</v>
      </c>
      <c r="L2712" s="34">
        <v>3.56</v>
      </c>
      <c r="M2712" s="34">
        <v>26530.5</v>
      </c>
      <c r="N2712" s="34">
        <f t="shared" si="85"/>
        <v>15.484993475424098</v>
      </c>
    </row>
    <row r="2713" spans="1:14" x14ac:dyDescent="0.45">
      <c r="A2713" s="30">
        <v>2024</v>
      </c>
      <c r="B2713" s="30" t="s">
        <v>10</v>
      </c>
      <c r="C2713" s="30" t="s">
        <v>46</v>
      </c>
      <c r="D2713" s="30" t="s">
        <v>47</v>
      </c>
      <c r="E2713" s="32" t="s">
        <v>534</v>
      </c>
      <c r="F2713" s="32" t="s">
        <v>49</v>
      </c>
      <c r="G2713" s="32" t="s">
        <v>50</v>
      </c>
      <c r="H2713" s="33">
        <v>19420</v>
      </c>
      <c r="I2713" s="34">
        <f>Table3[[#This Row],[Volume, kg.]]/1000</f>
        <v>19.420000000000002</v>
      </c>
      <c r="J2713" s="34">
        <v>0.25509999999999999</v>
      </c>
      <c r="K2713" s="34">
        <f t="shared" si="84"/>
        <v>4954.0419999999995</v>
      </c>
      <c r="L2713" s="34">
        <v>3.61</v>
      </c>
      <c r="M2713" s="34">
        <v>70113.5</v>
      </c>
      <c r="N2713" s="34">
        <f t="shared" si="85"/>
        <v>14.151313210505684</v>
      </c>
    </row>
    <row r="2714" spans="1:14" x14ac:dyDescent="0.45">
      <c r="A2714" s="30">
        <v>2024</v>
      </c>
      <c r="B2714" s="30" t="s">
        <v>10</v>
      </c>
      <c r="C2714" s="30" t="s">
        <v>46</v>
      </c>
      <c r="D2714" s="30" t="s">
        <v>47</v>
      </c>
      <c r="E2714" s="32" t="s">
        <v>220</v>
      </c>
      <c r="F2714" s="32" t="s">
        <v>49</v>
      </c>
      <c r="G2714" s="32" t="s">
        <v>50</v>
      </c>
      <c r="H2714" s="33">
        <v>17500</v>
      </c>
      <c r="I2714" s="34">
        <f>Table3[[#This Row],[Volume, kg.]]/1000</f>
        <v>17.5</v>
      </c>
      <c r="J2714" s="34">
        <v>0.28029999999999999</v>
      </c>
      <c r="K2714" s="34">
        <f t="shared" si="84"/>
        <v>4905.25</v>
      </c>
      <c r="L2714" s="34">
        <v>3.85</v>
      </c>
      <c r="M2714" s="34">
        <v>67419</v>
      </c>
      <c r="N2714" s="34">
        <f t="shared" si="85"/>
        <v>13.735283624687835</v>
      </c>
    </row>
    <row r="2715" spans="1:14" x14ac:dyDescent="0.45">
      <c r="A2715" s="30">
        <v>2024</v>
      </c>
      <c r="B2715" s="30" t="s">
        <v>10</v>
      </c>
      <c r="C2715" s="30" t="s">
        <v>46</v>
      </c>
      <c r="D2715" s="30" t="s">
        <v>47</v>
      </c>
      <c r="E2715" s="32" t="s">
        <v>294</v>
      </c>
      <c r="F2715" s="32" t="s">
        <v>81</v>
      </c>
      <c r="G2715" s="32" t="s">
        <v>50</v>
      </c>
      <c r="H2715" s="33">
        <v>11330</v>
      </c>
      <c r="I2715" s="34">
        <f>Table3[[#This Row],[Volume, kg.]]/1000</f>
        <v>11.33</v>
      </c>
      <c r="J2715" s="34">
        <v>0.247</v>
      </c>
      <c r="K2715" s="34">
        <f t="shared" si="84"/>
        <v>2798.5099999999998</v>
      </c>
      <c r="L2715" s="34">
        <v>3.64</v>
      </c>
      <c r="M2715" s="34">
        <v>41296.5</v>
      </c>
      <c r="N2715" s="34">
        <f t="shared" si="85"/>
        <v>14.736842105263159</v>
      </c>
    </row>
    <row r="2716" spans="1:14" x14ac:dyDescent="0.45">
      <c r="A2716" s="30">
        <v>2024</v>
      </c>
      <c r="B2716" s="30" t="s">
        <v>10</v>
      </c>
      <c r="C2716" s="30" t="s">
        <v>46</v>
      </c>
      <c r="D2716" s="30" t="s">
        <v>47</v>
      </c>
      <c r="E2716" s="32" t="s">
        <v>358</v>
      </c>
      <c r="F2716" s="32" t="s">
        <v>60</v>
      </c>
      <c r="G2716" s="32" t="s">
        <v>50</v>
      </c>
      <c r="H2716" s="33">
        <v>9050</v>
      </c>
      <c r="I2716" s="34">
        <f>Table3[[#This Row],[Volume, kg.]]/1000</f>
        <v>9.0500000000000007</v>
      </c>
      <c r="J2716" s="34">
        <v>0.27100000000000002</v>
      </c>
      <c r="K2716" s="34">
        <f t="shared" si="84"/>
        <v>2452.5500000000002</v>
      </c>
      <c r="L2716" s="34">
        <v>3.75</v>
      </c>
      <c r="M2716" s="34">
        <v>33937.5</v>
      </c>
      <c r="N2716" s="34">
        <f t="shared" si="85"/>
        <v>13.837638376383763</v>
      </c>
    </row>
    <row r="2717" spans="1:14" x14ac:dyDescent="0.45">
      <c r="A2717" s="30">
        <v>2024</v>
      </c>
      <c r="B2717" s="30" t="s">
        <v>10</v>
      </c>
      <c r="C2717" s="30" t="s">
        <v>46</v>
      </c>
      <c r="D2717" s="30" t="s">
        <v>47</v>
      </c>
      <c r="E2717" s="32" t="s">
        <v>260</v>
      </c>
      <c r="F2717" s="32" t="s">
        <v>49</v>
      </c>
      <c r="G2717" s="32" t="s">
        <v>50</v>
      </c>
      <c r="H2717" s="33">
        <v>18820</v>
      </c>
      <c r="I2717" s="34">
        <f>Table3[[#This Row],[Volume, kg.]]/1000</f>
        <v>18.82</v>
      </c>
      <c r="J2717" s="34">
        <v>0.2681</v>
      </c>
      <c r="K2717" s="34">
        <f t="shared" si="84"/>
        <v>5045.6419999999998</v>
      </c>
      <c r="L2717" s="34">
        <v>3.73</v>
      </c>
      <c r="M2717" s="34">
        <v>70175.5</v>
      </c>
      <c r="N2717" s="34">
        <f t="shared" si="85"/>
        <v>13.912719134651249</v>
      </c>
    </row>
    <row r="2718" spans="1:14" x14ac:dyDescent="0.45">
      <c r="A2718" s="30">
        <v>2024</v>
      </c>
      <c r="B2718" s="30" t="s">
        <v>10</v>
      </c>
      <c r="C2718" s="30" t="s">
        <v>46</v>
      </c>
      <c r="D2718" s="30" t="s">
        <v>47</v>
      </c>
      <c r="E2718" s="32" t="s">
        <v>187</v>
      </c>
      <c r="F2718" s="32" t="s">
        <v>54</v>
      </c>
      <c r="G2718" s="32" t="s">
        <v>50</v>
      </c>
      <c r="H2718" s="33">
        <v>81980</v>
      </c>
      <c r="I2718" s="34">
        <f>Table3[[#This Row],[Volume, kg.]]/1000</f>
        <v>81.98</v>
      </c>
      <c r="J2718" s="34">
        <v>0.25730000000000003</v>
      </c>
      <c r="K2718" s="34">
        <f t="shared" si="84"/>
        <v>21093.454000000002</v>
      </c>
      <c r="L2718" s="34">
        <v>3.65</v>
      </c>
      <c r="M2718" s="34">
        <v>299156.5</v>
      </c>
      <c r="N2718" s="34">
        <f t="shared" si="85"/>
        <v>14.185775359502525</v>
      </c>
    </row>
    <row r="2719" spans="1:14" x14ac:dyDescent="0.45">
      <c r="A2719" s="30">
        <v>2024</v>
      </c>
      <c r="B2719" s="30" t="s">
        <v>10</v>
      </c>
      <c r="C2719" s="30" t="s">
        <v>46</v>
      </c>
      <c r="D2719" s="30" t="s">
        <v>47</v>
      </c>
      <c r="E2719" s="32" t="s">
        <v>191</v>
      </c>
      <c r="F2719" s="32" t="s">
        <v>49</v>
      </c>
      <c r="G2719" s="32" t="s">
        <v>50</v>
      </c>
      <c r="H2719" s="33">
        <v>1140</v>
      </c>
      <c r="I2719" s="34">
        <f>Table3[[#This Row],[Volume, kg.]]/1000</f>
        <v>1.1399999999999999</v>
      </c>
      <c r="J2719" s="34">
        <v>0.26350000000000001</v>
      </c>
      <c r="K2719" s="34">
        <f t="shared" si="84"/>
        <v>300.39</v>
      </c>
      <c r="L2719" s="34">
        <v>3.75</v>
      </c>
      <c r="M2719" s="34">
        <v>4275</v>
      </c>
      <c r="N2719" s="34">
        <f t="shared" si="85"/>
        <v>14.231499051233396</v>
      </c>
    </row>
    <row r="2720" spans="1:14" x14ac:dyDescent="0.45">
      <c r="A2720" s="30">
        <v>2024</v>
      </c>
      <c r="B2720" s="30" t="s">
        <v>10</v>
      </c>
      <c r="C2720" s="30" t="s">
        <v>46</v>
      </c>
      <c r="D2720" s="30" t="s">
        <v>47</v>
      </c>
      <c r="E2720" s="32" t="s">
        <v>291</v>
      </c>
      <c r="F2720" s="32" t="s">
        <v>57</v>
      </c>
      <c r="G2720" s="32" t="s">
        <v>50</v>
      </c>
      <c r="H2720" s="33">
        <v>25520</v>
      </c>
      <c r="I2720" s="34">
        <f>Table3[[#This Row],[Volume, kg.]]/1000</f>
        <v>25.52</v>
      </c>
      <c r="J2720" s="34">
        <v>0.26669999999999999</v>
      </c>
      <c r="K2720" s="34">
        <f t="shared" si="84"/>
        <v>6806.1840000000002</v>
      </c>
      <c r="L2720" s="34">
        <v>3.78</v>
      </c>
      <c r="M2720" s="34">
        <v>96412</v>
      </c>
      <c r="N2720" s="34">
        <f t="shared" si="85"/>
        <v>14.173228346456693</v>
      </c>
    </row>
    <row r="2721" spans="1:14" x14ac:dyDescent="0.45">
      <c r="A2721" s="30">
        <v>2024</v>
      </c>
      <c r="B2721" s="30" t="s">
        <v>10</v>
      </c>
      <c r="C2721" s="30" t="s">
        <v>46</v>
      </c>
      <c r="D2721" s="30" t="s">
        <v>47</v>
      </c>
      <c r="E2721" s="32" t="s">
        <v>352</v>
      </c>
      <c r="F2721" s="32" t="s">
        <v>54</v>
      </c>
      <c r="G2721" s="32" t="s">
        <v>50</v>
      </c>
      <c r="H2721" s="33">
        <v>29940</v>
      </c>
      <c r="I2721" s="34">
        <f>Table3[[#This Row],[Volume, kg.]]/1000</f>
        <v>29.94</v>
      </c>
      <c r="J2721" s="34">
        <v>0.25409999999999999</v>
      </c>
      <c r="K2721" s="34">
        <f t="shared" si="84"/>
        <v>7607.7539999999999</v>
      </c>
      <c r="L2721" s="34">
        <v>3.67</v>
      </c>
      <c r="M2721" s="34">
        <v>109775.5</v>
      </c>
      <c r="N2721" s="34">
        <f t="shared" si="85"/>
        <v>14.443132624950806</v>
      </c>
    </row>
    <row r="2722" spans="1:14" x14ac:dyDescent="0.45">
      <c r="A2722" s="30">
        <v>2024</v>
      </c>
      <c r="B2722" s="30" t="s">
        <v>10</v>
      </c>
      <c r="C2722" s="30" t="s">
        <v>46</v>
      </c>
      <c r="D2722" s="30" t="s">
        <v>47</v>
      </c>
      <c r="E2722" s="32" t="s">
        <v>110</v>
      </c>
      <c r="F2722" s="32" t="s">
        <v>57</v>
      </c>
      <c r="G2722" s="32" t="s">
        <v>50</v>
      </c>
      <c r="H2722" s="33">
        <v>23010</v>
      </c>
      <c r="I2722" s="34">
        <f>Table3[[#This Row],[Volume, kg.]]/1000</f>
        <v>23.01</v>
      </c>
      <c r="J2722" s="34">
        <v>0.26469999999999999</v>
      </c>
      <c r="K2722" s="34">
        <f t="shared" si="84"/>
        <v>6090.7469999999994</v>
      </c>
      <c r="L2722" s="34">
        <v>3.73</v>
      </c>
      <c r="M2722" s="34">
        <v>85815</v>
      </c>
      <c r="N2722" s="34">
        <f t="shared" si="85"/>
        <v>14.091424253872308</v>
      </c>
    </row>
    <row r="2723" spans="1:14" x14ac:dyDescent="0.45">
      <c r="A2723" s="30">
        <v>2024</v>
      </c>
      <c r="B2723" s="30" t="s">
        <v>10</v>
      </c>
      <c r="C2723" s="30" t="s">
        <v>46</v>
      </c>
      <c r="D2723" s="30" t="s">
        <v>47</v>
      </c>
      <c r="E2723" s="32" t="s">
        <v>495</v>
      </c>
      <c r="F2723" s="32" t="s">
        <v>54</v>
      </c>
      <c r="G2723" s="32" t="s">
        <v>50</v>
      </c>
      <c r="H2723" s="33">
        <v>12770</v>
      </c>
      <c r="I2723" s="34">
        <f>Table3[[#This Row],[Volume, kg.]]/1000</f>
        <v>12.77</v>
      </c>
      <c r="J2723" s="34">
        <v>0.21199999999999999</v>
      </c>
      <c r="K2723" s="34">
        <f t="shared" si="84"/>
        <v>2707.24</v>
      </c>
      <c r="L2723" s="34">
        <v>3.45</v>
      </c>
      <c r="M2723" s="34">
        <v>44056.5</v>
      </c>
      <c r="N2723" s="34">
        <f t="shared" si="85"/>
        <v>16.273584905660378</v>
      </c>
    </row>
    <row r="2724" spans="1:14" x14ac:dyDescent="0.45">
      <c r="A2724" s="30">
        <v>2024</v>
      </c>
      <c r="B2724" s="30" t="s">
        <v>10</v>
      </c>
      <c r="C2724" s="30" t="s">
        <v>46</v>
      </c>
      <c r="D2724" s="30" t="s">
        <v>47</v>
      </c>
      <c r="E2724" s="32" t="s">
        <v>160</v>
      </c>
      <c r="F2724" s="32" t="s">
        <v>49</v>
      </c>
      <c r="G2724" s="32" t="s">
        <v>50</v>
      </c>
      <c r="H2724" s="33">
        <v>25380</v>
      </c>
      <c r="I2724" s="34">
        <f>Table3[[#This Row],[Volume, kg.]]/1000</f>
        <v>25.38</v>
      </c>
      <c r="J2724" s="34">
        <v>0.29780000000000001</v>
      </c>
      <c r="K2724" s="34">
        <f t="shared" si="84"/>
        <v>7558.1640000000007</v>
      </c>
      <c r="L2724" s="34">
        <v>3.91</v>
      </c>
      <c r="M2724" s="34">
        <v>99262</v>
      </c>
      <c r="N2724" s="34">
        <f t="shared" si="85"/>
        <v>13.12961719274681</v>
      </c>
    </row>
    <row r="2725" spans="1:14" x14ac:dyDescent="0.45">
      <c r="A2725" s="30">
        <v>2024</v>
      </c>
      <c r="B2725" s="30" t="s">
        <v>10</v>
      </c>
      <c r="C2725" s="30" t="s">
        <v>46</v>
      </c>
      <c r="D2725" s="30" t="s">
        <v>47</v>
      </c>
      <c r="E2725" s="32" t="s">
        <v>86</v>
      </c>
      <c r="F2725" s="32" t="s">
        <v>49</v>
      </c>
      <c r="G2725" s="32" t="s">
        <v>50</v>
      </c>
      <c r="H2725" s="33">
        <v>47400</v>
      </c>
      <c r="I2725" s="34">
        <f>Table3[[#This Row],[Volume, kg.]]/1000</f>
        <v>47.4</v>
      </c>
      <c r="J2725" s="34">
        <v>0.25140000000000001</v>
      </c>
      <c r="K2725" s="34">
        <f t="shared" si="84"/>
        <v>11916.36</v>
      </c>
      <c r="L2725" s="34">
        <v>3.63</v>
      </c>
      <c r="M2725" s="34">
        <v>172036</v>
      </c>
      <c r="N2725" s="34">
        <f t="shared" si="85"/>
        <v>14.439140811455847</v>
      </c>
    </row>
    <row r="2726" spans="1:14" x14ac:dyDescent="0.45">
      <c r="A2726" s="30">
        <v>2024</v>
      </c>
      <c r="B2726" s="30" t="s">
        <v>10</v>
      </c>
      <c r="C2726" s="30" t="s">
        <v>46</v>
      </c>
      <c r="D2726" s="30" t="s">
        <v>47</v>
      </c>
      <c r="E2726" s="32" t="s">
        <v>112</v>
      </c>
      <c r="F2726" s="32" t="s">
        <v>49</v>
      </c>
      <c r="G2726" s="32" t="s">
        <v>50</v>
      </c>
      <c r="H2726" s="33">
        <v>11830</v>
      </c>
      <c r="I2726" s="34">
        <f>Table3[[#This Row],[Volume, kg.]]/1000</f>
        <v>11.83</v>
      </c>
      <c r="J2726" s="34">
        <v>0.25790000000000002</v>
      </c>
      <c r="K2726" s="34">
        <f t="shared" si="84"/>
        <v>3050.9570000000003</v>
      </c>
      <c r="L2726" s="34">
        <v>3.69</v>
      </c>
      <c r="M2726" s="34">
        <v>43650.5</v>
      </c>
      <c r="N2726" s="34">
        <f t="shared" si="85"/>
        <v>14.307871267933306</v>
      </c>
    </row>
    <row r="2727" spans="1:14" x14ac:dyDescent="0.45">
      <c r="A2727" s="30">
        <v>2024</v>
      </c>
      <c r="B2727" s="30" t="s">
        <v>10</v>
      </c>
      <c r="C2727" s="30" t="s">
        <v>46</v>
      </c>
      <c r="D2727" s="30" t="s">
        <v>47</v>
      </c>
      <c r="E2727" s="32" t="s">
        <v>167</v>
      </c>
      <c r="F2727" s="32" t="s">
        <v>49</v>
      </c>
      <c r="G2727" s="32" t="s">
        <v>50</v>
      </c>
      <c r="H2727" s="33">
        <v>62480</v>
      </c>
      <c r="I2727" s="34">
        <f>Table3[[#This Row],[Volume, kg.]]/1000</f>
        <v>62.48</v>
      </c>
      <c r="J2727" s="34">
        <v>0.26250000000000001</v>
      </c>
      <c r="K2727" s="34">
        <f t="shared" si="84"/>
        <v>16401</v>
      </c>
      <c r="L2727" s="34">
        <v>3.71</v>
      </c>
      <c r="M2727" s="34">
        <v>231946</v>
      </c>
      <c r="N2727" s="34">
        <f t="shared" si="85"/>
        <v>14.133333333333333</v>
      </c>
    </row>
    <row r="2728" spans="1:14" x14ac:dyDescent="0.45">
      <c r="A2728" s="30">
        <v>2024</v>
      </c>
      <c r="B2728" s="30" t="s">
        <v>10</v>
      </c>
      <c r="C2728" s="30" t="s">
        <v>46</v>
      </c>
      <c r="D2728" s="30" t="s">
        <v>47</v>
      </c>
      <c r="E2728" s="32" t="s">
        <v>190</v>
      </c>
      <c r="F2728" s="32" t="s">
        <v>81</v>
      </c>
      <c r="G2728" s="32" t="s">
        <v>50</v>
      </c>
      <c r="H2728" s="33">
        <v>100180</v>
      </c>
      <c r="I2728" s="34">
        <f>Table3[[#This Row],[Volume, kg.]]/1000</f>
        <v>100.18</v>
      </c>
      <c r="J2728" s="34">
        <v>0.27190000000000003</v>
      </c>
      <c r="K2728" s="34">
        <f t="shared" si="84"/>
        <v>27238.942000000003</v>
      </c>
      <c r="L2728" s="34">
        <v>3.73</v>
      </c>
      <c r="M2728" s="34">
        <v>373731</v>
      </c>
      <c r="N2728" s="34">
        <f t="shared" si="85"/>
        <v>13.718278778962853</v>
      </c>
    </row>
    <row r="2729" spans="1:14" x14ac:dyDescent="0.45">
      <c r="A2729" s="30">
        <v>2024</v>
      </c>
      <c r="B2729" s="30" t="s">
        <v>10</v>
      </c>
      <c r="C2729" s="30" t="s">
        <v>46</v>
      </c>
      <c r="D2729" s="30" t="s">
        <v>47</v>
      </c>
      <c r="E2729" s="32" t="s">
        <v>77</v>
      </c>
      <c r="F2729" s="32" t="s">
        <v>49</v>
      </c>
      <c r="G2729" s="32" t="s">
        <v>50</v>
      </c>
      <c r="H2729" s="33">
        <v>30070</v>
      </c>
      <c r="I2729" s="34">
        <f>Table3[[#This Row],[Volume, kg.]]/1000</f>
        <v>30.07</v>
      </c>
      <c r="J2729" s="34">
        <v>0.25670000000000004</v>
      </c>
      <c r="K2729" s="34">
        <f t="shared" si="84"/>
        <v>7718.969000000001</v>
      </c>
      <c r="L2729" s="34">
        <v>3.66</v>
      </c>
      <c r="M2729" s="34">
        <v>110167</v>
      </c>
      <c r="N2729" s="34">
        <f t="shared" si="85"/>
        <v>14.257888585897934</v>
      </c>
    </row>
    <row r="2730" spans="1:14" x14ac:dyDescent="0.45">
      <c r="A2730" s="30">
        <v>2024</v>
      </c>
      <c r="B2730" s="30" t="s">
        <v>10</v>
      </c>
      <c r="C2730" s="30" t="s">
        <v>46</v>
      </c>
      <c r="D2730" s="30" t="s">
        <v>47</v>
      </c>
      <c r="E2730" s="32" t="s">
        <v>132</v>
      </c>
      <c r="F2730" s="32" t="s">
        <v>49</v>
      </c>
      <c r="G2730" s="32" t="s">
        <v>50</v>
      </c>
      <c r="H2730" s="33">
        <v>10090</v>
      </c>
      <c r="I2730" s="34">
        <f>Table3[[#This Row],[Volume, kg.]]/1000</f>
        <v>10.09</v>
      </c>
      <c r="J2730" s="34">
        <v>0.2656</v>
      </c>
      <c r="K2730" s="34">
        <f t="shared" si="84"/>
        <v>2679.904</v>
      </c>
      <c r="L2730" s="34">
        <v>3.75</v>
      </c>
      <c r="M2730" s="34">
        <v>37837.5</v>
      </c>
      <c r="N2730" s="34">
        <f t="shared" si="85"/>
        <v>14.118975903614457</v>
      </c>
    </row>
    <row r="2731" spans="1:14" x14ac:dyDescent="0.45">
      <c r="A2731" s="30">
        <v>2024</v>
      </c>
      <c r="B2731" s="30" t="s">
        <v>10</v>
      </c>
      <c r="C2731" s="30" t="s">
        <v>46</v>
      </c>
      <c r="D2731" s="30" t="s">
        <v>47</v>
      </c>
      <c r="E2731" s="32" t="s">
        <v>241</v>
      </c>
      <c r="F2731" s="32" t="s">
        <v>57</v>
      </c>
      <c r="G2731" s="32" t="s">
        <v>50</v>
      </c>
      <c r="H2731" s="33">
        <v>29410</v>
      </c>
      <c r="I2731" s="34">
        <f>Table3[[#This Row],[Volume, kg.]]/1000</f>
        <v>29.41</v>
      </c>
      <c r="J2731" s="34">
        <v>0.23250000000000001</v>
      </c>
      <c r="K2731" s="34">
        <f t="shared" si="84"/>
        <v>6837.8250000000007</v>
      </c>
      <c r="L2731" s="34">
        <v>3.52</v>
      </c>
      <c r="M2731" s="34">
        <v>103480.5</v>
      </c>
      <c r="N2731" s="34">
        <f t="shared" si="85"/>
        <v>15.139784946236558</v>
      </c>
    </row>
    <row r="2732" spans="1:14" x14ac:dyDescent="0.45">
      <c r="A2732" s="30">
        <v>2024</v>
      </c>
      <c r="B2732" s="30" t="s">
        <v>10</v>
      </c>
      <c r="C2732" s="30" t="s">
        <v>46</v>
      </c>
      <c r="D2732" s="30" t="s">
        <v>47</v>
      </c>
      <c r="E2732" s="32" t="s">
        <v>263</v>
      </c>
      <c r="F2732" s="32" t="s">
        <v>81</v>
      </c>
      <c r="G2732" s="32" t="s">
        <v>50</v>
      </c>
      <c r="H2732" s="33">
        <v>29900</v>
      </c>
      <c r="I2732" s="34">
        <f>Table3[[#This Row],[Volume, kg.]]/1000</f>
        <v>29.9</v>
      </c>
      <c r="J2732" s="34">
        <v>0.25030000000000002</v>
      </c>
      <c r="K2732" s="34">
        <f t="shared" si="84"/>
        <v>7483.97</v>
      </c>
      <c r="L2732" s="34">
        <v>3.7</v>
      </c>
      <c r="M2732" s="34">
        <v>110669</v>
      </c>
      <c r="N2732" s="34">
        <f t="shared" si="85"/>
        <v>14.782261286456253</v>
      </c>
    </row>
    <row r="2733" spans="1:14" x14ac:dyDescent="0.45">
      <c r="A2733" s="30">
        <v>2024</v>
      </c>
      <c r="B2733" s="30" t="s">
        <v>10</v>
      </c>
      <c r="C2733" s="30" t="s">
        <v>46</v>
      </c>
      <c r="D2733" s="30" t="s">
        <v>47</v>
      </c>
      <c r="E2733" s="32" t="s">
        <v>333</v>
      </c>
      <c r="F2733" s="32" t="s">
        <v>57</v>
      </c>
      <c r="G2733" s="32" t="s">
        <v>50</v>
      </c>
      <c r="H2733" s="33">
        <v>12040</v>
      </c>
      <c r="I2733" s="34">
        <f>Table3[[#This Row],[Volume, kg.]]/1000</f>
        <v>12.04</v>
      </c>
      <c r="J2733" s="34">
        <v>0.26899999999999996</v>
      </c>
      <c r="K2733" s="34">
        <f t="shared" si="84"/>
        <v>3238.7599999999993</v>
      </c>
      <c r="L2733" s="34">
        <v>3.65</v>
      </c>
      <c r="M2733" s="34">
        <v>43946</v>
      </c>
      <c r="N2733" s="34">
        <f t="shared" si="85"/>
        <v>13.568773234200744</v>
      </c>
    </row>
    <row r="2734" spans="1:14" x14ac:dyDescent="0.45">
      <c r="A2734" s="30">
        <v>2024</v>
      </c>
      <c r="B2734" s="30" t="s">
        <v>10</v>
      </c>
      <c r="C2734" s="30" t="s">
        <v>46</v>
      </c>
      <c r="D2734" s="30" t="s">
        <v>47</v>
      </c>
      <c r="E2734" s="32" t="s">
        <v>236</v>
      </c>
      <c r="F2734" s="32" t="s">
        <v>49</v>
      </c>
      <c r="G2734" s="32" t="s">
        <v>50</v>
      </c>
      <c r="H2734" s="33">
        <v>23160</v>
      </c>
      <c r="I2734" s="34">
        <f>Table3[[#This Row],[Volume, kg.]]/1000</f>
        <v>23.16</v>
      </c>
      <c r="J2734" s="34">
        <v>0.26129999999999998</v>
      </c>
      <c r="K2734" s="34">
        <f t="shared" si="84"/>
        <v>6051.7079999999996</v>
      </c>
      <c r="L2734" s="34">
        <v>3.7</v>
      </c>
      <c r="M2734" s="34">
        <v>85692</v>
      </c>
      <c r="N2734" s="34">
        <f t="shared" si="85"/>
        <v>14.159969383849983</v>
      </c>
    </row>
    <row r="2735" spans="1:14" x14ac:dyDescent="0.45">
      <c r="A2735" s="30">
        <v>2024</v>
      </c>
      <c r="B2735" s="30" t="s">
        <v>10</v>
      </c>
      <c r="C2735" s="30" t="s">
        <v>46</v>
      </c>
      <c r="D2735" s="30" t="s">
        <v>47</v>
      </c>
      <c r="E2735" s="32" t="s">
        <v>152</v>
      </c>
      <c r="F2735" s="32" t="s">
        <v>60</v>
      </c>
      <c r="G2735" s="32" t="s">
        <v>50</v>
      </c>
      <c r="H2735" s="33">
        <v>8470</v>
      </c>
      <c r="I2735" s="34">
        <f>Table3[[#This Row],[Volume, kg.]]/1000</f>
        <v>8.4700000000000006</v>
      </c>
      <c r="J2735" s="34">
        <v>0.20730000000000001</v>
      </c>
      <c r="K2735" s="34">
        <f t="shared" si="84"/>
        <v>1755.8310000000001</v>
      </c>
      <c r="L2735" s="34">
        <v>3.4</v>
      </c>
      <c r="M2735" s="34">
        <v>28785.5</v>
      </c>
      <c r="N2735" s="34">
        <f t="shared" si="85"/>
        <v>16.401350699469365</v>
      </c>
    </row>
    <row r="2736" spans="1:14" x14ac:dyDescent="0.45">
      <c r="A2736" s="30">
        <v>2024</v>
      </c>
      <c r="B2736" s="30" t="s">
        <v>10</v>
      </c>
      <c r="C2736" s="30" t="s">
        <v>46</v>
      </c>
      <c r="D2736" s="30" t="s">
        <v>47</v>
      </c>
      <c r="E2736" s="32" t="s">
        <v>111</v>
      </c>
      <c r="F2736" s="32" t="s">
        <v>60</v>
      </c>
      <c r="G2736" s="32" t="s">
        <v>50</v>
      </c>
      <c r="H2736" s="33">
        <v>8740</v>
      </c>
      <c r="I2736" s="34">
        <f>Table3[[#This Row],[Volume, kg.]]/1000</f>
        <v>8.74</v>
      </c>
      <c r="J2736" s="34">
        <v>0.2555</v>
      </c>
      <c r="K2736" s="34">
        <f t="shared" si="84"/>
        <v>2233.0700000000002</v>
      </c>
      <c r="L2736" s="34">
        <v>3.65</v>
      </c>
      <c r="M2736" s="34">
        <v>31901</v>
      </c>
      <c r="N2736" s="34">
        <f t="shared" si="85"/>
        <v>14.285714285714285</v>
      </c>
    </row>
    <row r="2737" spans="1:14" x14ac:dyDescent="0.45">
      <c r="A2737" s="30">
        <v>2024</v>
      </c>
      <c r="B2737" s="30" t="s">
        <v>10</v>
      </c>
      <c r="C2737" s="30" t="s">
        <v>46</v>
      </c>
      <c r="D2737" s="30" t="s">
        <v>47</v>
      </c>
      <c r="E2737" s="32" t="s">
        <v>121</v>
      </c>
      <c r="F2737" s="32" t="s">
        <v>60</v>
      </c>
      <c r="G2737" s="32" t="s">
        <v>50</v>
      </c>
      <c r="H2737" s="33">
        <v>23760</v>
      </c>
      <c r="I2737" s="34">
        <f>Table3[[#This Row],[Volume, kg.]]/1000</f>
        <v>23.76</v>
      </c>
      <c r="J2737" s="34">
        <v>0.27399999999999997</v>
      </c>
      <c r="K2737" s="34">
        <f t="shared" si="84"/>
        <v>6510.2399999999989</v>
      </c>
      <c r="L2737" s="34">
        <v>3.77</v>
      </c>
      <c r="M2737" s="34">
        <v>89484</v>
      </c>
      <c r="N2737" s="34">
        <f t="shared" si="85"/>
        <v>13.759124087591243</v>
      </c>
    </row>
    <row r="2738" spans="1:14" x14ac:dyDescent="0.45">
      <c r="A2738" s="30">
        <v>2024</v>
      </c>
      <c r="B2738" s="30" t="s">
        <v>10</v>
      </c>
      <c r="C2738" s="30" t="s">
        <v>46</v>
      </c>
      <c r="D2738" s="30" t="s">
        <v>47</v>
      </c>
      <c r="E2738" s="32" t="s">
        <v>388</v>
      </c>
      <c r="F2738" s="32" t="s">
        <v>134</v>
      </c>
      <c r="G2738" s="32" t="s">
        <v>50</v>
      </c>
      <c r="H2738" s="33">
        <v>26050</v>
      </c>
      <c r="I2738" s="34">
        <f>Table3[[#This Row],[Volume, kg.]]/1000</f>
        <v>26.05</v>
      </c>
      <c r="J2738" s="34">
        <v>0.26119999999999999</v>
      </c>
      <c r="K2738" s="34">
        <f t="shared" si="84"/>
        <v>6804.2599999999993</v>
      </c>
      <c r="L2738" s="34">
        <v>3.72</v>
      </c>
      <c r="M2738" s="34">
        <v>96882.5</v>
      </c>
      <c r="N2738" s="34">
        <f t="shared" si="85"/>
        <v>14.24196018376723</v>
      </c>
    </row>
    <row r="2739" spans="1:14" x14ac:dyDescent="0.45">
      <c r="A2739" s="30">
        <v>2024</v>
      </c>
      <c r="B2739" s="30" t="s">
        <v>10</v>
      </c>
      <c r="C2739" s="30" t="s">
        <v>46</v>
      </c>
      <c r="D2739" s="30" t="s">
        <v>47</v>
      </c>
      <c r="E2739" s="32" t="s">
        <v>313</v>
      </c>
      <c r="F2739" s="32" t="s">
        <v>60</v>
      </c>
      <c r="G2739" s="32" t="s">
        <v>50</v>
      </c>
      <c r="H2739" s="33">
        <v>32530</v>
      </c>
      <c r="I2739" s="34">
        <f>Table3[[#This Row],[Volume, kg.]]/1000</f>
        <v>32.53</v>
      </c>
      <c r="J2739" s="34">
        <v>0.25170000000000003</v>
      </c>
      <c r="K2739" s="34">
        <f t="shared" si="84"/>
        <v>8187.8010000000013</v>
      </c>
      <c r="L2739" s="34">
        <v>3.63</v>
      </c>
      <c r="M2739" s="34">
        <v>118050</v>
      </c>
      <c r="N2739" s="34">
        <f t="shared" si="85"/>
        <v>14.421930870083431</v>
      </c>
    </row>
    <row r="2740" spans="1:14" x14ac:dyDescent="0.45">
      <c r="A2740" s="30">
        <v>2024</v>
      </c>
      <c r="B2740" s="30" t="s">
        <v>10</v>
      </c>
      <c r="C2740" s="30" t="s">
        <v>46</v>
      </c>
      <c r="D2740" s="30" t="s">
        <v>47</v>
      </c>
      <c r="E2740" s="32" t="s">
        <v>438</v>
      </c>
      <c r="F2740" s="32" t="s">
        <v>57</v>
      </c>
      <c r="G2740" s="32" t="s">
        <v>50</v>
      </c>
      <c r="H2740" s="33">
        <v>40060</v>
      </c>
      <c r="I2740" s="34">
        <f>Table3[[#This Row],[Volume, kg.]]/1000</f>
        <v>40.06</v>
      </c>
      <c r="J2740" s="34">
        <v>0.22539999999999999</v>
      </c>
      <c r="K2740" s="34">
        <f t="shared" si="84"/>
        <v>9029.5239999999994</v>
      </c>
      <c r="L2740" s="34">
        <v>3.47</v>
      </c>
      <c r="M2740" s="34">
        <v>138957.5</v>
      </c>
      <c r="N2740" s="34">
        <f t="shared" si="85"/>
        <v>15.394853593611359</v>
      </c>
    </row>
    <row r="2741" spans="1:14" x14ac:dyDescent="0.45">
      <c r="A2741" s="30">
        <v>2024</v>
      </c>
      <c r="B2741" s="30" t="s">
        <v>10</v>
      </c>
      <c r="C2741" s="30" t="s">
        <v>46</v>
      </c>
      <c r="D2741" s="30" t="s">
        <v>47</v>
      </c>
      <c r="E2741" s="32" t="s">
        <v>70</v>
      </c>
      <c r="F2741" s="32" t="s">
        <v>49</v>
      </c>
      <c r="G2741" s="32" t="s">
        <v>50</v>
      </c>
      <c r="H2741" s="33">
        <v>371510</v>
      </c>
      <c r="I2741" s="34">
        <f>Table3[[#This Row],[Volume, kg.]]/1000</f>
        <v>371.51</v>
      </c>
      <c r="J2741" s="34">
        <v>0.26419999999999999</v>
      </c>
      <c r="K2741" s="34">
        <f t="shared" si="84"/>
        <v>98152.941999999995</v>
      </c>
      <c r="L2741" s="34">
        <v>3.73</v>
      </c>
      <c r="M2741" s="34">
        <v>1385849</v>
      </c>
      <c r="N2741" s="34">
        <f t="shared" si="85"/>
        <v>14.118092354277064</v>
      </c>
    </row>
    <row r="2742" spans="1:14" x14ac:dyDescent="0.45">
      <c r="A2742" s="30">
        <v>2024</v>
      </c>
      <c r="B2742" s="30" t="s">
        <v>10</v>
      </c>
      <c r="C2742" s="30" t="s">
        <v>46</v>
      </c>
      <c r="D2742" s="30" t="s">
        <v>47</v>
      </c>
      <c r="E2742" s="32" t="s">
        <v>192</v>
      </c>
      <c r="F2742" s="32" t="s">
        <v>49</v>
      </c>
      <c r="G2742" s="32" t="s">
        <v>50</v>
      </c>
      <c r="H2742" s="33">
        <v>7530</v>
      </c>
      <c r="I2742" s="34">
        <f>Table3[[#This Row],[Volume, kg.]]/1000</f>
        <v>7.53</v>
      </c>
      <c r="J2742" s="34">
        <v>0.26079999999999998</v>
      </c>
      <c r="K2742" s="34">
        <f t="shared" si="84"/>
        <v>1963.8239999999998</v>
      </c>
      <c r="L2742" s="34">
        <v>3.61</v>
      </c>
      <c r="M2742" s="34">
        <v>27217.5</v>
      </c>
      <c r="N2742" s="34">
        <f t="shared" si="85"/>
        <v>13.842024539877301</v>
      </c>
    </row>
    <row r="2743" spans="1:14" x14ac:dyDescent="0.45">
      <c r="A2743" s="30">
        <v>2024</v>
      </c>
      <c r="B2743" s="30" t="s">
        <v>10</v>
      </c>
      <c r="C2743" s="30" t="s">
        <v>46</v>
      </c>
      <c r="D2743" s="30" t="s">
        <v>47</v>
      </c>
      <c r="E2743" s="32" t="s">
        <v>324</v>
      </c>
      <c r="F2743" s="32" t="s">
        <v>81</v>
      </c>
      <c r="G2743" s="32" t="s">
        <v>50</v>
      </c>
      <c r="H2743" s="33">
        <v>71790</v>
      </c>
      <c r="I2743" s="34">
        <f>Table3[[#This Row],[Volume, kg.]]/1000</f>
        <v>71.790000000000006</v>
      </c>
      <c r="J2743" s="34">
        <v>0.25790000000000002</v>
      </c>
      <c r="K2743" s="34">
        <f t="shared" si="84"/>
        <v>18514.641</v>
      </c>
      <c r="L2743" s="34">
        <v>3.68</v>
      </c>
      <c r="M2743" s="34">
        <v>264193.5</v>
      </c>
      <c r="N2743" s="34">
        <f t="shared" si="85"/>
        <v>14.269096549050019</v>
      </c>
    </row>
    <row r="2744" spans="1:14" x14ac:dyDescent="0.45">
      <c r="A2744" s="30">
        <v>2024</v>
      </c>
      <c r="B2744" s="30" t="s">
        <v>10</v>
      </c>
      <c r="C2744" s="30" t="s">
        <v>46</v>
      </c>
      <c r="D2744" s="30" t="s">
        <v>47</v>
      </c>
      <c r="E2744" s="32" t="s">
        <v>74</v>
      </c>
      <c r="F2744" s="32" t="s">
        <v>49</v>
      </c>
      <c r="G2744" s="32" t="s">
        <v>50</v>
      </c>
      <c r="H2744" s="33">
        <v>33680</v>
      </c>
      <c r="I2744" s="34">
        <f>Table3[[#This Row],[Volume, kg.]]/1000</f>
        <v>33.68</v>
      </c>
      <c r="J2744" s="34">
        <v>0.26550000000000001</v>
      </c>
      <c r="K2744" s="34">
        <f t="shared" si="84"/>
        <v>8942.0400000000009</v>
      </c>
      <c r="L2744" s="34">
        <v>3.75</v>
      </c>
      <c r="M2744" s="34">
        <v>126336</v>
      </c>
      <c r="N2744" s="34">
        <f t="shared" si="85"/>
        <v>14.124293785310734</v>
      </c>
    </row>
    <row r="2745" spans="1:14" x14ac:dyDescent="0.45">
      <c r="A2745" s="30">
        <v>2024</v>
      </c>
      <c r="B2745" s="30" t="s">
        <v>10</v>
      </c>
      <c r="C2745" s="30" t="s">
        <v>46</v>
      </c>
      <c r="D2745" s="30" t="s">
        <v>47</v>
      </c>
      <c r="E2745" s="32" t="s">
        <v>125</v>
      </c>
      <c r="F2745" s="32" t="s">
        <v>60</v>
      </c>
      <c r="G2745" s="32" t="s">
        <v>50</v>
      </c>
      <c r="H2745" s="33">
        <v>25700</v>
      </c>
      <c r="I2745" s="34">
        <f>Table3[[#This Row],[Volume, kg.]]/1000</f>
        <v>25.7</v>
      </c>
      <c r="J2745" s="34">
        <v>0.255</v>
      </c>
      <c r="K2745" s="34">
        <f t="shared" si="84"/>
        <v>6553.5</v>
      </c>
      <c r="L2745" s="34">
        <v>3.7</v>
      </c>
      <c r="M2745" s="34">
        <v>94993</v>
      </c>
      <c r="N2745" s="34">
        <f t="shared" si="85"/>
        <v>14.509803921568627</v>
      </c>
    </row>
    <row r="2746" spans="1:14" x14ac:dyDescent="0.45">
      <c r="A2746" s="30">
        <v>2024</v>
      </c>
      <c r="B2746" s="30" t="s">
        <v>10</v>
      </c>
      <c r="C2746" s="30" t="s">
        <v>46</v>
      </c>
      <c r="D2746" s="30" t="s">
        <v>47</v>
      </c>
      <c r="E2746" s="32" t="s">
        <v>144</v>
      </c>
      <c r="F2746" s="32" t="s">
        <v>49</v>
      </c>
      <c r="G2746" s="32" t="s">
        <v>50</v>
      </c>
      <c r="H2746" s="33">
        <v>58390</v>
      </c>
      <c r="I2746" s="34">
        <f>Table3[[#This Row],[Volume, kg.]]/1000</f>
        <v>58.39</v>
      </c>
      <c r="J2746" s="34">
        <v>0.27039999999999997</v>
      </c>
      <c r="K2746" s="34">
        <f t="shared" si="84"/>
        <v>15788.655999999999</v>
      </c>
      <c r="L2746" s="34">
        <v>3.75</v>
      </c>
      <c r="M2746" s="34">
        <v>218851.5</v>
      </c>
      <c r="N2746" s="34">
        <f t="shared" si="85"/>
        <v>13.868343195266274</v>
      </c>
    </row>
    <row r="2747" spans="1:14" x14ac:dyDescent="0.45">
      <c r="A2747" s="30">
        <v>2024</v>
      </c>
      <c r="B2747" s="30" t="s">
        <v>10</v>
      </c>
      <c r="C2747" s="30" t="s">
        <v>46</v>
      </c>
      <c r="D2747" s="30" t="s">
        <v>47</v>
      </c>
      <c r="E2747" s="32" t="s">
        <v>100</v>
      </c>
      <c r="F2747" s="32" t="s">
        <v>60</v>
      </c>
      <c r="G2747" s="32" t="s">
        <v>50</v>
      </c>
      <c r="H2747" s="33">
        <v>12920</v>
      </c>
      <c r="I2747" s="34">
        <f>Table3[[#This Row],[Volume, kg.]]/1000</f>
        <v>12.92</v>
      </c>
      <c r="J2747" s="34">
        <v>0.2702</v>
      </c>
      <c r="K2747" s="34">
        <f t="shared" si="84"/>
        <v>3490.9839999999999</v>
      </c>
      <c r="L2747" s="34">
        <v>3.79</v>
      </c>
      <c r="M2747" s="34">
        <v>49017</v>
      </c>
      <c r="N2747" s="34">
        <f t="shared" si="85"/>
        <v>14.026646928201332</v>
      </c>
    </row>
    <row r="2748" spans="1:14" x14ac:dyDescent="0.45">
      <c r="A2748" s="30">
        <v>2024</v>
      </c>
      <c r="B2748" s="30" t="s">
        <v>10</v>
      </c>
      <c r="C2748" s="30" t="s">
        <v>46</v>
      </c>
      <c r="D2748" s="30" t="s">
        <v>47</v>
      </c>
      <c r="E2748" s="32" t="s">
        <v>608</v>
      </c>
      <c r="F2748" s="32" t="s">
        <v>49</v>
      </c>
      <c r="G2748" s="32" t="s">
        <v>50</v>
      </c>
      <c r="H2748" s="33">
        <v>13820</v>
      </c>
      <c r="I2748" s="34">
        <f>Table3[[#This Row],[Volume, kg.]]/1000</f>
        <v>13.82</v>
      </c>
      <c r="J2748" s="34">
        <v>0.29149999999999998</v>
      </c>
      <c r="K2748" s="34">
        <f t="shared" si="84"/>
        <v>4028.5299999999997</v>
      </c>
      <c r="L2748" s="34">
        <v>3.92</v>
      </c>
      <c r="M2748" s="34">
        <v>54125</v>
      </c>
      <c r="N2748" s="34">
        <f t="shared" si="85"/>
        <v>13.447684391080617</v>
      </c>
    </row>
    <row r="2749" spans="1:14" x14ac:dyDescent="0.45">
      <c r="A2749" s="30">
        <v>2024</v>
      </c>
      <c r="B2749" s="30" t="s">
        <v>10</v>
      </c>
      <c r="C2749" s="30" t="s">
        <v>46</v>
      </c>
      <c r="D2749" s="30" t="s">
        <v>47</v>
      </c>
      <c r="E2749" s="32" t="s">
        <v>283</v>
      </c>
      <c r="F2749" s="32" t="s">
        <v>49</v>
      </c>
      <c r="G2749" s="32" t="s">
        <v>50</v>
      </c>
      <c r="H2749" s="33">
        <v>122110</v>
      </c>
      <c r="I2749" s="34">
        <f>Table3[[#This Row],[Volume, kg.]]/1000</f>
        <v>122.11</v>
      </c>
      <c r="J2749" s="34">
        <v>0.2631</v>
      </c>
      <c r="K2749" s="34">
        <f t="shared" si="84"/>
        <v>32127.141</v>
      </c>
      <c r="L2749" s="34">
        <v>3.73</v>
      </c>
      <c r="M2749" s="34">
        <v>455374.5</v>
      </c>
      <c r="N2749" s="34">
        <f t="shared" si="85"/>
        <v>14.177118966172557</v>
      </c>
    </row>
    <row r="2750" spans="1:14" x14ac:dyDescent="0.45">
      <c r="A2750" s="30">
        <v>2024</v>
      </c>
      <c r="B2750" s="30" t="s">
        <v>10</v>
      </c>
      <c r="C2750" s="30" t="s">
        <v>46</v>
      </c>
      <c r="D2750" s="30" t="s">
        <v>47</v>
      </c>
      <c r="E2750" s="32" t="s">
        <v>147</v>
      </c>
      <c r="F2750" s="32" t="s">
        <v>57</v>
      </c>
      <c r="G2750" s="32" t="s">
        <v>50</v>
      </c>
      <c r="H2750" s="33">
        <v>8390</v>
      </c>
      <c r="I2750" s="34">
        <f>Table3[[#This Row],[Volume, kg.]]/1000</f>
        <v>8.39</v>
      </c>
      <c r="J2750" s="34">
        <v>0.311</v>
      </c>
      <c r="K2750" s="34">
        <f t="shared" si="84"/>
        <v>2609.29</v>
      </c>
      <c r="L2750" s="34">
        <v>3.95</v>
      </c>
      <c r="M2750" s="34">
        <v>33140.5</v>
      </c>
      <c r="N2750" s="34">
        <f t="shared" si="85"/>
        <v>12.700964630225082</v>
      </c>
    </row>
    <row r="2751" spans="1:14" x14ac:dyDescent="0.45">
      <c r="A2751" s="30">
        <v>2024</v>
      </c>
      <c r="B2751" s="30" t="s">
        <v>10</v>
      </c>
      <c r="C2751" s="30" t="s">
        <v>46</v>
      </c>
      <c r="D2751" s="30" t="s">
        <v>47</v>
      </c>
      <c r="E2751" s="32" t="s">
        <v>502</v>
      </c>
      <c r="F2751" s="32" t="s">
        <v>49</v>
      </c>
      <c r="G2751" s="32" t="s">
        <v>50</v>
      </c>
      <c r="H2751" s="33">
        <v>8340</v>
      </c>
      <c r="I2751" s="34">
        <f>Table3[[#This Row],[Volume, kg.]]/1000</f>
        <v>8.34</v>
      </c>
      <c r="J2751" s="34">
        <v>0.248</v>
      </c>
      <c r="K2751" s="34">
        <f t="shared" si="84"/>
        <v>2068.3200000000002</v>
      </c>
      <c r="L2751" s="34">
        <v>3.7</v>
      </c>
      <c r="M2751" s="34">
        <v>30858</v>
      </c>
      <c r="N2751" s="34">
        <f t="shared" si="85"/>
        <v>14.919354838709678</v>
      </c>
    </row>
    <row r="2752" spans="1:14" x14ac:dyDescent="0.45">
      <c r="A2752" s="30">
        <v>2024</v>
      </c>
      <c r="B2752" s="30" t="s">
        <v>10</v>
      </c>
      <c r="C2752" s="30" t="s">
        <v>46</v>
      </c>
      <c r="D2752" s="30" t="s">
        <v>47</v>
      </c>
      <c r="E2752" s="32" t="s">
        <v>122</v>
      </c>
      <c r="F2752" s="32" t="s">
        <v>49</v>
      </c>
      <c r="G2752" s="32" t="s">
        <v>50</v>
      </c>
      <c r="H2752" s="33">
        <v>1810</v>
      </c>
      <c r="I2752" s="34">
        <f>Table3[[#This Row],[Volume, kg.]]/1000</f>
        <v>1.81</v>
      </c>
      <c r="J2752" s="34">
        <v>0.26350000000000001</v>
      </c>
      <c r="K2752" s="34">
        <f t="shared" si="84"/>
        <v>476.935</v>
      </c>
      <c r="L2752" s="34">
        <v>3.7</v>
      </c>
      <c r="M2752" s="34">
        <v>6697</v>
      </c>
      <c r="N2752" s="34">
        <f t="shared" si="85"/>
        <v>14.041745730550284</v>
      </c>
    </row>
    <row r="2753" spans="1:14" x14ac:dyDescent="0.45">
      <c r="A2753" s="30">
        <v>2024</v>
      </c>
      <c r="B2753" s="30" t="s">
        <v>10</v>
      </c>
      <c r="C2753" s="30" t="s">
        <v>46</v>
      </c>
      <c r="D2753" s="30" t="s">
        <v>47</v>
      </c>
      <c r="E2753" s="32" t="s">
        <v>210</v>
      </c>
      <c r="F2753" s="32" t="s">
        <v>60</v>
      </c>
      <c r="G2753" s="32" t="s">
        <v>50</v>
      </c>
      <c r="H2753" s="33">
        <v>22690</v>
      </c>
      <c r="I2753" s="34">
        <f>Table3[[#This Row],[Volume, kg.]]/1000</f>
        <v>22.69</v>
      </c>
      <c r="J2753" s="34">
        <v>0.25209999999999999</v>
      </c>
      <c r="K2753" s="34">
        <f t="shared" si="84"/>
        <v>5720.1489999999994</v>
      </c>
      <c r="L2753" s="34">
        <v>3.68</v>
      </c>
      <c r="M2753" s="34">
        <v>83404</v>
      </c>
      <c r="N2753" s="34">
        <f t="shared" si="85"/>
        <v>14.597381991273306</v>
      </c>
    </row>
    <row r="2754" spans="1:14" x14ac:dyDescent="0.45">
      <c r="A2754" s="30">
        <v>2024</v>
      </c>
      <c r="B2754" s="30" t="s">
        <v>10</v>
      </c>
      <c r="C2754" s="30" t="s">
        <v>46</v>
      </c>
      <c r="D2754" s="30" t="s">
        <v>47</v>
      </c>
      <c r="E2754" s="32" t="s">
        <v>253</v>
      </c>
      <c r="F2754" s="32" t="s">
        <v>57</v>
      </c>
      <c r="G2754" s="32" t="s">
        <v>50</v>
      </c>
      <c r="H2754" s="33">
        <v>5300</v>
      </c>
      <c r="I2754" s="34">
        <f>Table3[[#This Row],[Volume, kg.]]/1000</f>
        <v>5.3</v>
      </c>
      <c r="J2754" s="34">
        <v>0.29699999999999999</v>
      </c>
      <c r="K2754" s="34">
        <f t="shared" si="84"/>
        <v>1574.1</v>
      </c>
      <c r="L2754" s="34">
        <v>3.95</v>
      </c>
      <c r="M2754" s="34">
        <v>20935</v>
      </c>
      <c r="N2754" s="34">
        <f t="shared" si="85"/>
        <v>13.299663299663301</v>
      </c>
    </row>
    <row r="2755" spans="1:14" x14ac:dyDescent="0.45">
      <c r="A2755" s="30">
        <v>2024</v>
      </c>
      <c r="B2755" s="30" t="s">
        <v>10</v>
      </c>
      <c r="C2755" s="30" t="s">
        <v>46</v>
      </c>
      <c r="D2755" s="30" t="s">
        <v>47</v>
      </c>
      <c r="E2755" s="32" t="s">
        <v>393</v>
      </c>
      <c r="F2755" s="32" t="s">
        <v>60</v>
      </c>
      <c r="G2755" s="32" t="s">
        <v>50</v>
      </c>
      <c r="H2755" s="33">
        <v>8180</v>
      </c>
      <c r="I2755" s="34">
        <f>Table3[[#This Row],[Volume, kg.]]/1000</f>
        <v>8.18</v>
      </c>
      <c r="J2755" s="34">
        <v>0.27250000000000002</v>
      </c>
      <c r="K2755" s="34">
        <f t="shared" ref="K2755:K2818" si="86">H2755*J2755</f>
        <v>2229.0500000000002</v>
      </c>
      <c r="L2755" s="34">
        <v>3.8</v>
      </c>
      <c r="M2755" s="34">
        <v>31084</v>
      </c>
      <c r="N2755" s="34">
        <f t="shared" si="85"/>
        <v>13.944954128440365</v>
      </c>
    </row>
    <row r="2756" spans="1:14" x14ac:dyDescent="0.45">
      <c r="A2756" s="30">
        <v>2024</v>
      </c>
      <c r="B2756" s="30" t="s">
        <v>10</v>
      </c>
      <c r="C2756" s="30" t="s">
        <v>46</v>
      </c>
      <c r="D2756" s="30" t="s">
        <v>47</v>
      </c>
      <c r="E2756" s="32" t="s">
        <v>171</v>
      </c>
      <c r="F2756" s="32" t="s">
        <v>49</v>
      </c>
      <c r="G2756" s="32" t="s">
        <v>50</v>
      </c>
      <c r="H2756" s="33">
        <v>57710</v>
      </c>
      <c r="I2756" s="34">
        <f>Table3[[#This Row],[Volume, kg.]]/1000</f>
        <v>57.71</v>
      </c>
      <c r="J2756" s="34">
        <v>0.24609999999999999</v>
      </c>
      <c r="K2756" s="34">
        <f t="shared" si="86"/>
        <v>14202.430999999999</v>
      </c>
      <c r="L2756" s="34">
        <v>3.6</v>
      </c>
      <c r="M2756" s="34">
        <v>207518</v>
      </c>
      <c r="N2756" s="34">
        <f t="shared" ref="N2756:N2819" si="87">L2756/J2756</f>
        <v>14.628199918732223</v>
      </c>
    </row>
    <row r="2757" spans="1:14" x14ac:dyDescent="0.45">
      <c r="A2757" s="30">
        <v>2024</v>
      </c>
      <c r="B2757" s="30" t="s">
        <v>10</v>
      </c>
      <c r="C2757" s="30" t="s">
        <v>46</v>
      </c>
      <c r="D2757" s="30" t="s">
        <v>47</v>
      </c>
      <c r="E2757" s="32" t="s">
        <v>90</v>
      </c>
      <c r="F2757" s="32" t="s">
        <v>49</v>
      </c>
      <c r="G2757" s="32" t="s">
        <v>50</v>
      </c>
      <c r="H2757" s="33">
        <v>41590</v>
      </c>
      <c r="I2757" s="34">
        <f>Table3[[#This Row],[Volume, kg.]]/1000</f>
        <v>41.59</v>
      </c>
      <c r="J2757" s="34">
        <v>0.26069999999999999</v>
      </c>
      <c r="K2757" s="34">
        <f t="shared" si="86"/>
        <v>10842.512999999999</v>
      </c>
      <c r="L2757" s="34">
        <v>3.74</v>
      </c>
      <c r="M2757" s="34">
        <v>155665</v>
      </c>
      <c r="N2757" s="34">
        <f t="shared" si="87"/>
        <v>14.345991561181435</v>
      </c>
    </row>
    <row r="2758" spans="1:14" x14ac:dyDescent="0.45">
      <c r="A2758" s="30">
        <v>2024</v>
      </c>
      <c r="B2758" s="30" t="s">
        <v>10</v>
      </c>
      <c r="C2758" s="30" t="s">
        <v>46</v>
      </c>
      <c r="D2758" s="30" t="s">
        <v>47</v>
      </c>
      <c r="E2758" s="32" t="s">
        <v>275</v>
      </c>
      <c r="F2758" s="32" t="s">
        <v>54</v>
      </c>
      <c r="G2758" s="32" t="s">
        <v>50</v>
      </c>
      <c r="H2758" s="33">
        <v>96780</v>
      </c>
      <c r="I2758" s="34">
        <f>Table3[[#This Row],[Volume, kg.]]/1000</f>
        <v>96.78</v>
      </c>
      <c r="J2758" s="34">
        <v>0.2641</v>
      </c>
      <c r="K2758" s="34">
        <f t="shared" si="86"/>
        <v>25559.598000000002</v>
      </c>
      <c r="L2758" s="34">
        <v>3.74</v>
      </c>
      <c r="M2758" s="34">
        <v>361529</v>
      </c>
      <c r="N2758" s="34">
        <f t="shared" si="87"/>
        <v>14.161302536917836</v>
      </c>
    </row>
    <row r="2759" spans="1:14" x14ac:dyDescent="0.45">
      <c r="A2759" s="30">
        <v>2024</v>
      </c>
      <c r="B2759" s="30" t="s">
        <v>10</v>
      </c>
      <c r="C2759" s="30" t="s">
        <v>46</v>
      </c>
      <c r="D2759" s="30" t="s">
        <v>47</v>
      </c>
      <c r="E2759" s="32" t="s">
        <v>278</v>
      </c>
      <c r="F2759" s="32" t="s">
        <v>49</v>
      </c>
      <c r="G2759" s="32" t="s">
        <v>50</v>
      </c>
      <c r="H2759" s="33">
        <v>20530</v>
      </c>
      <c r="I2759" s="34">
        <f>Table3[[#This Row],[Volume, kg.]]/1000</f>
        <v>20.53</v>
      </c>
      <c r="J2759" s="34">
        <v>0.25719999999999998</v>
      </c>
      <c r="K2759" s="34">
        <f t="shared" si="86"/>
        <v>5280.3159999999998</v>
      </c>
      <c r="L2759" s="34">
        <v>3.68</v>
      </c>
      <c r="M2759" s="34">
        <v>75502</v>
      </c>
      <c r="N2759" s="34">
        <f t="shared" si="87"/>
        <v>14.307931570762054</v>
      </c>
    </row>
    <row r="2760" spans="1:14" x14ac:dyDescent="0.45">
      <c r="A2760" s="30">
        <v>2024</v>
      </c>
      <c r="B2760" s="30" t="s">
        <v>10</v>
      </c>
      <c r="C2760" s="30" t="s">
        <v>46</v>
      </c>
      <c r="D2760" s="30" t="s">
        <v>47</v>
      </c>
      <c r="E2760" s="32" t="s">
        <v>361</v>
      </c>
      <c r="F2760" s="32" t="s">
        <v>57</v>
      </c>
      <c r="G2760" s="32" t="s">
        <v>50</v>
      </c>
      <c r="H2760" s="33">
        <v>3830</v>
      </c>
      <c r="I2760" s="34">
        <f>Table3[[#This Row],[Volume, kg.]]/1000</f>
        <v>3.83</v>
      </c>
      <c r="J2760" s="34">
        <v>0.27100000000000002</v>
      </c>
      <c r="K2760" s="34">
        <f t="shared" si="86"/>
        <v>1037.93</v>
      </c>
      <c r="L2760" s="34">
        <v>3.65</v>
      </c>
      <c r="M2760" s="34">
        <v>13979.5</v>
      </c>
      <c r="N2760" s="34">
        <f t="shared" si="87"/>
        <v>13.468634686346862</v>
      </c>
    </row>
    <row r="2761" spans="1:14" x14ac:dyDescent="0.45">
      <c r="A2761" s="30">
        <v>2024</v>
      </c>
      <c r="B2761" s="30" t="s">
        <v>10</v>
      </c>
      <c r="C2761" s="30" t="s">
        <v>46</v>
      </c>
      <c r="D2761" s="30" t="s">
        <v>47</v>
      </c>
      <c r="E2761" s="32" t="s">
        <v>573</v>
      </c>
      <c r="F2761" s="32" t="s">
        <v>49</v>
      </c>
      <c r="G2761" s="32" t="s">
        <v>50</v>
      </c>
      <c r="H2761" s="33">
        <v>35990</v>
      </c>
      <c r="I2761" s="34">
        <f>Table3[[#This Row],[Volume, kg.]]/1000</f>
        <v>35.99</v>
      </c>
      <c r="J2761" s="34">
        <v>0.2482</v>
      </c>
      <c r="K2761" s="34">
        <f t="shared" si="86"/>
        <v>8932.7180000000008</v>
      </c>
      <c r="L2761" s="34">
        <v>3.66</v>
      </c>
      <c r="M2761" s="34">
        <v>131888.5</v>
      </c>
      <c r="N2761" s="34">
        <f t="shared" si="87"/>
        <v>14.746172441579372</v>
      </c>
    </row>
    <row r="2762" spans="1:14" x14ac:dyDescent="0.45">
      <c r="A2762" s="30">
        <v>2024</v>
      </c>
      <c r="B2762" s="30" t="s">
        <v>10</v>
      </c>
      <c r="C2762" s="30" t="s">
        <v>46</v>
      </c>
      <c r="D2762" s="30" t="s">
        <v>47</v>
      </c>
      <c r="E2762" s="32" t="s">
        <v>545</v>
      </c>
      <c r="F2762" s="32" t="s">
        <v>54</v>
      </c>
      <c r="G2762" s="32" t="s">
        <v>50</v>
      </c>
      <c r="H2762" s="33">
        <v>108500</v>
      </c>
      <c r="I2762" s="34">
        <f>Table3[[#This Row],[Volume, kg.]]/1000</f>
        <v>108.5</v>
      </c>
      <c r="J2762" s="34">
        <v>0.2601</v>
      </c>
      <c r="K2762" s="34">
        <f t="shared" si="86"/>
        <v>28220.85</v>
      </c>
      <c r="L2762" s="34">
        <v>3.73</v>
      </c>
      <c r="M2762" s="34">
        <v>404798.5</v>
      </c>
      <c r="N2762" s="34">
        <f t="shared" si="87"/>
        <v>14.340638216070742</v>
      </c>
    </row>
    <row r="2763" spans="1:14" x14ac:dyDescent="0.45">
      <c r="A2763" s="30">
        <v>2024</v>
      </c>
      <c r="B2763" s="30" t="s">
        <v>10</v>
      </c>
      <c r="C2763" s="30" t="s">
        <v>46</v>
      </c>
      <c r="D2763" s="30" t="s">
        <v>47</v>
      </c>
      <c r="E2763" s="32" t="s">
        <v>346</v>
      </c>
      <c r="F2763" s="32" t="s">
        <v>49</v>
      </c>
      <c r="G2763" s="32" t="s">
        <v>50</v>
      </c>
      <c r="H2763" s="33">
        <v>15590</v>
      </c>
      <c r="I2763" s="34">
        <f>Table3[[#This Row],[Volume, kg.]]/1000</f>
        <v>15.59</v>
      </c>
      <c r="J2763" s="34">
        <v>0.26350000000000001</v>
      </c>
      <c r="K2763" s="34">
        <f t="shared" si="86"/>
        <v>4107.9650000000001</v>
      </c>
      <c r="L2763" s="34">
        <v>3.7</v>
      </c>
      <c r="M2763" s="34">
        <v>57683</v>
      </c>
      <c r="N2763" s="34">
        <f t="shared" si="87"/>
        <v>14.041745730550284</v>
      </c>
    </row>
    <row r="2764" spans="1:14" x14ac:dyDescent="0.45">
      <c r="A2764" s="30">
        <v>2024</v>
      </c>
      <c r="B2764" s="30" t="s">
        <v>10</v>
      </c>
      <c r="C2764" s="30" t="s">
        <v>46</v>
      </c>
      <c r="D2764" s="30" t="s">
        <v>47</v>
      </c>
      <c r="E2764" s="32" t="s">
        <v>116</v>
      </c>
      <c r="F2764" s="32" t="s">
        <v>81</v>
      </c>
      <c r="G2764" s="32" t="s">
        <v>50</v>
      </c>
      <c r="H2764" s="33">
        <v>14180</v>
      </c>
      <c r="I2764" s="34">
        <f>Table3[[#This Row],[Volume, kg.]]/1000</f>
        <v>14.18</v>
      </c>
      <c r="J2764" s="34">
        <v>0.2535</v>
      </c>
      <c r="K2764" s="34">
        <f t="shared" si="86"/>
        <v>3594.63</v>
      </c>
      <c r="L2764" s="34">
        <v>3.6</v>
      </c>
      <c r="M2764" s="34">
        <v>51048</v>
      </c>
      <c r="N2764" s="34">
        <f t="shared" si="87"/>
        <v>14.201183431952662</v>
      </c>
    </row>
    <row r="2765" spans="1:14" x14ac:dyDescent="0.45">
      <c r="A2765" s="30">
        <v>2024</v>
      </c>
      <c r="B2765" s="30" t="s">
        <v>10</v>
      </c>
      <c r="C2765" s="30" t="s">
        <v>46</v>
      </c>
      <c r="D2765" s="30" t="s">
        <v>47</v>
      </c>
      <c r="E2765" s="32" t="s">
        <v>186</v>
      </c>
      <c r="F2765" s="32" t="s">
        <v>64</v>
      </c>
      <c r="G2765" s="32" t="s">
        <v>50</v>
      </c>
      <c r="H2765" s="33">
        <v>17520</v>
      </c>
      <c r="I2765" s="34">
        <f>Table3[[#This Row],[Volume, kg.]]/1000</f>
        <v>17.52</v>
      </c>
      <c r="J2765" s="34">
        <v>0.22949999999999998</v>
      </c>
      <c r="K2765" s="34">
        <f t="shared" si="86"/>
        <v>4020.8399999999997</v>
      </c>
      <c r="L2765" s="34">
        <v>3.48</v>
      </c>
      <c r="M2765" s="34">
        <v>60905.5</v>
      </c>
      <c r="N2765" s="34">
        <f t="shared" si="87"/>
        <v>15.163398692810459</v>
      </c>
    </row>
    <row r="2766" spans="1:14" x14ac:dyDescent="0.45">
      <c r="A2766" s="30">
        <v>2024</v>
      </c>
      <c r="B2766" s="30" t="s">
        <v>10</v>
      </c>
      <c r="C2766" s="30" t="s">
        <v>46</v>
      </c>
      <c r="D2766" s="30" t="s">
        <v>47</v>
      </c>
      <c r="E2766" s="32" t="s">
        <v>394</v>
      </c>
      <c r="F2766" s="32" t="s">
        <v>64</v>
      </c>
      <c r="G2766" s="32" t="s">
        <v>50</v>
      </c>
      <c r="H2766" s="33">
        <v>30770</v>
      </c>
      <c r="I2766" s="34">
        <f>Table3[[#This Row],[Volume, kg.]]/1000</f>
        <v>30.77</v>
      </c>
      <c r="J2766" s="34">
        <v>0.19120000000000001</v>
      </c>
      <c r="K2766" s="34">
        <f t="shared" si="86"/>
        <v>5883.2240000000002</v>
      </c>
      <c r="L2766" s="34">
        <v>3.25</v>
      </c>
      <c r="M2766" s="34">
        <v>100013.5</v>
      </c>
      <c r="N2766" s="34">
        <f t="shared" si="87"/>
        <v>16.997907949790793</v>
      </c>
    </row>
    <row r="2767" spans="1:14" x14ac:dyDescent="0.45">
      <c r="A2767" s="30">
        <v>2024</v>
      </c>
      <c r="B2767" s="30" t="s">
        <v>10</v>
      </c>
      <c r="C2767" s="30" t="s">
        <v>46</v>
      </c>
      <c r="D2767" s="30" t="s">
        <v>47</v>
      </c>
      <c r="E2767" s="32" t="s">
        <v>609</v>
      </c>
      <c r="F2767" s="32" t="s">
        <v>81</v>
      </c>
      <c r="G2767" s="32" t="s">
        <v>50</v>
      </c>
      <c r="H2767" s="33">
        <v>53410</v>
      </c>
      <c r="I2767" s="34">
        <f>Table3[[#This Row],[Volume, kg.]]/1000</f>
        <v>53.41</v>
      </c>
      <c r="J2767" s="34">
        <v>0.27239999999999998</v>
      </c>
      <c r="K2767" s="34">
        <f t="shared" si="86"/>
        <v>14548.883999999998</v>
      </c>
      <c r="L2767" s="34">
        <v>3.76</v>
      </c>
      <c r="M2767" s="34">
        <v>200897.5</v>
      </c>
      <c r="N2767" s="34">
        <f t="shared" si="87"/>
        <v>13.80323054331865</v>
      </c>
    </row>
    <row r="2768" spans="1:14" x14ac:dyDescent="0.45">
      <c r="A2768" s="30">
        <v>2024</v>
      </c>
      <c r="B2768" s="30" t="s">
        <v>10</v>
      </c>
      <c r="C2768" s="30" t="s">
        <v>46</v>
      </c>
      <c r="D2768" s="30" t="s">
        <v>47</v>
      </c>
      <c r="E2768" s="32" t="s">
        <v>225</v>
      </c>
      <c r="F2768" s="32" t="s">
        <v>64</v>
      </c>
      <c r="G2768" s="32" t="s">
        <v>50</v>
      </c>
      <c r="H2768" s="33">
        <v>192080</v>
      </c>
      <c r="I2768" s="34">
        <f>Table3[[#This Row],[Volume, kg.]]/1000</f>
        <v>192.08</v>
      </c>
      <c r="J2768" s="34">
        <v>0.24780000000000002</v>
      </c>
      <c r="K2768" s="34">
        <f t="shared" si="86"/>
        <v>47597.424000000006</v>
      </c>
      <c r="L2768" s="34">
        <v>3.61</v>
      </c>
      <c r="M2768" s="34">
        <v>692740</v>
      </c>
      <c r="N2768" s="34">
        <f t="shared" si="87"/>
        <v>14.568200161420499</v>
      </c>
    </row>
    <row r="2769" spans="1:14" x14ac:dyDescent="0.45">
      <c r="A2769" s="30">
        <v>2024</v>
      </c>
      <c r="B2769" s="30" t="s">
        <v>10</v>
      </c>
      <c r="C2769" s="30" t="s">
        <v>46</v>
      </c>
      <c r="D2769" s="30" t="s">
        <v>47</v>
      </c>
      <c r="E2769" s="32" t="s">
        <v>581</v>
      </c>
      <c r="F2769" s="32" t="s">
        <v>64</v>
      </c>
      <c r="G2769" s="32" t="s">
        <v>50</v>
      </c>
      <c r="H2769" s="33">
        <v>21110</v>
      </c>
      <c r="I2769" s="34">
        <f>Table3[[#This Row],[Volume, kg.]]/1000</f>
        <v>21.11</v>
      </c>
      <c r="J2769" s="34">
        <v>0.2676</v>
      </c>
      <c r="K2769" s="34">
        <f t="shared" si="86"/>
        <v>5649.0360000000001</v>
      </c>
      <c r="L2769" s="34">
        <v>3.67</v>
      </c>
      <c r="M2769" s="34">
        <v>77548.5</v>
      </c>
      <c r="N2769" s="34">
        <f t="shared" si="87"/>
        <v>13.714499252615845</v>
      </c>
    </row>
    <row r="2770" spans="1:14" x14ac:dyDescent="0.45">
      <c r="A2770" s="30">
        <v>2024</v>
      </c>
      <c r="B2770" s="30" t="s">
        <v>10</v>
      </c>
      <c r="C2770" s="30" t="s">
        <v>46</v>
      </c>
      <c r="D2770" s="30" t="s">
        <v>47</v>
      </c>
      <c r="E2770" s="32" t="s">
        <v>304</v>
      </c>
      <c r="F2770" s="32" t="s">
        <v>64</v>
      </c>
      <c r="G2770" s="32" t="s">
        <v>50</v>
      </c>
      <c r="H2770" s="33">
        <v>31920</v>
      </c>
      <c r="I2770" s="34">
        <f>Table3[[#This Row],[Volume, kg.]]/1000</f>
        <v>31.92</v>
      </c>
      <c r="J2770" s="34">
        <v>0.24940000000000001</v>
      </c>
      <c r="K2770" s="34">
        <f t="shared" si="86"/>
        <v>7960.848</v>
      </c>
      <c r="L2770" s="34">
        <v>3.59</v>
      </c>
      <c r="M2770" s="34">
        <v>114615</v>
      </c>
      <c r="N2770" s="34">
        <f t="shared" si="87"/>
        <v>14.394546912590215</v>
      </c>
    </row>
    <row r="2771" spans="1:14" x14ac:dyDescent="0.45">
      <c r="A2771" s="30">
        <v>2024</v>
      </c>
      <c r="B2771" s="30" t="s">
        <v>10</v>
      </c>
      <c r="C2771" s="30" t="s">
        <v>46</v>
      </c>
      <c r="D2771" s="30" t="s">
        <v>47</v>
      </c>
      <c r="E2771" s="32" t="s">
        <v>306</v>
      </c>
      <c r="F2771" s="32" t="s">
        <v>60</v>
      </c>
      <c r="G2771" s="32" t="s">
        <v>50</v>
      </c>
      <c r="H2771" s="33">
        <v>21120</v>
      </c>
      <c r="I2771" s="34">
        <f>Table3[[#This Row],[Volume, kg.]]/1000</f>
        <v>21.12</v>
      </c>
      <c r="J2771" s="34">
        <v>0.26030000000000003</v>
      </c>
      <c r="K2771" s="34">
        <f t="shared" si="86"/>
        <v>5497.536000000001</v>
      </c>
      <c r="L2771" s="34">
        <v>3.66</v>
      </c>
      <c r="M2771" s="34">
        <v>77361</v>
      </c>
      <c r="N2771" s="34">
        <f t="shared" si="87"/>
        <v>14.06069919323857</v>
      </c>
    </row>
    <row r="2772" spans="1:14" x14ac:dyDescent="0.45">
      <c r="A2772" s="30">
        <v>2024</v>
      </c>
      <c r="B2772" s="30" t="s">
        <v>10</v>
      </c>
      <c r="C2772" s="30" t="s">
        <v>46</v>
      </c>
      <c r="D2772" s="30" t="s">
        <v>47</v>
      </c>
      <c r="E2772" s="32" t="s">
        <v>262</v>
      </c>
      <c r="F2772" s="32" t="s">
        <v>81</v>
      </c>
      <c r="G2772" s="32" t="s">
        <v>50</v>
      </c>
      <c r="H2772" s="33">
        <v>73840</v>
      </c>
      <c r="I2772" s="34">
        <f>Table3[[#This Row],[Volume, kg.]]/1000</f>
        <v>73.84</v>
      </c>
      <c r="J2772" s="34">
        <v>0.26039999999999996</v>
      </c>
      <c r="K2772" s="34">
        <f t="shared" si="86"/>
        <v>19227.935999999998</v>
      </c>
      <c r="L2772" s="34">
        <v>3.73</v>
      </c>
      <c r="M2772" s="34">
        <v>275055</v>
      </c>
      <c r="N2772" s="34">
        <f t="shared" si="87"/>
        <v>14.324116743471585</v>
      </c>
    </row>
    <row r="2773" spans="1:14" x14ac:dyDescent="0.45">
      <c r="A2773" s="30">
        <v>2024</v>
      </c>
      <c r="B2773" s="30" t="s">
        <v>10</v>
      </c>
      <c r="C2773" s="30" t="s">
        <v>46</v>
      </c>
      <c r="D2773" s="30" t="s">
        <v>47</v>
      </c>
      <c r="E2773" s="32" t="s">
        <v>197</v>
      </c>
      <c r="F2773" s="32" t="s">
        <v>57</v>
      </c>
      <c r="G2773" s="32" t="s">
        <v>50</v>
      </c>
      <c r="H2773" s="33">
        <v>44510</v>
      </c>
      <c r="I2773" s="34">
        <f>Table3[[#This Row],[Volume, kg.]]/1000</f>
        <v>44.51</v>
      </c>
      <c r="J2773" s="34">
        <v>0.27339999999999998</v>
      </c>
      <c r="K2773" s="34">
        <f t="shared" si="86"/>
        <v>12169.034</v>
      </c>
      <c r="L2773" s="34">
        <v>3.76</v>
      </c>
      <c r="M2773" s="34">
        <v>167365</v>
      </c>
      <c r="N2773" s="34">
        <f t="shared" si="87"/>
        <v>13.752743233357718</v>
      </c>
    </row>
    <row r="2774" spans="1:14" x14ac:dyDescent="0.45">
      <c r="A2774" s="30">
        <v>2024</v>
      </c>
      <c r="B2774" s="30" t="s">
        <v>10</v>
      </c>
      <c r="C2774" s="30" t="s">
        <v>46</v>
      </c>
      <c r="D2774" s="30" t="s">
        <v>47</v>
      </c>
      <c r="E2774" s="32" t="s">
        <v>206</v>
      </c>
      <c r="F2774" s="32" t="s">
        <v>81</v>
      </c>
      <c r="G2774" s="32" t="s">
        <v>50</v>
      </c>
      <c r="H2774" s="33">
        <v>149420</v>
      </c>
      <c r="I2774" s="34">
        <f>Table3[[#This Row],[Volume, kg.]]/1000</f>
        <v>149.41999999999999</v>
      </c>
      <c r="J2774" s="34">
        <v>0.2732</v>
      </c>
      <c r="K2774" s="34">
        <f t="shared" si="86"/>
        <v>40821.544000000002</v>
      </c>
      <c r="L2774" s="34">
        <v>3.78</v>
      </c>
      <c r="M2774" s="34">
        <v>565028</v>
      </c>
      <c r="N2774" s="34">
        <f t="shared" si="87"/>
        <v>13.836017569546119</v>
      </c>
    </row>
    <row r="2775" spans="1:14" x14ac:dyDescent="0.45">
      <c r="A2775" s="30">
        <v>2024</v>
      </c>
      <c r="B2775" s="30" t="s">
        <v>10</v>
      </c>
      <c r="C2775" s="30" t="s">
        <v>46</v>
      </c>
      <c r="D2775" s="30" t="s">
        <v>47</v>
      </c>
      <c r="E2775" s="32" t="s">
        <v>272</v>
      </c>
      <c r="F2775" s="32" t="s">
        <v>60</v>
      </c>
      <c r="G2775" s="32" t="s">
        <v>50</v>
      </c>
      <c r="H2775" s="33">
        <v>26960</v>
      </c>
      <c r="I2775" s="34">
        <f>Table3[[#This Row],[Volume, kg.]]/1000</f>
        <v>26.96</v>
      </c>
      <c r="J2775" s="34">
        <v>0.29520000000000002</v>
      </c>
      <c r="K2775" s="34">
        <f t="shared" si="86"/>
        <v>7958.5920000000006</v>
      </c>
      <c r="L2775" s="34">
        <v>3.92</v>
      </c>
      <c r="M2775" s="34">
        <v>105555</v>
      </c>
      <c r="N2775" s="34">
        <f t="shared" si="87"/>
        <v>13.279132791327912</v>
      </c>
    </row>
    <row r="2776" spans="1:14" x14ac:dyDescent="0.45">
      <c r="A2776" s="30">
        <v>2024</v>
      </c>
      <c r="B2776" s="30" t="s">
        <v>10</v>
      </c>
      <c r="C2776" s="30" t="s">
        <v>46</v>
      </c>
      <c r="D2776" s="30" t="s">
        <v>47</v>
      </c>
      <c r="E2776" s="32" t="s">
        <v>350</v>
      </c>
      <c r="F2776" s="32" t="s">
        <v>49</v>
      </c>
      <c r="G2776" s="32" t="s">
        <v>50</v>
      </c>
      <c r="H2776" s="33">
        <v>13210</v>
      </c>
      <c r="I2776" s="34">
        <f>Table3[[#This Row],[Volume, kg.]]/1000</f>
        <v>13.21</v>
      </c>
      <c r="J2776" s="34">
        <v>0.26050000000000001</v>
      </c>
      <c r="K2776" s="34">
        <f t="shared" si="86"/>
        <v>3441.2049999999999</v>
      </c>
      <c r="L2776" s="34">
        <v>3.65</v>
      </c>
      <c r="M2776" s="34">
        <v>48216.5</v>
      </c>
      <c r="N2776" s="34">
        <f t="shared" si="87"/>
        <v>14.01151631477927</v>
      </c>
    </row>
    <row r="2777" spans="1:14" x14ac:dyDescent="0.45">
      <c r="A2777" s="30">
        <v>2024</v>
      </c>
      <c r="B2777" s="30" t="s">
        <v>10</v>
      </c>
      <c r="C2777" s="30" t="s">
        <v>46</v>
      </c>
      <c r="D2777" s="30" t="s">
        <v>47</v>
      </c>
      <c r="E2777" s="32" t="s">
        <v>610</v>
      </c>
      <c r="F2777" s="32" t="s">
        <v>238</v>
      </c>
      <c r="G2777" s="32" t="s">
        <v>50</v>
      </c>
      <c r="H2777" s="33">
        <v>11990</v>
      </c>
      <c r="I2777" s="34">
        <f>Table3[[#This Row],[Volume, kg.]]/1000</f>
        <v>11.99</v>
      </c>
      <c r="J2777" s="34">
        <v>0.24</v>
      </c>
      <c r="K2777" s="34">
        <f t="shared" si="86"/>
        <v>2877.6</v>
      </c>
      <c r="L2777" s="34">
        <v>3.5</v>
      </c>
      <c r="M2777" s="34">
        <v>41965</v>
      </c>
      <c r="N2777" s="34">
        <f t="shared" si="87"/>
        <v>14.583333333333334</v>
      </c>
    </row>
    <row r="2778" spans="1:14" x14ac:dyDescent="0.45">
      <c r="A2778" s="30">
        <v>2024</v>
      </c>
      <c r="B2778" s="30" t="s">
        <v>10</v>
      </c>
      <c r="C2778" s="30" t="s">
        <v>46</v>
      </c>
      <c r="D2778" s="30" t="s">
        <v>47</v>
      </c>
      <c r="E2778" s="32" t="s">
        <v>312</v>
      </c>
      <c r="F2778" s="32" t="s">
        <v>60</v>
      </c>
      <c r="G2778" s="32" t="s">
        <v>50</v>
      </c>
      <c r="H2778" s="33">
        <v>4550</v>
      </c>
      <c r="I2778" s="34">
        <f>Table3[[#This Row],[Volume, kg.]]/1000</f>
        <v>4.55</v>
      </c>
      <c r="J2778" s="34">
        <v>0.30049999999999999</v>
      </c>
      <c r="K2778" s="34">
        <f t="shared" si="86"/>
        <v>1367.2749999999999</v>
      </c>
      <c r="L2778" s="34">
        <v>3.9</v>
      </c>
      <c r="M2778" s="34">
        <v>17745</v>
      </c>
      <c r="N2778" s="34">
        <f t="shared" si="87"/>
        <v>12.978369384359402</v>
      </c>
    </row>
    <row r="2779" spans="1:14" x14ac:dyDescent="0.45">
      <c r="A2779" s="30">
        <v>2024</v>
      </c>
      <c r="B2779" s="30" t="s">
        <v>10</v>
      </c>
      <c r="C2779" s="30" t="s">
        <v>46</v>
      </c>
      <c r="D2779" s="30" t="s">
        <v>47</v>
      </c>
      <c r="E2779" s="32" t="s">
        <v>548</v>
      </c>
      <c r="F2779" s="32" t="s">
        <v>49</v>
      </c>
      <c r="G2779" s="32" t="s">
        <v>50</v>
      </c>
      <c r="H2779" s="33">
        <v>70940</v>
      </c>
      <c r="I2779" s="34">
        <f>Table3[[#This Row],[Volume, kg.]]/1000</f>
        <v>70.94</v>
      </c>
      <c r="J2779" s="34">
        <v>0.26629999999999998</v>
      </c>
      <c r="K2779" s="34">
        <f t="shared" si="86"/>
        <v>18891.322</v>
      </c>
      <c r="L2779" s="34">
        <v>3.75</v>
      </c>
      <c r="M2779" s="34">
        <v>265897.5</v>
      </c>
      <c r="N2779" s="34">
        <f t="shared" si="87"/>
        <v>14.081862561021405</v>
      </c>
    </row>
    <row r="2780" spans="1:14" x14ac:dyDescent="0.45">
      <c r="A2780" s="30">
        <v>2024</v>
      </c>
      <c r="B2780" s="30" t="s">
        <v>10</v>
      </c>
      <c r="C2780" s="30" t="s">
        <v>46</v>
      </c>
      <c r="D2780" s="30" t="s">
        <v>47</v>
      </c>
      <c r="E2780" s="32" t="s">
        <v>98</v>
      </c>
      <c r="F2780" s="32" t="s">
        <v>49</v>
      </c>
      <c r="G2780" s="32" t="s">
        <v>50</v>
      </c>
      <c r="H2780" s="33">
        <v>41530</v>
      </c>
      <c r="I2780" s="34">
        <f>Table3[[#This Row],[Volume, kg.]]/1000</f>
        <v>41.53</v>
      </c>
      <c r="J2780" s="34">
        <v>0.2636</v>
      </c>
      <c r="K2780" s="34">
        <f t="shared" si="86"/>
        <v>10947.308000000001</v>
      </c>
      <c r="L2780" s="34">
        <v>3.74</v>
      </c>
      <c r="M2780" s="34">
        <v>155318.5</v>
      </c>
      <c r="N2780" s="34">
        <f t="shared" si="87"/>
        <v>14.188163884673749</v>
      </c>
    </row>
    <row r="2781" spans="1:14" x14ac:dyDescent="0.45">
      <c r="A2781" s="30">
        <v>2024</v>
      </c>
      <c r="B2781" s="30" t="s">
        <v>10</v>
      </c>
      <c r="C2781" s="30" t="s">
        <v>46</v>
      </c>
      <c r="D2781" s="30" t="s">
        <v>47</v>
      </c>
      <c r="E2781" s="32" t="s">
        <v>129</v>
      </c>
      <c r="F2781" s="32" t="s">
        <v>57</v>
      </c>
      <c r="G2781" s="32" t="s">
        <v>50</v>
      </c>
      <c r="H2781" s="33">
        <v>33640</v>
      </c>
      <c r="I2781" s="34">
        <f>Table3[[#This Row],[Volume, kg.]]/1000</f>
        <v>33.64</v>
      </c>
      <c r="J2781" s="34">
        <v>0.27629999999999999</v>
      </c>
      <c r="K2781" s="34">
        <f t="shared" si="86"/>
        <v>9294.732</v>
      </c>
      <c r="L2781" s="34">
        <v>3.8</v>
      </c>
      <c r="M2781" s="34">
        <v>127830.5</v>
      </c>
      <c r="N2781" s="34">
        <f t="shared" si="87"/>
        <v>13.753166847629387</v>
      </c>
    </row>
    <row r="2782" spans="1:14" x14ac:dyDescent="0.45">
      <c r="A2782" s="30">
        <v>2024</v>
      </c>
      <c r="B2782" s="30" t="s">
        <v>10</v>
      </c>
      <c r="C2782" s="30" t="s">
        <v>46</v>
      </c>
      <c r="D2782" s="30" t="s">
        <v>47</v>
      </c>
      <c r="E2782" s="32" t="s">
        <v>80</v>
      </c>
      <c r="F2782" s="32" t="s">
        <v>81</v>
      </c>
      <c r="G2782" s="32" t="s">
        <v>50</v>
      </c>
      <c r="H2782" s="33">
        <v>204520</v>
      </c>
      <c r="I2782" s="34">
        <f>Table3[[#This Row],[Volume, kg.]]/1000</f>
        <v>204.52</v>
      </c>
      <c r="J2782" s="34">
        <v>0.27360000000000001</v>
      </c>
      <c r="K2782" s="34">
        <f t="shared" si="86"/>
        <v>55956.671999999999</v>
      </c>
      <c r="L2782" s="34">
        <v>3.78</v>
      </c>
      <c r="M2782" s="34">
        <v>773526</v>
      </c>
      <c r="N2782" s="34">
        <f t="shared" si="87"/>
        <v>13.815789473684209</v>
      </c>
    </row>
    <row r="2783" spans="1:14" x14ac:dyDescent="0.45">
      <c r="A2783" s="30">
        <v>2024</v>
      </c>
      <c r="B2783" s="30" t="s">
        <v>10</v>
      </c>
      <c r="C2783" s="30" t="s">
        <v>46</v>
      </c>
      <c r="D2783" s="30" t="s">
        <v>47</v>
      </c>
      <c r="E2783" s="32" t="s">
        <v>296</v>
      </c>
      <c r="F2783" s="32" t="s">
        <v>60</v>
      </c>
      <c r="G2783" s="32" t="s">
        <v>50</v>
      </c>
      <c r="H2783" s="33">
        <v>13650</v>
      </c>
      <c r="I2783" s="34">
        <f>Table3[[#This Row],[Volume, kg.]]/1000</f>
        <v>13.65</v>
      </c>
      <c r="J2783" s="34">
        <v>0.26649999999999996</v>
      </c>
      <c r="K2783" s="34">
        <f t="shared" si="86"/>
        <v>3637.7249999999995</v>
      </c>
      <c r="L2783" s="34">
        <v>3.75</v>
      </c>
      <c r="M2783" s="34">
        <v>51187.5</v>
      </c>
      <c r="N2783" s="34">
        <f t="shared" si="87"/>
        <v>14.071294559099439</v>
      </c>
    </row>
    <row r="2784" spans="1:14" x14ac:dyDescent="0.45">
      <c r="A2784" s="30">
        <v>2024</v>
      </c>
      <c r="B2784" s="30" t="s">
        <v>10</v>
      </c>
      <c r="C2784" s="30" t="s">
        <v>46</v>
      </c>
      <c r="D2784" s="30" t="s">
        <v>47</v>
      </c>
      <c r="E2784" s="32" t="s">
        <v>194</v>
      </c>
      <c r="F2784" s="32" t="s">
        <v>49</v>
      </c>
      <c r="G2784" s="32" t="s">
        <v>50</v>
      </c>
      <c r="H2784" s="33">
        <v>15560</v>
      </c>
      <c r="I2784" s="34">
        <f>Table3[[#This Row],[Volume, kg.]]/1000</f>
        <v>15.56</v>
      </c>
      <c r="J2784" s="34">
        <v>0.24719999999999998</v>
      </c>
      <c r="K2784" s="34">
        <f t="shared" si="86"/>
        <v>3846.4319999999998</v>
      </c>
      <c r="L2784" s="34">
        <v>3.64</v>
      </c>
      <c r="M2784" s="34">
        <v>56567</v>
      </c>
      <c r="N2784" s="34">
        <f t="shared" si="87"/>
        <v>14.724919093851135</v>
      </c>
    </row>
    <row r="2785" spans="1:14" x14ac:dyDescent="0.45">
      <c r="A2785" s="30">
        <v>2024</v>
      </c>
      <c r="B2785" s="30" t="s">
        <v>10</v>
      </c>
      <c r="C2785" s="30" t="s">
        <v>46</v>
      </c>
      <c r="D2785" s="30" t="s">
        <v>47</v>
      </c>
      <c r="E2785" s="32" t="s">
        <v>398</v>
      </c>
      <c r="F2785" s="32" t="s">
        <v>64</v>
      </c>
      <c r="G2785" s="32" t="s">
        <v>50</v>
      </c>
      <c r="H2785" s="33">
        <v>33400</v>
      </c>
      <c r="I2785" s="34">
        <f>Table3[[#This Row],[Volume, kg.]]/1000</f>
        <v>33.4</v>
      </c>
      <c r="J2785" s="34">
        <v>0.24979999999999999</v>
      </c>
      <c r="K2785" s="34">
        <f t="shared" si="86"/>
        <v>8343.32</v>
      </c>
      <c r="L2785" s="34">
        <v>3.58</v>
      </c>
      <c r="M2785" s="34">
        <v>119482</v>
      </c>
      <c r="N2785" s="34">
        <f t="shared" si="87"/>
        <v>14.33146517213771</v>
      </c>
    </row>
    <row r="2786" spans="1:14" x14ac:dyDescent="0.45">
      <c r="A2786" s="30">
        <v>2024</v>
      </c>
      <c r="B2786" s="30" t="s">
        <v>10</v>
      </c>
      <c r="C2786" s="30" t="s">
        <v>46</v>
      </c>
      <c r="D2786" s="30" t="s">
        <v>47</v>
      </c>
      <c r="E2786" s="32" t="s">
        <v>572</v>
      </c>
      <c r="F2786" s="32" t="s">
        <v>64</v>
      </c>
      <c r="G2786" s="32" t="s">
        <v>50</v>
      </c>
      <c r="H2786" s="33">
        <v>42240</v>
      </c>
      <c r="I2786" s="34">
        <f>Table3[[#This Row],[Volume, kg.]]/1000</f>
        <v>42.24</v>
      </c>
      <c r="J2786" s="34">
        <v>0.23190000000000002</v>
      </c>
      <c r="K2786" s="34">
        <f t="shared" si="86"/>
        <v>9795.4560000000001</v>
      </c>
      <c r="L2786" s="34">
        <v>3.6</v>
      </c>
      <c r="M2786" s="34">
        <v>152076.5</v>
      </c>
      <c r="N2786" s="34">
        <f t="shared" si="87"/>
        <v>15.523932729624837</v>
      </c>
    </row>
    <row r="2787" spans="1:14" x14ac:dyDescent="0.45">
      <c r="A2787" s="30">
        <v>2024</v>
      </c>
      <c r="B2787" s="30" t="s">
        <v>10</v>
      </c>
      <c r="C2787" s="30" t="s">
        <v>46</v>
      </c>
      <c r="D2787" s="30" t="s">
        <v>47</v>
      </c>
      <c r="E2787" s="32" t="s">
        <v>267</v>
      </c>
      <c r="F2787" s="32" t="s">
        <v>57</v>
      </c>
      <c r="G2787" s="32" t="s">
        <v>50</v>
      </c>
      <c r="H2787" s="33">
        <v>2800</v>
      </c>
      <c r="I2787" s="34">
        <f>Table3[[#This Row],[Volume, kg.]]/1000</f>
        <v>2.8</v>
      </c>
      <c r="J2787" s="34">
        <v>0.26350000000000001</v>
      </c>
      <c r="K2787" s="34">
        <f t="shared" si="86"/>
        <v>737.80000000000007</v>
      </c>
      <c r="L2787" s="34">
        <v>3.7</v>
      </c>
      <c r="M2787" s="34">
        <v>10360</v>
      </c>
      <c r="N2787" s="34">
        <f t="shared" si="87"/>
        <v>14.041745730550284</v>
      </c>
    </row>
    <row r="2788" spans="1:14" x14ac:dyDescent="0.45">
      <c r="A2788" s="30">
        <v>2024</v>
      </c>
      <c r="B2788" s="30" t="s">
        <v>10</v>
      </c>
      <c r="C2788" s="30" t="s">
        <v>46</v>
      </c>
      <c r="D2788" s="30" t="s">
        <v>102</v>
      </c>
      <c r="E2788" s="32" t="s">
        <v>103</v>
      </c>
      <c r="F2788" s="32" t="s">
        <v>104</v>
      </c>
      <c r="G2788" s="32" t="s">
        <v>105</v>
      </c>
      <c r="H2788" s="33">
        <v>93470</v>
      </c>
      <c r="I2788" s="34">
        <f>Table3[[#This Row],[Volume, kg.]]/1000</f>
        <v>93.47</v>
      </c>
      <c r="J2788" s="34">
        <v>0.254</v>
      </c>
      <c r="K2788" s="34">
        <f t="shared" si="86"/>
        <v>23741.38</v>
      </c>
      <c r="L2788" s="34">
        <v>3.71</v>
      </c>
      <c r="M2788" s="34">
        <v>346736</v>
      </c>
      <c r="N2788" s="34">
        <f t="shared" si="87"/>
        <v>14.606299212598424</v>
      </c>
    </row>
    <row r="2789" spans="1:14" x14ac:dyDescent="0.45">
      <c r="A2789" s="30">
        <v>2024</v>
      </c>
      <c r="B2789" s="30" t="s">
        <v>10</v>
      </c>
      <c r="C2789" s="30" t="s">
        <v>46</v>
      </c>
      <c r="D2789" s="30" t="s">
        <v>47</v>
      </c>
      <c r="E2789" s="32" t="s">
        <v>203</v>
      </c>
      <c r="F2789" s="32" t="s">
        <v>57</v>
      </c>
      <c r="G2789" s="32" t="s">
        <v>50</v>
      </c>
      <c r="H2789" s="33">
        <v>8460</v>
      </c>
      <c r="I2789" s="34">
        <f>Table3[[#This Row],[Volume, kg.]]/1000</f>
        <v>8.4600000000000009</v>
      </c>
      <c r="J2789" s="34">
        <v>0.23870000000000002</v>
      </c>
      <c r="K2789" s="34">
        <f t="shared" si="86"/>
        <v>2019.4020000000003</v>
      </c>
      <c r="L2789" s="34">
        <v>3.58</v>
      </c>
      <c r="M2789" s="34">
        <v>30296.5</v>
      </c>
      <c r="N2789" s="34">
        <f t="shared" si="87"/>
        <v>14.997905320485964</v>
      </c>
    </row>
    <row r="2790" spans="1:14" x14ac:dyDescent="0.45">
      <c r="A2790" s="30">
        <v>2024</v>
      </c>
      <c r="B2790" s="30" t="s">
        <v>10</v>
      </c>
      <c r="C2790" s="30" t="s">
        <v>46</v>
      </c>
      <c r="D2790" s="30" t="s">
        <v>47</v>
      </c>
      <c r="E2790" s="32" t="s">
        <v>261</v>
      </c>
      <c r="F2790" s="32" t="s">
        <v>81</v>
      </c>
      <c r="G2790" s="32" t="s">
        <v>50</v>
      </c>
      <c r="H2790" s="33">
        <v>11820</v>
      </c>
      <c r="I2790" s="34">
        <f>Table3[[#This Row],[Volume, kg.]]/1000</f>
        <v>11.82</v>
      </c>
      <c r="J2790" s="34">
        <v>0.28749999999999998</v>
      </c>
      <c r="K2790" s="34">
        <f t="shared" si="86"/>
        <v>3398.2499999999995</v>
      </c>
      <c r="L2790" s="34">
        <v>3.85</v>
      </c>
      <c r="M2790" s="34">
        <v>45507</v>
      </c>
      <c r="N2790" s="34">
        <f t="shared" si="87"/>
        <v>13.391304347826088</v>
      </c>
    </row>
    <row r="2791" spans="1:14" x14ac:dyDescent="0.45">
      <c r="A2791" s="30">
        <v>2024</v>
      </c>
      <c r="B2791" s="30" t="s">
        <v>10</v>
      </c>
      <c r="C2791" s="30" t="s">
        <v>46</v>
      </c>
      <c r="D2791" s="30" t="s">
        <v>47</v>
      </c>
      <c r="E2791" s="32" t="s">
        <v>58</v>
      </c>
      <c r="F2791" s="32" t="s">
        <v>49</v>
      </c>
      <c r="G2791" s="32" t="s">
        <v>50</v>
      </c>
      <c r="H2791" s="33">
        <v>6500</v>
      </c>
      <c r="I2791" s="34">
        <f>Table3[[#This Row],[Volume, kg.]]/1000</f>
        <v>6.5</v>
      </c>
      <c r="J2791" s="34">
        <v>0.26</v>
      </c>
      <c r="K2791" s="34">
        <f t="shared" si="86"/>
        <v>1690</v>
      </c>
      <c r="L2791" s="34">
        <v>3.65</v>
      </c>
      <c r="M2791" s="34">
        <v>23725</v>
      </c>
      <c r="N2791" s="34">
        <f t="shared" si="87"/>
        <v>14.038461538461538</v>
      </c>
    </row>
    <row r="2792" spans="1:14" x14ac:dyDescent="0.45">
      <c r="A2792" s="30">
        <v>2024</v>
      </c>
      <c r="B2792" s="30" t="s">
        <v>10</v>
      </c>
      <c r="C2792" s="30" t="s">
        <v>46</v>
      </c>
      <c r="D2792" s="30" t="s">
        <v>47</v>
      </c>
      <c r="E2792" s="32" t="s">
        <v>335</v>
      </c>
      <c r="F2792" s="32" t="s">
        <v>54</v>
      </c>
      <c r="G2792" s="32" t="s">
        <v>50</v>
      </c>
      <c r="H2792" s="33">
        <v>270620</v>
      </c>
      <c r="I2792" s="34">
        <f>Table3[[#This Row],[Volume, kg.]]/1000</f>
        <v>270.62</v>
      </c>
      <c r="J2792" s="34">
        <v>0.26229999999999998</v>
      </c>
      <c r="K2792" s="34">
        <f t="shared" si="86"/>
        <v>70983.625999999989</v>
      </c>
      <c r="L2792" s="34">
        <v>3.71</v>
      </c>
      <c r="M2792" s="34">
        <v>1005206.5</v>
      </c>
      <c r="N2792" s="34">
        <f t="shared" si="87"/>
        <v>14.14410979794129</v>
      </c>
    </row>
    <row r="2793" spans="1:14" x14ac:dyDescent="0.45">
      <c r="A2793" s="30">
        <v>2024</v>
      </c>
      <c r="B2793" s="30" t="s">
        <v>10</v>
      </c>
      <c r="C2793" s="30" t="s">
        <v>46</v>
      </c>
      <c r="D2793" s="30" t="s">
        <v>47</v>
      </c>
      <c r="E2793" s="32" t="s">
        <v>214</v>
      </c>
      <c r="F2793" s="32" t="s">
        <v>64</v>
      </c>
      <c r="G2793" s="32" t="s">
        <v>50</v>
      </c>
      <c r="H2793" s="33">
        <v>62660</v>
      </c>
      <c r="I2793" s="34">
        <f>Table3[[#This Row],[Volume, kg.]]/1000</f>
        <v>62.66</v>
      </c>
      <c r="J2793" s="34">
        <v>0.25969999999999999</v>
      </c>
      <c r="K2793" s="34">
        <f t="shared" si="86"/>
        <v>16272.802</v>
      </c>
      <c r="L2793" s="34">
        <v>3.7</v>
      </c>
      <c r="M2793" s="34">
        <v>231742</v>
      </c>
      <c r="N2793" s="34">
        <f t="shared" si="87"/>
        <v>14.247208317289182</v>
      </c>
    </row>
    <row r="2794" spans="1:14" x14ac:dyDescent="0.45">
      <c r="A2794" s="30">
        <v>2024</v>
      </c>
      <c r="B2794" s="30" t="s">
        <v>10</v>
      </c>
      <c r="C2794" s="30" t="s">
        <v>46</v>
      </c>
      <c r="D2794" s="30" t="s">
        <v>47</v>
      </c>
      <c r="E2794" s="32" t="s">
        <v>318</v>
      </c>
      <c r="F2794" s="32" t="s">
        <v>60</v>
      </c>
      <c r="G2794" s="32" t="s">
        <v>50</v>
      </c>
      <c r="H2794" s="33">
        <v>20790</v>
      </c>
      <c r="I2794" s="34">
        <f>Table3[[#This Row],[Volume, kg.]]/1000</f>
        <v>20.79</v>
      </c>
      <c r="J2794" s="34">
        <v>0.26500000000000001</v>
      </c>
      <c r="K2794" s="34">
        <f t="shared" si="86"/>
        <v>5509.35</v>
      </c>
      <c r="L2794" s="34">
        <v>3.7</v>
      </c>
      <c r="M2794" s="34">
        <v>76923</v>
      </c>
      <c r="N2794" s="34">
        <f t="shared" si="87"/>
        <v>13.962264150943396</v>
      </c>
    </row>
    <row r="2795" spans="1:14" x14ac:dyDescent="0.45">
      <c r="A2795" s="30">
        <v>2024</v>
      </c>
      <c r="B2795" s="30" t="s">
        <v>10</v>
      </c>
      <c r="C2795" s="30" t="s">
        <v>46</v>
      </c>
      <c r="D2795" s="30" t="s">
        <v>47</v>
      </c>
      <c r="E2795" s="32" t="s">
        <v>221</v>
      </c>
      <c r="F2795" s="32" t="s">
        <v>64</v>
      </c>
      <c r="G2795" s="32" t="s">
        <v>50</v>
      </c>
      <c r="H2795" s="33">
        <v>45320</v>
      </c>
      <c r="I2795" s="34">
        <f>Table3[[#This Row],[Volume, kg.]]/1000</f>
        <v>45.32</v>
      </c>
      <c r="J2795" s="34">
        <v>0.24780000000000002</v>
      </c>
      <c r="K2795" s="34">
        <f t="shared" si="86"/>
        <v>11230.296</v>
      </c>
      <c r="L2795" s="34">
        <v>3.62</v>
      </c>
      <c r="M2795" s="34">
        <v>163948</v>
      </c>
      <c r="N2795" s="34">
        <f t="shared" si="87"/>
        <v>14.608555286521387</v>
      </c>
    </row>
    <row r="2796" spans="1:14" x14ac:dyDescent="0.45">
      <c r="A2796" s="30">
        <v>2024</v>
      </c>
      <c r="B2796" s="30" t="s">
        <v>10</v>
      </c>
      <c r="C2796" s="30" t="s">
        <v>46</v>
      </c>
      <c r="D2796" s="30" t="s">
        <v>47</v>
      </c>
      <c r="E2796" s="32" t="s">
        <v>600</v>
      </c>
      <c r="F2796" s="32" t="s">
        <v>64</v>
      </c>
      <c r="G2796" s="32" t="s">
        <v>50</v>
      </c>
      <c r="H2796" s="33">
        <v>34580</v>
      </c>
      <c r="I2796" s="34">
        <f>Table3[[#This Row],[Volume, kg.]]/1000</f>
        <v>34.58</v>
      </c>
      <c r="J2796" s="34">
        <v>0.29289999999999999</v>
      </c>
      <c r="K2796" s="34">
        <f t="shared" si="86"/>
        <v>10128.482</v>
      </c>
      <c r="L2796" s="34">
        <v>3.78</v>
      </c>
      <c r="M2796" s="34">
        <v>130867</v>
      </c>
      <c r="N2796" s="34">
        <f t="shared" si="87"/>
        <v>12.905428473881871</v>
      </c>
    </row>
    <row r="2797" spans="1:14" x14ac:dyDescent="0.45">
      <c r="A2797" s="30">
        <v>2024</v>
      </c>
      <c r="B2797" s="30" t="s">
        <v>10</v>
      </c>
      <c r="C2797" s="30" t="s">
        <v>46</v>
      </c>
      <c r="D2797" s="30" t="s">
        <v>47</v>
      </c>
      <c r="E2797" s="32" t="s">
        <v>216</v>
      </c>
      <c r="F2797" s="32" t="s">
        <v>64</v>
      </c>
      <c r="G2797" s="32" t="s">
        <v>50</v>
      </c>
      <c r="H2797" s="33">
        <v>49270</v>
      </c>
      <c r="I2797" s="34">
        <f>Table3[[#This Row],[Volume, kg.]]/1000</f>
        <v>49.27</v>
      </c>
      <c r="J2797" s="34">
        <v>0.2641</v>
      </c>
      <c r="K2797" s="34">
        <f t="shared" si="86"/>
        <v>13012.207</v>
      </c>
      <c r="L2797" s="34">
        <v>3.74</v>
      </c>
      <c r="M2797" s="34">
        <v>184378.5</v>
      </c>
      <c r="N2797" s="34">
        <f t="shared" si="87"/>
        <v>14.161302536917836</v>
      </c>
    </row>
    <row r="2798" spans="1:14" x14ac:dyDescent="0.45">
      <c r="A2798" s="30">
        <v>2024</v>
      </c>
      <c r="B2798" s="30" t="s">
        <v>10</v>
      </c>
      <c r="C2798" s="30" t="s">
        <v>46</v>
      </c>
      <c r="D2798" s="30" t="s">
        <v>47</v>
      </c>
      <c r="E2798" s="32" t="s">
        <v>601</v>
      </c>
      <c r="F2798" s="32" t="s">
        <v>60</v>
      </c>
      <c r="G2798" s="32" t="s">
        <v>50</v>
      </c>
      <c r="H2798" s="33">
        <v>14110</v>
      </c>
      <c r="I2798" s="34">
        <f>Table3[[#This Row],[Volume, kg.]]/1000</f>
        <v>14.11</v>
      </c>
      <c r="J2798" s="34">
        <v>0.26150000000000001</v>
      </c>
      <c r="K2798" s="34">
        <f t="shared" si="86"/>
        <v>3689.7650000000003</v>
      </c>
      <c r="L2798" s="34">
        <v>3.75</v>
      </c>
      <c r="M2798" s="34">
        <v>52912.5</v>
      </c>
      <c r="N2798" s="34">
        <f t="shared" si="87"/>
        <v>14.340344168260037</v>
      </c>
    </row>
    <row r="2799" spans="1:14" x14ac:dyDescent="0.45">
      <c r="A2799" s="30">
        <v>2024</v>
      </c>
      <c r="B2799" s="30" t="s">
        <v>10</v>
      </c>
      <c r="C2799" s="30" t="s">
        <v>46</v>
      </c>
      <c r="D2799" s="30" t="s">
        <v>47</v>
      </c>
      <c r="E2799" s="32" t="s">
        <v>611</v>
      </c>
      <c r="F2799" s="32" t="s">
        <v>60</v>
      </c>
      <c r="G2799" s="32" t="s">
        <v>50</v>
      </c>
      <c r="H2799" s="33">
        <v>12500</v>
      </c>
      <c r="I2799" s="34">
        <f>Table3[[#This Row],[Volume, kg.]]/1000</f>
        <v>12.5</v>
      </c>
      <c r="J2799" s="34">
        <v>0.23850000000000002</v>
      </c>
      <c r="K2799" s="34">
        <f t="shared" si="86"/>
        <v>2981.25</v>
      </c>
      <c r="L2799" s="34">
        <v>3.55</v>
      </c>
      <c r="M2799" s="34">
        <v>44375</v>
      </c>
      <c r="N2799" s="34">
        <f t="shared" si="87"/>
        <v>14.884696016771487</v>
      </c>
    </row>
    <row r="2800" spans="1:14" x14ac:dyDescent="0.45">
      <c r="A2800" s="30">
        <v>2024</v>
      </c>
      <c r="B2800" s="30" t="s">
        <v>10</v>
      </c>
      <c r="C2800" s="30" t="s">
        <v>46</v>
      </c>
      <c r="D2800" s="30" t="s">
        <v>47</v>
      </c>
      <c r="E2800" s="32" t="s">
        <v>243</v>
      </c>
      <c r="F2800" s="32" t="s">
        <v>60</v>
      </c>
      <c r="G2800" s="32" t="s">
        <v>50</v>
      </c>
      <c r="H2800" s="33">
        <v>14590</v>
      </c>
      <c r="I2800" s="34">
        <f>Table3[[#This Row],[Volume, kg.]]/1000</f>
        <v>14.59</v>
      </c>
      <c r="J2800" s="34">
        <v>0.26150000000000001</v>
      </c>
      <c r="K2800" s="34">
        <f t="shared" si="86"/>
        <v>3815.2850000000003</v>
      </c>
      <c r="L2800" s="34">
        <v>3.72</v>
      </c>
      <c r="M2800" s="34">
        <v>54271.5</v>
      </c>
      <c r="N2800" s="34">
        <f t="shared" si="87"/>
        <v>14.225621414913958</v>
      </c>
    </row>
    <row r="2801" spans="1:14" x14ac:dyDescent="0.45">
      <c r="A2801" s="30">
        <v>2024</v>
      </c>
      <c r="B2801" s="30" t="s">
        <v>10</v>
      </c>
      <c r="C2801" s="30" t="s">
        <v>46</v>
      </c>
      <c r="D2801" s="30" t="s">
        <v>47</v>
      </c>
      <c r="E2801" s="32" t="s">
        <v>148</v>
      </c>
      <c r="F2801" s="32" t="s">
        <v>49</v>
      </c>
      <c r="G2801" s="32" t="s">
        <v>50</v>
      </c>
      <c r="H2801" s="33">
        <v>31530</v>
      </c>
      <c r="I2801" s="34">
        <f>Table3[[#This Row],[Volume, kg.]]/1000</f>
        <v>31.53</v>
      </c>
      <c r="J2801" s="34">
        <v>0.28639999999999999</v>
      </c>
      <c r="K2801" s="34">
        <f t="shared" si="86"/>
        <v>9030.1919999999991</v>
      </c>
      <c r="L2801" s="34">
        <v>3.83</v>
      </c>
      <c r="M2801" s="34">
        <v>120750.5</v>
      </c>
      <c r="N2801" s="34">
        <f t="shared" si="87"/>
        <v>13.372905027932962</v>
      </c>
    </row>
    <row r="2802" spans="1:14" x14ac:dyDescent="0.45">
      <c r="A2802" s="30">
        <v>2024</v>
      </c>
      <c r="B2802" s="30" t="s">
        <v>10</v>
      </c>
      <c r="C2802" s="30" t="s">
        <v>46</v>
      </c>
      <c r="D2802" s="30" t="s">
        <v>47</v>
      </c>
      <c r="E2802" s="32" t="s">
        <v>549</v>
      </c>
      <c r="F2802" s="32" t="s">
        <v>49</v>
      </c>
      <c r="G2802" s="32" t="s">
        <v>50</v>
      </c>
      <c r="H2802" s="33">
        <v>44430</v>
      </c>
      <c r="I2802" s="34">
        <f>Table3[[#This Row],[Volume, kg.]]/1000</f>
        <v>44.43</v>
      </c>
      <c r="J2802" s="34">
        <v>0.25800000000000001</v>
      </c>
      <c r="K2802" s="34">
        <f t="shared" si="86"/>
        <v>11462.94</v>
      </c>
      <c r="L2802" s="34">
        <v>3.75</v>
      </c>
      <c r="M2802" s="34">
        <v>166493.5</v>
      </c>
      <c r="N2802" s="34">
        <f t="shared" si="87"/>
        <v>14.534883720930232</v>
      </c>
    </row>
    <row r="2803" spans="1:14" x14ac:dyDescent="0.45">
      <c r="A2803" s="30">
        <v>2024</v>
      </c>
      <c r="B2803" s="30" t="s">
        <v>10</v>
      </c>
      <c r="C2803" s="30" t="s">
        <v>46</v>
      </c>
      <c r="D2803" s="30" t="s">
        <v>47</v>
      </c>
      <c r="E2803" s="32" t="s">
        <v>204</v>
      </c>
      <c r="F2803" s="32" t="s">
        <v>49</v>
      </c>
      <c r="G2803" s="32" t="s">
        <v>50</v>
      </c>
      <c r="H2803" s="33">
        <v>51310</v>
      </c>
      <c r="I2803" s="34">
        <f>Table3[[#This Row],[Volume, kg.]]/1000</f>
        <v>51.31</v>
      </c>
      <c r="J2803" s="34">
        <v>0.25600000000000001</v>
      </c>
      <c r="K2803" s="34">
        <f t="shared" si="86"/>
        <v>13135.36</v>
      </c>
      <c r="L2803" s="34">
        <v>3.66</v>
      </c>
      <c r="M2803" s="34">
        <v>187550.5</v>
      </c>
      <c r="N2803" s="34">
        <f t="shared" si="87"/>
        <v>14.296875</v>
      </c>
    </row>
    <row r="2804" spans="1:14" x14ac:dyDescent="0.45">
      <c r="A2804" s="30">
        <v>2024</v>
      </c>
      <c r="B2804" s="30" t="s">
        <v>10</v>
      </c>
      <c r="C2804" s="30" t="s">
        <v>46</v>
      </c>
      <c r="D2804" s="30" t="s">
        <v>47</v>
      </c>
      <c r="E2804" s="32" t="s">
        <v>403</v>
      </c>
      <c r="F2804" s="32" t="s">
        <v>60</v>
      </c>
      <c r="G2804" s="32" t="s">
        <v>50</v>
      </c>
      <c r="H2804" s="33">
        <v>27520</v>
      </c>
      <c r="I2804" s="34">
        <f>Table3[[#This Row],[Volume, kg.]]/1000</f>
        <v>27.52</v>
      </c>
      <c r="J2804" s="34">
        <v>0.25800000000000001</v>
      </c>
      <c r="K2804" s="34">
        <f t="shared" si="86"/>
        <v>7100.16</v>
      </c>
      <c r="L2804" s="34">
        <v>3.72</v>
      </c>
      <c r="M2804" s="34">
        <v>102332</v>
      </c>
      <c r="N2804" s="34">
        <f t="shared" si="87"/>
        <v>14.418604651162791</v>
      </c>
    </row>
    <row r="2805" spans="1:14" x14ac:dyDescent="0.45">
      <c r="A2805" s="30">
        <v>2024</v>
      </c>
      <c r="B2805" s="30" t="s">
        <v>10</v>
      </c>
      <c r="C2805" s="30" t="s">
        <v>46</v>
      </c>
      <c r="D2805" s="30" t="s">
        <v>47</v>
      </c>
      <c r="E2805" s="32" t="s">
        <v>154</v>
      </c>
      <c r="F2805" s="32" t="s">
        <v>60</v>
      </c>
      <c r="G2805" s="32" t="s">
        <v>50</v>
      </c>
      <c r="H2805" s="33">
        <v>6940</v>
      </c>
      <c r="I2805" s="34">
        <f>Table3[[#This Row],[Volume, kg.]]/1000</f>
        <v>6.94</v>
      </c>
      <c r="J2805" s="34">
        <v>0.254</v>
      </c>
      <c r="K2805" s="34">
        <f t="shared" si="86"/>
        <v>1762.76</v>
      </c>
      <c r="L2805" s="34">
        <v>3.6</v>
      </c>
      <c r="M2805" s="34">
        <v>24984</v>
      </c>
      <c r="N2805" s="34">
        <f t="shared" si="87"/>
        <v>14.173228346456693</v>
      </c>
    </row>
    <row r="2806" spans="1:14" x14ac:dyDescent="0.45">
      <c r="A2806" s="30">
        <v>2024</v>
      </c>
      <c r="B2806" s="30" t="s">
        <v>10</v>
      </c>
      <c r="C2806" s="30" t="s">
        <v>46</v>
      </c>
      <c r="D2806" s="30" t="s">
        <v>47</v>
      </c>
      <c r="E2806" s="32" t="s">
        <v>97</v>
      </c>
      <c r="F2806" s="32" t="s">
        <v>49</v>
      </c>
      <c r="G2806" s="32" t="s">
        <v>50</v>
      </c>
      <c r="H2806" s="33">
        <v>9420</v>
      </c>
      <c r="I2806" s="34">
        <f>Table3[[#This Row],[Volume, kg.]]/1000</f>
        <v>9.42</v>
      </c>
      <c r="J2806" s="34">
        <v>0.221</v>
      </c>
      <c r="K2806" s="34">
        <f t="shared" si="86"/>
        <v>2081.8200000000002</v>
      </c>
      <c r="L2806" s="34">
        <v>3.45</v>
      </c>
      <c r="M2806" s="34">
        <v>32499</v>
      </c>
      <c r="N2806" s="34">
        <f t="shared" si="87"/>
        <v>15.610859728506789</v>
      </c>
    </row>
    <row r="2807" spans="1:14" x14ac:dyDescent="0.45">
      <c r="A2807" s="30">
        <v>2024</v>
      </c>
      <c r="B2807" s="30" t="s">
        <v>10</v>
      </c>
      <c r="C2807" s="30" t="s">
        <v>46</v>
      </c>
      <c r="D2807" s="30" t="s">
        <v>47</v>
      </c>
      <c r="E2807" s="32" t="s">
        <v>355</v>
      </c>
      <c r="F2807" s="32" t="s">
        <v>60</v>
      </c>
      <c r="G2807" s="32" t="s">
        <v>50</v>
      </c>
      <c r="H2807" s="33">
        <v>51840</v>
      </c>
      <c r="I2807" s="34">
        <f>Table3[[#This Row],[Volume, kg.]]/1000</f>
        <v>51.84</v>
      </c>
      <c r="J2807" s="34">
        <v>0.23910000000000001</v>
      </c>
      <c r="K2807" s="34">
        <f t="shared" si="86"/>
        <v>12394.944</v>
      </c>
      <c r="L2807" s="34">
        <v>3.55</v>
      </c>
      <c r="M2807" s="34">
        <v>184075</v>
      </c>
      <c r="N2807" s="34">
        <f t="shared" si="87"/>
        <v>14.847344207444582</v>
      </c>
    </row>
    <row r="2808" spans="1:14" x14ac:dyDescent="0.45">
      <c r="A2808" s="30">
        <v>2024</v>
      </c>
      <c r="B2808" s="30" t="s">
        <v>10</v>
      </c>
      <c r="C2808" s="30" t="s">
        <v>46</v>
      </c>
      <c r="D2808" s="30" t="s">
        <v>47</v>
      </c>
      <c r="E2808" s="32" t="s">
        <v>305</v>
      </c>
      <c r="F2808" s="32" t="s">
        <v>64</v>
      </c>
      <c r="G2808" s="32" t="s">
        <v>50</v>
      </c>
      <c r="H2808" s="33">
        <v>37390</v>
      </c>
      <c r="I2808" s="34">
        <f>Table3[[#This Row],[Volume, kg.]]/1000</f>
        <v>37.39</v>
      </c>
      <c r="J2808" s="34">
        <v>0.26780000000000004</v>
      </c>
      <c r="K2808" s="34">
        <f t="shared" si="86"/>
        <v>10013.042000000001</v>
      </c>
      <c r="L2808" s="34">
        <v>3.71</v>
      </c>
      <c r="M2808" s="34">
        <v>138637</v>
      </c>
      <c r="N2808" s="34">
        <f t="shared" si="87"/>
        <v>13.853622106049288</v>
      </c>
    </row>
    <row r="2809" spans="1:14" x14ac:dyDescent="0.45">
      <c r="A2809" s="30">
        <v>2024</v>
      </c>
      <c r="B2809" s="30" t="s">
        <v>10</v>
      </c>
      <c r="C2809" s="30" t="s">
        <v>46</v>
      </c>
      <c r="D2809" s="30" t="s">
        <v>47</v>
      </c>
      <c r="E2809" s="32" t="s">
        <v>345</v>
      </c>
      <c r="F2809" s="32" t="s">
        <v>81</v>
      </c>
      <c r="G2809" s="32" t="s">
        <v>50</v>
      </c>
      <c r="H2809" s="33">
        <v>58150</v>
      </c>
      <c r="I2809" s="34">
        <f>Table3[[#This Row],[Volume, kg.]]/1000</f>
        <v>58.15</v>
      </c>
      <c r="J2809" s="34">
        <v>0.25559999999999999</v>
      </c>
      <c r="K2809" s="34">
        <f t="shared" si="86"/>
        <v>14863.14</v>
      </c>
      <c r="L2809" s="34">
        <v>3.65</v>
      </c>
      <c r="M2809" s="34">
        <v>212260.5</v>
      </c>
      <c r="N2809" s="34">
        <f t="shared" si="87"/>
        <v>14.280125195618153</v>
      </c>
    </row>
    <row r="2810" spans="1:14" x14ac:dyDescent="0.45">
      <c r="A2810" s="30">
        <v>2024</v>
      </c>
      <c r="B2810" s="30" t="s">
        <v>10</v>
      </c>
      <c r="C2810" s="30" t="s">
        <v>46</v>
      </c>
      <c r="D2810" s="30" t="s">
        <v>47</v>
      </c>
      <c r="E2810" s="32" t="s">
        <v>96</v>
      </c>
      <c r="F2810" s="32" t="s">
        <v>49</v>
      </c>
      <c r="G2810" s="32" t="s">
        <v>50</v>
      </c>
      <c r="H2810" s="33">
        <v>4010</v>
      </c>
      <c r="I2810" s="34">
        <f>Table3[[#This Row],[Volume, kg.]]/1000</f>
        <v>4.01</v>
      </c>
      <c r="J2810" s="34">
        <v>0.2432</v>
      </c>
      <c r="K2810" s="34">
        <f t="shared" si="86"/>
        <v>975.23199999999997</v>
      </c>
      <c r="L2810" s="34">
        <v>3.62</v>
      </c>
      <c r="M2810" s="34">
        <v>14524</v>
      </c>
      <c r="N2810" s="34">
        <f t="shared" si="87"/>
        <v>14.884868421052632</v>
      </c>
    </row>
    <row r="2811" spans="1:14" x14ac:dyDescent="0.45">
      <c r="A2811" s="30">
        <v>2024</v>
      </c>
      <c r="B2811" s="30" t="s">
        <v>10</v>
      </c>
      <c r="C2811" s="30" t="s">
        <v>46</v>
      </c>
      <c r="D2811" s="30" t="s">
        <v>47</v>
      </c>
      <c r="E2811" s="32" t="s">
        <v>143</v>
      </c>
      <c r="F2811" s="32" t="s">
        <v>49</v>
      </c>
      <c r="G2811" s="32" t="s">
        <v>50</v>
      </c>
      <c r="H2811" s="33">
        <v>9080</v>
      </c>
      <c r="I2811" s="34">
        <f>Table3[[#This Row],[Volume, kg.]]/1000</f>
        <v>9.08</v>
      </c>
      <c r="J2811" s="34">
        <v>0.23550000000000001</v>
      </c>
      <c r="K2811" s="34">
        <f t="shared" si="86"/>
        <v>2138.34</v>
      </c>
      <c r="L2811" s="34">
        <v>3.65</v>
      </c>
      <c r="M2811" s="34">
        <v>33142</v>
      </c>
      <c r="N2811" s="34">
        <f t="shared" si="87"/>
        <v>15.498938428874734</v>
      </c>
    </row>
    <row r="2812" spans="1:14" x14ac:dyDescent="0.45">
      <c r="A2812" s="30">
        <v>2024</v>
      </c>
      <c r="B2812" s="30" t="s">
        <v>10</v>
      </c>
      <c r="C2812" s="30" t="s">
        <v>46</v>
      </c>
      <c r="D2812" s="30" t="s">
        <v>47</v>
      </c>
      <c r="E2812" s="32" t="s">
        <v>369</v>
      </c>
      <c r="F2812" s="32" t="s">
        <v>57</v>
      </c>
      <c r="G2812" s="32" t="s">
        <v>50</v>
      </c>
      <c r="H2812" s="33">
        <v>13660</v>
      </c>
      <c r="I2812" s="34">
        <f>Table3[[#This Row],[Volume, kg.]]/1000</f>
        <v>13.66</v>
      </c>
      <c r="J2812" s="34">
        <v>0.28999999999999998</v>
      </c>
      <c r="K2812" s="34">
        <f t="shared" si="86"/>
        <v>3961.3999999999996</v>
      </c>
      <c r="L2812" s="34">
        <v>3.85</v>
      </c>
      <c r="M2812" s="34">
        <v>52591</v>
      </c>
      <c r="N2812" s="34">
        <f t="shared" si="87"/>
        <v>13.275862068965518</v>
      </c>
    </row>
    <row r="2813" spans="1:14" x14ac:dyDescent="0.45">
      <c r="A2813" s="30">
        <v>2024</v>
      </c>
      <c r="B2813" s="30" t="s">
        <v>10</v>
      </c>
      <c r="C2813" s="30" t="s">
        <v>46</v>
      </c>
      <c r="D2813" s="30" t="s">
        <v>102</v>
      </c>
      <c r="E2813" s="32" t="s">
        <v>250</v>
      </c>
      <c r="F2813" s="32" t="s">
        <v>49</v>
      </c>
      <c r="G2813" s="32" t="s">
        <v>50</v>
      </c>
      <c r="H2813" s="33">
        <v>592240</v>
      </c>
      <c r="I2813" s="34">
        <f>Table3[[#This Row],[Volume, kg.]]/1000</f>
        <v>592.24</v>
      </c>
      <c r="J2813" s="34">
        <v>0.25480000000000003</v>
      </c>
      <c r="K2813" s="34">
        <f t="shared" si="86"/>
        <v>150902.75200000001</v>
      </c>
      <c r="L2813" s="34">
        <v>3.65</v>
      </c>
      <c r="M2813" s="34">
        <v>2159383</v>
      </c>
      <c r="N2813" s="34">
        <f t="shared" si="87"/>
        <v>14.32496075353218</v>
      </c>
    </row>
    <row r="2814" spans="1:14" x14ac:dyDescent="0.45">
      <c r="A2814" s="30">
        <v>2024</v>
      </c>
      <c r="B2814" s="30" t="s">
        <v>10</v>
      </c>
      <c r="C2814" s="30" t="s">
        <v>46</v>
      </c>
      <c r="D2814" s="30" t="s">
        <v>47</v>
      </c>
      <c r="E2814" s="32" t="s">
        <v>94</v>
      </c>
      <c r="F2814" s="32" t="s">
        <v>64</v>
      </c>
      <c r="G2814" s="32" t="s">
        <v>50</v>
      </c>
      <c r="H2814" s="33">
        <v>18440</v>
      </c>
      <c r="I2814" s="34">
        <f>Table3[[#This Row],[Volume, kg.]]/1000</f>
        <v>18.440000000000001</v>
      </c>
      <c r="J2814" s="34">
        <v>0.26899999999999996</v>
      </c>
      <c r="K2814" s="34">
        <f t="shared" si="86"/>
        <v>4960.3599999999997</v>
      </c>
      <c r="L2814" s="34">
        <v>3.78</v>
      </c>
      <c r="M2814" s="34">
        <v>69704</v>
      </c>
      <c r="N2814" s="34">
        <f t="shared" si="87"/>
        <v>14.05204460966543</v>
      </c>
    </row>
    <row r="2815" spans="1:14" x14ac:dyDescent="0.45">
      <c r="A2815" s="30">
        <v>2024</v>
      </c>
      <c r="B2815" s="30" t="s">
        <v>10</v>
      </c>
      <c r="C2815" s="30" t="s">
        <v>46</v>
      </c>
      <c r="D2815" s="30" t="s">
        <v>47</v>
      </c>
      <c r="E2815" s="32" t="s">
        <v>155</v>
      </c>
      <c r="F2815" s="32" t="s">
        <v>64</v>
      </c>
      <c r="G2815" s="32" t="s">
        <v>50</v>
      </c>
      <c r="H2815" s="33">
        <v>14270</v>
      </c>
      <c r="I2815" s="34">
        <f>Table3[[#This Row],[Volume, kg.]]/1000</f>
        <v>14.27</v>
      </c>
      <c r="J2815" s="34">
        <v>0.24199999999999999</v>
      </c>
      <c r="K2815" s="34">
        <f t="shared" si="86"/>
        <v>3453.3399999999997</v>
      </c>
      <c r="L2815" s="34">
        <v>3.5</v>
      </c>
      <c r="M2815" s="34">
        <v>49945</v>
      </c>
      <c r="N2815" s="34">
        <f t="shared" si="87"/>
        <v>14.462809917355372</v>
      </c>
    </row>
    <row r="2816" spans="1:14" x14ac:dyDescent="0.45">
      <c r="A2816" s="30">
        <v>2024</v>
      </c>
      <c r="B2816" s="30" t="s">
        <v>10</v>
      </c>
      <c r="C2816" s="30" t="s">
        <v>46</v>
      </c>
      <c r="D2816" s="30" t="s">
        <v>47</v>
      </c>
      <c r="E2816" s="32" t="s">
        <v>441</v>
      </c>
      <c r="F2816" s="32" t="s">
        <v>64</v>
      </c>
      <c r="G2816" s="32" t="s">
        <v>50</v>
      </c>
      <c r="H2816" s="33">
        <v>13330</v>
      </c>
      <c r="I2816" s="34">
        <f>Table3[[#This Row],[Volume, kg.]]/1000</f>
        <v>13.33</v>
      </c>
      <c r="J2816" s="34">
        <v>0.22149999999999997</v>
      </c>
      <c r="K2816" s="34">
        <f t="shared" si="86"/>
        <v>2952.5949999999998</v>
      </c>
      <c r="L2816" s="34">
        <v>3.5</v>
      </c>
      <c r="M2816" s="34">
        <v>46655</v>
      </c>
      <c r="N2816" s="34">
        <f t="shared" si="87"/>
        <v>15.80135440180587</v>
      </c>
    </row>
    <row r="2817" spans="1:14" x14ac:dyDescent="0.45">
      <c r="A2817" s="30">
        <v>2024</v>
      </c>
      <c r="B2817" s="30" t="s">
        <v>10</v>
      </c>
      <c r="C2817" s="30" t="s">
        <v>46</v>
      </c>
      <c r="D2817" s="30" t="s">
        <v>47</v>
      </c>
      <c r="E2817" s="32" t="s">
        <v>285</v>
      </c>
      <c r="F2817" s="32" t="s">
        <v>49</v>
      </c>
      <c r="G2817" s="32" t="s">
        <v>50</v>
      </c>
      <c r="H2817" s="33">
        <v>8700</v>
      </c>
      <c r="I2817" s="34">
        <f>Table3[[#This Row],[Volume, kg.]]/1000</f>
        <v>8.6999999999999993</v>
      </c>
      <c r="J2817" s="34">
        <v>0.2495</v>
      </c>
      <c r="K2817" s="34">
        <f t="shared" si="86"/>
        <v>2170.65</v>
      </c>
      <c r="L2817" s="34">
        <v>3.65</v>
      </c>
      <c r="M2817" s="34">
        <v>31755</v>
      </c>
      <c r="N2817" s="34">
        <f t="shared" si="87"/>
        <v>14.629258517034067</v>
      </c>
    </row>
    <row r="2818" spans="1:14" x14ac:dyDescent="0.45">
      <c r="A2818" s="30">
        <v>2024</v>
      </c>
      <c r="B2818" s="30" t="s">
        <v>10</v>
      </c>
      <c r="C2818" s="30" t="s">
        <v>46</v>
      </c>
      <c r="D2818" s="30" t="s">
        <v>47</v>
      </c>
      <c r="E2818" s="32" t="s">
        <v>254</v>
      </c>
      <c r="F2818" s="32" t="s">
        <v>49</v>
      </c>
      <c r="G2818" s="32" t="s">
        <v>50</v>
      </c>
      <c r="H2818" s="33">
        <v>7460</v>
      </c>
      <c r="I2818" s="34">
        <f>Table3[[#This Row],[Volume, kg.]]/1000</f>
        <v>7.46</v>
      </c>
      <c r="J2818" s="34">
        <v>0.2261</v>
      </c>
      <c r="K2818" s="34">
        <f t="shared" si="86"/>
        <v>1686.7059999999999</v>
      </c>
      <c r="L2818" s="34">
        <v>3.54</v>
      </c>
      <c r="M2818" s="34">
        <v>26375.5</v>
      </c>
      <c r="N2818" s="34">
        <f t="shared" si="87"/>
        <v>15.656789031402035</v>
      </c>
    </row>
    <row r="2819" spans="1:14" x14ac:dyDescent="0.45">
      <c r="A2819" s="30">
        <v>2024</v>
      </c>
      <c r="B2819" s="30" t="s">
        <v>10</v>
      </c>
      <c r="C2819" s="30" t="s">
        <v>46</v>
      </c>
      <c r="D2819" s="30" t="s">
        <v>47</v>
      </c>
      <c r="E2819" s="32" t="s">
        <v>430</v>
      </c>
      <c r="F2819" s="32" t="s">
        <v>49</v>
      </c>
      <c r="G2819" s="32" t="s">
        <v>50</v>
      </c>
      <c r="H2819" s="33">
        <v>20370</v>
      </c>
      <c r="I2819" s="34">
        <f>Table3[[#This Row],[Volume, kg.]]/1000</f>
        <v>20.37</v>
      </c>
      <c r="J2819" s="34">
        <v>0.24199999999999999</v>
      </c>
      <c r="K2819" s="34">
        <f t="shared" ref="K2819:K2882" si="88">H2819*J2819</f>
        <v>4929.54</v>
      </c>
      <c r="L2819" s="34">
        <v>3.5</v>
      </c>
      <c r="M2819" s="34">
        <v>71295</v>
      </c>
      <c r="N2819" s="34">
        <f t="shared" si="87"/>
        <v>14.462809917355372</v>
      </c>
    </row>
    <row r="2820" spans="1:14" x14ac:dyDescent="0.45">
      <c r="A2820" s="30">
        <v>2024</v>
      </c>
      <c r="B2820" s="30" t="s">
        <v>10</v>
      </c>
      <c r="C2820" s="30" t="s">
        <v>46</v>
      </c>
      <c r="D2820" s="30" t="s">
        <v>47</v>
      </c>
      <c r="E2820" s="32" t="s">
        <v>314</v>
      </c>
      <c r="F2820" s="32" t="s">
        <v>57</v>
      </c>
      <c r="G2820" s="32" t="s">
        <v>50</v>
      </c>
      <c r="H2820" s="33">
        <v>133830</v>
      </c>
      <c r="I2820" s="34">
        <f>Table3[[#This Row],[Volume, kg.]]/1000</f>
        <v>133.83000000000001</v>
      </c>
      <c r="J2820" s="34">
        <v>0.23870000000000002</v>
      </c>
      <c r="K2820" s="34">
        <f t="shared" si="88"/>
        <v>31945.221000000001</v>
      </c>
      <c r="L2820" s="34">
        <v>3.58</v>
      </c>
      <c r="M2820" s="34">
        <v>479397.5</v>
      </c>
      <c r="N2820" s="34">
        <f t="shared" ref="N2820:N2883" si="89">L2820/J2820</f>
        <v>14.997905320485964</v>
      </c>
    </row>
    <row r="2821" spans="1:14" x14ac:dyDescent="0.45">
      <c r="A2821" s="30">
        <v>2024</v>
      </c>
      <c r="B2821" s="30" t="s">
        <v>10</v>
      </c>
      <c r="C2821" s="30" t="s">
        <v>46</v>
      </c>
      <c r="D2821" s="30" t="s">
        <v>47</v>
      </c>
      <c r="E2821" s="32" t="s">
        <v>215</v>
      </c>
      <c r="F2821" s="32" t="s">
        <v>57</v>
      </c>
      <c r="G2821" s="32" t="s">
        <v>50</v>
      </c>
      <c r="H2821" s="33">
        <v>11140</v>
      </c>
      <c r="I2821" s="34">
        <f>Table3[[#This Row],[Volume, kg.]]/1000</f>
        <v>11.14</v>
      </c>
      <c r="J2821" s="34">
        <v>0.24609999999999999</v>
      </c>
      <c r="K2821" s="34">
        <f t="shared" si="88"/>
        <v>2741.5539999999996</v>
      </c>
      <c r="L2821" s="34">
        <v>3.63</v>
      </c>
      <c r="M2821" s="34">
        <v>40475</v>
      </c>
      <c r="N2821" s="34">
        <f t="shared" si="89"/>
        <v>14.750101584721659</v>
      </c>
    </row>
    <row r="2822" spans="1:14" x14ac:dyDescent="0.45">
      <c r="A2822" s="30">
        <v>2024</v>
      </c>
      <c r="B2822" s="30" t="s">
        <v>10</v>
      </c>
      <c r="C2822" s="30" t="s">
        <v>46</v>
      </c>
      <c r="D2822" s="30" t="s">
        <v>47</v>
      </c>
      <c r="E2822" s="32" t="s">
        <v>315</v>
      </c>
      <c r="F2822" s="32" t="s">
        <v>134</v>
      </c>
      <c r="G2822" s="32" t="s">
        <v>50</v>
      </c>
      <c r="H2822" s="33">
        <v>312820</v>
      </c>
      <c r="I2822" s="34">
        <f>Table3[[#This Row],[Volume, kg.]]/1000</f>
        <v>312.82</v>
      </c>
      <c r="J2822" s="34">
        <v>0.2631</v>
      </c>
      <c r="K2822" s="34">
        <f t="shared" si="88"/>
        <v>82302.941999999995</v>
      </c>
      <c r="L2822" s="34">
        <v>3.73</v>
      </c>
      <c r="M2822" s="34">
        <v>1166954.5</v>
      </c>
      <c r="N2822" s="34">
        <f t="shared" si="89"/>
        <v>14.177118966172557</v>
      </c>
    </row>
    <row r="2823" spans="1:14" x14ac:dyDescent="0.45">
      <c r="A2823" s="30">
        <v>2024</v>
      </c>
      <c r="B2823" s="30" t="s">
        <v>10</v>
      </c>
      <c r="C2823" s="30" t="s">
        <v>46</v>
      </c>
      <c r="D2823" s="30" t="s">
        <v>47</v>
      </c>
      <c r="E2823" s="32" t="s">
        <v>509</v>
      </c>
      <c r="F2823" s="32" t="s">
        <v>49</v>
      </c>
      <c r="G2823" s="32" t="s">
        <v>50</v>
      </c>
      <c r="H2823" s="33">
        <v>16270</v>
      </c>
      <c r="I2823" s="34">
        <f>Table3[[#This Row],[Volume, kg.]]/1000</f>
        <v>16.27</v>
      </c>
      <c r="J2823" s="34">
        <v>0.20980000000000001</v>
      </c>
      <c r="K2823" s="34">
        <f t="shared" si="88"/>
        <v>3413.4460000000004</v>
      </c>
      <c r="L2823" s="34">
        <v>3.46</v>
      </c>
      <c r="M2823" s="34">
        <v>56294.5</v>
      </c>
      <c r="N2823" s="34">
        <f t="shared" si="89"/>
        <v>16.491897044804574</v>
      </c>
    </row>
    <row r="2824" spans="1:14" x14ac:dyDescent="0.45">
      <c r="A2824" s="30">
        <v>2024</v>
      </c>
      <c r="B2824" s="30" t="s">
        <v>10</v>
      </c>
      <c r="C2824" s="30" t="s">
        <v>46</v>
      </c>
      <c r="D2824" s="30" t="s">
        <v>47</v>
      </c>
      <c r="E2824" s="32" t="s">
        <v>66</v>
      </c>
      <c r="F2824" s="32" t="s">
        <v>49</v>
      </c>
      <c r="G2824" s="32" t="s">
        <v>50</v>
      </c>
      <c r="H2824" s="33">
        <v>9580</v>
      </c>
      <c r="I2824" s="34">
        <f>Table3[[#This Row],[Volume, kg.]]/1000</f>
        <v>9.58</v>
      </c>
      <c r="J2824" s="34">
        <v>0.23350000000000001</v>
      </c>
      <c r="K2824" s="34">
        <f t="shared" si="88"/>
        <v>2236.9300000000003</v>
      </c>
      <c r="L2824" s="34">
        <v>3.5</v>
      </c>
      <c r="M2824" s="34">
        <v>33530</v>
      </c>
      <c r="N2824" s="34">
        <f t="shared" si="89"/>
        <v>14.989293361884368</v>
      </c>
    </row>
    <row r="2825" spans="1:14" x14ac:dyDescent="0.45">
      <c r="A2825" s="30">
        <v>2024</v>
      </c>
      <c r="B2825" s="30" t="s">
        <v>10</v>
      </c>
      <c r="C2825" s="30" t="s">
        <v>46</v>
      </c>
      <c r="D2825" s="30" t="s">
        <v>47</v>
      </c>
      <c r="E2825" s="32" t="s">
        <v>159</v>
      </c>
      <c r="F2825" s="32" t="s">
        <v>81</v>
      </c>
      <c r="G2825" s="32" t="s">
        <v>50</v>
      </c>
      <c r="H2825" s="33">
        <v>159890</v>
      </c>
      <c r="I2825" s="34">
        <f>Table3[[#This Row],[Volume, kg.]]/1000</f>
        <v>159.88999999999999</v>
      </c>
      <c r="J2825" s="34">
        <v>0.25209999999999999</v>
      </c>
      <c r="K2825" s="34">
        <f t="shared" si="88"/>
        <v>40308.269</v>
      </c>
      <c r="L2825" s="34">
        <v>3.64</v>
      </c>
      <c r="M2825" s="34">
        <v>582388.5</v>
      </c>
      <c r="N2825" s="34">
        <f t="shared" si="89"/>
        <v>14.438714795715986</v>
      </c>
    </row>
    <row r="2826" spans="1:14" x14ac:dyDescent="0.45">
      <c r="A2826" s="30">
        <v>2024</v>
      </c>
      <c r="B2826" s="30" t="s">
        <v>10</v>
      </c>
      <c r="C2826" s="30" t="s">
        <v>46</v>
      </c>
      <c r="D2826" s="30" t="s">
        <v>47</v>
      </c>
      <c r="E2826" s="32" t="s">
        <v>207</v>
      </c>
      <c r="F2826" s="32" t="s">
        <v>64</v>
      </c>
      <c r="G2826" s="32" t="s">
        <v>50</v>
      </c>
      <c r="H2826" s="33">
        <v>58180</v>
      </c>
      <c r="I2826" s="34">
        <f>Table3[[#This Row],[Volume, kg.]]/1000</f>
        <v>58.18</v>
      </c>
      <c r="J2826" s="34">
        <v>0.25319999999999998</v>
      </c>
      <c r="K2826" s="34">
        <f t="shared" si="88"/>
        <v>14731.175999999999</v>
      </c>
      <c r="L2826" s="34">
        <v>3.67</v>
      </c>
      <c r="M2826" s="34">
        <v>213245.5</v>
      </c>
      <c r="N2826" s="34">
        <f t="shared" si="89"/>
        <v>14.494470774091628</v>
      </c>
    </row>
    <row r="2827" spans="1:14" x14ac:dyDescent="0.45">
      <c r="A2827" s="30">
        <v>2024</v>
      </c>
      <c r="B2827" s="30" t="s">
        <v>10</v>
      </c>
      <c r="C2827" s="30" t="s">
        <v>46</v>
      </c>
      <c r="D2827" s="30" t="s">
        <v>47</v>
      </c>
      <c r="E2827" s="32" t="s">
        <v>101</v>
      </c>
      <c r="F2827" s="32" t="s">
        <v>64</v>
      </c>
      <c r="G2827" s="32" t="s">
        <v>50</v>
      </c>
      <c r="H2827" s="33">
        <v>18010</v>
      </c>
      <c r="I2827" s="34">
        <f>Table3[[#This Row],[Volume, kg.]]/1000</f>
        <v>18.010000000000002</v>
      </c>
      <c r="J2827" s="34">
        <v>0.21350000000000002</v>
      </c>
      <c r="K2827" s="34">
        <f t="shared" si="88"/>
        <v>3845.1350000000002</v>
      </c>
      <c r="L2827" s="34">
        <v>3.43</v>
      </c>
      <c r="M2827" s="34">
        <v>61811</v>
      </c>
      <c r="N2827" s="34">
        <f t="shared" si="89"/>
        <v>16.065573770491802</v>
      </c>
    </row>
    <row r="2828" spans="1:14" x14ac:dyDescent="0.45">
      <c r="A2828" s="30">
        <v>2024</v>
      </c>
      <c r="B2828" s="30" t="s">
        <v>10</v>
      </c>
      <c r="C2828" s="30" t="s">
        <v>46</v>
      </c>
      <c r="D2828" s="30" t="s">
        <v>47</v>
      </c>
      <c r="E2828" s="32" t="s">
        <v>146</v>
      </c>
      <c r="F2828" s="32" t="s">
        <v>64</v>
      </c>
      <c r="G2828" s="32" t="s">
        <v>50</v>
      </c>
      <c r="H2828" s="33">
        <v>54940</v>
      </c>
      <c r="I2828" s="34">
        <f>Table3[[#This Row],[Volume, kg.]]/1000</f>
        <v>54.94</v>
      </c>
      <c r="J2828" s="34">
        <v>0.25480000000000003</v>
      </c>
      <c r="K2828" s="34">
        <f t="shared" si="88"/>
        <v>13998.712000000001</v>
      </c>
      <c r="L2828" s="34">
        <v>3.63</v>
      </c>
      <c r="M2828" s="34">
        <v>199325.5</v>
      </c>
      <c r="N2828" s="34">
        <f t="shared" si="89"/>
        <v>14.246467817896388</v>
      </c>
    </row>
    <row r="2829" spans="1:14" x14ac:dyDescent="0.45">
      <c r="A2829" s="30">
        <v>2024</v>
      </c>
      <c r="B2829" s="30" t="s">
        <v>10</v>
      </c>
      <c r="C2829" s="30" t="s">
        <v>46</v>
      </c>
      <c r="D2829" s="30" t="s">
        <v>47</v>
      </c>
      <c r="E2829" s="32" t="s">
        <v>347</v>
      </c>
      <c r="F2829" s="32" t="s">
        <v>49</v>
      </c>
      <c r="G2829" s="32" t="s">
        <v>50</v>
      </c>
      <c r="H2829" s="33">
        <v>18130</v>
      </c>
      <c r="I2829" s="34">
        <f>Table3[[#This Row],[Volume, kg.]]/1000</f>
        <v>18.13</v>
      </c>
      <c r="J2829" s="34">
        <v>0.28050000000000003</v>
      </c>
      <c r="K2829" s="34">
        <f t="shared" si="88"/>
        <v>5085.4650000000001</v>
      </c>
      <c r="L2829" s="34">
        <v>3.82</v>
      </c>
      <c r="M2829" s="34">
        <v>69198</v>
      </c>
      <c r="N2829" s="34">
        <f t="shared" si="89"/>
        <v>13.618538324420676</v>
      </c>
    </row>
    <row r="2830" spans="1:14" x14ac:dyDescent="0.45">
      <c r="A2830" s="30">
        <v>2024</v>
      </c>
      <c r="B2830" s="30" t="s">
        <v>10</v>
      </c>
      <c r="C2830" s="30" t="s">
        <v>46</v>
      </c>
      <c r="D2830" s="30" t="s">
        <v>47</v>
      </c>
      <c r="E2830" s="32" t="s">
        <v>309</v>
      </c>
      <c r="F2830" s="32" t="s">
        <v>81</v>
      </c>
      <c r="G2830" s="32" t="s">
        <v>50</v>
      </c>
      <c r="H2830" s="33">
        <v>43010</v>
      </c>
      <c r="I2830" s="34">
        <f>Table3[[#This Row],[Volume, kg.]]/1000</f>
        <v>43.01</v>
      </c>
      <c r="J2830" s="34">
        <v>0.248</v>
      </c>
      <c r="K2830" s="34">
        <f t="shared" si="88"/>
        <v>10666.48</v>
      </c>
      <c r="L2830" s="34">
        <v>3.67</v>
      </c>
      <c r="M2830" s="34">
        <v>157692.5</v>
      </c>
      <c r="N2830" s="34">
        <f t="shared" si="89"/>
        <v>14.798387096774194</v>
      </c>
    </row>
    <row r="2831" spans="1:14" x14ac:dyDescent="0.45">
      <c r="A2831" s="30">
        <v>2024</v>
      </c>
      <c r="B2831" s="30" t="s">
        <v>10</v>
      </c>
      <c r="C2831" s="30" t="s">
        <v>46</v>
      </c>
      <c r="D2831" s="30" t="s">
        <v>47</v>
      </c>
      <c r="E2831" s="32" t="s">
        <v>510</v>
      </c>
      <c r="F2831" s="32" t="s">
        <v>49</v>
      </c>
      <c r="G2831" s="32" t="s">
        <v>50</v>
      </c>
      <c r="H2831" s="33">
        <v>15710</v>
      </c>
      <c r="I2831" s="34">
        <f>Table3[[#This Row],[Volume, kg.]]/1000</f>
        <v>15.71</v>
      </c>
      <c r="J2831" s="34">
        <v>0.26950000000000002</v>
      </c>
      <c r="K2831" s="34">
        <f t="shared" si="88"/>
        <v>4233.8450000000003</v>
      </c>
      <c r="L2831" s="34">
        <v>3.73</v>
      </c>
      <c r="M2831" s="34">
        <v>58652.5</v>
      </c>
      <c r="N2831" s="34">
        <f t="shared" si="89"/>
        <v>13.840445269016696</v>
      </c>
    </row>
    <row r="2832" spans="1:14" x14ac:dyDescent="0.45">
      <c r="A2832" s="30">
        <v>2024</v>
      </c>
      <c r="B2832" s="30" t="s">
        <v>10</v>
      </c>
      <c r="C2832" s="30" t="s">
        <v>46</v>
      </c>
      <c r="D2832" s="30" t="s">
        <v>47</v>
      </c>
      <c r="E2832" s="32" t="s">
        <v>91</v>
      </c>
      <c r="F2832" s="32" t="s">
        <v>60</v>
      </c>
      <c r="G2832" s="32" t="s">
        <v>50</v>
      </c>
      <c r="H2832" s="33">
        <v>29140</v>
      </c>
      <c r="I2832" s="34">
        <f>Table3[[#This Row],[Volume, kg.]]/1000</f>
        <v>29.14</v>
      </c>
      <c r="J2832" s="34">
        <v>0.26919999999999999</v>
      </c>
      <c r="K2832" s="34">
        <f t="shared" si="88"/>
        <v>7844.4880000000003</v>
      </c>
      <c r="L2832" s="34">
        <v>3.78</v>
      </c>
      <c r="M2832" s="34">
        <v>110096.5</v>
      </c>
      <c r="N2832" s="34">
        <f t="shared" si="89"/>
        <v>14.041604754829123</v>
      </c>
    </row>
    <row r="2833" spans="1:14" x14ac:dyDescent="0.45">
      <c r="A2833" s="30">
        <v>2024</v>
      </c>
      <c r="B2833" s="30" t="s">
        <v>10</v>
      </c>
      <c r="C2833" s="30" t="s">
        <v>46</v>
      </c>
      <c r="D2833" s="30" t="s">
        <v>47</v>
      </c>
      <c r="E2833" s="32" t="s">
        <v>53</v>
      </c>
      <c r="F2833" s="32" t="s">
        <v>54</v>
      </c>
      <c r="G2833" s="32" t="s">
        <v>50</v>
      </c>
      <c r="H2833" s="33">
        <v>238830</v>
      </c>
      <c r="I2833" s="34">
        <f>Table3[[#This Row],[Volume, kg.]]/1000</f>
        <v>238.83</v>
      </c>
      <c r="J2833" s="34">
        <v>0.26910000000000001</v>
      </c>
      <c r="K2833" s="34">
        <f t="shared" si="88"/>
        <v>64269.152999999998</v>
      </c>
      <c r="L2833" s="34">
        <v>3.74</v>
      </c>
      <c r="M2833" s="34">
        <v>894023.5</v>
      </c>
      <c r="N2833" s="34">
        <f t="shared" si="89"/>
        <v>13.89817911557042</v>
      </c>
    </row>
    <row r="2834" spans="1:14" x14ac:dyDescent="0.45">
      <c r="A2834" s="30">
        <v>2024</v>
      </c>
      <c r="B2834" s="30" t="s">
        <v>10</v>
      </c>
      <c r="C2834" s="30" t="s">
        <v>46</v>
      </c>
      <c r="D2834" s="30" t="s">
        <v>47</v>
      </c>
      <c r="E2834" s="32" t="s">
        <v>151</v>
      </c>
      <c r="F2834" s="32" t="s">
        <v>60</v>
      </c>
      <c r="G2834" s="32" t="s">
        <v>50</v>
      </c>
      <c r="H2834" s="33">
        <v>48880</v>
      </c>
      <c r="I2834" s="34">
        <f>Table3[[#This Row],[Volume, kg.]]/1000</f>
        <v>48.88</v>
      </c>
      <c r="J2834" s="34">
        <v>0.2717</v>
      </c>
      <c r="K2834" s="34">
        <f t="shared" si="88"/>
        <v>13280.696</v>
      </c>
      <c r="L2834" s="34">
        <v>3.77</v>
      </c>
      <c r="M2834" s="34">
        <v>184040.5</v>
      </c>
      <c r="N2834" s="34">
        <f t="shared" si="89"/>
        <v>13.875598086124402</v>
      </c>
    </row>
    <row r="2835" spans="1:14" x14ac:dyDescent="0.45">
      <c r="A2835" s="30">
        <v>2024</v>
      </c>
      <c r="B2835" s="30" t="s">
        <v>10</v>
      </c>
      <c r="C2835" s="30" t="s">
        <v>46</v>
      </c>
      <c r="D2835" s="30" t="s">
        <v>47</v>
      </c>
      <c r="E2835" s="32" t="s">
        <v>130</v>
      </c>
      <c r="F2835" s="32" t="s">
        <v>64</v>
      </c>
      <c r="G2835" s="32" t="s">
        <v>50</v>
      </c>
      <c r="H2835" s="33">
        <v>58400</v>
      </c>
      <c r="I2835" s="34">
        <f>Table3[[#This Row],[Volume, kg.]]/1000</f>
        <v>58.4</v>
      </c>
      <c r="J2835" s="34">
        <v>0.23079999999999998</v>
      </c>
      <c r="K2835" s="34">
        <f t="shared" si="88"/>
        <v>13478.72</v>
      </c>
      <c r="L2835" s="34">
        <v>3.52</v>
      </c>
      <c r="M2835" s="34">
        <v>205573</v>
      </c>
      <c r="N2835" s="34">
        <f t="shared" si="89"/>
        <v>15.251299826689776</v>
      </c>
    </row>
    <row r="2836" spans="1:14" x14ac:dyDescent="0.45">
      <c r="A2836" s="30">
        <v>2024</v>
      </c>
      <c r="B2836" s="30" t="s">
        <v>10</v>
      </c>
      <c r="C2836" s="30" t="s">
        <v>46</v>
      </c>
      <c r="D2836" s="30" t="s">
        <v>47</v>
      </c>
      <c r="E2836" s="32" t="s">
        <v>408</v>
      </c>
      <c r="F2836" s="32" t="s">
        <v>238</v>
      </c>
      <c r="G2836" s="32" t="s">
        <v>50</v>
      </c>
      <c r="H2836" s="33">
        <v>101820</v>
      </c>
      <c r="I2836" s="34">
        <f>Table3[[#This Row],[Volume, kg.]]/1000</f>
        <v>101.82</v>
      </c>
      <c r="J2836" s="34">
        <v>0.25180000000000002</v>
      </c>
      <c r="K2836" s="34">
        <f t="shared" si="88"/>
        <v>25638.276000000002</v>
      </c>
      <c r="L2836" s="34">
        <v>3.64</v>
      </c>
      <c r="M2836" s="34">
        <v>371041.5</v>
      </c>
      <c r="N2836" s="34">
        <f t="shared" si="89"/>
        <v>14.455917394757744</v>
      </c>
    </row>
    <row r="2837" spans="1:14" x14ac:dyDescent="0.45">
      <c r="A2837" s="30">
        <v>2024</v>
      </c>
      <c r="B2837" s="30" t="s">
        <v>10</v>
      </c>
      <c r="C2837" s="30" t="s">
        <v>46</v>
      </c>
      <c r="D2837" s="30" t="s">
        <v>47</v>
      </c>
      <c r="E2837" s="32" t="s">
        <v>184</v>
      </c>
      <c r="F2837" s="32" t="s">
        <v>57</v>
      </c>
      <c r="G2837" s="32" t="s">
        <v>50</v>
      </c>
      <c r="H2837" s="33">
        <v>44670</v>
      </c>
      <c r="I2837" s="34">
        <f>Table3[[#This Row],[Volume, kg.]]/1000</f>
        <v>44.67</v>
      </c>
      <c r="J2837" s="34">
        <v>0.23199999999999998</v>
      </c>
      <c r="K2837" s="34">
        <f t="shared" si="88"/>
        <v>10363.439999999999</v>
      </c>
      <c r="L2837" s="34">
        <v>3.53</v>
      </c>
      <c r="M2837" s="34">
        <v>157885.5</v>
      </c>
      <c r="N2837" s="34">
        <f t="shared" si="89"/>
        <v>15.215517241379311</v>
      </c>
    </row>
    <row r="2838" spans="1:14" x14ac:dyDescent="0.45">
      <c r="A2838" s="30">
        <v>2024</v>
      </c>
      <c r="B2838" s="30" t="s">
        <v>10</v>
      </c>
      <c r="C2838" s="30" t="s">
        <v>46</v>
      </c>
      <c r="D2838" s="30" t="s">
        <v>47</v>
      </c>
      <c r="E2838" s="32" t="s">
        <v>422</v>
      </c>
      <c r="F2838" s="32" t="s">
        <v>134</v>
      </c>
      <c r="G2838" s="32" t="s">
        <v>50</v>
      </c>
      <c r="H2838" s="33">
        <v>134680</v>
      </c>
      <c r="I2838" s="34">
        <f>Table3[[#This Row],[Volume, kg.]]/1000</f>
        <v>134.68</v>
      </c>
      <c r="J2838" s="34">
        <v>0.24460000000000001</v>
      </c>
      <c r="K2838" s="34">
        <f t="shared" si="88"/>
        <v>32942.728000000003</v>
      </c>
      <c r="L2838" s="34">
        <v>3.61</v>
      </c>
      <c r="M2838" s="34">
        <v>486302</v>
      </c>
      <c r="N2838" s="34">
        <f t="shared" si="89"/>
        <v>14.758789860997545</v>
      </c>
    </row>
    <row r="2839" spans="1:14" x14ac:dyDescent="0.45">
      <c r="A2839" s="30">
        <v>2024</v>
      </c>
      <c r="B2839" s="30" t="s">
        <v>10</v>
      </c>
      <c r="C2839" s="30" t="s">
        <v>46</v>
      </c>
      <c r="D2839" s="30" t="s">
        <v>47</v>
      </c>
      <c r="E2839" s="32" t="s">
        <v>257</v>
      </c>
      <c r="F2839" s="32" t="s">
        <v>64</v>
      </c>
      <c r="G2839" s="32" t="s">
        <v>50</v>
      </c>
      <c r="H2839" s="33">
        <v>417920</v>
      </c>
      <c r="I2839" s="34">
        <f>Table3[[#This Row],[Volume, kg.]]/1000</f>
        <v>417.92</v>
      </c>
      <c r="J2839" s="34">
        <v>0.25780000000000003</v>
      </c>
      <c r="K2839" s="34">
        <f t="shared" si="88"/>
        <v>107739.77600000001</v>
      </c>
      <c r="L2839" s="34">
        <v>3.73</v>
      </c>
      <c r="M2839" s="34">
        <v>1558680.5</v>
      </c>
      <c r="N2839" s="34">
        <f t="shared" si="89"/>
        <v>14.468580294802171</v>
      </c>
    </row>
    <row r="2840" spans="1:14" x14ac:dyDescent="0.45">
      <c r="A2840" s="30">
        <v>2024</v>
      </c>
      <c r="B2840" s="30" t="s">
        <v>10</v>
      </c>
      <c r="C2840" s="30" t="s">
        <v>46</v>
      </c>
      <c r="D2840" s="30" t="s">
        <v>47</v>
      </c>
      <c r="E2840" s="32" t="s">
        <v>351</v>
      </c>
      <c r="F2840" s="32" t="s">
        <v>49</v>
      </c>
      <c r="G2840" s="32" t="s">
        <v>50</v>
      </c>
      <c r="H2840" s="33">
        <v>10530</v>
      </c>
      <c r="I2840" s="34">
        <f>Table3[[#This Row],[Volume, kg.]]/1000</f>
        <v>10.53</v>
      </c>
      <c r="J2840" s="34">
        <v>0.27</v>
      </c>
      <c r="K2840" s="34">
        <f t="shared" si="88"/>
        <v>2843.1000000000004</v>
      </c>
      <c r="L2840" s="34">
        <v>3.75</v>
      </c>
      <c r="M2840" s="34">
        <v>39487.5</v>
      </c>
      <c r="N2840" s="34">
        <f t="shared" si="89"/>
        <v>13.888888888888888</v>
      </c>
    </row>
    <row r="2841" spans="1:14" x14ac:dyDescent="0.45">
      <c r="A2841" s="30">
        <v>2024</v>
      </c>
      <c r="B2841" s="30" t="s">
        <v>10</v>
      </c>
      <c r="C2841" s="30" t="s">
        <v>46</v>
      </c>
      <c r="D2841" s="30" t="s">
        <v>47</v>
      </c>
      <c r="E2841" s="32" t="s">
        <v>133</v>
      </c>
      <c r="F2841" s="32" t="s">
        <v>134</v>
      </c>
      <c r="G2841" s="32" t="s">
        <v>50</v>
      </c>
      <c r="H2841" s="33">
        <v>303340</v>
      </c>
      <c r="I2841" s="34">
        <f>Table3[[#This Row],[Volume, kg.]]/1000</f>
        <v>303.33999999999997</v>
      </c>
      <c r="J2841" s="34">
        <v>0.25640000000000002</v>
      </c>
      <c r="K2841" s="34">
        <f t="shared" si="88"/>
        <v>77776.376000000004</v>
      </c>
      <c r="L2841" s="34">
        <v>3.69</v>
      </c>
      <c r="M2841" s="34">
        <v>1120123.5</v>
      </c>
      <c r="N2841" s="34">
        <f t="shared" si="89"/>
        <v>14.39157566302652</v>
      </c>
    </row>
    <row r="2842" spans="1:14" x14ac:dyDescent="0.45">
      <c r="A2842" s="30">
        <v>2024</v>
      </c>
      <c r="B2842" s="30" t="s">
        <v>10</v>
      </c>
      <c r="C2842" s="30" t="s">
        <v>46</v>
      </c>
      <c r="D2842" s="30" t="s">
        <v>47</v>
      </c>
      <c r="E2842" s="32" t="s">
        <v>252</v>
      </c>
      <c r="F2842" s="32" t="s">
        <v>49</v>
      </c>
      <c r="G2842" s="32" t="s">
        <v>50</v>
      </c>
      <c r="H2842" s="33">
        <v>4590</v>
      </c>
      <c r="I2842" s="34">
        <f>Table3[[#This Row],[Volume, kg.]]/1000</f>
        <v>4.59</v>
      </c>
      <c r="J2842" s="34">
        <v>0.2535</v>
      </c>
      <c r="K2842" s="34">
        <f t="shared" si="88"/>
        <v>1163.5650000000001</v>
      </c>
      <c r="L2842" s="34">
        <v>3.6</v>
      </c>
      <c r="M2842" s="34">
        <v>16524</v>
      </c>
      <c r="N2842" s="34">
        <f t="shared" si="89"/>
        <v>14.201183431952662</v>
      </c>
    </row>
    <row r="2843" spans="1:14" x14ac:dyDescent="0.45">
      <c r="A2843" s="30">
        <v>2024</v>
      </c>
      <c r="B2843" s="30" t="s">
        <v>10</v>
      </c>
      <c r="C2843" s="30" t="s">
        <v>46</v>
      </c>
      <c r="D2843" s="30" t="s">
        <v>47</v>
      </c>
      <c r="E2843" s="32" t="s">
        <v>95</v>
      </c>
      <c r="F2843" s="32" t="s">
        <v>49</v>
      </c>
      <c r="G2843" s="32" t="s">
        <v>50</v>
      </c>
      <c r="H2843" s="33">
        <v>28880</v>
      </c>
      <c r="I2843" s="34">
        <f>Table3[[#This Row],[Volume, kg.]]/1000</f>
        <v>28.88</v>
      </c>
      <c r="J2843" s="34">
        <v>0.26440000000000002</v>
      </c>
      <c r="K2843" s="34">
        <f t="shared" si="88"/>
        <v>7635.8720000000003</v>
      </c>
      <c r="L2843" s="34">
        <v>3.74</v>
      </c>
      <c r="M2843" s="34">
        <v>107887.5</v>
      </c>
      <c r="N2843" s="34">
        <f t="shared" si="89"/>
        <v>14.145234493192133</v>
      </c>
    </row>
    <row r="2844" spans="1:14" x14ac:dyDescent="0.45">
      <c r="A2844" s="30">
        <v>2024</v>
      </c>
      <c r="B2844" s="30" t="s">
        <v>10</v>
      </c>
      <c r="C2844" s="30" t="s">
        <v>46</v>
      </c>
      <c r="D2844" s="30" t="s">
        <v>47</v>
      </c>
      <c r="E2844" s="32" t="s">
        <v>439</v>
      </c>
      <c r="F2844" s="32" t="s">
        <v>64</v>
      </c>
      <c r="G2844" s="32" t="s">
        <v>50</v>
      </c>
      <c r="H2844" s="33">
        <v>13740</v>
      </c>
      <c r="I2844" s="34">
        <f>Table3[[#This Row],[Volume, kg.]]/1000</f>
        <v>13.74</v>
      </c>
      <c r="J2844" s="34">
        <v>0.27750000000000002</v>
      </c>
      <c r="K2844" s="34">
        <f t="shared" si="88"/>
        <v>3812.8500000000004</v>
      </c>
      <c r="L2844" s="34">
        <v>3.85</v>
      </c>
      <c r="M2844" s="34">
        <v>52899</v>
      </c>
      <c r="N2844" s="34">
        <f t="shared" si="89"/>
        <v>13.873873873873872</v>
      </c>
    </row>
    <row r="2845" spans="1:14" x14ac:dyDescent="0.45">
      <c r="A2845" s="30">
        <v>2024</v>
      </c>
      <c r="B2845" s="30" t="s">
        <v>10</v>
      </c>
      <c r="C2845" s="30" t="s">
        <v>46</v>
      </c>
      <c r="D2845" s="30" t="s">
        <v>47</v>
      </c>
      <c r="E2845" s="32" t="s">
        <v>370</v>
      </c>
      <c r="F2845" s="32" t="s">
        <v>223</v>
      </c>
      <c r="G2845" s="32" t="s">
        <v>50</v>
      </c>
      <c r="H2845" s="33">
        <v>60480</v>
      </c>
      <c r="I2845" s="34">
        <f>Table3[[#This Row],[Volume, kg.]]/1000</f>
        <v>60.48</v>
      </c>
      <c r="J2845" s="34">
        <v>0.24979999999999999</v>
      </c>
      <c r="K2845" s="34">
        <f t="shared" si="88"/>
        <v>15107.904</v>
      </c>
      <c r="L2845" s="34">
        <v>3.7</v>
      </c>
      <c r="M2845" s="34">
        <v>223720</v>
      </c>
      <c r="N2845" s="34">
        <f t="shared" si="89"/>
        <v>14.811849479583667</v>
      </c>
    </row>
    <row r="2846" spans="1:14" x14ac:dyDescent="0.45">
      <c r="A2846" s="30">
        <v>2024</v>
      </c>
      <c r="B2846" s="30" t="s">
        <v>10</v>
      </c>
      <c r="C2846" s="30" t="s">
        <v>46</v>
      </c>
      <c r="D2846" s="30" t="s">
        <v>102</v>
      </c>
      <c r="E2846" s="32" t="s">
        <v>437</v>
      </c>
      <c r="F2846" s="32" t="s">
        <v>49</v>
      </c>
      <c r="G2846" s="32" t="s">
        <v>50</v>
      </c>
      <c r="H2846" s="33">
        <v>652370</v>
      </c>
      <c r="I2846" s="34">
        <f>Table3[[#This Row],[Volume, kg.]]/1000</f>
        <v>652.37</v>
      </c>
      <c r="J2846" s="34">
        <v>0.25409999999999999</v>
      </c>
      <c r="K2846" s="34">
        <f t="shared" si="88"/>
        <v>165767.217</v>
      </c>
      <c r="L2846" s="34">
        <v>3.65</v>
      </c>
      <c r="M2846" s="34">
        <v>2382899</v>
      </c>
      <c r="N2846" s="34">
        <f t="shared" si="89"/>
        <v>14.364423455332547</v>
      </c>
    </row>
    <row r="2847" spans="1:14" x14ac:dyDescent="0.45">
      <c r="A2847" s="30">
        <v>2024</v>
      </c>
      <c r="B2847" s="30" t="s">
        <v>10</v>
      </c>
      <c r="C2847" s="30" t="s">
        <v>46</v>
      </c>
      <c r="D2847" s="30" t="s">
        <v>47</v>
      </c>
      <c r="E2847" s="32" t="s">
        <v>413</v>
      </c>
      <c r="F2847" s="32" t="s">
        <v>49</v>
      </c>
      <c r="G2847" s="32" t="s">
        <v>50</v>
      </c>
      <c r="H2847" s="33">
        <v>24400</v>
      </c>
      <c r="I2847" s="34">
        <f>Table3[[#This Row],[Volume, kg.]]/1000</f>
        <v>24.4</v>
      </c>
      <c r="J2847" s="34">
        <v>0.27100000000000002</v>
      </c>
      <c r="K2847" s="34">
        <f t="shared" si="88"/>
        <v>6612.4000000000005</v>
      </c>
      <c r="L2847" s="34">
        <v>3.77</v>
      </c>
      <c r="M2847" s="34">
        <v>91978</v>
      </c>
      <c r="N2847" s="34">
        <f t="shared" si="89"/>
        <v>13.911439114391143</v>
      </c>
    </row>
    <row r="2848" spans="1:14" x14ac:dyDescent="0.45">
      <c r="A2848" s="30">
        <v>2024</v>
      </c>
      <c r="B2848" s="30" t="s">
        <v>10</v>
      </c>
      <c r="C2848" s="30" t="s">
        <v>46</v>
      </c>
      <c r="D2848" s="30" t="s">
        <v>47</v>
      </c>
      <c r="E2848" s="32" t="s">
        <v>455</v>
      </c>
      <c r="F2848" s="32" t="s">
        <v>456</v>
      </c>
      <c r="G2848" s="32" t="s">
        <v>341</v>
      </c>
      <c r="H2848" s="33">
        <v>2443400</v>
      </c>
      <c r="I2848" s="34">
        <f>Table3[[#This Row],[Volume, kg.]]/1000</f>
        <v>2443.4</v>
      </c>
      <c r="J2848" s="34">
        <v>0.253</v>
      </c>
      <c r="K2848" s="34">
        <f t="shared" si="88"/>
        <v>618180.19999999995</v>
      </c>
      <c r="L2848" s="34">
        <v>3.75</v>
      </c>
      <c r="M2848" s="34">
        <v>9152243.5</v>
      </c>
      <c r="N2848" s="34">
        <f t="shared" si="89"/>
        <v>14.822134387351779</v>
      </c>
    </row>
    <row r="2849" spans="1:14" x14ac:dyDescent="0.45">
      <c r="A2849" s="30">
        <v>2024</v>
      </c>
      <c r="B2849" s="30" t="s">
        <v>10</v>
      </c>
      <c r="C2849" s="30" t="s">
        <v>46</v>
      </c>
      <c r="D2849" s="30" t="s">
        <v>47</v>
      </c>
      <c r="E2849" s="32" t="s">
        <v>452</v>
      </c>
      <c r="F2849" s="32" t="s">
        <v>134</v>
      </c>
      <c r="G2849" s="32" t="s">
        <v>50</v>
      </c>
      <c r="H2849" s="33">
        <v>344950</v>
      </c>
      <c r="I2849" s="34">
        <f>Table3[[#This Row],[Volume, kg.]]/1000</f>
        <v>344.95</v>
      </c>
      <c r="J2849" s="34">
        <v>0.25850000000000001</v>
      </c>
      <c r="K2849" s="34">
        <f t="shared" si="88"/>
        <v>89169.574999999997</v>
      </c>
      <c r="L2849" s="34">
        <v>3.7</v>
      </c>
      <c r="M2849" s="34">
        <v>1276532.5</v>
      </c>
      <c r="N2849" s="34">
        <f t="shared" si="89"/>
        <v>14.313346228239846</v>
      </c>
    </row>
    <row r="2850" spans="1:14" x14ac:dyDescent="0.45">
      <c r="A2850" s="30">
        <v>2024</v>
      </c>
      <c r="B2850" s="30" t="s">
        <v>10</v>
      </c>
      <c r="C2850" s="30" t="s">
        <v>46</v>
      </c>
      <c r="D2850" s="30" t="s">
        <v>47</v>
      </c>
      <c r="E2850" s="32" t="s">
        <v>483</v>
      </c>
      <c r="F2850" s="32" t="s">
        <v>238</v>
      </c>
      <c r="G2850" s="32" t="s">
        <v>50</v>
      </c>
      <c r="H2850" s="33">
        <v>31210</v>
      </c>
      <c r="I2850" s="34">
        <f>Table3[[#This Row],[Volume, kg.]]/1000</f>
        <v>31.21</v>
      </c>
      <c r="J2850" s="34">
        <v>0.25850000000000001</v>
      </c>
      <c r="K2850" s="34">
        <f t="shared" si="88"/>
        <v>8067.7849999999999</v>
      </c>
      <c r="L2850" s="34">
        <v>3.72</v>
      </c>
      <c r="M2850" s="34">
        <v>116249.5</v>
      </c>
      <c r="N2850" s="34">
        <f t="shared" si="89"/>
        <v>14.390715667311412</v>
      </c>
    </row>
    <row r="2851" spans="1:14" x14ac:dyDescent="0.45">
      <c r="A2851" s="30">
        <v>2024</v>
      </c>
      <c r="B2851" s="30" t="s">
        <v>10</v>
      </c>
      <c r="C2851" s="30" t="s">
        <v>46</v>
      </c>
      <c r="D2851" s="30" t="s">
        <v>47</v>
      </c>
      <c r="E2851" s="32" t="s">
        <v>488</v>
      </c>
      <c r="F2851" s="32" t="s">
        <v>57</v>
      </c>
      <c r="G2851" s="32" t="s">
        <v>50</v>
      </c>
      <c r="H2851" s="33">
        <v>11340</v>
      </c>
      <c r="I2851" s="34">
        <f>Table3[[#This Row],[Volume, kg.]]/1000</f>
        <v>11.34</v>
      </c>
      <c r="J2851" s="34">
        <v>0.24</v>
      </c>
      <c r="K2851" s="34">
        <f t="shared" si="88"/>
        <v>2721.6</v>
      </c>
      <c r="L2851" s="34">
        <v>3.55</v>
      </c>
      <c r="M2851" s="34">
        <v>40257</v>
      </c>
      <c r="N2851" s="34">
        <f t="shared" si="89"/>
        <v>14.791666666666666</v>
      </c>
    </row>
    <row r="2852" spans="1:14" x14ac:dyDescent="0.45">
      <c r="A2852" s="30">
        <v>2024</v>
      </c>
      <c r="B2852" s="30" t="s">
        <v>10</v>
      </c>
      <c r="C2852" s="30" t="s">
        <v>46</v>
      </c>
      <c r="D2852" s="30" t="s">
        <v>47</v>
      </c>
      <c r="E2852" s="32" t="s">
        <v>489</v>
      </c>
      <c r="F2852" s="32" t="s">
        <v>81</v>
      </c>
      <c r="G2852" s="32" t="s">
        <v>50</v>
      </c>
      <c r="H2852" s="33">
        <v>10040</v>
      </c>
      <c r="I2852" s="34">
        <f>Table3[[#This Row],[Volume, kg.]]/1000</f>
        <v>10.039999999999999</v>
      </c>
      <c r="J2852" s="34">
        <v>0.2586</v>
      </c>
      <c r="K2852" s="34">
        <f t="shared" si="88"/>
        <v>2596.3440000000001</v>
      </c>
      <c r="L2852" s="34">
        <v>3.69</v>
      </c>
      <c r="M2852" s="34">
        <v>37070</v>
      </c>
      <c r="N2852" s="34">
        <f t="shared" si="89"/>
        <v>14.269141531322505</v>
      </c>
    </row>
    <row r="2853" spans="1:14" x14ac:dyDescent="0.45">
      <c r="A2853" s="30">
        <v>2024</v>
      </c>
      <c r="B2853" s="30" t="s">
        <v>10</v>
      </c>
      <c r="C2853" s="30" t="s">
        <v>46</v>
      </c>
      <c r="D2853" s="30" t="s">
        <v>47</v>
      </c>
      <c r="E2853" s="32" t="s">
        <v>491</v>
      </c>
      <c r="F2853" s="32" t="s">
        <v>81</v>
      </c>
      <c r="G2853" s="32" t="s">
        <v>50</v>
      </c>
      <c r="H2853" s="33">
        <v>34060</v>
      </c>
      <c r="I2853" s="34">
        <f>Table3[[#This Row],[Volume, kg.]]/1000</f>
        <v>34.06</v>
      </c>
      <c r="J2853" s="34">
        <v>0.26500000000000001</v>
      </c>
      <c r="K2853" s="34">
        <f t="shared" si="88"/>
        <v>9025.9</v>
      </c>
      <c r="L2853" s="34">
        <v>3.73</v>
      </c>
      <c r="M2853" s="34">
        <v>127082</v>
      </c>
      <c r="N2853" s="34">
        <f t="shared" si="89"/>
        <v>14.075471698113207</v>
      </c>
    </row>
    <row r="2854" spans="1:14" x14ac:dyDescent="0.45">
      <c r="A2854" s="30">
        <v>2024</v>
      </c>
      <c r="B2854" s="30" t="s">
        <v>10</v>
      </c>
      <c r="C2854" s="30" t="s">
        <v>46</v>
      </c>
      <c r="D2854" s="30" t="s">
        <v>47</v>
      </c>
      <c r="E2854" s="32" t="s">
        <v>539</v>
      </c>
      <c r="F2854" s="32" t="s">
        <v>57</v>
      </c>
      <c r="G2854" s="32" t="s">
        <v>50</v>
      </c>
      <c r="H2854" s="33">
        <v>14220</v>
      </c>
      <c r="I2854" s="34">
        <f>Table3[[#This Row],[Volume, kg.]]/1000</f>
        <v>14.22</v>
      </c>
      <c r="J2854" s="34">
        <v>0.22219999999999998</v>
      </c>
      <c r="K2854" s="34">
        <f t="shared" si="88"/>
        <v>3159.6839999999997</v>
      </c>
      <c r="L2854" s="34">
        <v>3.45</v>
      </c>
      <c r="M2854" s="34">
        <v>49087</v>
      </c>
      <c r="N2854" s="34">
        <f t="shared" si="89"/>
        <v>15.52655265526553</v>
      </c>
    </row>
    <row r="2855" spans="1:14" x14ac:dyDescent="0.45">
      <c r="A2855" s="30">
        <v>2024</v>
      </c>
      <c r="B2855" s="30" t="s">
        <v>10</v>
      </c>
      <c r="C2855" s="30" t="s">
        <v>46</v>
      </c>
      <c r="D2855" s="30" t="s">
        <v>47</v>
      </c>
      <c r="E2855" s="32" t="s">
        <v>553</v>
      </c>
      <c r="F2855" s="32" t="s">
        <v>238</v>
      </c>
      <c r="G2855" s="32" t="s">
        <v>50</v>
      </c>
      <c r="H2855" s="33">
        <v>93300</v>
      </c>
      <c r="I2855" s="34">
        <f>Table3[[#This Row],[Volume, kg.]]/1000</f>
        <v>93.3</v>
      </c>
      <c r="J2855" s="34">
        <v>0.2545</v>
      </c>
      <c r="K2855" s="34">
        <f t="shared" si="88"/>
        <v>23744.850000000002</v>
      </c>
      <c r="L2855" s="34">
        <v>3.67</v>
      </c>
      <c r="M2855" s="34">
        <v>342863</v>
      </c>
      <c r="N2855" s="34">
        <f t="shared" si="89"/>
        <v>14.420432220039292</v>
      </c>
    </row>
    <row r="2856" spans="1:14" x14ac:dyDescent="0.45">
      <c r="A2856" s="30">
        <v>2024</v>
      </c>
      <c r="B2856" s="30" t="s">
        <v>10</v>
      </c>
      <c r="C2856" s="30" t="s">
        <v>46</v>
      </c>
      <c r="D2856" s="30" t="s">
        <v>47</v>
      </c>
      <c r="E2856" s="32" t="s">
        <v>586</v>
      </c>
      <c r="F2856" s="32" t="s">
        <v>64</v>
      </c>
      <c r="G2856" s="32" t="s">
        <v>50</v>
      </c>
      <c r="H2856" s="33">
        <v>37780</v>
      </c>
      <c r="I2856" s="34">
        <f>Table3[[#This Row],[Volume, kg.]]/1000</f>
        <v>37.78</v>
      </c>
      <c r="J2856" s="34">
        <v>0.24329999999999999</v>
      </c>
      <c r="K2856" s="34">
        <f t="shared" si="88"/>
        <v>9191.8739999999998</v>
      </c>
      <c r="L2856" s="34">
        <v>3.57</v>
      </c>
      <c r="M2856" s="34">
        <v>134962.5</v>
      </c>
      <c r="N2856" s="34">
        <f t="shared" si="89"/>
        <v>14.673242909987669</v>
      </c>
    </row>
    <row r="2857" spans="1:14" x14ac:dyDescent="0.45">
      <c r="A2857" s="30">
        <v>2024</v>
      </c>
      <c r="B2857" s="30" t="s">
        <v>10</v>
      </c>
      <c r="C2857" s="30" t="s">
        <v>46</v>
      </c>
      <c r="D2857" s="30" t="s">
        <v>47</v>
      </c>
      <c r="E2857" s="32" t="s">
        <v>587</v>
      </c>
      <c r="F2857" s="32" t="s">
        <v>223</v>
      </c>
      <c r="G2857" s="32" t="s">
        <v>50</v>
      </c>
      <c r="H2857" s="33">
        <v>380050</v>
      </c>
      <c r="I2857" s="34">
        <f>Table3[[#This Row],[Volume, kg.]]/1000</f>
        <v>380.05</v>
      </c>
      <c r="J2857" s="34">
        <v>0.2606</v>
      </c>
      <c r="K2857" s="34">
        <f t="shared" si="88"/>
        <v>99041.03</v>
      </c>
      <c r="L2857" s="34">
        <v>3.77</v>
      </c>
      <c r="M2857" s="34">
        <v>1433286</v>
      </c>
      <c r="N2857" s="34">
        <f t="shared" si="89"/>
        <v>14.466615502686109</v>
      </c>
    </row>
    <row r="2858" spans="1:14" x14ac:dyDescent="0.45">
      <c r="A2858" s="30">
        <v>2024</v>
      </c>
      <c r="B2858" s="30" t="s">
        <v>10</v>
      </c>
      <c r="C2858" s="30" t="s">
        <v>46</v>
      </c>
      <c r="D2858" s="30" t="s">
        <v>47</v>
      </c>
      <c r="E2858" s="32" t="s">
        <v>591</v>
      </c>
      <c r="F2858" s="32" t="s">
        <v>223</v>
      </c>
      <c r="G2858" s="32" t="s">
        <v>50</v>
      </c>
      <c r="H2858" s="33">
        <v>132160</v>
      </c>
      <c r="I2858" s="34">
        <f>Table3[[#This Row],[Volume, kg.]]/1000</f>
        <v>132.16</v>
      </c>
      <c r="J2858" s="34">
        <v>0.27550000000000002</v>
      </c>
      <c r="K2858" s="34">
        <f t="shared" si="88"/>
        <v>36410.080000000002</v>
      </c>
      <c r="L2858" s="34">
        <v>3.78</v>
      </c>
      <c r="M2858" s="34">
        <v>500216.5</v>
      </c>
      <c r="N2858" s="34">
        <f t="shared" si="89"/>
        <v>13.720508166969145</v>
      </c>
    </row>
    <row r="2859" spans="1:14" x14ac:dyDescent="0.45">
      <c r="A2859" s="30">
        <v>2024</v>
      </c>
      <c r="B2859" s="30" t="s">
        <v>10</v>
      </c>
      <c r="C2859" s="30" t="s">
        <v>46</v>
      </c>
      <c r="D2859" s="30" t="s">
        <v>47</v>
      </c>
      <c r="E2859" s="32" t="s">
        <v>592</v>
      </c>
      <c r="F2859" s="32" t="s">
        <v>223</v>
      </c>
      <c r="G2859" s="32" t="s">
        <v>50</v>
      </c>
      <c r="H2859" s="33">
        <v>289670</v>
      </c>
      <c r="I2859" s="34">
        <f>Table3[[#This Row],[Volume, kg.]]/1000</f>
        <v>289.67</v>
      </c>
      <c r="J2859" s="34">
        <v>0.2571</v>
      </c>
      <c r="K2859" s="34">
        <f t="shared" si="88"/>
        <v>74474.156999999992</v>
      </c>
      <c r="L2859" s="34">
        <v>3.76</v>
      </c>
      <c r="M2859" s="34">
        <v>1089414.5</v>
      </c>
      <c r="N2859" s="34">
        <f t="shared" si="89"/>
        <v>14.624659665499806</v>
      </c>
    </row>
    <row r="2860" spans="1:14" x14ac:dyDescent="0.45">
      <c r="A2860" s="30">
        <v>2024</v>
      </c>
      <c r="B2860" s="30" t="s">
        <v>10</v>
      </c>
      <c r="C2860" s="30" t="s">
        <v>46</v>
      </c>
      <c r="D2860" s="30" t="s">
        <v>47</v>
      </c>
      <c r="E2860" s="32" t="s">
        <v>593</v>
      </c>
      <c r="F2860" s="32" t="s">
        <v>49</v>
      </c>
      <c r="G2860" s="32" t="s">
        <v>50</v>
      </c>
      <c r="H2860" s="33">
        <v>60470</v>
      </c>
      <c r="I2860" s="34">
        <f>Table3[[#This Row],[Volume, kg.]]/1000</f>
        <v>60.47</v>
      </c>
      <c r="J2860" s="34">
        <v>0.27110000000000001</v>
      </c>
      <c r="K2860" s="34">
        <f t="shared" si="88"/>
        <v>16393.417000000001</v>
      </c>
      <c r="L2860" s="34">
        <v>3.74</v>
      </c>
      <c r="M2860" s="34">
        <v>226035</v>
      </c>
      <c r="N2860" s="34">
        <f t="shared" si="89"/>
        <v>13.795647362596828</v>
      </c>
    </row>
    <row r="2861" spans="1:14" x14ac:dyDescent="0.45">
      <c r="A2861" s="30">
        <v>2024</v>
      </c>
      <c r="B2861" s="30" t="s">
        <v>10</v>
      </c>
      <c r="C2861" s="30" t="s">
        <v>46</v>
      </c>
      <c r="D2861" s="30" t="s">
        <v>47</v>
      </c>
      <c r="E2861" s="32" t="s">
        <v>612</v>
      </c>
      <c r="F2861" s="32" t="s">
        <v>57</v>
      </c>
      <c r="G2861" s="32" t="s">
        <v>50</v>
      </c>
      <c r="H2861" s="33">
        <v>247950</v>
      </c>
      <c r="I2861" s="34">
        <f>Table3[[#This Row],[Volume, kg.]]/1000</f>
        <v>247.95</v>
      </c>
      <c r="J2861" s="34">
        <v>0.25840000000000002</v>
      </c>
      <c r="K2861" s="34">
        <f t="shared" si="88"/>
        <v>64070.280000000006</v>
      </c>
      <c r="L2861" s="34">
        <v>3.7</v>
      </c>
      <c r="M2861" s="34">
        <v>918073</v>
      </c>
      <c r="N2861" s="34">
        <f t="shared" si="89"/>
        <v>14.318885448916408</v>
      </c>
    </row>
    <row r="2862" spans="1:14" x14ac:dyDescent="0.45">
      <c r="A2862" s="30">
        <v>2024</v>
      </c>
      <c r="B2862" s="30" t="s">
        <v>10</v>
      </c>
      <c r="C2862" s="30" t="s">
        <v>46</v>
      </c>
      <c r="D2862" s="30" t="s">
        <v>47</v>
      </c>
      <c r="E2862" s="32" t="s">
        <v>594</v>
      </c>
      <c r="F2862" s="32" t="s">
        <v>223</v>
      </c>
      <c r="G2862" s="32" t="s">
        <v>50</v>
      </c>
      <c r="H2862" s="33">
        <v>108230</v>
      </c>
      <c r="I2862" s="34">
        <f>Table3[[#This Row],[Volume, kg.]]/1000</f>
        <v>108.23</v>
      </c>
      <c r="J2862" s="34">
        <v>0.29270000000000002</v>
      </c>
      <c r="K2862" s="34">
        <f t="shared" si="88"/>
        <v>31678.921000000002</v>
      </c>
      <c r="L2862" s="34">
        <v>3.86</v>
      </c>
      <c r="M2862" s="34">
        <v>417929</v>
      </c>
      <c r="N2862" s="34">
        <f t="shared" si="89"/>
        <v>13.187564058763238</v>
      </c>
    </row>
    <row r="2863" spans="1:14" x14ac:dyDescent="0.45">
      <c r="A2863" s="30">
        <v>2024</v>
      </c>
      <c r="B2863" s="30" t="s">
        <v>10</v>
      </c>
      <c r="C2863" s="30" t="s">
        <v>46</v>
      </c>
      <c r="D2863" s="30" t="s">
        <v>47</v>
      </c>
      <c r="E2863" s="32" t="s">
        <v>595</v>
      </c>
      <c r="F2863" s="32" t="s">
        <v>64</v>
      </c>
      <c r="G2863" s="32" t="s">
        <v>50</v>
      </c>
      <c r="H2863" s="33">
        <v>35050</v>
      </c>
      <c r="I2863" s="34">
        <f>Table3[[#This Row],[Volume, kg.]]/1000</f>
        <v>35.049999999999997</v>
      </c>
      <c r="J2863" s="34">
        <v>0.21460000000000001</v>
      </c>
      <c r="K2863" s="34">
        <f t="shared" si="88"/>
        <v>7521.7300000000005</v>
      </c>
      <c r="L2863" s="34">
        <v>3.45</v>
      </c>
      <c r="M2863" s="34">
        <v>120875.5</v>
      </c>
      <c r="N2863" s="34">
        <f t="shared" si="89"/>
        <v>16.076421248835043</v>
      </c>
    </row>
    <row r="2864" spans="1:14" x14ac:dyDescent="0.45">
      <c r="A2864" s="30">
        <v>2024</v>
      </c>
      <c r="B2864" s="30" t="s">
        <v>10</v>
      </c>
      <c r="C2864" s="30" t="s">
        <v>46</v>
      </c>
      <c r="D2864" s="30" t="s">
        <v>47</v>
      </c>
      <c r="E2864" s="32" t="s">
        <v>604</v>
      </c>
      <c r="F2864" s="32" t="s">
        <v>134</v>
      </c>
      <c r="G2864" s="32" t="s">
        <v>50</v>
      </c>
      <c r="H2864" s="33">
        <v>18890</v>
      </c>
      <c r="I2864" s="34">
        <f>Table3[[#This Row],[Volume, kg.]]/1000</f>
        <v>18.89</v>
      </c>
      <c r="J2864" s="34">
        <v>0.24729999999999999</v>
      </c>
      <c r="K2864" s="34">
        <f t="shared" si="88"/>
        <v>4671.4970000000003</v>
      </c>
      <c r="L2864" s="34">
        <v>3.66</v>
      </c>
      <c r="M2864" s="34">
        <v>69198.5</v>
      </c>
      <c r="N2864" s="34">
        <f t="shared" si="89"/>
        <v>14.799838253133846</v>
      </c>
    </row>
    <row r="2865" spans="1:14" x14ac:dyDescent="0.45">
      <c r="A2865" s="30">
        <v>2024</v>
      </c>
      <c r="B2865" s="30" t="s">
        <v>10</v>
      </c>
      <c r="C2865" s="30" t="s">
        <v>46</v>
      </c>
      <c r="D2865" s="30" t="s">
        <v>47</v>
      </c>
      <c r="E2865" s="32" t="s">
        <v>606</v>
      </c>
      <c r="F2865" s="32" t="s">
        <v>49</v>
      </c>
      <c r="G2865" s="32" t="s">
        <v>50</v>
      </c>
      <c r="H2865" s="33">
        <v>34130</v>
      </c>
      <c r="I2865" s="34">
        <f>Table3[[#This Row],[Volume, kg.]]/1000</f>
        <v>34.130000000000003</v>
      </c>
      <c r="J2865" s="34">
        <v>0.26530000000000004</v>
      </c>
      <c r="K2865" s="34">
        <f t="shared" si="88"/>
        <v>9054.6890000000021</v>
      </c>
      <c r="L2865" s="34">
        <v>3.75</v>
      </c>
      <c r="M2865" s="34">
        <v>127957.5</v>
      </c>
      <c r="N2865" s="34">
        <f t="shared" si="89"/>
        <v>14.134941575574819</v>
      </c>
    </row>
    <row r="2866" spans="1:14" x14ac:dyDescent="0.45">
      <c r="A2866" s="30">
        <v>2024</v>
      </c>
      <c r="B2866" s="30" t="s">
        <v>10</v>
      </c>
      <c r="C2866" s="30" t="s">
        <v>46</v>
      </c>
      <c r="D2866" s="30" t="s">
        <v>47</v>
      </c>
      <c r="E2866" s="32" t="s">
        <v>613</v>
      </c>
      <c r="F2866" s="32" t="s">
        <v>134</v>
      </c>
      <c r="G2866" s="32" t="s">
        <v>50</v>
      </c>
      <c r="H2866" s="33">
        <v>227590</v>
      </c>
      <c r="I2866" s="34">
        <f>Table3[[#This Row],[Volume, kg.]]/1000</f>
        <v>227.59</v>
      </c>
      <c r="J2866" s="34">
        <v>0.2611</v>
      </c>
      <c r="K2866" s="34">
        <f t="shared" si="88"/>
        <v>59423.748999999996</v>
      </c>
      <c r="L2866" s="34">
        <v>3.7</v>
      </c>
      <c r="M2866" s="34">
        <v>842697.5</v>
      </c>
      <c r="N2866" s="34">
        <f t="shared" si="89"/>
        <v>14.170815779394868</v>
      </c>
    </row>
    <row r="2867" spans="1:14" x14ac:dyDescent="0.45">
      <c r="A2867" s="30">
        <v>2024</v>
      </c>
      <c r="B2867" s="30" t="s">
        <v>10</v>
      </c>
      <c r="C2867" s="30" t="s">
        <v>46</v>
      </c>
      <c r="D2867" s="30" t="s">
        <v>47</v>
      </c>
      <c r="E2867" s="32" t="s">
        <v>607</v>
      </c>
      <c r="F2867" s="32" t="s">
        <v>81</v>
      </c>
      <c r="G2867" s="32" t="s">
        <v>50</v>
      </c>
      <c r="H2867" s="33">
        <v>33610</v>
      </c>
      <c r="I2867" s="34">
        <f>Table3[[#This Row],[Volume, kg.]]/1000</f>
        <v>33.61</v>
      </c>
      <c r="J2867" s="34">
        <v>0.29380000000000001</v>
      </c>
      <c r="K2867" s="34">
        <f t="shared" si="88"/>
        <v>9874.6180000000004</v>
      </c>
      <c r="L2867" s="34">
        <v>3.91</v>
      </c>
      <c r="M2867" s="34">
        <v>131482</v>
      </c>
      <c r="N2867" s="34">
        <f t="shared" si="89"/>
        <v>13.308373042886318</v>
      </c>
    </row>
    <row r="2868" spans="1:14" x14ac:dyDescent="0.45">
      <c r="A2868" s="30">
        <v>2024</v>
      </c>
      <c r="B2868" s="30" t="s">
        <v>10</v>
      </c>
      <c r="C2868" s="30" t="s">
        <v>46</v>
      </c>
      <c r="D2868" s="30" t="s">
        <v>47</v>
      </c>
      <c r="E2868" s="32" t="s">
        <v>614</v>
      </c>
      <c r="F2868" s="32" t="s">
        <v>223</v>
      </c>
      <c r="G2868" s="32" t="s">
        <v>50</v>
      </c>
      <c r="H2868" s="33">
        <v>39060</v>
      </c>
      <c r="I2868" s="34">
        <f>Table3[[#This Row],[Volume, kg.]]/1000</f>
        <v>39.06</v>
      </c>
      <c r="J2868" s="34">
        <v>0.31370000000000003</v>
      </c>
      <c r="K2868" s="34">
        <f t="shared" si="88"/>
        <v>12253.122000000001</v>
      </c>
      <c r="L2868" s="34">
        <v>3.96</v>
      </c>
      <c r="M2868" s="34">
        <v>154766</v>
      </c>
      <c r="N2868" s="34">
        <f t="shared" si="89"/>
        <v>12.623525661459992</v>
      </c>
    </row>
    <row r="2869" spans="1:14" x14ac:dyDescent="0.45">
      <c r="A2869" s="30">
        <v>2024</v>
      </c>
      <c r="B2869" s="30" t="s">
        <v>10</v>
      </c>
      <c r="C2869" s="30" t="s">
        <v>46</v>
      </c>
      <c r="D2869" s="30" t="s">
        <v>47</v>
      </c>
      <c r="E2869" s="32" t="s">
        <v>615</v>
      </c>
      <c r="F2869" s="32" t="s">
        <v>134</v>
      </c>
      <c r="G2869" s="32" t="s">
        <v>50</v>
      </c>
      <c r="H2869" s="33">
        <v>86010</v>
      </c>
      <c r="I2869" s="34">
        <f>Table3[[#This Row],[Volume, kg.]]/1000</f>
        <v>86.01</v>
      </c>
      <c r="J2869" s="34">
        <v>0.28170000000000001</v>
      </c>
      <c r="K2869" s="34">
        <f t="shared" si="88"/>
        <v>24229.017</v>
      </c>
      <c r="L2869" s="34">
        <v>3.83</v>
      </c>
      <c r="M2869" s="34">
        <v>329644</v>
      </c>
      <c r="N2869" s="34">
        <f t="shared" si="89"/>
        <v>13.59602413915513</v>
      </c>
    </row>
    <row r="2870" spans="1:14" x14ac:dyDescent="0.45">
      <c r="A2870" s="30">
        <v>2024</v>
      </c>
      <c r="B2870" s="30" t="s">
        <v>10</v>
      </c>
      <c r="C2870" s="30" t="s">
        <v>46</v>
      </c>
      <c r="D2870" s="30" t="s">
        <v>47</v>
      </c>
      <c r="E2870" s="32" t="s">
        <v>616</v>
      </c>
      <c r="F2870" s="32" t="s">
        <v>223</v>
      </c>
      <c r="G2870" s="32" t="s">
        <v>50</v>
      </c>
      <c r="H2870" s="33">
        <v>152180</v>
      </c>
      <c r="I2870" s="34">
        <f>Table3[[#This Row],[Volume, kg.]]/1000</f>
        <v>152.18</v>
      </c>
      <c r="J2870" s="34">
        <v>0.26369999999999999</v>
      </c>
      <c r="K2870" s="34">
        <f t="shared" si="88"/>
        <v>40129.866000000002</v>
      </c>
      <c r="L2870" s="34">
        <v>3.73</v>
      </c>
      <c r="M2870" s="34">
        <v>567291.5</v>
      </c>
      <c r="N2870" s="34">
        <f t="shared" si="89"/>
        <v>14.144861585134624</v>
      </c>
    </row>
    <row r="2871" spans="1:14" x14ac:dyDescent="0.45">
      <c r="A2871" s="30">
        <v>2024</v>
      </c>
      <c r="B2871" s="30" t="s">
        <v>10</v>
      </c>
      <c r="C2871" s="30" t="s">
        <v>46</v>
      </c>
      <c r="D2871" s="30" t="s">
        <v>47</v>
      </c>
      <c r="E2871" s="32" t="s">
        <v>617</v>
      </c>
      <c r="F2871" s="32" t="s">
        <v>81</v>
      </c>
      <c r="G2871" s="32" t="s">
        <v>50</v>
      </c>
      <c r="H2871" s="33">
        <v>46550</v>
      </c>
      <c r="I2871" s="34">
        <f>Table3[[#This Row],[Volume, kg.]]/1000</f>
        <v>46.55</v>
      </c>
      <c r="J2871" s="34">
        <v>0.22760000000000002</v>
      </c>
      <c r="K2871" s="34">
        <f t="shared" si="88"/>
        <v>10594.78</v>
      </c>
      <c r="L2871" s="34">
        <v>3.61</v>
      </c>
      <c r="M2871" s="34">
        <v>167925.5</v>
      </c>
      <c r="N2871" s="34">
        <f t="shared" si="89"/>
        <v>15.861159929701229</v>
      </c>
    </row>
    <row r="2872" spans="1:14" x14ac:dyDescent="0.45">
      <c r="A2872" s="30">
        <v>2024</v>
      </c>
      <c r="B2872" s="30" t="s">
        <v>10</v>
      </c>
      <c r="C2872" s="30" t="s">
        <v>46</v>
      </c>
      <c r="D2872" s="30" t="s">
        <v>47</v>
      </c>
      <c r="E2872" s="32" t="s">
        <v>618</v>
      </c>
      <c r="F2872" s="32" t="s">
        <v>81</v>
      </c>
      <c r="G2872" s="32" t="s">
        <v>50</v>
      </c>
      <c r="H2872" s="33">
        <v>15790</v>
      </c>
      <c r="I2872" s="34">
        <f>Table3[[#This Row],[Volume, kg.]]/1000</f>
        <v>15.79</v>
      </c>
      <c r="J2872" s="34">
        <v>0.26800000000000002</v>
      </c>
      <c r="K2872" s="34">
        <f t="shared" si="88"/>
        <v>4231.72</v>
      </c>
      <c r="L2872" s="34">
        <v>3.75</v>
      </c>
      <c r="M2872" s="34">
        <v>59212.5</v>
      </c>
      <c r="N2872" s="34">
        <f t="shared" si="89"/>
        <v>13.992537313432836</v>
      </c>
    </row>
    <row r="2873" spans="1:14" x14ac:dyDescent="0.45">
      <c r="A2873" s="30">
        <v>2024</v>
      </c>
      <c r="B2873" s="30" t="s">
        <v>10</v>
      </c>
      <c r="C2873" s="30" t="s">
        <v>46</v>
      </c>
      <c r="D2873" s="30" t="s">
        <v>47</v>
      </c>
      <c r="E2873" s="32" t="s">
        <v>619</v>
      </c>
      <c r="F2873" s="32" t="s">
        <v>81</v>
      </c>
      <c r="G2873" s="32" t="s">
        <v>50</v>
      </c>
      <c r="H2873" s="33">
        <v>43590</v>
      </c>
      <c r="I2873" s="34">
        <f>Table3[[#This Row],[Volume, kg.]]/1000</f>
        <v>43.59</v>
      </c>
      <c r="J2873" s="34">
        <v>0.28249999999999997</v>
      </c>
      <c r="K2873" s="34">
        <f t="shared" si="88"/>
        <v>12314.174999999999</v>
      </c>
      <c r="L2873" s="34">
        <v>3.81</v>
      </c>
      <c r="M2873" s="34">
        <v>166111.5</v>
      </c>
      <c r="N2873" s="34">
        <f t="shared" si="89"/>
        <v>13.486725663716816</v>
      </c>
    </row>
    <row r="2874" spans="1:14" x14ac:dyDescent="0.45">
      <c r="A2874" s="30">
        <v>2024</v>
      </c>
      <c r="B2874" s="30" t="s">
        <v>10</v>
      </c>
      <c r="C2874" s="30" t="s">
        <v>46</v>
      </c>
      <c r="D2874" s="30" t="s">
        <v>47</v>
      </c>
      <c r="E2874" s="32" t="s">
        <v>620</v>
      </c>
      <c r="F2874" s="32" t="s">
        <v>134</v>
      </c>
      <c r="G2874" s="32" t="s">
        <v>50</v>
      </c>
      <c r="H2874" s="33">
        <v>58160</v>
      </c>
      <c r="I2874" s="34">
        <f>Table3[[#This Row],[Volume, kg.]]/1000</f>
        <v>58.16</v>
      </c>
      <c r="J2874" s="34">
        <v>0.2656</v>
      </c>
      <c r="K2874" s="34">
        <f t="shared" si="88"/>
        <v>15447.296</v>
      </c>
      <c r="L2874" s="34">
        <v>3.68</v>
      </c>
      <c r="M2874" s="34">
        <v>214062.5</v>
      </c>
      <c r="N2874" s="34">
        <f t="shared" si="89"/>
        <v>13.855421686746988</v>
      </c>
    </row>
    <row r="2875" spans="1:14" x14ac:dyDescent="0.45">
      <c r="A2875" s="30">
        <v>2024</v>
      </c>
      <c r="B2875" s="30" t="s">
        <v>10</v>
      </c>
      <c r="C2875" s="30" t="s">
        <v>46</v>
      </c>
      <c r="D2875" s="30" t="s">
        <v>47</v>
      </c>
      <c r="E2875" s="32" t="s">
        <v>621</v>
      </c>
      <c r="F2875" s="32" t="s">
        <v>134</v>
      </c>
      <c r="G2875" s="32" t="s">
        <v>50</v>
      </c>
      <c r="H2875" s="33">
        <v>12520</v>
      </c>
      <c r="I2875" s="34">
        <f>Table3[[#This Row],[Volume, kg.]]/1000</f>
        <v>12.52</v>
      </c>
      <c r="J2875" s="34">
        <v>0.26649999999999996</v>
      </c>
      <c r="K2875" s="34">
        <f t="shared" si="88"/>
        <v>3336.5799999999995</v>
      </c>
      <c r="L2875" s="34">
        <v>3.7</v>
      </c>
      <c r="M2875" s="34">
        <v>46324</v>
      </c>
      <c r="N2875" s="34">
        <f t="shared" si="89"/>
        <v>13.883677298311447</v>
      </c>
    </row>
    <row r="2876" spans="1:14" x14ac:dyDescent="0.45">
      <c r="A2876" s="30">
        <v>2024</v>
      </c>
      <c r="B2876" s="30" t="s">
        <v>11</v>
      </c>
      <c r="C2876" s="30" t="s">
        <v>46</v>
      </c>
      <c r="D2876" s="30" t="s">
        <v>102</v>
      </c>
      <c r="E2876" s="32" t="s">
        <v>239</v>
      </c>
      <c r="F2876" s="32" t="s">
        <v>240</v>
      </c>
      <c r="G2876" s="32" t="s">
        <v>50</v>
      </c>
      <c r="H2876" s="33">
        <v>65580</v>
      </c>
      <c r="I2876" s="34">
        <f>Table3[[#This Row],[Volume, kg.]]/1000</f>
        <v>65.58</v>
      </c>
      <c r="J2876" s="34">
        <v>0.21960000000000002</v>
      </c>
      <c r="K2876" s="34">
        <f t="shared" si="88"/>
        <v>14401.368</v>
      </c>
      <c r="L2876" s="34">
        <v>2.99</v>
      </c>
      <c r="M2876" s="34">
        <v>195993</v>
      </c>
      <c r="N2876" s="34">
        <f t="shared" si="89"/>
        <v>13.615664845173042</v>
      </c>
    </row>
    <row r="2877" spans="1:14" x14ac:dyDescent="0.45">
      <c r="A2877" s="30">
        <v>2024</v>
      </c>
      <c r="B2877" s="30" t="s">
        <v>11</v>
      </c>
      <c r="C2877" s="30" t="s">
        <v>46</v>
      </c>
      <c r="D2877" s="30" t="s">
        <v>102</v>
      </c>
      <c r="E2877" s="32" t="s">
        <v>188</v>
      </c>
      <c r="F2877" s="32" t="s">
        <v>189</v>
      </c>
      <c r="G2877" s="32" t="s">
        <v>128</v>
      </c>
      <c r="H2877" s="33">
        <v>114070</v>
      </c>
      <c r="I2877" s="34">
        <f>Table3[[#This Row],[Volume, kg.]]/1000</f>
        <v>114.07</v>
      </c>
      <c r="J2877" s="34">
        <v>0.23929999999999998</v>
      </c>
      <c r="K2877" s="34">
        <f t="shared" si="88"/>
        <v>27296.950999999997</v>
      </c>
      <c r="L2877" s="34">
        <v>3.19</v>
      </c>
      <c r="M2877" s="34">
        <v>363710</v>
      </c>
      <c r="N2877" s="34">
        <f t="shared" si="89"/>
        <v>13.330547430004179</v>
      </c>
    </row>
    <row r="2878" spans="1:14" x14ac:dyDescent="0.45">
      <c r="A2878" s="30">
        <v>2024</v>
      </c>
      <c r="B2878" s="30" t="s">
        <v>11</v>
      </c>
      <c r="C2878" s="30" t="s">
        <v>46</v>
      </c>
      <c r="D2878" s="30" t="s">
        <v>102</v>
      </c>
      <c r="E2878" s="32" t="s">
        <v>622</v>
      </c>
      <c r="F2878" s="32" t="s">
        <v>49</v>
      </c>
      <c r="G2878" s="32" t="s">
        <v>50</v>
      </c>
      <c r="H2878" s="33">
        <v>88330</v>
      </c>
      <c r="I2878" s="34">
        <f>Table3[[#This Row],[Volume, kg.]]/1000</f>
        <v>88.33</v>
      </c>
      <c r="J2878" s="34">
        <v>0.23199999999999998</v>
      </c>
      <c r="K2878" s="34">
        <f t="shared" si="88"/>
        <v>20492.559999999998</v>
      </c>
      <c r="L2878" s="34">
        <v>3.17</v>
      </c>
      <c r="M2878" s="34">
        <v>279921</v>
      </c>
      <c r="N2878" s="34">
        <f t="shared" si="89"/>
        <v>13.663793103448276</v>
      </c>
    </row>
    <row r="2879" spans="1:14" x14ac:dyDescent="0.45">
      <c r="A2879" s="30">
        <v>2024</v>
      </c>
      <c r="B2879" s="30" t="s">
        <v>11</v>
      </c>
      <c r="C2879" s="30" t="s">
        <v>46</v>
      </c>
      <c r="D2879" s="30" t="s">
        <v>47</v>
      </c>
      <c r="E2879" s="32" t="s">
        <v>138</v>
      </c>
      <c r="F2879" s="32" t="s">
        <v>49</v>
      </c>
      <c r="G2879" s="32" t="s">
        <v>50</v>
      </c>
      <c r="H2879" s="33">
        <v>16360</v>
      </c>
      <c r="I2879" s="34">
        <f>Table3[[#This Row],[Volume, kg.]]/1000</f>
        <v>16.36</v>
      </c>
      <c r="J2879" s="34">
        <v>0.26750000000000002</v>
      </c>
      <c r="K2879" s="34">
        <f t="shared" si="88"/>
        <v>4376.3</v>
      </c>
      <c r="L2879" s="34">
        <v>3.45</v>
      </c>
      <c r="M2879" s="34">
        <v>56442</v>
      </c>
      <c r="N2879" s="34">
        <f t="shared" si="89"/>
        <v>12.897196261682243</v>
      </c>
    </row>
    <row r="2880" spans="1:14" x14ac:dyDescent="0.45">
      <c r="A2880" s="30">
        <v>2024</v>
      </c>
      <c r="B2880" s="30" t="s">
        <v>11</v>
      </c>
      <c r="C2880" s="30" t="s">
        <v>46</v>
      </c>
      <c r="D2880" s="30" t="s">
        <v>47</v>
      </c>
      <c r="E2880" s="32" t="s">
        <v>213</v>
      </c>
      <c r="F2880" s="32" t="s">
        <v>49</v>
      </c>
      <c r="G2880" s="32" t="s">
        <v>50</v>
      </c>
      <c r="H2880" s="33">
        <v>100040</v>
      </c>
      <c r="I2880" s="34">
        <f>Table3[[#This Row],[Volume, kg.]]/1000</f>
        <v>100.04</v>
      </c>
      <c r="J2880" s="34">
        <v>0.23250000000000001</v>
      </c>
      <c r="K2880" s="34">
        <f t="shared" si="88"/>
        <v>23259.300000000003</v>
      </c>
      <c r="L2880" s="34">
        <v>3.14</v>
      </c>
      <c r="M2880" s="34">
        <v>314436.5</v>
      </c>
      <c r="N2880" s="34">
        <f t="shared" si="89"/>
        <v>13.505376344086022</v>
      </c>
    </row>
    <row r="2881" spans="1:14" x14ac:dyDescent="0.45">
      <c r="A2881" s="30">
        <v>2024</v>
      </c>
      <c r="B2881" s="30" t="s">
        <v>11</v>
      </c>
      <c r="C2881" s="30" t="s">
        <v>46</v>
      </c>
      <c r="D2881" s="30" t="s">
        <v>47</v>
      </c>
      <c r="E2881" s="32" t="s">
        <v>69</v>
      </c>
      <c r="F2881" s="32" t="s">
        <v>49</v>
      </c>
      <c r="G2881" s="32" t="s">
        <v>50</v>
      </c>
      <c r="H2881" s="33">
        <v>77800</v>
      </c>
      <c r="I2881" s="34">
        <f>Table3[[#This Row],[Volume, kg.]]/1000</f>
        <v>77.8</v>
      </c>
      <c r="J2881" s="34">
        <v>0.2291</v>
      </c>
      <c r="K2881" s="34">
        <f t="shared" si="88"/>
        <v>17823.98</v>
      </c>
      <c r="L2881" s="34">
        <v>3.18</v>
      </c>
      <c r="M2881" s="34">
        <v>247582</v>
      </c>
      <c r="N2881" s="34">
        <f t="shared" si="89"/>
        <v>13.880401571366216</v>
      </c>
    </row>
    <row r="2882" spans="1:14" x14ac:dyDescent="0.45">
      <c r="A2882" s="30">
        <v>2024</v>
      </c>
      <c r="B2882" s="30" t="s">
        <v>11</v>
      </c>
      <c r="C2882" s="30" t="s">
        <v>46</v>
      </c>
      <c r="D2882" s="30" t="s">
        <v>47</v>
      </c>
      <c r="E2882" s="32" t="s">
        <v>326</v>
      </c>
      <c r="F2882" s="32" t="s">
        <v>57</v>
      </c>
      <c r="G2882" s="32" t="s">
        <v>50</v>
      </c>
      <c r="H2882" s="33">
        <v>32130</v>
      </c>
      <c r="I2882" s="34">
        <f>Table3[[#This Row],[Volume, kg.]]/1000</f>
        <v>32.130000000000003</v>
      </c>
      <c r="J2882" s="34">
        <v>0.23350000000000001</v>
      </c>
      <c r="K2882" s="34">
        <f t="shared" si="88"/>
        <v>7502.3550000000005</v>
      </c>
      <c r="L2882" s="34">
        <v>3.13</v>
      </c>
      <c r="M2882" s="34">
        <v>100416</v>
      </c>
      <c r="N2882" s="34">
        <f t="shared" si="89"/>
        <v>13.404710920770876</v>
      </c>
    </row>
    <row r="2883" spans="1:14" x14ac:dyDescent="0.45">
      <c r="A2883" s="30">
        <v>2024</v>
      </c>
      <c r="B2883" s="30" t="s">
        <v>11</v>
      </c>
      <c r="C2883" s="30" t="s">
        <v>46</v>
      </c>
      <c r="D2883" s="30" t="s">
        <v>47</v>
      </c>
      <c r="E2883" s="32" t="s">
        <v>381</v>
      </c>
      <c r="F2883" s="32" t="s">
        <v>49</v>
      </c>
      <c r="G2883" s="32" t="s">
        <v>50</v>
      </c>
      <c r="H2883" s="33">
        <v>4490</v>
      </c>
      <c r="I2883" s="34">
        <f>Table3[[#This Row],[Volume, kg.]]/1000</f>
        <v>4.49</v>
      </c>
      <c r="J2883" s="34">
        <v>0.23399999999999999</v>
      </c>
      <c r="K2883" s="34">
        <f t="shared" ref="K2883:K2946" si="90">H2883*J2883</f>
        <v>1050.6599999999999</v>
      </c>
      <c r="L2883" s="34">
        <v>3.15</v>
      </c>
      <c r="M2883" s="34">
        <v>14143.5</v>
      </c>
      <c r="N2883" s="34">
        <f t="shared" si="89"/>
        <v>13.461538461538462</v>
      </c>
    </row>
    <row r="2884" spans="1:14" x14ac:dyDescent="0.45">
      <c r="A2884" s="30">
        <v>2024</v>
      </c>
      <c r="B2884" s="30" t="s">
        <v>11</v>
      </c>
      <c r="C2884" s="30" t="s">
        <v>46</v>
      </c>
      <c r="D2884" s="30" t="s">
        <v>47</v>
      </c>
      <c r="E2884" s="32" t="s">
        <v>178</v>
      </c>
      <c r="F2884" s="32" t="s">
        <v>49</v>
      </c>
      <c r="G2884" s="32" t="s">
        <v>50</v>
      </c>
      <c r="H2884" s="33">
        <v>14750</v>
      </c>
      <c r="I2884" s="34">
        <f>Table3[[#This Row],[Volume, kg.]]/1000</f>
        <v>14.75</v>
      </c>
      <c r="J2884" s="34">
        <v>0.22339999999999999</v>
      </c>
      <c r="K2884" s="34">
        <f t="shared" si="90"/>
        <v>3295.1499999999996</v>
      </c>
      <c r="L2884" s="34">
        <v>2.93</v>
      </c>
      <c r="M2884" s="34">
        <v>43245</v>
      </c>
      <c r="N2884" s="34">
        <f t="shared" ref="N2884:N2947" si="91">L2884/J2884</f>
        <v>13.115487914055507</v>
      </c>
    </row>
    <row r="2885" spans="1:14" x14ac:dyDescent="0.45">
      <c r="A2885" s="30">
        <v>2024</v>
      </c>
      <c r="B2885" s="30" t="s">
        <v>11</v>
      </c>
      <c r="C2885" s="30" t="s">
        <v>46</v>
      </c>
      <c r="D2885" s="30" t="s">
        <v>47</v>
      </c>
      <c r="E2885" s="32" t="s">
        <v>48</v>
      </c>
      <c r="F2885" s="32" t="s">
        <v>49</v>
      </c>
      <c r="G2885" s="32" t="s">
        <v>50</v>
      </c>
      <c r="H2885" s="33">
        <v>6080</v>
      </c>
      <c r="I2885" s="34">
        <f>Table3[[#This Row],[Volume, kg.]]/1000</f>
        <v>6.08</v>
      </c>
      <c r="J2885" s="34">
        <v>0.23050000000000001</v>
      </c>
      <c r="K2885" s="34">
        <f t="shared" si="90"/>
        <v>1401.44</v>
      </c>
      <c r="L2885" s="34">
        <v>3.25</v>
      </c>
      <c r="M2885" s="34">
        <v>19760</v>
      </c>
      <c r="N2885" s="34">
        <f t="shared" si="91"/>
        <v>14.099783080260304</v>
      </c>
    </row>
    <row r="2886" spans="1:14" x14ac:dyDescent="0.45">
      <c r="A2886" s="30">
        <v>2024</v>
      </c>
      <c r="B2886" s="30" t="s">
        <v>11</v>
      </c>
      <c r="C2886" s="30" t="s">
        <v>46</v>
      </c>
      <c r="D2886" s="30" t="s">
        <v>47</v>
      </c>
      <c r="E2886" s="32" t="s">
        <v>493</v>
      </c>
      <c r="F2886" s="32" t="s">
        <v>49</v>
      </c>
      <c r="G2886" s="32" t="s">
        <v>50</v>
      </c>
      <c r="H2886" s="33">
        <v>11510</v>
      </c>
      <c r="I2886" s="34">
        <f>Table3[[#This Row],[Volume, kg.]]/1000</f>
        <v>11.51</v>
      </c>
      <c r="J2886" s="34">
        <v>0.27850000000000003</v>
      </c>
      <c r="K2886" s="34">
        <f t="shared" si="90"/>
        <v>3205.5350000000003</v>
      </c>
      <c r="L2886" s="34">
        <v>3.6</v>
      </c>
      <c r="M2886" s="34">
        <v>41436</v>
      </c>
      <c r="N2886" s="34">
        <f t="shared" si="91"/>
        <v>12.926391382405745</v>
      </c>
    </row>
    <row r="2887" spans="1:14" x14ac:dyDescent="0.45">
      <c r="A2887" s="30">
        <v>2024</v>
      </c>
      <c r="B2887" s="30" t="s">
        <v>11</v>
      </c>
      <c r="C2887" s="30" t="s">
        <v>46</v>
      </c>
      <c r="D2887" s="30" t="s">
        <v>47</v>
      </c>
      <c r="E2887" s="32" t="s">
        <v>208</v>
      </c>
      <c r="F2887" s="32" t="s">
        <v>49</v>
      </c>
      <c r="G2887" s="32" t="s">
        <v>50</v>
      </c>
      <c r="H2887" s="33">
        <v>52050</v>
      </c>
      <c r="I2887" s="34">
        <f>Table3[[#This Row],[Volume, kg.]]/1000</f>
        <v>52.05</v>
      </c>
      <c r="J2887" s="34">
        <v>0.2402</v>
      </c>
      <c r="K2887" s="34">
        <f t="shared" si="90"/>
        <v>12502.41</v>
      </c>
      <c r="L2887" s="34">
        <v>3.19</v>
      </c>
      <c r="M2887" s="34">
        <v>166177.5</v>
      </c>
      <c r="N2887" s="34">
        <f t="shared" si="91"/>
        <v>13.28059950041632</v>
      </c>
    </row>
    <row r="2888" spans="1:14" x14ac:dyDescent="0.45">
      <c r="A2888" s="30">
        <v>2024</v>
      </c>
      <c r="B2888" s="30" t="s">
        <v>11</v>
      </c>
      <c r="C2888" s="30" t="s">
        <v>46</v>
      </c>
      <c r="D2888" s="30" t="s">
        <v>47</v>
      </c>
      <c r="E2888" s="32" t="s">
        <v>123</v>
      </c>
      <c r="F2888" s="32" t="s">
        <v>49</v>
      </c>
      <c r="G2888" s="32" t="s">
        <v>50</v>
      </c>
      <c r="H2888" s="33">
        <v>16120</v>
      </c>
      <c r="I2888" s="34">
        <f>Table3[[#This Row],[Volume, kg.]]/1000</f>
        <v>16.12</v>
      </c>
      <c r="J2888" s="34">
        <v>0.23370000000000002</v>
      </c>
      <c r="K2888" s="34">
        <f t="shared" si="90"/>
        <v>3767.2440000000001</v>
      </c>
      <c r="L2888" s="34">
        <v>3.09</v>
      </c>
      <c r="M2888" s="34">
        <v>49849</v>
      </c>
      <c r="N2888" s="34">
        <f t="shared" si="91"/>
        <v>13.222079589216943</v>
      </c>
    </row>
    <row r="2889" spans="1:14" x14ac:dyDescent="0.45">
      <c r="A2889" s="30">
        <v>2024</v>
      </c>
      <c r="B2889" s="30" t="s">
        <v>11</v>
      </c>
      <c r="C2889" s="30" t="s">
        <v>46</v>
      </c>
      <c r="D2889" s="30" t="s">
        <v>47</v>
      </c>
      <c r="E2889" s="32" t="s">
        <v>99</v>
      </c>
      <c r="F2889" s="32" t="s">
        <v>49</v>
      </c>
      <c r="G2889" s="32" t="s">
        <v>50</v>
      </c>
      <c r="H2889" s="33">
        <v>54860</v>
      </c>
      <c r="I2889" s="34">
        <f>Table3[[#This Row],[Volume, kg.]]/1000</f>
        <v>54.86</v>
      </c>
      <c r="J2889" s="34">
        <v>0.23670000000000002</v>
      </c>
      <c r="K2889" s="34">
        <f t="shared" si="90"/>
        <v>12985.362000000001</v>
      </c>
      <c r="L2889" s="34">
        <v>3.21</v>
      </c>
      <c r="M2889" s="34">
        <v>176344</v>
      </c>
      <c r="N2889" s="34">
        <f t="shared" si="91"/>
        <v>13.561470215462609</v>
      </c>
    </row>
    <row r="2890" spans="1:14" x14ac:dyDescent="0.45">
      <c r="A2890" s="30">
        <v>2024</v>
      </c>
      <c r="B2890" s="30" t="s">
        <v>11</v>
      </c>
      <c r="C2890" s="30" t="s">
        <v>46</v>
      </c>
      <c r="D2890" s="30" t="s">
        <v>47</v>
      </c>
      <c r="E2890" s="32" t="s">
        <v>165</v>
      </c>
      <c r="F2890" s="32" t="s">
        <v>57</v>
      </c>
      <c r="G2890" s="32" t="s">
        <v>50</v>
      </c>
      <c r="H2890" s="33">
        <v>11900</v>
      </c>
      <c r="I2890" s="34">
        <f>Table3[[#This Row],[Volume, kg.]]/1000</f>
        <v>11.9</v>
      </c>
      <c r="J2890" s="34">
        <v>0.26300000000000001</v>
      </c>
      <c r="K2890" s="34">
        <f t="shared" si="90"/>
        <v>3129.7000000000003</v>
      </c>
      <c r="L2890" s="34">
        <v>3.43</v>
      </c>
      <c r="M2890" s="34">
        <v>40771.5</v>
      </c>
      <c r="N2890" s="34">
        <f t="shared" si="91"/>
        <v>13.041825095057034</v>
      </c>
    </row>
    <row r="2891" spans="1:14" x14ac:dyDescent="0.45">
      <c r="A2891" s="30">
        <v>2024</v>
      </c>
      <c r="B2891" s="30" t="s">
        <v>11</v>
      </c>
      <c r="C2891" s="30" t="s">
        <v>46</v>
      </c>
      <c r="D2891" s="30" t="s">
        <v>47</v>
      </c>
      <c r="E2891" s="32" t="s">
        <v>219</v>
      </c>
      <c r="F2891" s="32" t="s">
        <v>57</v>
      </c>
      <c r="G2891" s="32" t="s">
        <v>50</v>
      </c>
      <c r="H2891" s="33">
        <v>20360</v>
      </c>
      <c r="I2891" s="34">
        <f>Table3[[#This Row],[Volume, kg.]]/1000</f>
        <v>20.36</v>
      </c>
      <c r="J2891" s="34">
        <v>0.25730000000000003</v>
      </c>
      <c r="K2891" s="34">
        <f t="shared" si="90"/>
        <v>5238.6280000000006</v>
      </c>
      <c r="L2891" s="34">
        <v>3.4</v>
      </c>
      <c r="M2891" s="34">
        <v>69254.5</v>
      </c>
      <c r="N2891" s="34">
        <f t="shared" si="91"/>
        <v>13.21414691022153</v>
      </c>
    </row>
    <row r="2892" spans="1:14" x14ac:dyDescent="0.45">
      <c r="A2892" s="30">
        <v>2024</v>
      </c>
      <c r="B2892" s="30" t="s">
        <v>11</v>
      </c>
      <c r="C2892" s="30" t="s">
        <v>46</v>
      </c>
      <c r="D2892" s="30" t="s">
        <v>47</v>
      </c>
      <c r="E2892" s="32" t="s">
        <v>182</v>
      </c>
      <c r="F2892" s="32" t="s">
        <v>81</v>
      </c>
      <c r="G2892" s="32" t="s">
        <v>50</v>
      </c>
      <c r="H2892" s="33">
        <v>15550</v>
      </c>
      <c r="I2892" s="34">
        <f>Table3[[#This Row],[Volume, kg.]]/1000</f>
        <v>15.55</v>
      </c>
      <c r="J2892" s="34">
        <v>0.26030000000000003</v>
      </c>
      <c r="K2892" s="34">
        <f t="shared" si="90"/>
        <v>4047.6650000000004</v>
      </c>
      <c r="L2892" s="34">
        <v>3.35</v>
      </c>
      <c r="M2892" s="34">
        <v>52092.5</v>
      </c>
      <c r="N2892" s="34">
        <f t="shared" si="91"/>
        <v>12.869765655013445</v>
      </c>
    </row>
    <row r="2893" spans="1:14" x14ac:dyDescent="0.45">
      <c r="A2893" s="30">
        <v>2024</v>
      </c>
      <c r="B2893" s="30" t="s">
        <v>11</v>
      </c>
      <c r="C2893" s="30" t="s">
        <v>46</v>
      </c>
      <c r="D2893" s="30" t="s">
        <v>47</v>
      </c>
      <c r="E2893" s="32" t="s">
        <v>73</v>
      </c>
      <c r="F2893" s="32" t="s">
        <v>49</v>
      </c>
      <c r="G2893" s="32" t="s">
        <v>50</v>
      </c>
      <c r="H2893" s="33">
        <v>60190</v>
      </c>
      <c r="I2893" s="34">
        <f>Table3[[#This Row],[Volume, kg.]]/1000</f>
        <v>60.19</v>
      </c>
      <c r="J2893" s="34">
        <v>0.22190000000000001</v>
      </c>
      <c r="K2893" s="34">
        <f t="shared" si="90"/>
        <v>13356.161</v>
      </c>
      <c r="L2893" s="34">
        <v>3.04</v>
      </c>
      <c r="M2893" s="34">
        <v>183121</v>
      </c>
      <c r="N2893" s="34">
        <f t="shared" si="91"/>
        <v>13.699864803965749</v>
      </c>
    </row>
    <row r="2894" spans="1:14" x14ac:dyDescent="0.45">
      <c r="A2894" s="30">
        <v>2024</v>
      </c>
      <c r="B2894" s="30" t="s">
        <v>11</v>
      </c>
      <c r="C2894" s="30" t="s">
        <v>46</v>
      </c>
      <c r="D2894" s="30" t="s">
        <v>47</v>
      </c>
      <c r="E2894" s="32" t="s">
        <v>82</v>
      </c>
      <c r="F2894" s="32" t="s">
        <v>57</v>
      </c>
      <c r="G2894" s="32" t="s">
        <v>50</v>
      </c>
      <c r="H2894" s="33">
        <v>8400</v>
      </c>
      <c r="I2894" s="34">
        <f>Table3[[#This Row],[Volume, kg.]]/1000</f>
        <v>8.4</v>
      </c>
      <c r="J2894" s="34">
        <v>0.26700000000000002</v>
      </c>
      <c r="K2894" s="34">
        <f t="shared" si="90"/>
        <v>2242.8000000000002</v>
      </c>
      <c r="L2894" s="34">
        <v>3.45</v>
      </c>
      <c r="M2894" s="34">
        <v>28980</v>
      </c>
      <c r="N2894" s="34">
        <f t="shared" si="91"/>
        <v>12.921348314606741</v>
      </c>
    </row>
    <row r="2895" spans="1:14" x14ac:dyDescent="0.45">
      <c r="A2895" s="30">
        <v>2024</v>
      </c>
      <c r="B2895" s="30" t="s">
        <v>11</v>
      </c>
      <c r="C2895" s="30" t="s">
        <v>46</v>
      </c>
      <c r="D2895" s="30" t="s">
        <v>47</v>
      </c>
      <c r="E2895" s="32" t="s">
        <v>65</v>
      </c>
      <c r="F2895" s="32" t="s">
        <v>49</v>
      </c>
      <c r="G2895" s="32" t="s">
        <v>50</v>
      </c>
      <c r="H2895" s="33">
        <v>36690</v>
      </c>
      <c r="I2895" s="34">
        <f>Table3[[#This Row],[Volume, kg.]]/1000</f>
        <v>36.69</v>
      </c>
      <c r="J2895" s="34">
        <v>0.21489999999999998</v>
      </c>
      <c r="K2895" s="34">
        <f t="shared" si="90"/>
        <v>7884.6809999999996</v>
      </c>
      <c r="L2895" s="34">
        <v>3.14</v>
      </c>
      <c r="M2895" s="34">
        <v>115259</v>
      </c>
      <c r="N2895" s="34">
        <f t="shared" si="91"/>
        <v>14.61144718473709</v>
      </c>
    </row>
    <row r="2896" spans="1:14" x14ac:dyDescent="0.45">
      <c r="A2896" s="30">
        <v>2024</v>
      </c>
      <c r="B2896" s="30" t="s">
        <v>11</v>
      </c>
      <c r="C2896" s="30" t="s">
        <v>46</v>
      </c>
      <c r="D2896" s="30" t="s">
        <v>47</v>
      </c>
      <c r="E2896" s="32" t="s">
        <v>245</v>
      </c>
      <c r="F2896" s="32" t="s">
        <v>57</v>
      </c>
      <c r="G2896" s="32" t="s">
        <v>50</v>
      </c>
      <c r="H2896" s="33">
        <v>17280</v>
      </c>
      <c r="I2896" s="34">
        <f>Table3[[#This Row],[Volume, kg.]]/1000</f>
        <v>17.28</v>
      </c>
      <c r="J2896" s="34">
        <v>0.23719999999999999</v>
      </c>
      <c r="K2896" s="34">
        <f t="shared" si="90"/>
        <v>4098.8159999999998</v>
      </c>
      <c r="L2896" s="34">
        <v>3.25</v>
      </c>
      <c r="M2896" s="34">
        <v>56127</v>
      </c>
      <c r="N2896" s="34">
        <f t="shared" si="91"/>
        <v>13.701517706576729</v>
      </c>
    </row>
    <row r="2897" spans="1:14" x14ac:dyDescent="0.45">
      <c r="A2897" s="30">
        <v>2024</v>
      </c>
      <c r="B2897" s="30" t="s">
        <v>11</v>
      </c>
      <c r="C2897" s="30" t="s">
        <v>46</v>
      </c>
      <c r="D2897" s="30" t="s">
        <v>47</v>
      </c>
      <c r="E2897" s="32" t="s">
        <v>163</v>
      </c>
      <c r="F2897" s="32" t="s">
        <v>60</v>
      </c>
      <c r="G2897" s="32" t="s">
        <v>50</v>
      </c>
      <c r="H2897" s="33">
        <v>14310</v>
      </c>
      <c r="I2897" s="34">
        <f>Table3[[#This Row],[Volume, kg.]]/1000</f>
        <v>14.31</v>
      </c>
      <c r="J2897" s="34">
        <v>0.26700000000000002</v>
      </c>
      <c r="K2897" s="34">
        <f t="shared" si="90"/>
        <v>3820.7700000000004</v>
      </c>
      <c r="L2897" s="34">
        <v>3.4</v>
      </c>
      <c r="M2897" s="34">
        <v>48654</v>
      </c>
      <c r="N2897" s="34">
        <f t="shared" si="91"/>
        <v>12.734082397003744</v>
      </c>
    </row>
    <row r="2898" spans="1:14" x14ac:dyDescent="0.45">
      <c r="A2898" s="30">
        <v>2024</v>
      </c>
      <c r="B2898" s="30" t="s">
        <v>11</v>
      </c>
      <c r="C2898" s="30" t="s">
        <v>46</v>
      </c>
      <c r="D2898" s="30" t="s">
        <v>47</v>
      </c>
      <c r="E2898" s="32" t="s">
        <v>172</v>
      </c>
      <c r="F2898" s="32" t="s">
        <v>57</v>
      </c>
      <c r="G2898" s="32" t="s">
        <v>50</v>
      </c>
      <c r="H2898" s="33">
        <v>3690</v>
      </c>
      <c r="I2898" s="34">
        <f>Table3[[#This Row],[Volume, kg.]]/1000</f>
        <v>3.69</v>
      </c>
      <c r="J2898" s="34">
        <v>0.20370000000000002</v>
      </c>
      <c r="K2898" s="34">
        <f t="shared" si="90"/>
        <v>751.65300000000002</v>
      </c>
      <c r="L2898" s="34">
        <v>2.9</v>
      </c>
      <c r="M2898" s="34">
        <v>10701</v>
      </c>
      <c r="N2898" s="34">
        <f t="shared" si="91"/>
        <v>14.236622484045162</v>
      </c>
    </row>
    <row r="2899" spans="1:14" x14ac:dyDescent="0.45">
      <c r="A2899" s="30">
        <v>2024</v>
      </c>
      <c r="B2899" s="30" t="s">
        <v>11</v>
      </c>
      <c r="C2899" s="30" t="s">
        <v>46</v>
      </c>
      <c r="D2899" s="30" t="s">
        <v>47</v>
      </c>
      <c r="E2899" s="32" t="s">
        <v>461</v>
      </c>
      <c r="F2899" s="32" t="s">
        <v>54</v>
      </c>
      <c r="G2899" s="32" t="s">
        <v>50</v>
      </c>
      <c r="H2899" s="33">
        <v>20150</v>
      </c>
      <c r="I2899" s="34">
        <f>Table3[[#This Row],[Volume, kg.]]/1000</f>
        <v>20.149999999999999</v>
      </c>
      <c r="J2899" s="34">
        <v>0.20699999999999999</v>
      </c>
      <c r="K2899" s="34">
        <f t="shared" si="90"/>
        <v>4171.05</v>
      </c>
      <c r="L2899" s="34">
        <v>3.22</v>
      </c>
      <c r="M2899" s="34">
        <v>64882</v>
      </c>
      <c r="N2899" s="34">
        <f t="shared" si="91"/>
        <v>15.555555555555557</v>
      </c>
    </row>
    <row r="2900" spans="1:14" x14ac:dyDescent="0.45">
      <c r="A2900" s="30">
        <v>2024</v>
      </c>
      <c r="B2900" s="30" t="s">
        <v>11</v>
      </c>
      <c r="C2900" s="30" t="s">
        <v>46</v>
      </c>
      <c r="D2900" s="30" t="s">
        <v>47</v>
      </c>
      <c r="E2900" s="32" t="s">
        <v>51</v>
      </c>
      <c r="F2900" s="32" t="s">
        <v>49</v>
      </c>
      <c r="G2900" s="32" t="s">
        <v>50</v>
      </c>
      <c r="H2900" s="33">
        <v>10680</v>
      </c>
      <c r="I2900" s="34">
        <f>Table3[[#This Row],[Volume, kg.]]/1000</f>
        <v>10.68</v>
      </c>
      <c r="J2900" s="34">
        <v>0.2298</v>
      </c>
      <c r="K2900" s="34">
        <f t="shared" si="90"/>
        <v>2454.2640000000001</v>
      </c>
      <c r="L2900" s="34">
        <v>3.15</v>
      </c>
      <c r="M2900" s="34">
        <v>33665</v>
      </c>
      <c r="N2900" s="34">
        <f t="shared" si="91"/>
        <v>13.707571801566578</v>
      </c>
    </row>
    <row r="2901" spans="1:14" x14ac:dyDescent="0.45">
      <c r="A2901" s="30">
        <v>2024</v>
      </c>
      <c r="B2901" s="30" t="s">
        <v>11</v>
      </c>
      <c r="C2901" s="30" t="s">
        <v>46</v>
      </c>
      <c r="D2901" s="30" t="s">
        <v>47</v>
      </c>
      <c r="E2901" s="32" t="s">
        <v>179</v>
      </c>
      <c r="F2901" s="32" t="s">
        <v>60</v>
      </c>
      <c r="G2901" s="32" t="s">
        <v>50</v>
      </c>
      <c r="H2901" s="33">
        <v>15720</v>
      </c>
      <c r="I2901" s="34">
        <f>Table3[[#This Row],[Volume, kg.]]/1000</f>
        <v>15.72</v>
      </c>
      <c r="J2901" s="34">
        <v>0.25850000000000001</v>
      </c>
      <c r="K2901" s="34">
        <f t="shared" si="90"/>
        <v>4063.6200000000003</v>
      </c>
      <c r="L2901" s="34">
        <v>3.4</v>
      </c>
      <c r="M2901" s="34">
        <v>53448</v>
      </c>
      <c r="N2901" s="34">
        <f t="shared" si="91"/>
        <v>13.152804642166343</v>
      </c>
    </row>
    <row r="2902" spans="1:14" x14ac:dyDescent="0.45">
      <c r="A2902" s="30">
        <v>2024</v>
      </c>
      <c r="B2902" s="30" t="s">
        <v>11</v>
      </c>
      <c r="C2902" s="30" t="s">
        <v>46</v>
      </c>
      <c r="D2902" s="30" t="s">
        <v>47</v>
      </c>
      <c r="E2902" s="32" t="s">
        <v>84</v>
      </c>
      <c r="F2902" s="32" t="s">
        <v>57</v>
      </c>
      <c r="G2902" s="32" t="s">
        <v>50</v>
      </c>
      <c r="H2902" s="33">
        <v>15370</v>
      </c>
      <c r="I2902" s="34">
        <f>Table3[[#This Row],[Volume, kg.]]/1000</f>
        <v>15.37</v>
      </c>
      <c r="J2902" s="34">
        <v>0.23120000000000002</v>
      </c>
      <c r="K2902" s="34">
        <f t="shared" si="90"/>
        <v>3553.5440000000003</v>
      </c>
      <c r="L2902" s="34">
        <v>3.22</v>
      </c>
      <c r="M2902" s="34">
        <v>49422.5</v>
      </c>
      <c r="N2902" s="34">
        <f t="shared" si="91"/>
        <v>13.927335640138407</v>
      </c>
    </row>
    <row r="2903" spans="1:14" x14ac:dyDescent="0.45">
      <c r="A2903" s="30">
        <v>2024</v>
      </c>
      <c r="B2903" s="30" t="s">
        <v>11</v>
      </c>
      <c r="C2903" s="30" t="s">
        <v>46</v>
      </c>
      <c r="D2903" s="30" t="s">
        <v>47</v>
      </c>
      <c r="E2903" s="32" t="s">
        <v>258</v>
      </c>
      <c r="F2903" s="32" t="s">
        <v>49</v>
      </c>
      <c r="G2903" s="32" t="s">
        <v>50</v>
      </c>
      <c r="H2903" s="33">
        <v>562430</v>
      </c>
      <c r="I2903" s="34">
        <f>Table3[[#This Row],[Volume, kg.]]/1000</f>
        <v>562.42999999999995</v>
      </c>
      <c r="J2903" s="34">
        <v>0.2341</v>
      </c>
      <c r="K2903" s="34">
        <f t="shared" si="90"/>
        <v>131664.86300000001</v>
      </c>
      <c r="L2903" s="34">
        <v>3.16</v>
      </c>
      <c r="M2903" s="34">
        <v>1777350</v>
      </c>
      <c r="N2903" s="34">
        <f t="shared" si="91"/>
        <v>13.498504912430585</v>
      </c>
    </row>
    <row r="2904" spans="1:14" x14ac:dyDescent="0.45">
      <c r="A2904" s="30">
        <v>2024</v>
      </c>
      <c r="B2904" s="30" t="s">
        <v>11</v>
      </c>
      <c r="C2904" s="30" t="s">
        <v>46</v>
      </c>
      <c r="D2904" s="30" t="s">
        <v>47</v>
      </c>
      <c r="E2904" s="32" t="s">
        <v>623</v>
      </c>
      <c r="F2904" s="32" t="s">
        <v>223</v>
      </c>
      <c r="G2904" s="32" t="s">
        <v>50</v>
      </c>
      <c r="H2904" s="33">
        <v>11280</v>
      </c>
      <c r="I2904" s="34">
        <f>Table3[[#This Row],[Volume, kg.]]/1000</f>
        <v>11.28</v>
      </c>
      <c r="J2904" s="34">
        <v>0.1525</v>
      </c>
      <c r="K2904" s="34">
        <f t="shared" si="90"/>
        <v>1720.2</v>
      </c>
      <c r="L2904" s="34">
        <v>2.75</v>
      </c>
      <c r="M2904" s="34">
        <v>31020</v>
      </c>
      <c r="N2904" s="34">
        <f t="shared" si="91"/>
        <v>18.032786885245901</v>
      </c>
    </row>
    <row r="2905" spans="1:14" x14ac:dyDescent="0.45">
      <c r="A2905" s="30">
        <v>2024</v>
      </c>
      <c r="B2905" s="30" t="s">
        <v>11</v>
      </c>
      <c r="C2905" s="30" t="s">
        <v>46</v>
      </c>
      <c r="D2905" s="30" t="s">
        <v>47</v>
      </c>
      <c r="E2905" s="32" t="s">
        <v>166</v>
      </c>
      <c r="F2905" s="32" t="s">
        <v>49</v>
      </c>
      <c r="G2905" s="32" t="s">
        <v>50</v>
      </c>
      <c r="H2905" s="33">
        <v>22720</v>
      </c>
      <c r="I2905" s="34">
        <f>Table3[[#This Row],[Volume, kg.]]/1000</f>
        <v>22.72</v>
      </c>
      <c r="J2905" s="34">
        <v>0.20649999999999999</v>
      </c>
      <c r="K2905" s="34">
        <f t="shared" si="90"/>
        <v>4691.6799999999994</v>
      </c>
      <c r="L2905" s="34">
        <v>3.18</v>
      </c>
      <c r="M2905" s="34">
        <v>72200</v>
      </c>
      <c r="N2905" s="34">
        <f t="shared" si="91"/>
        <v>15.39951573849879</v>
      </c>
    </row>
    <row r="2906" spans="1:14" x14ac:dyDescent="0.45">
      <c r="A2906" s="30">
        <v>2024</v>
      </c>
      <c r="B2906" s="30" t="s">
        <v>11</v>
      </c>
      <c r="C2906" s="30" t="s">
        <v>46</v>
      </c>
      <c r="D2906" s="30" t="s">
        <v>47</v>
      </c>
      <c r="E2906" s="32" t="s">
        <v>293</v>
      </c>
      <c r="F2906" s="32" t="s">
        <v>60</v>
      </c>
      <c r="G2906" s="32" t="s">
        <v>50</v>
      </c>
      <c r="H2906" s="33">
        <v>26290</v>
      </c>
      <c r="I2906" s="34">
        <f>Table3[[#This Row],[Volume, kg.]]/1000</f>
        <v>26.29</v>
      </c>
      <c r="J2906" s="34">
        <v>0.25670000000000004</v>
      </c>
      <c r="K2906" s="34">
        <f t="shared" si="90"/>
        <v>6748.6430000000009</v>
      </c>
      <c r="L2906" s="34">
        <v>3.38</v>
      </c>
      <c r="M2906" s="34">
        <v>88738.5</v>
      </c>
      <c r="N2906" s="34">
        <f t="shared" si="91"/>
        <v>13.167121153096998</v>
      </c>
    </row>
    <row r="2907" spans="1:14" x14ac:dyDescent="0.45">
      <c r="A2907" s="30">
        <v>2024</v>
      </c>
      <c r="B2907" s="30" t="s">
        <v>11</v>
      </c>
      <c r="C2907" s="30" t="s">
        <v>46</v>
      </c>
      <c r="D2907" s="30" t="s">
        <v>47</v>
      </c>
      <c r="E2907" s="32" t="s">
        <v>242</v>
      </c>
      <c r="F2907" s="32" t="s">
        <v>60</v>
      </c>
      <c r="G2907" s="32" t="s">
        <v>50</v>
      </c>
      <c r="H2907" s="33">
        <v>14660</v>
      </c>
      <c r="I2907" s="34">
        <f>Table3[[#This Row],[Volume, kg.]]/1000</f>
        <v>14.66</v>
      </c>
      <c r="J2907" s="34">
        <v>0.27149999999999996</v>
      </c>
      <c r="K2907" s="34">
        <f t="shared" si="90"/>
        <v>3980.1899999999996</v>
      </c>
      <c r="L2907" s="34">
        <v>3.45</v>
      </c>
      <c r="M2907" s="34">
        <v>50577</v>
      </c>
      <c r="N2907" s="34">
        <f t="shared" si="91"/>
        <v>12.707182320441991</v>
      </c>
    </row>
    <row r="2908" spans="1:14" x14ac:dyDescent="0.45">
      <c r="A2908" s="30">
        <v>2024</v>
      </c>
      <c r="B2908" s="30" t="s">
        <v>11</v>
      </c>
      <c r="C2908" s="30" t="s">
        <v>46</v>
      </c>
      <c r="D2908" s="30" t="s">
        <v>47</v>
      </c>
      <c r="E2908" s="32" t="s">
        <v>212</v>
      </c>
      <c r="F2908" s="32" t="s">
        <v>60</v>
      </c>
      <c r="G2908" s="32" t="s">
        <v>50</v>
      </c>
      <c r="H2908" s="33">
        <v>16010</v>
      </c>
      <c r="I2908" s="34">
        <f>Table3[[#This Row],[Volume, kg.]]/1000</f>
        <v>16.010000000000002</v>
      </c>
      <c r="J2908" s="34">
        <v>0.23100000000000001</v>
      </c>
      <c r="K2908" s="34">
        <f t="shared" si="90"/>
        <v>3698.3100000000004</v>
      </c>
      <c r="L2908" s="34">
        <v>3.25</v>
      </c>
      <c r="M2908" s="34">
        <v>52032.5</v>
      </c>
      <c r="N2908" s="34">
        <f t="shared" si="91"/>
        <v>14.069264069264069</v>
      </c>
    </row>
    <row r="2909" spans="1:14" x14ac:dyDescent="0.45">
      <c r="A2909" s="30">
        <v>2024</v>
      </c>
      <c r="B2909" s="30" t="s">
        <v>11</v>
      </c>
      <c r="C2909" s="30" t="s">
        <v>46</v>
      </c>
      <c r="D2909" s="30" t="s">
        <v>47</v>
      </c>
      <c r="E2909" s="32" t="s">
        <v>287</v>
      </c>
      <c r="F2909" s="32" t="s">
        <v>60</v>
      </c>
      <c r="G2909" s="32" t="s">
        <v>50</v>
      </c>
      <c r="H2909" s="33">
        <v>4850</v>
      </c>
      <c r="I2909" s="34">
        <f>Table3[[#This Row],[Volume, kg.]]/1000</f>
        <v>4.8499999999999996</v>
      </c>
      <c r="J2909" s="34">
        <v>0.20749999999999999</v>
      </c>
      <c r="K2909" s="34">
        <f t="shared" si="90"/>
        <v>1006.375</v>
      </c>
      <c r="L2909" s="34">
        <v>2.9</v>
      </c>
      <c r="M2909" s="34">
        <v>14065</v>
      </c>
      <c r="N2909" s="34">
        <f t="shared" si="91"/>
        <v>13.975903614457831</v>
      </c>
    </row>
    <row r="2910" spans="1:14" x14ac:dyDescent="0.45">
      <c r="A2910" s="30">
        <v>2024</v>
      </c>
      <c r="B2910" s="30" t="s">
        <v>11</v>
      </c>
      <c r="C2910" s="30" t="s">
        <v>46</v>
      </c>
      <c r="D2910" s="30" t="s">
        <v>47</v>
      </c>
      <c r="E2910" s="32" t="s">
        <v>164</v>
      </c>
      <c r="F2910" s="32" t="s">
        <v>49</v>
      </c>
      <c r="G2910" s="32" t="s">
        <v>50</v>
      </c>
      <c r="H2910" s="33">
        <v>10310</v>
      </c>
      <c r="I2910" s="34">
        <f>Table3[[#This Row],[Volume, kg.]]/1000</f>
        <v>10.31</v>
      </c>
      <c r="J2910" s="34">
        <v>0.25019999999999998</v>
      </c>
      <c r="K2910" s="34">
        <f t="shared" si="90"/>
        <v>2579.5619999999999</v>
      </c>
      <c r="L2910" s="34">
        <v>3.32</v>
      </c>
      <c r="M2910" s="34">
        <v>34271.5</v>
      </c>
      <c r="N2910" s="34">
        <f t="shared" si="91"/>
        <v>13.269384492406076</v>
      </c>
    </row>
    <row r="2911" spans="1:14" x14ac:dyDescent="0.45">
      <c r="A2911" s="30">
        <v>2024</v>
      </c>
      <c r="B2911" s="30" t="s">
        <v>11</v>
      </c>
      <c r="C2911" s="30" t="s">
        <v>46</v>
      </c>
      <c r="D2911" s="30" t="s">
        <v>47</v>
      </c>
      <c r="E2911" s="32" t="s">
        <v>534</v>
      </c>
      <c r="F2911" s="32" t="s">
        <v>49</v>
      </c>
      <c r="G2911" s="32" t="s">
        <v>50</v>
      </c>
      <c r="H2911" s="33">
        <v>27850</v>
      </c>
      <c r="I2911" s="34">
        <f>Table3[[#This Row],[Volume, kg.]]/1000</f>
        <v>27.85</v>
      </c>
      <c r="J2911" s="34">
        <v>0.25040000000000001</v>
      </c>
      <c r="K2911" s="34">
        <f t="shared" si="90"/>
        <v>6973.64</v>
      </c>
      <c r="L2911" s="34">
        <v>3.35</v>
      </c>
      <c r="M2911" s="34">
        <v>93358.5</v>
      </c>
      <c r="N2911" s="34">
        <f t="shared" si="91"/>
        <v>13.378594249201278</v>
      </c>
    </row>
    <row r="2912" spans="1:14" x14ac:dyDescent="0.45">
      <c r="A2912" s="30">
        <v>2024</v>
      </c>
      <c r="B2912" s="30" t="s">
        <v>11</v>
      </c>
      <c r="C2912" s="30" t="s">
        <v>46</v>
      </c>
      <c r="D2912" s="30" t="s">
        <v>47</v>
      </c>
      <c r="E2912" s="32" t="s">
        <v>220</v>
      </c>
      <c r="F2912" s="32" t="s">
        <v>49</v>
      </c>
      <c r="G2912" s="32" t="s">
        <v>50</v>
      </c>
      <c r="H2912" s="33">
        <v>56530</v>
      </c>
      <c r="I2912" s="34">
        <f>Table3[[#This Row],[Volume, kg.]]/1000</f>
        <v>56.53</v>
      </c>
      <c r="J2912" s="34">
        <v>0.1986</v>
      </c>
      <c r="K2912" s="34">
        <f t="shared" si="90"/>
        <v>11226.858</v>
      </c>
      <c r="L2912" s="34">
        <v>3.01</v>
      </c>
      <c r="M2912" s="34">
        <v>169922.5</v>
      </c>
      <c r="N2912" s="34">
        <f t="shared" si="91"/>
        <v>15.156092648539778</v>
      </c>
    </row>
    <row r="2913" spans="1:14" x14ac:dyDescent="0.45">
      <c r="A2913" s="30">
        <v>2024</v>
      </c>
      <c r="B2913" s="30" t="s">
        <v>11</v>
      </c>
      <c r="C2913" s="30" t="s">
        <v>46</v>
      </c>
      <c r="D2913" s="30" t="s">
        <v>47</v>
      </c>
      <c r="E2913" s="32" t="s">
        <v>358</v>
      </c>
      <c r="F2913" s="32" t="s">
        <v>60</v>
      </c>
      <c r="G2913" s="32" t="s">
        <v>50</v>
      </c>
      <c r="H2913" s="33">
        <v>10050</v>
      </c>
      <c r="I2913" s="34">
        <f>Table3[[#This Row],[Volume, kg.]]/1000</f>
        <v>10.050000000000001</v>
      </c>
      <c r="J2913" s="34">
        <v>0.22899999999999998</v>
      </c>
      <c r="K2913" s="34">
        <f t="shared" si="90"/>
        <v>2301.4499999999998</v>
      </c>
      <c r="L2913" s="34">
        <v>3.1</v>
      </c>
      <c r="M2913" s="34">
        <v>31155</v>
      </c>
      <c r="N2913" s="34">
        <f t="shared" si="91"/>
        <v>13.537117903930133</v>
      </c>
    </row>
    <row r="2914" spans="1:14" x14ac:dyDescent="0.45">
      <c r="A2914" s="30">
        <v>2024</v>
      </c>
      <c r="B2914" s="30" t="s">
        <v>11</v>
      </c>
      <c r="C2914" s="30" t="s">
        <v>46</v>
      </c>
      <c r="D2914" s="30" t="s">
        <v>47</v>
      </c>
      <c r="E2914" s="32" t="s">
        <v>429</v>
      </c>
      <c r="F2914" s="32" t="s">
        <v>54</v>
      </c>
      <c r="G2914" s="32" t="s">
        <v>50</v>
      </c>
      <c r="H2914" s="33">
        <v>8440</v>
      </c>
      <c r="I2914" s="34">
        <f>Table3[[#This Row],[Volume, kg.]]/1000</f>
        <v>8.44</v>
      </c>
      <c r="J2914" s="34">
        <v>0.23519999999999999</v>
      </c>
      <c r="K2914" s="34">
        <f t="shared" si="90"/>
        <v>1985.088</v>
      </c>
      <c r="L2914" s="34">
        <v>3.17</v>
      </c>
      <c r="M2914" s="34">
        <v>26727</v>
      </c>
      <c r="N2914" s="34">
        <f t="shared" si="91"/>
        <v>13.477891156462585</v>
      </c>
    </row>
    <row r="2915" spans="1:14" x14ac:dyDescent="0.45">
      <c r="A2915" s="30">
        <v>2024</v>
      </c>
      <c r="B2915" s="30" t="s">
        <v>11</v>
      </c>
      <c r="C2915" s="30" t="s">
        <v>46</v>
      </c>
      <c r="D2915" s="30" t="s">
        <v>47</v>
      </c>
      <c r="E2915" s="32" t="s">
        <v>187</v>
      </c>
      <c r="F2915" s="32" t="s">
        <v>54</v>
      </c>
      <c r="G2915" s="32" t="s">
        <v>50</v>
      </c>
      <c r="H2915" s="33">
        <v>34380</v>
      </c>
      <c r="I2915" s="34">
        <f>Table3[[#This Row],[Volume, kg.]]/1000</f>
        <v>34.380000000000003</v>
      </c>
      <c r="J2915" s="34">
        <v>0.2394</v>
      </c>
      <c r="K2915" s="34">
        <f t="shared" si="90"/>
        <v>8230.5720000000001</v>
      </c>
      <c r="L2915" s="34">
        <v>3.38</v>
      </c>
      <c r="M2915" s="34">
        <v>116329.5</v>
      </c>
      <c r="N2915" s="34">
        <f t="shared" si="91"/>
        <v>14.118629908103593</v>
      </c>
    </row>
    <row r="2916" spans="1:14" x14ac:dyDescent="0.45">
      <c r="A2916" s="30">
        <v>2024</v>
      </c>
      <c r="B2916" s="30" t="s">
        <v>11</v>
      </c>
      <c r="C2916" s="30" t="s">
        <v>46</v>
      </c>
      <c r="D2916" s="30" t="s">
        <v>47</v>
      </c>
      <c r="E2916" s="32" t="s">
        <v>291</v>
      </c>
      <c r="F2916" s="32" t="s">
        <v>57</v>
      </c>
      <c r="G2916" s="32" t="s">
        <v>50</v>
      </c>
      <c r="H2916" s="33">
        <v>27950</v>
      </c>
      <c r="I2916" s="34">
        <f>Table3[[#This Row],[Volume, kg.]]/1000</f>
        <v>27.95</v>
      </c>
      <c r="J2916" s="34">
        <v>0.20929999999999999</v>
      </c>
      <c r="K2916" s="34">
        <f t="shared" si="90"/>
        <v>5849.9349999999995</v>
      </c>
      <c r="L2916" s="34">
        <v>3.08</v>
      </c>
      <c r="M2916" s="34">
        <v>86136.5</v>
      </c>
      <c r="N2916" s="34">
        <f t="shared" si="91"/>
        <v>14.715719063545151</v>
      </c>
    </row>
    <row r="2917" spans="1:14" x14ac:dyDescent="0.45">
      <c r="A2917" s="30">
        <v>2024</v>
      </c>
      <c r="B2917" s="30" t="s">
        <v>11</v>
      </c>
      <c r="C2917" s="30" t="s">
        <v>46</v>
      </c>
      <c r="D2917" s="30" t="s">
        <v>47</v>
      </c>
      <c r="E2917" s="32" t="s">
        <v>352</v>
      </c>
      <c r="F2917" s="32" t="s">
        <v>54</v>
      </c>
      <c r="G2917" s="32" t="s">
        <v>50</v>
      </c>
      <c r="H2917" s="33">
        <v>62270</v>
      </c>
      <c r="I2917" s="34">
        <f>Table3[[#This Row],[Volume, kg.]]/1000</f>
        <v>62.27</v>
      </c>
      <c r="J2917" s="34">
        <v>0.21059999999999998</v>
      </c>
      <c r="K2917" s="34">
        <f t="shared" si="90"/>
        <v>13114.061999999998</v>
      </c>
      <c r="L2917" s="34">
        <v>3.01</v>
      </c>
      <c r="M2917" s="34">
        <v>187277</v>
      </c>
      <c r="N2917" s="34">
        <f t="shared" si="91"/>
        <v>14.29249762583096</v>
      </c>
    </row>
    <row r="2918" spans="1:14" x14ac:dyDescent="0.45">
      <c r="A2918" s="30">
        <v>2024</v>
      </c>
      <c r="B2918" s="30" t="s">
        <v>11</v>
      </c>
      <c r="C2918" s="30" t="s">
        <v>46</v>
      </c>
      <c r="D2918" s="30" t="s">
        <v>47</v>
      </c>
      <c r="E2918" s="32" t="s">
        <v>465</v>
      </c>
      <c r="F2918" s="32" t="s">
        <v>57</v>
      </c>
      <c r="G2918" s="32" t="s">
        <v>50</v>
      </c>
      <c r="H2918" s="33">
        <v>6760</v>
      </c>
      <c r="I2918" s="34">
        <f>Table3[[#This Row],[Volume, kg.]]/1000</f>
        <v>6.76</v>
      </c>
      <c r="J2918" s="34">
        <v>0.2205</v>
      </c>
      <c r="K2918" s="34">
        <f t="shared" si="90"/>
        <v>1490.58</v>
      </c>
      <c r="L2918" s="34">
        <v>3</v>
      </c>
      <c r="M2918" s="34">
        <v>20280</v>
      </c>
      <c r="N2918" s="34">
        <f t="shared" si="91"/>
        <v>13.605442176870747</v>
      </c>
    </row>
    <row r="2919" spans="1:14" x14ac:dyDescent="0.45">
      <c r="A2919" s="30">
        <v>2024</v>
      </c>
      <c r="B2919" s="30" t="s">
        <v>11</v>
      </c>
      <c r="C2919" s="30" t="s">
        <v>46</v>
      </c>
      <c r="D2919" s="30" t="s">
        <v>47</v>
      </c>
      <c r="E2919" s="32" t="s">
        <v>110</v>
      </c>
      <c r="F2919" s="32" t="s">
        <v>57</v>
      </c>
      <c r="G2919" s="32" t="s">
        <v>50</v>
      </c>
      <c r="H2919" s="33">
        <v>13020</v>
      </c>
      <c r="I2919" s="34">
        <f>Table3[[#This Row],[Volume, kg.]]/1000</f>
        <v>13.02</v>
      </c>
      <c r="J2919" s="34">
        <v>0.23440000000000003</v>
      </c>
      <c r="K2919" s="34">
        <f t="shared" si="90"/>
        <v>3051.8880000000004</v>
      </c>
      <c r="L2919" s="34">
        <v>3.18</v>
      </c>
      <c r="M2919" s="34">
        <v>41400.5</v>
      </c>
      <c r="N2919" s="34">
        <f t="shared" si="91"/>
        <v>13.56655290102389</v>
      </c>
    </row>
    <row r="2920" spans="1:14" x14ac:dyDescent="0.45">
      <c r="A2920" s="30">
        <v>2024</v>
      </c>
      <c r="B2920" s="30" t="s">
        <v>11</v>
      </c>
      <c r="C2920" s="30" t="s">
        <v>46</v>
      </c>
      <c r="D2920" s="30" t="s">
        <v>47</v>
      </c>
      <c r="E2920" s="32" t="s">
        <v>142</v>
      </c>
      <c r="F2920" s="32" t="s">
        <v>57</v>
      </c>
      <c r="G2920" s="32" t="s">
        <v>50</v>
      </c>
      <c r="H2920" s="33">
        <v>66250</v>
      </c>
      <c r="I2920" s="34">
        <f>Table3[[#This Row],[Volume, kg.]]/1000</f>
        <v>66.25</v>
      </c>
      <c r="J2920" s="34">
        <v>0.25540000000000002</v>
      </c>
      <c r="K2920" s="34">
        <f t="shared" si="90"/>
        <v>16920.25</v>
      </c>
      <c r="L2920" s="34">
        <v>3.35</v>
      </c>
      <c r="M2920" s="34">
        <v>221680.5</v>
      </c>
      <c r="N2920" s="34">
        <f t="shared" si="91"/>
        <v>13.116679718089271</v>
      </c>
    </row>
    <row r="2921" spans="1:14" x14ac:dyDescent="0.45">
      <c r="A2921" s="30">
        <v>2024</v>
      </c>
      <c r="B2921" s="30" t="s">
        <v>11</v>
      </c>
      <c r="C2921" s="30" t="s">
        <v>46</v>
      </c>
      <c r="D2921" s="30" t="s">
        <v>47</v>
      </c>
      <c r="E2921" s="32" t="s">
        <v>86</v>
      </c>
      <c r="F2921" s="32" t="s">
        <v>49</v>
      </c>
      <c r="G2921" s="32" t="s">
        <v>50</v>
      </c>
      <c r="H2921" s="33">
        <v>9060</v>
      </c>
      <c r="I2921" s="34">
        <f>Table3[[#This Row],[Volume, kg.]]/1000</f>
        <v>9.06</v>
      </c>
      <c r="J2921" s="34">
        <v>0.25750000000000001</v>
      </c>
      <c r="K2921" s="34">
        <f t="shared" si="90"/>
        <v>2332.9500000000003</v>
      </c>
      <c r="L2921" s="34">
        <v>3.35</v>
      </c>
      <c r="M2921" s="34">
        <v>30351</v>
      </c>
      <c r="N2921" s="34">
        <f t="shared" si="91"/>
        <v>13.009708737864077</v>
      </c>
    </row>
    <row r="2922" spans="1:14" x14ac:dyDescent="0.45">
      <c r="A2922" s="30">
        <v>2024</v>
      </c>
      <c r="B2922" s="30" t="s">
        <v>11</v>
      </c>
      <c r="C2922" s="30" t="s">
        <v>46</v>
      </c>
      <c r="D2922" s="30" t="s">
        <v>47</v>
      </c>
      <c r="E2922" s="32" t="s">
        <v>523</v>
      </c>
      <c r="F2922" s="32" t="s">
        <v>49</v>
      </c>
      <c r="G2922" s="32" t="s">
        <v>50</v>
      </c>
      <c r="H2922" s="33">
        <v>41490</v>
      </c>
      <c r="I2922" s="34">
        <f>Table3[[#This Row],[Volume, kg.]]/1000</f>
        <v>41.49</v>
      </c>
      <c r="J2922" s="34">
        <v>0.223</v>
      </c>
      <c r="K2922" s="34">
        <f t="shared" si="90"/>
        <v>9252.27</v>
      </c>
      <c r="L2922" s="34">
        <v>3.18</v>
      </c>
      <c r="M2922" s="34">
        <v>131924</v>
      </c>
      <c r="N2922" s="34">
        <f t="shared" si="91"/>
        <v>14.260089686098656</v>
      </c>
    </row>
    <row r="2923" spans="1:14" x14ac:dyDescent="0.45">
      <c r="A2923" s="30">
        <v>2024</v>
      </c>
      <c r="B2923" s="30" t="s">
        <v>11</v>
      </c>
      <c r="C2923" s="30" t="s">
        <v>46</v>
      </c>
      <c r="D2923" s="30" t="s">
        <v>47</v>
      </c>
      <c r="E2923" s="32" t="s">
        <v>496</v>
      </c>
      <c r="F2923" s="32" t="s">
        <v>49</v>
      </c>
      <c r="G2923" s="32" t="s">
        <v>50</v>
      </c>
      <c r="H2923" s="33">
        <v>12450</v>
      </c>
      <c r="I2923" s="34">
        <f>Table3[[#This Row],[Volume, kg.]]/1000</f>
        <v>12.45</v>
      </c>
      <c r="J2923" s="34">
        <v>0.2437</v>
      </c>
      <c r="K2923" s="34">
        <f t="shared" si="90"/>
        <v>3034.0650000000001</v>
      </c>
      <c r="L2923" s="34">
        <v>3.28</v>
      </c>
      <c r="M2923" s="34">
        <v>40779.5</v>
      </c>
      <c r="N2923" s="34">
        <f t="shared" si="91"/>
        <v>13.459171112022979</v>
      </c>
    </row>
    <row r="2924" spans="1:14" x14ac:dyDescent="0.45">
      <c r="A2924" s="30">
        <v>2024</v>
      </c>
      <c r="B2924" s="30" t="s">
        <v>11</v>
      </c>
      <c r="C2924" s="30" t="s">
        <v>46</v>
      </c>
      <c r="D2924" s="30" t="s">
        <v>47</v>
      </c>
      <c r="E2924" s="32" t="s">
        <v>112</v>
      </c>
      <c r="F2924" s="32" t="s">
        <v>49</v>
      </c>
      <c r="G2924" s="32" t="s">
        <v>50</v>
      </c>
      <c r="H2924" s="33">
        <v>7950</v>
      </c>
      <c r="I2924" s="34">
        <f>Table3[[#This Row],[Volume, kg.]]/1000</f>
        <v>7.95</v>
      </c>
      <c r="J2924" s="34">
        <v>0.25629999999999997</v>
      </c>
      <c r="K2924" s="34">
        <f t="shared" si="90"/>
        <v>2037.5849999999998</v>
      </c>
      <c r="L2924" s="34">
        <v>3.36</v>
      </c>
      <c r="M2924" s="34">
        <v>26686.5</v>
      </c>
      <c r="N2924" s="34">
        <f t="shared" si="91"/>
        <v>13.109637143971909</v>
      </c>
    </row>
    <row r="2925" spans="1:14" x14ac:dyDescent="0.45">
      <c r="A2925" s="30">
        <v>2024</v>
      </c>
      <c r="B2925" s="30" t="s">
        <v>11</v>
      </c>
      <c r="C2925" s="30" t="s">
        <v>46</v>
      </c>
      <c r="D2925" s="30" t="s">
        <v>47</v>
      </c>
      <c r="E2925" s="32" t="s">
        <v>167</v>
      </c>
      <c r="F2925" s="32" t="s">
        <v>49</v>
      </c>
      <c r="G2925" s="32" t="s">
        <v>50</v>
      </c>
      <c r="H2925" s="33">
        <v>36410</v>
      </c>
      <c r="I2925" s="34">
        <f>Table3[[#This Row],[Volume, kg.]]/1000</f>
        <v>36.409999999999997</v>
      </c>
      <c r="J2925" s="34">
        <v>0.22329999999999997</v>
      </c>
      <c r="K2925" s="34">
        <f t="shared" si="90"/>
        <v>8130.3529999999992</v>
      </c>
      <c r="L2925" s="34">
        <v>3.12</v>
      </c>
      <c r="M2925" s="34">
        <v>113739</v>
      </c>
      <c r="N2925" s="34">
        <f t="shared" si="91"/>
        <v>13.972234661889837</v>
      </c>
    </row>
    <row r="2926" spans="1:14" x14ac:dyDescent="0.45">
      <c r="A2926" s="30">
        <v>2024</v>
      </c>
      <c r="B2926" s="30" t="s">
        <v>11</v>
      </c>
      <c r="C2926" s="30" t="s">
        <v>46</v>
      </c>
      <c r="D2926" s="30" t="s">
        <v>47</v>
      </c>
      <c r="E2926" s="32" t="s">
        <v>329</v>
      </c>
      <c r="F2926" s="32" t="s">
        <v>49</v>
      </c>
      <c r="G2926" s="32" t="s">
        <v>50</v>
      </c>
      <c r="H2926" s="33">
        <v>18410</v>
      </c>
      <c r="I2926" s="34">
        <f>Table3[[#This Row],[Volume, kg.]]/1000</f>
        <v>18.41</v>
      </c>
      <c r="J2926" s="34">
        <v>0.24100000000000002</v>
      </c>
      <c r="K2926" s="34">
        <f t="shared" si="90"/>
        <v>4436.8100000000004</v>
      </c>
      <c r="L2926" s="34">
        <v>3.2</v>
      </c>
      <c r="M2926" s="34">
        <v>58912</v>
      </c>
      <c r="N2926" s="34">
        <f t="shared" si="91"/>
        <v>13.278008298755186</v>
      </c>
    </row>
    <row r="2927" spans="1:14" x14ac:dyDescent="0.45">
      <c r="A2927" s="30">
        <v>2024</v>
      </c>
      <c r="B2927" s="30" t="s">
        <v>11</v>
      </c>
      <c r="C2927" s="30" t="s">
        <v>46</v>
      </c>
      <c r="D2927" s="30" t="s">
        <v>47</v>
      </c>
      <c r="E2927" s="32" t="s">
        <v>190</v>
      </c>
      <c r="F2927" s="32" t="s">
        <v>81</v>
      </c>
      <c r="G2927" s="32" t="s">
        <v>50</v>
      </c>
      <c r="H2927" s="33">
        <v>93000</v>
      </c>
      <c r="I2927" s="34">
        <f>Table3[[#This Row],[Volume, kg.]]/1000</f>
        <v>93</v>
      </c>
      <c r="J2927" s="34">
        <v>0.2382</v>
      </c>
      <c r="K2927" s="34">
        <f t="shared" si="90"/>
        <v>22152.6</v>
      </c>
      <c r="L2927" s="34">
        <v>3.16</v>
      </c>
      <c r="M2927" s="34">
        <v>294161</v>
      </c>
      <c r="N2927" s="34">
        <f t="shared" si="91"/>
        <v>13.266162888329136</v>
      </c>
    </row>
    <row r="2928" spans="1:14" x14ac:dyDescent="0.45">
      <c r="A2928" s="30">
        <v>2024</v>
      </c>
      <c r="B2928" s="30" t="s">
        <v>11</v>
      </c>
      <c r="C2928" s="30" t="s">
        <v>46</v>
      </c>
      <c r="D2928" s="30" t="s">
        <v>47</v>
      </c>
      <c r="E2928" s="32" t="s">
        <v>77</v>
      </c>
      <c r="F2928" s="32" t="s">
        <v>49</v>
      </c>
      <c r="G2928" s="32" t="s">
        <v>50</v>
      </c>
      <c r="H2928" s="33">
        <v>19200</v>
      </c>
      <c r="I2928" s="34">
        <f>Table3[[#This Row],[Volume, kg.]]/1000</f>
        <v>19.2</v>
      </c>
      <c r="J2928" s="34">
        <v>0.24600000000000002</v>
      </c>
      <c r="K2928" s="34">
        <f t="shared" si="90"/>
        <v>4723.2000000000007</v>
      </c>
      <c r="L2928" s="34">
        <v>3.31</v>
      </c>
      <c r="M2928" s="34">
        <v>63537.5</v>
      </c>
      <c r="N2928" s="34">
        <f t="shared" si="91"/>
        <v>13.455284552845526</v>
      </c>
    </row>
    <row r="2929" spans="1:14" x14ac:dyDescent="0.45">
      <c r="A2929" s="30">
        <v>2024</v>
      </c>
      <c r="B2929" s="30" t="s">
        <v>11</v>
      </c>
      <c r="C2929" s="30" t="s">
        <v>46</v>
      </c>
      <c r="D2929" s="30" t="s">
        <v>47</v>
      </c>
      <c r="E2929" s="32" t="s">
        <v>176</v>
      </c>
      <c r="F2929" s="32" t="s">
        <v>49</v>
      </c>
      <c r="G2929" s="32" t="s">
        <v>50</v>
      </c>
      <c r="H2929" s="33">
        <v>8160</v>
      </c>
      <c r="I2929" s="34">
        <f>Table3[[#This Row],[Volume, kg.]]/1000</f>
        <v>8.16</v>
      </c>
      <c r="J2929" s="34">
        <v>0.21440000000000001</v>
      </c>
      <c r="K2929" s="34">
        <f t="shared" si="90"/>
        <v>1749.5040000000001</v>
      </c>
      <c r="L2929" s="34">
        <v>2.98</v>
      </c>
      <c r="M2929" s="34">
        <v>24317</v>
      </c>
      <c r="N2929" s="34">
        <f t="shared" si="91"/>
        <v>13.899253731343283</v>
      </c>
    </row>
    <row r="2930" spans="1:14" x14ac:dyDescent="0.45">
      <c r="A2930" s="30">
        <v>2024</v>
      </c>
      <c r="B2930" s="30" t="s">
        <v>11</v>
      </c>
      <c r="C2930" s="30" t="s">
        <v>46</v>
      </c>
      <c r="D2930" s="30" t="s">
        <v>47</v>
      </c>
      <c r="E2930" s="32" t="s">
        <v>263</v>
      </c>
      <c r="F2930" s="32" t="s">
        <v>81</v>
      </c>
      <c r="G2930" s="32" t="s">
        <v>50</v>
      </c>
      <c r="H2930" s="33">
        <v>10970</v>
      </c>
      <c r="I2930" s="34">
        <f>Table3[[#This Row],[Volume, kg.]]/1000</f>
        <v>10.97</v>
      </c>
      <c r="J2930" s="34">
        <v>0.23100000000000001</v>
      </c>
      <c r="K2930" s="34">
        <f t="shared" si="90"/>
        <v>2534.0700000000002</v>
      </c>
      <c r="L2930" s="34">
        <v>3.25</v>
      </c>
      <c r="M2930" s="34">
        <v>35652.5</v>
      </c>
      <c r="N2930" s="34">
        <f t="shared" si="91"/>
        <v>14.069264069264069</v>
      </c>
    </row>
    <row r="2931" spans="1:14" x14ac:dyDescent="0.45">
      <c r="A2931" s="30">
        <v>2024</v>
      </c>
      <c r="B2931" s="30" t="s">
        <v>11</v>
      </c>
      <c r="C2931" s="30" t="s">
        <v>46</v>
      </c>
      <c r="D2931" s="30" t="s">
        <v>47</v>
      </c>
      <c r="E2931" s="32" t="s">
        <v>333</v>
      </c>
      <c r="F2931" s="32" t="s">
        <v>57</v>
      </c>
      <c r="G2931" s="32" t="s">
        <v>50</v>
      </c>
      <c r="H2931" s="33">
        <v>22440</v>
      </c>
      <c r="I2931" s="34">
        <f>Table3[[#This Row],[Volume, kg.]]/1000</f>
        <v>22.44</v>
      </c>
      <c r="J2931" s="34">
        <v>0.26500000000000001</v>
      </c>
      <c r="K2931" s="34">
        <f t="shared" si="90"/>
        <v>5946.6</v>
      </c>
      <c r="L2931" s="34">
        <v>3.45</v>
      </c>
      <c r="M2931" s="34">
        <v>77420</v>
      </c>
      <c r="N2931" s="34">
        <f t="shared" si="91"/>
        <v>13.018867924528301</v>
      </c>
    </row>
    <row r="2932" spans="1:14" x14ac:dyDescent="0.45">
      <c r="A2932" s="30">
        <v>2024</v>
      </c>
      <c r="B2932" s="30" t="s">
        <v>11</v>
      </c>
      <c r="C2932" s="30" t="s">
        <v>46</v>
      </c>
      <c r="D2932" s="30" t="s">
        <v>47</v>
      </c>
      <c r="E2932" s="32" t="s">
        <v>230</v>
      </c>
      <c r="F2932" s="32" t="s">
        <v>49</v>
      </c>
      <c r="G2932" s="32" t="s">
        <v>50</v>
      </c>
      <c r="H2932" s="33">
        <v>5080</v>
      </c>
      <c r="I2932" s="34">
        <f>Table3[[#This Row],[Volume, kg.]]/1000</f>
        <v>5.08</v>
      </c>
      <c r="J2932" s="34">
        <v>0.25800000000000001</v>
      </c>
      <c r="K2932" s="34">
        <f t="shared" si="90"/>
        <v>1310.6400000000001</v>
      </c>
      <c r="L2932" s="34">
        <v>3.4</v>
      </c>
      <c r="M2932" s="34">
        <v>17272</v>
      </c>
      <c r="N2932" s="34">
        <f t="shared" si="91"/>
        <v>13.178294573643409</v>
      </c>
    </row>
    <row r="2933" spans="1:14" x14ac:dyDescent="0.45">
      <c r="A2933" s="30">
        <v>2024</v>
      </c>
      <c r="B2933" s="30" t="s">
        <v>11</v>
      </c>
      <c r="C2933" s="30" t="s">
        <v>46</v>
      </c>
      <c r="D2933" s="30" t="s">
        <v>47</v>
      </c>
      <c r="E2933" s="32" t="s">
        <v>525</v>
      </c>
      <c r="F2933" s="32" t="s">
        <v>134</v>
      </c>
      <c r="G2933" s="32" t="s">
        <v>50</v>
      </c>
      <c r="H2933" s="33">
        <v>6490</v>
      </c>
      <c r="I2933" s="34">
        <f>Table3[[#This Row],[Volume, kg.]]/1000</f>
        <v>6.49</v>
      </c>
      <c r="J2933" s="34">
        <v>0.1893</v>
      </c>
      <c r="K2933" s="34">
        <f t="shared" si="90"/>
        <v>1228.557</v>
      </c>
      <c r="L2933" s="34">
        <v>2.8</v>
      </c>
      <c r="M2933" s="34">
        <v>18172</v>
      </c>
      <c r="N2933" s="34">
        <f t="shared" si="91"/>
        <v>14.791336502905441</v>
      </c>
    </row>
    <row r="2934" spans="1:14" x14ac:dyDescent="0.45">
      <c r="A2934" s="30">
        <v>2024</v>
      </c>
      <c r="B2934" s="30" t="s">
        <v>11</v>
      </c>
      <c r="C2934" s="30" t="s">
        <v>46</v>
      </c>
      <c r="D2934" s="30" t="s">
        <v>47</v>
      </c>
      <c r="E2934" s="32" t="s">
        <v>236</v>
      </c>
      <c r="F2934" s="32" t="s">
        <v>49</v>
      </c>
      <c r="G2934" s="32" t="s">
        <v>50</v>
      </c>
      <c r="H2934" s="33">
        <v>41170</v>
      </c>
      <c r="I2934" s="34">
        <f>Table3[[#This Row],[Volume, kg.]]/1000</f>
        <v>41.17</v>
      </c>
      <c r="J2934" s="34">
        <v>0.2089</v>
      </c>
      <c r="K2934" s="34">
        <f t="shared" si="90"/>
        <v>8600.4130000000005</v>
      </c>
      <c r="L2934" s="34">
        <v>3.04</v>
      </c>
      <c r="M2934" s="34">
        <v>125201</v>
      </c>
      <c r="N2934" s="34">
        <f t="shared" si="91"/>
        <v>14.552417424605075</v>
      </c>
    </row>
    <row r="2935" spans="1:14" x14ac:dyDescent="0.45">
      <c r="A2935" s="30">
        <v>2024</v>
      </c>
      <c r="B2935" s="30" t="s">
        <v>11</v>
      </c>
      <c r="C2935" s="30" t="s">
        <v>46</v>
      </c>
      <c r="D2935" s="30" t="s">
        <v>47</v>
      </c>
      <c r="E2935" s="32" t="s">
        <v>152</v>
      </c>
      <c r="F2935" s="32" t="s">
        <v>60</v>
      </c>
      <c r="G2935" s="32" t="s">
        <v>50</v>
      </c>
      <c r="H2935" s="33">
        <v>3360</v>
      </c>
      <c r="I2935" s="34">
        <f>Table3[[#This Row],[Volume, kg.]]/1000</f>
        <v>3.36</v>
      </c>
      <c r="J2935" s="34">
        <v>0.20350000000000001</v>
      </c>
      <c r="K2935" s="34">
        <f t="shared" si="90"/>
        <v>683.76</v>
      </c>
      <c r="L2935" s="34">
        <v>3.1</v>
      </c>
      <c r="M2935" s="34">
        <v>10416</v>
      </c>
      <c r="N2935" s="34">
        <f t="shared" si="91"/>
        <v>15.233415233415233</v>
      </c>
    </row>
    <row r="2936" spans="1:14" x14ac:dyDescent="0.45">
      <c r="A2936" s="30">
        <v>2024</v>
      </c>
      <c r="B2936" s="30" t="s">
        <v>11</v>
      </c>
      <c r="C2936" s="30" t="s">
        <v>46</v>
      </c>
      <c r="D2936" s="30" t="s">
        <v>47</v>
      </c>
      <c r="E2936" s="32" t="s">
        <v>111</v>
      </c>
      <c r="F2936" s="32" t="s">
        <v>60</v>
      </c>
      <c r="G2936" s="32" t="s">
        <v>50</v>
      </c>
      <c r="H2936" s="33">
        <v>17840</v>
      </c>
      <c r="I2936" s="34">
        <f>Table3[[#This Row],[Volume, kg.]]/1000</f>
        <v>17.84</v>
      </c>
      <c r="J2936" s="34">
        <v>0.2712</v>
      </c>
      <c r="K2936" s="34">
        <f t="shared" si="90"/>
        <v>4838.2079999999996</v>
      </c>
      <c r="L2936" s="34">
        <v>3.32</v>
      </c>
      <c r="M2936" s="34">
        <v>59169.5</v>
      </c>
      <c r="N2936" s="34">
        <f t="shared" si="91"/>
        <v>12.241887905604719</v>
      </c>
    </row>
    <row r="2937" spans="1:14" x14ac:dyDescent="0.45">
      <c r="A2937" s="30">
        <v>2024</v>
      </c>
      <c r="B2937" s="30" t="s">
        <v>11</v>
      </c>
      <c r="C2937" s="30" t="s">
        <v>46</v>
      </c>
      <c r="D2937" s="30" t="s">
        <v>47</v>
      </c>
      <c r="E2937" s="32" t="s">
        <v>388</v>
      </c>
      <c r="F2937" s="32" t="s">
        <v>134</v>
      </c>
      <c r="G2937" s="32" t="s">
        <v>50</v>
      </c>
      <c r="H2937" s="33">
        <v>12320</v>
      </c>
      <c r="I2937" s="34">
        <f>Table3[[#This Row],[Volume, kg.]]/1000</f>
        <v>12.32</v>
      </c>
      <c r="J2937" s="34">
        <v>0.20649999999999999</v>
      </c>
      <c r="K2937" s="34">
        <f t="shared" si="90"/>
        <v>2544.08</v>
      </c>
      <c r="L2937" s="34">
        <v>2.85</v>
      </c>
      <c r="M2937" s="34">
        <v>35112</v>
      </c>
      <c r="N2937" s="34">
        <f t="shared" si="91"/>
        <v>13.801452784503633</v>
      </c>
    </row>
    <row r="2938" spans="1:14" x14ac:dyDescent="0.45">
      <c r="A2938" s="30">
        <v>2024</v>
      </c>
      <c r="B2938" s="30" t="s">
        <v>11</v>
      </c>
      <c r="C2938" s="30" t="s">
        <v>46</v>
      </c>
      <c r="D2938" s="30" t="s">
        <v>47</v>
      </c>
      <c r="E2938" s="32" t="s">
        <v>313</v>
      </c>
      <c r="F2938" s="32" t="s">
        <v>60</v>
      </c>
      <c r="G2938" s="32" t="s">
        <v>50</v>
      </c>
      <c r="H2938" s="33">
        <v>8620</v>
      </c>
      <c r="I2938" s="34">
        <f>Table3[[#This Row],[Volume, kg.]]/1000</f>
        <v>8.6199999999999992</v>
      </c>
      <c r="J2938" s="34">
        <v>0.20649999999999999</v>
      </c>
      <c r="K2938" s="34">
        <f t="shared" si="90"/>
        <v>1780.03</v>
      </c>
      <c r="L2938" s="34">
        <v>3</v>
      </c>
      <c r="M2938" s="34">
        <v>25860</v>
      </c>
      <c r="N2938" s="34">
        <f t="shared" si="91"/>
        <v>14.527845036319613</v>
      </c>
    </row>
    <row r="2939" spans="1:14" x14ac:dyDescent="0.45">
      <c r="A2939" s="30">
        <v>2024</v>
      </c>
      <c r="B2939" s="30" t="s">
        <v>11</v>
      </c>
      <c r="C2939" s="30" t="s">
        <v>46</v>
      </c>
      <c r="D2939" s="30" t="s">
        <v>47</v>
      </c>
      <c r="E2939" s="32" t="s">
        <v>438</v>
      </c>
      <c r="F2939" s="32" t="s">
        <v>57</v>
      </c>
      <c r="G2939" s="32" t="s">
        <v>50</v>
      </c>
      <c r="H2939" s="33">
        <v>43280</v>
      </c>
      <c r="I2939" s="34">
        <f>Table3[[#This Row],[Volume, kg.]]/1000</f>
        <v>43.28</v>
      </c>
      <c r="J2939" s="34">
        <v>0.21230000000000002</v>
      </c>
      <c r="K2939" s="34">
        <f t="shared" si="90"/>
        <v>9188.344000000001</v>
      </c>
      <c r="L2939" s="34">
        <v>3.05</v>
      </c>
      <c r="M2939" s="34">
        <v>131839</v>
      </c>
      <c r="N2939" s="34">
        <f t="shared" si="91"/>
        <v>14.366462552991049</v>
      </c>
    </row>
    <row r="2940" spans="1:14" x14ac:dyDescent="0.45">
      <c r="A2940" s="30">
        <v>2024</v>
      </c>
      <c r="B2940" s="30" t="s">
        <v>11</v>
      </c>
      <c r="C2940" s="30" t="s">
        <v>46</v>
      </c>
      <c r="D2940" s="30" t="s">
        <v>47</v>
      </c>
      <c r="E2940" s="32" t="s">
        <v>288</v>
      </c>
      <c r="F2940" s="32" t="s">
        <v>49</v>
      </c>
      <c r="G2940" s="32" t="s">
        <v>50</v>
      </c>
      <c r="H2940" s="33">
        <v>195590</v>
      </c>
      <c r="I2940" s="34">
        <f>Table3[[#This Row],[Volume, kg.]]/1000</f>
        <v>195.59</v>
      </c>
      <c r="J2940" s="34">
        <v>0.25030000000000002</v>
      </c>
      <c r="K2940" s="34">
        <f t="shared" si="90"/>
        <v>48956.177000000003</v>
      </c>
      <c r="L2940" s="34">
        <v>3.29</v>
      </c>
      <c r="M2940" s="34">
        <v>643930</v>
      </c>
      <c r="N2940" s="34">
        <f t="shared" si="91"/>
        <v>13.144226927686775</v>
      </c>
    </row>
    <row r="2941" spans="1:14" x14ac:dyDescent="0.45">
      <c r="A2941" s="30">
        <v>2024</v>
      </c>
      <c r="B2941" s="30" t="s">
        <v>11</v>
      </c>
      <c r="C2941" s="30" t="s">
        <v>46</v>
      </c>
      <c r="D2941" s="30" t="s">
        <v>47</v>
      </c>
      <c r="E2941" s="32" t="s">
        <v>70</v>
      </c>
      <c r="F2941" s="32" t="s">
        <v>49</v>
      </c>
      <c r="G2941" s="32" t="s">
        <v>50</v>
      </c>
      <c r="H2941" s="33">
        <v>171330</v>
      </c>
      <c r="I2941" s="34">
        <f>Table3[[#This Row],[Volume, kg.]]/1000</f>
        <v>171.33</v>
      </c>
      <c r="J2941" s="34">
        <v>0.24879999999999999</v>
      </c>
      <c r="K2941" s="34">
        <f t="shared" si="90"/>
        <v>42626.904000000002</v>
      </c>
      <c r="L2941" s="34">
        <v>3.26</v>
      </c>
      <c r="M2941" s="34">
        <v>558445.5</v>
      </c>
      <c r="N2941" s="34">
        <f t="shared" si="91"/>
        <v>13.10289389067524</v>
      </c>
    </row>
    <row r="2942" spans="1:14" x14ac:dyDescent="0.45">
      <c r="A2942" s="30">
        <v>2024</v>
      </c>
      <c r="B2942" s="30" t="s">
        <v>11</v>
      </c>
      <c r="C2942" s="30" t="s">
        <v>46</v>
      </c>
      <c r="D2942" s="30" t="s">
        <v>47</v>
      </c>
      <c r="E2942" s="32" t="s">
        <v>265</v>
      </c>
      <c r="F2942" s="32" t="s">
        <v>49</v>
      </c>
      <c r="G2942" s="32" t="s">
        <v>50</v>
      </c>
      <c r="H2942" s="33">
        <v>81430</v>
      </c>
      <c r="I2942" s="34">
        <f>Table3[[#This Row],[Volume, kg.]]/1000</f>
        <v>81.430000000000007</v>
      </c>
      <c r="J2942" s="34">
        <v>0.2361</v>
      </c>
      <c r="K2942" s="34">
        <f t="shared" si="90"/>
        <v>19225.623</v>
      </c>
      <c r="L2942" s="34">
        <v>3.23</v>
      </c>
      <c r="M2942" s="34">
        <v>262620</v>
      </c>
      <c r="N2942" s="34">
        <f t="shared" si="91"/>
        <v>13.680643795002117</v>
      </c>
    </row>
    <row r="2943" spans="1:14" x14ac:dyDescent="0.45">
      <c r="A2943" s="30">
        <v>2024</v>
      </c>
      <c r="B2943" s="30" t="s">
        <v>11</v>
      </c>
      <c r="C2943" s="30" t="s">
        <v>46</v>
      </c>
      <c r="D2943" s="30" t="s">
        <v>47</v>
      </c>
      <c r="E2943" s="32" t="s">
        <v>277</v>
      </c>
      <c r="F2943" s="32" t="s">
        <v>60</v>
      </c>
      <c r="G2943" s="32" t="s">
        <v>50</v>
      </c>
      <c r="H2943" s="33">
        <v>11470</v>
      </c>
      <c r="I2943" s="34">
        <f>Table3[[#This Row],[Volume, kg.]]/1000</f>
        <v>11.47</v>
      </c>
      <c r="J2943" s="34">
        <v>0.25800000000000001</v>
      </c>
      <c r="K2943" s="34">
        <f t="shared" si="90"/>
        <v>2959.26</v>
      </c>
      <c r="L2943" s="34">
        <v>3.4</v>
      </c>
      <c r="M2943" s="34">
        <v>38998</v>
      </c>
      <c r="N2943" s="34">
        <f t="shared" si="91"/>
        <v>13.178294573643409</v>
      </c>
    </row>
    <row r="2944" spans="1:14" x14ac:dyDescent="0.45">
      <c r="A2944" s="30">
        <v>2024</v>
      </c>
      <c r="B2944" s="30" t="s">
        <v>11</v>
      </c>
      <c r="C2944" s="30" t="s">
        <v>46</v>
      </c>
      <c r="D2944" s="30" t="s">
        <v>47</v>
      </c>
      <c r="E2944" s="32" t="s">
        <v>324</v>
      </c>
      <c r="F2944" s="32" t="s">
        <v>81</v>
      </c>
      <c r="G2944" s="32" t="s">
        <v>50</v>
      </c>
      <c r="H2944" s="33">
        <v>5960</v>
      </c>
      <c r="I2944" s="34">
        <f>Table3[[#This Row],[Volume, kg.]]/1000</f>
        <v>5.96</v>
      </c>
      <c r="J2944" s="34">
        <v>0.2455</v>
      </c>
      <c r="K2944" s="34">
        <f t="shared" si="90"/>
        <v>1463.18</v>
      </c>
      <c r="L2944" s="34">
        <v>3.35</v>
      </c>
      <c r="M2944" s="34">
        <v>19966</v>
      </c>
      <c r="N2944" s="34">
        <f t="shared" si="91"/>
        <v>13.645621181262729</v>
      </c>
    </row>
    <row r="2945" spans="1:14" x14ac:dyDescent="0.45">
      <c r="A2945" s="30">
        <v>2024</v>
      </c>
      <c r="B2945" s="30" t="s">
        <v>11</v>
      </c>
      <c r="C2945" s="30" t="s">
        <v>46</v>
      </c>
      <c r="D2945" s="30" t="s">
        <v>47</v>
      </c>
      <c r="E2945" s="32" t="s">
        <v>74</v>
      </c>
      <c r="F2945" s="32" t="s">
        <v>49</v>
      </c>
      <c r="G2945" s="32" t="s">
        <v>50</v>
      </c>
      <c r="H2945" s="33">
        <v>38310</v>
      </c>
      <c r="I2945" s="34">
        <f>Table3[[#This Row],[Volume, kg.]]/1000</f>
        <v>38.31</v>
      </c>
      <c r="J2945" s="34">
        <v>0.20710000000000001</v>
      </c>
      <c r="K2945" s="34">
        <f t="shared" si="90"/>
        <v>7934.0010000000002</v>
      </c>
      <c r="L2945" s="34">
        <v>2.87</v>
      </c>
      <c r="M2945" s="34">
        <v>109856</v>
      </c>
      <c r="N2945" s="34">
        <f t="shared" si="91"/>
        <v>13.858039594398841</v>
      </c>
    </row>
    <row r="2946" spans="1:14" x14ac:dyDescent="0.45">
      <c r="A2946" s="30">
        <v>2024</v>
      </c>
      <c r="B2946" s="30" t="s">
        <v>11</v>
      </c>
      <c r="C2946" s="30" t="s">
        <v>46</v>
      </c>
      <c r="D2946" s="30" t="s">
        <v>47</v>
      </c>
      <c r="E2946" s="32" t="s">
        <v>144</v>
      </c>
      <c r="F2946" s="32" t="s">
        <v>49</v>
      </c>
      <c r="G2946" s="32" t="s">
        <v>50</v>
      </c>
      <c r="H2946" s="33">
        <v>62340</v>
      </c>
      <c r="I2946" s="34">
        <f>Table3[[#This Row],[Volume, kg.]]/1000</f>
        <v>62.34</v>
      </c>
      <c r="J2946" s="34">
        <v>0.24260000000000001</v>
      </c>
      <c r="K2946" s="34">
        <f t="shared" si="90"/>
        <v>15123.684000000001</v>
      </c>
      <c r="L2946" s="34">
        <v>3.27</v>
      </c>
      <c r="M2946" s="34">
        <v>203871</v>
      </c>
      <c r="N2946" s="34">
        <f t="shared" si="91"/>
        <v>13.478977741137674</v>
      </c>
    </row>
    <row r="2947" spans="1:14" x14ac:dyDescent="0.45">
      <c r="A2947" s="30">
        <v>2024</v>
      </c>
      <c r="B2947" s="30" t="s">
        <v>11</v>
      </c>
      <c r="C2947" s="30" t="s">
        <v>46</v>
      </c>
      <c r="D2947" s="30" t="s">
        <v>47</v>
      </c>
      <c r="E2947" s="32" t="s">
        <v>100</v>
      </c>
      <c r="F2947" s="32" t="s">
        <v>60</v>
      </c>
      <c r="G2947" s="32" t="s">
        <v>50</v>
      </c>
      <c r="H2947" s="33">
        <v>8020</v>
      </c>
      <c r="I2947" s="34">
        <f>Table3[[#This Row],[Volume, kg.]]/1000</f>
        <v>8.02</v>
      </c>
      <c r="J2947" s="34">
        <v>0.28699999999999998</v>
      </c>
      <c r="K2947" s="34">
        <f t="shared" ref="K2947:K3010" si="92">H2947*J2947</f>
        <v>2301.7399999999998</v>
      </c>
      <c r="L2947" s="34">
        <v>3.55</v>
      </c>
      <c r="M2947" s="34">
        <v>28471</v>
      </c>
      <c r="N2947" s="34">
        <f t="shared" si="91"/>
        <v>12.369337979094077</v>
      </c>
    </row>
    <row r="2948" spans="1:14" x14ac:dyDescent="0.45">
      <c r="A2948" s="30">
        <v>2024</v>
      </c>
      <c r="B2948" s="30" t="s">
        <v>11</v>
      </c>
      <c r="C2948" s="30" t="s">
        <v>46</v>
      </c>
      <c r="D2948" s="30" t="s">
        <v>47</v>
      </c>
      <c r="E2948" s="32" t="s">
        <v>283</v>
      </c>
      <c r="F2948" s="32" t="s">
        <v>49</v>
      </c>
      <c r="G2948" s="32" t="s">
        <v>50</v>
      </c>
      <c r="H2948" s="33">
        <v>51180</v>
      </c>
      <c r="I2948" s="34">
        <f>Table3[[#This Row],[Volume, kg.]]/1000</f>
        <v>51.18</v>
      </c>
      <c r="J2948" s="34">
        <v>0.22309999999999999</v>
      </c>
      <c r="K2948" s="34">
        <f t="shared" si="92"/>
        <v>11418.258</v>
      </c>
      <c r="L2948" s="34">
        <v>3.14</v>
      </c>
      <c r="M2948" s="34">
        <v>160956</v>
      </c>
      <c r="N2948" s="34">
        <f t="shared" ref="N2948:N3011" si="93">L2948/J2948</f>
        <v>14.074406095921113</v>
      </c>
    </row>
    <row r="2949" spans="1:14" x14ac:dyDescent="0.45">
      <c r="A2949" s="30">
        <v>2024</v>
      </c>
      <c r="B2949" s="30" t="s">
        <v>11</v>
      </c>
      <c r="C2949" s="30" t="s">
        <v>46</v>
      </c>
      <c r="D2949" s="30" t="s">
        <v>47</v>
      </c>
      <c r="E2949" s="32" t="s">
        <v>268</v>
      </c>
      <c r="F2949" s="32" t="s">
        <v>57</v>
      </c>
      <c r="G2949" s="32" t="s">
        <v>50</v>
      </c>
      <c r="H2949" s="33">
        <v>16220</v>
      </c>
      <c r="I2949" s="34">
        <f>Table3[[#This Row],[Volume, kg.]]/1000</f>
        <v>16.22</v>
      </c>
      <c r="J2949" s="34">
        <v>0.2082</v>
      </c>
      <c r="K2949" s="34">
        <f t="shared" si="92"/>
        <v>3377.0039999999999</v>
      </c>
      <c r="L2949" s="34">
        <v>3</v>
      </c>
      <c r="M2949" s="34">
        <v>48660</v>
      </c>
      <c r="N2949" s="34">
        <f t="shared" si="93"/>
        <v>14.409221902017292</v>
      </c>
    </row>
    <row r="2950" spans="1:14" x14ac:dyDescent="0.45">
      <c r="A2950" s="30">
        <v>2024</v>
      </c>
      <c r="B2950" s="30" t="s">
        <v>11</v>
      </c>
      <c r="C2950" s="30" t="s">
        <v>46</v>
      </c>
      <c r="D2950" s="30" t="s">
        <v>47</v>
      </c>
      <c r="E2950" s="32" t="s">
        <v>624</v>
      </c>
      <c r="F2950" s="32" t="s">
        <v>49</v>
      </c>
      <c r="G2950" s="32" t="s">
        <v>50</v>
      </c>
      <c r="H2950" s="33">
        <v>32410</v>
      </c>
      <c r="I2950" s="34">
        <f>Table3[[#This Row],[Volume, kg.]]/1000</f>
        <v>32.409999999999997</v>
      </c>
      <c r="J2950" s="34">
        <v>0.23739999999999997</v>
      </c>
      <c r="K2950" s="34">
        <f t="shared" si="92"/>
        <v>7694.1339999999991</v>
      </c>
      <c r="L2950" s="34">
        <v>3.18</v>
      </c>
      <c r="M2950" s="34">
        <v>103035.5</v>
      </c>
      <c r="N2950" s="34">
        <f t="shared" si="93"/>
        <v>13.395113732097728</v>
      </c>
    </row>
    <row r="2951" spans="1:14" x14ac:dyDescent="0.45">
      <c r="A2951" s="30">
        <v>2024</v>
      </c>
      <c r="B2951" s="30" t="s">
        <v>11</v>
      </c>
      <c r="C2951" s="30" t="s">
        <v>46</v>
      </c>
      <c r="D2951" s="30" t="s">
        <v>47</v>
      </c>
      <c r="E2951" s="32" t="s">
        <v>147</v>
      </c>
      <c r="F2951" s="32" t="s">
        <v>57</v>
      </c>
      <c r="G2951" s="32" t="s">
        <v>50</v>
      </c>
      <c r="H2951" s="33">
        <v>8220</v>
      </c>
      <c r="I2951" s="34">
        <f>Table3[[#This Row],[Volume, kg.]]/1000</f>
        <v>8.2200000000000006</v>
      </c>
      <c r="J2951" s="34">
        <v>0.23879999999999998</v>
      </c>
      <c r="K2951" s="34">
        <f t="shared" si="92"/>
        <v>1962.9359999999999</v>
      </c>
      <c r="L2951" s="34">
        <v>3.2</v>
      </c>
      <c r="M2951" s="34">
        <v>26304</v>
      </c>
      <c r="N2951" s="34">
        <f t="shared" si="93"/>
        <v>13.400335008375212</v>
      </c>
    </row>
    <row r="2952" spans="1:14" x14ac:dyDescent="0.45">
      <c r="A2952" s="30">
        <v>2024</v>
      </c>
      <c r="B2952" s="30" t="s">
        <v>11</v>
      </c>
      <c r="C2952" s="30" t="s">
        <v>46</v>
      </c>
      <c r="D2952" s="30" t="s">
        <v>47</v>
      </c>
      <c r="E2952" s="32" t="s">
        <v>210</v>
      </c>
      <c r="F2952" s="32" t="s">
        <v>60</v>
      </c>
      <c r="G2952" s="32" t="s">
        <v>50</v>
      </c>
      <c r="H2952" s="33">
        <v>17570</v>
      </c>
      <c r="I2952" s="34">
        <f>Table3[[#This Row],[Volume, kg.]]/1000</f>
        <v>17.57</v>
      </c>
      <c r="J2952" s="34">
        <v>0.24149999999999999</v>
      </c>
      <c r="K2952" s="34">
        <f t="shared" si="92"/>
        <v>4243.1549999999997</v>
      </c>
      <c r="L2952" s="34">
        <v>3.23</v>
      </c>
      <c r="M2952" s="34">
        <v>56761.5</v>
      </c>
      <c r="N2952" s="34">
        <f t="shared" si="93"/>
        <v>13.374741200828158</v>
      </c>
    </row>
    <row r="2953" spans="1:14" x14ac:dyDescent="0.45">
      <c r="A2953" s="30">
        <v>2024</v>
      </c>
      <c r="B2953" s="30" t="s">
        <v>11</v>
      </c>
      <c r="C2953" s="30" t="s">
        <v>46</v>
      </c>
      <c r="D2953" s="30" t="s">
        <v>47</v>
      </c>
      <c r="E2953" s="32" t="s">
        <v>253</v>
      </c>
      <c r="F2953" s="32" t="s">
        <v>57</v>
      </c>
      <c r="G2953" s="32" t="s">
        <v>50</v>
      </c>
      <c r="H2953" s="33">
        <v>7870</v>
      </c>
      <c r="I2953" s="34">
        <f>Table3[[#This Row],[Volume, kg.]]/1000</f>
        <v>7.87</v>
      </c>
      <c r="J2953" s="34">
        <v>0.24050000000000002</v>
      </c>
      <c r="K2953" s="34">
        <f t="shared" si="92"/>
        <v>1892.7350000000001</v>
      </c>
      <c r="L2953" s="34">
        <v>3.25</v>
      </c>
      <c r="M2953" s="34">
        <v>25577.5</v>
      </c>
      <c r="N2953" s="34">
        <f t="shared" si="93"/>
        <v>13.513513513513512</v>
      </c>
    </row>
    <row r="2954" spans="1:14" x14ac:dyDescent="0.45">
      <c r="A2954" s="30">
        <v>2024</v>
      </c>
      <c r="B2954" s="30" t="s">
        <v>11</v>
      </c>
      <c r="C2954" s="30" t="s">
        <v>46</v>
      </c>
      <c r="D2954" s="30" t="s">
        <v>47</v>
      </c>
      <c r="E2954" s="32" t="s">
        <v>393</v>
      </c>
      <c r="F2954" s="32" t="s">
        <v>60</v>
      </c>
      <c r="G2954" s="32" t="s">
        <v>50</v>
      </c>
      <c r="H2954" s="33">
        <v>11300</v>
      </c>
      <c r="I2954" s="34">
        <f>Table3[[#This Row],[Volume, kg.]]/1000</f>
        <v>11.3</v>
      </c>
      <c r="J2954" s="34">
        <v>0.21</v>
      </c>
      <c r="K2954" s="34">
        <f t="shared" si="92"/>
        <v>2373</v>
      </c>
      <c r="L2954" s="34">
        <v>3.02</v>
      </c>
      <c r="M2954" s="34">
        <v>34133</v>
      </c>
      <c r="N2954" s="34">
        <f t="shared" si="93"/>
        <v>14.380952380952381</v>
      </c>
    </row>
    <row r="2955" spans="1:14" x14ac:dyDescent="0.45">
      <c r="A2955" s="30">
        <v>2024</v>
      </c>
      <c r="B2955" s="30" t="s">
        <v>11</v>
      </c>
      <c r="C2955" s="30" t="s">
        <v>46</v>
      </c>
      <c r="D2955" s="30" t="s">
        <v>47</v>
      </c>
      <c r="E2955" s="32" t="s">
        <v>171</v>
      </c>
      <c r="F2955" s="32" t="s">
        <v>49</v>
      </c>
      <c r="G2955" s="32" t="s">
        <v>50</v>
      </c>
      <c r="H2955" s="33">
        <v>8450</v>
      </c>
      <c r="I2955" s="34">
        <f>Table3[[#This Row],[Volume, kg.]]/1000</f>
        <v>8.4499999999999993</v>
      </c>
      <c r="J2955" s="34">
        <v>0.21149999999999999</v>
      </c>
      <c r="K2955" s="34">
        <f t="shared" si="92"/>
        <v>1787.175</v>
      </c>
      <c r="L2955" s="34">
        <v>3.1</v>
      </c>
      <c r="M2955" s="34">
        <v>26195</v>
      </c>
      <c r="N2955" s="34">
        <f t="shared" si="93"/>
        <v>14.657210401891254</v>
      </c>
    </row>
    <row r="2956" spans="1:14" x14ac:dyDescent="0.45">
      <c r="A2956" s="30">
        <v>2024</v>
      </c>
      <c r="B2956" s="30" t="s">
        <v>11</v>
      </c>
      <c r="C2956" s="30" t="s">
        <v>46</v>
      </c>
      <c r="D2956" s="30" t="s">
        <v>47</v>
      </c>
      <c r="E2956" s="32" t="s">
        <v>233</v>
      </c>
      <c r="F2956" s="32" t="s">
        <v>57</v>
      </c>
      <c r="G2956" s="32" t="s">
        <v>50</v>
      </c>
      <c r="H2956" s="33">
        <v>20390</v>
      </c>
      <c r="I2956" s="34">
        <f>Table3[[#This Row],[Volume, kg.]]/1000</f>
        <v>20.39</v>
      </c>
      <c r="J2956" s="34">
        <v>0.28510000000000002</v>
      </c>
      <c r="K2956" s="34">
        <f t="shared" si="92"/>
        <v>5813.1890000000003</v>
      </c>
      <c r="L2956" s="34">
        <v>3.53</v>
      </c>
      <c r="M2956" s="34">
        <v>71909.5</v>
      </c>
      <c r="N2956" s="34">
        <f t="shared" si="93"/>
        <v>12.381620484040686</v>
      </c>
    </row>
    <row r="2957" spans="1:14" x14ac:dyDescent="0.45">
      <c r="A2957" s="30">
        <v>2024</v>
      </c>
      <c r="B2957" s="30" t="s">
        <v>11</v>
      </c>
      <c r="C2957" s="30" t="s">
        <v>46</v>
      </c>
      <c r="D2957" s="30" t="s">
        <v>47</v>
      </c>
      <c r="E2957" s="32" t="s">
        <v>90</v>
      </c>
      <c r="F2957" s="32" t="s">
        <v>49</v>
      </c>
      <c r="G2957" s="32" t="s">
        <v>50</v>
      </c>
      <c r="H2957" s="33">
        <v>28120</v>
      </c>
      <c r="I2957" s="34">
        <f>Table3[[#This Row],[Volume, kg.]]/1000</f>
        <v>28.12</v>
      </c>
      <c r="J2957" s="34">
        <v>0.25359999999999999</v>
      </c>
      <c r="K2957" s="34">
        <f t="shared" si="92"/>
        <v>7131.232</v>
      </c>
      <c r="L2957" s="34">
        <v>3.37</v>
      </c>
      <c r="M2957" s="34">
        <v>94635</v>
      </c>
      <c r="N2957" s="34">
        <f t="shared" si="93"/>
        <v>13.288643533123029</v>
      </c>
    </row>
    <row r="2958" spans="1:14" x14ac:dyDescent="0.45">
      <c r="A2958" s="30">
        <v>2024</v>
      </c>
      <c r="B2958" s="30" t="s">
        <v>11</v>
      </c>
      <c r="C2958" s="30" t="s">
        <v>46</v>
      </c>
      <c r="D2958" s="30" t="s">
        <v>47</v>
      </c>
      <c r="E2958" s="32" t="s">
        <v>88</v>
      </c>
      <c r="F2958" s="32" t="s">
        <v>49</v>
      </c>
      <c r="G2958" s="32" t="s">
        <v>50</v>
      </c>
      <c r="H2958" s="33">
        <v>12410</v>
      </c>
      <c r="I2958" s="34">
        <f>Table3[[#This Row],[Volume, kg.]]/1000</f>
        <v>12.41</v>
      </c>
      <c r="J2958" s="34">
        <v>0.23350000000000001</v>
      </c>
      <c r="K2958" s="34">
        <f t="shared" si="92"/>
        <v>2897.7350000000001</v>
      </c>
      <c r="L2958" s="34">
        <v>3.25</v>
      </c>
      <c r="M2958" s="34">
        <v>40332.5</v>
      </c>
      <c r="N2958" s="34">
        <f t="shared" si="93"/>
        <v>13.918629550321198</v>
      </c>
    </row>
    <row r="2959" spans="1:14" x14ac:dyDescent="0.45">
      <c r="A2959" s="30">
        <v>2024</v>
      </c>
      <c r="B2959" s="30" t="s">
        <v>11</v>
      </c>
      <c r="C2959" s="30" t="s">
        <v>46</v>
      </c>
      <c r="D2959" s="30" t="s">
        <v>47</v>
      </c>
      <c r="E2959" s="32" t="s">
        <v>625</v>
      </c>
      <c r="F2959" s="32" t="s">
        <v>49</v>
      </c>
      <c r="G2959" s="32" t="s">
        <v>50</v>
      </c>
      <c r="H2959" s="33">
        <v>17130</v>
      </c>
      <c r="I2959" s="34">
        <f>Table3[[#This Row],[Volume, kg.]]/1000</f>
        <v>17.13</v>
      </c>
      <c r="J2959" s="34">
        <v>0.24109999999999998</v>
      </c>
      <c r="K2959" s="34">
        <f t="shared" si="92"/>
        <v>4130.0429999999997</v>
      </c>
      <c r="L2959" s="34">
        <v>3.2</v>
      </c>
      <c r="M2959" s="34">
        <v>54816</v>
      </c>
      <c r="N2959" s="34">
        <f t="shared" si="93"/>
        <v>13.272501036914145</v>
      </c>
    </row>
    <row r="2960" spans="1:14" x14ac:dyDescent="0.45">
      <c r="A2960" s="30">
        <v>2024</v>
      </c>
      <c r="B2960" s="30" t="s">
        <v>11</v>
      </c>
      <c r="C2960" s="30" t="s">
        <v>46</v>
      </c>
      <c r="D2960" s="30" t="s">
        <v>47</v>
      </c>
      <c r="E2960" s="32" t="s">
        <v>346</v>
      </c>
      <c r="F2960" s="32" t="s">
        <v>49</v>
      </c>
      <c r="G2960" s="32" t="s">
        <v>50</v>
      </c>
      <c r="H2960" s="33">
        <v>35190</v>
      </c>
      <c r="I2960" s="34">
        <f>Table3[[#This Row],[Volume, kg.]]/1000</f>
        <v>35.19</v>
      </c>
      <c r="J2960" s="34">
        <v>0.25069999999999998</v>
      </c>
      <c r="K2960" s="34">
        <f t="shared" si="92"/>
        <v>8822.1329999999998</v>
      </c>
      <c r="L2960" s="34">
        <v>3.19</v>
      </c>
      <c r="M2960" s="34">
        <v>112361.5</v>
      </c>
      <c r="N2960" s="34">
        <f t="shared" si="93"/>
        <v>12.724371759074591</v>
      </c>
    </row>
    <row r="2961" spans="1:14" x14ac:dyDescent="0.45">
      <c r="A2961" s="30">
        <v>2024</v>
      </c>
      <c r="B2961" s="30" t="s">
        <v>11</v>
      </c>
      <c r="C2961" s="30" t="s">
        <v>46</v>
      </c>
      <c r="D2961" s="30" t="s">
        <v>47</v>
      </c>
      <c r="E2961" s="32" t="s">
        <v>116</v>
      </c>
      <c r="F2961" s="32" t="s">
        <v>81</v>
      </c>
      <c r="G2961" s="32" t="s">
        <v>50</v>
      </c>
      <c r="H2961" s="33">
        <v>33280</v>
      </c>
      <c r="I2961" s="34">
        <f>Table3[[#This Row],[Volume, kg.]]/1000</f>
        <v>33.28</v>
      </c>
      <c r="J2961" s="34">
        <v>0.2752</v>
      </c>
      <c r="K2961" s="34">
        <f t="shared" si="92"/>
        <v>9158.6560000000009</v>
      </c>
      <c r="L2961" s="34">
        <v>3.51</v>
      </c>
      <c r="M2961" s="34">
        <v>116785</v>
      </c>
      <c r="N2961" s="34">
        <f t="shared" si="93"/>
        <v>12.754360465116278</v>
      </c>
    </row>
    <row r="2962" spans="1:14" x14ac:dyDescent="0.45">
      <c r="A2962" s="30">
        <v>2024</v>
      </c>
      <c r="B2962" s="30" t="s">
        <v>11</v>
      </c>
      <c r="C2962" s="30" t="s">
        <v>46</v>
      </c>
      <c r="D2962" s="30" t="s">
        <v>47</v>
      </c>
      <c r="E2962" s="32" t="s">
        <v>186</v>
      </c>
      <c r="F2962" s="32" t="s">
        <v>64</v>
      </c>
      <c r="G2962" s="32" t="s">
        <v>50</v>
      </c>
      <c r="H2962" s="33">
        <v>23280</v>
      </c>
      <c r="I2962" s="34">
        <f>Table3[[#This Row],[Volume, kg.]]/1000</f>
        <v>23.28</v>
      </c>
      <c r="J2962" s="34">
        <v>0.23800000000000002</v>
      </c>
      <c r="K2962" s="34">
        <f t="shared" si="92"/>
        <v>5540.64</v>
      </c>
      <c r="L2962" s="34">
        <v>3.32</v>
      </c>
      <c r="M2962" s="34">
        <v>77325</v>
      </c>
      <c r="N2962" s="34">
        <f t="shared" si="93"/>
        <v>13.949579831932772</v>
      </c>
    </row>
    <row r="2963" spans="1:14" x14ac:dyDescent="0.45">
      <c r="A2963" s="30">
        <v>2024</v>
      </c>
      <c r="B2963" s="30" t="s">
        <v>11</v>
      </c>
      <c r="C2963" s="30" t="s">
        <v>46</v>
      </c>
      <c r="D2963" s="30" t="s">
        <v>47</v>
      </c>
      <c r="E2963" s="32" t="s">
        <v>394</v>
      </c>
      <c r="F2963" s="32" t="s">
        <v>64</v>
      </c>
      <c r="G2963" s="32" t="s">
        <v>50</v>
      </c>
      <c r="H2963" s="33">
        <v>107720</v>
      </c>
      <c r="I2963" s="34">
        <f>Table3[[#This Row],[Volume, kg.]]/1000</f>
        <v>107.72</v>
      </c>
      <c r="J2963" s="34">
        <v>0.21539999999999998</v>
      </c>
      <c r="K2963" s="34">
        <f t="shared" si="92"/>
        <v>23202.887999999999</v>
      </c>
      <c r="L2963" s="34">
        <v>3.04</v>
      </c>
      <c r="M2963" s="34">
        <v>327924.5</v>
      </c>
      <c r="N2963" s="34">
        <f t="shared" si="93"/>
        <v>14.113277623026928</v>
      </c>
    </row>
    <row r="2964" spans="1:14" x14ac:dyDescent="0.45">
      <c r="A2964" s="30">
        <v>2024</v>
      </c>
      <c r="B2964" s="30" t="s">
        <v>11</v>
      </c>
      <c r="C2964" s="30" t="s">
        <v>46</v>
      </c>
      <c r="D2964" s="30" t="s">
        <v>47</v>
      </c>
      <c r="E2964" s="32" t="s">
        <v>225</v>
      </c>
      <c r="F2964" s="32" t="s">
        <v>64</v>
      </c>
      <c r="G2964" s="32" t="s">
        <v>50</v>
      </c>
      <c r="H2964" s="33">
        <v>132490</v>
      </c>
      <c r="I2964" s="34">
        <f>Table3[[#This Row],[Volume, kg.]]/1000</f>
        <v>132.49</v>
      </c>
      <c r="J2964" s="34">
        <v>0.2382</v>
      </c>
      <c r="K2964" s="34">
        <f t="shared" si="92"/>
        <v>31559.117999999999</v>
      </c>
      <c r="L2964" s="34">
        <v>3.21</v>
      </c>
      <c r="M2964" s="34">
        <v>424930.5</v>
      </c>
      <c r="N2964" s="34">
        <f t="shared" si="93"/>
        <v>13.476070528967254</v>
      </c>
    </row>
    <row r="2965" spans="1:14" x14ac:dyDescent="0.45">
      <c r="A2965" s="30">
        <v>2024</v>
      </c>
      <c r="B2965" s="30" t="s">
        <v>11</v>
      </c>
      <c r="C2965" s="30" t="s">
        <v>46</v>
      </c>
      <c r="D2965" s="30" t="s">
        <v>47</v>
      </c>
      <c r="E2965" s="32" t="s">
        <v>581</v>
      </c>
      <c r="F2965" s="32" t="s">
        <v>64</v>
      </c>
      <c r="G2965" s="32" t="s">
        <v>50</v>
      </c>
      <c r="H2965" s="33">
        <v>40860</v>
      </c>
      <c r="I2965" s="34">
        <f>Table3[[#This Row],[Volume, kg.]]/1000</f>
        <v>40.86</v>
      </c>
      <c r="J2965" s="34">
        <v>0.20710000000000001</v>
      </c>
      <c r="K2965" s="34">
        <f t="shared" si="92"/>
        <v>8462.1059999999998</v>
      </c>
      <c r="L2965" s="34">
        <v>3.05</v>
      </c>
      <c r="M2965" s="34">
        <v>124430.5</v>
      </c>
      <c r="N2965" s="34">
        <f t="shared" si="93"/>
        <v>14.727184934814098</v>
      </c>
    </row>
    <row r="2966" spans="1:14" x14ac:dyDescent="0.45">
      <c r="A2966" s="30">
        <v>2024</v>
      </c>
      <c r="B2966" s="30" t="s">
        <v>11</v>
      </c>
      <c r="C2966" s="30" t="s">
        <v>46</v>
      </c>
      <c r="D2966" s="30" t="s">
        <v>47</v>
      </c>
      <c r="E2966" s="32" t="s">
        <v>304</v>
      </c>
      <c r="F2966" s="32" t="s">
        <v>64</v>
      </c>
      <c r="G2966" s="32" t="s">
        <v>50</v>
      </c>
      <c r="H2966" s="33">
        <v>27470</v>
      </c>
      <c r="I2966" s="34">
        <f>Table3[[#This Row],[Volume, kg.]]/1000</f>
        <v>27.47</v>
      </c>
      <c r="J2966" s="34">
        <v>0.23519999999999999</v>
      </c>
      <c r="K2966" s="34">
        <f t="shared" si="92"/>
        <v>6460.9439999999995</v>
      </c>
      <c r="L2966" s="34">
        <v>3.26</v>
      </c>
      <c r="M2966" s="34">
        <v>89581.5</v>
      </c>
      <c r="N2966" s="34">
        <f t="shared" si="93"/>
        <v>13.860544217687075</v>
      </c>
    </row>
    <row r="2967" spans="1:14" x14ac:dyDescent="0.45">
      <c r="A2967" s="30">
        <v>2024</v>
      </c>
      <c r="B2967" s="30" t="s">
        <v>11</v>
      </c>
      <c r="C2967" s="30" t="s">
        <v>46</v>
      </c>
      <c r="D2967" s="30" t="s">
        <v>47</v>
      </c>
      <c r="E2967" s="32" t="s">
        <v>197</v>
      </c>
      <c r="F2967" s="32" t="s">
        <v>57</v>
      </c>
      <c r="G2967" s="32" t="s">
        <v>50</v>
      </c>
      <c r="H2967" s="33">
        <v>16030</v>
      </c>
      <c r="I2967" s="34">
        <f>Table3[[#This Row],[Volume, kg.]]/1000</f>
        <v>16.03</v>
      </c>
      <c r="J2967" s="34">
        <v>0.21969999999999998</v>
      </c>
      <c r="K2967" s="34">
        <f t="shared" si="92"/>
        <v>3521.7909999999997</v>
      </c>
      <c r="L2967" s="34">
        <v>3.18</v>
      </c>
      <c r="M2967" s="34">
        <v>50965</v>
      </c>
      <c r="N2967" s="34">
        <f t="shared" si="93"/>
        <v>14.474283113336369</v>
      </c>
    </row>
    <row r="2968" spans="1:14" x14ac:dyDescent="0.45">
      <c r="A2968" s="30">
        <v>2024</v>
      </c>
      <c r="B2968" s="30" t="s">
        <v>11</v>
      </c>
      <c r="C2968" s="30" t="s">
        <v>46</v>
      </c>
      <c r="D2968" s="30" t="s">
        <v>47</v>
      </c>
      <c r="E2968" s="32" t="s">
        <v>206</v>
      </c>
      <c r="F2968" s="32" t="s">
        <v>81</v>
      </c>
      <c r="G2968" s="32" t="s">
        <v>50</v>
      </c>
      <c r="H2968" s="33">
        <v>174860</v>
      </c>
      <c r="I2968" s="34">
        <f>Table3[[#This Row],[Volume, kg.]]/1000</f>
        <v>174.86</v>
      </c>
      <c r="J2968" s="34">
        <v>0.26200000000000001</v>
      </c>
      <c r="K2968" s="34">
        <f t="shared" si="92"/>
        <v>45813.32</v>
      </c>
      <c r="L2968" s="34">
        <v>3.37</v>
      </c>
      <c r="M2968" s="34">
        <v>589872.5</v>
      </c>
      <c r="N2968" s="34">
        <f t="shared" si="93"/>
        <v>12.862595419847327</v>
      </c>
    </row>
    <row r="2969" spans="1:14" x14ac:dyDescent="0.45">
      <c r="A2969" s="30">
        <v>2024</v>
      </c>
      <c r="B2969" s="30" t="s">
        <v>11</v>
      </c>
      <c r="C2969" s="30" t="s">
        <v>46</v>
      </c>
      <c r="D2969" s="30" t="s">
        <v>47</v>
      </c>
      <c r="E2969" s="32" t="s">
        <v>350</v>
      </c>
      <c r="F2969" s="32" t="s">
        <v>49</v>
      </c>
      <c r="G2969" s="32" t="s">
        <v>50</v>
      </c>
      <c r="H2969" s="33">
        <v>3600</v>
      </c>
      <c r="I2969" s="34">
        <f>Table3[[#This Row],[Volume, kg.]]/1000</f>
        <v>3.6</v>
      </c>
      <c r="J2969" s="34">
        <v>0.20949999999999999</v>
      </c>
      <c r="K2969" s="34">
        <f t="shared" si="92"/>
        <v>754.19999999999993</v>
      </c>
      <c r="L2969" s="34">
        <v>2.9</v>
      </c>
      <c r="M2969" s="34">
        <v>10440</v>
      </c>
      <c r="N2969" s="34">
        <f t="shared" si="93"/>
        <v>13.842482100238664</v>
      </c>
    </row>
    <row r="2970" spans="1:14" x14ac:dyDescent="0.45">
      <c r="A2970" s="30">
        <v>2024</v>
      </c>
      <c r="B2970" s="30" t="s">
        <v>11</v>
      </c>
      <c r="C2970" s="30" t="s">
        <v>46</v>
      </c>
      <c r="D2970" s="30" t="s">
        <v>47</v>
      </c>
      <c r="E2970" s="32" t="s">
        <v>610</v>
      </c>
      <c r="F2970" s="32" t="s">
        <v>238</v>
      </c>
      <c r="G2970" s="32" t="s">
        <v>50</v>
      </c>
      <c r="H2970" s="33">
        <v>79960</v>
      </c>
      <c r="I2970" s="34">
        <f>Table3[[#This Row],[Volume, kg.]]/1000</f>
        <v>79.959999999999994</v>
      </c>
      <c r="J2970" s="34">
        <v>0.25140000000000001</v>
      </c>
      <c r="K2970" s="34">
        <f t="shared" si="92"/>
        <v>20101.944</v>
      </c>
      <c r="L2970" s="34">
        <v>3.22</v>
      </c>
      <c r="M2970" s="34">
        <v>257488.5</v>
      </c>
      <c r="N2970" s="34">
        <f t="shared" si="93"/>
        <v>12.808273667462212</v>
      </c>
    </row>
    <row r="2971" spans="1:14" x14ac:dyDescent="0.45">
      <c r="A2971" s="30">
        <v>2024</v>
      </c>
      <c r="B2971" s="30" t="s">
        <v>11</v>
      </c>
      <c r="C2971" s="30" t="s">
        <v>46</v>
      </c>
      <c r="D2971" s="30" t="s">
        <v>47</v>
      </c>
      <c r="E2971" s="32" t="s">
        <v>395</v>
      </c>
      <c r="F2971" s="32" t="s">
        <v>81</v>
      </c>
      <c r="G2971" s="32" t="s">
        <v>50</v>
      </c>
      <c r="H2971" s="33">
        <v>23690</v>
      </c>
      <c r="I2971" s="34">
        <f>Table3[[#This Row],[Volume, kg.]]/1000</f>
        <v>23.69</v>
      </c>
      <c r="J2971" s="34">
        <v>0.24170000000000003</v>
      </c>
      <c r="K2971" s="34">
        <f t="shared" si="92"/>
        <v>5725.8730000000005</v>
      </c>
      <c r="L2971" s="34">
        <v>3.32</v>
      </c>
      <c r="M2971" s="34">
        <v>78685.5</v>
      </c>
      <c r="N2971" s="34">
        <f t="shared" si="93"/>
        <v>13.736036408771202</v>
      </c>
    </row>
    <row r="2972" spans="1:14" x14ac:dyDescent="0.45">
      <c r="A2972" s="30">
        <v>2024</v>
      </c>
      <c r="B2972" s="30" t="s">
        <v>11</v>
      </c>
      <c r="C2972" s="30" t="s">
        <v>46</v>
      </c>
      <c r="D2972" s="30" t="s">
        <v>47</v>
      </c>
      <c r="E2972" s="32" t="s">
        <v>548</v>
      </c>
      <c r="F2972" s="32" t="s">
        <v>49</v>
      </c>
      <c r="G2972" s="32" t="s">
        <v>50</v>
      </c>
      <c r="H2972" s="33">
        <v>9850</v>
      </c>
      <c r="I2972" s="34">
        <f>Table3[[#This Row],[Volume, kg.]]/1000</f>
        <v>9.85</v>
      </c>
      <c r="J2972" s="34">
        <v>0.22899999999999998</v>
      </c>
      <c r="K2972" s="34">
        <f t="shared" si="92"/>
        <v>2255.6499999999996</v>
      </c>
      <c r="L2972" s="34">
        <v>3.15</v>
      </c>
      <c r="M2972" s="34">
        <v>31027.5</v>
      </c>
      <c r="N2972" s="34">
        <f t="shared" si="93"/>
        <v>13.755458515283843</v>
      </c>
    </row>
    <row r="2973" spans="1:14" x14ac:dyDescent="0.45">
      <c r="A2973" s="30">
        <v>2024</v>
      </c>
      <c r="B2973" s="30" t="s">
        <v>11</v>
      </c>
      <c r="C2973" s="30" t="s">
        <v>46</v>
      </c>
      <c r="D2973" s="30" t="s">
        <v>47</v>
      </c>
      <c r="E2973" s="32" t="s">
        <v>342</v>
      </c>
      <c r="F2973" s="32" t="s">
        <v>81</v>
      </c>
      <c r="G2973" s="32" t="s">
        <v>50</v>
      </c>
      <c r="H2973" s="33">
        <v>169300</v>
      </c>
      <c r="I2973" s="34">
        <f>Table3[[#This Row],[Volume, kg.]]/1000</f>
        <v>169.3</v>
      </c>
      <c r="J2973" s="34">
        <v>0.26369999999999999</v>
      </c>
      <c r="K2973" s="34">
        <f t="shared" si="92"/>
        <v>44644.409999999996</v>
      </c>
      <c r="L2973" s="34">
        <v>3.28</v>
      </c>
      <c r="M2973" s="34">
        <v>555678.5</v>
      </c>
      <c r="N2973" s="34">
        <f t="shared" si="93"/>
        <v>12.438376943496397</v>
      </c>
    </row>
    <row r="2974" spans="1:14" x14ac:dyDescent="0.45">
      <c r="A2974" s="30">
        <v>2024</v>
      </c>
      <c r="B2974" s="30" t="s">
        <v>11</v>
      </c>
      <c r="C2974" s="30" t="s">
        <v>46</v>
      </c>
      <c r="D2974" s="30" t="s">
        <v>47</v>
      </c>
      <c r="E2974" s="32" t="s">
        <v>98</v>
      </c>
      <c r="F2974" s="32" t="s">
        <v>49</v>
      </c>
      <c r="G2974" s="32" t="s">
        <v>50</v>
      </c>
      <c r="H2974" s="33">
        <v>21040</v>
      </c>
      <c r="I2974" s="34">
        <f>Table3[[#This Row],[Volume, kg.]]/1000</f>
        <v>21.04</v>
      </c>
      <c r="J2974" s="34">
        <v>0.2482</v>
      </c>
      <c r="K2974" s="34">
        <f t="shared" si="92"/>
        <v>5222.1279999999997</v>
      </c>
      <c r="L2974" s="34">
        <v>3.37</v>
      </c>
      <c r="M2974" s="34">
        <v>70997.5</v>
      </c>
      <c r="N2974" s="34">
        <f t="shared" si="93"/>
        <v>13.577759871071716</v>
      </c>
    </row>
    <row r="2975" spans="1:14" x14ac:dyDescent="0.45">
      <c r="A2975" s="30">
        <v>2024</v>
      </c>
      <c r="B2975" s="30" t="s">
        <v>11</v>
      </c>
      <c r="C2975" s="30" t="s">
        <v>46</v>
      </c>
      <c r="D2975" s="30" t="s">
        <v>47</v>
      </c>
      <c r="E2975" s="32" t="s">
        <v>80</v>
      </c>
      <c r="F2975" s="32" t="s">
        <v>81</v>
      </c>
      <c r="G2975" s="32" t="s">
        <v>50</v>
      </c>
      <c r="H2975" s="33">
        <v>216650</v>
      </c>
      <c r="I2975" s="34">
        <f>Table3[[#This Row],[Volume, kg.]]/1000</f>
        <v>216.65</v>
      </c>
      <c r="J2975" s="34">
        <v>0.23519999999999999</v>
      </c>
      <c r="K2975" s="34">
        <f t="shared" si="92"/>
        <v>50956.08</v>
      </c>
      <c r="L2975" s="34">
        <v>3.14</v>
      </c>
      <c r="M2975" s="34">
        <v>679625.5</v>
      </c>
      <c r="N2975" s="34">
        <f t="shared" si="93"/>
        <v>13.350340136054422</v>
      </c>
    </row>
    <row r="2976" spans="1:14" x14ac:dyDescent="0.45">
      <c r="A2976" s="30">
        <v>2024</v>
      </c>
      <c r="B2976" s="30" t="s">
        <v>11</v>
      </c>
      <c r="C2976" s="30" t="s">
        <v>46</v>
      </c>
      <c r="D2976" s="30" t="s">
        <v>47</v>
      </c>
      <c r="E2976" s="32" t="s">
        <v>583</v>
      </c>
      <c r="F2976" s="32" t="s">
        <v>64</v>
      </c>
      <c r="G2976" s="32" t="s">
        <v>50</v>
      </c>
      <c r="H2976" s="33">
        <v>6400</v>
      </c>
      <c r="I2976" s="34">
        <f>Table3[[#This Row],[Volume, kg.]]/1000</f>
        <v>6.4</v>
      </c>
      <c r="J2976" s="34">
        <v>0.21299999999999999</v>
      </c>
      <c r="K2976" s="34">
        <f t="shared" si="92"/>
        <v>1363.2</v>
      </c>
      <c r="L2976" s="34">
        <v>3.05</v>
      </c>
      <c r="M2976" s="34">
        <v>19520</v>
      </c>
      <c r="N2976" s="34">
        <f t="shared" si="93"/>
        <v>14.31924882629108</v>
      </c>
    </row>
    <row r="2977" spans="1:14" x14ac:dyDescent="0.45">
      <c r="A2977" s="30">
        <v>2024</v>
      </c>
      <c r="B2977" s="30" t="s">
        <v>11</v>
      </c>
      <c r="C2977" s="30" t="s">
        <v>46</v>
      </c>
      <c r="D2977" s="30" t="s">
        <v>47</v>
      </c>
      <c r="E2977" s="32" t="s">
        <v>398</v>
      </c>
      <c r="F2977" s="32" t="s">
        <v>64</v>
      </c>
      <c r="G2977" s="32" t="s">
        <v>50</v>
      </c>
      <c r="H2977" s="33">
        <v>44380</v>
      </c>
      <c r="I2977" s="34">
        <f>Table3[[#This Row],[Volume, kg.]]/1000</f>
        <v>44.38</v>
      </c>
      <c r="J2977" s="34">
        <v>0.2263</v>
      </c>
      <c r="K2977" s="34">
        <f t="shared" si="92"/>
        <v>10043.194</v>
      </c>
      <c r="L2977" s="34">
        <v>3.13</v>
      </c>
      <c r="M2977" s="34">
        <v>138887.5</v>
      </c>
      <c r="N2977" s="34">
        <f t="shared" si="93"/>
        <v>13.831197525408749</v>
      </c>
    </row>
    <row r="2978" spans="1:14" x14ac:dyDescent="0.45">
      <c r="A2978" s="30">
        <v>2024</v>
      </c>
      <c r="B2978" s="30" t="s">
        <v>11</v>
      </c>
      <c r="C2978" s="30" t="s">
        <v>46</v>
      </c>
      <c r="D2978" s="30" t="s">
        <v>47</v>
      </c>
      <c r="E2978" s="32" t="s">
        <v>131</v>
      </c>
      <c r="F2978" s="32" t="s">
        <v>64</v>
      </c>
      <c r="G2978" s="32" t="s">
        <v>50</v>
      </c>
      <c r="H2978" s="33">
        <v>30740</v>
      </c>
      <c r="I2978" s="34">
        <f>Table3[[#This Row],[Volume, kg.]]/1000</f>
        <v>30.74</v>
      </c>
      <c r="J2978" s="34">
        <v>0.21629999999999999</v>
      </c>
      <c r="K2978" s="34">
        <f t="shared" si="92"/>
        <v>6649.0619999999999</v>
      </c>
      <c r="L2978" s="34">
        <v>2.98</v>
      </c>
      <c r="M2978" s="34">
        <v>91591.5</v>
      </c>
      <c r="N2978" s="34">
        <f t="shared" si="93"/>
        <v>13.777161349976884</v>
      </c>
    </row>
    <row r="2979" spans="1:14" x14ac:dyDescent="0.45">
      <c r="A2979" s="30">
        <v>2024</v>
      </c>
      <c r="B2979" s="30" t="s">
        <v>11</v>
      </c>
      <c r="C2979" s="30" t="s">
        <v>46</v>
      </c>
      <c r="D2979" s="30" t="s">
        <v>102</v>
      </c>
      <c r="E2979" s="32" t="s">
        <v>103</v>
      </c>
      <c r="F2979" s="32" t="s">
        <v>104</v>
      </c>
      <c r="G2979" s="32" t="s">
        <v>105</v>
      </c>
      <c r="H2979" s="33">
        <v>199170</v>
      </c>
      <c r="I2979" s="34">
        <f>Table3[[#This Row],[Volume, kg.]]/1000</f>
        <v>199.17</v>
      </c>
      <c r="J2979" s="34">
        <v>0.2132</v>
      </c>
      <c r="K2979" s="34">
        <f t="shared" si="92"/>
        <v>42463.044000000002</v>
      </c>
      <c r="L2979" s="34">
        <v>3.01</v>
      </c>
      <c r="M2979" s="34">
        <v>598588</v>
      </c>
      <c r="N2979" s="34">
        <f t="shared" si="93"/>
        <v>14.118198874296434</v>
      </c>
    </row>
    <row r="2980" spans="1:14" x14ac:dyDescent="0.45">
      <c r="A2980" s="30">
        <v>2024</v>
      </c>
      <c r="B2980" s="30" t="s">
        <v>11</v>
      </c>
      <c r="C2980" s="30" t="s">
        <v>46</v>
      </c>
      <c r="D2980" s="30" t="s">
        <v>47</v>
      </c>
      <c r="E2980" s="32" t="s">
        <v>203</v>
      </c>
      <c r="F2980" s="32" t="s">
        <v>57</v>
      </c>
      <c r="G2980" s="32" t="s">
        <v>50</v>
      </c>
      <c r="H2980" s="33">
        <v>14770</v>
      </c>
      <c r="I2980" s="34">
        <f>Table3[[#This Row],[Volume, kg.]]/1000</f>
        <v>14.77</v>
      </c>
      <c r="J2980" s="34">
        <v>0.23129999999999998</v>
      </c>
      <c r="K2980" s="34">
        <f t="shared" si="92"/>
        <v>3416.3009999999995</v>
      </c>
      <c r="L2980" s="34">
        <v>3.22</v>
      </c>
      <c r="M2980" s="34">
        <v>47612</v>
      </c>
      <c r="N2980" s="34">
        <f t="shared" si="93"/>
        <v>13.921314310419371</v>
      </c>
    </row>
    <row r="2981" spans="1:14" x14ac:dyDescent="0.45">
      <c r="A2981" s="30">
        <v>2024</v>
      </c>
      <c r="B2981" s="30" t="s">
        <v>11</v>
      </c>
      <c r="C2981" s="30" t="s">
        <v>46</v>
      </c>
      <c r="D2981" s="30" t="s">
        <v>47</v>
      </c>
      <c r="E2981" s="32" t="s">
        <v>137</v>
      </c>
      <c r="F2981" s="32" t="s">
        <v>49</v>
      </c>
      <c r="G2981" s="32" t="s">
        <v>50</v>
      </c>
      <c r="H2981" s="33">
        <v>12030</v>
      </c>
      <c r="I2981" s="34">
        <f>Table3[[#This Row],[Volume, kg.]]/1000</f>
        <v>12.03</v>
      </c>
      <c r="J2981" s="34">
        <v>0.26500000000000001</v>
      </c>
      <c r="K2981" s="34">
        <f t="shared" si="92"/>
        <v>3187.9500000000003</v>
      </c>
      <c r="L2981" s="34">
        <v>3.55</v>
      </c>
      <c r="M2981" s="34">
        <v>42706.5</v>
      </c>
      <c r="N2981" s="34">
        <f t="shared" si="93"/>
        <v>13.396226415094338</v>
      </c>
    </row>
    <row r="2982" spans="1:14" x14ac:dyDescent="0.45">
      <c r="A2982" s="30">
        <v>2024</v>
      </c>
      <c r="B2982" s="30" t="s">
        <v>11</v>
      </c>
      <c r="C2982" s="30" t="s">
        <v>46</v>
      </c>
      <c r="D2982" s="30" t="s">
        <v>47</v>
      </c>
      <c r="E2982" s="32" t="s">
        <v>626</v>
      </c>
      <c r="F2982" s="32" t="s">
        <v>49</v>
      </c>
      <c r="G2982" s="32" t="s">
        <v>50</v>
      </c>
      <c r="H2982" s="33">
        <v>37980</v>
      </c>
      <c r="I2982" s="34">
        <f>Table3[[#This Row],[Volume, kg.]]/1000</f>
        <v>37.979999999999997</v>
      </c>
      <c r="J2982" s="34">
        <v>0.20879999999999999</v>
      </c>
      <c r="K2982" s="34">
        <f t="shared" si="92"/>
        <v>7930.2239999999993</v>
      </c>
      <c r="L2982" s="34">
        <v>3.13</v>
      </c>
      <c r="M2982" s="34">
        <v>118775</v>
      </c>
      <c r="N2982" s="34">
        <f t="shared" si="93"/>
        <v>14.990421455938698</v>
      </c>
    </row>
    <row r="2983" spans="1:14" x14ac:dyDescent="0.45">
      <c r="A2983" s="30">
        <v>2024</v>
      </c>
      <c r="B2983" s="30" t="s">
        <v>11</v>
      </c>
      <c r="C2983" s="30" t="s">
        <v>46</v>
      </c>
      <c r="D2983" s="30" t="s">
        <v>47</v>
      </c>
      <c r="E2983" s="32" t="s">
        <v>334</v>
      </c>
      <c r="F2983" s="32" t="s">
        <v>81</v>
      </c>
      <c r="G2983" s="32" t="s">
        <v>50</v>
      </c>
      <c r="H2983" s="33">
        <v>17310</v>
      </c>
      <c r="I2983" s="34">
        <f>Table3[[#This Row],[Volume, kg.]]/1000</f>
        <v>17.309999999999999</v>
      </c>
      <c r="J2983" s="34">
        <v>0.27100000000000002</v>
      </c>
      <c r="K2983" s="34">
        <f t="shared" si="92"/>
        <v>4691.01</v>
      </c>
      <c r="L2983" s="34">
        <v>3.4</v>
      </c>
      <c r="M2983" s="34">
        <v>58854</v>
      </c>
      <c r="N2983" s="34">
        <f t="shared" si="93"/>
        <v>12.546125461254611</v>
      </c>
    </row>
    <row r="2984" spans="1:14" x14ac:dyDescent="0.45">
      <c r="A2984" s="30">
        <v>2024</v>
      </c>
      <c r="B2984" s="30" t="s">
        <v>11</v>
      </c>
      <c r="C2984" s="30" t="s">
        <v>46</v>
      </c>
      <c r="D2984" s="30" t="s">
        <v>47</v>
      </c>
      <c r="E2984" s="32" t="s">
        <v>526</v>
      </c>
      <c r="F2984" s="32" t="s">
        <v>49</v>
      </c>
      <c r="G2984" s="32" t="s">
        <v>50</v>
      </c>
      <c r="H2984" s="33">
        <v>14050</v>
      </c>
      <c r="I2984" s="34">
        <f>Table3[[#This Row],[Volume, kg.]]/1000</f>
        <v>14.05</v>
      </c>
      <c r="J2984" s="34">
        <v>0.28300000000000003</v>
      </c>
      <c r="K2984" s="34">
        <f t="shared" si="92"/>
        <v>3976.1500000000005</v>
      </c>
      <c r="L2984" s="34">
        <v>3.5</v>
      </c>
      <c r="M2984" s="34">
        <v>49175</v>
      </c>
      <c r="N2984" s="34">
        <f t="shared" si="93"/>
        <v>12.367491166077738</v>
      </c>
    </row>
    <row r="2985" spans="1:14" x14ac:dyDescent="0.45">
      <c r="A2985" s="30">
        <v>2024</v>
      </c>
      <c r="B2985" s="30" t="s">
        <v>11</v>
      </c>
      <c r="C2985" s="30" t="s">
        <v>46</v>
      </c>
      <c r="D2985" s="30" t="s">
        <v>47</v>
      </c>
      <c r="E2985" s="32" t="s">
        <v>400</v>
      </c>
      <c r="F2985" s="32" t="s">
        <v>281</v>
      </c>
      <c r="G2985" s="32" t="s">
        <v>50</v>
      </c>
      <c r="H2985" s="33">
        <v>13060</v>
      </c>
      <c r="I2985" s="34">
        <f>Table3[[#This Row],[Volume, kg.]]/1000</f>
        <v>13.06</v>
      </c>
      <c r="J2985" s="34">
        <v>0.16899999999999998</v>
      </c>
      <c r="K2985" s="34">
        <f t="shared" si="92"/>
        <v>2207.14</v>
      </c>
      <c r="L2985" s="34">
        <v>2.65</v>
      </c>
      <c r="M2985" s="34">
        <v>34609</v>
      </c>
      <c r="N2985" s="34">
        <f t="shared" si="93"/>
        <v>15.680473372781066</v>
      </c>
    </row>
    <row r="2986" spans="1:14" x14ac:dyDescent="0.45">
      <c r="A2986" s="30">
        <v>2024</v>
      </c>
      <c r="B2986" s="30" t="s">
        <v>11</v>
      </c>
      <c r="C2986" s="30" t="s">
        <v>46</v>
      </c>
      <c r="D2986" s="30" t="s">
        <v>47</v>
      </c>
      <c r="E2986" s="32" t="s">
        <v>335</v>
      </c>
      <c r="F2986" s="32" t="s">
        <v>54</v>
      </c>
      <c r="G2986" s="32" t="s">
        <v>50</v>
      </c>
      <c r="H2986" s="33">
        <v>104070</v>
      </c>
      <c r="I2986" s="34">
        <f>Table3[[#This Row],[Volume, kg.]]/1000</f>
        <v>104.07</v>
      </c>
      <c r="J2986" s="34">
        <v>0.24489999999999998</v>
      </c>
      <c r="K2986" s="34">
        <f t="shared" si="92"/>
        <v>25486.742999999999</v>
      </c>
      <c r="L2986" s="34">
        <v>3.27</v>
      </c>
      <c r="M2986" s="34">
        <v>340637</v>
      </c>
      <c r="N2986" s="34">
        <f t="shared" si="93"/>
        <v>13.352388730093917</v>
      </c>
    </row>
    <row r="2987" spans="1:14" x14ac:dyDescent="0.45">
      <c r="A2987" s="30">
        <v>2024</v>
      </c>
      <c r="B2987" s="30" t="s">
        <v>11</v>
      </c>
      <c r="C2987" s="30" t="s">
        <v>46</v>
      </c>
      <c r="D2987" s="30" t="s">
        <v>102</v>
      </c>
      <c r="E2987" s="32" t="s">
        <v>117</v>
      </c>
      <c r="F2987" s="32" t="s">
        <v>118</v>
      </c>
      <c r="G2987" s="32" t="s">
        <v>119</v>
      </c>
      <c r="H2987" s="33">
        <v>176420</v>
      </c>
      <c r="I2987" s="34">
        <f>Table3[[#This Row],[Volume, kg.]]/1000</f>
        <v>176.42</v>
      </c>
      <c r="J2987" s="34">
        <v>0.24390000000000001</v>
      </c>
      <c r="K2987" s="34">
        <f t="shared" si="92"/>
        <v>43028.838000000003</v>
      </c>
      <c r="L2987" s="34">
        <v>3.22</v>
      </c>
      <c r="M2987" s="34">
        <v>567313</v>
      </c>
      <c r="N2987" s="34">
        <f t="shared" si="93"/>
        <v>13.202132021320214</v>
      </c>
    </row>
    <row r="2988" spans="1:14" x14ac:dyDescent="0.45">
      <c r="A2988" s="30">
        <v>2024</v>
      </c>
      <c r="B2988" s="30" t="s">
        <v>11</v>
      </c>
      <c r="C2988" s="30" t="s">
        <v>46</v>
      </c>
      <c r="D2988" s="30" t="s">
        <v>47</v>
      </c>
      <c r="E2988" s="32" t="s">
        <v>401</v>
      </c>
      <c r="F2988" s="32" t="s">
        <v>57</v>
      </c>
      <c r="G2988" s="32" t="s">
        <v>50</v>
      </c>
      <c r="H2988" s="33">
        <v>8260</v>
      </c>
      <c r="I2988" s="34">
        <f>Table3[[#This Row],[Volume, kg.]]/1000</f>
        <v>8.26</v>
      </c>
      <c r="J2988" s="34">
        <v>0.19820000000000002</v>
      </c>
      <c r="K2988" s="34">
        <f t="shared" si="92"/>
        <v>1637.1320000000001</v>
      </c>
      <c r="L2988" s="34">
        <v>3.15</v>
      </c>
      <c r="M2988" s="34">
        <v>26019</v>
      </c>
      <c r="N2988" s="34">
        <f t="shared" si="93"/>
        <v>15.893037336024216</v>
      </c>
    </row>
    <row r="2989" spans="1:14" x14ac:dyDescent="0.45">
      <c r="A2989" s="30">
        <v>2024</v>
      </c>
      <c r="B2989" s="30" t="s">
        <v>11</v>
      </c>
      <c r="C2989" s="30" t="s">
        <v>46</v>
      </c>
      <c r="D2989" s="30" t="s">
        <v>47</v>
      </c>
      <c r="E2989" s="32" t="s">
        <v>402</v>
      </c>
      <c r="F2989" s="32" t="s">
        <v>60</v>
      </c>
      <c r="G2989" s="32" t="s">
        <v>50</v>
      </c>
      <c r="H2989" s="33">
        <v>9610</v>
      </c>
      <c r="I2989" s="34">
        <f>Table3[[#This Row],[Volume, kg.]]/1000</f>
        <v>9.61</v>
      </c>
      <c r="J2989" s="34">
        <v>0.21899999999999997</v>
      </c>
      <c r="K2989" s="34">
        <f t="shared" si="92"/>
        <v>2104.5899999999997</v>
      </c>
      <c r="L2989" s="34">
        <v>3.05</v>
      </c>
      <c r="M2989" s="34">
        <v>29310.5</v>
      </c>
      <c r="N2989" s="34">
        <f t="shared" si="93"/>
        <v>13.926940639269407</v>
      </c>
    </row>
    <row r="2990" spans="1:14" x14ac:dyDescent="0.45">
      <c r="A2990" s="30">
        <v>2024</v>
      </c>
      <c r="B2990" s="30" t="s">
        <v>11</v>
      </c>
      <c r="C2990" s="30" t="s">
        <v>46</v>
      </c>
      <c r="D2990" s="30" t="s">
        <v>47</v>
      </c>
      <c r="E2990" s="32" t="s">
        <v>507</v>
      </c>
      <c r="F2990" s="32" t="s">
        <v>60</v>
      </c>
      <c r="G2990" s="32" t="s">
        <v>50</v>
      </c>
      <c r="H2990" s="33">
        <v>17410</v>
      </c>
      <c r="I2990" s="34">
        <f>Table3[[#This Row],[Volume, kg.]]/1000</f>
        <v>17.41</v>
      </c>
      <c r="J2990" s="34">
        <v>0.25869999999999999</v>
      </c>
      <c r="K2990" s="34">
        <f t="shared" si="92"/>
        <v>4503.9669999999996</v>
      </c>
      <c r="L2990" s="34">
        <v>3.2</v>
      </c>
      <c r="M2990" s="34">
        <v>55712</v>
      </c>
      <c r="N2990" s="34">
        <f t="shared" si="93"/>
        <v>12.369540007730963</v>
      </c>
    </row>
    <row r="2991" spans="1:14" x14ac:dyDescent="0.45">
      <c r="A2991" s="30">
        <v>2024</v>
      </c>
      <c r="B2991" s="30" t="s">
        <v>11</v>
      </c>
      <c r="C2991" s="30" t="s">
        <v>46</v>
      </c>
      <c r="D2991" s="30" t="s">
        <v>47</v>
      </c>
      <c r="E2991" s="32" t="s">
        <v>214</v>
      </c>
      <c r="F2991" s="32" t="s">
        <v>64</v>
      </c>
      <c r="G2991" s="32" t="s">
        <v>50</v>
      </c>
      <c r="H2991" s="33">
        <v>19520</v>
      </c>
      <c r="I2991" s="34">
        <f>Table3[[#This Row],[Volume, kg.]]/1000</f>
        <v>19.52</v>
      </c>
      <c r="J2991" s="34">
        <v>0.2823</v>
      </c>
      <c r="K2991" s="34">
        <f t="shared" si="92"/>
        <v>5510.4960000000001</v>
      </c>
      <c r="L2991" s="34">
        <v>3.33</v>
      </c>
      <c r="M2991" s="34">
        <v>65009</v>
      </c>
      <c r="N2991" s="34">
        <f t="shared" si="93"/>
        <v>11.79596174282678</v>
      </c>
    </row>
    <row r="2992" spans="1:14" x14ac:dyDescent="0.45">
      <c r="A2992" s="30">
        <v>2024</v>
      </c>
      <c r="B2992" s="30" t="s">
        <v>11</v>
      </c>
      <c r="C2992" s="30" t="s">
        <v>46</v>
      </c>
      <c r="D2992" s="30" t="s">
        <v>47</v>
      </c>
      <c r="E2992" s="32" t="s">
        <v>318</v>
      </c>
      <c r="F2992" s="32" t="s">
        <v>60</v>
      </c>
      <c r="G2992" s="32" t="s">
        <v>50</v>
      </c>
      <c r="H2992" s="33">
        <v>77320</v>
      </c>
      <c r="I2992" s="34">
        <f>Table3[[#This Row],[Volume, kg.]]/1000</f>
        <v>77.319999999999993</v>
      </c>
      <c r="J2992" s="34">
        <v>0.26690000000000003</v>
      </c>
      <c r="K2992" s="34">
        <f t="shared" si="92"/>
        <v>20636.708000000002</v>
      </c>
      <c r="L2992" s="34">
        <v>3.4</v>
      </c>
      <c r="M2992" s="34">
        <v>262593</v>
      </c>
      <c r="N2992" s="34">
        <f t="shared" si="93"/>
        <v>12.738853503184712</v>
      </c>
    </row>
    <row r="2993" spans="1:14" x14ac:dyDescent="0.45">
      <c r="A2993" s="30">
        <v>2024</v>
      </c>
      <c r="B2993" s="30" t="s">
        <v>11</v>
      </c>
      <c r="C2993" s="30" t="s">
        <v>46</v>
      </c>
      <c r="D2993" s="30" t="s">
        <v>47</v>
      </c>
      <c r="E2993" s="32" t="s">
        <v>221</v>
      </c>
      <c r="F2993" s="32" t="s">
        <v>64</v>
      </c>
      <c r="G2993" s="32" t="s">
        <v>50</v>
      </c>
      <c r="H2993" s="33">
        <v>64630</v>
      </c>
      <c r="I2993" s="34">
        <f>Table3[[#This Row],[Volume, kg.]]/1000</f>
        <v>64.63</v>
      </c>
      <c r="J2993" s="34">
        <v>0.223</v>
      </c>
      <c r="K2993" s="34">
        <f t="shared" si="92"/>
        <v>14412.49</v>
      </c>
      <c r="L2993" s="34">
        <v>3.23</v>
      </c>
      <c r="M2993" s="34">
        <v>208682</v>
      </c>
      <c r="N2993" s="34">
        <f t="shared" si="93"/>
        <v>14.484304932735427</v>
      </c>
    </row>
    <row r="2994" spans="1:14" x14ac:dyDescent="0.45">
      <c r="A2994" s="30">
        <v>2024</v>
      </c>
      <c r="B2994" s="30" t="s">
        <v>11</v>
      </c>
      <c r="C2994" s="30" t="s">
        <v>46</v>
      </c>
      <c r="D2994" s="30" t="s">
        <v>47</v>
      </c>
      <c r="E2994" s="32" t="s">
        <v>600</v>
      </c>
      <c r="F2994" s="32" t="s">
        <v>64</v>
      </c>
      <c r="G2994" s="32" t="s">
        <v>50</v>
      </c>
      <c r="H2994" s="33">
        <v>28560</v>
      </c>
      <c r="I2994" s="34">
        <f>Table3[[#This Row],[Volume, kg.]]/1000</f>
        <v>28.56</v>
      </c>
      <c r="J2994" s="34">
        <v>0.2908</v>
      </c>
      <c r="K2994" s="34">
        <f t="shared" si="92"/>
        <v>8305.2479999999996</v>
      </c>
      <c r="L2994" s="34">
        <v>3.66</v>
      </c>
      <c r="M2994" s="34">
        <v>104567.5</v>
      </c>
      <c r="N2994" s="34">
        <f t="shared" si="93"/>
        <v>12.585969738651995</v>
      </c>
    </row>
    <row r="2995" spans="1:14" x14ac:dyDescent="0.45">
      <c r="A2995" s="30">
        <v>2024</v>
      </c>
      <c r="B2995" s="30" t="s">
        <v>11</v>
      </c>
      <c r="C2995" s="30" t="s">
        <v>46</v>
      </c>
      <c r="D2995" s="30" t="s">
        <v>47</v>
      </c>
      <c r="E2995" s="32" t="s">
        <v>216</v>
      </c>
      <c r="F2995" s="32" t="s">
        <v>64</v>
      </c>
      <c r="G2995" s="32" t="s">
        <v>50</v>
      </c>
      <c r="H2995" s="33">
        <v>39140</v>
      </c>
      <c r="I2995" s="34">
        <f>Table3[[#This Row],[Volume, kg.]]/1000</f>
        <v>39.14</v>
      </c>
      <c r="J2995" s="34">
        <v>0.2167</v>
      </c>
      <c r="K2995" s="34">
        <f t="shared" si="92"/>
        <v>8481.6380000000008</v>
      </c>
      <c r="L2995" s="34">
        <v>2.96</v>
      </c>
      <c r="M2995" s="34">
        <v>115675.5</v>
      </c>
      <c r="N2995" s="34">
        <f t="shared" si="93"/>
        <v>13.659437009690816</v>
      </c>
    </row>
    <row r="2996" spans="1:14" x14ac:dyDescent="0.45">
      <c r="A2996" s="30">
        <v>2024</v>
      </c>
      <c r="B2996" s="30" t="s">
        <v>11</v>
      </c>
      <c r="C2996" s="30" t="s">
        <v>46</v>
      </c>
      <c r="D2996" s="30" t="s">
        <v>47</v>
      </c>
      <c r="E2996" s="32" t="s">
        <v>109</v>
      </c>
      <c r="F2996" s="32" t="s">
        <v>60</v>
      </c>
      <c r="G2996" s="32" t="s">
        <v>50</v>
      </c>
      <c r="H2996" s="33">
        <v>9360</v>
      </c>
      <c r="I2996" s="34">
        <f>Table3[[#This Row],[Volume, kg.]]/1000</f>
        <v>9.36</v>
      </c>
      <c r="J2996" s="34">
        <v>0.28249999999999997</v>
      </c>
      <c r="K2996" s="34">
        <f t="shared" si="92"/>
        <v>2644.2</v>
      </c>
      <c r="L2996" s="34">
        <v>3.45</v>
      </c>
      <c r="M2996" s="34">
        <v>32292</v>
      </c>
      <c r="N2996" s="34">
        <f t="shared" si="93"/>
        <v>12.212389380530976</v>
      </c>
    </row>
    <row r="2997" spans="1:14" x14ac:dyDescent="0.45">
      <c r="A2997" s="30">
        <v>2024</v>
      </c>
      <c r="B2997" s="30" t="s">
        <v>11</v>
      </c>
      <c r="C2997" s="30" t="s">
        <v>46</v>
      </c>
      <c r="D2997" s="30" t="s">
        <v>47</v>
      </c>
      <c r="E2997" s="32" t="s">
        <v>280</v>
      </c>
      <c r="F2997" s="32" t="s">
        <v>281</v>
      </c>
      <c r="G2997" s="32" t="s">
        <v>50</v>
      </c>
      <c r="H2997" s="33">
        <v>139520</v>
      </c>
      <c r="I2997" s="34">
        <f>Table3[[#This Row],[Volume, kg.]]/1000</f>
        <v>139.52000000000001</v>
      </c>
      <c r="J2997" s="34">
        <v>0.26300000000000001</v>
      </c>
      <c r="K2997" s="34">
        <f t="shared" si="92"/>
        <v>36693.760000000002</v>
      </c>
      <c r="L2997" s="34">
        <v>3.28</v>
      </c>
      <c r="M2997" s="34">
        <v>458161.5</v>
      </c>
      <c r="N2997" s="34">
        <f t="shared" si="93"/>
        <v>12.471482889733839</v>
      </c>
    </row>
    <row r="2998" spans="1:14" x14ac:dyDescent="0.45">
      <c r="A2998" s="30">
        <v>2024</v>
      </c>
      <c r="B2998" s="30" t="s">
        <v>11</v>
      </c>
      <c r="C2998" s="30" t="s">
        <v>46</v>
      </c>
      <c r="D2998" s="30" t="s">
        <v>47</v>
      </c>
      <c r="E2998" s="32" t="s">
        <v>549</v>
      </c>
      <c r="F2998" s="32" t="s">
        <v>49</v>
      </c>
      <c r="G2998" s="32" t="s">
        <v>50</v>
      </c>
      <c r="H2998" s="33">
        <v>9280</v>
      </c>
      <c r="I2998" s="34">
        <f>Table3[[#This Row],[Volume, kg.]]/1000</f>
        <v>9.2799999999999994</v>
      </c>
      <c r="J2998" s="34">
        <v>0.214</v>
      </c>
      <c r="K2998" s="34">
        <f t="shared" si="92"/>
        <v>1985.92</v>
      </c>
      <c r="L2998" s="34">
        <v>3.05</v>
      </c>
      <c r="M2998" s="34">
        <v>28304</v>
      </c>
      <c r="N2998" s="34">
        <f t="shared" si="93"/>
        <v>14.252336448598131</v>
      </c>
    </row>
    <row r="2999" spans="1:14" x14ac:dyDescent="0.45">
      <c r="A2999" s="30">
        <v>2024</v>
      </c>
      <c r="B2999" s="30" t="s">
        <v>11</v>
      </c>
      <c r="C2999" s="30" t="s">
        <v>46</v>
      </c>
      <c r="D2999" s="30" t="s">
        <v>47</v>
      </c>
      <c r="E2999" s="32" t="s">
        <v>204</v>
      </c>
      <c r="F2999" s="32" t="s">
        <v>49</v>
      </c>
      <c r="G2999" s="32" t="s">
        <v>50</v>
      </c>
      <c r="H2999" s="33">
        <v>34440</v>
      </c>
      <c r="I2999" s="34">
        <f>Table3[[#This Row],[Volume, kg.]]/1000</f>
        <v>34.44</v>
      </c>
      <c r="J2999" s="34">
        <v>0.26269999999999999</v>
      </c>
      <c r="K2999" s="34">
        <f t="shared" si="92"/>
        <v>9047.387999999999</v>
      </c>
      <c r="L2999" s="34">
        <v>3.43</v>
      </c>
      <c r="M2999" s="34">
        <v>118070</v>
      </c>
      <c r="N2999" s="34">
        <f t="shared" si="93"/>
        <v>13.056718690521508</v>
      </c>
    </row>
    <row r="3000" spans="1:14" x14ac:dyDescent="0.45">
      <c r="A3000" s="30">
        <v>2024</v>
      </c>
      <c r="B3000" s="30" t="s">
        <v>11</v>
      </c>
      <c r="C3000" s="30" t="s">
        <v>46</v>
      </c>
      <c r="D3000" s="30" t="s">
        <v>47</v>
      </c>
      <c r="E3000" s="32" t="s">
        <v>154</v>
      </c>
      <c r="F3000" s="32" t="s">
        <v>60</v>
      </c>
      <c r="G3000" s="32" t="s">
        <v>50</v>
      </c>
      <c r="H3000" s="33">
        <v>10410</v>
      </c>
      <c r="I3000" s="34">
        <f>Table3[[#This Row],[Volume, kg.]]/1000</f>
        <v>10.41</v>
      </c>
      <c r="J3000" s="34">
        <v>0.2475</v>
      </c>
      <c r="K3000" s="34">
        <f t="shared" si="92"/>
        <v>2576.4749999999999</v>
      </c>
      <c r="L3000" s="34">
        <v>3.35</v>
      </c>
      <c r="M3000" s="34">
        <v>34914.5</v>
      </c>
      <c r="N3000" s="34">
        <f t="shared" si="93"/>
        <v>13.535353535353536</v>
      </c>
    </row>
    <row r="3001" spans="1:14" x14ac:dyDescent="0.45">
      <c r="A3001" s="30">
        <v>2024</v>
      </c>
      <c r="B3001" s="30" t="s">
        <v>11</v>
      </c>
      <c r="C3001" s="30" t="s">
        <v>46</v>
      </c>
      <c r="D3001" s="30" t="s">
        <v>47</v>
      </c>
      <c r="E3001" s="32" t="s">
        <v>75</v>
      </c>
      <c r="F3001" s="32" t="s">
        <v>49</v>
      </c>
      <c r="G3001" s="32" t="s">
        <v>50</v>
      </c>
      <c r="H3001" s="33">
        <v>19740</v>
      </c>
      <c r="I3001" s="34">
        <f>Table3[[#This Row],[Volume, kg.]]/1000</f>
        <v>19.739999999999998</v>
      </c>
      <c r="J3001" s="34">
        <v>0.25650000000000001</v>
      </c>
      <c r="K3001" s="34">
        <f t="shared" si="92"/>
        <v>5063.3100000000004</v>
      </c>
      <c r="L3001" s="34">
        <v>3.32</v>
      </c>
      <c r="M3001" s="34">
        <v>65572.5</v>
      </c>
      <c r="N3001" s="34">
        <f t="shared" si="93"/>
        <v>12.943469785575047</v>
      </c>
    </row>
    <row r="3002" spans="1:14" x14ac:dyDescent="0.45">
      <c r="A3002" s="30">
        <v>2024</v>
      </c>
      <c r="B3002" s="30" t="s">
        <v>11</v>
      </c>
      <c r="C3002" s="30" t="s">
        <v>46</v>
      </c>
      <c r="D3002" s="30" t="s">
        <v>47</v>
      </c>
      <c r="E3002" s="32" t="s">
        <v>97</v>
      </c>
      <c r="F3002" s="32" t="s">
        <v>49</v>
      </c>
      <c r="G3002" s="32" t="s">
        <v>50</v>
      </c>
      <c r="H3002" s="33">
        <v>95410</v>
      </c>
      <c r="I3002" s="34">
        <f>Table3[[#This Row],[Volume, kg.]]/1000</f>
        <v>95.41</v>
      </c>
      <c r="J3002" s="34">
        <v>0.2341</v>
      </c>
      <c r="K3002" s="34">
        <f t="shared" si="92"/>
        <v>22335.481</v>
      </c>
      <c r="L3002" s="34">
        <v>3.21</v>
      </c>
      <c r="M3002" s="34">
        <v>306634.5</v>
      </c>
      <c r="N3002" s="34">
        <f t="shared" si="93"/>
        <v>13.712088850918411</v>
      </c>
    </row>
    <row r="3003" spans="1:14" x14ac:dyDescent="0.45">
      <c r="A3003" s="30">
        <v>2024</v>
      </c>
      <c r="B3003" s="30" t="s">
        <v>11</v>
      </c>
      <c r="C3003" s="30" t="s">
        <v>46</v>
      </c>
      <c r="D3003" s="30" t="s">
        <v>47</v>
      </c>
      <c r="E3003" s="32" t="s">
        <v>355</v>
      </c>
      <c r="F3003" s="32" t="s">
        <v>60</v>
      </c>
      <c r="G3003" s="32" t="s">
        <v>50</v>
      </c>
      <c r="H3003" s="33">
        <v>25250</v>
      </c>
      <c r="I3003" s="34">
        <f>Table3[[#This Row],[Volume, kg.]]/1000</f>
        <v>25.25</v>
      </c>
      <c r="J3003" s="34">
        <v>0.2535</v>
      </c>
      <c r="K3003" s="34">
        <f t="shared" si="92"/>
        <v>6400.875</v>
      </c>
      <c r="L3003" s="34">
        <v>3.35</v>
      </c>
      <c r="M3003" s="34">
        <v>84707.5</v>
      </c>
      <c r="N3003" s="34">
        <f t="shared" si="93"/>
        <v>13.214990138067062</v>
      </c>
    </row>
    <row r="3004" spans="1:14" x14ac:dyDescent="0.45">
      <c r="A3004" s="30">
        <v>2024</v>
      </c>
      <c r="B3004" s="30" t="s">
        <v>11</v>
      </c>
      <c r="C3004" s="30" t="s">
        <v>46</v>
      </c>
      <c r="D3004" s="30" t="s">
        <v>102</v>
      </c>
      <c r="E3004" s="32" t="s">
        <v>627</v>
      </c>
      <c r="F3004" s="32" t="s">
        <v>49</v>
      </c>
      <c r="G3004" s="32" t="s">
        <v>50</v>
      </c>
      <c r="H3004" s="33">
        <v>22870</v>
      </c>
      <c r="I3004" s="34">
        <f>Table3[[#This Row],[Volume, kg.]]/1000</f>
        <v>22.87</v>
      </c>
      <c r="J3004" s="34">
        <v>0.2235</v>
      </c>
      <c r="K3004" s="34">
        <f t="shared" si="92"/>
        <v>5111.4449999999997</v>
      </c>
      <c r="L3004" s="34">
        <v>3.1</v>
      </c>
      <c r="M3004" s="34">
        <v>70897</v>
      </c>
      <c r="N3004" s="34">
        <f t="shared" si="93"/>
        <v>13.870246085011185</v>
      </c>
    </row>
    <row r="3005" spans="1:14" x14ac:dyDescent="0.45">
      <c r="A3005" s="30">
        <v>2024</v>
      </c>
      <c r="B3005" s="30" t="s">
        <v>11</v>
      </c>
      <c r="C3005" s="30" t="s">
        <v>46</v>
      </c>
      <c r="D3005" s="30" t="s">
        <v>47</v>
      </c>
      <c r="E3005" s="32" t="s">
        <v>345</v>
      </c>
      <c r="F3005" s="32" t="s">
        <v>81</v>
      </c>
      <c r="G3005" s="32" t="s">
        <v>50</v>
      </c>
      <c r="H3005" s="33">
        <v>14050</v>
      </c>
      <c r="I3005" s="34">
        <f>Table3[[#This Row],[Volume, kg.]]/1000</f>
        <v>14.05</v>
      </c>
      <c r="J3005" s="34">
        <v>0.245</v>
      </c>
      <c r="K3005" s="34">
        <f t="shared" si="92"/>
        <v>3442.25</v>
      </c>
      <c r="L3005" s="34">
        <v>3.35</v>
      </c>
      <c r="M3005" s="34">
        <v>47067.5</v>
      </c>
      <c r="N3005" s="34">
        <f t="shared" si="93"/>
        <v>13.673469387755103</v>
      </c>
    </row>
    <row r="3006" spans="1:14" x14ac:dyDescent="0.45">
      <c r="A3006" s="30">
        <v>2024</v>
      </c>
      <c r="B3006" s="30" t="s">
        <v>11</v>
      </c>
      <c r="C3006" s="30" t="s">
        <v>46</v>
      </c>
      <c r="D3006" s="30" t="s">
        <v>47</v>
      </c>
      <c r="E3006" s="32" t="s">
        <v>273</v>
      </c>
      <c r="F3006" s="32" t="s">
        <v>49</v>
      </c>
      <c r="G3006" s="32" t="s">
        <v>50</v>
      </c>
      <c r="H3006" s="33">
        <v>10620</v>
      </c>
      <c r="I3006" s="34">
        <f>Table3[[#This Row],[Volume, kg.]]/1000</f>
        <v>10.62</v>
      </c>
      <c r="J3006" s="34">
        <v>0.25159999999999999</v>
      </c>
      <c r="K3006" s="34">
        <f t="shared" si="92"/>
        <v>2671.9919999999997</v>
      </c>
      <c r="L3006" s="34">
        <v>3.11</v>
      </c>
      <c r="M3006" s="34">
        <v>32988.5</v>
      </c>
      <c r="N3006" s="34">
        <f t="shared" si="93"/>
        <v>12.360890302066773</v>
      </c>
    </row>
    <row r="3007" spans="1:14" x14ac:dyDescent="0.45">
      <c r="A3007" s="30">
        <v>2024</v>
      </c>
      <c r="B3007" s="30" t="s">
        <v>11</v>
      </c>
      <c r="C3007" s="30" t="s">
        <v>46</v>
      </c>
      <c r="D3007" s="30" t="s">
        <v>47</v>
      </c>
      <c r="E3007" s="32" t="s">
        <v>96</v>
      </c>
      <c r="F3007" s="32" t="s">
        <v>49</v>
      </c>
      <c r="G3007" s="32" t="s">
        <v>50</v>
      </c>
      <c r="H3007" s="33">
        <v>6040</v>
      </c>
      <c r="I3007" s="34">
        <f>Table3[[#This Row],[Volume, kg.]]/1000</f>
        <v>6.04</v>
      </c>
      <c r="J3007" s="34">
        <v>0.21050000000000002</v>
      </c>
      <c r="K3007" s="34">
        <f t="shared" si="92"/>
        <v>1271.42</v>
      </c>
      <c r="L3007" s="34">
        <v>3.05</v>
      </c>
      <c r="M3007" s="34">
        <v>18422</v>
      </c>
      <c r="N3007" s="34">
        <f t="shared" si="93"/>
        <v>14.489311163895485</v>
      </c>
    </row>
    <row r="3008" spans="1:14" x14ac:dyDescent="0.45">
      <c r="A3008" s="30">
        <v>2024</v>
      </c>
      <c r="B3008" s="30" t="s">
        <v>11</v>
      </c>
      <c r="C3008" s="30" t="s">
        <v>46</v>
      </c>
      <c r="D3008" s="30" t="s">
        <v>47</v>
      </c>
      <c r="E3008" s="32" t="s">
        <v>143</v>
      </c>
      <c r="F3008" s="32" t="s">
        <v>49</v>
      </c>
      <c r="G3008" s="32" t="s">
        <v>50</v>
      </c>
      <c r="H3008" s="33">
        <v>2290</v>
      </c>
      <c r="I3008" s="34">
        <f>Table3[[#This Row],[Volume, kg.]]/1000</f>
        <v>2.29</v>
      </c>
      <c r="J3008" s="34">
        <v>0.254</v>
      </c>
      <c r="K3008" s="34">
        <f t="shared" si="92"/>
        <v>581.66</v>
      </c>
      <c r="L3008" s="34">
        <v>3.25</v>
      </c>
      <c r="M3008" s="34">
        <v>7442.5</v>
      </c>
      <c r="N3008" s="34">
        <f t="shared" si="93"/>
        <v>12.795275590551181</v>
      </c>
    </row>
    <row r="3009" spans="1:14" x14ac:dyDescent="0.45">
      <c r="A3009" s="30">
        <v>2024</v>
      </c>
      <c r="B3009" s="30" t="s">
        <v>11</v>
      </c>
      <c r="C3009" s="30" t="s">
        <v>46</v>
      </c>
      <c r="D3009" s="30" t="s">
        <v>102</v>
      </c>
      <c r="E3009" s="32" t="s">
        <v>250</v>
      </c>
      <c r="F3009" s="32" t="s">
        <v>49</v>
      </c>
      <c r="G3009" s="32" t="s">
        <v>50</v>
      </c>
      <c r="H3009" s="33">
        <v>939830</v>
      </c>
      <c r="I3009" s="34">
        <f>Table3[[#This Row],[Volume, kg.]]/1000</f>
        <v>939.83</v>
      </c>
      <c r="J3009" s="34">
        <v>0.23499999999999999</v>
      </c>
      <c r="K3009" s="34">
        <f t="shared" si="92"/>
        <v>220860.05</v>
      </c>
      <c r="L3009" s="34">
        <v>3.16</v>
      </c>
      <c r="M3009" s="34">
        <v>2966360.5</v>
      </c>
      <c r="N3009" s="34">
        <f t="shared" si="93"/>
        <v>13.446808510638299</v>
      </c>
    </row>
    <row r="3010" spans="1:14" x14ac:dyDescent="0.45">
      <c r="A3010" s="30">
        <v>2024</v>
      </c>
      <c r="B3010" s="30" t="s">
        <v>11</v>
      </c>
      <c r="C3010" s="30" t="s">
        <v>46</v>
      </c>
      <c r="D3010" s="30" t="s">
        <v>47</v>
      </c>
      <c r="E3010" s="32" t="s">
        <v>87</v>
      </c>
      <c r="F3010" s="32" t="s">
        <v>49</v>
      </c>
      <c r="G3010" s="32" t="s">
        <v>50</v>
      </c>
      <c r="H3010" s="33">
        <v>9570</v>
      </c>
      <c r="I3010" s="34">
        <f>Table3[[#This Row],[Volume, kg.]]/1000</f>
        <v>9.57</v>
      </c>
      <c r="J3010" s="34">
        <v>0.22690000000000002</v>
      </c>
      <c r="K3010" s="34">
        <f t="shared" si="92"/>
        <v>2171.433</v>
      </c>
      <c r="L3010" s="34">
        <v>3.15</v>
      </c>
      <c r="M3010" s="34">
        <v>30118</v>
      </c>
      <c r="N3010" s="34">
        <f t="shared" si="93"/>
        <v>13.88276773909211</v>
      </c>
    </row>
    <row r="3011" spans="1:14" x14ac:dyDescent="0.45">
      <c r="A3011" s="30">
        <v>2024</v>
      </c>
      <c r="B3011" s="30" t="s">
        <v>11</v>
      </c>
      <c r="C3011" s="30" t="s">
        <v>46</v>
      </c>
      <c r="D3011" s="30" t="s">
        <v>47</v>
      </c>
      <c r="E3011" s="32" t="s">
        <v>155</v>
      </c>
      <c r="F3011" s="32" t="s">
        <v>64</v>
      </c>
      <c r="G3011" s="32" t="s">
        <v>50</v>
      </c>
      <c r="H3011" s="33">
        <v>2040</v>
      </c>
      <c r="I3011" s="34">
        <f>Table3[[#This Row],[Volume, kg.]]/1000</f>
        <v>2.04</v>
      </c>
      <c r="J3011" s="34">
        <v>0.17149999999999999</v>
      </c>
      <c r="K3011" s="34">
        <f t="shared" ref="K3011:K3074" si="94">H3011*J3011</f>
        <v>349.85999999999996</v>
      </c>
      <c r="L3011" s="34">
        <v>2.85</v>
      </c>
      <c r="M3011" s="34">
        <v>5814</v>
      </c>
      <c r="N3011" s="34">
        <f t="shared" si="93"/>
        <v>16.618075801749274</v>
      </c>
    </row>
    <row r="3012" spans="1:14" x14ac:dyDescent="0.45">
      <c r="A3012" s="30">
        <v>2024</v>
      </c>
      <c r="B3012" s="30" t="s">
        <v>11</v>
      </c>
      <c r="C3012" s="30" t="s">
        <v>46</v>
      </c>
      <c r="D3012" s="30" t="s">
        <v>47</v>
      </c>
      <c r="E3012" s="32" t="s">
        <v>441</v>
      </c>
      <c r="F3012" s="32" t="s">
        <v>64</v>
      </c>
      <c r="G3012" s="32" t="s">
        <v>50</v>
      </c>
      <c r="H3012" s="33">
        <v>50240</v>
      </c>
      <c r="I3012" s="34">
        <f>Table3[[#This Row],[Volume, kg.]]/1000</f>
        <v>50.24</v>
      </c>
      <c r="J3012" s="34">
        <v>0.23139999999999999</v>
      </c>
      <c r="K3012" s="34">
        <f t="shared" si="94"/>
        <v>11625.536</v>
      </c>
      <c r="L3012" s="34">
        <v>3.07</v>
      </c>
      <c r="M3012" s="34">
        <v>154478</v>
      </c>
      <c r="N3012" s="34">
        <f t="shared" ref="N3012:N3075" si="95">L3012/J3012</f>
        <v>13.267070008643042</v>
      </c>
    </row>
    <row r="3013" spans="1:14" x14ac:dyDescent="0.45">
      <c r="A3013" s="30">
        <v>2024</v>
      </c>
      <c r="B3013" s="30" t="s">
        <v>11</v>
      </c>
      <c r="C3013" s="30" t="s">
        <v>46</v>
      </c>
      <c r="D3013" s="30" t="s">
        <v>47</v>
      </c>
      <c r="E3013" s="32" t="s">
        <v>404</v>
      </c>
      <c r="F3013" s="32" t="s">
        <v>60</v>
      </c>
      <c r="G3013" s="32" t="s">
        <v>50</v>
      </c>
      <c r="H3013" s="33">
        <v>9760</v>
      </c>
      <c r="I3013" s="34">
        <f>Table3[[#This Row],[Volume, kg.]]/1000</f>
        <v>9.76</v>
      </c>
      <c r="J3013" s="34">
        <v>0.26850000000000002</v>
      </c>
      <c r="K3013" s="34">
        <f t="shared" si="94"/>
        <v>2620.56</v>
      </c>
      <c r="L3013" s="34">
        <v>3.15</v>
      </c>
      <c r="M3013" s="34">
        <v>30744</v>
      </c>
      <c r="N3013" s="34">
        <f t="shared" si="95"/>
        <v>11.731843575418994</v>
      </c>
    </row>
    <row r="3014" spans="1:14" x14ac:dyDescent="0.45">
      <c r="A3014" s="30">
        <v>2024</v>
      </c>
      <c r="B3014" s="30" t="s">
        <v>11</v>
      </c>
      <c r="C3014" s="30" t="s">
        <v>46</v>
      </c>
      <c r="D3014" s="30" t="s">
        <v>47</v>
      </c>
      <c r="E3014" s="32" t="s">
        <v>254</v>
      </c>
      <c r="F3014" s="32" t="s">
        <v>49</v>
      </c>
      <c r="G3014" s="32" t="s">
        <v>50</v>
      </c>
      <c r="H3014" s="33">
        <v>23680</v>
      </c>
      <c r="I3014" s="34">
        <f>Table3[[#This Row],[Volume, kg.]]/1000</f>
        <v>23.68</v>
      </c>
      <c r="J3014" s="34">
        <v>0.22399999999999998</v>
      </c>
      <c r="K3014" s="34">
        <f t="shared" si="94"/>
        <v>5304.32</v>
      </c>
      <c r="L3014" s="34">
        <v>3.17</v>
      </c>
      <c r="M3014" s="34">
        <v>75118</v>
      </c>
      <c r="N3014" s="34">
        <f t="shared" si="95"/>
        <v>14.151785714285715</v>
      </c>
    </row>
    <row r="3015" spans="1:14" x14ac:dyDescent="0.45">
      <c r="A3015" s="30">
        <v>2024</v>
      </c>
      <c r="B3015" s="30" t="s">
        <v>11</v>
      </c>
      <c r="C3015" s="30" t="s">
        <v>46</v>
      </c>
      <c r="D3015" s="30" t="s">
        <v>47</v>
      </c>
      <c r="E3015" s="32" t="s">
        <v>428</v>
      </c>
      <c r="F3015" s="32" t="s">
        <v>64</v>
      </c>
      <c r="G3015" s="32" t="s">
        <v>50</v>
      </c>
      <c r="H3015" s="33">
        <v>29110</v>
      </c>
      <c r="I3015" s="34">
        <f>Table3[[#This Row],[Volume, kg.]]/1000</f>
        <v>29.11</v>
      </c>
      <c r="J3015" s="34">
        <v>0.19210000000000002</v>
      </c>
      <c r="K3015" s="34">
        <f t="shared" si="94"/>
        <v>5592.0310000000009</v>
      </c>
      <c r="L3015" s="34">
        <v>2.85</v>
      </c>
      <c r="M3015" s="34">
        <v>83052</v>
      </c>
      <c r="N3015" s="34">
        <f t="shared" si="95"/>
        <v>14.836022904737115</v>
      </c>
    </row>
    <row r="3016" spans="1:14" x14ac:dyDescent="0.45">
      <c r="A3016" s="30">
        <v>2024</v>
      </c>
      <c r="B3016" s="30" t="s">
        <v>11</v>
      </c>
      <c r="C3016" s="30" t="s">
        <v>46</v>
      </c>
      <c r="D3016" s="30" t="s">
        <v>47</v>
      </c>
      <c r="E3016" s="32" t="s">
        <v>430</v>
      </c>
      <c r="F3016" s="32" t="s">
        <v>49</v>
      </c>
      <c r="G3016" s="32" t="s">
        <v>50</v>
      </c>
      <c r="H3016" s="33">
        <v>10920</v>
      </c>
      <c r="I3016" s="34">
        <f>Table3[[#This Row],[Volume, kg.]]/1000</f>
        <v>10.92</v>
      </c>
      <c r="J3016" s="34">
        <v>0.253</v>
      </c>
      <c r="K3016" s="34">
        <f t="shared" si="94"/>
        <v>2762.76</v>
      </c>
      <c r="L3016" s="34">
        <v>3.45</v>
      </c>
      <c r="M3016" s="34">
        <v>37674</v>
      </c>
      <c r="N3016" s="34">
        <f t="shared" si="95"/>
        <v>13.636363636363637</v>
      </c>
    </row>
    <row r="3017" spans="1:14" x14ac:dyDescent="0.45">
      <c r="A3017" s="30">
        <v>2024</v>
      </c>
      <c r="B3017" s="30" t="s">
        <v>11</v>
      </c>
      <c r="C3017" s="30" t="s">
        <v>46</v>
      </c>
      <c r="D3017" s="30" t="s">
        <v>47</v>
      </c>
      <c r="E3017" s="32" t="s">
        <v>314</v>
      </c>
      <c r="F3017" s="32" t="s">
        <v>57</v>
      </c>
      <c r="G3017" s="32" t="s">
        <v>50</v>
      </c>
      <c r="H3017" s="33">
        <v>84270</v>
      </c>
      <c r="I3017" s="34">
        <f>Table3[[#This Row],[Volume, kg.]]/1000</f>
        <v>84.27</v>
      </c>
      <c r="J3017" s="34">
        <v>0.23730000000000001</v>
      </c>
      <c r="K3017" s="34">
        <f t="shared" si="94"/>
        <v>19997.271000000001</v>
      </c>
      <c r="L3017" s="34">
        <v>3.26</v>
      </c>
      <c r="M3017" s="34">
        <v>274902</v>
      </c>
      <c r="N3017" s="34">
        <f t="shared" si="95"/>
        <v>13.73788453434471</v>
      </c>
    </row>
    <row r="3018" spans="1:14" x14ac:dyDescent="0.45">
      <c r="A3018" s="30">
        <v>2024</v>
      </c>
      <c r="B3018" s="30" t="s">
        <v>11</v>
      </c>
      <c r="C3018" s="30" t="s">
        <v>46</v>
      </c>
      <c r="D3018" s="30" t="s">
        <v>47</v>
      </c>
      <c r="E3018" s="32" t="s">
        <v>315</v>
      </c>
      <c r="F3018" s="32" t="s">
        <v>134</v>
      </c>
      <c r="G3018" s="32" t="s">
        <v>50</v>
      </c>
      <c r="H3018" s="33">
        <v>220660</v>
      </c>
      <c r="I3018" s="34">
        <f>Table3[[#This Row],[Volume, kg.]]/1000</f>
        <v>220.66</v>
      </c>
      <c r="J3018" s="34">
        <v>0.21710000000000002</v>
      </c>
      <c r="K3018" s="34">
        <f t="shared" si="94"/>
        <v>47905.286</v>
      </c>
      <c r="L3018" s="34">
        <v>3.06</v>
      </c>
      <c r="M3018" s="34">
        <v>674831.5</v>
      </c>
      <c r="N3018" s="34">
        <f t="shared" si="95"/>
        <v>14.094887148779364</v>
      </c>
    </row>
    <row r="3019" spans="1:14" x14ac:dyDescent="0.45">
      <c r="A3019" s="30">
        <v>2024</v>
      </c>
      <c r="B3019" s="30" t="s">
        <v>11</v>
      </c>
      <c r="C3019" s="30" t="s">
        <v>46</v>
      </c>
      <c r="D3019" s="30" t="s">
        <v>47</v>
      </c>
      <c r="E3019" s="32" t="s">
        <v>227</v>
      </c>
      <c r="F3019" s="32" t="s">
        <v>57</v>
      </c>
      <c r="G3019" s="32" t="s">
        <v>50</v>
      </c>
      <c r="H3019" s="33">
        <v>2130</v>
      </c>
      <c r="I3019" s="34">
        <f>Table3[[#This Row],[Volume, kg.]]/1000</f>
        <v>2.13</v>
      </c>
      <c r="J3019" s="34">
        <v>0.24249999999999999</v>
      </c>
      <c r="K3019" s="34">
        <f t="shared" si="94"/>
        <v>516.52499999999998</v>
      </c>
      <c r="L3019" s="34">
        <v>3.2</v>
      </c>
      <c r="M3019" s="34">
        <v>6816</v>
      </c>
      <c r="N3019" s="34">
        <f t="shared" si="95"/>
        <v>13.195876288659795</v>
      </c>
    </row>
    <row r="3020" spans="1:14" x14ac:dyDescent="0.45">
      <c r="A3020" s="30">
        <v>2024</v>
      </c>
      <c r="B3020" s="30" t="s">
        <v>11</v>
      </c>
      <c r="C3020" s="30" t="s">
        <v>46</v>
      </c>
      <c r="D3020" s="30" t="s">
        <v>47</v>
      </c>
      <c r="E3020" s="32" t="s">
        <v>159</v>
      </c>
      <c r="F3020" s="32" t="s">
        <v>81</v>
      </c>
      <c r="G3020" s="32" t="s">
        <v>50</v>
      </c>
      <c r="H3020" s="33">
        <v>73990</v>
      </c>
      <c r="I3020" s="34">
        <f>Table3[[#This Row],[Volume, kg.]]/1000</f>
        <v>73.989999999999995</v>
      </c>
      <c r="J3020" s="34">
        <v>0.22820000000000001</v>
      </c>
      <c r="K3020" s="34">
        <f t="shared" si="94"/>
        <v>16884.518</v>
      </c>
      <c r="L3020" s="34">
        <v>3.15</v>
      </c>
      <c r="M3020" s="34">
        <v>233032</v>
      </c>
      <c r="N3020" s="34">
        <f t="shared" si="95"/>
        <v>13.803680981595091</v>
      </c>
    </row>
    <row r="3021" spans="1:14" x14ac:dyDescent="0.45">
      <c r="A3021" s="30">
        <v>2024</v>
      </c>
      <c r="B3021" s="30" t="s">
        <v>11</v>
      </c>
      <c r="C3021" s="30" t="s">
        <v>46</v>
      </c>
      <c r="D3021" s="30" t="s">
        <v>47</v>
      </c>
      <c r="E3021" s="32" t="s">
        <v>562</v>
      </c>
      <c r="F3021" s="32" t="s">
        <v>64</v>
      </c>
      <c r="G3021" s="32" t="s">
        <v>50</v>
      </c>
      <c r="H3021" s="33">
        <v>11690</v>
      </c>
      <c r="I3021" s="34">
        <f>Table3[[#This Row],[Volume, kg.]]/1000</f>
        <v>11.69</v>
      </c>
      <c r="J3021" s="34">
        <v>0.19649999999999998</v>
      </c>
      <c r="K3021" s="34">
        <f t="shared" si="94"/>
        <v>2297.0849999999996</v>
      </c>
      <c r="L3021" s="34">
        <v>3.1</v>
      </c>
      <c r="M3021" s="34">
        <v>36239</v>
      </c>
      <c r="N3021" s="34">
        <f t="shared" si="95"/>
        <v>15.77608142493639</v>
      </c>
    </row>
    <row r="3022" spans="1:14" x14ac:dyDescent="0.45">
      <c r="A3022" s="30">
        <v>2024</v>
      </c>
      <c r="B3022" s="30" t="s">
        <v>11</v>
      </c>
      <c r="C3022" s="30" t="s">
        <v>46</v>
      </c>
      <c r="D3022" s="30" t="s">
        <v>47</v>
      </c>
      <c r="E3022" s="32" t="s">
        <v>207</v>
      </c>
      <c r="F3022" s="32" t="s">
        <v>64</v>
      </c>
      <c r="G3022" s="32" t="s">
        <v>50</v>
      </c>
      <c r="H3022" s="33">
        <v>29530</v>
      </c>
      <c r="I3022" s="34">
        <f>Table3[[#This Row],[Volume, kg.]]/1000</f>
        <v>29.53</v>
      </c>
      <c r="J3022" s="34">
        <v>0.18909999999999999</v>
      </c>
      <c r="K3022" s="34">
        <f t="shared" si="94"/>
        <v>5584.1229999999996</v>
      </c>
      <c r="L3022" s="34">
        <v>2.91</v>
      </c>
      <c r="M3022" s="34">
        <v>86055</v>
      </c>
      <c r="N3022" s="34">
        <f t="shared" si="95"/>
        <v>15.388683236382867</v>
      </c>
    </row>
    <row r="3023" spans="1:14" x14ac:dyDescent="0.45">
      <c r="A3023" s="30">
        <v>2024</v>
      </c>
      <c r="B3023" s="30" t="s">
        <v>11</v>
      </c>
      <c r="C3023" s="30" t="s">
        <v>46</v>
      </c>
      <c r="D3023" s="30" t="s">
        <v>47</v>
      </c>
      <c r="E3023" s="32" t="s">
        <v>228</v>
      </c>
      <c r="F3023" s="32" t="s">
        <v>64</v>
      </c>
      <c r="G3023" s="32" t="s">
        <v>50</v>
      </c>
      <c r="H3023" s="33">
        <v>15620</v>
      </c>
      <c r="I3023" s="34">
        <f>Table3[[#This Row],[Volume, kg.]]/1000</f>
        <v>15.62</v>
      </c>
      <c r="J3023" s="34">
        <v>0.29100000000000004</v>
      </c>
      <c r="K3023" s="34">
        <f t="shared" si="94"/>
        <v>4545.420000000001</v>
      </c>
      <c r="L3023" s="34">
        <v>3.55</v>
      </c>
      <c r="M3023" s="34">
        <v>55451</v>
      </c>
      <c r="N3023" s="34">
        <f t="shared" si="95"/>
        <v>12.19931271477663</v>
      </c>
    </row>
    <row r="3024" spans="1:14" x14ac:dyDescent="0.45">
      <c r="A3024" s="30">
        <v>2024</v>
      </c>
      <c r="B3024" s="30" t="s">
        <v>11</v>
      </c>
      <c r="C3024" s="30" t="s">
        <v>46</v>
      </c>
      <c r="D3024" s="30" t="s">
        <v>47</v>
      </c>
      <c r="E3024" s="32" t="s">
        <v>101</v>
      </c>
      <c r="F3024" s="32" t="s">
        <v>64</v>
      </c>
      <c r="G3024" s="32" t="s">
        <v>50</v>
      </c>
      <c r="H3024" s="33">
        <v>11070</v>
      </c>
      <c r="I3024" s="34">
        <f>Table3[[#This Row],[Volume, kg.]]/1000</f>
        <v>11.07</v>
      </c>
      <c r="J3024" s="34">
        <v>0.21899999999999997</v>
      </c>
      <c r="K3024" s="34">
        <f t="shared" si="94"/>
        <v>2424.3299999999995</v>
      </c>
      <c r="L3024" s="34">
        <v>3</v>
      </c>
      <c r="M3024" s="34">
        <v>33210</v>
      </c>
      <c r="N3024" s="34">
        <f t="shared" si="95"/>
        <v>13.698630136986303</v>
      </c>
    </row>
    <row r="3025" spans="1:14" x14ac:dyDescent="0.45">
      <c r="A3025" s="30">
        <v>2024</v>
      </c>
      <c r="B3025" s="30" t="s">
        <v>11</v>
      </c>
      <c r="C3025" s="30" t="s">
        <v>46</v>
      </c>
      <c r="D3025" s="30" t="s">
        <v>47</v>
      </c>
      <c r="E3025" s="32" t="s">
        <v>146</v>
      </c>
      <c r="F3025" s="32" t="s">
        <v>64</v>
      </c>
      <c r="G3025" s="32" t="s">
        <v>50</v>
      </c>
      <c r="H3025" s="33">
        <v>84470</v>
      </c>
      <c r="I3025" s="34">
        <f>Table3[[#This Row],[Volume, kg.]]/1000</f>
        <v>84.47</v>
      </c>
      <c r="J3025" s="34">
        <v>0.22949999999999998</v>
      </c>
      <c r="K3025" s="34">
        <f t="shared" si="94"/>
        <v>19385.864999999998</v>
      </c>
      <c r="L3025" s="34">
        <v>2.99</v>
      </c>
      <c r="M3025" s="34">
        <v>252767</v>
      </c>
      <c r="N3025" s="34">
        <f t="shared" si="95"/>
        <v>13.028322440087148</v>
      </c>
    </row>
    <row r="3026" spans="1:14" x14ac:dyDescent="0.45">
      <c r="A3026" s="30">
        <v>2024</v>
      </c>
      <c r="B3026" s="30" t="s">
        <v>11</v>
      </c>
      <c r="C3026" s="30" t="s">
        <v>46</v>
      </c>
      <c r="D3026" s="30" t="s">
        <v>47</v>
      </c>
      <c r="E3026" s="32" t="s">
        <v>93</v>
      </c>
      <c r="F3026" s="32" t="s">
        <v>64</v>
      </c>
      <c r="G3026" s="32" t="s">
        <v>50</v>
      </c>
      <c r="H3026" s="33">
        <v>38560</v>
      </c>
      <c r="I3026" s="34">
        <f>Table3[[#This Row],[Volume, kg.]]/1000</f>
        <v>38.56</v>
      </c>
      <c r="J3026" s="34">
        <v>0.20370000000000002</v>
      </c>
      <c r="K3026" s="34">
        <f t="shared" si="94"/>
        <v>7854.6720000000005</v>
      </c>
      <c r="L3026" s="34">
        <v>2.97</v>
      </c>
      <c r="M3026" s="34">
        <v>114674</v>
      </c>
      <c r="N3026" s="34">
        <f t="shared" si="95"/>
        <v>14.580265095729013</v>
      </c>
    </row>
    <row r="3027" spans="1:14" x14ac:dyDescent="0.45">
      <c r="A3027" s="30">
        <v>2024</v>
      </c>
      <c r="B3027" s="30" t="s">
        <v>11</v>
      </c>
      <c r="C3027" s="30" t="s">
        <v>46</v>
      </c>
      <c r="D3027" s="30" t="s">
        <v>47</v>
      </c>
      <c r="E3027" s="32" t="s">
        <v>405</v>
      </c>
      <c r="F3027" s="32" t="s">
        <v>240</v>
      </c>
      <c r="G3027" s="32" t="s">
        <v>50</v>
      </c>
      <c r="H3027" s="33">
        <v>4260</v>
      </c>
      <c r="I3027" s="34">
        <f>Table3[[#This Row],[Volume, kg.]]/1000</f>
        <v>4.26</v>
      </c>
      <c r="J3027" s="34">
        <v>0.20499999999999999</v>
      </c>
      <c r="K3027" s="34">
        <f t="shared" si="94"/>
        <v>873.3</v>
      </c>
      <c r="L3027" s="34">
        <v>3.05</v>
      </c>
      <c r="M3027" s="34">
        <v>12993</v>
      </c>
      <c r="N3027" s="34">
        <f t="shared" si="95"/>
        <v>14.878048780487806</v>
      </c>
    </row>
    <row r="3028" spans="1:14" x14ac:dyDescent="0.45">
      <c r="A3028" s="30">
        <v>2024</v>
      </c>
      <c r="B3028" s="30" t="s">
        <v>11</v>
      </c>
      <c r="C3028" s="30" t="s">
        <v>46</v>
      </c>
      <c r="D3028" s="30" t="s">
        <v>47</v>
      </c>
      <c r="E3028" s="32" t="s">
        <v>255</v>
      </c>
      <c r="F3028" s="32" t="s">
        <v>60</v>
      </c>
      <c r="G3028" s="32" t="s">
        <v>50</v>
      </c>
      <c r="H3028" s="33">
        <v>7180</v>
      </c>
      <c r="I3028" s="34">
        <f>Table3[[#This Row],[Volume, kg.]]/1000</f>
        <v>7.18</v>
      </c>
      <c r="J3028" s="34">
        <v>0.28699999999999998</v>
      </c>
      <c r="K3028" s="34">
        <f t="shared" si="94"/>
        <v>2060.66</v>
      </c>
      <c r="L3028" s="34">
        <v>3.5</v>
      </c>
      <c r="M3028" s="34">
        <v>25130</v>
      </c>
      <c r="N3028" s="34">
        <f t="shared" si="95"/>
        <v>12.195121951219512</v>
      </c>
    </row>
    <row r="3029" spans="1:14" x14ac:dyDescent="0.45">
      <c r="A3029" s="30">
        <v>2024</v>
      </c>
      <c r="B3029" s="30" t="s">
        <v>11</v>
      </c>
      <c r="C3029" s="30" t="s">
        <v>46</v>
      </c>
      <c r="D3029" s="30" t="s">
        <v>47</v>
      </c>
      <c r="E3029" s="32" t="s">
        <v>309</v>
      </c>
      <c r="F3029" s="32" t="s">
        <v>81</v>
      </c>
      <c r="G3029" s="32" t="s">
        <v>50</v>
      </c>
      <c r="H3029" s="33">
        <v>32820</v>
      </c>
      <c r="I3029" s="34">
        <f>Table3[[#This Row],[Volume, kg.]]/1000</f>
        <v>32.82</v>
      </c>
      <c r="J3029" s="34">
        <v>0.25700000000000001</v>
      </c>
      <c r="K3029" s="34">
        <f t="shared" si="94"/>
        <v>8434.74</v>
      </c>
      <c r="L3029" s="34">
        <v>3.4</v>
      </c>
      <c r="M3029" s="34">
        <v>111588</v>
      </c>
      <c r="N3029" s="34">
        <f t="shared" si="95"/>
        <v>13.229571984435797</v>
      </c>
    </row>
    <row r="3030" spans="1:14" x14ac:dyDescent="0.45">
      <c r="A3030" s="30">
        <v>2024</v>
      </c>
      <c r="B3030" s="30" t="s">
        <v>11</v>
      </c>
      <c r="C3030" s="30" t="s">
        <v>46</v>
      </c>
      <c r="D3030" s="30" t="s">
        <v>47</v>
      </c>
      <c r="E3030" s="32" t="s">
        <v>91</v>
      </c>
      <c r="F3030" s="32" t="s">
        <v>60</v>
      </c>
      <c r="G3030" s="32" t="s">
        <v>50</v>
      </c>
      <c r="H3030" s="33">
        <v>49600</v>
      </c>
      <c r="I3030" s="34">
        <f>Table3[[#This Row],[Volume, kg.]]/1000</f>
        <v>49.6</v>
      </c>
      <c r="J3030" s="34">
        <v>0.25819999999999999</v>
      </c>
      <c r="K3030" s="34">
        <f t="shared" si="94"/>
        <v>12806.72</v>
      </c>
      <c r="L3030" s="34">
        <v>3.44</v>
      </c>
      <c r="M3030" s="34">
        <v>170639</v>
      </c>
      <c r="N3030" s="34">
        <f t="shared" si="95"/>
        <v>13.32300542215337</v>
      </c>
    </row>
    <row r="3031" spans="1:14" x14ac:dyDescent="0.45">
      <c r="A3031" s="30">
        <v>2024</v>
      </c>
      <c r="B3031" s="30" t="s">
        <v>11</v>
      </c>
      <c r="C3031" s="30" t="s">
        <v>46</v>
      </c>
      <c r="D3031" s="30" t="s">
        <v>47</v>
      </c>
      <c r="E3031" s="32" t="s">
        <v>53</v>
      </c>
      <c r="F3031" s="32" t="s">
        <v>54</v>
      </c>
      <c r="G3031" s="32" t="s">
        <v>50</v>
      </c>
      <c r="H3031" s="33">
        <v>55180</v>
      </c>
      <c r="I3031" s="34">
        <f>Table3[[#This Row],[Volume, kg.]]/1000</f>
        <v>55.18</v>
      </c>
      <c r="J3031" s="34">
        <v>0.24390000000000001</v>
      </c>
      <c r="K3031" s="34">
        <f t="shared" si="94"/>
        <v>13458.402</v>
      </c>
      <c r="L3031" s="34">
        <v>3.3</v>
      </c>
      <c r="M3031" s="34">
        <v>181874</v>
      </c>
      <c r="N3031" s="34">
        <f t="shared" si="95"/>
        <v>13.530135301353013</v>
      </c>
    </row>
    <row r="3032" spans="1:14" x14ac:dyDescent="0.45">
      <c r="A3032" s="30">
        <v>2024</v>
      </c>
      <c r="B3032" s="30" t="s">
        <v>11</v>
      </c>
      <c r="C3032" s="30" t="s">
        <v>46</v>
      </c>
      <c r="D3032" s="30" t="s">
        <v>47</v>
      </c>
      <c r="E3032" s="32" t="s">
        <v>130</v>
      </c>
      <c r="F3032" s="32" t="s">
        <v>64</v>
      </c>
      <c r="G3032" s="32" t="s">
        <v>50</v>
      </c>
      <c r="H3032" s="33">
        <v>106870</v>
      </c>
      <c r="I3032" s="34">
        <f>Table3[[#This Row],[Volume, kg.]]/1000</f>
        <v>106.87</v>
      </c>
      <c r="J3032" s="34">
        <v>0.214</v>
      </c>
      <c r="K3032" s="34">
        <f t="shared" si="94"/>
        <v>22870.18</v>
      </c>
      <c r="L3032" s="34">
        <v>3.02</v>
      </c>
      <c r="M3032" s="34">
        <v>323204.5</v>
      </c>
      <c r="N3032" s="34">
        <f t="shared" si="95"/>
        <v>14.11214953271028</v>
      </c>
    </row>
    <row r="3033" spans="1:14" x14ac:dyDescent="0.45">
      <c r="A3033" s="30">
        <v>2024</v>
      </c>
      <c r="B3033" s="30" t="s">
        <v>11</v>
      </c>
      <c r="C3033" s="30" t="s">
        <v>46</v>
      </c>
      <c r="D3033" s="30" t="s">
        <v>47</v>
      </c>
      <c r="E3033" s="32" t="s">
        <v>408</v>
      </c>
      <c r="F3033" s="32" t="s">
        <v>238</v>
      </c>
      <c r="G3033" s="32" t="s">
        <v>50</v>
      </c>
      <c r="H3033" s="33">
        <v>87360</v>
      </c>
      <c r="I3033" s="34">
        <f>Table3[[#This Row],[Volume, kg.]]/1000</f>
        <v>87.36</v>
      </c>
      <c r="J3033" s="34">
        <v>0.20120000000000002</v>
      </c>
      <c r="K3033" s="34">
        <f t="shared" si="94"/>
        <v>17576.832000000002</v>
      </c>
      <c r="L3033" s="34">
        <v>3</v>
      </c>
      <c r="M3033" s="34">
        <v>261718.5</v>
      </c>
      <c r="N3033" s="34">
        <f t="shared" si="95"/>
        <v>14.910536779324055</v>
      </c>
    </row>
    <row r="3034" spans="1:14" x14ac:dyDescent="0.45">
      <c r="A3034" s="30">
        <v>2024</v>
      </c>
      <c r="B3034" s="30" t="s">
        <v>11</v>
      </c>
      <c r="C3034" s="30" t="s">
        <v>46</v>
      </c>
      <c r="D3034" s="30" t="s">
        <v>47</v>
      </c>
      <c r="E3034" s="32" t="s">
        <v>270</v>
      </c>
      <c r="F3034" s="32" t="s">
        <v>49</v>
      </c>
      <c r="G3034" s="32" t="s">
        <v>50</v>
      </c>
      <c r="H3034" s="33">
        <v>12830</v>
      </c>
      <c r="I3034" s="34">
        <f>Table3[[#This Row],[Volume, kg.]]/1000</f>
        <v>12.83</v>
      </c>
      <c r="J3034" s="34">
        <v>0.20050000000000001</v>
      </c>
      <c r="K3034" s="34">
        <f t="shared" si="94"/>
        <v>2572.415</v>
      </c>
      <c r="L3034" s="34">
        <v>2.95</v>
      </c>
      <c r="M3034" s="34">
        <v>37848.5</v>
      </c>
      <c r="N3034" s="34">
        <f t="shared" si="95"/>
        <v>14.713216957605985</v>
      </c>
    </row>
    <row r="3035" spans="1:14" x14ac:dyDescent="0.45">
      <c r="A3035" s="30">
        <v>2024</v>
      </c>
      <c r="B3035" s="30" t="s">
        <v>11</v>
      </c>
      <c r="C3035" s="30" t="s">
        <v>46</v>
      </c>
      <c r="D3035" s="30" t="s">
        <v>47</v>
      </c>
      <c r="E3035" s="32" t="s">
        <v>422</v>
      </c>
      <c r="F3035" s="32" t="s">
        <v>134</v>
      </c>
      <c r="G3035" s="32" t="s">
        <v>50</v>
      </c>
      <c r="H3035" s="33">
        <v>12680</v>
      </c>
      <c r="I3035" s="34">
        <f>Table3[[#This Row],[Volume, kg.]]/1000</f>
        <v>12.68</v>
      </c>
      <c r="J3035" s="34">
        <v>0.21350000000000002</v>
      </c>
      <c r="K3035" s="34">
        <f t="shared" si="94"/>
        <v>2707.1800000000003</v>
      </c>
      <c r="L3035" s="34">
        <v>2.85</v>
      </c>
      <c r="M3035" s="34">
        <v>36138</v>
      </c>
      <c r="N3035" s="34">
        <f t="shared" si="95"/>
        <v>13.348946135831381</v>
      </c>
    </row>
    <row r="3036" spans="1:14" x14ac:dyDescent="0.45">
      <c r="A3036" s="30">
        <v>2024</v>
      </c>
      <c r="B3036" s="30" t="s">
        <v>11</v>
      </c>
      <c r="C3036" s="30" t="s">
        <v>46</v>
      </c>
      <c r="D3036" s="30" t="s">
        <v>47</v>
      </c>
      <c r="E3036" s="32" t="s">
        <v>257</v>
      </c>
      <c r="F3036" s="32" t="s">
        <v>64</v>
      </c>
      <c r="G3036" s="32" t="s">
        <v>50</v>
      </c>
      <c r="H3036" s="33">
        <v>128410</v>
      </c>
      <c r="I3036" s="34">
        <f>Table3[[#This Row],[Volume, kg.]]/1000</f>
        <v>128.41</v>
      </c>
      <c r="J3036" s="34">
        <v>0.2167</v>
      </c>
      <c r="K3036" s="34">
        <f t="shared" si="94"/>
        <v>27826.447</v>
      </c>
      <c r="L3036" s="34">
        <v>3.05</v>
      </c>
      <c r="M3036" s="34">
        <v>391178</v>
      </c>
      <c r="N3036" s="34">
        <f t="shared" si="95"/>
        <v>14.074757729580064</v>
      </c>
    </row>
    <row r="3037" spans="1:14" x14ac:dyDescent="0.45">
      <c r="A3037" s="30">
        <v>2024</v>
      </c>
      <c r="B3037" s="30" t="s">
        <v>11</v>
      </c>
      <c r="C3037" s="30" t="s">
        <v>46</v>
      </c>
      <c r="D3037" s="30" t="s">
        <v>47</v>
      </c>
      <c r="E3037" s="32" t="s">
        <v>133</v>
      </c>
      <c r="F3037" s="32" t="s">
        <v>134</v>
      </c>
      <c r="G3037" s="32" t="s">
        <v>50</v>
      </c>
      <c r="H3037" s="33">
        <v>287170</v>
      </c>
      <c r="I3037" s="34">
        <f>Table3[[#This Row],[Volume, kg.]]/1000</f>
        <v>287.17</v>
      </c>
      <c r="J3037" s="34">
        <v>0.21870000000000001</v>
      </c>
      <c r="K3037" s="34">
        <f t="shared" si="94"/>
        <v>62804.079000000005</v>
      </c>
      <c r="L3037" s="34">
        <v>3.1</v>
      </c>
      <c r="M3037" s="34">
        <v>889879</v>
      </c>
      <c r="N3037" s="34">
        <f t="shared" si="95"/>
        <v>14.17466849565615</v>
      </c>
    </row>
    <row r="3038" spans="1:14" x14ac:dyDescent="0.45">
      <c r="A3038" s="30">
        <v>2024</v>
      </c>
      <c r="B3038" s="30" t="s">
        <v>11</v>
      </c>
      <c r="C3038" s="30" t="s">
        <v>46</v>
      </c>
      <c r="D3038" s="30" t="s">
        <v>47</v>
      </c>
      <c r="E3038" s="32" t="s">
        <v>78</v>
      </c>
      <c r="F3038" s="32" t="s">
        <v>49</v>
      </c>
      <c r="G3038" s="32" t="s">
        <v>50</v>
      </c>
      <c r="H3038" s="33">
        <v>4050</v>
      </c>
      <c r="I3038" s="34">
        <f>Table3[[#This Row],[Volume, kg.]]/1000</f>
        <v>4.05</v>
      </c>
      <c r="J3038" s="34">
        <v>0.2195</v>
      </c>
      <c r="K3038" s="34">
        <f t="shared" si="94"/>
        <v>888.97500000000002</v>
      </c>
      <c r="L3038" s="34">
        <v>2.9</v>
      </c>
      <c r="M3038" s="34">
        <v>11745</v>
      </c>
      <c r="N3038" s="34">
        <f t="shared" si="95"/>
        <v>13.211845102505695</v>
      </c>
    </row>
    <row r="3039" spans="1:14" x14ac:dyDescent="0.45">
      <c r="A3039" s="30">
        <v>2024</v>
      </c>
      <c r="B3039" s="30" t="s">
        <v>11</v>
      </c>
      <c r="C3039" s="30" t="s">
        <v>46</v>
      </c>
      <c r="D3039" s="30" t="s">
        <v>47</v>
      </c>
      <c r="E3039" s="32" t="s">
        <v>252</v>
      </c>
      <c r="F3039" s="32" t="s">
        <v>49</v>
      </c>
      <c r="G3039" s="32" t="s">
        <v>50</v>
      </c>
      <c r="H3039" s="33">
        <v>17940</v>
      </c>
      <c r="I3039" s="34">
        <f>Table3[[#This Row],[Volume, kg.]]/1000</f>
        <v>17.940000000000001</v>
      </c>
      <c r="J3039" s="34">
        <v>0.21719999999999998</v>
      </c>
      <c r="K3039" s="34">
        <f t="shared" si="94"/>
        <v>3896.5679999999998</v>
      </c>
      <c r="L3039" s="34">
        <v>2.98</v>
      </c>
      <c r="M3039" s="34">
        <v>53462.5</v>
      </c>
      <c r="N3039" s="34">
        <f t="shared" si="95"/>
        <v>13.720073664825048</v>
      </c>
    </row>
    <row r="3040" spans="1:14" x14ac:dyDescent="0.45">
      <c r="A3040" s="30">
        <v>2024</v>
      </c>
      <c r="B3040" s="30" t="s">
        <v>11</v>
      </c>
      <c r="C3040" s="30" t="s">
        <v>46</v>
      </c>
      <c r="D3040" s="30" t="s">
        <v>47</v>
      </c>
      <c r="E3040" s="32" t="s">
        <v>95</v>
      </c>
      <c r="F3040" s="32" t="s">
        <v>49</v>
      </c>
      <c r="G3040" s="32" t="s">
        <v>50</v>
      </c>
      <c r="H3040" s="33">
        <v>27770</v>
      </c>
      <c r="I3040" s="34">
        <f>Table3[[#This Row],[Volume, kg.]]/1000</f>
        <v>27.77</v>
      </c>
      <c r="J3040" s="34">
        <v>0.22170000000000001</v>
      </c>
      <c r="K3040" s="34">
        <f t="shared" si="94"/>
        <v>6156.6090000000004</v>
      </c>
      <c r="L3040" s="34">
        <v>3.05</v>
      </c>
      <c r="M3040" s="34">
        <v>84789.5</v>
      </c>
      <c r="N3040" s="34">
        <f t="shared" si="95"/>
        <v>13.757329724853404</v>
      </c>
    </row>
    <row r="3041" spans="1:14" x14ac:dyDescent="0.45">
      <c r="A3041" s="30">
        <v>2024</v>
      </c>
      <c r="B3041" s="30" t="s">
        <v>11</v>
      </c>
      <c r="C3041" s="30" t="s">
        <v>46</v>
      </c>
      <c r="D3041" s="30" t="s">
        <v>47</v>
      </c>
      <c r="E3041" s="32" t="s">
        <v>205</v>
      </c>
      <c r="F3041" s="32" t="s">
        <v>49</v>
      </c>
      <c r="G3041" s="32" t="s">
        <v>50</v>
      </c>
      <c r="H3041" s="33">
        <v>18600</v>
      </c>
      <c r="I3041" s="34">
        <f>Table3[[#This Row],[Volume, kg.]]/1000</f>
        <v>18.600000000000001</v>
      </c>
      <c r="J3041" s="34">
        <v>0.23</v>
      </c>
      <c r="K3041" s="34">
        <f t="shared" si="94"/>
        <v>4278</v>
      </c>
      <c r="L3041" s="34">
        <v>3.3</v>
      </c>
      <c r="M3041" s="34">
        <v>61380</v>
      </c>
      <c r="N3041" s="34">
        <f t="shared" si="95"/>
        <v>14.34782608695652</v>
      </c>
    </row>
    <row r="3042" spans="1:14" x14ac:dyDescent="0.45">
      <c r="A3042" s="30">
        <v>2024</v>
      </c>
      <c r="B3042" s="30" t="s">
        <v>11</v>
      </c>
      <c r="C3042" s="30" t="s">
        <v>46</v>
      </c>
      <c r="D3042" s="30" t="s">
        <v>47</v>
      </c>
      <c r="E3042" s="32" t="s">
        <v>511</v>
      </c>
      <c r="F3042" s="32" t="s">
        <v>60</v>
      </c>
      <c r="G3042" s="32" t="s">
        <v>50</v>
      </c>
      <c r="H3042" s="33">
        <v>8570</v>
      </c>
      <c r="I3042" s="34">
        <f>Table3[[#This Row],[Volume, kg.]]/1000</f>
        <v>8.57</v>
      </c>
      <c r="J3042" s="34">
        <v>0.23949999999999999</v>
      </c>
      <c r="K3042" s="34">
        <f t="shared" si="94"/>
        <v>2052.5149999999999</v>
      </c>
      <c r="L3042" s="34">
        <v>3.2</v>
      </c>
      <c r="M3042" s="34">
        <v>27424</v>
      </c>
      <c r="N3042" s="34">
        <f t="shared" si="95"/>
        <v>13.361169102296452</v>
      </c>
    </row>
    <row r="3043" spans="1:14" x14ac:dyDescent="0.45">
      <c r="A3043" s="30">
        <v>2024</v>
      </c>
      <c r="B3043" s="30" t="s">
        <v>11</v>
      </c>
      <c r="C3043" s="30" t="s">
        <v>46</v>
      </c>
      <c r="D3043" s="30" t="s">
        <v>47</v>
      </c>
      <c r="E3043" s="32" t="s">
        <v>439</v>
      </c>
      <c r="F3043" s="32" t="s">
        <v>64</v>
      </c>
      <c r="G3043" s="32" t="s">
        <v>50</v>
      </c>
      <c r="H3043" s="33">
        <v>27450</v>
      </c>
      <c r="I3043" s="34">
        <f>Table3[[#This Row],[Volume, kg.]]/1000</f>
        <v>27.45</v>
      </c>
      <c r="J3043" s="34">
        <v>0.23920000000000002</v>
      </c>
      <c r="K3043" s="34">
        <f t="shared" si="94"/>
        <v>6566.0400000000009</v>
      </c>
      <c r="L3043" s="34">
        <v>3.21</v>
      </c>
      <c r="M3043" s="34">
        <v>88142.5</v>
      </c>
      <c r="N3043" s="34">
        <f t="shared" si="95"/>
        <v>13.41973244147157</v>
      </c>
    </row>
    <row r="3044" spans="1:14" x14ac:dyDescent="0.45">
      <c r="A3044" s="30">
        <v>2024</v>
      </c>
      <c r="B3044" s="30" t="s">
        <v>11</v>
      </c>
      <c r="C3044" s="30" t="s">
        <v>46</v>
      </c>
      <c r="D3044" s="30" t="s">
        <v>102</v>
      </c>
      <c r="E3044" s="32" t="s">
        <v>437</v>
      </c>
      <c r="F3044" s="32" t="s">
        <v>49</v>
      </c>
      <c r="G3044" s="32" t="s">
        <v>50</v>
      </c>
      <c r="H3044" s="33">
        <v>551900</v>
      </c>
      <c r="I3044" s="34">
        <f>Table3[[#This Row],[Volume, kg.]]/1000</f>
        <v>551.9</v>
      </c>
      <c r="J3044" s="34">
        <v>0.22320000000000001</v>
      </c>
      <c r="K3044" s="34">
        <f t="shared" si="94"/>
        <v>123184.08</v>
      </c>
      <c r="L3044" s="34">
        <v>3.07</v>
      </c>
      <c r="M3044" s="34">
        <v>1692481.5</v>
      </c>
      <c r="N3044" s="34">
        <f t="shared" si="95"/>
        <v>13.75448028673835</v>
      </c>
    </row>
    <row r="3045" spans="1:14" x14ac:dyDescent="0.45">
      <c r="A3045" s="30">
        <v>2024</v>
      </c>
      <c r="B3045" s="30" t="s">
        <v>11</v>
      </c>
      <c r="C3045" s="30" t="s">
        <v>46</v>
      </c>
      <c r="D3045" s="30" t="s">
        <v>47</v>
      </c>
      <c r="E3045" s="32" t="s">
        <v>410</v>
      </c>
      <c r="F3045" s="32" t="s">
        <v>54</v>
      </c>
      <c r="G3045" s="32" t="s">
        <v>50</v>
      </c>
      <c r="H3045" s="33">
        <v>26240</v>
      </c>
      <c r="I3045" s="34">
        <f>Table3[[#This Row],[Volume, kg.]]/1000</f>
        <v>26.24</v>
      </c>
      <c r="J3045" s="34">
        <v>0.247</v>
      </c>
      <c r="K3045" s="34">
        <f t="shared" si="94"/>
        <v>6481.28</v>
      </c>
      <c r="L3045" s="34">
        <v>3.15</v>
      </c>
      <c r="M3045" s="34">
        <v>82583</v>
      </c>
      <c r="N3045" s="34">
        <f t="shared" si="95"/>
        <v>12.753036437246964</v>
      </c>
    </row>
    <row r="3046" spans="1:14" x14ac:dyDescent="0.45">
      <c r="A3046" s="30">
        <v>2024</v>
      </c>
      <c r="B3046" s="30" t="s">
        <v>11</v>
      </c>
      <c r="C3046" s="30" t="s">
        <v>46</v>
      </c>
      <c r="D3046" s="30" t="s">
        <v>47</v>
      </c>
      <c r="E3046" s="32" t="s">
        <v>413</v>
      </c>
      <c r="F3046" s="32" t="s">
        <v>49</v>
      </c>
      <c r="G3046" s="32" t="s">
        <v>50</v>
      </c>
      <c r="H3046" s="33">
        <v>9690</v>
      </c>
      <c r="I3046" s="34">
        <f>Table3[[#This Row],[Volume, kg.]]/1000</f>
        <v>9.69</v>
      </c>
      <c r="J3046" s="34">
        <v>0.2515</v>
      </c>
      <c r="K3046" s="34">
        <f t="shared" si="94"/>
        <v>2437.0349999999999</v>
      </c>
      <c r="L3046" s="34">
        <v>3.47</v>
      </c>
      <c r="M3046" s="34">
        <v>33586.5</v>
      </c>
      <c r="N3046" s="34">
        <f t="shared" si="95"/>
        <v>13.797216699801194</v>
      </c>
    </row>
    <row r="3047" spans="1:14" x14ac:dyDescent="0.45">
      <c r="A3047" s="30">
        <v>2024</v>
      </c>
      <c r="B3047" s="30" t="s">
        <v>11</v>
      </c>
      <c r="C3047" s="30" t="s">
        <v>46</v>
      </c>
      <c r="D3047" s="30" t="s">
        <v>47</v>
      </c>
      <c r="E3047" s="32" t="s">
        <v>455</v>
      </c>
      <c r="F3047" s="32" t="s">
        <v>456</v>
      </c>
      <c r="G3047" s="32" t="s">
        <v>341</v>
      </c>
      <c r="H3047" s="33">
        <v>1017790</v>
      </c>
      <c r="I3047" s="34">
        <f>Table3[[#This Row],[Volume, kg.]]/1000</f>
        <v>1017.79</v>
      </c>
      <c r="J3047" s="34">
        <v>0.2069</v>
      </c>
      <c r="K3047" s="34">
        <f t="shared" si="94"/>
        <v>210580.75099999999</v>
      </c>
      <c r="L3047" s="34">
        <v>3.04</v>
      </c>
      <c r="M3047" s="34">
        <v>3090448</v>
      </c>
      <c r="N3047" s="34">
        <f t="shared" si="95"/>
        <v>14.693088448525858</v>
      </c>
    </row>
    <row r="3048" spans="1:14" x14ac:dyDescent="0.45">
      <c r="A3048" s="30">
        <v>2024</v>
      </c>
      <c r="B3048" s="30" t="s">
        <v>11</v>
      </c>
      <c r="C3048" s="30" t="s">
        <v>46</v>
      </c>
      <c r="D3048" s="30" t="s">
        <v>102</v>
      </c>
      <c r="E3048" s="32" t="s">
        <v>418</v>
      </c>
      <c r="F3048" s="32" t="s">
        <v>104</v>
      </c>
      <c r="G3048" s="32" t="s">
        <v>105</v>
      </c>
      <c r="H3048" s="33">
        <v>419770</v>
      </c>
      <c r="I3048" s="34">
        <f>Table3[[#This Row],[Volume, kg.]]/1000</f>
        <v>419.77</v>
      </c>
      <c r="J3048" s="34">
        <v>0.22010000000000002</v>
      </c>
      <c r="K3048" s="34">
        <f t="shared" si="94"/>
        <v>92391.377000000008</v>
      </c>
      <c r="L3048" s="34">
        <v>3.03</v>
      </c>
      <c r="M3048" s="34">
        <v>1270001</v>
      </c>
      <c r="N3048" s="34">
        <f t="shared" si="95"/>
        <v>13.766469786460698</v>
      </c>
    </row>
    <row r="3049" spans="1:14" x14ac:dyDescent="0.45">
      <c r="A3049" s="30">
        <v>2024</v>
      </c>
      <c r="B3049" s="30" t="s">
        <v>11</v>
      </c>
      <c r="C3049" s="30" t="s">
        <v>46</v>
      </c>
      <c r="D3049" s="30" t="s">
        <v>47</v>
      </c>
      <c r="E3049" s="32" t="s">
        <v>419</v>
      </c>
      <c r="F3049" s="32" t="s">
        <v>223</v>
      </c>
      <c r="G3049" s="32" t="s">
        <v>50</v>
      </c>
      <c r="H3049" s="33">
        <v>10810</v>
      </c>
      <c r="I3049" s="34">
        <f>Table3[[#This Row],[Volume, kg.]]/1000</f>
        <v>10.81</v>
      </c>
      <c r="J3049" s="34">
        <v>0.20550000000000002</v>
      </c>
      <c r="K3049" s="34">
        <f t="shared" si="94"/>
        <v>2221.4550000000004</v>
      </c>
      <c r="L3049" s="34">
        <v>3.05</v>
      </c>
      <c r="M3049" s="34">
        <v>32970.5</v>
      </c>
      <c r="N3049" s="34">
        <f t="shared" si="95"/>
        <v>14.84184914841849</v>
      </c>
    </row>
    <row r="3050" spans="1:14" x14ac:dyDescent="0.45">
      <c r="A3050" s="30">
        <v>2024</v>
      </c>
      <c r="B3050" s="30" t="s">
        <v>11</v>
      </c>
      <c r="C3050" s="30" t="s">
        <v>46</v>
      </c>
      <c r="D3050" s="30" t="s">
        <v>47</v>
      </c>
      <c r="E3050" s="32" t="s">
        <v>448</v>
      </c>
      <c r="F3050" s="32" t="s">
        <v>238</v>
      </c>
      <c r="G3050" s="32" t="s">
        <v>50</v>
      </c>
      <c r="H3050" s="33">
        <v>82000</v>
      </c>
      <c r="I3050" s="34">
        <f>Table3[[#This Row],[Volume, kg.]]/1000</f>
        <v>82</v>
      </c>
      <c r="J3050" s="34">
        <v>0.2349</v>
      </c>
      <c r="K3050" s="34">
        <f t="shared" si="94"/>
        <v>19261.8</v>
      </c>
      <c r="L3050" s="34">
        <v>3.2</v>
      </c>
      <c r="M3050" s="34">
        <v>262051</v>
      </c>
      <c r="N3050" s="34">
        <f t="shared" si="95"/>
        <v>13.62281822051937</v>
      </c>
    </row>
    <row r="3051" spans="1:14" x14ac:dyDescent="0.45">
      <c r="A3051" s="30">
        <v>2024</v>
      </c>
      <c r="B3051" s="30" t="s">
        <v>11</v>
      </c>
      <c r="C3051" s="30" t="s">
        <v>46</v>
      </c>
      <c r="D3051" s="30" t="s">
        <v>47</v>
      </c>
      <c r="E3051" s="32" t="s">
        <v>452</v>
      </c>
      <c r="F3051" s="32" t="s">
        <v>134</v>
      </c>
      <c r="G3051" s="32" t="s">
        <v>50</v>
      </c>
      <c r="H3051" s="33">
        <v>131650</v>
      </c>
      <c r="I3051" s="34">
        <f>Table3[[#This Row],[Volume, kg.]]/1000</f>
        <v>131.65</v>
      </c>
      <c r="J3051" s="34">
        <v>0.22769999999999999</v>
      </c>
      <c r="K3051" s="34">
        <f t="shared" si="94"/>
        <v>29976.704999999998</v>
      </c>
      <c r="L3051" s="34">
        <v>3.18</v>
      </c>
      <c r="M3051" s="34">
        <v>418253.5</v>
      </c>
      <c r="N3051" s="34">
        <f t="shared" si="95"/>
        <v>13.965744400527011</v>
      </c>
    </row>
    <row r="3052" spans="1:14" x14ac:dyDescent="0.45">
      <c r="A3052" s="30">
        <v>2024</v>
      </c>
      <c r="B3052" s="30" t="s">
        <v>11</v>
      </c>
      <c r="C3052" s="30" t="s">
        <v>46</v>
      </c>
      <c r="D3052" s="30" t="s">
        <v>47</v>
      </c>
      <c r="E3052" s="32" t="s">
        <v>483</v>
      </c>
      <c r="F3052" s="32" t="s">
        <v>238</v>
      </c>
      <c r="G3052" s="32" t="s">
        <v>50</v>
      </c>
      <c r="H3052" s="33">
        <v>106180</v>
      </c>
      <c r="I3052" s="34">
        <f>Table3[[#This Row],[Volume, kg.]]/1000</f>
        <v>106.18</v>
      </c>
      <c r="J3052" s="34">
        <v>0.21960000000000002</v>
      </c>
      <c r="K3052" s="34">
        <f t="shared" si="94"/>
        <v>23317.128000000001</v>
      </c>
      <c r="L3052" s="34">
        <v>3.12</v>
      </c>
      <c r="M3052" s="34">
        <v>331368</v>
      </c>
      <c r="N3052" s="34">
        <f t="shared" si="95"/>
        <v>14.207650273224044</v>
      </c>
    </row>
    <row r="3053" spans="1:14" x14ac:dyDescent="0.45">
      <c r="A3053" s="30">
        <v>2024</v>
      </c>
      <c r="B3053" s="30" t="s">
        <v>11</v>
      </c>
      <c r="C3053" s="30" t="s">
        <v>46</v>
      </c>
      <c r="D3053" s="30" t="s">
        <v>47</v>
      </c>
      <c r="E3053" s="32" t="s">
        <v>484</v>
      </c>
      <c r="F3053" s="32" t="s">
        <v>81</v>
      </c>
      <c r="G3053" s="32" t="s">
        <v>50</v>
      </c>
      <c r="H3053" s="33">
        <v>50</v>
      </c>
      <c r="I3053" s="34">
        <f>Table3[[#This Row],[Volume, kg.]]/1000</f>
        <v>0.05</v>
      </c>
      <c r="J3053" s="34">
        <v>0.249</v>
      </c>
      <c r="K3053" s="34">
        <f t="shared" si="94"/>
        <v>12.45</v>
      </c>
      <c r="L3053" s="34">
        <v>3.25</v>
      </c>
      <c r="M3053" s="34">
        <v>162.5</v>
      </c>
      <c r="N3053" s="34">
        <f t="shared" si="95"/>
        <v>13.052208835341366</v>
      </c>
    </row>
    <row r="3054" spans="1:14" x14ac:dyDescent="0.45">
      <c r="A3054" s="30">
        <v>2024</v>
      </c>
      <c r="B3054" s="30" t="s">
        <v>11</v>
      </c>
      <c r="C3054" s="30" t="s">
        <v>46</v>
      </c>
      <c r="D3054" s="30" t="s">
        <v>47</v>
      </c>
      <c r="E3054" s="32" t="s">
        <v>492</v>
      </c>
      <c r="F3054" s="32" t="s">
        <v>57</v>
      </c>
      <c r="G3054" s="32" t="s">
        <v>50</v>
      </c>
      <c r="H3054" s="33">
        <v>75720</v>
      </c>
      <c r="I3054" s="34">
        <f>Table3[[#This Row],[Volume, kg.]]/1000</f>
        <v>75.72</v>
      </c>
      <c r="J3054" s="34">
        <v>0.20660000000000001</v>
      </c>
      <c r="K3054" s="34">
        <f t="shared" si="94"/>
        <v>15643.752</v>
      </c>
      <c r="L3054" s="34">
        <v>3</v>
      </c>
      <c r="M3054" s="34">
        <v>227064</v>
      </c>
      <c r="N3054" s="34">
        <f t="shared" si="95"/>
        <v>14.52081316553727</v>
      </c>
    </row>
    <row r="3055" spans="1:14" x14ac:dyDescent="0.45">
      <c r="A3055" s="30">
        <v>2024</v>
      </c>
      <c r="B3055" s="30" t="s">
        <v>11</v>
      </c>
      <c r="C3055" s="30" t="s">
        <v>46</v>
      </c>
      <c r="D3055" s="30" t="s">
        <v>47</v>
      </c>
      <c r="E3055" s="32" t="s">
        <v>539</v>
      </c>
      <c r="F3055" s="32" t="s">
        <v>57</v>
      </c>
      <c r="G3055" s="32" t="s">
        <v>50</v>
      </c>
      <c r="H3055" s="33">
        <v>6120</v>
      </c>
      <c r="I3055" s="34">
        <f>Table3[[#This Row],[Volume, kg.]]/1000</f>
        <v>6.12</v>
      </c>
      <c r="J3055" s="34">
        <v>0.2545</v>
      </c>
      <c r="K3055" s="34">
        <f t="shared" si="94"/>
        <v>1557.54</v>
      </c>
      <c r="L3055" s="34">
        <v>3.45</v>
      </c>
      <c r="M3055" s="34">
        <v>21114</v>
      </c>
      <c r="N3055" s="34">
        <f t="shared" si="95"/>
        <v>13.555992141453832</v>
      </c>
    </row>
    <row r="3056" spans="1:14" x14ac:dyDescent="0.45">
      <c r="A3056" s="30">
        <v>2024</v>
      </c>
      <c r="B3056" s="30" t="s">
        <v>11</v>
      </c>
      <c r="C3056" s="30" t="s">
        <v>46</v>
      </c>
      <c r="D3056" s="30" t="s">
        <v>47</v>
      </c>
      <c r="E3056" s="32" t="s">
        <v>553</v>
      </c>
      <c r="F3056" s="32" t="s">
        <v>238</v>
      </c>
      <c r="G3056" s="32" t="s">
        <v>50</v>
      </c>
      <c r="H3056" s="33">
        <v>29770</v>
      </c>
      <c r="I3056" s="34">
        <f>Table3[[#This Row],[Volume, kg.]]/1000</f>
        <v>29.77</v>
      </c>
      <c r="J3056" s="34">
        <v>0.21609999999999999</v>
      </c>
      <c r="K3056" s="34">
        <f t="shared" si="94"/>
        <v>6433.2969999999996</v>
      </c>
      <c r="L3056" s="34">
        <v>3.27</v>
      </c>
      <c r="M3056" s="34">
        <v>97417</v>
      </c>
      <c r="N3056" s="34">
        <f t="shared" si="95"/>
        <v>15.131883387320686</v>
      </c>
    </row>
    <row r="3057" spans="1:14" x14ac:dyDescent="0.45">
      <c r="A3057" s="30">
        <v>2024</v>
      </c>
      <c r="B3057" s="30" t="s">
        <v>11</v>
      </c>
      <c r="C3057" s="30" t="s">
        <v>46</v>
      </c>
      <c r="D3057" s="30" t="s">
        <v>102</v>
      </c>
      <c r="E3057" s="32" t="s">
        <v>552</v>
      </c>
      <c r="F3057" s="32" t="s">
        <v>238</v>
      </c>
      <c r="G3057" s="32" t="s">
        <v>50</v>
      </c>
      <c r="H3057" s="33">
        <v>62870</v>
      </c>
      <c r="I3057" s="34">
        <f>Table3[[#This Row],[Volume, kg.]]/1000</f>
        <v>62.87</v>
      </c>
      <c r="J3057" s="34">
        <v>0.21429999999999999</v>
      </c>
      <c r="K3057" s="34">
        <f t="shared" si="94"/>
        <v>13473.040999999999</v>
      </c>
      <c r="L3057" s="34">
        <v>2.88</v>
      </c>
      <c r="M3057" s="34">
        <v>181097.5</v>
      </c>
      <c r="N3057" s="34">
        <f t="shared" si="95"/>
        <v>13.439104059729351</v>
      </c>
    </row>
    <row r="3058" spans="1:14" x14ac:dyDescent="0.45">
      <c r="A3058" s="30">
        <v>2024</v>
      </c>
      <c r="B3058" s="30" t="s">
        <v>11</v>
      </c>
      <c r="C3058" s="30" t="s">
        <v>46</v>
      </c>
      <c r="D3058" s="30" t="s">
        <v>47</v>
      </c>
      <c r="E3058" s="32" t="s">
        <v>574</v>
      </c>
      <c r="F3058" s="32" t="s">
        <v>134</v>
      </c>
      <c r="G3058" s="32" t="s">
        <v>50</v>
      </c>
      <c r="H3058" s="33">
        <v>30500</v>
      </c>
      <c r="I3058" s="34">
        <f>Table3[[#This Row],[Volume, kg.]]/1000</f>
        <v>30.5</v>
      </c>
      <c r="J3058" s="34">
        <v>0.20679999999999998</v>
      </c>
      <c r="K3058" s="34">
        <f t="shared" si="94"/>
        <v>6307.4</v>
      </c>
      <c r="L3058" s="34">
        <v>3</v>
      </c>
      <c r="M3058" s="34">
        <v>91505</v>
      </c>
      <c r="N3058" s="34">
        <f t="shared" si="95"/>
        <v>14.506769825918763</v>
      </c>
    </row>
    <row r="3059" spans="1:14" x14ac:dyDescent="0.45">
      <c r="A3059" s="30">
        <v>2024</v>
      </c>
      <c r="B3059" s="30" t="s">
        <v>11</v>
      </c>
      <c r="C3059" s="30" t="s">
        <v>46</v>
      </c>
      <c r="D3059" s="30" t="s">
        <v>47</v>
      </c>
      <c r="E3059" s="32" t="s">
        <v>586</v>
      </c>
      <c r="F3059" s="32" t="s">
        <v>64</v>
      </c>
      <c r="G3059" s="32" t="s">
        <v>50</v>
      </c>
      <c r="H3059" s="33">
        <v>23310</v>
      </c>
      <c r="I3059" s="34">
        <f>Table3[[#This Row],[Volume, kg.]]/1000</f>
        <v>23.31</v>
      </c>
      <c r="J3059" s="34">
        <v>0.20519999999999999</v>
      </c>
      <c r="K3059" s="34">
        <f t="shared" si="94"/>
        <v>4783.2119999999995</v>
      </c>
      <c r="L3059" s="34">
        <v>3.13</v>
      </c>
      <c r="M3059" s="34">
        <v>72902</v>
      </c>
      <c r="N3059" s="34">
        <f t="shared" si="95"/>
        <v>15.253411306042885</v>
      </c>
    </row>
    <row r="3060" spans="1:14" x14ac:dyDescent="0.45">
      <c r="A3060" s="30">
        <v>2024</v>
      </c>
      <c r="B3060" s="30" t="s">
        <v>11</v>
      </c>
      <c r="C3060" s="30" t="s">
        <v>46</v>
      </c>
      <c r="D3060" s="30" t="s">
        <v>47</v>
      </c>
      <c r="E3060" s="32" t="s">
        <v>587</v>
      </c>
      <c r="F3060" s="32" t="s">
        <v>223</v>
      </c>
      <c r="G3060" s="32" t="s">
        <v>50</v>
      </c>
      <c r="H3060" s="33">
        <v>126620</v>
      </c>
      <c r="I3060" s="34">
        <f>Table3[[#This Row],[Volume, kg.]]/1000</f>
        <v>126.62</v>
      </c>
      <c r="J3060" s="34">
        <v>0.22620000000000001</v>
      </c>
      <c r="K3060" s="34">
        <f t="shared" si="94"/>
        <v>28641.444000000003</v>
      </c>
      <c r="L3060" s="34">
        <v>3.18</v>
      </c>
      <c r="M3060" s="34">
        <v>402574.5</v>
      </c>
      <c r="N3060" s="34">
        <f t="shared" si="95"/>
        <v>14.058355437665783</v>
      </c>
    </row>
    <row r="3061" spans="1:14" x14ac:dyDescent="0.45">
      <c r="A3061" s="30">
        <v>2024</v>
      </c>
      <c r="B3061" s="30" t="s">
        <v>11</v>
      </c>
      <c r="C3061" s="30" t="s">
        <v>46</v>
      </c>
      <c r="D3061" s="30" t="s">
        <v>47</v>
      </c>
      <c r="E3061" s="32" t="s">
        <v>588</v>
      </c>
      <c r="F3061" s="32" t="s">
        <v>223</v>
      </c>
      <c r="G3061" s="32" t="s">
        <v>50</v>
      </c>
      <c r="H3061" s="33">
        <v>246960</v>
      </c>
      <c r="I3061" s="34">
        <f>Table3[[#This Row],[Volume, kg.]]/1000</f>
        <v>246.96</v>
      </c>
      <c r="J3061" s="34">
        <v>0.2273</v>
      </c>
      <c r="K3061" s="34">
        <f t="shared" si="94"/>
        <v>56134.008000000002</v>
      </c>
      <c r="L3061" s="34">
        <v>3.09</v>
      </c>
      <c r="M3061" s="34">
        <v>761903</v>
      </c>
      <c r="N3061" s="34">
        <f t="shared" si="95"/>
        <v>13.594368675758908</v>
      </c>
    </row>
    <row r="3062" spans="1:14" x14ac:dyDescent="0.45">
      <c r="A3062" s="30">
        <v>2024</v>
      </c>
      <c r="B3062" s="30" t="s">
        <v>11</v>
      </c>
      <c r="C3062" s="30" t="s">
        <v>46</v>
      </c>
      <c r="D3062" s="30" t="s">
        <v>47</v>
      </c>
      <c r="E3062" s="32" t="s">
        <v>590</v>
      </c>
      <c r="F3062" s="32" t="s">
        <v>49</v>
      </c>
      <c r="G3062" s="32" t="s">
        <v>50</v>
      </c>
      <c r="H3062" s="33">
        <v>27400</v>
      </c>
      <c r="I3062" s="34">
        <f>Table3[[#This Row],[Volume, kg.]]/1000</f>
        <v>27.4</v>
      </c>
      <c r="J3062" s="34">
        <v>0.21260000000000001</v>
      </c>
      <c r="K3062" s="34">
        <f t="shared" si="94"/>
        <v>5825.2400000000007</v>
      </c>
      <c r="L3062" s="34">
        <v>2.89</v>
      </c>
      <c r="M3062" s="34">
        <v>79259</v>
      </c>
      <c r="N3062" s="34">
        <f t="shared" si="95"/>
        <v>13.593603010348071</v>
      </c>
    </row>
    <row r="3063" spans="1:14" x14ac:dyDescent="0.45">
      <c r="A3063" s="30">
        <v>2024</v>
      </c>
      <c r="B3063" s="30" t="s">
        <v>11</v>
      </c>
      <c r="C3063" s="30" t="s">
        <v>46</v>
      </c>
      <c r="D3063" s="30" t="s">
        <v>47</v>
      </c>
      <c r="E3063" s="32" t="s">
        <v>592</v>
      </c>
      <c r="F3063" s="32" t="s">
        <v>223</v>
      </c>
      <c r="G3063" s="32" t="s">
        <v>50</v>
      </c>
      <c r="H3063" s="33">
        <v>334400</v>
      </c>
      <c r="I3063" s="34">
        <f>Table3[[#This Row],[Volume, kg.]]/1000</f>
        <v>334.4</v>
      </c>
      <c r="J3063" s="34">
        <v>0.2243</v>
      </c>
      <c r="K3063" s="34">
        <f t="shared" si="94"/>
        <v>75005.919999999998</v>
      </c>
      <c r="L3063" s="34">
        <v>3.16</v>
      </c>
      <c r="M3063" s="34">
        <v>1055885.5</v>
      </c>
      <c r="N3063" s="34">
        <f t="shared" si="95"/>
        <v>14.088274632189034</v>
      </c>
    </row>
    <row r="3064" spans="1:14" x14ac:dyDescent="0.45">
      <c r="A3064" s="30">
        <v>2024</v>
      </c>
      <c r="B3064" s="30" t="s">
        <v>11</v>
      </c>
      <c r="C3064" s="30" t="s">
        <v>46</v>
      </c>
      <c r="D3064" s="30" t="s">
        <v>47</v>
      </c>
      <c r="E3064" s="32" t="s">
        <v>612</v>
      </c>
      <c r="F3064" s="32" t="s">
        <v>57</v>
      </c>
      <c r="G3064" s="32" t="s">
        <v>50</v>
      </c>
      <c r="H3064" s="33">
        <v>255820</v>
      </c>
      <c r="I3064" s="34">
        <f>Table3[[#This Row],[Volume, kg.]]/1000</f>
        <v>255.82</v>
      </c>
      <c r="J3064" s="34">
        <v>0.23569999999999999</v>
      </c>
      <c r="K3064" s="34">
        <f t="shared" si="94"/>
        <v>60296.773999999998</v>
      </c>
      <c r="L3064" s="34">
        <v>3.19</v>
      </c>
      <c r="M3064" s="34">
        <v>815088</v>
      </c>
      <c r="N3064" s="34">
        <f t="shared" si="95"/>
        <v>13.534153585065761</v>
      </c>
    </row>
    <row r="3065" spans="1:14" x14ac:dyDescent="0.45">
      <c r="A3065" s="30">
        <v>2024</v>
      </c>
      <c r="B3065" s="30" t="s">
        <v>11</v>
      </c>
      <c r="C3065" s="30" t="s">
        <v>46</v>
      </c>
      <c r="D3065" s="30" t="s">
        <v>47</v>
      </c>
      <c r="E3065" s="32" t="s">
        <v>594</v>
      </c>
      <c r="F3065" s="32" t="s">
        <v>223</v>
      </c>
      <c r="G3065" s="32" t="s">
        <v>50</v>
      </c>
      <c r="H3065" s="33">
        <v>200710</v>
      </c>
      <c r="I3065" s="34">
        <f>Table3[[#This Row],[Volume, kg.]]/1000</f>
        <v>200.71</v>
      </c>
      <c r="J3065" s="34">
        <v>0.25600000000000001</v>
      </c>
      <c r="K3065" s="34">
        <f t="shared" si="94"/>
        <v>51381.760000000002</v>
      </c>
      <c r="L3065" s="34">
        <v>3.22</v>
      </c>
      <c r="M3065" s="34">
        <v>645811</v>
      </c>
      <c r="N3065" s="34">
        <f t="shared" si="95"/>
        <v>12.578125</v>
      </c>
    </row>
    <row r="3066" spans="1:14" x14ac:dyDescent="0.45">
      <c r="A3066" s="30">
        <v>2024</v>
      </c>
      <c r="B3066" s="30" t="s">
        <v>11</v>
      </c>
      <c r="C3066" s="30" t="s">
        <v>46</v>
      </c>
      <c r="D3066" s="30" t="s">
        <v>47</v>
      </c>
      <c r="E3066" s="32" t="s">
        <v>595</v>
      </c>
      <c r="F3066" s="32" t="s">
        <v>64</v>
      </c>
      <c r="G3066" s="32" t="s">
        <v>50</v>
      </c>
      <c r="H3066" s="33">
        <v>83400</v>
      </c>
      <c r="I3066" s="34">
        <f>Table3[[#This Row],[Volume, kg.]]/1000</f>
        <v>83.4</v>
      </c>
      <c r="J3066" s="34">
        <v>0.22620000000000001</v>
      </c>
      <c r="K3066" s="34">
        <f t="shared" si="94"/>
        <v>18865.080000000002</v>
      </c>
      <c r="L3066" s="34">
        <v>3.09</v>
      </c>
      <c r="M3066" s="34">
        <v>257965</v>
      </c>
      <c r="N3066" s="34">
        <f t="shared" si="95"/>
        <v>13.660477453580901</v>
      </c>
    </row>
    <row r="3067" spans="1:14" x14ac:dyDescent="0.45">
      <c r="A3067" s="30">
        <v>2024</v>
      </c>
      <c r="B3067" s="30" t="s">
        <v>11</v>
      </c>
      <c r="C3067" s="30" t="s">
        <v>46</v>
      </c>
      <c r="D3067" s="30" t="s">
        <v>47</v>
      </c>
      <c r="E3067" s="32" t="s">
        <v>604</v>
      </c>
      <c r="F3067" s="32" t="s">
        <v>134</v>
      </c>
      <c r="G3067" s="32" t="s">
        <v>50</v>
      </c>
      <c r="H3067" s="33">
        <v>23230</v>
      </c>
      <c r="I3067" s="34">
        <f>Table3[[#This Row],[Volume, kg.]]/1000</f>
        <v>23.23</v>
      </c>
      <c r="J3067" s="34">
        <v>0.222</v>
      </c>
      <c r="K3067" s="34">
        <f t="shared" si="94"/>
        <v>5157.0600000000004</v>
      </c>
      <c r="L3067" s="34">
        <v>3.1</v>
      </c>
      <c r="M3067" s="34">
        <v>72122</v>
      </c>
      <c r="N3067" s="34">
        <f t="shared" si="95"/>
        <v>13.963963963963964</v>
      </c>
    </row>
    <row r="3068" spans="1:14" x14ac:dyDescent="0.45">
      <c r="A3068" s="30">
        <v>2024</v>
      </c>
      <c r="B3068" s="30" t="s">
        <v>11</v>
      </c>
      <c r="C3068" s="30" t="s">
        <v>46</v>
      </c>
      <c r="D3068" s="30" t="s">
        <v>47</v>
      </c>
      <c r="E3068" s="32" t="s">
        <v>606</v>
      </c>
      <c r="F3068" s="32" t="s">
        <v>49</v>
      </c>
      <c r="G3068" s="32" t="s">
        <v>50</v>
      </c>
      <c r="H3068" s="33">
        <v>64520</v>
      </c>
      <c r="I3068" s="34">
        <f>Table3[[#This Row],[Volume, kg.]]/1000</f>
        <v>64.52</v>
      </c>
      <c r="J3068" s="34">
        <v>0.2155</v>
      </c>
      <c r="K3068" s="34">
        <f t="shared" si="94"/>
        <v>13904.06</v>
      </c>
      <c r="L3068" s="34">
        <v>3.02</v>
      </c>
      <c r="M3068" s="34">
        <v>194560</v>
      </c>
      <c r="N3068" s="34">
        <f t="shared" si="95"/>
        <v>14.013921113689095</v>
      </c>
    </row>
    <row r="3069" spans="1:14" x14ac:dyDescent="0.45">
      <c r="A3069" s="30">
        <v>2024</v>
      </c>
      <c r="B3069" s="30" t="s">
        <v>11</v>
      </c>
      <c r="C3069" s="30" t="s">
        <v>46</v>
      </c>
      <c r="D3069" s="30" t="s">
        <v>47</v>
      </c>
      <c r="E3069" s="32" t="s">
        <v>613</v>
      </c>
      <c r="F3069" s="32" t="s">
        <v>134</v>
      </c>
      <c r="G3069" s="32" t="s">
        <v>50</v>
      </c>
      <c r="H3069" s="33">
        <v>247200</v>
      </c>
      <c r="I3069" s="34">
        <f>Table3[[#This Row],[Volume, kg.]]/1000</f>
        <v>247.2</v>
      </c>
      <c r="J3069" s="34">
        <v>0.22089999999999999</v>
      </c>
      <c r="K3069" s="34">
        <f t="shared" si="94"/>
        <v>54606.479999999996</v>
      </c>
      <c r="L3069" s="34">
        <v>3.15</v>
      </c>
      <c r="M3069" s="34">
        <v>778519</v>
      </c>
      <c r="N3069" s="34">
        <f t="shared" si="95"/>
        <v>14.259846084200996</v>
      </c>
    </row>
    <row r="3070" spans="1:14" x14ac:dyDescent="0.45">
      <c r="A3070" s="30">
        <v>2024</v>
      </c>
      <c r="B3070" s="30" t="s">
        <v>11</v>
      </c>
      <c r="C3070" s="30" t="s">
        <v>46</v>
      </c>
      <c r="D3070" s="30" t="s">
        <v>47</v>
      </c>
      <c r="E3070" s="32" t="s">
        <v>607</v>
      </c>
      <c r="F3070" s="32" t="s">
        <v>81</v>
      </c>
      <c r="G3070" s="32" t="s">
        <v>50</v>
      </c>
      <c r="H3070" s="33">
        <v>43000</v>
      </c>
      <c r="I3070" s="34">
        <f>Table3[[#This Row],[Volume, kg.]]/1000</f>
        <v>43</v>
      </c>
      <c r="J3070" s="34">
        <v>0.20350000000000001</v>
      </c>
      <c r="K3070" s="34">
        <f t="shared" si="94"/>
        <v>8750.5</v>
      </c>
      <c r="L3070" s="34">
        <v>3.01</v>
      </c>
      <c r="M3070" s="34">
        <v>129458.5</v>
      </c>
      <c r="N3070" s="34">
        <f t="shared" si="95"/>
        <v>14.791154791154788</v>
      </c>
    </row>
    <row r="3071" spans="1:14" x14ac:dyDescent="0.45">
      <c r="A3071" s="30">
        <v>2024</v>
      </c>
      <c r="B3071" s="30" t="s">
        <v>11</v>
      </c>
      <c r="C3071" s="30" t="s">
        <v>46</v>
      </c>
      <c r="D3071" s="30" t="s">
        <v>47</v>
      </c>
      <c r="E3071" s="32" t="s">
        <v>628</v>
      </c>
      <c r="F3071" s="32" t="s">
        <v>54</v>
      </c>
      <c r="G3071" s="32" t="s">
        <v>50</v>
      </c>
      <c r="H3071" s="33">
        <v>18080</v>
      </c>
      <c r="I3071" s="34">
        <f>Table3[[#This Row],[Volume, kg.]]/1000</f>
        <v>18.079999999999998</v>
      </c>
      <c r="J3071" s="34">
        <v>0.23350000000000001</v>
      </c>
      <c r="K3071" s="34">
        <f t="shared" si="94"/>
        <v>4221.68</v>
      </c>
      <c r="L3071" s="34">
        <v>3</v>
      </c>
      <c r="M3071" s="34">
        <v>54240</v>
      </c>
      <c r="N3071" s="34">
        <f t="shared" si="95"/>
        <v>12.847965738758029</v>
      </c>
    </row>
    <row r="3072" spans="1:14" x14ac:dyDescent="0.45">
      <c r="A3072" s="30">
        <v>2024</v>
      </c>
      <c r="B3072" s="30" t="s">
        <v>11</v>
      </c>
      <c r="C3072" s="30" t="s">
        <v>46</v>
      </c>
      <c r="D3072" s="30" t="s">
        <v>47</v>
      </c>
      <c r="E3072" s="32" t="s">
        <v>614</v>
      </c>
      <c r="F3072" s="32" t="s">
        <v>223</v>
      </c>
      <c r="G3072" s="32" t="s">
        <v>50</v>
      </c>
      <c r="H3072" s="33">
        <v>54400</v>
      </c>
      <c r="I3072" s="34">
        <f>Table3[[#This Row],[Volume, kg.]]/1000</f>
        <v>54.4</v>
      </c>
      <c r="J3072" s="34">
        <v>0.27649999999999997</v>
      </c>
      <c r="K3072" s="34">
        <f t="shared" si="94"/>
        <v>15041.599999999999</v>
      </c>
      <c r="L3072" s="34">
        <v>3.43</v>
      </c>
      <c r="M3072" s="34">
        <v>186548.5</v>
      </c>
      <c r="N3072" s="34">
        <f t="shared" si="95"/>
        <v>12.405063291139243</v>
      </c>
    </row>
    <row r="3073" spans="1:14" x14ac:dyDescent="0.45">
      <c r="A3073" s="30">
        <v>2024</v>
      </c>
      <c r="B3073" s="30" t="s">
        <v>11</v>
      </c>
      <c r="C3073" s="30" t="s">
        <v>46</v>
      </c>
      <c r="D3073" s="30" t="s">
        <v>47</v>
      </c>
      <c r="E3073" s="32" t="s">
        <v>615</v>
      </c>
      <c r="F3073" s="32" t="s">
        <v>134</v>
      </c>
      <c r="G3073" s="32" t="s">
        <v>50</v>
      </c>
      <c r="H3073" s="33">
        <v>9970</v>
      </c>
      <c r="I3073" s="34">
        <f>Table3[[#This Row],[Volume, kg.]]/1000</f>
        <v>9.9700000000000006</v>
      </c>
      <c r="J3073" s="34">
        <v>0.22699999999999998</v>
      </c>
      <c r="K3073" s="34">
        <f t="shared" si="94"/>
        <v>2263.1899999999996</v>
      </c>
      <c r="L3073" s="34">
        <v>3.05</v>
      </c>
      <c r="M3073" s="34">
        <v>30408.5</v>
      </c>
      <c r="N3073" s="34">
        <f t="shared" si="95"/>
        <v>13.436123348017622</v>
      </c>
    </row>
    <row r="3074" spans="1:14" x14ac:dyDescent="0.45">
      <c r="A3074" s="30">
        <v>2024</v>
      </c>
      <c r="B3074" s="30" t="s">
        <v>11</v>
      </c>
      <c r="C3074" s="30" t="s">
        <v>46</v>
      </c>
      <c r="D3074" s="30" t="s">
        <v>47</v>
      </c>
      <c r="E3074" s="32" t="s">
        <v>619</v>
      </c>
      <c r="F3074" s="32" t="s">
        <v>81</v>
      </c>
      <c r="G3074" s="32" t="s">
        <v>50</v>
      </c>
      <c r="H3074" s="33">
        <v>56020</v>
      </c>
      <c r="I3074" s="34">
        <f>Table3[[#This Row],[Volume, kg.]]/1000</f>
        <v>56.02</v>
      </c>
      <c r="J3074" s="34">
        <v>0.27779999999999999</v>
      </c>
      <c r="K3074" s="34">
        <f t="shared" si="94"/>
        <v>15562.356</v>
      </c>
      <c r="L3074" s="34">
        <v>3.43</v>
      </c>
      <c r="M3074" s="34">
        <v>192350</v>
      </c>
      <c r="N3074" s="34">
        <f t="shared" si="95"/>
        <v>12.347012239020879</v>
      </c>
    </row>
    <row r="3075" spans="1:14" x14ac:dyDescent="0.45">
      <c r="A3075" s="30">
        <v>2024</v>
      </c>
      <c r="B3075" s="30" t="s">
        <v>11</v>
      </c>
      <c r="C3075" s="30" t="s">
        <v>46</v>
      </c>
      <c r="D3075" s="30" t="s">
        <v>47</v>
      </c>
      <c r="E3075" s="32" t="s">
        <v>620</v>
      </c>
      <c r="F3075" s="32" t="s">
        <v>134</v>
      </c>
      <c r="G3075" s="32" t="s">
        <v>50</v>
      </c>
      <c r="H3075" s="33">
        <v>22690</v>
      </c>
      <c r="I3075" s="34">
        <f>Table3[[#This Row],[Volume, kg.]]/1000</f>
        <v>22.69</v>
      </c>
      <c r="J3075" s="34">
        <v>0.21870000000000001</v>
      </c>
      <c r="K3075" s="34">
        <f t="shared" ref="K3075:K3138" si="96">H3075*J3075</f>
        <v>4962.3029999999999</v>
      </c>
      <c r="L3075" s="34">
        <v>3.14</v>
      </c>
      <c r="M3075" s="34">
        <v>71197</v>
      </c>
      <c r="N3075" s="34">
        <f t="shared" si="95"/>
        <v>14.357567443987197</v>
      </c>
    </row>
    <row r="3076" spans="1:14" x14ac:dyDescent="0.45">
      <c r="A3076" s="30">
        <v>2024</v>
      </c>
      <c r="B3076" s="30" t="s">
        <v>11</v>
      </c>
      <c r="C3076" s="30" t="s">
        <v>46</v>
      </c>
      <c r="D3076" s="30" t="s">
        <v>47</v>
      </c>
      <c r="E3076" s="32" t="s">
        <v>629</v>
      </c>
      <c r="F3076" s="32" t="s">
        <v>60</v>
      </c>
      <c r="G3076" s="32" t="s">
        <v>50</v>
      </c>
      <c r="H3076" s="33">
        <v>15600</v>
      </c>
      <c r="I3076" s="34">
        <f>Table3[[#This Row],[Volume, kg.]]/1000</f>
        <v>15.6</v>
      </c>
      <c r="J3076" s="34">
        <v>0.27699999999999997</v>
      </c>
      <c r="K3076" s="34">
        <f t="shared" si="96"/>
        <v>4321.2</v>
      </c>
      <c r="L3076" s="34">
        <v>3.5</v>
      </c>
      <c r="M3076" s="34">
        <v>54600</v>
      </c>
      <c r="N3076" s="34">
        <f t="shared" ref="N3076:N3139" si="97">L3076/J3076</f>
        <v>12.635379061371843</v>
      </c>
    </row>
    <row r="3077" spans="1:14" x14ac:dyDescent="0.45">
      <c r="A3077" s="30">
        <v>2024</v>
      </c>
      <c r="B3077" s="30" t="s">
        <v>11</v>
      </c>
      <c r="C3077" s="30" t="s">
        <v>46</v>
      </c>
      <c r="D3077" s="30" t="s">
        <v>47</v>
      </c>
      <c r="E3077" s="32" t="s">
        <v>630</v>
      </c>
      <c r="F3077" s="32" t="s">
        <v>81</v>
      </c>
      <c r="G3077" s="32" t="s">
        <v>50</v>
      </c>
      <c r="H3077" s="33">
        <v>20130</v>
      </c>
      <c r="I3077" s="34">
        <f>Table3[[#This Row],[Volume, kg.]]/1000</f>
        <v>20.13</v>
      </c>
      <c r="J3077" s="34">
        <v>0.2445</v>
      </c>
      <c r="K3077" s="34">
        <f t="shared" si="96"/>
        <v>4921.7849999999999</v>
      </c>
      <c r="L3077" s="34">
        <v>3.25</v>
      </c>
      <c r="M3077" s="34">
        <v>65422.5</v>
      </c>
      <c r="N3077" s="34">
        <f t="shared" si="97"/>
        <v>13.292433537832311</v>
      </c>
    </row>
    <row r="3078" spans="1:14" x14ac:dyDescent="0.45">
      <c r="A3078" s="30">
        <v>2024</v>
      </c>
      <c r="B3078" s="30" t="s">
        <v>11</v>
      </c>
      <c r="C3078" s="30" t="s">
        <v>46</v>
      </c>
      <c r="D3078" s="30" t="s">
        <v>47</v>
      </c>
      <c r="E3078" s="32" t="s">
        <v>631</v>
      </c>
      <c r="F3078" s="32" t="s">
        <v>223</v>
      </c>
      <c r="G3078" s="32" t="s">
        <v>50</v>
      </c>
      <c r="H3078" s="33">
        <v>19900</v>
      </c>
      <c r="I3078" s="34">
        <f>Table3[[#This Row],[Volume, kg.]]/1000</f>
        <v>19.899999999999999</v>
      </c>
      <c r="J3078" s="34">
        <v>0.20190000000000002</v>
      </c>
      <c r="K3078" s="34">
        <f t="shared" si="96"/>
        <v>4017.8100000000004</v>
      </c>
      <c r="L3078" s="34">
        <v>3.03</v>
      </c>
      <c r="M3078" s="34">
        <v>60212</v>
      </c>
      <c r="N3078" s="34">
        <f t="shared" si="97"/>
        <v>15.007429420505197</v>
      </c>
    </row>
    <row r="3079" spans="1:14" x14ac:dyDescent="0.45">
      <c r="A3079" s="30">
        <v>2024</v>
      </c>
      <c r="B3079" s="30" t="s">
        <v>11</v>
      </c>
      <c r="C3079" s="30" t="s">
        <v>46</v>
      </c>
      <c r="D3079" s="30" t="s">
        <v>47</v>
      </c>
      <c r="E3079" s="32" t="s">
        <v>632</v>
      </c>
      <c r="F3079" s="32" t="s">
        <v>134</v>
      </c>
      <c r="G3079" s="32" t="s">
        <v>50</v>
      </c>
      <c r="H3079" s="33">
        <v>132400</v>
      </c>
      <c r="I3079" s="34">
        <f>Table3[[#This Row],[Volume, kg.]]/1000</f>
        <v>132.4</v>
      </c>
      <c r="J3079" s="34">
        <v>0.20960000000000001</v>
      </c>
      <c r="K3079" s="34">
        <f t="shared" si="96"/>
        <v>27751.040000000001</v>
      </c>
      <c r="L3079" s="34">
        <v>2.99</v>
      </c>
      <c r="M3079" s="34">
        <v>395425</v>
      </c>
      <c r="N3079" s="34">
        <f t="shared" si="97"/>
        <v>14.26526717557252</v>
      </c>
    </row>
    <row r="3080" spans="1:14" x14ac:dyDescent="0.45">
      <c r="A3080" s="30">
        <v>2024</v>
      </c>
      <c r="B3080" s="30" t="s">
        <v>11</v>
      </c>
      <c r="C3080" s="30" t="s">
        <v>46</v>
      </c>
      <c r="D3080" s="30" t="s">
        <v>47</v>
      </c>
      <c r="E3080" s="32" t="s">
        <v>633</v>
      </c>
      <c r="F3080" s="32" t="s">
        <v>64</v>
      </c>
      <c r="G3080" s="32" t="s">
        <v>50</v>
      </c>
      <c r="H3080" s="33">
        <v>57910</v>
      </c>
      <c r="I3080" s="34">
        <f>Table3[[#This Row],[Volume, kg.]]/1000</f>
        <v>57.91</v>
      </c>
      <c r="J3080" s="34">
        <v>0.21420000000000003</v>
      </c>
      <c r="K3080" s="34">
        <f t="shared" si="96"/>
        <v>12404.322000000002</v>
      </c>
      <c r="L3080" s="34">
        <v>3.02</v>
      </c>
      <c r="M3080" s="34">
        <v>175038</v>
      </c>
      <c r="N3080" s="34">
        <f t="shared" si="97"/>
        <v>14.098972922502332</v>
      </c>
    </row>
    <row r="3081" spans="1:14" x14ac:dyDescent="0.45">
      <c r="A3081" s="30">
        <v>2024</v>
      </c>
      <c r="B3081" s="30" t="s">
        <v>11</v>
      </c>
      <c r="C3081" s="30" t="s">
        <v>46</v>
      </c>
      <c r="D3081" s="30" t="s">
        <v>47</v>
      </c>
      <c r="E3081" s="32" t="s">
        <v>634</v>
      </c>
      <c r="F3081" s="32" t="s">
        <v>57</v>
      </c>
      <c r="G3081" s="32" t="s">
        <v>50</v>
      </c>
      <c r="H3081" s="33">
        <v>55400</v>
      </c>
      <c r="I3081" s="34">
        <f>Table3[[#This Row],[Volume, kg.]]/1000</f>
        <v>55.4</v>
      </c>
      <c r="J3081" s="34">
        <v>0.2208</v>
      </c>
      <c r="K3081" s="34">
        <f t="shared" si="96"/>
        <v>12232.32</v>
      </c>
      <c r="L3081" s="34">
        <v>3.06</v>
      </c>
      <c r="M3081" s="34">
        <v>169443.5</v>
      </c>
      <c r="N3081" s="34">
        <f t="shared" si="97"/>
        <v>13.858695652173914</v>
      </c>
    </row>
    <row r="3082" spans="1:14" x14ac:dyDescent="0.45">
      <c r="A3082" s="30">
        <v>2024</v>
      </c>
      <c r="B3082" s="30" t="s">
        <v>11</v>
      </c>
      <c r="C3082" s="30" t="s">
        <v>46</v>
      </c>
      <c r="D3082" s="30" t="s">
        <v>47</v>
      </c>
      <c r="E3082" s="32" t="s">
        <v>635</v>
      </c>
      <c r="F3082" s="32" t="s">
        <v>60</v>
      </c>
      <c r="G3082" s="32" t="s">
        <v>50</v>
      </c>
      <c r="H3082" s="33">
        <v>24340</v>
      </c>
      <c r="I3082" s="34">
        <f>Table3[[#This Row],[Volume, kg.]]/1000</f>
        <v>24.34</v>
      </c>
      <c r="J3082" s="34">
        <v>0.25379999999999997</v>
      </c>
      <c r="K3082" s="34">
        <f t="shared" si="96"/>
        <v>6177.4919999999993</v>
      </c>
      <c r="L3082" s="34">
        <v>3.27</v>
      </c>
      <c r="M3082" s="34">
        <v>79629.5</v>
      </c>
      <c r="N3082" s="34">
        <f t="shared" si="97"/>
        <v>12.884160756501183</v>
      </c>
    </row>
    <row r="3083" spans="1:14" x14ac:dyDescent="0.45">
      <c r="A3083" s="30">
        <v>2024</v>
      </c>
      <c r="B3083" s="30" t="s">
        <v>11</v>
      </c>
      <c r="C3083" s="30" t="s">
        <v>46</v>
      </c>
      <c r="D3083" s="30" t="s">
        <v>47</v>
      </c>
      <c r="E3083" s="32" t="s">
        <v>636</v>
      </c>
      <c r="F3083" s="32" t="s">
        <v>64</v>
      </c>
      <c r="G3083" s="32" t="s">
        <v>50</v>
      </c>
      <c r="H3083" s="33">
        <v>21720</v>
      </c>
      <c r="I3083" s="34">
        <f>Table3[[#This Row],[Volume, kg.]]/1000</f>
        <v>21.72</v>
      </c>
      <c r="J3083" s="34">
        <v>0.23440000000000003</v>
      </c>
      <c r="K3083" s="34">
        <f t="shared" si="96"/>
        <v>5091.1680000000006</v>
      </c>
      <c r="L3083" s="34">
        <v>3.05</v>
      </c>
      <c r="M3083" s="34">
        <v>66246</v>
      </c>
      <c r="N3083" s="34">
        <f t="shared" si="97"/>
        <v>13.011945392491466</v>
      </c>
    </row>
    <row r="3084" spans="1:14" x14ac:dyDescent="0.45">
      <c r="A3084" s="30">
        <v>2024</v>
      </c>
      <c r="B3084" s="30" t="s">
        <v>12</v>
      </c>
      <c r="C3084" s="30" t="s">
        <v>46</v>
      </c>
      <c r="D3084" s="30" t="s">
        <v>102</v>
      </c>
      <c r="E3084" s="32" t="s">
        <v>239</v>
      </c>
      <c r="F3084" s="32" t="s">
        <v>240</v>
      </c>
      <c r="G3084" s="32" t="s">
        <v>50</v>
      </c>
      <c r="H3084" s="33">
        <v>139650</v>
      </c>
      <c r="I3084" s="34">
        <f>Table3[[#This Row],[Volume, kg.]]/1000</f>
        <v>139.65</v>
      </c>
      <c r="J3084" s="34">
        <v>0.18770000000000001</v>
      </c>
      <c r="K3084" s="34">
        <f t="shared" si="96"/>
        <v>26212.305</v>
      </c>
      <c r="L3084" s="34">
        <v>2.62</v>
      </c>
      <c r="M3084" s="34">
        <v>365492</v>
      </c>
      <c r="N3084" s="34">
        <f t="shared" si="97"/>
        <v>13.958444326052211</v>
      </c>
    </row>
    <row r="3085" spans="1:14" x14ac:dyDescent="0.45">
      <c r="A3085" s="30">
        <v>2024</v>
      </c>
      <c r="B3085" s="30" t="s">
        <v>12</v>
      </c>
      <c r="C3085" s="30" t="s">
        <v>46</v>
      </c>
      <c r="D3085" s="30" t="s">
        <v>47</v>
      </c>
      <c r="E3085" s="32" t="s">
        <v>426</v>
      </c>
      <c r="F3085" s="32" t="s">
        <v>49</v>
      </c>
      <c r="G3085" s="32" t="s">
        <v>50</v>
      </c>
      <c r="H3085" s="33">
        <v>3780</v>
      </c>
      <c r="I3085" s="34">
        <f>Table3[[#This Row],[Volume, kg.]]/1000</f>
        <v>3.78</v>
      </c>
      <c r="J3085" s="34">
        <v>0.17749999999999999</v>
      </c>
      <c r="K3085" s="34">
        <f t="shared" si="96"/>
        <v>670.94999999999993</v>
      </c>
      <c r="L3085" s="34">
        <v>2.2000000000000002</v>
      </c>
      <c r="M3085" s="34">
        <v>8316</v>
      </c>
      <c r="N3085" s="34">
        <f t="shared" si="97"/>
        <v>12.3943661971831</v>
      </c>
    </row>
    <row r="3086" spans="1:14" x14ac:dyDescent="0.45">
      <c r="A3086" s="30">
        <v>2024</v>
      </c>
      <c r="B3086" s="30" t="s">
        <v>12</v>
      </c>
      <c r="C3086" s="30" t="s">
        <v>46</v>
      </c>
      <c r="D3086" s="30" t="s">
        <v>47</v>
      </c>
      <c r="E3086" s="32" t="s">
        <v>596</v>
      </c>
      <c r="F3086" s="32" t="s">
        <v>49</v>
      </c>
      <c r="G3086" s="32" t="s">
        <v>50</v>
      </c>
      <c r="H3086" s="33">
        <v>18770</v>
      </c>
      <c r="I3086" s="34">
        <f>Table3[[#This Row],[Volume, kg.]]/1000</f>
        <v>18.77</v>
      </c>
      <c r="J3086" s="34">
        <v>0.21239999999999998</v>
      </c>
      <c r="K3086" s="34">
        <f t="shared" si="96"/>
        <v>3986.7479999999996</v>
      </c>
      <c r="L3086" s="34">
        <v>2.86</v>
      </c>
      <c r="M3086" s="34">
        <v>53727.5</v>
      </c>
      <c r="N3086" s="34">
        <f t="shared" si="97"/>
        <v>13.465160075329567</v>
      </c>
    </row>
    <row r="3087" spans="1:14" x14ac:dyDescent="0.45">
      <c r="A3087" s="30">
        <v>2024</v>
      </c>
      <c r="B3087" s="30" t="s">
        <v>12</v>
      </c>
      <c r="C3087" s="30" t="s">
        <v>46</v>
      </c>
      <c r="D3087" s="30" t="s">
        <v>47</v>
      </c>
      <c r="E3087" s="32" t="s">
        <v>138</v>
      </c>
      <c r="F3087" s="32" t="s">
        <v>49</v>
      </c>
      <c r="G3087" s="32" t="s">
        <v>50</v>
      </c>
      <c r="H3087" s="33">
        <v>17880</v>
      </c>
      <c r="I3087" s="34">
        <f>Table3[[#This Row],[Volume, kg.]]/1000</f>
        <v>17.88</v>
      </c>
      <c r="J3087" s="34">
        <v>0.2112</v>
      </c>
      <c r="K3087" s="34">
        <f t="shared" si="96"/>
        <v>3776.2559999999999</v>
      </c>
      <c r="L3087" s="34">
        <v>2.5499999999999998</v>
      </c>
      <c r="M3087" s="34">
        <v>45608</v>
      </c>
      <c r="N3087" s="34">
        <f t="shared" si="97"/>
        <v>12.073863636363635</v>
      </c>
    </row>
    <row r="3088" spans="1:14" x14ac:dyDescent="0.45">
      <c r="A3088" s="30">
        <v>2024</v>
      </c>
      <c r="B3088" s="30" t="s">
        <v>12</v>
      </c>
      <c r="C3088" s="30" t="s">
        <v>46</v>
      </c>
      <c r="D3088" s="30" t="s">
        <v>47</v>
      </c>
      <c r="E3088" s="32" t="s">
        <v>232</v>
      </c>
      <c r="F3088" s="32" t="s">
        <v>49</v>
      </c>
      <c r="G3088" s="32" t="s">
        <v>50</v>
      </c>
      <c r="H3088" s="33">
        <v>13250</v>
      </c>
      <c r="I3088" s="34">
        <f>Table3[[#This Row],[Volume, kg.]]/1000</f>
        <v>13.25</v>
      </c>
      <c r="J3088" s="34">
        <v>0.23</v>
      </c>
      <c r="K3088" s="34">
        <f t="shared" si="96"/>
        <v>3047.5</v>
      </c>
      <c r="L3088" s="34">
        <v>2.95</v>
      </c>
      <c r="M3088" s="34">
        <v>39087.5</v>
      </c>
      <c r="N3088" s="34">
        <f t="shared" si="97"/>
        <v>12.82608695652174</v>
      </c>
    </row>
    <row r="3089" spans="1:14" x14ac:dyDescent="0.45">
      <c r="A3089" s="30">
        <v>2024</v>
      </c>
      <c r="B3089" s="30" t="s">
        <v>12</v>
      </c>
      <c r="C3089" s="30" t="s">
        <v>46</v>
      </c>
      <c r="D3089" s="30" t="s">
        <v>47</v>
      </c>
      <c r="E3089" s="32" t="s">
        <v>213</v>
      </c>
      <c r="F3089" s="32" t="s">
        <v>49</v>
      </c>
      <c r="G3089" s="32" t="s">
        <v>50</v>
      </c>
      <c r="H3089" s="33">
        <v>103990</v>
      </c>
      <c r="I3089" s="34">
        <f>Table3[[#This Row],[Volume, kg.]]/1000</f>
        <v>103.99</v>
      </c>
      <c r="J3089" s="34">
        <v>0.1832</v>
      </c>
      <c r="K3089" s="34">
        <f t="shared" si="96"/>
        <v>19050.968000000001</v>
      </c>
      <c r="L3089" s="34">
        <v>2.59</v>
      </c>
      <c r="M3089" s="34">
        <v>269568</v>
      </c>
      <c r="N3089" s="34">
        <f t="shared" si="97"/>
        <v>14.137554585152838</v>
      </c>
    </row>
    <row r="3090" spans="1:14" x14ac:dyDescent="0.45">
      <c r="A3090" s="30">
        <v>2024</v>
      </c>
      <c r="B3090" s="30" t="s">
        <v>12</v>
      </c>
      <c r="C3090" s="30" t="s">
        <v>46</v>
      </c>
      <c r="D3090" s="30" t="s">
        <v>47</v>
      </c>
      <c r="E3090" s="32" t="s">
        <v>69</v>
      </c>
      <c r="F3090" s="32" t="s">
        <v>49</v>
      </c>
      <c r="G3090" s="32" t="s">
        <v>50</v>
      </c>
      <c r="H3090" s="33">
        <v>30580</v>
      </c>
      <c r="I3090" s="34">
        <f>Table3[[#This Row],[Volume, kg.]]/1000</f>
        <v>30.58</v>
      </c>
      <c r="J3090" s="34">
        <v>0.17309999999999998</v>
      </c>
      <c r="K3090" s="34">
        <f t="shared" si="96"/>
        <v>5293.3979999999992</v>
      </c>
      <c r="L3090" s="34">
        <v>2.42</v>
      </c>
      <c r="M3090" s="34">
        <v>73979</v>
      </c>
      <c r="N3090" s="34">
        <f t="shared" si="97"/>
        <v>13.980358174465628</v>
      </c>
    </row>
    <row r="3091" spans="1:14" x14ac:dyDescent="0.45">
      <c r="A3091" s="30">
        <v>2024</v>
      </c>
      <c r="B3091" s="30" t="s">
        <v>12</v>
      </c>
      <c r="C3091" s="30" t="s">
        <v>46</v>
      </c>
      <c r="D3091" s="30" t="s">
        <v>47</v>
      </c>
      <c r="E3091" s="32" t="s">
        <v>202</v>
      </c>
      <c r="F3091" s="32" t="s">
        <v>57</v>
      </c>
      <c r="G3091" s="32" t="s">
        <v>50</v>
      </c>
      <c r="H3091" s="33">
        <v>18210</v>
      </c>
      <c r="I3091" s="34">
        <f>Table3[[#This Row],[Volume, kg.]]/1000</f>
        <v>18.21</v>
      </c>
      <c r="J3091" s="34">
        <v>0.185</v>
      </c>
      <c r="K3091" s="34">
        <f t="shared" si="96"/>
        <v>3368.85</v>
      </c>
      <c r="L3091" s="34">
        <v>2.4900000000000002</v>
      </c>
      <c r="M3091" s="34">
        <v>45348.5</v>
      </c>
      <c r="N3091" s="34">
        <f t="shared" si="97"/>
        <v>13.459459459459461</v>
      </c>
    </row>
    <row r="3092" spans="1:14" x14ac:dyDescent="0.45">
      <c r="A3092" s="30">
        <v>2024</v>
      </c>
      <c r="B3092" s="30" t="s">
        <v>12</v>
      </c>
      <c r="C3092" s="30" t="s">
        <v>46</v>
      </c>
      <c r="D3092" s="30" t="s">
        <v>47</v>
      </c>
      <c r="E3092" s="32" t="s">
        <v>201</v>
      </c>
      <c r="F3092" s="32" t="s">
        <v>49</v>
      </c>
      <c r="G3092" s="32" t="s">
        <v>50</v>
      </c>
      <c r="H3092" s="33">
        <v>27250</v>
      </c>
      <c r="I3092" s="34">
        <f>Table3[[#This Row],[Volume, kg.]]/1000</f>
        <v>27.25</v>
      </c>
      <c r="J3092" s="34">
        <v>0.21109999999999998</v>
      </c>
      <c r="K3092" s="34">
        <f t="shared" si="96"/>
        <v>5752.4749999999995</v>
      </c>
      <c r="L3092" s="34">
        <v>2.8</v>
      </c>
      <c r="M3092" s="34">
        <v>76402.5</v>
      </c>
      <c r="N3092" s="34">
        <f t="shared" si="97"/>
        <v>13.263855992420654</v>
      </c>
    </row>
    <row r="3093" spans="1:14" x14ac:dyDescent="0.45">
      <c r="A3093" s="30">
        <v>2024</v>
      </c>
      <c r="B3093" s="30" t="s">
        <v>12</v>
      </c>
      <c r="C3093" s="30" t="s">
        <v>46</v>
      </c>
      <c r="D3093" s="30" t="s">
        <v>47</v>
      </c>
      <c r="E3093" s="32" t="s">
        <v>381</v>
      </c>
      <c r="F3093" s="32" t="s">
        <v>49</v>
      </c>
      <c r="G3093" s="32" t="s">
        <v>50</v>
      </c>
      <c r="H3093" s="33">
        <v>20080</v>
      </c>
      <c r="I3093" s="34">
        <f>Table3[[#This Row],[Volume, kg.]]/1000</f>
        <v>20.079999999999998</v>
      </c>
      <c r="J3093" s="34">
        <v>0.2051</v>
      </c>
      <c r="K3093" s="34">
        <f t="shared" si="96"/>
        <v>4118.4080000000004</v>
      </c>
      <c r="L3093" s="34">
        <v>2.62</v>
      </c>
      <c r="M3093" s="34">
        <v>52638</v>
      </c>
      <c r="N3093" s="34">
        <f t="shared" si="97"/>
        <v>12.774256460263286</v>
      </c>
    </row>
    <row r="3094" spans="1:14" x14ac:dyDescent="0.45">
      <c r="A3094" s="30">
        <v>2024</v>
      </c>
      <c r="B3094" s="30" t="s">
        <v>12</v>
      </c>
      <c r="C3094" s="30" t="s">
        <v>46</v>
      </c>
      <c r="D3094" s="30" t="s">
        <v>47</v>
      </c>
      <c r="E3094" s="32" t="s">
        <v>424</v>
      </c>
      <c r="F3094" s="32" t="s">
        <v>57</v>
      </c>
      <c r="G3094" s="32" t="s">
        <v>50</v>
      </c>
      <c r="H3094" s="33">
        <v>7700</v>
      </c>
      <c r="I3094" s="34">
        <f>Table3[[#This Row],[Volume, kg.]]/1000</f>
        <v>7.7</v>
      </c>
      <c r="J3094" s="34">
        <v>0.185</v>
      </c>
      <c r="K3094" s="34">
        <f t="shared" si="96"/>
        <v>1424.5</v>
      </c>
      <c r="L3094" s="34">
        <v>2.7</v>
      </c>
      <c r="M3094" s="34">
        <v>20790</v>
      </c>
      <c r="N3094" s="34">
        <f t="shared" si="97"/>
        <v>14.594594594594597</v>
      </c>
    </row>
    <row r="3095" spans="1:14" x14ac:dyDescent="0.45">
      <c r="A3095" s="30">
        <v>2024</v>
      </c>
      <c r="B3095" s="30" t="s">
        <v>12</v>
      </c>
      <c r="C3095" s="30" t="s">
        <v>46</v>
      </c>
      <c r="D3095" s="30" t="s">
        <v>47</v>
      </c>
      <c r="E3095" s="32" t="s">
        <v>382</v>
      </c>
      <c r="F3095" s="32" t="s">
        <v>60</v>
      </c>
      <c r="G3095" s="32" t="s">
        <v>50</v>
      </c>
      <c r="H3095" s="33">
        <v>14630</v>
      </c>
      <c r="I3095" s="34">
        <f>Table3[[#This Row],[Volume, kg.]]/1000</f>
        <v>14.63</v>
      </c>
      <c r="J3095" s="34">
        <v>0.19149999999999998</v>
      </c>
      <c r="K3095" s="34">
        <f t="shared" si="96"/>
        <v>2801.6449999999995</v>
      </c>
      <c r="L3095" s="34">
        <v>2.62</v>
      </c>
      <c r="M3095" s="34">
        <v>38325.5</v>
      </c>
      <c r="N3095" s="34">
        <f t="shared" si="97"/>
        <v>13.681462140992169</v>
      </c>
    </row>
    <row r="3096" spans="1:14" x14ac:dyDescent="0.45">
      <c r="A3096" s="30">
        <v>2024</v>
      </c>
      <c r="B3096" s="30" t="s">
        <v>12</v>
      </c>
      <c r="C3096" s="30" t="s">
        <v>46</v>
      </c>
      <c r="D3096" s="30" t="s">
        <v>47</v>
      </c>
      <c r="E3096" s="32" t="s">
        <v>433</v>
      </c>
      <c r="F3096" s="32" t="s">
        <v>49</v>
      </c>
      <c r="G3096" s="32" t="s">
        <v>50</v>
      </c>
      <c r="H3096" s="33">
        <v>99310</v>
      </c>
      <c r="I3096" s="34">
        <f>Table3[[#This Row],[Volume, kg.]]/1000</f>
        <v>99.31</v>
      </c>
      <c r="J3096" s="34">
        <v>0.22020000000000001</v>
      </c>
      <c r="K3096" s="34">
        <f t="shared" si="96"/>
        <v>21868.062000000002</v>
      </c>
      <c r="L3096" s="34">
        <v>2.75</v>
      </c>
      <c r="M3096" s="34">
        <v>273213</v>
      </c>
      <c r="N3096" s="34">
        <f t="shared" si="97"/>
        <v>12.48864668483197</v>
      </c>
    </row>
    <row r="3097" spans="1:14" x14ac:dyDescent="0.45">
      <c r="A3097" s="30">
        <v>2024</v>
      </c>
      <c r="B3097" s="30" t="s">
        <v>12</v>
      </c>
      <c r="C3097" s="30" t="s">
        <v>46</v>
      </c>
      <c r="D3097" s="30" t="s">
        <v>47</v>
      </c>
      <c r="E3097" s="32" t="s">
        <v>149</v>
      </c>
      <c r="F3097" s="32" t="s">
        <v>49</v>
      </c>
      <c r="G3097" s="32" t="s">
        <v>50</v>
      </c>
      <c r="H3097" s="33">
        <v>23240</v>
      </c>
      <c r="I3097" s="34">
        <f>Table3[[#This Row],[Volume, kg.]]/1000</f>
        <v>23.24</v>
      </c>
      <c r="J3097" s="34">
        <v>0.18859999999999999</v>
      </c>
      <c r="K3097" s="34">
        <f t="shared" si="96"/>
        <v>4383.0639999999994</v>
      </c>
      <c r="L3097" s="34">
        <v>2.38</v>
      </c>
      <c r="M3097" s="34">
        <v>55324</v>
      </c>
      <c r="N3097" s="34">
        <f t="shared" si="97"/>
        <v>12.619300106044539</v>
      </c>
    </row>
    <row r="3098" spans="1:14" x14ac:dyDescent="0.45">
      <c r="A3098" s="30">
        <v>2024</v>
      </c>
      <c r="B3098" s="30" t="s">
        <v>12</v>
      </c>
      <c r="C3098" s="30" t="s">
        <v>46</v>
      </c>
      <c r="D3098" s="30" t="s">
        <v>47</v>
      </c>
      <c r="E3098" s="32" t="s">
        <v>383</v>
      </c>
      <c r="F3098" s="32" t="s">
        <v>49</v>
      </c>
      <c r="G3098" s="32" t="s">
        <v>50</v>
      </c>
      <c r="H3098" s="33">
        <v>7410</v>
      </c>
      <c r="I3098" s="34">
        <f>Table3[[#This Row],[Volume, kg.]]/1000</f>
        <v>7.41</v>
      </c>
      <c r="J3098" s="34">
        <v>0.1822</v>
      </c>
      <c r="K3098" s="34">
        <f t="shared" si="96"/>
        <v>1350.1020000000001</v>
      </c>
      <c r="L3098" s="34">
        <v>2.59</v>
      </c>
      <c r="M3098" s="34">
        <v>19228</v>
      </c>
      <c r="N3098" s="34">
        <f t="shared" si="97"/>
        <v>14.215148188803512</v>
      </c>
    </row>
    <row r="3099" spans="1:14" x14ac:dyDescent="0.45">
      <c r="A3099" s="30">
        <v>2024</v>
      </c>
      <c r="B3099" s="30" t="s">
        <v>12</v>
      </c>
      <c r="C3099" s="30" t="s">
        <v>46</v>
      </c>
      <c r="D3099" s="30" t="s">
        <v>47</v>
      </c>
      <c r="E3099" s="32" t="s">
        <v>208</v>
      </c>
      <c r="F3099" s="32" t="s">
        <v>49</v>
      </c>
      <c r="G3099" s="32" t="s">
        <v>50</v>
      </c>
      <c r="H3099" s="33">
        <v>134070</v>
      </c>
      <c r="I3099" s="34">
        <f>Table3[[#This Row],[Volume, kg.]]/1000</f>
        <v>134.07</v>
      </c>
      <c r="J3099" s="34">
        <v>0.19210000000000002</v>
      </c>
      <c r="K3099" s="34">
        <f t="shared" si="96"/>
        <v>25754.847000000002</v>
      </c>
      <c r="L3099" s="34">
        <v>2.56</v>
      </c>
      <c r="M3099" s="34">
        <v>343584.5</v>
      </c>
      <c r="N3099" s="34">
        <f t="shared" si="97"/>
        <v>13.326392503904215</v>
      </c>
    </row>
    <row r="3100" spans="1:14" x14ac:dyDescent="0.45">
      <c r="A3100" s="30">
        <v>2024</v>
      </c>
      <c r="B3100" s="30" t="s">
        <v>12</v>
      </c>
      <c r="C3100" s="30" t="s">
        <v>46</v>
      </c>
      <c r="D3100" s="30" t="s">
        <v>47</v>
      </c>
      <c r="E3100" s="32" t="s">
        <v>99</v>
      </c>
      <c r="F3100" s="32" t="s">
        <v>49</v>
      </c>
      <c r="G3100" s="32" t="s">
        <v>50</v>
      </c>
      <c r="H3100" s="33">
        <v>3200</v>
      </c>
      <c r="I3100" s="34">
        <f>Table3[[#This Row],[Volume, kg.]]/1000</f>
        <v>3.2</v>
      </c>
      <c r="J3100" s="34">
        <v>0.1825</v>
      </c>
      <c r="K3100" s="34">
        <f t="shared" si="96"/>
        <v>584</v>
      </c>
      <c r="L3100" s="34">
        <v>2.4</v>
      </c>
      <c r="M3100" s="34">
        <v>7680</v>
      </c>
      <c r="N3100" s="34">
        <f t="shared" si="97"/>
        <v>13.150684931506849</v>
      </c>
    </row>
    <row r="3101" spans="1:14" x14ac:dyDescent="0.45">
      <c r="A3101" s="30">
        <v>2024</v>
      </c>
      <c r="B3101" s="30" t="s">
        <v>12</v>
      </c>
      <c r="C3101" s="30" t="s">
        <v>46</v>
      </c>
      <c r="D3101" s="30" t="s">
        <v>47</v>
      </c>
      <c r="E3101" s="32" t="s">
        <v>183</v>
      </c>
      <c r="F3101" s="32" t="s">
        <v>49</v>
      </c>
      <c r="G3101" s="32" t="s">
        <v>50</v>
      </c>
      <c r="H3101" s="33">
        <v>3160</v>
      </c>
      <c r="I3101" s="34">
        <f>Table3[[#This Row],[Volume, kg.]]/1000</f>
        <v>3.16</v>
      </c>
      <c r="J3101" s="34">
        <v>0.21850000000000003</v>
      </c>
      <c r="K3101" s="34">
        <f t="shared" si="96"/>
        <v>690.46</v>
      </c>
      <c r="L3101" s="34">
        <v>2.6</v>
      </c>
      <c r="M3101" s="34">
        <v>8216</v>
      </c>
      <c r="N3101" s="34">
        <f t="shared" si="97"/>
        <v>11.899313501144164</v>
      </c>
    </row>
    <row r="3102" spans="1:14" x14ac:dyDescent="0.45">
      <c r="A3102" s="30">
        <v>2024</v>
      </c>
      <c r="B3102" s="30" t="s">
        <v>12</v>
      </c>
      <c r="C3102" s="30" t="s">
        <v>46</v>
      </c>
      <c r="D3102" s="30" t="s">
        <v>47</v>
      </c>
      <c r="E3102" s="32" t="s">
        <v>165</v>
      </c>
      <c r="F3102" s="32" t="s">
        <v>57</v>
      </c>
      <c r="G3102" s="32" t="s">
        <v>50</v>
      </c>
      <c r="H3102" s="33">
        <v>5210</v>
      </c>
      <c r="I3102" s="34">
        <f>Table3[[#This Row],[Volume, kg.]]/1000</f>
        <v>5.21</v>
      </c>
      <c r="J3102" s="34">
        <v>0.21050000000000002</v>
      </c>
      <c r="K3102" s="34">
        <f t="shared" si="96"/>
        <v>1096.7050000000002</v>
      </c>
      <c r="L3102" s="34">
        <v>2.6</v>
      </c>
      <c r="M3102" s="34">
        <v>13546</v>
      </c>
      <c r="N3102" s="34">
        <f t="shared" si="97"/>
        <v>12.351543942992873</v>
      </c>
    </row>
    <row r="3103" spans="1:14" x14ac:dyDescent="0.45">
      <c r="A3103" s="30">
        <v>2024</v>
      </c>
      <c r="B3103" s="30" t="s">
        <v>12</v>
      </c>
      <c r="C3103" s="30" t="s">
        <v>46</v>
      </c>
      <c r="D3103" s="30" t="s">
        <v>47</v>
      </c>
      <c r="E3103" s="32" t="s">
        <v>226</v>
      </c>
      <c r="F3103" s="32" t="s">
        <v>60</v>
      </c>
      <c r="G3103" s="32" t="s">
        <v>50</v>
      </c>
      <c r="H3103" s="33">
        <v>15370</v>
      </c>
      <c r="I3103" s="34">
        <f>Table3[[#This Row],[Volume, kg.]]/1000</f>
        <v>15.37</v>
      </c>
      <c r="J3103" s="34">
        <v>0.18359999999999999</v>
      </c>
      <c r="K3103" s="34">
        <f t="shared" si="96"/>
        <v>2821.9319999999998</v>
      </c>
      <c r="L3103" s="34">
        <v>2.59</v>
      </c>
      <c r="M3103" s="34">
        <v>39812.5</v>
      </c>
      <c r="N3103" s="34">
        <f t="shared" si="97"/>
        <v>14.106753812636166</v>
      </c>
    </row>
    <row r="3104" spans="1:14" x14ac:dyDescent="0.45">
      <c r="A3104" s="30">
        <v>2024</v>
      </c>
      <c r="B3104" s="30" t="s">
        <v>12</v>
      </c>
      <c r="C3104" s="30" t="s">
        <v>46</v>
      </c>
      <c r="D3104" s="30" t="s">
        <v>47</v>
      </c>
      <c r="E3104" s="32" t="s">
        <v>73</v>
      </c>
      <c r="F3104" s="32" t="s">
        <v>49</v>
      </c>
      <c r="G3104" s="32" t="s">
        <v>50</v>
      </c>
      <c r="H3104" s="33">
        <v>39410</v>
      </c>
      <c r="I3104" s="34">
        <f>Table3[[#This Row],[Volume, kg.]]/1000</f>
        <v>39.409999999999997</v>
      </c>
      <c r="J3104" s="34">
        <v>0.23680000000000001</v>
      </c>
      <c r="K3104" s="34">
        <f t="shared" si="96"/>
        <v>9332.2880000000005</v>
      </c>
      <c r="L3104" s="34">
        <v>2.98</v>
      </c>
      <c r="M3104" s="34">
        <v>117433.5</v>
      </c>
      <c r="N3104" s="34">
        <f t="shared" si="97"/>
        <v>12.58445945945946</v>
      </c>
    </row>
    <row r="3105" spans="1:14" x14ac:dyDescent="0.45">
      <c r="A3105" s="30">
        <v>2024</v>
      </c>
      <c r="B3105" s="30" t="s">
        <v>12</v>
      </c>
      <c r="C3105" s="30" t="s">
        <v>46</v>
      </c>
      <c r="D3105" s="30" t="s">
        <v>47</v>
      </c>
      <c r="E3105" s="32" t="s">
        <v>65</v>
      </c>
      <c r="F3105" s="32" t="s">
        <v>49</v>
      </c>
      <c r="G3105" s="32" t="s">
        <v>50</v>
      </c>
      <c r="H3105" s="33">
        <v>6700</v>
      </c>
      <c r="I3105" s="34">
        <f>Table3[[#This Row],[Volume, kg.]]/1000</f>
        <v>6.7</v>
      </c>
      <c r="J3105" s="34">
        <v>0.16550000000000001</v>
      </c>
      <c r="K3105" s="34">
        <f t="shared" si="96"/>
        <v>1108.8500000000001</v>
      </c>
      <c r="L3105" s="34">
        <v>2.35</v>
      </c>
      <c r="M3105" s="34">
        <v>15745</v>
      </c>
      <c r="N3105" s="34">
        <f t="shared" si="97"/>
        <v>14.19939577039275</v>
      </c>
    </row>
    <row r="3106" spans="1:14" x14ac:dyDescent="0.45">
      <c r="A3106" s="30">
        <v>2024</v>
      </c>
      <c r="B3106" s="30" t="s">
        <v>12</v>
      </c>
      <c r="C3106" s="30" t="s">
        <v>46</v>
      </c>
      <c r="D3106" s="30" t="s">
        <v>47</v>
      </c>
      <c r="E3106" s="32" t="s">
        <v>245</v>
      </c>
      <c r="F3106" s="32" t="s">
        <v>57</v>
      </c>
      <c r="G3106" s="32" t="s">
        <v>50</v>
      </c>
      <c r="H3106" s="33">
        <v>12260</v>
      </c>
      <c r="I3106" s="34">
        <f>Table3[[#This Row],[Volume, kg.]]/1000</f>
        <v>12.26</v>
      </c>
      <c r="J3106" s="34">
        <v>0.1646</v>
      </c>
      <c r="K3106" s="34">
        <f t="shared" si="96"/>
        <v>2017.9959999999999</v>
      </c>
      <c r="L3106" s="34">
        <v>2.4</v>
      </c>
      <c r="M3106" s="34">
        <v>29425</v>
      </c>
      <c r="N3106" s="34">
        <f t="shared" si="97"/>
        <v>14.580801944106925</v>
      </c>
    </row>
    <row r="3107" spans="1:14" x14ac:dyDescent="0.45">
      <c r="A3107" s="30">
        <v>2024</v>
      </c>
      <c r="B3107" s="30" t="s">
        <v>12</v>
      </c>
      <c r="C3107" s="30" t="s">
        <v>46</v>
      </c>
      <c r="D3107" s="30" t="s">
        <v>47</v>
      </c>
      <c r="E3107" s="32" t="s">
        <v>163</v>
      </c>
      <c r="F3107" s="32" t="s">
        <v>60</v>
      </c>
      <c r="G3107" s="32" t="s">
        <v>50</v>
      </c>
      <c r="H3107" s="33">
        <v>55230</v>
      </c>
      <c r="I3107" s="34">
        <f>Table3[[#This Row],[Volume, kg.]]/1000</f>
        <v>55.23</v>
      </c>
      <c r="J3107" s="34">
        <v>0.18260000000000001</v>
      </c>
      <c r="K3107" s="34">
        <f t="shared" si="96"/>
        <v>10084.998000000001</v>
      </c>
      <c r="L3107" s="34">
        <v>2.56</v>
      </c>
      <c r="M3107" s="34">
        <v>141516</v>
      </c>
      <c r="N3107" s="34">
        <f t="shared" si="97"/>
        <v>14.019715224534501</v>
      </c>
    </row>
    <row r="3108" spans="1:14" x14ac:dyDescent="0.45">
      <c r="A3108" s="30">
        <v>2024</v>
      </c>
      <c r="B3108" s="30" t="s">
        <v>12</v>
      </c>
      <c r="C3108" s="30" t="s">
        <v>46</v>
      </c>
      <c r="D3108" s="30" t="s">
        <v>47</v>
      </c>
      <c r="E3108" s="32" t="s">
        <v>172</v>
      </c>
      <c r="F3108" s="32" t="s">
        <v>57</v>
      </c>
      <c r="G3108" s="32" t="s">
        <v>50</v>
      </c>
      <c r="H3108" s="33">
        <v>6190</v>
      </c>
      <c r="I3108" s="34">
        <f>Table3[[#This Row],[Volume, kg.]]/1000</f>
        <v>6.19</v>
      </c>
      <c r="J3108" s="34">
        <v>0.20649999999999999</v>
      </c>
      <c r="K3108" s="34">
        <f t="shared" si="96"/>
        <v>1278.2349999999999</v>
      </c>
      <c r="L3108" s="34">
        <v>2.85</v>
      </c>
      <c r="M3108" s="34">
        <v>17641.5</v>
      </c>
      <c r="N3108" s="34">
        <f t="shared" si="97"/>
        <v>13.801452784503633</v>
      </c>
    </row>
    <row r="3109" spans="1:14" x14ac:dyDescent="0.45">
      <c r="A3109" s="30">
        <v>2024</v>
      </c>
      <c r="B3109" s="30" t="s">
        <v>12</v>
      </c>
      <c r="C3109" s="30" t="s">
        <v>46</v>
      </c>
      <c r="D3109" s="30" t="s">
        <v>47</v>
      </c>
      <c r="E3109" s="32" t="s">
        <v>170</v>
      </c>
      <c r="F3109" s="32" t="s">
        <v>49</v>
      </c>
      <c r="G3109" s="32" t="s">
        <v>50</v>
      </c>
      <c r="H3109" s="33">
        <v>15710</v>
      </c>
      <c r="I3109" s="34">
        <f>Table3[[#This Row],[Volume, kg.]]/1000</f>
        <v>15.71</v>
      </c>
      <c r="J3109" s="34">
        <v>0.20780000000000001</v>
      </c>
      <c r="K3109" s="34">
        <f t="shared" si="96"/>
        <v>3264.538</v>
      </c>
      <c r="L3109" s="34">
        <v>2.68</v>
      </c>
      <c r="M3109" s="34">
        <v>42130.5</v>
      </c>
      <c r="N3109" s="34">
        <f t="shared" si="97"/>
        <v>12.897016361886429</v>
      </c>
    </row>
    <row r="3110" spans="1:14" x14ac:dyDescent="0.45">
      <c r="A3110" s="30">
        <v>2024</v>
      </c>
      <c r="B3110" s="30" t="s">
        <v>12</v>
      </c>
      <c r="C3110" s="30" t="s">
        <v>46</v>
      </c>
      <c r="D3110" s="30" t="s">
        <v>47</v>
      </c>
      <c r="E3110" s="32" t="s">
        <v>320</v>
      </c>
      <c r="F3110" s="32" t="s">
        <v>49</v>
      </c>
      <c r="G3110" s="32" t="s">
        <v>50</v>
      </c>
      <c r="H3110" s="33">
        <v>1780</v>
      </c>
      <c r="I3110" s="34">
        <f>Table3[[#This Row],[Volume, kg.]]/1000</f>
        <v>1.78</v>
      </c>
      <c r="J3110" s="34">
        <v>0.20250000000000001</v>
      </c>
      <c r="K3110" s="34">
        <f t="shared" si="96"/>
        <v>360.45000000000005</v>
      </c>
      <c r="L3110" s="34">
        <v>2.65</v>
      </c>
      <c r="M3110" s="34">
        <v>4717</v>
      </c>
      <c r="N3110" s="34">
        <f t="shared" si="97"/>
        <v>13.086419753086419</v>
      </c>
    </row>
    <row r="3111" spans="1:14" x14ac:dyDescent="0.45">
      <c r="A3111" s="30">
        <v>2024</v>
      </c>
      <c r="B3111" s="30" t="s">
        <v>12</v>
      </c>
      <c r="C3111" s="30" t="s">
        <v>46</v>
      </c>
      <c r="D3111" s="30" t="s">
        <v>47</v>
      </c>
      <c r="E3111" s="32" t="s">
        <v>423</v>
      </c>
      <c r="F3111" s="32" t="s">
        <v>49</v>
      </c>
      <c r="G3111" s="32" t="s">
        <v>50</v>
      </c>
      <c r="H3111" s="33">
        <v>6370</v>
      </c>
      <c r="I3111" s="34">
        <f>Table3[[#This Row],[Volume, kg.]]/1000</f>
        <v>6.37</v>
      </c>
      <c r="J3111" s="34">
        <v>0.19149999999999998</v>
      </c>
      <c r="K3111" s="34">
        <f t="shared" si="96"/>
        <v>1219.8549999999998</v>
      </c>
      <c r="L3111" s="34">
        <v>2.35</v>
      </c>
      <c r="M3111" s="34">
        <v>14969.5</v>
      </c>
      <c r="N3111" s="34">
        <f t="shared" si="97"/>
        <v>12.271540469973893</v>
      </c>
    </row>
    <row r="3112" spans="1:14" x14ac:dyDescent="0.45">
      <c r="A3112" s="30">
        <v>2024</v>
      </c>
      <c r="B3112" s="30" t="s">
        <v>12</v>
      </c>
      <c r="C3112" s="30" t="s">
        <v>46</v>
      </c>
      <c r="D3112" s="30" t="s">
        <v>47</v>
      </c>
      <c r="E3112" s="32" t="s">
        <v>51</v>
      </c>
      <c r="F3112" s="32" t="s">
        <v>49</v>
      </c>
      <c r="G3112" s="32" t="s">
        <v>50</v>
      </c>
      <c r="H3112" s="33">
        <v>780</v>
      </c>
      <c r="I3112" s="34">
        <f>Table3[[#This Row],[Volume, kg.]]/1000</f>
        <v>0.78</v>
      </c>
      <c r="J3112" s="34">
        <v>0.14499999999999999</v>
      </c>
      <c r="K3112" s="34">
        <f t="shared" si="96"/>
        <v>113.1</v>
      </c>
      <c r="L3112" s="34">
        <v>2.39</v>
      </c>
      <c r="M3112" s="34">
        <v>1862</v>
      </c>
      <c r="N3112" s="34">
        <f t="shared" si="97"/>
        <v>16.482758620689658</v>
      </c>
    </row>
    <row r="3113" spans="1:14" x14ac:dyDescent="0.45">
      <c r="A3113" s="30">
        <v>2024</v>
      </c>
      <c r="B3113" s="30" t="s">
        <v>12</v>
      </c>
      <c r="C3113" s="30" t="s">
        <v>46</v>
      </c>
      <c r="D3113" s="30" t="s">
        <v>47</v>
      </c>
      <c r="E3113" s="32" t="s">
        <v>258</v>
      </c>
      <c r="F3113" s="32" t="s">
        <v>49</v>
      </c>
      <c r="G3113" s="32" t="s">
        <v>50</v>
      </c>
      <c r="H3113" s="33">
        <v>586840</v>
      </c>
      <c r="I3113" s="34">
        <f>Table3[[#This Row],[Volume, kg.]]/1000</f>
        <v>586.84</v>
      </c>
      <c r="J3113" s="34">
        <v>0.18510000000000001</v>
      </c>
      <c r="K3113" s="34">
        <f t="shared" si="96"/>
        <v>108624.084</v>
      </c>
      <c r="L3113" s="34">
        <v>2.5</v>
      </c>
      <c r="M3113" s="34">
        <v>1469726</v>
      </c>
      <c r="N3113" s="34">
        <f t="shared" si="97"/>
        <v>13.50621285791464</v>
      </c>
    </row>
    <row r="3114" spans="1:14" x14ac:dyDescent="0.45">
      <c r="A3114" s="30">
        <v>2024</v>
      </c>
      <c r="B3114" s="30" t="s">
        <v>12</v>
      </c>
      <c r="C3114" s="30" t="s">
        <v>46</v>
      </c>
      <c r="D3114" s="30" t="s">
        <v>47</v>
      </c>
      <c r="E3114" s="32" t="s">
        <v>363</v>
      </c>
      <c r="F3114" s="32" t="s">
        <v>60</v>
      </c>
      <c r="G3114" s="32" t="s">
        <v>50</v>
      </c>
      <c r="H3114" s="33">
        <v>56640</v>
      </c>
      <c r="I3114" s="34">
        <f>Table3[[#This Row],[Volume, kg.]]/1000</f>
        <v>56.64</v>
      </c>
      <c r="J3114" s="34">
        <v>0.19149999999999998</v>
      </c>
      <c r="K3114" s="34">
        <f t="shared" si="96"/>
        <v>10846.56</v>
      </c>
      <c r="L3114" s="34">
        <v>2.6</v>
      </c>
      <c r="M3114" s="34">
        <v>147116</v>
      </c>
      <c r="N3114" s="34">
        <f t="shared" si="97"/>
        <v>13.577023498694519</v>
      </c>
    </row>
    <row r="3115" spans="1:14" x14ac:dyDescent="0.45">
      <c r="A3115" s="30">
        <v>2024</v>
      </c>
      <c r="B3115" s="30" t="s">
        <v>12</v>
      </c>
      <c r="C3115" s="30" t="s">
        <v>46</v>
      </c>
      <c r="D3115" s="30" t="s">
        <v>47</v>
      </c>
      <c r="E3115" s="32" t="s">
        <v>166</v>
      </c>
      <c r="F3115" s="32" t="s">
        <v>49</v>
      </c>
      <c r="G3115" s="32" t="s">
        <v>50</v>
      </c>
      <c r="H3115" s="33">
        <v>23070</v>
      </c>
      <c r="I3115" s="34">
        <f>Table3[[#This Row],[Volume, kg.]]/1000</f>
        <v>23.07</v>
      </c>
      <c r="J3115" s="34">
        <v>0.17190000000000003</v>
      </c>
      <c r="K3115" s="34">
        <f t="shared" si="96"/>
        <v>3965.7330000000006</v>
      </c>
      <c r="L3115" s="34">
        <v>2.5099999999999998</v>
      </c>
      <c r="M3115" s="34">
        <v>57867.5</v>
      </c>
      <c r="N3115" s="34">
        <f t="shared" si="97"/>
        <v>14.601512507271666</v>
      </c>
    </row>
    <row r="3116" spans="1:14" x14ac:dyDescent="0.45">
      <c r="A3116" s="30">
        <v>2024</v>
      </c>
      <c r="B3116" s="30" t="s">
        <v>12</v>
      </c>
      <c r="C3116" s="30" t="s">
        <v>46</v>
      </c>
      <c r="D3116" s="30" t="s">
        <v>47</v>
      </c>
      <c r="E3116" s="32" t="s">
        <v>293</v>
      </c>
      <c r="F3116" s="32" t="s">
        <v>60</v>
      </c>
      <c r="G3116" s="32" t="s">
        <v>50</v>
      </c>
      <c r="H3116" s="33">
        <v>72830</v>
      </c>
      <c r="I3116" s="34">
        <f>Table3[[#This Row],[Volume, kg.]]/1000</f>
        <v>72.83</v>
      </c>
      <c r="J3116" s="34">
        <v>0.18109999999999998</v>
      </c>
      <c r="K3116" s="34">
        <f t="shared" si="96"/>
        <v>13189.512999999999</v>
      </c>
      <c r="L3116" s="34">
        <v>2.4500000000000002</v>
      </c>
      <c r="M3116" s="34">
        <v>178730</v>
      </c>
      <c r="N3116" s="34">
        <f t="shared" si="97"/>
        <v>13.528437327443404</v>
      </c>
    </row>
    <row r="3117" spans="1:14" x14ac:dyDescent="0.45">
      <c r="A3117" s="30">
        <v>2024</v>
      </c>
      <c r="B3117" s="30" t="s">
        <v>12</v>
      </c>
      <c r="C3117" s="30" t="s">
        <v>46</v>
      </c>
      <c r="D3117" s="30" t="s">
        <v>47</v>
      </c>
      <c r="E3117" s="32" t="s">
        <v>242</v>
      </c>
      <c r="F3117" s="32" t="s">
        <v>60</v>
      </c>
      <c r="G3117" s="32" t="s">
        <v>50</v>
      </c>
      <c r="H3117" s="33">
        <v>13800</v>
      </c>
      <c r="I3117" s="34">
        <f>Table3[[#This Row],[Volume, kg.]]/1000</f>
        <v>13.8</v>
      </c>
      <c r="J3117" s="34">
        <v>0.19839999999999999</v>
      </c>
      <c r="K3117" s="34">
        <f t="shared" si="96"/>
        <v>2737.92</v>
      </c>
      <c r="L3117" s="34">
        <v>2.71</v>
      </c>
      <c r="M3117" s="34">
        <v>37332</v>
      </c>
      <c r="N3117" s="34">
        <f t="shared" si="97"/>
        <v>13.659274193548388</v>
      </c>
    </row>
    <row r="3118" spans="1:14" x14ac:dyDescent="0.45">
      <c r="A3118" s="30">
        <v>2024</v>
      </c>
      <c r="B3118" s="30" t="s">
        <v>12</v>
      </c>
      <c r="C3118" s="30" t="s">
        <v>46</v>
      </c>
      <c r="D3118" s="30" t="s">
        <v>47</v>
      </c>
      <c r="E3118" s="32" t="s">
        <v>384</v>
      </c>
      <c r="F3118" s="32" t="s">
        <v>60</v>
      </c>
      <c r="G3118" s="32" t="s">
        <v>50</v>
      </c>
      <c r="H3118" s="33">
        <v>8140</v>
      </c>
      <c r="I3118" s="34">
        <f>Table3[[#This Row],[Volume, kg.]]/1000</f>
        <v>8.14</v>
      </c>
      <c r="J3118" s="34">
        <v>0.19450000000000001</v>
      </c>
      <c r="K3118" s="34">
        <f t="shared" si="96"/>
        <v>1583.23</v>
      </c>
      <c r="L3118" s="34">
        <v>2.35</v>
      </c>
      <c r="M3118" s="34">
        <v>19129</v>
      </c>
      <c r="N3118" s="34">
        <f t="shared" si="97"/>
        <v>12.082262210796916</v>
      </c>
    </row>
    <row r="3119" spans="1:14" x14ac:dyDescent="0.45">
      <c r="A3119" s="30">
        <v>2024</v>
      </c>
      <c r="B3119" s="30" t="s">
        <v>12</v>
      </c>
      <c r="C3119" s="30" t="s">
        <v>46</v>
      </c>
      <c r="D3119" s="30" t="s">
        <v>47</v>
      </c>
      <c r="E3119" s="32" t="s">
        <v>244</v>
      </c>
      <c r="F3119" s="32" t="s">
        <v>60</v>
      </c>
      <c r="G3119" s="32" t="s">
        <v>50</v>
      </c>
      <c r="H3119" s="33">
        <v>30900</v>
      </c>
      <c r="I3119" s="34">
        <f>Table3[[#This Row],[Volume, kg.]]/1000</f>
        <v>30.9</v>
      </c>
      <c r="J3119" s="34">
        <v>0.17019999999999999</v>
      </c>
      <c r="K3119" s="34">
        <f t="shared" si="96"/>
        <v>5259.1799999999994</v>
      </c>
      <c r="L3119" s="34">
        <v>2.37</v>
      </c>
      <c r="M3119" s="34">
        <v>73206</v>
      </c>
      <c r="N3119" s="34">
        <f t="shared" si="97"/>
        <v>13.924794359576969</v>
      </c>
    </row>
    <row r="3120" spans="1:14" x14ac:dyDescent="0.45">
      <c r="A3120" s="30">
        <v>2024</v>
      </c>
      <c r="B3120" s="30" t="s">
        <v>12</v>
      </c>
      <c r="C3120" s="30" t="s">
        <v>46</v>
      </c>
      <c r="D3120" s="30" t="s">
        <v>47</v>
      </c>
      <c r="E3120" s="32" t="s">
        <v>597</v>
      </c>
      <c r="F3120" s="32" t="s">
        <v>49</v>
      </c>
      <c r="G3120" s="32" t="s">
        <v>50</v>
      </c>
      <c r="H3120" s="33">
        <v>16950</v>
      </c>
      <c r="I3120" s="34">
        <f>Table3[[#This Row],[Volume, kg.]]/1000</f>
        <v>16.95</v>
      </c>
      <c r="J3120" s="34">
        <v>0.17350000000000002</v>
      </c>
      <c r="K3120" s="34">
        <f t="shared" si="96"/>
        <v>2940.8250000000003</v>
      </c>
      <c r="L3120" s="34">
        <v>2.61</v>
      </c>
      <c r="M3120" s="34">
        <v>44177</v>
      </c>
      <c r="N3120" s="34">
        <f t="shared" si="97"/>
        <v>15.04322766570605</v>
      </c>
    </row>
    <row r="3121" spans="1:14" x14ac:dyDescent="0.45">
      <c r="A3121" s="30">
        <v>2024</v>
      </c>
      <c r="B3121" s="30" t="s">
        <v>12</v>
      </c>
      <c r="C3121" s="30" t="s">
        <v>46</v>
      </c>
      <c r="D3121" s="30" t="s">
        <v>47</v>
      </c>
      <c r="E3121" s="32" t="s">
        <v>198</v>
      </c>
      <c r="F3121" s="32" t="s">
        <v>49</v>
      </c>
      <c r="G3121" s="32" t="s">
        <v>50</v>
      </c>
      <c r="H3121" s="33">
        <v>6980</v>
      </c>
      <c r="I3121" s="34">
        <f>Table3[[#This Row],[Volume, kg.]]/1000</f>
        <v>6.98</v>
      </c>
      <c r="J3121" s="34">
        <v>0.19239999999999999</v>
      </c>
      <c r="K3121" s="34">
        <f t="shared" si="96"/>
        <v>1342.952</v>
      </c>
      <c r="L3121" s="34">
        <v>2.65</v>
      </c>
      <c r="M3121" s="34">
        <v>18497</v>
      </c>
      <c r="N3121" s="34">
        <f t="shared" si="97"/>
        <v>13.773388773388774</v>
      </c>
    </row>
    <row r="3122" spans="1:14" x14ac:dyDescent="0.45">
      <c r="A3122" s="30">
        <v>2024</v>
      </c>
      <c r="B3122" s="30" t="s">
        <v>12</v>
      </c>
      <c r="C3122" s="30" t="s">
        <v>46</v>
      </c>
      <c r="D3122" s="30" t="s">
        <v>47</v>
      </c>
      <c r="E3122" s="32" t="s">
        <v>380</v>
      </c>
      <c r="F3122" s="32" t="s">
        <v>49</v>
      </c>
      <c r="G3122" s="32" t="s">
        <v>50</v>
      </c>
      <c r="H3122" s="33">
        <v>23870</v>
      </c>
      <c r="I3122" s="34">
        <f>Table3[[#This Row],[Volume, kg.]]/1000</f>
        <v>23.87</v>
      </c>
      <c r="J3122" s="34">
        <v>0.16489999999999999</v>
      </c>
      <c r="K3122" s="34">
        <f t="shared" si="96"/>
        <v>3936.163</v>
      </c>
      <c r="L3122" s="34">
        <v>2.42</v>
      </c>
      <c r="M3122" s="34">
        <v>57815</v>
      </c>
      <c r="N3122" s="34">
        <f t="shared" si="97"/>
        <v>14.675560946027897</v>
      </c>
    </row>
    <row r="3123" spans="1:14" x14ac:dyDescent="0.45">
      <c r="A3123" s="30">
        <v>2024</v>
      </c>
      <c r="B3123" s="30" t="s">
        <v>12</v>
      </c>
      <c r="C3123" s="30" t="s">
        <v>46</v>
      </c>
      <c r="D3123" s="30" t="s">
        <v>47</v>
      </c>
      <c r="E3123" s="32" t="s">
        <v>164</v>
      </c>
      <c r="F3123" s="32" t="s">
        <v>49</v>
      </c>
      <c r="G3123" s="32" t="s">
        <v>50</v>
      </c>
      <c r="H3123" s="33">
        <v>29550</v>
      </c>
      <c r="I3123" s="34">
        <f>Table3[[#This Row],[Volume, kg.]]/1000</f>
        <v>29.55</v>
      </c>
      <c r="J3123" s="34">
        <v>0.19440000000000002</v>
      </c>
      <c r="K3123" s="34">
        <f t="shared" si="96"/>
        <v>5744.52</v>
      </c>
      <c r="L3123" s="34">
        <v>2.58</v>
      </c>
      <c r="M3123" s="34">
        <v>76307.5</v>
      </c>
      <c r="N3123" s="34">
        <f t="shared" si="97"/>
        <v>13.271604938271604</v>
      </c>
    </row>
    <row r="3124" spans="1:14" x14ac:dyDescent="0.45">
      <c r="A3124" s="30">
        <v>2024</v>
      </c>
      <c r="B3124" s="30" t="s">
        <v>12</v>
      </c>
      <c r="C3124" s="30" t="s">
        <v>46</v>
      </c>
      <c r="D3124" s="30" t="s">
        <v>47</v>
      </c>
      <c r="E3124" s="32" t="s">
        <v>534</v>
      </c>
      <c r="F3124" s="32" t="s">
        <v>49</v>
      </c>
      <c r="G3124" s="32" t="s">
        <v>50</v>
      </c>
      <c r="H3124" s="33">
        <v>65600</v>
      </c>
      <c r="I3124" s="34">
        <f>Table3[[#This Row],[Volume, kg.]]/1000</f>
        <v>65.599999999999994</v>
      </c>
      <c r="J3124" s="34">
        <v>0.17069999999999999</v>
      </c>
      <c r="K3124" s="34">
        <f t="shared" si="96"/>
        <v>11197.92</v>
      </c>
      <c r="L3124" s="34">
        <v>2.33</v>
      </c>
      <c r="M3124" s="34">
        <v>152777.5</v>
      </c>
      <c r="N3124" s="34">
        <f t="shared" si="97"/>
        <v>13.649677797305214</v>
      </c>
    </row>
    <row r="3125" spans="1:14" x14ac:dyDescent="0.45">
      <c r="A3125" s="30">
        <v>2024</v>
      </c>
      <c r="B3125" s="30" t="s">
        <v>12</v>
      </c>
      <c r="C3125" s="30" t="s">
        <v>46</v>
      </c>
      <c r="D3125" s="30" t="s">
        <v>47</v>
      </c>
      <c r="E3125" s="32" t="s">
        <v>220</v>
      </c>
      <c r="F3125" s="32" t="s">
        <v>49</v>
      </c>
      <c r="G3125" s="32" t="s">
        <v>50</v>
      </c>
      <c r="H3125" s="33">
        <v>4730</v>
      </c>
      <c r="I3125" s="34">
        <f>Table3[[#This Row],[Volume, kg.]]/1000</f>
        <v>4.7300000000000004</v>
      </c>
      <c r="J3125" s="34">
        <v>0.1585</v>
      </c>
      <c r="K3125" s="34">
        <f t="shared" si="96"/>
        <v>749.70500000000004</v>
      </c>
      <c r="L3125" s="34">
        <v>2.2000000000000002</v>
      </c>
      <c r="M3125" s="34">
        <v>10406</v>
      </c>
      <c r="N3125" s="34">
        <f t="shared" si="97"/>
        <v>13.8801261829653</v>
      </c>
    </row>
    <row r="3126" spans="1:14" x14ac:dyDescent="0.45">
      <c r="A3126" s="30">
        <v>2024</v>
      </c>
      <c r="B3126" s="30" t="s">
        <v>12</v>
      </c>
      <c r="C3126" s="30" t="s">
        <v>46</v>
      </c>
      <c r="D3126" s="30" t="s">
        <v>47</v>
      </c>
      <c r="E3126" s="32" t="s">
        <v>358</v>
      </c>
      <c r="F3126" s="32" t="s">
        <v>60</v>
      </c>
      <c r="G3126" s="32" t="s">
        <v>50</v>
      </c>
      <c r="H3126" s="33">
        <v>8910</v>
      </c>
      <c r="I3126" s="34">
        <f>Table3[[#This Row],[Volume, kg.]]/1000</f>
        <v>8.91</v>
      </c>
      <c r="J3126" s="34">
        <v>0.18729999999999999</v>
      </c>
      <c r="K3126" s="34">
        <f t="shared" si="96"/>
        <v>1668.8429999999998</v>
      </c>
      <c r="L3126" s="34">
        <v>2.69</v>
      </c>
      <c r="M3126" s="34">
        <v>23928</v>
      </c>
      <c r="N3126" s="34">
        <f t="shared" si="97"/>
        <v>14.361986118526428</v>
      </c>
    </row>
    <row r="3127" spans="1:14" x14ac:dyDescent="0.45">
      <c r="A3127" s="30">
        <v>2024</v>
      </c>
      <c r="B3127" s="30" t="s">
        <v>12</v>
      </c>
      <c r="C3127" s="30" t="s">
        <v>46</v>
      </c>
      <c r="D3127" s="30" t="s">
        <v>47</v>
      </c>
      <c r="E3127" s="32" t="s">
        <v>464</v>
      </c>
      <c r="F3127" s="32" t="s">
        <v>57</v>
      </c>
      <c r="G3127" s="32" t="s">
        <v>50</v>
      </c>
      <c r="H3127" s="33">
        <v>16200</v>
      </c>
      <c r="I3127" s="34">
        <f>Table3[[#This Row],[Volume, kg.]]/1000</f>
        <v>16.2</v>
      </c>
      <c r="J3127" s="34">
        <v>0.20929999999999999</v>
      </c>
      <c r="K3127" s="34">
        <f t="shared" si="96"/>
        <v>3390.66</v>
      </c>
      <c r="L3127" s="34">
        <v>2.5499999999999998</v>
      </c>
      <c r="M3127" s="34">
        <v>41310</v>
      </c>
      <c r="N3127" s="34">
        <f t="shared" si="97"/>
        <v>12.183468705207835</v>
      </c>
    </row>
    <row r="3128" spans="1:14" x14ac:dyDescent="0.45">
      <c r="A3128" s="30">
        <v>2024</v>
      </c>
      <c r="B3128" s="30" t="s">
        <v>12</v>
      </c>
      <c r="C3128" s="30" t="s">
        <v>46</v>
      </c>
      <c r="D3128" s="30" t="s">
        <v>47</v>
      </c>
      <c r="E3128" s="32" t="s">
        <v>260</v>
      </c>
      <c r="F3128" s="32" t="s">
        <v>49</v>
      </c>
      <c r="G3128" s="32" t="s">
        <v>50</v>
      </c>
      <c r="H3128" s="33">
        <v>6610</v>
      </c>
      <c r="I3128" s="34">
        <f>Table3[[#This Row],[Volume, kg.]]/1000</f>
        <v>6.61</v>
      </c>
      <c r="J3128" s="34">
        <v>0.18100000000000002</v>
      </c>
      <c r="K3128" s="34">
        <f t="shared" si="96"/>
        <v>1196.4100000000001</v>
      </c>
      <c r="L3128" s="34">
        <v>2.4</v>
      </c>
      <c r="M3128" s="34">
        <v>15864</v>
      </c>
      <c r="N3128" s="34">
        <f t="shared" si="97"/>
        <v>13.259668508287291</v>
      </c>
    </row>
    <row r="3129" spans="1:14" x14ac:dyDescent="0.45">
      <c r="A3129" s="30">
        <v>2024</v>
      </c>
      <c r="B3129" s="30" t="s">
        <v>12</v>
      </c>
      <c r="C3129" s="30" t="s">
        <v>46</v>
      </c>
      <c r="D3129" s="30" t="s">
        <v>47</v>
      </c>
      <c r="E3129" s="32" t="s">
        <v>429</v>
      </c>
      <c r="F3129" s="32" t="s">
        <v>54</v>
      </c>
      <c r="G3129" s="32" t="s">
        <v>50</v>
      </c>
      <c r="H3129" s="33">
        <v>39740</v>
      </c>
      <c r="I3129" s="34">
        <f>Table3[[#This Row],[Volume, kg.]]/1000</f>
        <v>39.74</v>
      </c>
      <c r="J3129" s="34">
        <v>0.21789999999999998</v>
      </c>
      <c r="K3129" s="34">
        <f t="shared" si="96"/>
        <v>8659.3459999999995</v>
      </c>
      <c r="L3129" s="34">
        <v>2.82</v>
      </c>
      <c r="M3129" s="34">
        <v>111952</v>
      </c>
      <c r="N3129" s="34">
        <f t="shared" si="97"/>
        <v>12.94171638366223</v>
      </c>
    </row>
    <row r="3130" spans="1:14" x14ac:dyDescent="0.45">
      <c r="A3130" s="30">
        <v>2024</v>
      </c>
      <c r="B3130" s="30" t="s">
        <v>12</v>
      </c>
      <c r="C3130" s="30" t="s">
        <v>46</v>
      </c>
      <c r="D3130" s="30" t="s">
        <v>47</v>
      </c>
      <c r="E3130" s="32" t="s">
        <v>187</v>
      </c>
      <c r="F3130" s="32" t="s">
        <v>54</v>
      </c>
      <c r="G3130" s="32" t="s">
        <v>50</v>
      </c>
      <c r="H3130" s="33">
        <v>155440</v>
      </c>
      <c r="I3130" s="34">
        <f>Table3[[#This Row],[Volume, kg.]]/1000</f>
        <v>155.44</v>
      </c>
      <c r="J3130" s="34">
        <v>0.20780000000000001</v>
      </c>
      <c r="K3130" s="34">
        <f t="shared" si="96"/>
        <v>32300.432000000001</v>
      </c>
      <c r="L3130" s="34">
        <v>2.8</v>
      </c>
      <c r="M3130" s="34">
        <v>435524</v>
      </c>
      <c r="N3130" s="34">
        <f t="shared" si="97"/>
        <v>13.474494706448507</v>
      </c>
    </row>
    <row r="3131" spans="1:14" x14ac:dyDescent="0.45">
      <c r="A3131" s="30">
        <v>2024</v>
      </c>
      <c r="B3131" s="30" t="s">
        <v>12</v>
      </c>
      <c r="C3131" s="30" t="s">
        <v>46</v>
      </c>
      <c r="D3131" s="30" t="s">
        <v>47</v>
      </c>
      <c r="E3131" s="32" t="s">
        <v>191</v>
      </c>
      <c r="F3131" s="32" t="s">
        <v>49</v>
      </c>
      <c r="G3131" s="32" t="s">
        <v>50</v>
      </c>
      <c r="H3131" s="33">
        <v>7770</v>
      </c>
      <c r="I3131" s="34">
        <f>Table3[[#This Row],[Volume, kg.]]/1000</f>
        <v>7.77</v>
      </c>
      <c r="J3131" s="34">
        <v>0.19500000000000001</v>
      </c>
      <c r="K3131" s="34">
        <f t="shared" si="96"/>
        <v>1515.15</v>
      </c>
      <c r="L3131" s="34">
        <v>2.8</v>
      </c>
      <c r="M3131" s="34">
        <v>21756</v>
      </c>
      <c r="N3131" s="34">
        <f t="shared" si="97"/>
        <v>14.358974358974358</v>
      </c>
    </row>
    <row r="3132" spans="1:14" x14ac:dyDescent="0.45">
      <c r="A3132" s="30">
        <v>2024</v>
      </c>
      <c r="B3132" s="30" t="s">
        <v>12</v>
      </c>
      <c r="C3132" s="30" t="s">
        <v>46</v>
      </c>
      <c r="D3132" s="30" t="s">
        <v>47</v>
      </c>
      <c r="E3132" s="32" t="s">
        <v>352</v>
      </c>
      <c r="F3132" s="32" t="s">
        <v>54</v>
      </c>
      <c r="G3132" s="32" t="s">
        <v>50</v>
      </c>
      <c r="H3132" s="33">
        <v>61850</v>
      </c>
      <c r="I3132" s="34">
        <f>Table3[[#This Row],[Volume, kg.]]/1000</f>
        <v>61.85</v>
      </c>
      <c r="J3132" s="34">
        <v>0.20989999999999998</v>
      </c>
      <c r="K3132" s="34">
        <f t="shared" si="96"/>
        <v>12982.314999999999</v>
      </c>
      <c r="L3132" s="34">
        <v>2.74</v>
      </c>
      <c r="M3132" s="34">
        <v>169721.5</v>
      </c>
      <c r="N3132" s="34">
        <f t="shared" si="97"/>
        <v>13.053835159599812</v>
      </c>
    </row>
    <row r="3133" spans="1:14" x14ac:dyDescent="0.45">
      <c r="A3133" s="30">
        <v>2024</v>
      </c>
      <c r="B3133" s="30" t="s">
        <v>12</v>
      </c>
      <c r="C3133" s="30" t="s">
        <v>46</v>
      </c>
      <c r="D3133" s="30" t="s">
        <v>47</v>
      </c>
      <c r="E3133" s="32" t="s">
        <v>162</v>
      </c>
      <c r="F3133" s="32" t="s">
        <v>49</v>
      </c>
      <c r="G3133" s="32" t="s">
        <v>50</v>
      </c>
      <c r="H3133" s="33">
        <v>380</v>
      </c>
      <c r="I3133" s="34">
        <f>Table3[[#This Row],[Volume, kg.]]/1000</f>
        <v>0.38</v>
      </c>
      <c r="J3133" s="34">
        <v>9.4E-2</v>
      </c>
      <c r="K3133" s="34">
        <f t="shared" si="96"/>
        <v>35.72</v>
      </c>
      <c r="L3133" s="34">
        <v>1.75</v>
      </c>
      <c r="M3133" s="34">
        <v>665</v>
      </c>
      <c r="N3133" s="34">
        <f t="shared" si="97"/>
        <v>18.617021276595743</v>
      </c>
    </row>
    <row r="3134" spans="1:14" x14ac:dyDescent="0.45">
      <c r="A3134" s="30">
        <v>2024</v>
      </c>
      <c r="B3134" s="30" t="s">
        <v>12</v>
      </c>
      <c r="C3134" s="30" t="s">
        <v>46</v>
      </c>
      <c r="D3134" s="30" t="s">
        <v>47</v>
      </c>
      <c r="E3134" s="32" t="s">
        <v>142</v>
      </c>
      <c r="F3134" s="32" t="s">
        <v>57</v>
      </c>
      <c r="G3134" s="32" t="s">
        <v>50</v>
      </c>
      <c r="H3134" s="33">
        <v>69690</v>
      </c>
      <c r="I3134" s="34">
        <f>Table3[[#This Row],[Volume, kg.]]/1000</f>
        <v>69.69</v>
      </c>
      <c r="J3134" s="34">
        <v>0.20079999999999998</v>
      </c>
      <c r="K3134" s="34">
        <f t="shared" si="96"/>
        <v>13993.751999999999</v>
      </c>
      <c r="L3134" s="34">
        <v>2.52</v>
      </c>
      <c r="M3134" s="34">
        <v>175444.5</v>
      </c>
      <c r="N3134" s="34">
        <f t="shared" si="97"/>
        <v>12.54980079681275</v>
      </c>
    </row>
    <row r="3135" spans="1:14" x14ac:dyDescent="0.45">
      <c r="A3135" s="30">
        <v>2024</v>
      </c>
      <c r="B3135" s="30" t="s">
        <v>12</v>
      </c>
      <c r="C3135" s="30" t="s">
        <v>46</v>
      </c>
      <c r="D3135" s="30" t="s">
        <v>47</v>
      </c>
      <c r="E3135" s="32" t="s">
        <v>160</v>
      </c>
      <c r="F3135" s="32" t="s">
        <v>49</v>
      </c>
      <c r="G3135" s="32" t="s">
        <v>50</v>
      </c>
      <c r="H3135" s="33">
        <v>30260</v>
      </c>
      <c r="I3135" s="34">
        <f>Table3[[#This Row],[Volume, kg.]]/1000</f>
        <v>30.26</v>
      </c>
      <c r="J3135" s="34">
        <v>0.21100000000000002</v>
      </c>
      <c r="K3135" s="34">
        <f t="shared" si="96"/>
        <v>6384.8600000000006</v>
      </c>
      <c r="L3135" s="34">
        <v>2.7</v>
      </c>
      <c r="M3135" s="34">
        <v>81702</v>
      </c>
      <c r="N3135" s="34">
        <f t="shared" si="97"/>
        <v>12.796208530805687</v>
      </c>
    </row>
    <row r="3136" spans="1:14" x14ac:dyDescent="0.45">
      <c r="A3136" s="30">
        <v>2024</v>
      </c>
      <c r="B3136" s="30" t="s">
        <v>12</v>
      </c>
      <c r="C3136" s="30" t="s">
        <v>46</v>
      </c>
      <c r="D3136" s="30" t="s">
        <v>47</v>
      </c>
      <c r="E3136" s="32" t="s">
        <v>431</v>
      </c>
      <c r="F3136" s="32" t="s">
        <v>49</v>
      </c>
      <c r="G3136" s="32" t="s">
        <v>50</v>
      </c>
      <c r="H3136" s="33">
        <v>27240</v>
      </c>
      <c r="I3136" s="34">
        <f>Table3[[#This Row],[Volume, kg.]]/1000</f>
        <v>27.24</v>
      </c>
      <c r="J3136" s="34">
        <v>0.1764</v>
      </c>
      <c r="K3136" s="34">
        <f t="shared" si="96"/>
        <v>4805.1360000000004</v>
      </c>
      <c r="L3136" s="34">
        <v>2.3199999999999998</v>
      </c>
      <c r="M3136" s="34">
        <v>63070</v>
      </c>
      <c r="N3136" s="34">
        <f t="shared" si="97"/>
        <v>13.151927437641723</v>
      </c>
    </row>
    <row r="3137" spans="1:14" x14ac:dyDescent="0.45">
      <c r="A3137" s="30">
        <v>2024</v>
      </c>
      <c r="B3137" s="30" t="s">
        <v>12</v>
      </c>
      <c r="C3137" s="30" t="s">
        <v>46</v>
      </c>
      <c r="D3137" s="30" t="s">
        <v>47</v>
      </c>
      <c r="E3137" s="32" t="s">
        <v>167</v>
      </c>
      <c r="F3137" s="32" t="s">
        <v>49</v>
      </c>
      <c r="G3137" s="32" t="s">
        <v>50</v>
      </c>
      <c r="H3137" s="33">
        <v>94510</v>
      </c>
      <c r="I3137" s="34">
        <f>Table3[[#This Row],[Volume, kg.]]/1000</f>
        <v>94.51</v>
      </c>
      <c r="J3137" s="34">
        <v>0.19109999999999999</v>
      </c>
      <c r="K3137" s="34">
        <f t="shared" si="96"/>
        <v>18060.861000000001</v>
      </c>
      <c r="L3137" s="34">
        <v>2.6</v>
      </c>
      <c r="M3137" s="34">
        <v>245579</v>
      </c>
      <c r="N3137" s="34">
        <f t="shared" si="97"/>
        <v>13.605442176870749</v>
      </c>
    </row>
    <row r="3138" spans="1:14" x14ac:dyDescent="0.45">
      <c r="A3138" s="30">
        <v>2024</v>
      </c>
      <c r="B3138" s="30" t="s">
        <v>12</v>
      </c>
      <c r="C3138" s="30" t="s">
        <v>46</v>
      </c>
      <c r="D3138" s="30" t="s">
        <v>47</v>
      </c>
      <c r="E3138" s="32" t="s">
        <v>329</v>
      </c>
      <c r="F3138" s="32" t="s">
        <v>49</v>
      </c>
      <c r="G3138" s="32" t="s">
        <v>50</v>
      </c>
      <c r="H3138" s="33">
        <v>50240</v>
      </c>
      <c r="I3138" s="34">
        <f>Table3[[#This Row],[Volume, kg.]]/1000</f>
        <v>50.24</v>
      </c>
      <c r="J3138" s="34">
        <v>0.19289999999999999</v>
      </c>
      <c r="K3138" s="34">
        <f t="shared" si="96"/>
        <v>9691.2960000000003</v>
      </c>
      <c r="L3138" s="34">
        <v>2.69</v>
      </c>
      <c r="M3138" s="34">
        <v>134988</v>
      </c>
      <c r="N3138" s="34">
        <f t="shared" si="97"/>
        <v>13.94504924831519</v>
      </c>
    </row>
    <row r="3139" spans="1:14" x14ac:dyDescent="0.45">
      <c r="A3139" s="30">
        <v>2024</v>
      </c>
      <c r="B3139" s="30" t="s">
        <v>12</v>
      </c>
      <c r="C3139" s="30" t="s">
        <v>46</v>
      </c>
      <c r="D3139" s="30" t="s">
        <v>47</v>
      </c>
      <c r="E3139" s="32" t="s">
        <v>190</v>
      </c>
      <c r="F3139" s="32" t="s">
        <v>81</v>
      </c>
      <c r="G3139" s="32" t="s">
        <v>50</v>
      </c>
      <c r="H3139" s="33">
        <v>72490</v>
      </c>
      <c r="I3139" s="34">
        <f>Table3[[#This Row],[Volume, kg.]]/1000</f>
        <v>72.489999999999995</v>
      </c>
      <c r="J3139" s="34">
        <v>0.21820000000000001</v>
      </c>
      <c r="K3139" s="34">
        <f t="shared" ref="K3139:K3202" si="98">H3139*J3139</f>
        <v>15817.318000000001</v>
      </c>
      <c r="L3139" s="34">
        <v>2.87</v>
      </c>
      <c r="M3139" s="34">
        <v>208031</v>
      </c>
      <c r="N3139" s="34">
        <f t="shared" si="97"/>
        <v>13.15307057745188</v>
      </c>
    </row>
    <row r="3140" spans="1:14" x14ac:dyDescent="0.45">
      <c r="A3140" s="30">
        <v>2024</v>
      </c>
      <c r="B3140" s="30" t="s">
        <v>12</v>
      </c>
      <c r="C3140" s="30" t="s">
        <v>46</v>
      </c>
      <c r="D3140" s="30" t="s">
        <v>47</v>
      </c>
      <c r="E3140" s="32" t="s">
        <v>77</v>
      </c>
      <c r="F3140" s="32" t="s">
        <v>49</v>
      </c>
      <c r="G3140" s="32" t="s">
        <v>50</v>
      </c>
      <c r="H3140" s="33">
        <v>38340</v>
      </c>
      <c r="I3140" s="34">
        <f>Table3[[#This Row],[Volume, kg.]]/1000</f>
        <v>38.340000000000003</v>
      </c>
      <c r="J3140" s="34">
        <v>0.17600000000000002</v>
      </c>
      <c r="K3140" s="34">
        <f t="shared" si="98"/>
        <v>6747.8400000000011</v>
      </c>
      <c r="L3140" s="34">
        <v>2.54</v>
      </c>
      <c r="M3140" s="34">
        <v>97433.5</v>
      </c>
      <c r="N3140" s="34">
        <f t="shared" ref="N3140:N3203" si="99">L3140/J3140</f>
        <v>14.43181818181818</v>
      </c>
    </row>
    <row r="3141" spans="1:14" x14ac:dyDescent="0.45">
      <c r="A3141" s="30">
        <v>2024</v>
      </c>
      <c r="B3141" s="30" t="s">
        <v>12</v>
      </c>
      <c r="C3141" s="30" t="s">
        <v>46</v>
      </c>
      <c r="D3141" s="30" t="s">
        <v>47</v>
      </c>
      <c r="E3141" s="32" t="s">
        <v>386</v>
      </c>
      <c r="F3141" s="32" t="s">
        <v>49</v>
      </c>
      <c r="G3141" s="32" t="s">
        <v>50</v>
      </c>
      <c r="H3141" s="33">
        <v>55190</v>
      </c>
      <c r="I3141" s="34">
        <f>Table3[[#This Row],[Volume, kg.]]/1000</f>
        <v>55.19</v>
      </c>
      <c r="J3141" s="34">
        <v>0.1913</v>
      </c>
      <c r="K3141" s="34">
        <f t="shared" si="98"/>
        <v>10557.847</v>
      </c>
      <c r="L3141" s="34">
        <v>2.59</v>
      </c>
      <c r="M3141" s="34">
        <v>143038</v>
      </c>
      <c r="N3141" s="34">
        <f t="shared" si="99"/>
        <v>13.538944066910611</v>
      </c>
    </row>
    <row r="3142" spans="1:14" x14ac:dyDescent="0.45">
      <c r="A3142" s="30">
        <v>2024</v>
      </c>
      <c r="B3142" s="30" t="s">
        <v>12</v>
      </c>
      <c r="C3142" s="30" t="s">
        <v>46</v>
      </c>
      <c r="D3142" s="30" t="s">
        <v>47</v>
      </c>
      <c r="E3142" s="32" t="s">
        <v>176</v>
      </c>
      <c r="F3142" s="32" t="s">
        <v>49</v>
      </c>
      <c r="G3142" s="32" t="s">
        <v>50</v>
      </c>
      <c r="H3142" s="33">
        <v>17870</v>
      </c>
      <c r="I3142" s="34">
        <f>Table3[[#This Row],[Volume, kg.]]/1000</f>
        <v>17.87</v>
      </c>
      <c r="J3142" s="34">
        <v>0.20170000000000002</v>
      </c>
      <c r="K3142" s="34">
        <f t="shared" si="98"/>
        <v>3604.3790000000004</v>
      </c>
      <c r="L3142" s="34">
        <v>2.66</v>
      </c>
      <c r="M3142" s="34">
        <v>47494</v>
      </c>
      <c r="N3142" s="34">
        <f t="shared" si="99"/>
        <v>13.187902825979176</v>
      </c>
    </row>
    <row r="3143" spans="1:14" x14ac:dyDescent="0.45">
      <c r="A3143" s="30">
        <v>2024</v>
      </c>
      <c r="B3143" s="30" t="s">
        <v>12</v>
      </c>
      <c r="C3143" s="30" t="s">
        <v>46</v>
      </c>
      <c r="D3143" s="30" t="s">
        <v>47</v>
      </c>
      <c r="E3143" s="32" t="s">
        <v>241</v>
      </c>
      <c r="F3143" s="32" t="s">
        <v>57</v>
      </c>
      <c r="G3143" s="32" t="s">
        <v>50</v>
      </c>
      <c r="H3143" s="33">
        <v>18850</v>
      </c>
      <c r="I3143" s="34">
        <f>Table3[[#This Row],[Volume, kg.]]/1000</f>
        <v>18.850000000000001</v>
      </c>
      <c r="J3143" s="34">
        <v>0.2122</v>
      </c>
      <c r="K3143" s="34">
        <f t="shared" si="98"/>
        <v>3999.97</v>
      </c>
      <c r="L3143" s="34">
        <v>2.72</v>
      </c>
      <c r="M3143" s="34">
        <v>51238.5</v>
      </c>
      <c r="N3143" s="34">
        <f t="shared" si="99"/>
        <v>12.818096135721019</v>
      </c>
    </row>
    <row r="3144" spans="1:14" x14ac:dyDescent="0.45">
      <c r="A3144" s="30">
        <v>2024</v>
      </c>
      <c r="B3144" s="30" t="s">
        <v>12</v>
      </c>
      <c r="C3144" s="30" t="s">
        <v>46</v>
      </c>
      <c r="D3144" s="30" t="s">
        <v>47</v>
      </c>
      <c r="E3144" s="32" t="s">
        <v>263</v>
      </c>
      <c r="F3144" s="32" t="s">
        <v>81</v>
      </c>
      <c r="G3144" s="32" t="s">
        <v>50</v>
      </c>
      <c r="H3144" s="33">
        <v>14940</v>
      </c>
      <c r="I3144" s="34">
        <f>Table3[[#This Row],[Volume, kg.]]/1000</f>
        <v>14.94</v>
      </c>
      <c r="J3144" s="34">
        <v>0.16649999999999998</v>
      </c>
      <c r="K3144" s="34">
        <f t="shared" si="98"/>
        <v>2487.5099999999998</v>
      </c>
      <c r="L3144" s="34">
        <v>2.65</v>
      </c>
      <c r="M3144" s="34">
        <v>39591</v>
      </c>
      <c r="N3144" s="34">
        <f t="shared" si="99"/>
        <v>15.915915915915917</v>
      </c>
    </row>
    <row r="3145" spans="1:14" x14ac:dyDescent="0.45">
      <c r="A3145" s="30">
        <v>2024</v>
      </c>
      <c r="B3145" s="30" t="s">
        <v>12</v>
      </c>
      <c r="C3145" s="30" t="s">
        <v>46</v>
      </c>
      <c r="D3145" s="30" t="s">
        <v>47</v>
      </c>
      <c r="E3145" s="32" t="s">
        <v>333</v>
      </c>
      <c r="F3145" s="32" t="s">
        <v>57</v>
      </c>
      <c r="G3145" s="32" t="s">
        <v>50</v>
      </c>
      <c r="H3145" s="33">
        <v>28280</v>
      </c>
      <c r="I3145" s="34">
        <f>Table3[[#This Row],[Volume, kg.]]/1000</f>
        <v>28.28</v>
      </c>
      <c r="J3145" s="34">
        <v>0.182</v>
      </c>
      <c r="K3145" s="34">
        <f t="shared" si="98"/>
        <v>5146.96</v>
      </c>
      <c r="L3145" s="34">
        <v>2.5</v>
      </c>
      <c r="M3145" s="34">
        <v>70564</v>
      </c>
      <c r="N3145" s="34">
        <f t="shared" si="99"/>
        <v>13.736263736263737</v>
      </c>
    </row>
    <row r="3146" spans="1:14" x14ac:dyDescent="0.45">
      <c r="A3146" s="30">
        <v>2024</v>
      </c>
      <c r="B3146" s="30" t="s">
        <v>12</v>
      </c>
      <c r="C3146" s="30" t="s">
        <v>46</v>
      </c>
      <c r="D3146" s="30" t="s">
        <v>47</v>
      </c>
      <c r="E3146" s="32" t="s">
        <v>308</v>
      </c>
      <c r="F3146" s="32" t="s">
        <v>81</v>
      </c>
      <c r="G3146" s="32" t="s">
        <v>50</v>
      </c>
      <c r="H3146" s="33">
        <v>16910</v>
      </c>
      <c r="I3146" s="34">
        <f>Table3[[#This Row],[Volume, kg.]]/1000</f>
        <v>16.91</v>
      </c>
      <c r="J3146" s="34">
        <v>0.18140000000000001</v>
      </c>
      <c r="K3146" s="34">
        <f t="shared" si="98"/>
        <v>3067.4740000000002</v>
      </c>
      <c r="L3146" s="34">
        <v>2.39</v>
      </c>
      <c r="M3146" s="34">
        <v>40396</v>
      </c>
      <c r="N3146" s="34">
        <f t="shared" si="99"/>
        <v>13.175303197353914</v>
      </c>
    </row>
    <row r="3147" spans="1:14" x14ac:dyDescent="0.45">
      <c r="A3147" s="30">
        <v>2024</v>
      </c>
      <c r="B3147" s="30" t="s">
        <v>12</v>
      </c>
      <c r="C3147" s="30" t="s">
        <v>46</v>
      </c>
      <c r="D3147" s="30" t="s">
        <v>47</v>
      </c>
      <c r="E3147" s="32" t="s">
        <v>236</v>
      </c>
      <c r="F3147" s="32" t="s">
        <v>49</v>
      </c>
      <c r="G3147" s="32" t="s">
        <v>50</v>
      </c>
      <c r="H3147" s="33">
        <v>29770</v>
      </c>
      <c r="I3147" s="34">
        <f>Table3[[#This Row],[Volume, kg.]]/1000</f>
        <v>29.77</v>
      </c>
      <c r="J3147" s="34">
        <v>0.19239999999999999</v>
      </c>
      <c r="K3147" s="34">
        <f t="shared" si="98"/>
        <v>5727.7479999999996</v>
      </c>
      <c r="L3147" s="34">
        <v>2.38</v>
      </c>
      <c r="M3147" s="34">
        <v>70909.5</v>
      </c>
      <c r="N3147" s="34">
        <f t="shared" si="99"/>
        <v>12.370062370062371</v>
      </c>
    </row>
    <row r="3148" spans="1:14" x14ac:dyDescent="0.45">
      <c r="A3148" s="30">
        <v>2024</v>
      </c>
      <c r="B3148" s="30" t="s">
        <v>12</v>
      </c>
      <c r="C3148" s="30" t="s">
        <v>46</v>
      </c>
      <c r="D3148" s="30" t="s">
        <v>47</v>
      </c>
      <c r="E3148" s="32" t="s">
        <v>111</v>
      </c>
      <c r="F3148" s="32" t="s">
        <v>60</v>
      </c>
      <c r="G3148" s="32" t="s">
        <v>50</v>
      </c>
      <c r="H3148" s="33">
        <v>68830</v>
      </c>
      <c r="I3148" s="34">
        <f>Table3[[#This Row],[Volume, kg.]]/1000</f>
        <v>68.83</v>
      </c>
      <c r="J3148" s="34">
        <v>0.21739999999999998</v>
      </c>
      <c r="K3148" s="34">
        <f t="shared" si="98"/>
        <v>14963.641999999998</v>
      </c>
      <c r="L3148" s="34">
        <v>2.69</v>
      </c>
      <c r="M3148" s="34">
        <v>184931</v>
      </c>
      <c r="N3148" s="34">
        <f t="shared" si="99"/>
        <v>12.373505059797608</v>
      </c>
    </row>
    <row r="3149" spans="1:14" x14ac:dyDescent="0.45">
      <c r="A3149" s="30">
        <v>2024</v>
      </c>
      <c r="B3149" s="30" t="s">
        <v>12</v>
      </c>
      <c r="C3149" s="30" t="s">
        <v>46</v>
      </c>
      <c r="D3149" s="30" t="s">
        <v>47</v>
      </c>
      <c r="E3149" s="32" t="s">
        <v>388</v>
      </c>
      <c r="F3149" s="32" t="s">
        <v>134</v>
      </c>
      <c r="G3149" s="32" t="s">
        <v>50</v>
      </c>
      <c r="H3149" s="33">
        <v>74360</v>
      </c>
      <c r="I3149" s="34">
        <f>Table3[[#This Row],[Volume, kg.]]/1000</f>
        <v>74.36</v>
      </c>
      <c r="J3149" s="34">
        <v>0.18710000000000002</v>
      </c>
      <c r="K3149" s="34">
        <f t="shared" si="98"/>
        <v>13912.756000000001</v>
      </c>
      <c r="L3149" s="34">
        <v>2.75</v>
      </c>
      <c r="M3149" s="34">
        <v>204124.5</v>
      </c>
      <c r="N3149" s="34">
        <f t="shared" si="99"/>
        <v>14.698022447888828</v>
      </c>
    </row>
    <row r="3150" spans="1:14" x14ac:dyDescent="0.45">
      <c r="A3150" s="30">
        <v>2024</v>
      </c>
      <c r="B3150" s="30" t="s">
        <v>12</v>
      </c>
      <c r="C3150" s="30" t="s">
        <v>46</v>
      </c>
      <c r="D3150" s="30" t="s">
        <v>47</v>
      </c>
      <c r="E3150" s="32" t="s">
        <v>313</v>
      </c>
      <c r="F3150" s="32" t="s">
        <v>60</v>
      </c>
      <c r="G3150" s="32" t="s">
        <v>50</v>
      </c>
      <c r="H3150" s="33">
        <v>50520</v>
      </c>
      <c r="I3150" s="34">
        <f>Table3[[#This Row],[Volume, kg.]]/1000</f>
        <v>50.52</v>
      </c>
      <c r="J3150" s="34">
        <v>0.19719999999999999</v>
      </c>
      <c r="K3150" s="34">
        <f t="shared" si="98"/>
        <v>9962.5439999999999</v>
      </c>
      <c r="L3150" s="34">
        <v>2.7</v>
      </c>
      <c r="M3150" s="34">
        <v>136547.5</v>
      </c>
      <c r="N3150" s="34">
        <f t="shared" si="99"/>
        <v>13.691683569979718</v>
      </c>
    </row>
    <row r="3151" spans="1:14" x14ac:dyDescent="0.45">
      <c r="A3151" s="30">
        <v>2024</v>
      </c>
      <c r="B3151" s="30" t="s">
        <v>12</v>
      </c>
      <c r="C3151" s="30" t="s">
        <v>46</v>
      </c>
      <c r="D3151" s="30" t="s">
        <v>47</v>
      </c>
      <c r="E3151" s="32" t="s">
        <v>288</v>
      </c>
      <c r="F3151" s="32" t="s">
        <v>49</v>
      </c>
      <c r="G3151" s="32" t="s">
        <v>50</v>
      </c>
      <c r="H3151" s="33">
        <v>79260</v>
      </c>
      <c r="I3151" s="34">
        <f>Table3[[#This Row],[Volume, kg.]]/1000</f>
        <v>79.260000000000005</v>
      </c>
      <c r="J3151" s="34">
        <v>0.19519999999999998</v>
      </c>
      <c r="K3151" s="34">
        <f t="shared" si="98"/>
        <v>15471.552</v>
      </c>
      <c r="L3151" s="34">
        <v>2.52</v>
      </c>
      <c r="M3151" s="34">
        <v>199340</v>
      </c>
      <c r="N3151" s="34">
        <f t="shared" si="99"/>
        <v>12.909836065573771</v>
      </c>
    </row>
    <row r="3152" spans="1:14" x14ac:dyDescent="0.45">
      <c r="A3152" s="30">
        <v>2024</v>
      </c>
      <c r="B3152" s="30" t="s">
        <v>12</v>
      </c>
      <c r="C3152" s="30" t="s">
        <v>46</v>
      </c>
      <c r="D3152" s="30" t="s">
        <v>47</v>
      </c>
      <c r="E3152" s="32" t="s">
        <v>70</v>
      </c>
      <c r="F3152" s="32" t="s">
        <v>49</v>
      </c>
      <c r="G3152" s="32" t="s">
        <v>50</v>
      </c>
      <c r="H3152" s="33">
        <v>371700</v>
      </c>
      <c r="I3152" s="34">
        <f>Table3[[#This Row],[Volume, kg.]]/1000</f>
        <v>371.7</v>
      </c>
      <c r="J3152" s="34">
        <v>0.2024</v>
      </c>
      <c r="K3152" s="34">
        <f t="shared" si="98"/>
        <v>75232.08</v>
      </c>
      <c r="L3152" s="34">
        <v>2.58</v>
      </c>
      <c r="M3152" s="34">
        <v>959109.5</v>
      </c>
      <c r="N3152" s="34">
        <f t="shared" si="99"/>
        <v>12.747035573122529</v>
      </c>
    </row>
    <row r="3153" spans="1:14" x14ac:dyDescent="0.45">
      <c r="A3153" s="30">
        <v>2024</v>
      </c>
      <c r="B3153" s="30" t="s">
        <v>12</v>
      </c>
      <c r="C3153" s="30" t="s">
        <v>46</v>
      </c>
      <c r="D3153" s="30" t="s">
        <v>47</v>
      </c>
      <c r="E3153" s="32" t="s">
        <v>265</v>
      </c>
      <c r="F3153" s="32" t="s">
        <v>49</v>
      </c>
      <c r="G3153" s="32" t="s">
        <v>50</v>
      </c>
      <c r="H3153" s="33">
        <v>8700</v>
      </c>
      <c r="I3153" s="34">
        <f>Table3[[#This Row],[Volume, kg.]]/1000</f>
        <v>8.6999999999999993</v>
      </c>
      <c r="J3153" s="34">
        <v>0.1885</v>
      </c>
      <c r="K3153" s="34">
        <f t="shared" si="98"/>
        <v>1639.95</v>
      </c>
      <c r="L3153" s="34">
        <v>2.6</v>
      </c>
      <c r="M3153" s="34">
        <v>22620</v>
      </c>
      <c r="N3153" s="34">
        <f t="shared" si="99"/>
        <v>13.793103448275863</v>
      </c>
    </row>
    <row r="3154" spans="1:14" x14ac:dyDescent="0.45">
      <c r="A3154" s="30">
        <v>2024</v>
      </c>
      <c r="B3154" s="30" t="s">
        <v>12</v>
      </c>
      <c r="C3154" s="30" t="s">
        <v>46</v>
      </c>
      <c r="D3154" s="30" t="s">
        <v>47</v>
      </c>
      <c r="E3154" s="32" t="s">
        <v>192</v>
      </c>
      <c r="F3154" s="32" t="s">
        <v>49</v>
      </c>
      <c r="G3154" s="32" t="s">
        <v>50</v>
      </c>
      <c r="H3154" s="33">
        <v>14490</v>
      </c>
      <c r="I3154" s="34">
        <f>Table3[[#This Row],[Volume, kg.]]/1000</f>
        <v>14.49</v>
      </c>
      <c r="J3154" s="34">
        <v>0.16399999999999998</v>
      </c>
      <c r="K3154" s="34">
        <f t="shared" si="98"/>
        <v>2376.3599999999997</v>
      </c>
      <c r="L3154" s="34">
        <v>2.3199999999999998</v>
      </c>
      <c r="M3154" s="34">
        <v>33562</v>
      </c>
      <c r="N3154" s="34">
        <f t="shared" si="99"/>
        <v>14.146341463414634</v>
      </c>
    </row>
    <row r="3155" spans="1:14" x14ac:dyDescent="0.45">
      <c r="A3155" s="30">
        <v>2024</v>
      </c>
      <c r="B3155" s="30" t="s">
        <v>12</v>
      </c>
      <c r="C3155" s="30" t="s">
        <v>46</v>
      </c>
      <c r="D3155" s="30" t="s">
        <v>47</v>
      </c>
      <c r="E3155" s="32" t="s">
        <v>277</v>
      </c>
      <c r="F3155" s="32" t="s">
        <v>60</v>
      </c>
      <c r="G3155" s="32" t="s">
        <v>50</v>
      </c>
      <c r="H3155" s="33">
        <v>33880</v>
      </c>
      <c r="I3155" s="34">
        <f>Table3[[#This Row],[Volume, kg.]]/1000</f>
        <v>33.880000000000003</v>
      </c>
      <c r="J3155" s="34">
        <v>0.20230000000000001</v>
      </c>
      <c r="K3155" s="34">
        <f t="shared" si="98"/>
        <v>6853.924</v>
      </c>
      <c r="L3155" s="34">
        <v>2.8</v>
      </c>
      <c r="M3155" s="34">
        <v>94997.5</v>
      </c>
      <c r="N3155" s="34">
        <f t="shared" si="99"/>
        <v>13.840830449826989</v>
      </c>
    </row>
    <row r="3156" spans="1:14" x14ac:dyDescent="0.45">
      <c r="A3156" s="30">
        <v>2024</v>
      </c>
      <c r="B3156" s="30" t="s">
        <v>12</v>
      </c>
      <c r="C3156" s="30" t="s">
        <v>46</v>
      </c>
      <c r="D3156" s="30" t="s">
        <v>47</v>
      </c>
      <c r="E3156" s="32" t="s">
        <v>74</v>
      </c>
      <c r="F3156" s="32" t="s">
        <v>49</v>
      </c>
      <c r="G3156" s="32" t="s">
        <v>50</v>
      </c>
      <c r="H3156" s="33">
        <v>29720</v>
      </c>
      <c r="I3156" s="34">
        <f>Table3[[#This Row],[Volume, kg.]]/1000</f>
        <v>29.72</v>
      </c>
      <c r="J3156" s="34">
        <v>0.15689999999999998</v>
      </c>
      <c r="K3156" s="34">
        <f t="shared" si="98"/>
        <v>4663.0679999999993</v>
      </c>
      <c r="L3156" s="34">
        <v>2.4700000000000002</v>
      </c>
      <c r="M3156" s="34">
        <v>73529.5</v>
      </c>
      <c r="N3156" s="34">
        <f t="shared" si="99"/>
        <v>15.742511153601022</v>
      </c>
    </row>
    <row r="3157" spans="1:14" x14ac:dyDescent="0.45">
      <c r="A3157" s="30">
        <v>2024</v>
      </c>
      <c r="B3157" s="30" t="s">
        <v>12</v>
      </c>
      <c r="C3157" s="30" t="s">
        <v>46</v>
      </c>
      <c r="D3157" s="30" t="s">
        <v>47</v>
      </c>
      <c r="E3157" s="32" t="s">
        <v>125</v>
      </c>
      <c r="F3157" s="32" t="s">
        <v>60</v>
      </c>
      <c r="G3157" s="32" t="s">
        <v>50</v>
      </c>
      <c r="H3157" s="33">
        <v>12610</v>
      </c>
      <c r="I3157" s="34">
        <f>Table3[[#This Row],[Volume, kg.]]/1000</f>
        <v>12.61</v>
      </c>
      <c r="J3157" s="34">
        <v>0.17469999999999999</v>
      </c>
      <c r="K3157" s="34">
        <f t="shared" si="98"/>
        <v>2202.9670000000001</v>
      </c>
      <c r="L3157" s="34">
        <v>2.46</v>
      </c>
      <c r="M3157" s="34">
        <v>31027.5</v>
      </c>
      <c r="N3157" s="34">
        <f t="shared" si="99"/>
        <v>14.081282198053806</v>
      </c>
    </row>
    <row r="3158" spans="1:14" x14ac:dyDescent="0.45">
      <c r="A3158" s="30">
        <v>2024</v>
      </c>
      <c r="B3158" s="30" t="s">
        <v>12</v>
      </c>
      <c r="C3158" s="30" t="s">
        <v>46</v>
      </c>
      <c r="D3158" s="30" t="s">
        <v>47</v>
      </c>
      <c r="E3158" s="32" t="s">
        <v>144</v>
      </c>
      <c r="F3158" s="32" t="s">
        <v>49</v>
      </c>
      <c r="G3158" s="32" t="s">
        <v>50</v>
      </c>
      <c r="H3158" s="33">
        <v>85740</v>
      </c>
      <c r="I3158" s="34">
        <f>Table3[[#This Row],[Volume, kg.]]/1000</f>
        <v>85.74</v>
      </c>
      <c r="J3158" s="34">
        <v>0.1938</v>
      </c>
      <c r="K3158" s="34">
        <f t="shared" si="98"/>
        <v>16616.412</v>
      </c>
      <c r="L3158" s="34">
        <v>2.57</v>
      </c>
      <c r="M3158" s="34">
        <v>220429</v>
      </c>
      <c r="N3158" s="34">
        <f t="shared" si="99"/>
        <v>13.261093911248709</v>
      </c>
    </row>
    <row r="3159" spans="1:14" x14ac:dyDescent="0.45">
      <c r="A3159" s="30">
        <v>2024</v>
      </c>
      <c r="B3159" s="30" t="s">
        <v>12</v>
      </c>
      <c r="C3159" s="30" t="s">
        <v>46</v>
      </c>
      <c r="D3159" s="30" t="s">
        <v>47</v>
      </c>
      <c r="E3159" s="32" t="s">
        <v>76</v>
      </c>
      <c r="F3159" s="32" t="s">
        <v>60</v>
      </c>
      <c r="G3159" s="32" t="s">
        <v>50</v>
      </c>
      <c r="H3159" s="33">
        <v>5920</v>
      </c>
      <c r="I3159" s="34">
        <f>Table3[[#This Row],[Volume, kg.]]/1000</f>
        <v>5.92</v>
      </c>
      <c r="J3159" s="34">
        <v>0.1895</v>
      </c>
      <c r="K3159" s="34">
        <f t="shared" si="98"/>
        <v>1121.8399999999999</v>
      </c>
      <c r="L3159" s="34">
        <v>2.4500000000000002</v>
      </c>
      <c r="M3159" s="34">
        <v>14504</v>
      </c>
      <c r="N3159" s="34">
        <f t="shared" si="99"/>
        <v>12.928759894459104</v>
      </c>
    </row>
    <row r="3160" spans="1:14" x14ac:dyDescent="0.45">
      <c r="A3160" s="30">
        <v>2024</v>
      </c>
      <c r="B3160" s="30" t="s">
        <v>12</v>
      </c>
      <c r="C3160" s="30" t="s">
        <v>46</v>
      </c>
      <c r="D3160" s="30" t="s">
        <v>47</v>
      </c>
      <c r="E3160" s="32" t="s">
        <v>100</v>
      </c>
      <c r="F3160" s="32" t="s">
        <v>60</v>
      </c>
      <c r="G3160" s="32" t="s">
        <v>50</v>
      </c>
      <c r="H3160" s="33">
        <v>35840</v>
      </c>
      <c r="I3160" s="34">
        <f>Table3[[#This Row],[Volume, kg.]]/1000</f>
        <v>35.840000000000003</v>
      </c>
      <c r="J3160" s="34">
        <v>0.19649999999999998</v>
      </c>
      <c r="K3160" s="34">
        <f t="shared" si="98"/>
        <v>7042.5599999999995</v>
      </c>
      <c r="L3160" s="34">
        <v>2.56</v>
      </c>
      <c r="M3160" s="34">
        <v>91643</v>
      </c>
      <c r="N3160" s="34">
        <f t="shared" si="99"/>
        <v>13.027989821882953</v>
      </c>
    </row>
    <row r="3161" spans="1:14" x14ac:dyDescent="0.45">
      <c r="A3161" s="30">
        <v>2024</v>
      </c>
      <c r="B3161" s="30" t="s">
        <v>12</v>
      </c>
      <c r="C3161" s="30" t="s">
        <v>46</v>
      </c>
      <c r="D3161" s="30" t="s">
        <v>47</v>
      </c>
      <c r="E3161" s="32" t="s">
        <v>469</v>
      </c>
      <c r="F3161" s="32" t="s">
        <v>57</v>
      </c>
      <c r="G3161" s="32" t="s">
        <v>50</v>
      </c>
      <c r="H3161" s="33">
        <v>6090</v>
      </c>
      <c r="I3161" s="34">
        <f>Table3[[#This Row],[Volume, kg.]]/1000</f>
        <v>6.09</v>
      </c>
      <c r="J3161" s="34">
        <v>0.1925</v>
      </c>
      <c r="K3161" s="34">
        <f t="shared" si="98"/>
        <v>1172.325</v>
      </c>
      <c r="L3161" s="34">
        <v>2.75</v>
      </c>
      <c r="M3161" s="34">
        <v>16733.5</v>
      </c>
      <c r="N3161" s="34">
        <f t="shared" si="99"/>
        <v>14.285714285714285</v>
      </c>
    </row>
    <row r="3162" spans="1:14" x14ac:dyDescent="0.45">
      <c r="A3162" s="30">
        <v>2024</v>
      </c>
      <c r="B3162" s="30" t="s">
        <v>12</v>
      </c>
      <c r="C3162" s="30" t="s">
        <v>46</v>
      </c>
      <c r="D3162" s="30" t="s">
        <v>47</v>
      </c>
      <c r="E3162" s="32" t="s">
        <v>579</v>
      </c>
      <c r="F3162" s="32" t="s">
        <v>49</v>
      </c>
      <c r="G3162" s="32" t="s">
        <v>50</v>
      </c>
      <c r="H3162" s="33">
        <v>18760</v>
      </c>
      <c r="I3162" s="34">
        <f>Table3[[#This Row],[Volume, kg.]]/1000</f>
        <v>18.760000000000002</v>
      </c>
      <c r="J3162" s="34">
        <v>0.15820000000000001</v>
      </c>
      <c r="K3162" s="34">
        <f t="shared" si="98"/>
        <v>2967.8320000000003</v>
      </c>
      <c r="L3162" s="34">
        <v>2.21</v>
      </c>
      <c r="M3162" s="34">
        <v>41404</v>
      </c>
      <c r="N3162" s="34">
        <f t="shared" si="99"/>
        <v>13.969658659924146</v>
      </c>
    </row>
    <row r="3163" spans="1:14" x14ac:dyDescent="0.45">
      <c r="A3163" s="30">
        <v>2024</v>
      </c>
      <c r="B3163" s="30" t="s">
        <v>12</v>
      </c>
      <c r="C3163" s="30" t="s">
        <v>46</v>
      </c>
      <c r="D3163" s="30" t="s">
        <v>47</v>
      </c>
      <c r="E3163" s="32" t="s">
        <v>580</v>
      </c>
      <c r="F3163" s="32" t="s">
        <v>49</v>
      </c>
      <c r="G3163" s="32" t="s">
        <v>50</v>
      </c>
      <c r="H3163" s="33">
        <v>7140</v>
      </c>
      <c r="I3163" s="34">
        <f>Table3[[#This Row],[Volume, kg.]]/1000</f>
        <v>7.14</v>
      </c>
      <c r="J3163" s="34">
        <v>0.18260000000000001</v>
      </c>
      <c r="K3163" s="34">
        <f t="shared" si="98"/>
        <v>1303.7640000000001</v>
      </c>
      <c r="L3163" s="34">
        <v>2.5499999999999998</v>
      </c>
      <c r="M3163" s="34">
        <v>18186</v>
      </c>
      <c r="N3163" s="34">
        <f t="shared" si="99"/>
        <v>13.964950711938663</v>
      </c>
    </row>
    <row r="3164" spans="1:14" x14ac:dyDescent="0.45">
      <c r="A3164" s="30">
        <v>2024</v>
      </c>
      <c r="B3164" s="30" t="s">
        <v>12</v>
      </c>
      <c r="C3164" s="30" t="s">
        <v>46</v>
      </c>
      <c r="D3164" s="30" t="s">
        <v>47</v>
      </c>
      <c r="E3164" s="32" t="s">
        <v>502</v>
      </c>
      <c r="F3164" s="32" t="s">
        <v>49</v>
      </c>
      <c r="G3164" s="32" t="s">
        <v>50</v>
      </c>
      <c r="H3164" s="33">
        <v>2350</v>
      </c>
      <c r="I3164" s="34">
        <f>Table3[[#This Row],[Volume, kg.]]/1000</f>
        <v>2.35</v>
      </c>
      <c r="J3164" s="34">
        <v>0.1575</v>
      </c>
      <c r="K3164" s="34">
        <f t="shared" si="98"/>
        <v>370.125</v>
      </c>
      <c r="L3164" s="34">
        <v>2.2999999999999998</v>
      </c>
      <c r="M3164" s="34">
        <v>5405</v>
      </c>
      <c r="N3164" s="34">
        <f t="shared" si="99"/>
        <v>14.603174603174603</v>
      </c>
    </row>
    <row r="3165" spans="1:14" x14ac:dyDescent="0.45">
      <c r="A3165" s="30">
        <v>2024</v>
      </c>
      <c r="B3165" s="30" t="s">
        <v>12</v>
      </c>
      <c r="C3165" s="30" t="s">
        <v>46</v>
      </c>
      <c r="D3165" s="30" t="s">
        <v>47</v>
      </c>
      <c r="E3165" s="32" t="s">
        <v>122</v>
      </c>
      <c r="F3165" s="32" t="s">
        <v>49</v>
      </c>
      <c r="G3165" s="32" t="s">
        <v>50</v>
      </c>
      <c r="H3165" s="33">
        <v>13620</v>
      </c>
      <c r="I3165" s="34">
        <f>Table3[[#This Row],[Volume, kg.]]/1000</f>
        <v>13.62</v>
      </c>
      <c r="J3165" s="34">
        <v>0.16600000000000001</v>
      </c>
      <c r="K3165" s="34">
        <f t="shared" si="98"/>
        <v>2260.92</v>
      </c>
      <c r="L3165" s="34">
        <v>2.19</v>
      </c>
      <c r="M3165" s="34">
        <v>29850</v>
      </c>
      <c r="N3165" s="34">
        <f t="shared" si="99"/>
        <v>13.192771084337348</v>
      </c>
    </row>
    <row r="3166" spans="1:14" x14ac:dyDescent="0.45">
      <c r="A3166" s="30">
        <v>2024</v>
      </c>
      <c r="B3166" s="30" t="s">
        <v>12</v>
      </c>
      <c r="C3166" s="30" t="s">
        <v>46</v>
      </c>
      <c r="D3166" s="30" t="s">
        <v>47</v>
      </c>
      <c r="E3166" s="32" t="s">
        <v>210</v>
      </c>
      <c r="F3166" s="32" t="s">
        <v>60</v>
      </c>
      <c r="G3166" s="32" t="s">
        <v>50</v>
      </c>
      <c r="H3166" s="33">
        <v>12420</v>
      </c>
      <c r="I3166" s="34">
        <f>Table3[[#This Row],[Volume, kg.]]/1000</f>
        <v>12.42</v>
      </c>
      <c r="J3166" s="34">
        <v>0.16769999999999999</v>
      </c>
      <c r="K3166" s="34">
        <f t="shared" si="98"/>
        <v>2082.8339999999998</v>
      </c>
      <c r="L3166" s="34">
        <v>2.5</v>
      </c>
      <c r="M3166" s="34">
        <v>31050</v>
      </c>
      <c r="N3166" s="34">
        <f t="shared" si="99"/>
        <v>14.907573047107931</v>
      </c>
    </row>
    <row r="3167" spans="1:14" x14ac:dyDescent="0.45">
      <c r="A3167" s="30">
        <v>2024</v>
      </c>
      <c r="B3167" s="30" t="s">
        <v>12</v>
      </c>
      <c r="C3167" s="30" t="s">
        <v>46</v>
      </c>
      <c r="D3167" s="30" t="s">
        <v>47</v>
      </c>
      <c r="E3167" s="32" t="s">
        <v>253</v>
      </c>
      <c r="F3167" s="32" t="s">
        <v>57</v>
      </c>
      <c r="G3167" s="32" t="s">
        <v>50</v>
      </c>
      <c r="H3167" s="33">
        <v>13250</v>
      </c>
      <c r="I3167" s="34">
        <f>Table3[[#This Row],[Volume, kg.]]/1000</f>
        <v>13.25</v>
      </c>
      <c r="J3167" s="34">
        <v>0.1787</v>
      </c>
      <c r="K3167" s="34">
        <f t="shared" si="98"/>
        <v>2367.7750000000001</v>
      </c>
      <c r="L3167" s="34">
        <v>2.58</v>
      </c>
      <c r="M3167" s="34">
        <v>34250</v>
      </c>
      <c r="N3167" s="34">
        <f t="shared" si="99"/>
        <v>14.437604924454394</v>
      </c>
    </row>
    <row r="3168" spans="1:14" x14ac:dyDescent="0.45">
      <c r="A3168" s="30">
        <v>2024</v>
      </c>
      <c r="B3168" s="30" t="s">
        <v>12</v>
      </c>
      <c r="C3168" s="30" t="s">
        <v>46</v>
      </c>
      <c r="D3168" s="30" t="s">
        <v>47</v>
      </c>
      <c r="E3168" s="32" t="s">
        <v>171</v>
      </c>
      <c r="F3168" s="32" t="s">
        <v>49</v>
      </c>
      <c r="G3168" s="32" t="s">
        <v>50</v>
      </c>
      <c r="H3168" s="33">
        <v>5290</v>
      </c>
      <c r="I3168" s="34">
        <f>Table3[[#This Row],[Volume, kg.]]/1000</f>
        <v>5.29</v>
      </c>
      <c r="J3168" s="34">
        <v>0.14499999999999999</v>
      </c>
      <c r="K3168" s="34">
        <f t="shared" si="98"/>
        <v>767.05</v>
      </c>
      <c r="L3168" s="34">
        <v>2.15</v>
      </c>
      <c r="M3168" s="34">
        <v>11373.5</v>
      </c>
      <c r="N3168" s="34">
        <f t="shared" si="99"/>
        <v>14.827586206896552</v>
      </c>
    </row>
    <row r="3169" spans="1:14" x14ac:dyDescent="0.45">
      <c r="A3169" s="30">
        <v>2024</v>
      </c>
      <c r="B3169" s="30" t="s">
        <v>12</v>
      </c>
      <c r="C3169" s="30" t="s">
        <v>46</v>
      </c>
      <c r="D3169" s="30" t="s">
        <v>47</v>
      </c>
      <c r="E3169" s="32" t="s">
        <v>445</v>
      </c>
      <c r="F3169" s="32" t="s">
        <v>49</v>
      </c>
      <c r="G3169" s="32" t="s">
        <v>50</v>
      </c>
      <c r="H3169" s="33">
        <v>23610</v>
      </c>
      <c r="I3169" s="34">
        <f>Table3[[#This Row],[Volume, kg.]]/1000</f>
        <v>23.61</v>
      </c>
      <c r="J3169" s="34">
        <v>0.15740000000000001</v>
      </c>
      <c r="K3169" s="34">
        <f t="shared" si="98"/>
        <v>3716.2140000000004</v>
      </c>
      <c r="L3169" s="34">
        <v>2.1800000000000002</v>
      </c>
      <c r="M3169" s="34">
        <v>51444</v>
      </c>
      <c r="N3169" s="34">
        <f t="shared" si="99"/>
        <v>13.850063532401524</v>
      </c>
    </row>
    <row r="3170" spans="1:14" x14ac:dyDescent="0.45">
      <c r="A3170" s="30">
        <v>2024</v>
      </c>
      <c r="B3170" s="30" t="s">
        <v>12</v>
      </c>
      <c r="C3170" s="30" t="s">
        <v>46</v>
      </c>
      <c r="D3170" s="30" t="s">
        <v>47</v>
      </c>
      <c r="E3170" s="32" t="s">
        <v>90</v>
      </c>
      <c r="F3170" s="32" t="s">
        <v>49</v>
      </c>
      <c r="G3170" s="32" t="s">
        <v>50</v>
      </c>
      <c r="H3170" s="33">
        <v>32970</v>
      </c>
      <c r="I3170" s="34">
        <f>Table3[[#This Row],[Volume, kg.]]/1000</f>
        <v>32.97</v>
      </c>
      <c r="J3170" s="34">
        <v>0.18719999999999998</v>
      </c>
      <c r="K3170" s="34">
        <f t="shared" si="98"/>
        <v>6171.9839999999995</v>
      </c>
      <c r="L3170" s="34">
        <v>2.6</v>
      </c>
      <c r="M3170" s="34">
        <v>85591.5</v>
      </c>
      <c r="N3170" s="34">
        <f t="shared" si="99"/>
        <v>13.888888888888891</v>
      </c>
    </row>
    <row r="3171" spans="1:14" x14ac:dyDescent="0.45">
      <c r="A3171" s="30">
        <v>2024</v>
      </c>
      <c r="B3171" s="30" t="s">
        <v>12</v>
      </c>
      <c r="C3171" s="30" t="s">
        <v>46</v>
      </c>
      <c r="D3171" s="30" t="s">
        <v>47</v>
      </c>
      <c r="E3171" s="32" t="s">
        <v>275</v>
      </c>
      <c r="F3171" s="32" t="s">
        <v>54</v>
      </c>
      <c r="G3171" s="32" t="s">
        <v>50</v>
      </c>
      <c r="H3171" s="33">
        <v>81150</v>
      </c>
      <c r="I3171" s="34">
        <f>Table3[[#This Row],[Volume, kg.]]/1000</f>
        <v>81.150000000000006</v>
      </c>
      <c r="J3171" s="34">
        <v>0.19420000000000001</v>
      </c>
      <c r="K3171" s="34">
        <f t="shared" si="98"/>
        <v>15759.330000000002</v>
      </c>
      <c r="L3171" s="34">
        <v>2.61</v>
      </c>
      <c r="M3171" s="34">
        <v>211945</v>
      </c>
      <c r="N3171" s="34">
        <f t="shared" si="99"/>
        <v>13.439752832131822</v>
      </c>
    </row>
    <row r="3172" spans="1:14" x14ac:dyDescent="0.45">
      <c r="A3172" s="30">
        <v>2024</v>
      </c>
      <c r="B3172" s="30" t="s">
        <v>12</v>
      </c>
      <c r="C3172" s="30" t="s">
        <v>46</v>
      </c>
      <c r="D3172" s="30" t="s">
        <v>47</v>
      </c>
      <c r="E3172" s="32" t="s">
        <v>88</v>
      </c>
      <c r="F3172" s="32" t="s">
        <v>49</v>
      </c>
      <c r="G3172" s="32" t="s">
        <v>50</v>
      </c>
      <c r="H3172" s="33">
        <v>92360</v>
      </c>
      <c r="I3172" s="34">
        <f>Table3[[#This Row],[Volume, kg.]]/1000</f>
        <v>92.36</v>
      </c>
      <c r="J3172" s="34">
        <v>0.1875</v>
      </c>
      <c r="K3172" s="34">
        <f t="shared" si="98"/>
        <v>17317.5</v>
      </c>
      <c r="L3172" s="34">
        <v>2.52</v>
      </c>
      <c r="M3172" s="34">
        <v>232484.5</v>
      </c>
      <c r="N3172" s="34">
        <f t="shared" si="99"/>
        <v>13.44</v>
      </c>
    </row>
    <row r="3173" spans="1:14" x14ac:dyDescent="0.45">
      <c r="A3173" s="30">
        <v>2024</v>
      </c>
      <c r="B3173" s="30" t="s">
        <v>12</v>
      </c>
      <c r="C3173" s="30" t="s">
        <v>46</v>
      </c>
      <c r="D3173" s="30" t="s">
        <v>47</v>
      </c>
      <c r="E3173" s="32" t="s">
        <v>311</v>
      </c>
      <c r="F3173" s="32" t="s">
        <v>57</v>
      </c>
      <c r="G3173" s="32" t="s">
        <v>50</v>
      </c>
      <c r="H3173" s="33">
        <v>5520</v>
      </c>
      <c r="I3173" s="34">
        <f>Table3[[#This Row],[Volume, kg.]]/1000</f>
        <v>5.52</v>
      </c>
      <c r="J3173" s="34">
        <v>0.18049999999999999</v>
      </c>
      <c r="K3173" s="34">
        <f t="shared" si="98"/>
        <v>996.36</v>
      </c>
      <c r="L3173" s="34">
        <v>2.4</v>
      </c>
      <c r="M3173" s="34">
        <v>13248</v>
      </c>
      <c r="N3173" s="34">
        <f t="shared" si="99"/>
        <v>13.296398891966758</v>
      </c>
    </row>
    <row r="3174" spans="1:14" x14ac:dyDescent="0.45">
      <c r="A3174" s="30">
        <v>2024</v>
      </c>
      <c r="B3174" s="30" t="s">
        <v>12</v>
      </c>
      <c r="C3174" s="30" t="s">
        <v>46</v>
      </c>
      <c r="D3174" s="30" t="s">
        <v>47</v>
      </c>
      <c r="E3174" s="32" t="s">
        <v>361</v>
      </c>
      <c r="F3174" s="32" t="s">
        <v>57</v>
      </c>
      <c r="G3174" s="32" t="s">
        <v>50</v>
      </c>
      <c r="H3174" s="33">
        <v>39210</v>
      </c>
      <c r="I3174" s="34">
        <f>Table3[[#This Row],[Volume, kg.]]/1000</f>
        <v>39.21</v>
      </c>
      <c r="J3174" s="34">
        <v>0.17920000000000003</v>
      </c>
      <c r="K3174" s="34">
        <f t="shared" si="98"/>
        <v>7026.4320000000007</v>
      </c>
      <c r="L3174" s="34">
        <v>2.4</v>
      </c>
      <c r="M3174" s="34">
        <v>93999.5</v>
      </c>
      <c r="N3174" s="34">
        <f t="shared" si="99"/>
        <v>13.392857142857141</v>
      </c>
    </row>
    <row r="3175" spans="1:14" x14ac:dyDescent="0.45">
      <c r="A3175" s="30">
        <v>2024</v>
      </c>
      <c r="B3175" s="30" t="s">
        <v>12</v>
      </c>
      <c r="C3175" s="30" t="s">
        <v>46</v>
      </c>
      <c r="D3175" s="30" t="s">
        <v>47</v>
      </c>
      <c r="E3175" s="32" t="s">
        <v>356</v>
      </c>
      <c r="F3175" s="32" t="s">
        <v>49</v>
      </c>
      <c r="G3175" s="32" t="s">
        <v>50</v>
      </c>
      <c r="H3175" s="33">
        <v>3050</v>
      </c>
      <c r="I3175" s="34">
        <f>Table3[[#This Row],[Volume, kg.]]/1000</f>
        <v>3.05</v>
      </c>
      <c r="J3175" s="34">
        <v>0.17850000000000002</v>
      </c>
      <c r="K3175" s="34">
        <f t="shared" si="98"/>
        <v>544.42500000000007</v>
      </c>
      <c r="L3175" s="34">
        <v>2.4</v>
      </c>
      <c r="M3175" s="34">
        <v>7320</v>
      </c>
      <c r="N3175" s="34">
        <f t="shared" si="99"/>
        <v>13.445378151260503</v>
      </c>
    </row>
    <row r="3176" spans="1:14" x14ac:dyDescent="0.45">
      <c r="A3176" s="30">
        <v>2024</v>
      </c>
      <c r="B3176" s="30" t="s">
        <v>12</v>
      </c>
      <c r="C3176" s="30" t="s">
        <v>46</v>
      </c>
      <c r="D3176" s="30" t="s">
        <v>47</v>
      </c>
      <c r="E3176" s="32" t="s">
        <v>637</v>
      </c>
      <c r="F3176" s="32" t="s">
        <v>60</v>
      </c>
      <c r="G3176" s="32" t="s">
        <v>50</v>
      </c>
      <c r="H3176" s="33">
        <v>7670</v>
      </c>
      <c r="I3176" s="34">
        <f>Table3[[#This Row],[Volume, kg.]]/1000</f>
        <v>7.67</v>
      </c>
      <c r="J3176" s="34">
        <v>0.14699999999999999</v>
      </c>
      <c r="K3176" s="34">
        <f t="shared" si="98"/>
        <v>1127.49</v>
      </c>
      <c r="L3176" s="34">
        <v>2.25</v>
      </c>
      <c r="M3176" s="34">
        <v>17257.5</v>
      </c>
      <c r="N3176" s="34">
        <f t="shared" si="99"/>
        <v>15.306122448979593</v>
      </c>
    </row>
    <row r="3177" spans="1:14" x14ac:dyDescent="0.45">
      <c r="A3177" s="30">
        <v>2024</v>
      </c>
      <c r="B3177" s="30" t="s">
        <v>12</v>
      </c>
      <c r="C3177" s="30" t="s">
        <v>46</v>
      </c>
      <c r="D3177" s="30" t="s">
        <v>47</v>
      </c>
      <c r="E3177" s="32" t="s">
        <v>573</v>
      </c>
      <c r="F3177" s="32" t="s">
        <v>49</v>
      </c>
      <c r="G3177" s="32" t="s">
        <v>50</v>
      </c>
      <c r="H3177" s="33">
        <v>11200</v>
      </c>
      <c r="I3177" s="34">
        <f>Table3[[#This Row],[Volume, kg.]]/1000</f>
        <v>11.2</v>
      </c>
      <c r="J3177" s="34">
        <v>0.1643</v>
      </c>
      <c r="K3177" s="34">
        <f t="shared" si="98"/>
        <v>1840.16</v>
      </c>
      <c r="L3177" s="34">
        <v>2.33</v>
      </c>
      <c r="M3177" s="34">
        <v>26133</v>
      </c>
      <c r="N3177" s="34">
        <f t="shared" si="99"/>
        <v>14.181375532562386</v>
      </c>
    </row>
    <row r="3178" spans="1:14" x14ac:dyDescent="0.45">
      <c r="A3178" s="30">
        <v>2024</v>
      </c>
      <c r="B3178" s="30" t="s">
        <v>12</v>
      </c>
      <c r="C3178" s="30" t="s">
        <v>46</v>
      </c>
      <c r="D3178" s="30" t="s">
        <v>47</v>
      </c>
      <c r="E3178" s="32" t="s">
        <v>153</v>
      </c>
      <c r="F3178" s="32" t="s">
        <v>57</v>
      </c>
      <c r="G3178" s="32" t="s">
        <v>50</v>
      </c>
      <c r="H3178" s="33">
        <v>3760</v>
      </c>
      <c r="I3178" s="34">
        <f>Table3[[#This Row],[Volume, kg.]]/1000</f>
        <v>3.76</v>
      </c>
      <c r="J3178" s="34">
        <v>0.19450000000000001</v>
      </c>
      <c r="K3178" s="34">
        <f t="shared" si="98"/>
        <v>731.32</v>
      </c>
      <c r="L3178" s="34">
        <v>2.35</v>
      </c>
      <c r="M3178" s="34">
        <v>8836</v>
      </c>
      <c r="N3178" s="34">
        <f t="shared" si="99"/>
        <v>12.082262210796916</v>
      </c>
    </row>
    <row r="3179" spans="1:14" x14ac:dyDescent="0.45">
      <c r="A3179" s="30">
        <v>2024</v>
      </c>
      <c r="B3179" s="30" t="s">
        <v>12</v>
      </c>
      <c r="C3179" s="30" t="s">
        <v>46</v>
      </c>
      <c r="D3179" s="30" t="s">
        <v>47</v>
      </c>
      <c r="E3179" s="32" t="s">
        <v>346</v>
      </c>
      <c r="F3179" s="32" t="s">
        <v>49</v>
      </c>
      <c r="G3179" s="32" t="s">
        <v>50</v>
      </c>
      <c r="H3179" s="33">
        <v>86700</v>
      </c>
      <c r="I3179" s="34">
        <f>Table3[[#This Row],[Volume, kg.]]/1000</f>
        <v>86.7</v>
      </c>
      <c r="J3179" s="34">
        <v>0.23070000000000002</v>
      </c>
      <c r="K3179" s="34">
        <f t="shared" si="98"/>
        <v>20001.690000000002</v>
      </c>
      <c r="L3179" s="34">
        <v>2.89</v>
      </c>
      <c r="M3179" s="34">
        <v>250402.5</v>
      </c>
      <c r="N3179" s="34">
        <f t="shared" si="99"/>
        <v>12.527091460771565</v>
      </c>
    </row>
    <row r="3180" spans="1:14" x14ac:dyDescent="0.45">
      <c r="A3180" s="30">
        <v>2024</v>
      </c>
      <c r="B3180" s="30" t="s">
        <v>12</v>
      </c>
      <c r="C3180" s="30" t="s">
        <v>46</v>
      </c>
      <c r="D3180" s="30" t="s">
        <v>47</v>
      </c>
      <c r="E3180" s="32" t="s">
        <v>116</v>
      </c>
      <c r="F3180" s="32" t="s">
        <v>81</v>
      </c>
      <c r="G3180" s="32" t="s">
        <v>50</v>
      </c>
      <c r="H3180" s="33">
        <v>77530</v>
      </c>
      <c r="I3180" s="34">
        <f>Table3[[#This Row],[Volume, kg.]]/1000</f>
        <v>77.53</v>
      </c>
      <c r="J3180" s="34">
        <v>0.21109999999999998</v>
      </c>
      <c r="K3180" s="34">
        <f t="shared" si="98"/>
        <v>16366.582999999999</v>
      </c>
      <c r="L3180" s="34">
        <v>2.86</v>
      </c>
      <c r="M3180" s="34">
        <v>221554.5</v>
      </c>
      <c r="N3180" s="34">
        <f t="shared" si="99"/>
        <v>13.548081477972525</v>
      </c>
    </row>
    <row r="3181" spans="1:14" x14ac:dyDescent="0.45">
      <c r="A3181" s="30">
        <v>2024</v>
      </c>
      <c r="B3181" s="30" t="s">
        <v>12</v>
      </c>
      <c r="C3181" s="30" t="s">
        <v>46</v>
      </c>
      <c r="D3181" s="30" t="s">
        <v>47</v>
      </c>
      <c r="E3181" s="32" t="s">
        <v>186</v>
      </c>
      <c r="F3181" s="32" t="s">
        <v>64</v>
      </c>
      <c r="G3181" s="32" t="s">
        <v>50</v>
      </c>
      <c r="H3181" s="33">
        <v>41420</v>
      </c>
      <c r="I3181" s="34">
        <f>Table3[[#This Row],[Volume, kg.]]/1000</f>
        <v>41.42</v>
      </c>
      <c r="J3181" s="34">
        <v>0.17280000000000001</v>
      </c>
      <c r="K3181" s="34">
        <f t="shared" si="98"/>
        <v>7157.3760000000002</v>
      </c>
      <c r="L3181" s="34">
        <v>2.54</v>
      </c>
      <c r="M3181" s="34">
        <v>105008</v>
      </c>
      <c r="N3181" s="34">
        <f t="shared" si="99"/>
        <v>14.699074074074073</v>
      </c>
    </row>
    <row r="3182" spans="1:14" x14ac:dyDescent="0.45">
      <c r="A3182" s="30">
        <v>2024</v>
      </c>
      <c r="B3182" s="30" t="s">
        <v>12</v>
      </c>
      <c r="C3182" s="30" t="s">
        <v>46</v>
      </c>
      <c r="D3182" s="30" t="s">
        <v>47</v>
      </c>
      <c r="E3182" s="32" t="s">
        <v>394</v>
      </c>
      <c r="F3182" s="32" t="s">
        <v>64</v>
      </c>
      <c r="G3182" s="32" t="s">
        <v>50</v>
      </c>
      <c r="H3182" s="33">
        <v>76650</v>
      </c>
      <c r="I3182" s="34">
        <f>Table3[[#This Row],[Volume, kg.]]/1000</f>
        <v>76.650000000000006</v>
      </c>
      <c r="J3182" s="34">
        <v>0.17530000000000001</v>
      </c>
      <c r="K3182" s="34">
        <f t="shared" si="98"/>
        <v>13436.745000000001</v>
      </c>
      <c r="L3182" s="34">
        <v>2.5099999999999998</v>
      </c>
      <c r="M3182" s="34">
        <v>192696</v>
      </c>
      <c r="N3182" s="34">
        <f t="shared" si="99"/>
        <v>14.318311466058184</v>
      </c>
    </row>
    <row r="3183" spans="1:14" x14ac:dyDescent="0.45">
      <c r="A3183" s="30">
        <v>2024</v>
      </c>
      <c r="B3183" s="30" t="s">
        <v>12</v>
      </c>
      <c r="C3183" s="30" t="s">
        <v>46</v>
      </c>
      <c r="D3183" s="30" t="s">
        <v>47</v>
      </c>
      <c r="E3183" s="32" t="s">
        <v>225</v>
      </c>
      <c r="F3183" s="32" t="s">
        <v>64</v>
      </c>
      <c r="G3183" s="32" t="s">
        <v>50</v>
      </c>
      <c r="H3183" s="33">
        <v>170160</v>
      </c>
      <c r="I3183" s="34">
        <f>Table3[[#This Row],[Volume, kg.]]/1000</f>
        <v>170.16</v>
      </c>
      <c r="J3183" s="34">
        <v>0.17030000000000001</v>
      </c>
      <c r="K3183" s="34">
        <f t="shared" si="98"/>
        <v>28978.248</v>
      </c>
      <c r="L3183" s="34">
        <v>2.36</v>
      </c>
      <c r="M3183" s="34">
        <v>401550.5</v>
      </c>
      <c r="N3183" s="34">
        <f t="shared" si="99"/>
        <v>13.857897827363475</v>
      </c>
    </row>
    <row r="3184" spans="1:14" x14ac:dyDescent="0.45">
      <c r="A3184" s="30">
        <v>2024</v>
      </c>
      <c r="B3184" s="30" t="s">
        <v>12</v>
      </c>
      <c r="C3184" s="30" t="s">
        <v>46</v>
      </c>
      <c r="D3184" s="30" t="s">
        <v>47</v>
      </c>
      <c r="E3184" s="32" t="s">
        <v>581</v>
      </c>
      <c r="F3184" s="32" t="s">
        <v>64</v>
      </c>
      <c r="G3184" s="32" t="s">
        <v>50</v>
      </c>
      <c r="H3184" s="33">
        <v>3610</v>
      </c>
      <c r="I3184" s="34">
        <f>Table3[[#This Row],[Volume, kg.]]/1000</f>
        <v>3.61</v>
      </c>
      <c r="J3184" s="34">
        <v>0.1245</v>
      </c>
      <c r="K3184" s="34">
        <f t="shared" si="98"/>
        <v>449.44499999999999</v>
      </c>
      <c r="L3184" s="34">
        <v>2.15</v>
      </c>
      <c r="M3184" s="34">
        <v>7761.5</v>
      </c>
      <c r="N3184" s="34">
        <f t="shared" si="99"/>
        <v>17.269076305220882</v>
      </c>
    </row>
    <row r="3185" spans="1:14" x14ac:dyDescent="0.45">
      <c r="A3185" s="30">
        <v>2024</v>
      </c>
      <c r="B3185" s="30" t="s">
        <v>12</v>
      </c>
      <c r="C3185" s="30" t="s">
        <v>46</v>
      </c>
      <c r="D3185" s="30" t="s">
        <v>47</v>
      </c>
      <c r="E3185" s="32" t="s">
        <v>200</v>
      </c>
      <c r="F3185" s="32" t="s">
        <v>64</v>
      </c>
      <c r="G3185" s="32" t="s">
        <v>50</v>
      </c>
      <c r="H3185" s="33">
        <v>31130</v>
      </c>
      <c r="I3185" s="34">
        <f>Table3[[#This Row],[Volume, kg.]]/1000</f>
        <v>31.13</v>
      </c>
      <c r="J3185" s="34">
        <v>0.15789999999999998</v>
      </c>
      <c r="K3185" s="34">
        <f t="shared" si="98"/>
        <v>4915.4269999999997</v>
      </c>
      <c r="L3185" s="34">
        <v>2.41</v>
      </c>
      <c r="M3185" s="34">
        <v>74976</v>
      </c>
      <c r="N3185" s="34">
        <f t="shared" si="99"/>
        <v>15.262824572514251</v>
      </c>
    </row>
    <row r="3186" spans="1:14" x14ac:dyDescent="0.45">
      <c r="A3186" s="30">
        <v>2024</v>
      </c>
      <c r="B3186" s="30" t="s">
        <v>12</v>
      </c>
      <c r="C3186" s="30" t="s">
        <v>46</v>
      </c>
      <c r="D3186" s="30" t="s">
        <v>47</v>
      </c>
      <c r="E3186" s="32" t="s">
        <v>306</v>
      </c>
      <c r="F3186" s="32" t="s">
        <v>60</v>
      </c>
      <c r="G3186" s="32" t="s">
        <v>50</v>
      </c>
      <c r="H3186" s="33">
        <v>25510</v>
      </c>
      <c r="I3186" s="34">
        <f>Table3[[#This Row],[Volume, kg.]]/1000</f>
        <v>25.51</v>
      </c>
      <c r="J3186" s="34">
        <v>0.19510000000000002</v>
      </c>
      <c r="K3186" s="34">
        <f t="shared" si="98"/>
        <v>4977.0010000000002</v>
      </c>
      <c r="L3186" s="34">
        <v>2.71</v>
      </c>
      <c r="M3186" s="34">
        <v>69156.5</v>
      </c>
      <c r="N3186" s="34">
        <f t="shared" si="99"/>
        <v>13.890312660174267</v>
      </c>
    </row>
    <row r="3187" spans="1:14" x14ac:dyDescent="0.45">
      <c r="A3187" s="30">
        <v>2024</v>
      </c>
      <c r="B3187" s="30" t="s">
        <v>12</v>
      </c>
      <c r="C3187" s="30" t="s">
        <v>46</v>
      </c>
      <c r="D3187" s="30" t="s">
        <v>47</v>
      </c>
      <c r="E3187" s="32" t="s">
        <v>197</v>
      </c>
      <c r="F3187" s="32" t="s">
        <v>57</v>
      </c>
      <c r="G3187" s="32" t="s">
        <v>50</v>
      </c>
      <c r="H3187" s="33">
        <v>124330</v>
      </c>
      <c r="I3187" s="34">
        <f>Table3[[#This Row],[Volume, kg.]]/1000</f>
        <v>124.33</v>
      </c>
      <c r="J3187" s="34">
        <v>0.19409999999999999</v>
      </c>
      <c r="K3187" s="34">
        <f t="shared" si="98"/>
        <v>24132.452999999998</v>
      </c>
      <c r="L3187" s="34">
        <v>2.6</v>
      </c>
      <c r="M3187" s="34">
        <v>322950</v>
      </c>
      <c r="N3187" s="34">
        <f t="shared" si="99"/>
        <v>13.395157135497167</v>
      </c>
    </row>
    <row r="3188" spans="1:14" x14ac:dyDescent="0.45">
      <c r="A3188" s="30">
        <v>2024</v>
      </c>
      <c r="B3188" s="30" t="s">
        <v>12</v>
      </c>
      <c r="C3188" s="30" t="s">
        <v>46</v>
      </c>
      <c r="D3188" s="30" t="s">
        <v>47</v>
      </c>
      <c r="E3188" s="32" t="s">
        <v>177</v>
      </c>
      <c r="F3188" s="32" t="s">
        <v>49</v>
      </c>
      <c r="G3188" s="32" t="s">
        <v>50</v>
      </c>
      <c r="H3188" s="33">
        <v>28700</v>
      </c>
      <c r="I3188" s="34">
        <f>Table3[[#This Row],[Volume, kg.]]/1000</f>
        <v>28.7</v>
      </c>
      <c r="J3188" s="34">
        <v>0.1918</v>
      </c>
      <c r="K3188" s="34">
        <f t="shared" si="98"/>
        <v>5504.66</v>
      </c>
      <c r="L3188" s="34">
        <v>2.56</v>
      </c>
      <c r="M3188" s="34">
        <v>73517</v>
      </c>
      <c r="N3188" s="34">
        <f t="shared" si="99"/>
        <v>13.347236704900938</v>
      </c>
    </row>
    <row r="3189" spans="1:14" x14ac:dyDescent="0.45">
      <c r="A3189" s="30">
        <v>2024</v>
      </c>
      <c r="B3189" s="30" t="s">
        <v>12</v>
      </c>
      <c r="C3189" s="30" t="s">
        <v>46</v>
      </c>
      <c r="D3189" s="30" t="s">
        <v>47</v>
      </c>
      <c r="E3189" s="32" t="s">
        <v>350</v>
      </c>
      <c r="F3189" s="32" t="s">
        <v>49</v>
      </c>
      <c r="G3189" s="32" t="s">
        <v>50</v>
      </c>
      <c r="H3189" s="33">
        <v>32470</v>
      </c>
      <c r="I3189" s="34">
        <f>Table3[[#This Row],[Volume, kg.]]/1000</f>
        <v>32.47</v>
      </c>
      <c r="J3189" s="34">
        <v>0.19390000000000002</v>
      </c>
      <c r="K3189" s="34">
        <f t="shared" si="98"/>
        <v>6295.9330000000009</v>
      </c>
      <c r="L3189" s="34">
        <v>2.59</v>
      </c>
      <c r="M3189" s="34">
        <v>83972.5</v>
      </c>
      <c r="N3189" s="34">
        <f t="shared" si="99"/>
        <v>13.357400722021659</v>
      </c>
    </row>
    <row r="3190" spans="1:14" x14ac:dyDescent="0.45">
      <c r="A3190" s="30">
        <v>2024</v>
      </c>
      <c r="B3190" s="30" t="s">
        <v>12</v>
      </c>
      <c r="C3190" s="30" t="s">
        <v>46</v>
      </c>
      <c r="D3190" s="30" t="s">
        <v>47</v>
      </c>
      <c r="E3190" s="32" t="s">
        <v>395</v>
      </c>
      <c r="F3190" s="32" t="s">
        <v>81</v>
      </c>
      <c r="G3190" s="32" t="s">
        <v>50</v>
      </c>
      <c r="H3190" s="33">
        <v>118650</v>
      </c>
      <c r="I3190" s="34">
        <f>Table3[[#This Row],[Volume, kg.]]/1000</f>
        <v>118.65</v>
      </c>
      <c r="J3190" s="34">
        <v>0.16159999999999999</v>
      </c>
      <c r="K3190" s="34">
        <f t="shared" si="98"/>
        <v>19173.84</v>
      </c>
      <c r="L3190" s="34">
        <v>2.3199999999999998</v>
      </c>
      <c r="M3190" s="34">
        <v>275308</v>
      </c>
      <c r="N3190" s="34">
        <f t="shared" si="99"/>
        <v>14.356435643564357</v>
      </c>
    </row>
    <row r="3191" spans="1:14" x14ac:dyDescent="0.45">
      <c r="A3191" s="30">
        <v>2024</v>
      </c>
      <c r="B3191" s="30" t="s">
        <v>12</v>
      </c>
      <c r="C3191" s="30" t="s">
        <v>46</v>
      </c>
      <c r="D3191" s="30" t="s">
        <v>47</v>
      </c>
      <c r="E3191" s="32" t="s">
        <v>312</v>
      </c>
      <c r="F3191" s="32" t="s">
        <v>60</v>
      </c>
      <c r="G3191" s="32" t="s">
        <v>50</v>
      </c>
      <c r="H3191" s="33">
        <v>43540</v>
      </c>
      <c r="I3191" s="34">
        <f>Table3[[#This Row],[Volume, kg.]]/1000</f>
        <v>43.54</v>
      </c>
      <c r="J3191" s="34">
        <v>0.19030000000000002</v>
      </c>
      <c r="K3191" s="34">
        <f t="shared" si="98"/>
        <v>8285.6620000000003</v>
      </c>
      <c r="L3191" s="34">
        <v>2.56</v>
      </c>
      <c r="M3191" s="34">
        <v>111449</v>
      </c>
      <c r="N3191" s="34">
        <f t="shared" si="99"/>
        <v>13.452443510246978</v>
      </c>
    </row>
    <row r="3192" spans="1:14" x14ac:dyDescent="0.45">
      <c r="A3192" s="30">
        <v>2024</v>
      </c>
      <c r="B3192" s="30" t="s">
        <v>12</v>
      </c>
      <c r="C3192" s="30" t="s">
        <v>46</v>
      </c>
      <c r="D3192" s="30" t="s">
        <v>47</v>
      </c>
      <c r="E3192" s="32" t="s">
        <v>548</v>
      </c>
      <c r="F3192" s="32" t="s">
        <v>49</v>
      </c>
      <c r="G3192" s="32" t="s">
        <v>50</v>
      </c>
      <c r="H3192" s="33">
        <v>29680</v>
      </c>
      <c r="I3192" s="34">
        <f>Table3[[#This Row],[Volume, kg.]]/1000</f>
        <v>29.68</v>
      </c>
      <c r="J3192" s="34">
        <v>0.19260000000000002</v>
      </c>
      <c r="K3192" s="34">
        <f t="shared" si="98"/>
        <v>5716.3680000000004</v>
      </c>
      <c r="L3192" s="34">
        <v>2.6</v>
      </c>
      <c r="M3192" s="34">
        <v>77168</v>
      </c>
      <c r="N3192" s="34">
        <f t="shared" si="99"/>
        <v>13.499480789200414</v>
      </c>
    </row>
    <row r="3193" spans="1:14" x14ac:dyDescent="0.45">
      <c r="A3193" s="30">
        <v>2024</v>
      </c>
      <c r="B3193" s="30" t="s">
        <v>12</v>
      </c>
      <c r="C3193" s="30" t="s">
        <v>46</v>
      </c>
      <c r="D3193" s="30" t="s">
        <v>47</v>
      </c>
      <c r="E3193" s="32" t="s">
        <v>98</v>
      </c>
      <c r="F3193" s="32" t="s">
        <v>49</v>
      </c>
      <c r="G3193" s="32" t="s">
        <v>50</v>
      </c>
      <c r="H3193" s="33">
        <v>80070</v>
      </c>
      <c r="I3193" s="34">
        <f>Table3[[#This Row],[Volume, kg.]]/1000</f>
        <v>80.069999999999993</v>
      </c>
      <c r="J3193" s="34">
        <v>0.19260000000000002</v>
      </c>
      <c r="K3193" s="34">
        <f t="shared" si="98"/>
        <v>15421.482000000002</v>
      </c>
      <c r="L3193" s="34">
        <v>2.57</v>
      </c>
      <c r="M3193" s="34">
        <v>205994</v>
      </c>
      <c r="N3193" s="34">
        <f t="shared" si="99"/>
        <v>13.343717549325024</v>
      </c>
    </row>
    <row r="3194" spans="1:14" x14ac:dyDescent="0.45">
      <c r="A3194" s="30">
        <v>2024</v>
      </c>
      <c r="B3194" s="30" t="s">
        <v>12</v>
      </c>
      <c r="C3194" s="30" t="s">
        <v>46</v>
      </c>
      <c r="D3194" s="30" t="s">
        <v>47</v>
      </c>
      <c r="E3194" s="32" t="s">
        <v>63</v>
      </c>
      <c r="F3194" s="32" t="s">
        <v>64</v>
      </c>
      <c r="G3194" s="32" t="s">
        <v>50</v>
      </c>
      <c r="H3194" s="33">
        <v>18510</v>
      </c>
      <c r="I3194" s="34">
        <f>Table3[[#This Row],[Volume, kg.]]/1000</f>
        <v>18.510000000000002</v>
      </c>
      <c r="J3194" s="34">
        <v>0.19670000000000001</v>
      </c>
      <c r="K3194" s="34">
        <f t="shared" si="98"/>
        <v>3640.9170000000004</v>
      </c>
      <c r="L3194" s="34">
        <v>2.78</v>
      </c>
      <c r="M3194" s="34">
        <v>51383.5</v>
      </c>
      <c r="N3194" s="34">
        <f t="shared" si="99"/>
        <v>14.133197763090999</v>
      </c>
    </row>
    <row r="3195" spans="1:14" x14ac:dyDescent="0.45">
      <c r="A3195" s="30">
        <v>2024</v>
      </c>
      <c r="B3195" s="30" t="s">
        <v>12</v>
      </c>
      <c r="C3195" s="30" t="s">
        <v>46</v>
      </c>
      <c r="D3195" s="30" t="s">
        <v>47</v>
      </c>
      <c r="E3195" s="32" t="s">
        <v>354</v>
      </c>
      <c r="F3195" s="32" t="s">
        <v>60</v>
      </c>
      <c r="G3195" s="32" t="s">
        <v>50</v>
      </c>
      <c r="H3195" s="33">
        <v>18630</v>
      </c>
      <c r="I3195" s="34">
        <f>Table3[[#This Row],[Volume, kg.]]/1000</f>
        <v>18.63</v>
      </c>
      <c r="J3195" s="34">
        <v>0.18840000000000001</v>
      </c>
      <c r="K3195" s="34">
        <f t="shared" si="98"/>
        <v>3509.8920000000003</v>
      </c>
      <c r="L3195" s="34">
        <v>2.62</v>
      </c>
      <c r="M3195" s="34">
        <v>48871</v>
      </c>
      <c r="N3195" s="34">
        <f t="shared" si="99"/>
        <v>13.906581740976645</v>
      </c>
    </row>
    <row r="3196" spans="1:14" x14ac:dyDescent="0.45">
      <c r="A3196" s="30">
        <v>2024</v>
      </c>
      <c r="B3196" s="30" t="s">
        <v>12</v>
      </c>
      <c r="C3196" s="30" t="s">
        <v>46</v>
      </c>
      <c r="D3196" s="30" t="s">
        <v>47</v>
      </c>
      <c r="E3196" s="32" t="s">
        <v>129</v>
      </c>
      <c r="F3196" s="32" t="s">
        <v>57</v>
      </c>
      <c r="G3196" s="32" t="s">
        <v>50</v>
      </c>
      <c r="H3196" s="33">
        <v>26070</v>
      </c>
      <c r="I3196" s="34">
        <f>Table3[[#This Row],[Volume, kg.]]/1000</f>
        <v>26.07</v>
      </c>
      <c r="J3196" s="34">
        <v>0.20300000000000001</v>
      </c>
      <c r="K3196" s="34">
        <f t="shared" si="98"/>
        <v>5292.21</v>
      </c>
      <c r="L3196" s="34">
        <v>2.77</v>
      </c>
      <c r="M3196" s="34">
        <v>72150.5</v>
      </c>
      <c r="N3196" s="34">
        <f t="shared" si="99"/>
        <v>13.645320197044335</v>
      </c>
    </row>
    <row r="3197" spans="1:14" x14ac:dyDescent="0.45">
      <c r="A3197" s="30">
        <v>2024</v>
      </c>
      <c r="B3197" s="30" t="s">
        <v>12</v>
      </c>
      <c r="C3197" s="30" t="s">
        <v>46</v>
      </c>
      <c r="D3197" s="30" t="s">
        <v>47</v>
      </c>
      <c r="E3197" s="32" t="s">
        <v>80</v>
      </c>
      <c r="F3197" s="32" t="s">
        <v>81</v>
      </c>
      <c r="G3197" s="32" t="s">
        <v>50</v>
      </c>
      <c r="H3197" s="33">
        <v>53680</v>
      </c>
      <c r="I3197" s="34">
        <f>Table3[[#This Row],[Volume, kg.]]/1000</f>
        <v>53.68</v>
      </c>
      <c r="J3197" s="34">
        <v>0.17929999999999999</v>
      </c>
      <c r="K3197" s="34">
        <f t="shared" si="98"/>
        <v>9624.8239999999987</v>
      </c>
      <c r="L3197" s="34">
        <v>2.5099999999999998</v>
      </c>
      <c r="M3197" s="34">
        <v>134802</v>
      </c>
      <c r="N3197" s="34">
        <f t="shared" si="99"/>
        <v>13.998884551031789</v>
      </c>
    </row>
    <row r="3198" spans="1:14" x14ac:dyDescent="0.45">
      <c r="A3198" s="30">
        <v>2024</v>
      </c>
      <c r="B3198" s="30" t="s">
        <v>12</v>
      </c>
      <c r="C3198" s="30" t="s">
        <v>46</v>
      </c>
      <c r="D3198" s="30" t="s">
        <v>47</v>
      </c>
      <c r="E3198" s="32" t="s">
        <v>374</v>
      </c>
      <c r="F3198" s="32" t="s">
        <v>81</v>
      </c>
      <c r="G3198" s="32" t="s">
        <v>50</v>
      </c>
      <c r="H3198" s="33">
        <v>11580</v>
      </c>
      <c r="I3198" s="34">
        <f>Table3[[#This Row],[Volume, kg.]]/1000</f>
        <v>11.58</v>
      </c>
      <c r="J3198" s="34">
        <v>0.19839999999999999</v>
      </c>
      <c r="K3198" s="34">
        <f t="shared" si="98"/>
        <v>2297.4719999999998</v>
      </c>
      <c r="L3198" s="34">
        <v>2.6</v>
      </c>
      <c r="M3198" s="34">
        <v>30101</v>
      </c>
      <c r="N3198" s="34">
        <f t="shared" si="99"/>
        <v>13.10483870967742</v>
      </c>
    </row>
    <row r="3199" spans="1:14" x14ac:dyDescent="0.45">
      <c r="A3199" s="30">
        <v>2024</v>
      </c>
      <c r="B3199" s="30" t="s">
        <v>12</v>
      </c>
      <c r="C3199" s="30" t="s">
        <v>46</v>
      </c>
      <c r="D3199" s="30" t="s">
        <v>47</v>
      </c>
      <c r="E3199" s="32" t="s">
        <v>638</v>
      </c>
      <c r="F3199" s="32" t="s">
        <v>57</v>
      </c>
      <c r="G3199" s="32" t="s">
        <v>50</v>
      </c>
      <c r="H3199" s="33">
        <v>8500</v>
      </c>
      <c r="I3199" s="34">
        <f>Table3[[#This Row],[Volume, kg.]]/1000</f>
        <v>8.5</v>
      </c>
      <c r="J3199" s="34">
        <v>0.23050000000000001</v>
      </c>
      <c r="K3199" s="34">
        <f t="shared" si="98"/>
        <v>1959.25</v>
      </c>
      <c r="L3199" s="34">
        <v>2.8</v>
      </c>
      <c r="M3199" s="34">
        <v>23800</v>
      </c>
      <c r="N3199" s="34">
        <f t="shared" si="99"/>
        <v>12.147505422993492</v>
      </c>
    </row>
    <row r="3200" spans="1:14" x14ac:dyDescent="0.45">
      <c r="A3200" s="30">
        <v>2024</v>
      </c>
      <c r="B3200" s="30" t="s">
        <v>12</v>
      </c>
      <c r="C3200" s="30" t="s">
        <v>46</v>
      </c>
      <c r="D3200" s="30" t="s">
        <v>47</v>
      </c>
      <c r="E3200" s="32" t="s">
        <v>398</v>
      </c>
      <c r="F3200" s="32" t="s">
        <v>64</v>
      </c>
      <c r="G3200" s="32" t="s">
        <v>50</v>
      </c>
      <c r="H3200" s="33">
        <v>23060</v>
      </c>
      <c r="I3200" s="34">
        <f>Table3[[#This Row],[Volume, kg.]]/1000</f>
        <v>23.06</v>
      </c>
      <c r="J3200" s="34">
        <v>0.17249999999999999</v>
      </c>
      <c r="K3200" s="34">
        <f t="shared" si="98"/>
        <v>3977.85</v>
      </c>
      <c r="L3200" s="34">
        <v>2.34</v>
      </c>
      <c r="M3200" s="34">
        <v>53865</v>
      </c>
      <c r="N3200" s="34">
        <f t="shared" si="99"/>
        <v>13.565217391304348</v>
      </c>
    </row>
    <row r="3201" spans="1:14" x14ac:dyDescent="0.45">
      <c r="A3201" s="30">
        <v>2024</v>
      </c>
      <c r="B3201" s="30" t="s">
        <v>12</v>
      </c>
      <c r="C3201" s="30" t="s">
        <v>46</v>
      </c>
      <c r="D3201" s="30" t="s">
        <v>102</v>
      </c>
      <c r="E3201" s="32" t="s">
        <v>103</v>
      </c>
      <c r="F3201" s="32" t="s">
        <v>104</v>
      </c>
      <c r="G3201" s="32" t="s">
        <v>105</v>
      </c>
      <c r="H3201" s="33">
        <v>1834710</v>
      </c>
      <c r="I3201" s="34">
        <f>Table3[[#This Row],[Volume, kg.]]/1000</f>
        <v>1834.71</v>
      </c>
      <c r="J3201" s="34">
        <v>0.19239999999999999</v>
      </c>
      <c r="K3201" s="34">
        <f t="shared" si="98"/>
        <v>352998.20399999997</v>
      </c>
      <c r="L3201" s="34">
        <v>2.62</v>
      </c>
      <c r="M3201" s="34">
        <v>4807524.5</v>
      </c>
      <c r="N3201" s="34">
        <f t="shared" si="99"/>
        <v>13.617463617463619</v>
      </c>
    </row>
    <row r="3202" spans="1:14" x14ac:dyDescent="0.45">
      <c r="A3202" s="30">
        <v>2024</v>
      </c>
      <c r="B3202" s="30" t="s">
        <v>12</v>
      </c>
      <c r="C3202" s="30" t="s">
        <v>46</v>
      </c>
      <c r="D3202" s="30" t="s">
        <v>47</v>
      </c>
      <c r="E3202" s="32" t="s">
        <v>203</v>
      </c>
      <c r="F3202" s="32" t="s">
        <v>57</v>
      </c>
      <c r="G3202" s="32" t="s">
        <v>50</v>
      </c>
      <c r="H3202" s="33">
        <v>32070</v>
      </c>
      <c r="I3202" s="34">
        <f>Table3[[#This Row],[Volume, kg.]]/1000</f>
        <v>32.07</v>
      </c>
      <c r="J3202" s="34">
        <v>0.17530000000000001</v>
      </c>
      <c r="K3202" s="34">
        <f t="shared" si="98"/>
        <v>5621.8710000000001</v>
      </c>
      <c r="L3202" s="34">
        <v>2.5299999999999998</v>
      </c>
      <c r="M3202" s="34">
        <v>81109</v>
      </c>
      <c r="N3202" s="34">
        <f t="shared" si="99"/>
        <v>14.432401597261835</v>
      </c>
    </row>
    <row r="3203" spans="1:14" x14ac:dyDescent="0.45">
      <c r="A3203" s="30">
        <v>2024</v>
      </c>
      <c r="B3203" s="30" t="s">
        <v>12</v>
      </c>
      <c r="C3203" s="30" t="s">
        <v>46</v>
      </c>
      <c r="D3203" s="30" t="s">
        <v>47</v>
      </c>
      <c r="E3203" s="32" t="s">
        <v>334</v>
      </c>
      <c r="F3203" s="32" t="s">
        <v>81</v>
      </c>
      <c r="G3203" s="32" t="s">
        <v>50</v>
      </c>
      <c r="H3203" s="33">
        <v>46300</v>
      </c>
      <c r="I3203" s="34">
        <f>Table3[[#This Row],[Volume, kg.]]/1000</f>
        <v>46.3</v>
      </c>
      <c r="J3203" s="34">
        <v>0.22309999999999999</v>
      </c>
      <c r="K3203" s="34">
        <f t="shared" ref="K3203:K3266" si="100">H3203*J3203</f>
        <v>10329.529999999999</v>
      </c>
      <c r="L3203" s="34">
        <v>2.89</v>
      </c>
      <c r="M3203" s="34">
        <v>133627</v>
      </c>
      <c r="N3203" s="34">
        <f t="shared" si="99"/>
        <v>12.953832362169432</v>
      </c>
    </row>
    <row r="3204" spans="1:14" x14ac:dyDescent="0.45">
      <c r="A3204" s="30">
        <v>2024</v>
      </c>
      <c r="B3204" s="30" t="s">
        <v>12</v>
      </c>
      <c r="C3204" s="30" t="s">
        <v>46</v>
      </c>
      <c r="D3204" s="30" t="s">
        <v>47</v>
      </c>
      <c r="E3204" s="32" t="s">
        <v>274</v>
      </c>
      <c r="F3204" s="32" t="s">
        <v>49</v>
      </c>
      <c r="G3204" s="32" t="s">
        <v>50</v>
      </c>
      <c r="H3204" s="33">
        <v>7910</v>
      </c>
      <c r="I3204" s="34">
        <f>Table3[[#This Row],[Volume, kg.]]/1000</f>
        <v>7.91</v>
      </c>
      <c r="J3204" s="34">
        <v>0.24640000000000001</v>
      </c>
      <c r="K3204" s="34">
        <f t="shared" si="100"/>
        <v>1949.0240000000001</v>
      </c>
      <c r="L3204" s="34">
        <v>3.03</v>
      </c>
      <c r="M3204" s="34">
        <v>23937.5</v>
      </c>
      <c r="N3204" s="34">
        <f t="shared" ref="N3204:N3267" si="101">L3204/J3204</f>
        <v>12.297077922077921</v>
      </c>
    </row>
    <row r="3205" spans="1:14" x14ac:dyDescent="0.45">
      <c r="A3205" s="30">
        <v>2024</v>
      </c>
      <c r="B3205" s="30" t="s">
        <v>12</v>
      </c>
      <c r="C3205" s="30" t="s">
        <v>46</v>
      </c>
      <c r="D3205" s="30" t="s">
        <v>47</v>
      </c>
      <c r="E3205" s="32" t="s">
        <v>400</v>
      </c>
      <c r="F3205" s="32" t="s">
        <v>281</v>
      </c>
      <c r="G3205" s="32" t="s">
        <v>50</v>
      </c>
      <c r="H3205" s="33">
        <v>336910</v>
      </c>
      <c r="I3205" s="34">
        <f>Table3[[#This Row],[Volume, kg.]]/1000</f>
        <v>336.91</v>
      </c>
      <c r="J3205" s="34">
        <v>0.193</v>
      </c>
      <c r="K3205" s="34">
        <f t="shared" si="100"/>
        <v>65023.630000000005</v>
      </c>
      <c r="L3205" s="34">
        <v>2.76</v>
      </c>
      <c r="M3205" s="34">
        <v>931556</v>
      </c>
      <c r="N3205" s="34">
        <f t="shared" si="101"/>
        <v>14.300518134715025</v>
      </c>
    </row>
    <row r="3206" spans="1:14" x14ac:dyDescent="0.45">
      <c r="A3206" s="30">
        <v>2024</v>
      </c>
      <c r="B3206" s="30" t="s">
        <v>12</v>
      </c>
      <c r="C3206" s="30" t="s">
        <v>46</v>
      </c>
      <c r="D3206" s="30" t="s">
        <v>47</v>
      </c>
      <c r="E3206" s="32" t="s">
        <v>335</v>
      </c>
      <c r="F3206" s="32" t="s">
        <v>54</v>
      </c>
      <c r="G3206" s="32" t="s">
        <v>50</v>
      </c>
      <c r="H3206" s="33">
        <v>59350</v>
      </c>
      <c r="I3206" s="34">
        <f>Table3[[#This Row],[Volume, kg.]]/1000</f>
        <v>59.35</v>
      </c>
      <c r="J3206" s="34">
        <v>0.2011</v>
      </c>
      <c r="K3206" s="34">
        <f t="shared" si="100"/>
        <v>11935.285</v>
      </c>
      <c r="L3206" s="34">
        <v>2.62</v>
      </c>
      <c r="M3206" s="34">
        <v>155278.5</v>
      </c>
      <c r="N3206" s="34">
        <f t="shared" si="101"/>
        <v>13.02834410740925</v>
      </c>
    </row>
    <row r="3207" spans="1:14" x14ac:dyDescent="0.45">
      <c r="A3207" s="30">
        <v>2024</v>
      </c>
      <c r="B3207" s="30" t="s">
        <v>12</v>
      </c>
      <c r="C3207" s="30" t="s">
        <v>46</v>
      </c>
      <c r="D3207" s="30" t="s">
        <v>47</v>
      </c>
      <c r="E3207" s="32" t="s">
        <v>475</v>
      </c>
      <c r="F3207" s="32" t="s">
        <v>281</v>
      </c>
      <c r="G3207" s="32" t="s">
        <v>50</v>
      </c>
      <c r="H3207" s="33">
        <v>95390</v>
      </c>
      <c r="I3207" s="34">
        <f>Table3[[#This Row],[Volume, kg.]]/1000</f>
        <v>95.39</v>
      </c>
      <c r="J3207" s="34">
        <v>0.16620000000000001</v>
      </c>
      <c r="K3207" s="34">
        <f t="shared" si="100"/>
        <v>15853.818000000001</v>
      </c>
      <c r="L3207" s="34">
        <v>2.39</v>
      </c>
      <c r="M3207" s="34">
        <v>227985</v>
      </c>
      <c r="N3207" s="34">
        <f t="shared" si="101"/>
        <v>14.380264741275571</v>
      </c>
    </row>
    <row r="3208" spans="1:14" x14ac:dyDescent="0.45">
      <c r="A3208" s="30">
        <v>2024</v>
      </c>
      <c r="B3208" s="30" t="s">
        <v>12</v>
      </c>
      <c r="C3208" s="30" t="s">
        <v>46</v>
      </c>
      <c r="D3208" s="30" t="s">
        <v>102</v>
      </c>
      <c r="E3208" s="32" t="s">
        <v>117</v>
      </c>
      <c r="F3208" s="32" t="s">
        <v>118</v>
      </c>
      <c r="G3208" s="32" t="s">
        <v>119</v>
      </c>
      <c r="H3208" s="33">
        <v>60690</v>
      </c>
      <c r="I3208" s="34">
        <f>Table3[[#This Row],[Volume, kg.]]/1000</f>
        <v>60.69</v>
      </c>
      <c r="J3208" s="34">
        <v>0.25659999999999999</v>
      </c>
      <c r="K3208" s="34">
        <f t="shared" si="100"/>
        <v>15573.054</v>
      </c>
      <c r="L3208" s="34">
        <v>3.08</v>
      </c>
      <c r="M3208" s="34">
        <v>186840.5</v>
      </c>
      <c r="N3208" s="34">
        <f t="shared" si="101"/>
        <v>12.003117692907249</v>
      </c>
    </row>
    <row r="3209" spans="1:14" x14ac:dyDescent="0.45">
      <c r="A3209" s="30">
        <v>2024</v>
      </c>
      <c r="B3209" s="30" t="s">
        <v>12</v>
      </c>
      <c r="C3209" s="30" t="s">
        <v>46</v>
      </c>
      <c r="D3209" s="30" t="s">
        <v>47</v>
      </c>
      <c r="E3209" s="32" t="s">
        <v>401</v>
      </c>
      <c r="F3209" s="32" t="s">
        <v>57</v>
      </c>
      <c r="G3209" s="32" t="s">
        <v>50</v>
      </c>
      <c r="H3209" s="33">
        <v>53150</v>
      </c>
      <c r="I3209" s="34">
        <f>Table3[[#This Row],[Volume, kg.]]/1000</f>
        <v>53.15</v>
      </c>
      <c r="J3209" s="34">
        <v>0.1739</v>
      </c>
      <c r="K3209" s="34">
        <f t="shared" si="100"/>
        <v>9242.7849999999999</v>
      </c>
      <c r="L3209" s="34">
        <v>2.44</v>
      </c>
      <c r="M3209" s="34">
        <v>129533.5</v>
      </c>
      <c r="N3209" s="34">
        <f t="shared" si="101"/>
        <v>14.03105232892467</v>
      </c>
    </row>
    <row r="3210" spans="1:14" x14ac:dyDescent="0.45">
      <c r="A3210" s="30">
        <v>2024</v>
      </c>
      <c r="B3210" s="30" t="s">
        <v>12</v>
      </c>
      <c r="C3210" s="30" t="s">
        <v>46</v>
      </c>
      <c r="D3210" s="30" t="s">
        <v>47</v>
      </c>
      <c r="E3210" s="32" t="s">
        <v>567</v>
      </c>
      <c r="F3210" s="32" t="s">
        <v>49</v>
      </c>
      <c r="G3210" s="32" t="s">
        <v>50</v>
      </c>
      <c r="H3210" s="33">
        <v>9260</v>
      </c>
      <c r="I3210" s="34">
        <f>Table3[[#This Row],[Volume, kg.]]/1000</f>
        <v>9.26</v>
      </c>
      <c r="J3210" s="34">
        <v>0.19800000000000001</v>
      </c>
      <c r="K3210" s="34">
        <f t="shared" si="100"/>
        <v>1833.48</v>
      </c>
      <c r="L3210" s="34">
        <v>2.4</v>
      </c>
      <c r="M3210" s="34">
        <v>22224</v>
      </c>
      <c r="N3210" s="34">
        <f t="shared" si="101"/>
        <v>12.121212121212119</v>
      </c>
    </row>
    <row r="3211" spans="1:14" x14ac:dyDescent="0.45">
      <c r="A3211" s="30">
        <v>2024</v>
      </c>
      <c r="B3211" s="30" t="s">
        <v>12</v>
      </c>
      <c r="C3211" s="30" t="s">
        <v>46</v>
      </c>
      <c r="D3211" s="30" t="s">
        <v>47</v>
      </c>
      <c r="E3211" s="32" t="s">
        <v>507</v>
      </c>
      <c r="F3211" s="32" t="s">
        <v>60</v>
      </c>
      <c r="G3211" s="32" t="s">
        <v>50</v>
      </c>
      <c r="H3211" s="33">
        <v>9810</v>
      </c>
      <c r="I3211" s="34">
        <f>Table3[[#This Row],[Volume, kg.]]/1000</f>
        <v>9.81</v>
      </c>
      <c r="J3211" s="34">
        <v>0.221</v>
      </c>
      <c r="K3211" s="34">
        <f t="shared" si="100"/>
        <v>2168.0100000000002</v>
      </c>
      <c r="L3211" s="34">
        <v>2.6</v>
      </c>
      <c r="M3211" s="34">
        <v>25506</v>
      </c>
      <c r="N3211" s="34">
        <f t="shared" si="101"/>
        <v>11.764705882352942</v>
      </c>
    </row>
    <row r="3212" spans="1:14" x14ac:dyDescent="0.45">
      <c r="A3212" s="30">
        <v>2024</v>
      </c>
      <c r="B3212" s="30" t="s">
        <v>12</v>
      </c>
      <c r="C3212" s="30" t="s">
        <v>46</v>
      </c>
      <c r="D3212" s="30" t="s">
        <v>47</v>
      </c>
      <c r="E3212" s="32" t="s">
        <v>214</v>
      </c>
      <c r="F3212" s="32" t="s">
        <v>64</v>
      </c>
      <c r="G3212" s="32" t="s">
        <v>50</v>
      </c>
      <c r="H3212" s="33">
        <v>40580</v>
      </c>
      <c r="I3212" s="34">
        <f>Table3[[#This Row],[Volume, kg.]]/1000</f>
        <v>40.58</v>
      </c>
      <c r="J3212" s="34">
        <v>0.17469999999999999</v>
      </c>
      <c r="K3212" s="34">
        <f t="shared" si="100"/>
        <v>7089.326</v>
      </c>
      <c r="L3212" s="34">
        <v>2.5</v>
      </c>
      <c r="M3212" s="34">
        <v>101410</v>
      </c>
      <c r="N3212" s="34">
        <f t="shared" si="101"/>
        <v>14.310246136233543</v>
      </c>
    </row>
    <row r="3213" spans="1:14" x14ac:dyDescent="0.45">
      <c r="A3213" s="30">
        <v>2024</v>
      </c>
      <c r="B3213" s="30" t="s">
        <v>12</v>
      </c>
      <c r="C3213" s="30" t="s">
        <v>46</v>
      </c>
      <c r="D3213" s="30" t="s">
        <v>102</v>
      </c>
      <c r="E3213" s="32" t="s">
        <v>546</v>
      </c>
      <c r="F3213" s="32" t="s">
        <v>547</v>
      </c>
      <c r="G3213" s="32" t="s">
        <v>341</v>
      </c>
      <c r="H3213" s="33">
        <v>233770</v>
      </c>
      <c r="I3213" s="34">
        <f>Table3[[#This Row],[Volume, kg.]]/1000</f>
        <v>233.77</v>
      </c>
      <c r="J3213" s="34">
        <v>0.18350000000000002</v>
      </c>
      <c r="K3213" s="34">
        <f t="shared" si="100"/>
        <v>42896.795000000006</v>
      </c>
      <c r="L3213" s="34">
        <v>2.72</v>
      </c>
      <c r="M3213" s="34">
        <v>636724.5</v>
      </c>
      <c r="N3213" s="34">
        <f t="shared" si="101"/>
        <v>14.822888283378745</v>
      </c>
    </row>
    <row r="3214" spans="1:14" x14ac:dyDescent="0.45">
      <c r="A3214" s="30">
        <v>2024</v>
      </c>
      <c r="B3214" s="30" t="s">
        <v>12</v>
      </c>
      <c r="C3214" s="30" t="s">
        <v>46</v>
      </c>
      <c r="D3214" s="30" t="s">
        <v>47</v>
      </c>
      <c r="E3214" s="32" t="s">
        <v>280</v>
      </c>
      <c r="F3214" s="32" t="s">
        <v>281</v>
      </c>
      <c r="G3214" s="32" t="s">
        <v>50</v>
      </c>
      <c r="H3214" s="33">
        <v>40960</v>
      </c>
      <c r="I3214" s="34">
        <f>Table3[[#This Row],[Volume, kg.]]/1000</f>
        <v>40.96</v>
      </c>
      <c r="J3214" s="34">
        <v>0.20440000000000003</v>
      </c>
      <c r="K3214" s="34">
        <f t="shared" si="100"/>
        <v>8372.224000000002</v>
      </c>
      <c r="L3214" s="34">
        <v>2.6</v>
      </c>
      <c r="M3214" s="34">
        <v>106347</v>
      </c>
      <c r="N3214" s="34">
        <f t="shared" si="101"/>
        <v>12.720156555772993</v>
      </c>
    </row>
    <row r="3215" spans="1:14" x14ac:dyDescent="0.45">
      <c r="A3215" s="30">
        <v>2024</v>
      </c>
      <c r="B3215" s="30" t="s">
        <v>12</v>
      </c>
      <c r="C3215" s="30" t="s">
        <v>46</v>
      </c>
      <c r="D3215" s="30" t="s">
        <v>47</v>
      </c>
      <c r="E3215" s="32" t="s">
        <v>307</v>
      </c>
      <c r="F3215" s="32" t="s">
        <v>81</v>
      </c>
      <c r="G3215" s="32" t="s">
        <v>50</v>
      </c>
      <c r="H3215" s="33">
        <v>130</v>
      </c>
      <c r="I3215" s="34">
        <f>Table3[[#This Row],[Volume, kg.]]/1000</f>
        <v>0.13</v>
      </c>
      <c r="J3215" s="34">
        <v>0.13150000000000001</v>
      </c>
      <c r="K3215" s="34">
        <f t="shared" si="100"/>
        <v>17.095000000000002</v>
      </c>
      <c r="L3215" s="34">
        <v>2.2000000000000002</v>
      </c>
      <c r="M3215" s="34">
        <v>286</v>
      </c>
      <c r="N3215" s="34">
        <f t="shared" si="101"/>
        <v>16.730038022813687</v>
      </c>
    </row>
    <row r="3216" spans="1:14" x14ac:dyDescent="0.45">
      <c r="A3216" s="30">
        <v>2024</v>
      </c>
      <c r="B3216" s="30" t="s">
        <v>12</v>
      </c>
      <c r="C3216" s="30" t="s">
        <v>46</v>
      </c>
      <c r="D3216" s="30" t="s">
        <v>47</v>
      </c>
      <c r="E3216" s="32" t="s">
        <v>243</v>
      </c>
      <c r="F3216" s="32" t="s">
        <v>60</v>
      </c>
      <c r="G3216" s="32" t="s">
        <v>50</v>
      </c>
      <c r="H3216" s="33">
        <v>2240</v>
      </c>
      <c r="I3216" s="34">
        <f>Table3[[#This Row],[Volume, kg.]]/1000</f>
        <v>2.2400000000000002</v>
      </c>
      <c r="J3216" s="34">
        <v>0.22500000000000001</v>
      </c>
      <c r="K3216" s="34">
        <f t="shared" si="100"/>
        <v>504</v>
      </c>
      <c r="L3216" s="34">
        <v>2.9</v>
      </c>
      <c r="M3216" s="34">
        <v>6496</v>
      </c>
      <c r="N3216" s="34">
        <f t="shared" si="101"/>
        <v>12.888888888888888</v>
      </c>
    </row>
    <row r="3217" spans="1:14" x14ac:dyDescent="0.45">
      <c r="A3217" s="30">
        <v>2024</v>
      </c>
      <c r="B3217" s="30" t="s">
        <v>12</v>
      </c>
      <c r="C3217" s="30" t="s">
        <v>46</v>
      </c>
      <c r="D3217" s="30" t="s">
        <v>47</v>
      </c>
      <c r="E3217" s="32" t="s">
        <v>259</v>
      </c>
      <c r="F3217" s="32" t="s">
        <v>54</v>
      </c>
      <c r="G3217" s="32" t="s">
        <v>50</v>
      </c>
      <c r="H3217" s="33">
        <v>10640</v>
      </c>
      <c r="I3217" s="34">
        <f>Table3[[#This Row],[Volume, kg.]]/1000</f>
        <v>10.64</v>
      </c>
      <c r="J3217" s="34">
        <v>0.16039999999999999</v>
      </c>
      <c r="K3217" s="34">
        <f t="shared" si="100"/>
        <v>1706.6559999999999</v>
      </c>
      <c r="L3217" s="34">
        <v>2.4500000000000002</v>
      </c>
      <c r="M3217" s="34">
        <v>26062</v>
      </c>
      <c r="N3217" s="34">
        <f t="shared" si="101"/>
        <v>15.274314214463843</v>
      </c>
    </row>
    <row r="3218" spans="1:14" x14ac:dyDescent="0.45">
      <c r="A3218" s="30">
        <v>2024</v>
      </c>
      <c r="B3218" s="30" t="s">
        <v>12</v>
      </c>
      <c r="C3218" s="30" t="s">
        <v>46</v>
      </c>
      <c r="D3218" s="30" t="s">
        <v>47</v>
      </c>
      <c r="E3218" s="32" t="s">
        <v>148</v>
      </c>
      <c r="F3218" s="32" t="s">
        <v>49</v>
      </c>
      <c r="G3218" s="32" t="s">
        <v>50</v>
      </c>
      <c r="H3218" s="33">
        <v>15660</v>
      </c>
      <c r="I3218" s="34">
        <f>Table3[[#This Row],[Volume, kg.]]/1000</f>
        <v>15.66</v>
      </c>
      <c r="J3218" s="34">
        <v>0.17949999999999999</v>
      </c>
      <c r="K3218" s="34">
        <f t="shared" si="100"/>
        <v>2810.97</v>
      </c>
      <c r="L3218" s="34">
        <v>2.4</v>
      </c>
      <c r="M3218" s="34">
        <v>37584</v>
      </c>
      <c r="N3218" s="34">
        <f t="shared" si="101"/>
        <v>13.370473537604457</v>
      </c>
    </row>
    <row r="3219" spans="1:14" x14ac:dyDescent="0.45">
      <c r="A3219" s="30">
        <v>2024</v>
      </c>
      <c r="B3219" s="30" t="s">
        <v>12</v>
      </c>
      <c r="C3219" s="30" t="s">
        <v>46</v>
      </c>
      <c r="D3219" s="30" t="s">
        <v>47</v>
      </c>
      <c r="E3219" s="32" t="s">
        <v>204</v>
      </c>
      <c r="F3219" s="32" t="s">
        <v>49</v>
      </c>
      <c r="G3219" s="32" t="s">
        <v>50</v>
      </c>
      <c r="H3219" s="33">
        <v>36040</v>
      </c>
      <c r="I3219" s="34">
        <f>Table3[[#This Row],[Volume, kg.]]/1000</f>
        <v>36.04</v>
      </c>
      <c r="J3219" s="34">
        <v>0.18780000000000002</v>
      </c>
      <c r="K3219" s="34">
        <f t="shared" si="100"/>
        <v>6768.3120000000008</v>
      </c>
      <c r="L3219" s="34">
        <v>2.5</v>
      </c>
      <c r="M3219" s="34">
        <v>89980.5</v>
      </c>
      <c r="N3219" s="34">
        <f t="shared" si="101"/>
        <v>13.31203407880724</v>
      </c>
    </row>
    <row r="3220" spans="1:14" x14ac:dyDescent="0.45">
      <c r="A3220" s="30">
        <v>2024</v>
      </c>
      <c r="B3220" s="30" t="s">
        <v>12</v>
      </c>
      <c r="C3220" s="30" t="s">
        <v>46</v>
      </c>
      <c r="D3220" s="30" t="s">
        <v>47</v>
      </c>
      <c r="E3220" s="32" t="s">
        <v>75</v>
      </c>
      <c r="F3220" s="32" t="s">
        <v>49</v>
      </c>
      <c r="G3220" s="32" t="s">
        <v>50</v>
      </c>
      <c r="H3220" s="33">
        <v>21750</v>
      </c>
      <c r="I3220" s="34">
        <f>Table3[[#This Row],[Volume, kg.]]/1000</f>
        <v>21.75</v>
      </c>
      <c r="J3220" s="34">
        <v>0.19309999999999999</v>
      </c>
      <c r="K3220" s="34">
        <f t="shared" si="100"/>
        <v>4199.9250000000002</v>
      </c>
      <c r="L3220" s="34">
        <v>2.66</v>
      </c>
      <c r="M3220" s="34">
        <v>57946</v>
      </c>
      <c r="N3220" s="34">
        <f t="shared" si="101"/>
        <v>13.775245986535475</v>
      </c>
    </row>
    <row r="3221" spans="1:14" x14ac:dyDescent="0.45">
      <c r="A3221" s="30">
        <v>2024</v>
      </c>
      <c r="B3221" s="30" t="s">
        <v>12</v>
      </c>
      <c r="C3221" s="30" t="s">
        <v>46</v>
      </c>
      <c r="D3221" s="30" t="s">
        <v>47</v>
      </c>
      <c r="E3221" s="32" t="s">
        <v>97</v>
      </c>
      <c r="F3221" s="32" t="s">
        <v>49</v>
      </c>
      <c r="G3221" s="32" t="s">
        <v>50</v>
      </c>
      <c r="H3221" s="33">
        <v>84430</v>
      </c>
      <c r="I3221" s="34">
        <f>Table3[[#This Row],[Volume, kg.]]/1000</f>
        <v>84.43</v>
      </c>
      <c r="J3221" s="34">
        <v>0.1794</v>
      </c>
      <c r="K3221" s="34">
        <f t="shared" si="100"/>
        <v>15146.742</v>
      </c>
      <c r="L3221" s="34">
        <v>2.44</v>
      </c>
      <c r="M3221" s="34">
        <v>205827</v>
      </c>
      <c r="N3221" s="34">
        <f t="shared" si="101"/>
        <v>13.600891861761426</v>
      </c>
    </row>
    <row r="3222" spans="1:14" x14ac:dyDescent="0.45">
      <c r="A3222" s="30">
        <v>2024</v>
      </c>
      <c r="B3222" s="30" t="s">
        <v>12</v>
      </c>
      <c r="C3222" s="30" t="s">
        <v>46</v>
      </c>
      <c r="D3222" s="30" t="s">
        <v>47</v>
      </c>
      <c r="E3222" s="32" t="s">
        <v>355</v>
      </c>
      <c r="F3222" s="32" t="s">
        <v>60</v>
      </c>
      <c r="G3222" s="32" t="s">
        <v>50</v>
      </c>
      <c r="H3222" s="33">
        <v>9410</v>
      </c>
      <c r="I3222" s="34">
        <f>Table3[[#This Row],[Volume, kg.]]/1000</f>
        <v>9.41</v>
      </c>
      <c r="J3222" s="34">
        <v>0.17269999999999999</v>
      </c>
      <c r="K3222" s="34">
        <f t="shared" si="100"/>
        <v>1625.107</v>
      </c>
      <c r="L3222" s="34">
        <v>2.5</v>
      </c>
      <c r="M3222" s="34">
        <v>23525</v>
      </c>
      <c r="N3222" s="34">
        <f t="shared" si="101"/>
        <v>14.475969889982629</v>
      </c>
    </row>
    <row r="3223" spans="1:14" x14ac:dyDescent="0.45">
      <c r="A3223" s="30">
        <v>2024</v>
      </c>
      <c r="B3223" s="30" t="s">
        <v>12</v>
      </c>
      <c r="C3223" s="30" t="s">
        <v>46</v>
      </c>
      <c r="D3223" s="30" t="s">
        <v>47</v>
      </c>
      <c r="E3223" s="32" t="s">
        <v>305</v>
      </c>
      <c r="F3223" s="32" t="s">
        <v>64</v>
      </c>
      <c r="G3223" s="32" t="s">
        <v>50</v>
      </c>
      <c r="H3223" s="33">
        <v>1490</v>
      </c>
      <c r="I3223" s="34">
        <f>Table3[[#This Row],[Volume, kg.]]/1000</f>
        <v>1.49</v>
      </c>
      <c r="J3223" s="34">
        <v>0.14000000000000001</v>
      </c>
      <c r="K3223" s="34">
        <f t="shared" si="100"/>
        <v>208.60000000000002</v>
      </c>
      <c r="L3223" s="34">
        <v>2.25</v>
      </c>
      <c r="M3223" s="34">
        <v>3352.5</v>
      </c>
      <c r="N3223" s="34">
        <f t="shared" si="101"/>
        <v>16.071428571428569</v>
      </c>
    </row>
    <row r="3224" spans="1:14" x14ac:dyDescent="0.45">
      <c r="A3224" s="30">
        <v>2024</v>
      </c>
      <c r="B3224" s="30" t="s">
        <v>12</v>
      </c>
      <c r="C3224" s="30" t="s">
        <v>46</v>
      </c>
      <c r="D3224" s="30" t="s">
        <v>47</v>
      </c>
      <c r="E3224" s="32" t="s">
        <v>218</v>
      </c>
      <c r="F3224" s="32" t="s">
        <v>49</v>
      </c>
      <c r="G3224" s="32" t="s">
        <v>50</v>
      </c>
      <c r="H3224" s="33">
        <v>4920</v>
      </c>
      <c r="I3224" s="34">
        <f>Table3[[#This Row],[Volume, kg.]]/1000</f>
        <v>4.92</v>
      </c>
      <c r="J3224" s="34">
        <v>0.17249999999999999</v>
      </c>
      <c r="K3224" s="34">
        <f t="shared" si="100"/>
        <v>848.69999999999993</v>
      </c>
      <c r="L3224" s="34">
        <v>2.15</v>
      </c>
      <c r="M3224" s="34">
        <v>10578</v>
      </c>
      <c r="N3224" s="34">
        <f t="shared" si="101"/>
        <v>12.463768115942029</v>
      </c>
    </row>
    <row r="3225" spans="1:14" x14ac:dyDescent="0.45">
      <c r="A3225" s="30">
        <v>2024</v>
      </c>
      <c r="B3225" s="30" t="s">
        <v>12</v>
      </c>
      <c r="C3225" s="30" t="s">
        <v>46</v>
      </c>
      <c r="D3225" s="30" t="s">
        <v>47</v>
      </c>
      <c r="E3225" s="32" t="s">
        <v>273</v>
      </c>
      <c r="F3225" s="32" t="s">
        <v>49</v>
      </c>
      <c r="G3225" s="32" t="s">
        <v>50</v>
      </c>
      <c r="H3225" s="33">
        <v>34700</v>
      </c>
      <c r="I3225" s="34">
        <f>Table3[[#This Row],[Volume, kg.]]/1000</f>
        <v>34.700000000000003</v>
      </c>
      <c r="J3225" s="34">
        <v>0.22370000000000001</v>
      </c>
      <c r="K3225" s="34">
        <f t="shared" si="100"/>
        <v>7762.39</v>
      </c>
      <c r="L3225" s="34">
        <v>2.92</v>
      </c>
      <c r="M3225" s="34">
        <v>101167</v>
      </c>
      <c r="N3225" s="34">
        <f t="shared" si="101"/>
        <v>13.053196244970943</v>
      </c>
    </row>
    <row r="3226" spans="1:14" x14ac:dyDescent="0.45">
      <c r="A3226" s="30">
        <v>2024</v>
      </c>
      <c r="B3226" s="30" t="s">
        <v>12</v>
      </c>
      <c r="C3226" s="30" t="s">
        <v>46</v>
      </c>
      <c r="D3226" s="30" t="s">
        <v>47</v>
      </c>
      <c r="E3226" s="32" t="s">
        <v>639</v>
      </c>
      <c r="F3226" s="32" t="s">
        <v>60</v>
      </c>
      <c r="G3226" s="32" t="s">
        <v>50</v>
      </c>
      <c r="H3226" s="33">
        <v>10970</v>
      </c>
      <c r="I3226" s="34">
        <f>Table3[[#This Row],[Volume, kg.]]/1000</f>
        <v>10.97</v>
      </c>
      <c r="J3226" s="34">
        <v>0.19750000000000001</v>
      </c>
      <c r="K3226" s="34">
        <f t="shared" si="100"/>
        <v>2166.5750000000003</v>
      </c>
      <c r="L3226" s="34">
        <v>2.5</v>
      </c>
      <c r="M3226" s="34">
        <v>27425</v>
      </c>
      <c r="N3226" s="34">
        <f t="shared" si="101"/>
        <v>12.658227848101266</v>
      </c>
    </row>
    <row r="3227" spans="1:14" x14ac:dyDescent="0.45">
      <c r="A3227" s="30">
        <v>2024</v>
      </c>
      <c r="B3227" s="30" t="s">
        <v>12</v>
      </c>
      <c r="C3227" s="30" t="s">
        <v>46</v>
      </c>
      <c r="D3227" s="30" t="s">
        <v>47</v>
      </c>
      <c r="E3227" s="32" t="s">
        <v>96</v>
      </c>
      <c r="F3227" s="32" t="s">
        <v>49</v>
      </c>
      <c r="G3227" s="32" t="s">
        <v>50</v>
      </c>
      <c r="H3227" s="33">
        <v>65960</v>
      </c>
      <c r="I3227" s="34">
        <f>Table3[[#This Row],[Volume, kg.]]/1000</f>
        <v>65.959999999999994</v>
      </c>
      <c r="J3227" s="34">
        <v>0.17499999999999999</v>
      </c>
      <c r="K3227" s="34">
        <f t="shared" si="100"/>
        <v>11543</v>
      </c>
      <c r="L3227" s="34">
        <v>2.52</v>
      </c>
      <c r="M3227" s="34">
        <v>165897</v>
      </c>
      <c r="N3227" s="34">
        <f t="shared" si="101"/>
        <v>14.4</v>
      </c>
    </row>
    <row r="3228" spans="1:14" x14ac:dyDescent="0.45">
      <c r="A3228" s="30">
        <v>2024</v>
      </c>
      <c r="B3228" s="30" t="s">
        <v>12</v>
      </c>
      <c r="C3228" s="30" t="s">
        <v>46</v>
      </c>
      <c r="D3228" s="30" t="s">
        <v>47</v>
      </c>
      <c r="E3228" s="32" t="s">
        <v>143</v>
      </c>
      <c r="F3228" s="32" t="s">
        <v>49</v>
      </c>
      <c r="G3228" s="32" t="s">
        <v>50</v>
      </c>
      <c r="H3228" s="33">
        <v>5470</v>
      </c>
      <c r="I3228" s="34">
        <f>Table3[[#This Row],[Volume, kg.]]/1000</f>
        <v>5.47</v>
      </c>
      <c r="J3228" s="34">
        <v>0.1895</v>
      </c>
      <c r="K3228" s="34">
        <f t="shared" si="100"/>
        <v>1036.5650000000001</v>
      </c>
      <c r="L3228" s="34">
        <v>2.75</v>
      </c>
      <c r="M3228" s="34">
        <v>15042.5</v>
      </c>
      <c r="N3228" s="34">
        <f t="shared" si="101"/>
        <v>14.511873350923482</v>
      </c>
    </row>
    <row r="3229" spans="1:14" x14ac:dyDescent="0.45">
      <c r="A3229" s="30">
        <v>2024</v>
      </c>
      <c r="B3229" s="30" t="s">
        <v>12</v>
      </c>
      <c r="C3229" s="30" t="s">
        <v>46</v>
      </c>
      <c r="D3229" s="30" t="s">
        <v>47</v>
      </c>
      <c r="E3229" s="32" t="s">
        <v>369</v>
      </c>
      <c r="F3229" s="32" t="s">
        <v>57</v>
      </c>
      <c r="G3229" s="32" t="s">
        <v>50</v>
      </c>
      <c r="H3229" s="33">
        <v>48580</v>
      </c>
      <c r="I3229" s="34">
        <f>Table3[[#This Row],[Volume, kg.]]/1000</f>
        <v>48.58</v>
      </c>
      <c r="J3229" s="34">
        <v>0.18359999999999999</v>
      </c>
      <c r="K3229" s="34">
        <f t="shared" si="100"/>
        <v>8919.2879999999986</v>
      </c>
      <c r="L3229" s="34">
        <v>2.4</v>
      </c>
      <c r="M3229" s="34">
        <v>116803.5</v>
      </c>
      <c r="N3229" s="34">
        <f t="shared" si="101"/>
        <v>13.071895424836601</v>
      </c>
    </row>
    <row r="3230" spans="1:14" x14ac:dyDescent="0.45">
      <c r="A3230" s="30">
        <v>2024</v>
      </c>
      <c r="B3230" s="30" t="s">
        <v>12</v>
      </c>
      <c r="C3230" s="30" t="s">
        <v>46</v>
      </c>
      <c r="D3230" s="30" t="s">
        <v>102</v>
      </c>
      <c r="E3230" s="32" t="s">
        <v>250</v>
      </c>
      <c r="F3230" s="32" t="s">
        <v>49</v>
      </c>
      <c r="G3230" s="32" t="s">
        <v>50</v>
      </c>
      <c r="H3230" s="33">
        <v>3541210</v>
      </c>
      <c r="I3230" s="34">
        <f>Table3[[#This Row],[Volume, kg.]]/1000</f>
        <v>3541.21</v>
      </c>
      <c r="J3230" s="34">
        <v>0.1807</v>
      </c>
      <c r="K3230" s="34">
        <f t="shared" si="100"/>
        <v>639896.647</v>
      </c>
      <c r="L3230" s="34">
        <v>2.5499999999999998</v>
      </c>
      <c r="M3230" s="34">
        <v>9032813</v>
      </c>
      <c r="N3230" s="34">
        <f t="shared" si="101"/>
        <v>14.111787493082456</v>
      </c>
    </row>
    <row r="3231" spans="1:14" x14ac:dyDescent="0.45">
      <c r="A3231" s="30">
        <v>2024</v>
      </c>
      <c r="B3231" s="30" t="s">
        <v>12</v>
      </c>
      <c r="C3231" s="30" t="s">
        <v>46</v>
      </c>
      <c r="D3231" s="30" t="s">
        <v>47</v>
      </c>
      <c r="E3231" s="32" t="s">
        <v>87</v>
      </c>
      <c r="F3231" s="32" t="s">
        <v>49</v>
      </c>
      <c r="G3231" s="32" t="s">
        <v>50</v>
      </c>
      <c r="H3231" s="33">
        <v>14320</v>
      </c>
      <c r="I3231" s="34">
        <f>Table3[[#This Row],[Volume, kg.]]/1000</f>
        <v>14.32</v>
      </c>
      <c r="J3231" s="34">
        <v>0.19820000000000002</v>
      </c>
      <c r="K3231" s="34">
        <f t="shared" si="100"/>
        <v>2838.2240000000002</v>
      </c>
      <c r="L3231" s="34">
        <v>2.62</v>
      </c>
      <c r="M3231" s="34">
        <v>37453.5</v>
      </c>
      <c r="N3231" s="34">
        <f t="shared" si="101"/>
        <v>13.218970736629666</v>
      </c>
    </row>
    <row r="3232" spans="1:14" x14ac:dyDescent="0.45">
      <c r="A3232" s="30">
        <v>2024</v>
      </c>
      <c r="B3232" s="30" t="s">
        <v>12</v>
      </c>
      <c r="C3232" s="30" t="s">
        <v>46</v>
      </c>
      <c r="D3232" s="30" t="s">
        <v>47</v>
      </c>
      <c r="E3232" s="32" t="s">
        <v>155</v>
      </c>
      <c r="F3232" s="32" t="s">
        <v>64</v>
      </c>
      <c r="G3232" s="32" t="s">
        <v>50</v>
      </c>
      <c r="H3232" s="33">
        <v>134010</v>
      </c>
      <c r="I3232" s="34">
        <f>Table3[[#This Row],[Volume, kg.]]/1000</f>
        <v>134.01</v>
      </c>
      <c r="J3232" s="34">
        <v>0.1721</v>
      </c>
      <c r="K3232" s="34">
        <f t="shared" si="100"/>
        <v>23063.120999999999</v>
      </c>
      <c r="L3232" s="34">
        <v>2.42</v>
      </c>
      <c r="M3232" s="34">
        <v>324165.5</v>
      </c>
      <c r="N3232" s="34">
        <f t="shared" si="101"/>
        <v>14.061592097617664</v>
      </c>
    </row>
    <row r="3233" spans="1:14" x14ac:dyDescent="0.45">
      <c r="A3233" s="30">
        <v>2024</v>
      </c>
      <c r="B3233" s="30" t="s">
        <v>12</v>
      </c>
      <c r="C3233" s="30" t="s">
        <v>46</v>
      </c>
      <c r="D3233" s="30" t="s">
        <v>47</v>
      </c>
      <c r="E3233" s="32" t="s">
        <v>441</v>
      </c>
      <c r="F3233" s="32" t="s">
        <v>64</v>
      </c>
      <c r="G3233" s="32" t="s">
        <v>50</v>
      </c>
      <c r="H3233" s="33">
        <v>41040</v>
      </c>
      <c r="I3233" s="34">
        <f>Table3[[#This Row],[Volume, kg.]]/1000</f>
        <v>41.04</v>
      </c>
      <c r="J3233" s="34">
        <v>0.2024</v>
      </c>
      <c r="K3233" s="34">
        <f t="shared" si="100"/>
        <v>8306.4959999999992</v>
      </c>
      <c r="L3233" s="34">
        <v>2.63</v>
      </c>
      <c r="M3233" s="34">
        <v>108103</v>
      </c>
      <c r="N3233" s="34">
        <f t="shared" si="101"/>
        <v>12.994071146245059</v>
      </c>
    </row>
    <row r="3234" spans="1:14" x14ac:dyDescent="0.45">
      <c r="A3234" s="30">
        <v>2024</v>
      </c>
      <c r="B3234" s="30" t="s">
        <v>12</v>
      </c>
      <c r="C3234" s="30" t="s">
        <v>46</v>
      </c>
      <c r="D3234" s="30" t="s">
        <v>47</v>
      </c>
      <c r="E3234" s="32" t="s">
        <v>254</v>
      </c>
      <c r="F3234" s="32" t="s">
        <v>49</v>
      </c>
      <c r="G3234" s="32" t="s">
        <v>50</v>
      </c>
      <c r="H3234" s="33">
        <v>3330</v>
      </c>
      <c r="I3234" s="34">
        <f>Table3[[#This Row],[Volume, kg.]]/1000</f>
        <v>3.33</v>
      </c>
      <c r="J3234" s="34">
        <v>0.17600000000000002</v>
      </c>
      <c r="K3234" s="34">
        <f t="shared" si="100"/>
        <v>586.08000000000004</v>
      </c>
      <c r="L3234" s="34">
        <v>2.5499999999999998</v>
      </c>
      <c r="M3234" s="34">
        <v>8491.5</v>
      </c>
      <c r="N3234" s="34">
        <f t="shared" si="101"/>
        <v>14.488636363636362</v>
      </c>
    </row>
    <row r="3235" spans="1:14" x14ac:dyDescent="0.45">
      <c r="A3235" s="30">
        <v>2024</v>
      </c>
      <c r="B3235" s="30" t="s">
        <v>12</v>
      </c>
      <c r="C3235" s="30" t="s">
        <v>46</v>
      </c>
      <c r="D3235" s="30" t="s">
        <v>47</v>
      </c>
      <c r="E3235" s="32" t="s">
        <v>428</v>
      </c>
      <c r="F3235" s="32" t="s">
        <v>64</v>
      </c>
      <c r="G3235" s="32" t="s">
        <v>50</v>
      </c>
      <c r="H3235" s="33">
        <v>9310</v>
      </c>
      <c r="I3235" s="34">
        <f>Table3[[#This Row],[Volume, kg.]]/1000</f>
        <v>9.31</v>
      </c>
      <c r="J3235" s="34">
        <v>0.16550000000000001</v>
      </c>
      <c r="K3235" s="34">
        <f t="shared" si="100"/>
        <v>1540.8050000000001</v>
      </c>
      <c r="L3235" s="34">
        <v>2.4</v>
      </c>
      <c r="M3235" s="34">
        <v>22344</v>
      </c>
      <c r="N3235" s="34">
        <f t="shared" si="101"/>
        <v>14.501510574018125</v>
      </c>
    </row>
    <row r="3236" spans="1:14" x14ac:dyDescent="0.45">
      <c r="A3236" s="30">
        <v>2024</v>
      </c>
      <c r="B3236" s="30" t="s">
        <v>12</v>
      </c>
      <c r="C3236" s="30" t="s">
        <v>46</v>
      </c>
      <c r="D3236" s="30" t="s">
        <v>47</v>
      </c>
      <c r="E3236" s="32" t="s">
        <v>343</v>
      </c>
      <c r="F3236" s="32" t="s">
        <v>49</v>
      </c>
      <c r="G3236" s="32" t="s">
        <v>50</v>
      </c>
      <c r="H3236" s="33">
        <v>20180</v>
      </c>
      <c r="I3236" s="34">
        <f>Table3[[#This Row],[Volume, kg.]]/1000</f>
        <v>20.18</v>
      </c>
      <c r="J3236" s="34">
        <v>0.17069999999999999</v>
      </c>
      <c r="K3236" s="34">
        <f t="shared" si="100"/>
        <v>3444.7259999999997</v>
      </c>
      <c r="L3236" s="34">
        <v>2.59</v>
      </c>
      <c r="M3236" s="34">
        <v>52251.5</v>
      </c>
      <c r="N3236" s="34">
        <f t="shared" si="101"/>
        <v>15.172817809021675</v>
      </c>
    </row>
    <row r="3237" spans="1:14" x14ac:dyDescent="0.45">
      <c r="A3237" s="30">
        <v>2024</v>
      </c>
      <c r="B3237" s="30" t="s">
        <v>12</v>
      </c>
      <c r="C3237" s="30" t="s">
        <v>46</v>
      </c>
      <c r="D3237" s="30" t="s">
        <v>47</v>
      </c>
      <c r="E3237" s="32" t="s">
        <v>199</v>
      </c>
      <c r="F3237" s="32" t="s">
        <v>60</v>
      </c>
      <c r="G3237" s="32" t="s">
        <v>50</v>
      </c>
      <c r="H3237" s="33">
        <v>8130</v>
      </c>
      <c r="I3237" s="34">
        <f>Table3[[#This Row],[Volume, kg.]]/1000</f>
        <v>8.1300000000000008</v>
      </c>
      <c r="J3237" s="34">
        <v>0.1961</v>
      </c>
      <c r="K3237" s="34">
        <f t="shared" si="100"/>
        <v>1594.2929999999999</v>
      </c>
      <c r="L3237" s="34">
        <v>2.48</v>
      </c>
      <c r="M3237" s="34">
        <v>20190</v>
      </c>
      <c r="N3237" s="34">
        <f t="shared" si="101"/>
        <v>12.646608873023968</v>
      </c>
    </row>
    <row r="3238" spans="1:14" x14ac:dyDescent="0.45">
      <c r="A3238" s="30">
        <v>2024</v>
      </c>
      <c r="B3238" s="30" t="s">
        <v>12</v>
      </c>
      <c r="C3238" s="30" t="s">
        <v>46</v>
      </c>
      <c r="D3238" s="30" t="s">
        <v>47</v>
      </c>
      <c r="E3238" s="32" t="s">
        <v>314</v>
      </c>
      <c r="F3238" s="32" t="s">
        <v>57</v>
      </c>
      <c r="G3238" s="32" t="s">
        <v>50</v>
      </c>
      <c r="H3238" s="33">
        <v>79450</v>
      </c>
      <c r="I3238" s="34">
        <f>Table3[[#This Row],[Volume, kg.]]/1000</f>
        <v>79.45</v>
      </c>
      <c r="J3238" s="34">
        <v>0.1754</v>
      </c>
      <c r="K3238" s="34">
        <f t="shared" si="100"/>
        <v>13935.53</v>
      </c>
      <c r="L3238" s="34">
        <v>2.37</v>
      </c>
      <c r="M3238" s="34">
        <v>188316.5</v>
      </c>
      <c r="N3238" s="34">
        <f t="shared" si="101"/>
        <v>13.511972633979475</v>
      </c>
    </row>
    <row r="3239" spans="1:14" x14ac:dyDescent="0.45">
      <c r="A3239" s="30">
        <v>2024</v>
      </c>
      <c r="B3239" s="30" t="s">
        <v>12</v>
      </c>
      <c r="C3239" s="30" t="s">
        <v>46</v>
      </c>
      <c r="D3239" s="30" t="s">
        <v>47</v>
      </c>
      <c r="E3239" s="32" t="s">
        <v>215</v>
      </c>
      <c r="F3239" s="32" t="s">
        <v>57</v>
      </c>
      <c r="G3239" s="32" t="s">
        <v>50</v>
      </c>
      <c r="H3239" s="33">
        <v>40960</v>
      </c>
      <c r="I3239" s="34">
        <f>Table3[[#This Row],[Volume, kg.]]/1000</f>
        <v>40.96</v>
      </c>
      <c r="J3239" s="34">
        <v>0.1764</v>
      </c>
      <c r="K3239" s="34">
        <f t="shared" si="100"/>
        <v>7225.3440000000001</v>
      </c>
      <c r="L3239" s="34">
        <v>2.46</v>
      </c>
      <c r="M3239" s="34">
        <v>100822.5</v>
      </c>
      <c r="N3239" s="34">
        <f t="shared" si="101"/>
        <v>13.945578231292517</v>
      </c>
    </row>
    <row r="3240" spans="1:14" x14ac:dyDescent="0.45">
      <c r="A3240" s="30">
        <v>2024</v>
      </c>
      <c r="B3240" s="30" t="s">
        <v>12</v>
      </c>
      <c r="C3240" s="30" t="s">
        <v>46</v>
      </c>
      <c r="D3240" s="30" t="s">
        <v>47</v>
      </c>
      <c r="E3240" s="32" t="s">
        <v>453</v>
      </c>
      <c r="F3240" s="32" t="s">
        <v>57</v>
      </c>
      <c r="G3240" s="32" t="s">
        <v>50</v>
      </c>
      <c r="H3240" s="33">
        <v>91990</v>
      </c>
      <c r="I3240" s="34">
        <f>Table3[[#This Row],[Volume, kg.]]/1000</f>
        <v>91.99</v>
      </c>
      <c r="J3240" s="34">
        <v>0.18719999999999998</v>
      </c>
      <c r="K3240" s="34">
        <f t="shared" si="100"/>
        <v>17220.527999999998</v>
      </c>
      <c r="L3240" s="34">
        <v>2.42</v>
      </c>
      <c r="M3240" s="34">
        <v>222949.5</v>
      </c>
      <c r="N3240" s="34">
        <f t="shared" si="101"/>
        <v>12.927350427350429</v>
      </c>
    </row>
    <row r="3241" spans="1:14" x14ac:dyDescent="0.45">
      <c r="A3241" s="30">
        <v>2024</v>
      </c>
      <c r="B3241" s="30" t="s">
        <v>12</v>
      </c>
      <c r="C3241" s="30" t="s">
        <v>46</v>
      </c>
      <c r="D3241" s="30" t="s">
        <v>47</v>
      </c>
      <c r="E3241" s="32" t="s">
        <v>315</v>
      </c>
      <c r="F3241" s="32" t="s">
        <v>134</v>
      </c>
      <c r="G3241" s="32" t="s">
        <v>50</v>
      </c>
      <c r="H3241" s="33">
        <v>408870</v>
      </c>
      <c r="I3241" s="34">
        <f>Table3[[#This Row],[Volume, kg.]]/1000</f>
        <v>408.87</v>
      </c>
      <c r="J3241" s="34">
        <v>0.19210000000000002</v>
      </c>
      <c r="K3241" s="34">
        <f t="shared" si="100"/>
        <v>78543.927000000011</v>
      </c>
      <c r="L3241" s="34">
        <v>2.66</v>
      </c>
      <c r="M3241" s="34">
        <v>1088784.5</v>
      </c>
      <c r="N3241" s="34">
        <f t="shared" si="101"/>
        <v>13.846954711087974</v>
      </c>
    </row>
    <row r="3242" spans="1:14" x14ac:dyDescent="0.45">
      <c r="A3242" s="30">
        <v>2024</v>
      </c>
      <c r="B3242" s="30" t="s">
        <v>12</v>
      </c>
      <c r="C3242" s="30" t="s">
        <v>46</v>
      </c>
      <c r="D3242" s="30" t="s">
        <v>47</v>
      </c>
      <c r="E3242" s="32" t="s">
        <v>141</v>
      </c>
      <c r="F3242" s="32" t="s">
        <v>49</v>
      </c>
      <c r="G3242" s="32" t="s">
        <v>50</v>
      </c>
      <c r="H3242" s="33">
        <v>11120</v>
      </c>
      <c r="I3242" s="34">
        <f>Table3[[#This Row],[Volume, kg.]]/1000</f>
        <v>11.12</v>
      </c>
      <c r="J3242" s="34">
        <v>0.17550000000000002</v>
      </c>
      <c r="K3242" s="34">
        <f t="shared" si="100"/>
        <v>1951.5600000000002</v>
      </c>
      <c r="L3242" s="34">
        <v>2.4</v>
      </c>
      <c r="M3242" s="34">
        <v>26688</v>
      </c>
      <c r="N3242" s="34">
        <f t="shared" si="101"/>
        <v>13.675213675213673</v>
      </c>
    </row>
    <row r="3243" spans="1:14" x14ac:dyDescent="0.45">
      <c r="A3243" s="30">
        <v>2024</v>
      </c>
      <c r="B3243" s="30" t="s">
        <v>12</v>
      </c>
      <c r="C3243" s="30" t="s">
        <v>46</v>
      </c>
      <c r="D3243" s="30" t="s">
        <v>47</v>
      </c>
      <c r="E3243" s="32" t="s">
        <v>227</v>
      </c>
      <c r="F3243" s="32" t="s">
        <v>57</v>
      </c>
      <c r="G3243" s="32" t="s">
        <v>50</v>
      </c>
      <c r="H3243" s="33">
        <v>12600</v>
      </c>
      <c r="I3243" s="34">
        <f>Table3[[#This Row],[Volume, kg.]]/1000</f>
        <v>12.6</v>
      </c>
      <c r="J3243" s="34">
        <v>0.18030000000000002</v>
      </c>
      <c r="K3243" s="34">
        <f t="shared" si="100"/>
        <v>2271.7800000000002</v>
      </c>
      <c r="L3243" s="34">
        <v>2.39</v>
      </c>
      <c r="M3243" s="34">
        <v>30064.5</v>
      </c>
      <c r="N3243" s="34">
        <f t="shared" si="101"/>
        <v>13.255684969495285</v>
      </c>
    </row>
    <row r="3244" spans="1:14" x14ac:dyDescent="0.45">
      <c r="A3244" s="30">
        <v>2024</v>
      </c>
      <c r="B3244" s="30" t="s">
        <v>12</v>
      </c>
      <c r="C3244" s="30" t="s">
        <v>46</v>
      </c>
      <c r="D3244" s="30" t="s">
        <v>47</v>
      </c>
      <c r="E3244" s="32" t="s">
        <v>66</v>
      </c>
      <c r="F3244" s="32" t="s">
        <v>49</v>
      </c>
      <c r="G3244" s="32" t="s">
        <v>50</v>
      </c>
      <c r="H3244" s="33">
        <v>5230</v>
      </c>
      <c r="I3244" s="34">
        <f>Table3[[#This Row],[Volume, kg.]]/1000</f>
        <v>5.23</v>
      </c>
      <c r="J3244" s="34">
        <v>0.19399999999999998</v>
      </c>
      <c r="K3244" s="34">
        <f t="shared" si="100"/>
        <v>1014.6199999999999</v>
      </c>
      <c r="L3244" s="34">
        <v>2.75</v>
      </c>
      <c r="M3244" s="34">
        <v>14382.5</v>
      </c>
      <c r="N3244" s="34">
        <f t="shared" si="101"/>
        <v>14.175257731958764</v>
      </c>
    </row>
    <row r="3245" spans="1:14" x14ac:dyDescent="0.45">
      <c r="A3245" s="30">
        <v>2024</v>
      </c>
      <c r="B3245" s="30" t="s">
        <v>12</v>
      </c>
      <c r="C3245" s="30" t="s">
        <v>46</v>
      </c>
      <c r="D3245" s="30" t="s">
        <v>47</v>
      </c>
      <c r="E3245" s="32" t="s">
        <v>562</v>
      </c>
      <c r="F3245" s="32" t="s">
        <v>64</v>
      </c>
      <c r="G3245" s="32" t="s">
        <v>50</v>
      </c>
      <c r="H3245" s="33">
        <v>30500</v>
      </c>
      <c r="I3245" s="34">
        <f>Table3[[#This Row],[Volume, kg.]]/1000</f>
        <v>30.5</v>
      </c>
      <c r="J3245" s="34">
        <v>0.192</v>
      </c>
      <c r="K3245" s="34">
        <f t="shared" si="100"/>
        <v>5856</v>
      </c>
      <c r="L3245" s="34">
        <v>2.5</v>
      </c>
      <c r="M3245" s="34">
        <v>76250</v>
      </c>
      <c r="N3245" s="34">
        <f t="shared" si="101"/>
        <v>13.020833333333334</v>
      </c>
    </row>
    <row r="3246" spans="1:14" x14ac:dyDescent="0.45">
      <c r="A3246" s="30">
        <v>2024</v>
      </c>
      <c r="B3246" s="30" t="s">
        <v>12</v>
      </c>
      <c r="C3246" s="30" t="s">
        <v>46</v>
      </c>
      <c r="D3246" s="30" t="s">
        <v>47</v>
      </c>
      <c r="E3246" s="32" t="s">
        <v>207</v>
      </c>
      <c r="F3246" s="32" t="s">
        <v>64</v>
      </c>
      <c r="G3246" s="32" t="s">
        <v>50</v>
      </c>
      <c r="H3246" s="33">
        <v>116070</v>
      </c>
      <c r="I3246" s="34">
        <f>Table3[[#This Row],[Volume, kg.]]/1000</f>
        <v>116.07</v>
      </c>
      <c r="J3246" s="34">
        <v>0.17190000000000003</v>
      </c>
      <c r="K3246" s="34">
        <f t="shared" si="100"/>
        <v>19952.433000000005</v>
      </c>
      <c r="L3246" s="34">
        <v>2.4700000000000002</v>
      </c>
      <c r="M3246" s="34">
        <v>286666</v>
      </c>
      <c r="N3246" s="34">
        <f t="shared" si="101"/>
        <v>14.368819080860964</v>
      </c>
    </row>
    <row r="3247" spans="1:14" x14ac:dyDescent="0.45">
      <c r="A3247" s="30">
        <v>2024</v>
      </c>
      <c r="B3247" s="30" t="s">
        <v>12</v>
      </c>
      <c r="C3247" s="30" t="s">
        <v>46</v>
      </c>
      <c r="D3247" s="30" t="s">
        <v>47</v>
      </c>
      <c r="E3247" s="32" t="s">
        <v>228</v>
      </c>
      <c r="F3247" s="32" t="s">
        <v>64</v>
      </c>
      <c r="G3247" s="32" t="s">
        <v>50</v>
      </c>
      <c r="H3247" s="33">
        <v>220</v>
      </c>
      <c r="I3247" s="34">
        <f>Table3[[#This Row],[Volume, kg.]]/1000</f>
        <v>0.22</v>
      </c>
      <c r="J3247" s="34">
        <v>0.1295</v>
      </c>
      <c r="K3247" s="34">
        <f t="shared" si="100"/>
        <v>28.490000000000002</v>
      </c>
      <c r="L3247" s="34">
        <v>1.95</v>
      </c>
      <c r="M3247" s="34">
        <v>429</v>
      </c>
      <c r="N3247" s="34">
        <f t="shared" si="101"/>
        <v>15.057915057915057</v>
      </c>
    </row>
    <row r="3248" spans="1:14" x14ac:dyDescent="0.45">
      <c r="A3248" s="30">
        <v>2024</v>
      </c>
      <c r="B3248" s="30" t="s">
        <v>12</v>
      </c>
      <c r="C3248" s="30" t="s">
        <v>46</v>
      </c>
      <c r="D3248" s="30" t="s">
        <v>47</v>
      </c>
      <c r="E3248" s="32" t="s">
        <v>101</v>
      </c>
      <c r="F3248" s="32" t="s">
        <v>64</v>
      </c>
      <c r="G3248" s="32" t="s">
        <v>50</v>
      </c>
      <c r="H3248" s="33">
        <v>109050</v>
      </c>
      <c r="I3248" s="34">
        <f>Table3[[#This Row],[Volume, kg.]]/1000</f>
        <v>109.05</v>
      </c>
      <c r="J3248" s="34">
        <v>0.17430000000000001</v>
      </c>
      <c r="K3248" s="34">
        <f t="shared" si="100"/>
        <v>19007.415000000001</v>
      </c>
      <c r="L3248" s="34">
        <v>2.4500000000000002</v>
      </c>
      <c r="M3248" s="34">
        <v>267631</v>
      </c>
      <c r="N3248" s="34">
        <f t="shared" si="101"/>
        <v>14.056224899598394</v>
      </c>
    </row>
    <row r="3249" spans="1:14" x14ac:dyDescent="0.45">
      <c r="A3249" s="30">
        <v>2024</v>
      </c>
      <c r="B3249" s="30" t="s">
        <v>12</v>
      </c>
      <c r="C3249" s="30" t="s">
        <v>46</v>
      </c>
      <c r="D3249" s="30" t="s">
        <v>47</v>
      </c>
      <c r="E3249" s="32" t="s">
        <v>146</v>
      </c>
      <c r="F3249" s="32" t="s">
        <v>64</v>
      </c>
      <c r="G3249" s="32" t="s">
        <v>50</v>
      </c>
      <c r="H3249" s="33">
        <v>100420</v>
      </c>
      <c r="I3249" s="34">
        <f>Table3[[#This Row],[Volume, kg.]]/1000</f>
        <v>100.42</v>
      </c>
      <c r="J3249" s="34">
        <v>0.18079999999999999</v>
      </c>
      <c r="K3249" s="34">
        <f t="shared" si="100"/>
        <v>18155.935999999998</v>
      </c>
      <c r="L3249" s="34">
        <v>2.48</v>
      </c>
      <c r="M3249" s="34">
        <v>249284</v>
      </c>
      <c r="N3249" s="34">
        <f t="shared" si="101"/>
        <v>13.716814159292037</v>
      </c>
    </row>
    <row r="3250" spans="1:14" x14ac:dyDescent="0.45">
      <c r="A3250" s="30">
        <v>2024</v>
      </c>
      <c r="B3250" s="30" t="s">
        <v>12</v>
      </c>
      <c r="C3250" s="30" t="s">
        <v>46</v>
      </c>
      <c r="D3250" s="30" t="s">
        <v>47</v>
      </c>
      <c r="E3250" s="32" t="s">
        <v>83</v>
      </c>
      <c r="F3250" s="32" t="s">
        <v>64</v>
      </c>
      <c r="G3250" s="32" t="s">
        <v>50</v>
      </c>
      <c r="H3250" s="33">
        <v>46050</v>
      </c>
      <c r="I3250" s="34">
        <f>Table3[[#This Row],[Volume, kg.]]/1000</f>
        <v>46.05</v>
      </c>
      <c r="J3250" s="34">
        <v>0.221</v>
      </c>
      <c r="K3250" s="34">
        <f t="shared" si="100"/>
        <v>10177.049999999999</v>
      </c>
      <c r="L3250" s="34">
        <v>2.58</v>
      </c>
      <c r="M3250" s="34">
        <v>118670.5</v>
      </c>
      <c r="N3250" s="34">
        <f t="shared" si="101"/>
        <v>11.674208144796379</v>
      </c>
    </row>
    <row r="3251" spans="1:14" x14ac:dyDescent="0.45">
      <c r="A3251" s="30">
        <v>2024</v>
      </c>
      <c r="B3251" s="30" t="s">
        <v>12</v>
      </c>
      <c r="C3251" s="30" t="s">
        <v>46</v>
      </c>
      <c r="D3251" s="30" t="s">
        <v>47</v>
      </c>
      <c r="E3251" s="32" t="s">
        <v>640</v>
      </c>
      <c r="F3251" s="32" t="s">
        <v>64</v>
      </c>
      <c r="G3251" s="32" t="s">
        <v>50</v>
      </c>
      <c r="H3251" s="33">
        <v>13100</v>
      </c>
      <c r="I3251" s="34">
        <f>Table3[[#This Row],[Volume, kg.]]/1000</f>
        <v>13.1</v>
      </c>
      <c r="J3251" s="34">
        <v>0.18049999999999999</v>
      </c>
      <c r="K3251" s="34">
        <f t="shared" si="100"/>
        <v>2364.5499999999997</v>
      </c>
      <c r="L3251" s="34">
        <v>2.5499999999999998</v>
      </c>
      <c r="M3251" s="34">
        <v>33405</v>
      </c>
      <c r="N3251" s="34">
        <f t="shared" si="101"/>
        <v>14.127423822714681</v>
      </c>
    </row>
    <row r="3252" spans="1:14" x14ac:dyDescent="0.45">
      <c r="A3252" s="30">
        <v>2024</v>
      </c>
      <c r="B3252" s="30" t="s">
        <v>12</v>
      </c>
      <c r="C3252" s="30" t="s">
        <v>46</v>
      </c>
      <c r="D3252" s="30" t="s">
        <v>47</v>
      </c>
      <c r="E3252" s="32" t="s">
        <v>420</v>
      </c>
      <c r="F3252" s="32" t="s">
        <v>57</v>
      </c>
      <c r="G3252" s="32" t="s">
        <v>50</v>
      </c>
      <c r="H3252" s="33">
        <v>108240</v>
      </c>
      <c r="I3252" s="34">
        <f>Table3[[#This Row],[Volume, kg.]]/1000</f>
        <v>108.24</v>
      </c>
      <c r="J3252" s="34">
        <v>0.17370000000000002</v>
      </c>
      <c r="K3252" s="34">
        <f t="shared" si="100"/>
        <v>18801.288</v>
      </c>
      <c r="L3252" s="34">
        <v>2.44</v>
      </c>
      <c r="M3252" s="34">
        <v>264605</v>
      </c>
      <c r="N3252" s="34">
        <f t="shared" si="101"/>
        <v>14.047207829591247</v>
      </c>
    </row>
    <row r="3253" spans="1:14" x14ac:dyDescent="0.45">
      <c r="A3253" s="30">
        <v>2024</v>
      </c>
      <c r="B3253" s="30" t="s">
        <v>12</v>
      </c>
      <c r="C3253" s="30" t="s">
        <v>46</v>
      </c>
      <c r="D3253" s="30" t="s">
        <v>47</v>
      </c>
      <c r="E3253" s="32" t="s">
        <v>347</v>
      </c>
      <c r="F3253" s="32" t="s">
        <v>49</v>
      </c>
      <c r="G3253" s="32" t="s">
        <v>50</v>
      </c>
      <c r="H3253" s="33">
        <v>11720</v>
      </c>
      <c r="I3253" s="34">
        <f>Table3[[#This Row],[Volume, kg.]]/1000</f>
        <v>11.72</v>
      </c>
      <c r="J3253" s="34">
        <v>0.18579999999999999</v>
      </c>
      <c r="K3253" s="34">
        <f t="shared" si="100"/>
        <v>2177.576</v>
      </c>
      <c r="L3253" s="34">
        <v>2.42</v>
      </c>
      <c r="M3253" s="34">
        <v>28413.5</v>
      </c>
      <c r="N3253" s="34">
        <f t="shared" si="101"/>
        <v>13.02475780409042</v>
      </c>
    </row>
    <row r="3254" spans="1:14" x14ac:dyDescent="0.45">
      <c r="A3254" s="30">
        <v>2024</v>
      </c>
      <c r="B3254" s="30" t="s">
        <v>12</v>
      </c>
      <c r="C3254" s="30" t="s">
        <v>46</v>
      </c>
      <c r="D3254" s="30" t="s">
        <v>47</v>
      </c>
      <c r="E3254" s="32" t="s">
        <v>309</v>
      </c>
      <c r="F3254" s="32" t="s">
        <v>81</v>
      </c>
      <c r="G3254" s="32" t="s">
        <v>50</v>
      </c>
      <c r="H3254" s="33">
        <v>117320</v>
      </c>
      <c r="I3254" s="34">
        <f>Table3[[#This Row],[Volume, kg.]]/1000</f>
        <v>117.32</v>
      </c>
      <c r="J3254" s="34">
        <v>0.23649999999999999</v>
      </c>
      <c r="K3254" s="34">
        <f t="shared" si="100"/>
        <v>27746.18</v>
      </c>
      <c r="L3254" s="34">
        <v>2.84</v>
      </c>
      <c r="M3254" s="34">
        <v>333560.5</v>
      </c>
      <c r="N3254" s="34">
        <f t="shared" si="101"/>
        <v>12.00845665961945</v>
      </c>
    </row>
    <row r="3255" spans="1:14" x14ac:dyDescent="0.45">
      <c r="A3255" s="30">
        <v>2024</v>
      </c>
      <c r="B3255" s="30" t="s">
        <v>12</v>
      </c>
      <c r="C3255" s="30" t="s">
        <v>46</v>
      </c>
      <c r="D3255" s="30" t="s">
        <v>47</v>
      </c>
      <c r="E3255" s="32" t="s">
        <v>510</v>
      </c>
      <c r="F3255" s="32" t="s">
        <v>49</v>
      </c>
      <c r="G3255" s="32" t="s">
        <v>50</v>
      </c>
      <c r="H3255" s="33">
        <v>9850</v>
      </c>
      <c r="I3255" s="34">
        <f>Table3[[#This Row],[Volume, kg.]]/1000</f>
        <v>9.85</v>
      </c>
      <c r="J3255" s="34">
        <v>0.23300000000000001</v>
      </c>
      <c r="K3255" s="34">
        <f t="shared" si="100"/>
        <v>2295.0500000000002</v>
      </c>
      <c r="L3255" s="34">
        <v>2.95</v>
      </c>
      <c r="M3255" s="34">
        <v>29057.5</v>
      </c>
      <c r="N3255" s="34">
        <f t="shared" si="101"/>
        <v>12.660944206008583</v>
      </c>
    </row>
    <row r="3256" spans="1:14" x14ac:dyDescent="0.45">
      <c r="A3256" s="30">
        <v>2024</v>
      </c>
      <c r="B3256" s="30" t="s">
        <v>12</v>
      </c>
      <c r="C3256" s="30" t="s">
        <v>46</v>
      </c>
      <c r="D3256" s="30" t="s">
        <v>47</v>
      </c>
      <c r="E3256" s="32" t="s">
        <v>136</v>
      </c>
      <c r="F3256" s="32" t="s">
        <v>49</v>
      </c>
      <c r="G3256" s="32" t="s">
        <v>50</v>
      </c>
      <c r="H3256" s="33">
        <v>23990</v>
      </c>
      <c r="I3256" s="34">
        <f>Table3[[#This Row],[Volume, kg.]]/1000</f>
        <v>23.99</v>
      </c>
      <c r="J3256" s="34">
        <v>0.19339999999999999</v>
      </c>
      <c r="K3256" s="34">
        <f t="shared" si="100"/>
        <v>4639.6660000000002</v>
      </c>
      <c r="L3256" s="34">
        <v>2.5099999999999998</v>
      </c>
      <c r="M3256" s="34">
        <v>60199</v>
      </c>
      <c r="N3256" s="34">
        <f t="shared" si="101"/>
        <v>12.97828335056877</v>
      </c>
    </row>
    <row r="3257" spans="1:14" x14ac:dyDescent="0.45">
      <c r="A3257" s="30">
        <v>2024</v>
      </c>
      <c r="B3257" s="30" t="s">
        <v>12</v>
      </c>
      <c r="C3257" s="30" t="s">
        <v>46</v>
      </c>
      <c r="D3257" s="30" t="s">
        <v>47</v>
      </c>
      <c r="E3257" s="32" t="s">
        <v>289</v>
      </c>
      <c r="F3257" s="32" t="s">
        <v>238</v>
      </c>
      <c r="G3257" s="32" t="s">
        <v>50</v>
      </c>
      <c r="H3257" s="33">
        <v>68820</v>
      </c>
      <c r="I3257" s="34">
        <f>Table3[[#This Row],[Volume, kg.]]/1000</f>
        <v>68.819999999999993</v>
      </c>
      <c r="J3257" s="34">
        <v>0.17660000000000001</v>
      </c>
      <c r="K3257" s="34">
        <f t="shared" si="100"/>
        <v>12153.612000000001</v>
      </c>
      <c r="L3257" s="34">
        <v>2.68</v>
      </c>
      <c r="M3257" s="34">
        <v>184218</v>
      </c>
      <c r="N3257" s="34">
        <f t="shared" si="101"/>
        <v>15.175537938844847</v>
      </c>
    </row>
    <row r="3258" spans="1:14" x14ac:dyDescent="0.45">
      <c r="A3258" s="30">
        <v>2024</v>
      </c>
      <c r="B3258" s="30" t="s">
        <v>12</v>
      </c>
      <c r="C3258" s="30" t="s">
        <v>46</v>
      </c>
      <c r="D3258" s="30" t="s">
        <v>47</v>
      </c>
      <c r="E3258" s="32" t="s">
        <v>641</v>
      </c>
      <c r="F3258" s="32" t="s">
        <v>49</v>
      </c>
      <c r="G3258" s="32" t="s">
        <v>50</v>
      </c>
      <c r="H3258" s="33">
        <v>2980</v>
      </c>
      <c r="I3258" s="34">
        <f>Table3[[#This Row],[Volume, kg.]]/1000</f>
        <v>2.98</v>
      </c>
      <c r="J3258" s="34">
        <v>0.18350000000000002</v>
      </c>
      <c r="K3258" s="34">
        <f t="shared" si="100"/>
        <v>546.83000000000004</v>
      </c>
      <c r="L3258" s="34">
        <v>2.4</v>
      </c>
      <c r="M3258" s="34">
        <v>7152</v>
      </c>
      <c r="N3258" s="34">
        <f t="shared" si="101"/>
        <v>13.07901907356948</v>
      </c>
    </row>
    <row r="3259" spans="1:14" x14ac:dyDescent="0.45">
      <c r="A3259" s="30">
        <v>2024</v>
      </c>
      <c r="B3259" s="30" t="s">
        <v>12</v>
      </c>
      <c r="C3259" s="30" t="s">
        <v>46</v>
      </c>
      <c r="D3259" s="30" t="s">
        <v>47</v>
      </c>
      <c r="E3259" s="32" t="s">
        <v>53</v>
      </c>
      <c r="F3259" s="32" t="s">
        <v>54</v>
      </c>
      <c r="G3259" s="32" t="s">
        <v>50</v>
      </c>
      <c r="H3259" s="33">
        <v>39170</v>
      </c>
      <c r="I3259" s="34">
        <f>Table3[[#This Row],[Volume, kg.]]/1000</f>
        <v>39.17</v>
      </c>
      <c r="J3259" s="34">
        <v>0.19219999999999998</v>
      </c>
      <c r="K3259" s="34">
        <f t="shared" si="100"/>
        <v>7528.4739999999993</v>
      </c>
      <c r="L3259" s="34">
        <v>2.63</v>
      </c>
      <c r="M3259" s="34">
        <v>102882.5</v>
      </c>
      <c r="N3259" s="34">
        <f t="shared" si="101"/>
        <v>13.68366285119667</v>
      </c>
    </row>
    <row r="3260" spans="1:14" x14ac:dyDescent="0.45">
      <c r="A3260" s="30">
        <v>2024</v>
      </c>
      <c r="B3260" s="30" t="s">
        <v>12</v>
      </c>
      <c r="C3260" s="30" t="s">
        <v>46</v>
      </c>
      <c r="D3260" s="30" t="s">
        <v>47</v>
      </c>
      <c r="E3260" s="32" t="s">
        <v>130</v>
      </c>
      <c r="F3260" s="32" t="s">
        <v>64</v>
      </c>
      <c r="G3260" s="32" t="s">
        <v>50</v>
      </c>
      <c r="H3260" s="33">
        <v>53320</v>
      </c>
      <c r="I3260" s="34">
        <f>Table3[[#This Row],[Volume, kg.]]/1000</f>
        <v>53.32</v>
      </c>
      <c r="J3260" s="34">
        <v>0.16760000000000003</v>
      </c>
      <c r="K3260" s="34">
        <f t="shared" si="100"/>
        <v>8936.4320000000007</v>
      </c>
      <c r="L3260" s="34">
        <v>2.46</v>
      </c>
      <c r="M3260" s="34">
        <v>131295.5</v>
      </c>
      <c r="N3260" s="34">
        <f t="shared" si="101"/>
        <v>14.677804295942718</v>
      </c>
    </row>
    <row r="3261" spans="1:14" x14ac:dyDescent="0.45">
      <c r="A3261" s="30">
        <v>2024</v>
      </c>
      <c r="B3261" s="30" t="s">
        <v>12</v>
      </c>
      <c r="C3261" s="30" t="s">
        <v>46</v>
      </c>
      <c r="D3261" s="30" t="s">
        <v>47</v>
      </c>
      <c r="E3261" s="32" t="s">
        <v>408</v>
      </c>
      <c r="F3261" s="32" t="s">
        <v>238</v>
      </c>
      <c r="G3261" s="32" t="s">
        <v>50</v>
      </c>
      <c r="H3261" s="33">
        <v>246750</v>
      </c>
      <c r="I3261" s="34">
        <f>Table3[[#This Row],[Volume, kg.]]/1000</f>
        <v>246.75</v>
      </c>
      <c r="J3261" s="34">
        <v>0.158</v>
      </c>
      <c r="K3261" s="34">
        <f t="shared" si="100"/>
        <v>38986.5</v>
      </c>
      <c r="L3261" s="34">
        <v>2.41</v>
      </c>
      <c r="M3261" s="34">
        <v>593648</v>
      </c>
      <c r="N3261" s="34">
        <f t="shared" si="101"/>
        <v>15.253164556962027</v>
      </c>
    </row>
    <row r="3262" spans="1:14" x14ac:dyDescent="0.45">
      <c r="A3262" s="30">
        <v>2024</v>
      </c>
      <c r="B3262" s="30" t="s">
        <v>12</v>
      </c>
      <c r="C3262" s="30" t="s">
        <v>46</v>
      </c>
      <c r="D3262" s="30" t="s">
        <v>47</v>
      </c>
      <c r="E3262" s="32" t="s">
        <v>184</v>
      </c>
      <c r="F3262" s="32" t="s">
        <v>57</v>
      </c>
      <c r="G3262" s="32" t="s">
        <v>50</v>
      </c>
      <c r="H3262" s="33">
        <v>123780</v>
      </c>
      <c r="I3262" s="34">
        <f>Table3[[#This Row],[Volume, kg.]]/1000</f>
        <v>123.78</v>
      </c>
      <c r="J3262" s="34">
        <v>0.18440000000000001</v>
      </c>
      <c r="K3262" s="34">
        <f t="shared" si="100"/>
        <v>22825.031999999999</v>
      </c>
      <c r="L3262" s="34">
        <v>2.5299999999999998</v>
      </c>
      <c r="M3262" s="34">
        <v>313435.5</v>
      </c>
      <c r="N3262" s="34">
        <f t="shared" si="101"/>
        <v>13.720173535791755</v>
      </c>
    </row>
    <row r="3263" spans="1:14" x14ac:dyDescent="0.45">
      <c r="A3263" s="30">
        <v>2024</v>
      </c>
      <c r="B3263" s="30" t="s">
        <v>12</v>
      </c>
      <c r="C3263" s="30" t="s">
        <v>46</v>
      </c>
      <c r="D3263" s="30" t="s">
        <v>47</v>
      </c>
      <c r="E3263" s="32" t="s">
        <v>422</v>
      </c>
      <c r="F3263" s="32" t="s">
        <v>134</v>
      </c>
      <c r="G3263" s="32" t="s">
        <v>50</v>
      </c>
      <c r="H3263" s="33">
        <v>9590</v>
      </c>
      <c r="I3263" s="34">
        <f>Table3[[#This Row],[Volume, kg.]]/1000</f>
        <v>9.59</v>
      </c>
      <c r="J3263" s="34">
        <v>0.17079999999999998</v>
      </c>
      <c r="K3263" s="34">
        <f t="shared" si="100"/>
        <v>1637.9719999999998</v>
      </c>
      <c r="L3263" s="34">
        <v>2.58</v>
      </c>
      <c r="M3263" s="34">
        <v>24731.5</v>
      </c>
      <c r="N3263" s="34">
        <f t="shared" si="101"/>
        <v>15.10538641686183</v>
      </c>
    </row>
    <row r="3264" spans="1:14" x14ac:dyDescent="0.45">
      <c r="A3264" s="30">
        <v>2024</v>
      </c>
      <c r="B3264" s="30" t="s">
        <v>12</v>
      </c>
      <c r="C3264" s="30" t="s">
        <v>46</v>
      </c>
      <c r="D3264" s="30" t="s">
        <v>47</v>
      </c>
      <c r="E3264" s="32" t="s">
        <v>257</v>
      </c>
      <c r="F3264" s="32" t="s">
        <v>64</v>
      </c>
      <c r="G3264" s="32" t="s">
        <v>50</v>
      </c>
      <c r="H3264" s="33">
        <v>384600</v>
      </c>
      <c r="I3264" s="34">
        <f>Table3[[#This Row],[Volume, kg.]]/1000</f>
        <v>384.6</v>
      </c>
      <c r="J3264" s="34">
        <v>0.18840000000000001</v>
      </c>
      <c r="K3264" s="34">
        <f t="shared" si="100"/>
        <v>72458.64</v>
      </c>
      <c r="L3264" s="34">
        <v>2.61</v>
      </c>
      <c r="M3264" s="34">
        <v>1003695</v>
      </c>
      <c r="N3264" s="34">
        <f t="shared" si="101"/>
        <v>13.853503184713373</v>
      </c>
    </row>
    <row r="3265" spans="1:14" x14ac:dyDescent="0.45">
      <c r="A3265" s="30">
        <v>2024</v>
      </c>
      <c r="B3265" s="30" t="s">
        <v>12</v>
      </c>
      <c r="C3265" s="30" t="s">
        <v>46</v>
      </c>
      <c r="D3265" s="30" t="s">
        <v>47</v>
      </c>
      <c r="E3265" s="32" t="s">
        <v>351</v>
      </c>
      <c r="F3265" s="32" t="s">
        <v>49</v>
      </c>
      <c r="G3265" s="32" t="s">
        <v>50</v>
      </c>
      <c r="H3265" s="33">
        <v>46800</v>
      </c>
      <c r="I3265" s="34">
        <f>Table3[[#This Row],[Volume, kg.]]/1000</f>
        <v>46.8</v>
      </c>
      <c r="J3265" s="34">
        <v>0.24210000000000001</v>
      </c>
      <c r="K3265" s="34">
        <f t="shared" si="100"/>
        <v>11330.28</v>
      </c>
      <c r="L3265" s="34">
        <v>3.01</v>
      </c>
      <c r="M3265" s="34">
        <v>140871</v>
      </c>
      <c r="N3265" s="34">
        <f t="shared" si="101"/>
        <v>12.432878975629903</v>
      </c>
    </row>
    <row r="3266" spans="1:14" x14ac:dyDescent="0.45">
      <c r="A3266" s="30">
        <v>2024</v>
      </c>
      <c r="B3266" s="30" t="s">
        <v>12</v>
      </c>
      <c r="C3266" s="30" t="s">
        <v>46</v>
      </c>
      <c r="D3266" s="30" t="s">
        <v>47</v>
      </c>
      <c r="E3266" s="32" t="s">
        <v>133</v>
      </c>
      <c r="F3266" s="32" t="s">
        <v>134</v>
      </c>
      <c r="G3266" s="32" t="s">
        <v>50</v>
      </c>
      <c r="H3266" s="33">
        <v>319190</v>
      </c>
      <c r="I3266" s="34">
        <f>Table3[[#This Row],[Volume, kg.]]/1000</f>
        <v>319.19</v>
      </c>
      <c r="J3266" s="34">
        <v>0.19899999999999998</v>
      </c>
      <c r="K3266" s="34">
        <f t="shared" si="100"/>
        <v>63518.81</v>
      </c>
      <c r="L3266" s="34">
        <v>2.78</v>
      </c>
      <c r="M3266" s="34">
        <v>887414.5</v>
      </c>
      <c r="N3266" s="34">
        <f t="shared" si="101"/>
        <v>13.969849246231156</v>
      </c>
    </row>
    <row r="3267" spans="1:14" x14ac:dyDescent="0.45">
      <c r="A3267" s="30">
        <v>2024</v>
      </c>
      <c r="B3267" s="30" t="s">
        <v>12</v>
      </c>
      <c r="C3267" s="30" t="s">
        <v>46</v>
      </c>
      <c r="D3267" s="30" t="s">
        <v>47</v>
      </c>
      <c r="E3267" s="32" t="s">
        <v>252</v>
      </c>
      <c r="F3267" s="32" t="s">
        <v>49</v>
      </c>
      <c r="G3267" s="32" t="s">
        <v>50</v>
      </c>
      <c r="H3267" s="33">
        <v>7980</v>
      </c>
      <c r="I3267" s="34">
        <f>Table3[[#This Row],[Volume, kg.]]/1000</f>
        <v>7.98</v>
      </c>
      <c r="J3267" s="34">
        <v>0.1862</v>
      </c>
      <c r="K3267" s="34">
        <f t="shared" ref="K3267:K3330" si="102">H3267*J3267</f>
        <v>1485.876</v>
      </c>
      <c r="L3267" s="34">
        <v>2.75</v>
      </c>
      <c r="M3267" s="34">
        <v>21948</v>
      </c>
      <c r="N3267" s="34">
        <f t="shared" si="101"/>
        <v>14.769065520945221</v>
      </c>
    </row>
    <row r="3268" spans="1:14" x14ac:dyDescent="0.45">
      <c r="A3268" s="30">
        <v>2024</v>
      </c>
      <c r="B3268" s="30" t="s">
        <v>12</v>
      </c>
      <c r="C3268" s="30" t="s">
        <v>46</v>
      </c>
      <c r="D3268" s="30" t="s">
        <v>47</v>
      </c>
      <c r="E3268" s="32" t="s">
        <v>95</v>
      </c>
      <c r="F3268" s="32" t="s">
        <v>49</v>
      </c>
      <c r="G3268" s="32" t="s">
        <v>50</v>
      </c>
      <c r="H3268" s="33">
        <v>13120</v>
      </c>
      <c r="I3268" s="34">
        <f>Table3[[#This Row],[Volume, kg.]]/1000</f>
        <v>13.12</v>
      </c>
      <c r="J3268" s="34">
        <v>0.19649999999999998</v>
      </c>
      <c r="K3268" s="34">
        <f t="shared" si="102"/>
        <v>2578.08</v>
      </c>
      <c r="L3268" s="34">
        <v>2.79</v>
      </c>
      <c r="M3268" s="34">
        <v>36605</v>
      </c>
      <c r="N3268" s="34">
        <f t="shared" ref="N3268:N3331" si="103">L3268/J3268</f>
        <v>14.19847328244275</v>
      </c>
    </row>
    <row r="3269" spans="1:14" x14ac:dyDescent="0.45">
      <c r="A3269" s="30">
        <v>2024</v>
      </c>
      <c r="B3269" s="30" t="s">
        <v>12</v>
      </c>
      <c r="C3269" s="30" t="s">
        <v>46</v>
      </c>
      <c r="D3269" s="30" t="s">
        <v>47</v>
      </c>
      <c r="E3269" s="32" t="s">
        <v>205</v>
      </c>
      <c r="F3269" s="32" t="s">
        <v>49</v>
      </c>
      <c r="G3269" s="32" t="s">
        <v>50</v>
      </c>
      <c r="H3269" s="33">
        <v>13870</v>
      </c>
      <c r="I3269" s="34">
        <f>Table3[[#This Row],[Volume, kg.]]/1000</f>
        <v>13.87</v>
      </c>
      <c r="J3269" s="34">
        <v>0.1789</v>
      </c>
      <c r="K3269" s="34">
        <f t="shared" si="102"/>
        <v>2481.3429999999998</v>
      </c>
      <c r="L3269" s="34">
        <v>2.59</v>
      </c>
      <c r="M3269" s="34">
        <v>35868.5</v>
      </c>
      <c r="N3269" s="34">
        <f t="shared" si="103"/>
        <v>14.477361654555617</v>
      </c>
    </row>
    <row r="3270" spans="1:14" x14ac:dyDescent="0.45">
      <c r="A3270" s="30">
        <v>2024</v>
      </c>
      <c r="B3270" s="30" t="s">
        <v>12</v>
      </c>
      <c r="C3270" s="30" t="s">
        <v>46</v>
      </c>
      <c r="D3270" s="30" t="s">
        <v>47</v>
      </c>
      <c r="E3270" s="32" t="s">
        <v>439</v>
      </c>
      <c r="F3270" s="32" t="s">
        <v>64</v>
      </c>
      <c r="G3270" s="32" t="s">
        <v>50</v>
      </c>
      <c r="H3270" s="33">
        <v>29760</v>
      </c>
      <c r="I3270" s="34">
        <f>Table3[[#This Row],[Volume, kg.]]/1000</f>
        <v>29.76</v>
      </c>
      <c r="J3270" s="34">
        <v>0.15490000000000001</v>
      </c>
      <c r="K3270" s="34">
        <f t="shared" si="102"/>
        <v>4609.8240000000005</v>
      </c>
      <c r="L3270" s="34">
        <v>2.23</v>
      </c>
      <c r="M3270" s="34">
        <v>66264</v>
      </c>
      <c r="N3270" s="34">
        <f t="shared" si="103"/>
        <v>14.396384764364106</v>
      </c>
    </row>
    <row r="3271" spans="1:14" x14ac:dyDescent="0.45">
      <c r="A3271" s="30">
        <v>2024</v>
      </c>
      <c r="B3271" s="30" t="s">
        <v>12</v>
      </c>
      <c r="C3271" s="30" t="s">
        <v>46</v>
      </c>
      <c r="D3271" s="30" t="s">
        <v>102</v>
      </c>
      <c r="E3271" s="32" t="s">
        <v>437</v>
      </c>
      <c r="F3271" s="32" t="s">
        <v>49</v>
      </c>
      <c r="G3271" s="32" t="s">
        <v>50</v>
      </c>
      <c r="H3271" s="33">
        <v>2020230</v>
      </c>
      <c r="I3271" s="34">
        <f>Table3[[#This Row],[Volume, kg.]]/1000</f>
        <v>2020.23</v>
      </c>
      <c r="J3271" s="34">
        <v>0.1812</v>
      </c>
      <c r="K3271" s="34">
        <f t="shared" si="102"/>
        <v>366065.67599999998</v>
      </c>
      <c r="L3271" s="34">
        <v>2.5499999999999998</v>
      </c>
      <c r="M3271" s="34">
        <v>5155326</v>
      </c>
      <c r="N3271" s="34">
        <f t="shared" si="103"/>
        <v>14.072847682119205</v>
      </c>
    </row>
    <row r="3272" spans="1:14" x14ac:dyDescent="0.45">
      <c r="A3272" s="30">
        <v>2024</v>
      </c>
      <c r="B3272" s="30" t="s">
        <v>12</v>
      </c>
      <c r="C3272" s="30" t="s">
        <v>46</v>
      </c>
      <c r="D3272" s="30" t="s">
        <v>47</v>
      </c>
      <c r="E3272" s="32" t="s">
        <v>412</v>
      </c>
      <c r="F3272" s="32" t="s">
        <v>57</v>
      </c>
      <c r="G3272" s="32" t="s">
        <v>50</v>
      </c>
      <c r="H3272" s="33">
        <v>35750</v>
      </c>
      <c r="I3272" s="34">
        <f>Table3[[#This Row],[Volume, kg.]]/1000</f>
        <v>35.75</v>
      </c>
      <c r="J3272" s="34">
        <v>0.19089999999999999</v>
      </c>
      <c r="K3272" s="34">
        <f t="shared" si="102"/>
        <v>6824.6749999999993</v>
      </c>
      <c r="L3272" s="34">
        <v>2.4900000000000002</v>
      </c>
      <c r="M3272" s="34">
        <v>89004</v>
      </c>
      <c r="N3272" s="34">
        <f t="shared" si="103"/>
        <v>13.043478260869568</v>
      </c>
    </row>
    <row r="3273" spans="1:14" x14ac:dyDescent="0.45">
      <c r="A3273" s="30">
        <v>2024</v>
      </c>
      <c r="B3273" s="30" t="s">
        <v>12</v>
      </c>
      <c r="C3273" s="30" t="s">
        <v>46</v>
      </c>
      <c r="D3273" s="30" t="s">
        <v>47</v>
      </c>
      <c r="E3273" s="32" t="s">
        <v>455</v>
      </c>
      <c r="F3273" s="32" t="s">
        <v>456</v>
      </c>
      <c r="G3273" s="32" t="s">
        <v>341</v>
      </c>
      <c r="H3273" s="33">
        <v>2216250</v>
      </c>
      <c r="I3273" s="34">
        <f>Table3[[#This Row],[Volume, kg.]]/1000</f>
        <v>2216.25</v>
      </c>
      <c r="J3273" s="34">
        <v>0.17780000000000001</v>
      </c>
      <c r="K3273" s="34">
        <f t="shared" si="102"/>
        <v>394049.25000000006</v>
      </c>
      <c r="L3273" s="34">
        <v>2.68</v>
      </c>
      <c r="M3273" s="34">
        <v>5930260</v>
      </c>
      <c r="N3273" s="34">
        <f t="shared" si="103"/>
        <v>15.073115860517435</v>
      </c>
    </row>
    <row r="3274" spans="1:14" x14ac:dyDescent="0.45">
      <c r="A3274" s="30">
        <v>2024</v>
      </c>
      <c r="B3274" s="30" t="s">
        <v>12</v>
      </c>
      <c r="C3274" s="30" t="s">
        <v>46</v>
      </c>
      <c r="D3274" s="30" t="s">
        <v>102</v>
      </c>
      <c r="E3274" s="32" t="s">
        <v>418</v>
      </c>
      <c r="F3274" s="32" t="s">
        <v>104</v>
      </c>
      <c r="G3274" s="32" t="s">
        <v>105</v>
      </c>
      <c r="H3274" s="33">
        <v>748500</v>
      </c>
      <c r="I3274" s="34">
        <f>Table3[[#This Row],[Volume, kg.]]/1000</f>
        <v>748.5</v>
      </c>
      <c r="J3274" s="34">
        <v>0.1865</v>
      </c>
      <c r="K3274" s="34">
        <f t="shared" si="102"/>
        <v>139595.25</v>
      </c>
      <c r="L3274" s="34">
        <v>2.57</v>
      </c>
      <c r="M3274" s="34">
        <v>1926013</v>
      </c>
      <c r="N3274" s="34">
        <f t="shared" si="103"/>
        <v>13.780160857908847</v>
      </c>
    </row>
    <row r="3275" spans="1:14" x14ac:dyDescent="0.45">
      <c r="A3275" s="30">
        <v>2024</v>
      </c>
      <c r="B3275" s="30" t="s">
        <v>12</v>
      </c>
      <c r="C3275" s="30" t="s">
        <v>46</v>
      </c>
      <c r="D3275" s="30" t="s">
        <v>47</v>
      </c>
      <c r="E3275" s="32" t="s">
        <v>448</v>
      </c>
      <c r="F3275" s="32" t="s">
        <v>238</v>
      </c>
      <c r="G3275" s="32" t="s">
        <v>50</v>
      </c>
      <c r="H3275" s="33">
        <v>272680</v>
      </c>
      <c r="I3275" s="34">
        <f>Table3[[#This Row],[Volume, kg.]]/1000</f>
        <v>272.68</v>
      </c>
      <c r="J3275" s="34">
        <v>0.1772</v>
      </c>
      <c r="K3275" s="34">
        <f t="shared" si="102"/>
        <v>48318.896000000001</v>
      </c>
      <c r="L3275" s="34">
        <v>2.48</v>
      </c>
      <c r="M3275" s="34">
        <v>676106</v>
      </c>
      <c r="N3275" s="34">
        <f t="shared" si="103"/>
        <v>13.995485327313769</v>
      </c>
    </row>
    <row r="3276" spans="1:14" x14ac:dyDescent="0.45">
      <c r="A3276" s="30">
        <v>2024</v>
      </c>
      <c r="B3276" s="30" t="s">
        <v>12</v>
      </c>
      <c r="C3276" s="30" t="s">
        <v>46</v>
      </c>
      <c r="D3276" s="30" t="s">
        <v>47</v>
      </c>
      <c r="E3276" s="32" t="s">
        <v>434</v>
      </c>
      <c r="F3276" s="32" t="s">
        <v>57</v>
      </c>
      <c r="G3276" s="32" t="s">
        <v>50</v>
      </c>
      <c r="H3276" s="33">
        <v>17210</v>
      </c>
      <c r="I3276" s="34">
        <f>Table3[[#This Row],[Volume, kg.]]/1000</f>
        <v>17.21</v>
      </c>
      <c r="J3276" s="34">
        <v>0.1825</v>
      </c>
      <c r="K3276" s="34">
        <f t="shared" si="102"/>
        <v>3140.8249999999998</v>
      </c>
      <c r="L3276" s="34">
        <v>2.4</v>
      </c>
      <c r="M3276" s="34">
        <v>41304</v>
      </c>
      <c r="N3276" s="34">
        <f t="shared" si="103"/>
        <v>13.150684931506849</v>
      </c>
    </row>
    <row r="3277" spans="1:14" x14ac:dyDescent="0.45">
      <c r="A3277" s="30">
        <v>2024</v>
      </c>
      <c r="B3277" s="30" t="s">
        <v>12</v>
      </c>
      <c r="C3277" s="30" t="s">
        <v>46</v>
      </c>
      <c r="D3277" s="30" t="s">
        <v>47</v>
      </c>
      <c r="E3277" s="32" t="s">
        <v>452</v>
      </c>
      <c r="F3277" s="32" t="s">
        <v>134</v>
      </c>
      <c r="G3277" s="32" t="s">
        <v>50</v>
      </c>
      <c r="H3277" s="33">
        <v>40390</v>
      </c>
      <c r="I3277" s="34">
        <f>Table3[[#This Row],[Volume, kg.]]/1000</f>
        <v>40.39</v>
      </c>
      <c r="J3277" s="34">
        <v>0.2571</v>
      </c>
      <c r="K3277" s="34">
        <f t="shared" si="102"/>
        <v>10384.269</v>
      </c>
      <c r="L3277" s="34">
        <v>3.03</v>
      </c>
      <c r="M3277" s="34">
        <v>122459</v>
      </c>
      <c r="N3277" s="34">
        <f t="shared" si="103"/>
        <v>11.785297549591599</v>
      </c>
    </row>
    <row r="3278" spans="1:14" x14ac:dyDescent="0.45">
      <c r="A3278" s="30">
        <v>2024</v>
      </c>
      <c r="B3278" s="30" t="s">
        <v>12</v>
      </c>
      <c r="C3278" s="30" t="s">
        <v>46</v>
      </c>
      <c r="D3278" s="30" t="s">
        <v>47</v>
      </c>
      <c r="E3278" s="32" t="s">
        <v>483</v>
      </c>
      <c r="F3278" s="32" t="s">
        <v>238</v>
      </c>
      <c r="G3278" s="32" t="s">
        <v>50</v>
      </c>
      <c r="H3278" s="33">
        <v>251750</v>
      </c>
      <c r="I3278" s="34">
        <f>Table3[[#This Row],[Volume, kg.]]/1000</f>
        <v>251.75</v>
      </c>
      <c r="J3278" s="34">
        <v>0.18280000000000002</v>
      </c>
      <c r="K3278" s="34">
        <f t="shared" si="102"/>
        <v>46019.9</v>
      </c>
      <c r="L3278" s="34">
        <v>2.57</v>
      </c>
      <c r="M3278" s="34">
        <v>647168</v>
      </c>
      <c r="N3278" s="34">
        <f t="shared" si="103"/>
        <v>14.059080962800873</v>
      </c>
    </row>
    <row r="3279" spans="1:14" x14ac:dyDescent="0.45">
      <c r="A3279" s="30">
        <v>2024</v>
      </c>
      <c r="B3279" s="30" t="s">
        <v>12</v>
      </c>
      <c r="C3279" s="30" t="s">
        <v>46</v>
      </c>
      <c r="D3279" s="30" t="s">
        <v>47</v>
      </c>
      <c r="E3279" s="32" t="s">
        <v>488</v>
      </c>
      <c r="F3279" s="32" t="s">
        <v>57</v>
      </c>
      <c r="G3279" s="32" t="s">
        <v>50</v>
      </c>
      <c r="H3279" s="33">
        <v>31110</v>
      </c>
      <c r="I3279" s="34">
        <f>Table3[[#This Row],[Volume, kg.]]/1000</f>
        <v>31.11</v>
      </c>
      <c r="J3279" s="34">
        <v>0.1966</v>
      </c>
      <c r="K3279" s="34">
        <f t="shared" si="102"/>
        <v>6116.2259999999997</v>
      </c>
      <c r="L3279" s="34">
        <v>2.56</v>
      </c>
      <c r="M3279" s="34">
        <v>79601</v>
      </c>
      <c r="N3279" s="34">
        <f t="shared" si="103"/>
        <v>13.021363173957274</v>
      </c>
    </row>
    <row r="3280" spans="1:14" x14ac:dyDescent="0.45">
      <c r="A3280" s="30">
        <v>2024</v>
      </c>
      <c r="B3280" s="30" t="s">
        <v>12</v>
      </c>
      <c r="C3280" s="30" t="s">
        <v>46</v>
      </c>
      <c r="D3280" s="30" t="s">
        <v>47</v>
      </c>
      <c r="E3280" s="32" t="s">
        <v>489</v>
      </c>
      <c r="F3280" s="32" t="s">
        <v>81</v>
      </c>
      <c r="G3280" s="32" t="s">
        <v>50</v>
      </c>
      <c r="H3280" s="33">
        <v>51450</v>
      </c>
      <c r="I3280" s="34">
        <f>Table3[[#This Row],[Volume, kg.]]/1000</f>
        <v>51.45</v>
      </c>
      <c r="J3280" s="34">
        <v>0.17180000000000001</v>
      </c>
      <c r="K3280" s="34">
        <f t="shared" si="102"/>
        <v>8839.11</v>
      </c>
      <c r="L3280" s="34">
        <v>2.42</v>
      </c>
      <c r="M3280" s="34">
        <v>124368</v>
      </c>
      <c r="N3280" s="34">
        <f t="shared" si="103"/>
        <v>14.086146682188589</v>
      </c>
    </row>
    <row r="3281" spans="1:14" x14ac:dyDescent="0.45">
      <c r="A3281" s="30">
        <v>2024</v>
      </c>
      <c r="B3281" s="30" t="s">
        <v>12</v>
      </c>
      <c r="C3281" s="30" t="s">
        <v>46</v>
      </c>
      <c r="D3281" s="30" t="s">
        <v>47</v>
      </c>
      <c r="E3281" s="32" t="s">
        <v>492</v>
      </c>
      <c r="F3281" s="32" t="s">
        <v>57</v>
      </c>
      <c r="G3281" s="32" t="s">
        <v>50</v>
      </c>
      <c r="H3281" s="33">
        <v>41080</v>
      </c>
      <c r="I3281" s="34">
        <f>Table3[[#This Row],[Volume, kg.]]/1000</f>
        <v>41.08</v>
      </c>
      <c r="J3281" s="34">
        <v>0.21729999999999999</v>
      </c>
      <c r="K3281" s="34">
        <f t="shared" si="102"/>
        <v>8926.6839999999993</v>
      </c>
      <c r="L3281" s="34">
        <v>2.77</v>
      </c>
      <c r="M3281" s="34">
        <v>113889.5</v>
      </c>
      <c r="N3281" s="34">
        <f t="shared" si="103"/>
        <v>12.747353888633226</v>
      </c>
    </row>
    <row r="3282" spans="1:14" x14ac:dyDescent="0.45">
      <c r="A3282" s="30">
        <v>2024</v>
      </c>
      <c r="B3282" s="30" t="s">
        <v>12</v>
      </c>
      <c r="C3282" s="30" t="s">
        <v>46</v>
      </c>
      <c r="D3282" s="30" t="s">
        <v>47</v>
      </c>
      <c r="E3282" s="32" t="s">
        <v>517</v>
      </c>
      <c r="F3282" s="32" t="s">
        <v>57</v>
      </c>
      <c r="G3282" s="32" t="s">
        <v>50</v>
      </c>
      <c r="H3282" s="33">
        <v>11180</v>
      </c>
      <c r="I3282" s="34">
        <f>Table3[[#This Row],[Volume, kg.]]/1000</f>
        <v>11.18</v>
      </c>
      <c r="J3282" s="34">
        <v>0.17710000000000001</v>
      </c>
      <c r="K3282" s="34">
        <f t="shared" si="102"/>
        <v>1979.9780000000001</v>
      </c>
      <c r="L3282" s="34">
        <v>2.37</v>
      </c>
      <c r="M3282" s="34">
        <v>26493</v>
      </c>
      <c r="N3282" s="34">
        <f t="shared" si="103"/>
        <v>13.382269904009034</v>
      </c>
    </row>
    <row r="3283" spans="1:14" x14ac:dyDescent="0.45">
      <c r="A3283" s="30">
        <v>2024</v>
      </c>
      <c r="B3283" s="30" t="s">
        <v>12</v>
      </c>
      <c r="C3283" s="30" t="s">
        <v>46</v>
      </c>
      <c r="D3283" s="30" t="s">
        <v>47</v>
      </c>
      <c r="E3283" s="32" t="s">
        <v>539</v>
      </c>
      <c r="F3283" s="32" t="s">
        <v>57</v>
      </c>
      <c r="G3283" s="32" t="s">
        <v>50</v>
      </c>
      <c r="H3283" s="33">
        <v>8890</v>
      </c>
      <c r="I3283" s="34">
        <f>Table3[[#This Row],[Volume, kg.]]/1000</f>
        <v>8.89</v>
      </c>
      <c r="J3283" s="34">
        <v>0.20499999999999999</v>
      </c>
      <c r="K3283" s="34">
        <f t="shared" si="102"/>
        <v>1822.4499999999998</v>
      </c>
      <c r="L3283" s="34">
        <v>2.85</v>
      </c>
      <c r="M3283" s="34">
        <v>25336.5</v>
      </c>
      <c r="N3283" s="34">
        <f t="shared" si="103"/>
        <v>13.902439024390246</v>
      </c>
    </row>
    <row r="3284" spans="1:14" x14ac:dyDescent="0.45">
      <c r="A3284" s="30">
        <v>2024</v>
      </c>
      <c r="B3284" s="30" t="s">
        <v>12</v>
      </c>
      <c r="C3284" s="30" t="s">
        <v>46</v>
      </c>
      <c r="D3284" s="30" t="s">
        <v>102</v>
      </c>
      <c r="E3284" s="32" t="s">
        <v>552</v>
      </c>
      <c r="F3284" s="32" t="s">
        <v>238</v>
      </c>
      <c r="G3284" s="32" t="s">
        <v>50</v>
      </c>
      <c r="H3284" s="33">
        <v>407500</v>
      </c>
      <c r="I3284" s="34">
        <f>Table3[[#This Row],[Volume, kg.]]/1000</f>
        <v>407.5</v>
      </c>
      <c r="J3284" s="34">
        <v>0.1804</v>
      </c>
      <c r="K3284" s="34">
        <f t="shared" si="102"/>
        <v>73513</v>
      </c>
      <c r="L3284" s="34">
        <v>2.63</v>
      </c>
      <c r="M3284" s="34">
        <v>1073070.5</v>
      </c>
      <c r="N3284" s="34">
        <f t="shared" si="103"/>
        <v>14.578713968957871</v>
      </c>
    </row>
    <row r="3285" spans="1:14" x14ac:dyDescent="0.45">
      <c r="A3285" s="30">
        <v>2024</v>
      </c>
      <c r="B3285" s="30" t="s">
        <v>12</v>
      </c>
      <c r="C3285" s="30" t="s">
        <v>46</v>
      </c>
      <c r="D3285" s="30" t="s">
        <v>47</v>
      </c>
      <c r="E3285" s="32" t="s">
        <v>587</v>
      </c>
      <c r="F3285" s="32" t="s">
        <v>223</v>
      </c>
      <c r="G3285" s="32" t="s">
        <v>50</v>
      </c>
      <c r="H3285" s="33">
        <v>44720</v>
      </c>
      <c r="I3285" s="34">
        <f>Table3[[#This Row],[Volume, kg.]]/1000</f>
        <v>44.72</v>
      </c>
      <c r="J3285" s="34">
        <v>0.16800000000000001</v>
      </c>
      <c r="K3285" s="34">
        <f t="shared" si="102"/>
        <v>7512.96</v>
      </c>
      <c r="L3285" s="34">
        <v>2.34</v>
      </c>
      <c r="M3285" s="34">
        <v>104601.5</v>
      </c>
      <c r="N3285" s="34">
        <f t="shared" si="103"/>
        <v>13.928571428571427</v>
      </c>
    </row>
    <row r="3286" spans="1:14" x14ac:dyDescent="0.45">
      <c r="A3286" s="30">
        <v>2024</v>
      </c>
      <c r="B3286" s="30" t="s">
        <v>12</v>
      </c>
      <c r="C3286" s="30" t="s">
        <v>46</v>
      </c>
      <c r="D3286" s="30" t="s">
        <v>47</v>
      </c>
      <c r="E3286" s="32" t="s">
        <v>588</v>
      </c>
      <c r="F3286" s="32" t="s">
        <v>223</v>
      </c>
      <c r="G3286" s="32" t="s">
        <v>50</v>
      </c>
      <c r="H3286" s="33">
        <v>120900</v>
      </c>
      <c r="I3286" s="34">
        <f>Table3[[#This Row],[Volume, kg.]]/1000</f>
        <v>120.9</v>
      </c>
      <c r="J3286" s="34">
        <v>0.1656</v>
      </c>
      <c r="K3286" s="34">
        <f t="shared" si="102"/>
        <v>20021.04</v>
      </c>
      <c r="L3286" s="34">
        <v>2.37</v>
      </c>
      <c r="M3286" s="34">
        <v>286258</v>
      </c>
      <c r="N3286" s="34">
        <f t="shared" si="103"/>
        <v>14.311594202898551</v>
      </c>
    </row>
    <row r="3287" spans="1:14" x14ac:dyDescent="0.45">
      <c r="A3287" s="30">
        <v>2024</v>
      </c>
      <c r="B3287" s="30" t="s">
        <v>12</v>
      </c>
      <c r="C3287" s="30" t="s">
        <v>46</v>
      </c>
      <c r="D3287" s="30" t="s">
        <v>47</v>
      </c>
      <c r="E3287" s="32" t="s">
        <v>590</v>
      </c>
      <c r="F3287" s="32" t="s">
        <v>49</v>
      </c>
      <c r="G3287" s="32" t="s">
        <v>50</v>
      </c>
      <c r="H3287" s="33">
        <v>4100</v>
      </c>
      <c r="I3287" s="34">
        <f>Table3[[#This Row],[Volume, kg.]]/1000</f>
        <v>4.0999999999999996</v>
      </c>
      <c r="J3287" s="34">
        <v>0.21299999999999999</v>
      </c>
      <c r="K3287" s="34">
        <f t="shared" si="102"/>
        <v>873.3</v>
      </c>
      <c r="L3287" s="34">
        <v>2.85</v>
      </c>
      <c r="M3287" s="34">
        <v>11685</v>
      </c>
      <c r="N3287" s="34">
        <f t="shared" si="103"/>
        <v>13.380281690140846</v>
      </c>
    </row>
    <row r="3288" spans="1:14" x14ac:dyDescent="0.45">
      <c r="A3288" s="30">
        <v>2024</v>
      </c>
      <c r="B3288" s="30" t="s">
        <v>12</v>
      </c>
      <c r="C3288" s="30" t="s">
        <v>46</v>
      </c>
      <c r="D3288" s="30" t="s">
        <v>47</v>
      </c>
      <c r="E3288" s="32" t="s">
        <v>592</v>
      </c>
      <c r="F3288" s="32" t="s">
        <v>223</v>
      </c>
      <c r="G3288" s="32" t="s">
        <v>50</v>
      </c>
      <c r="H3288" s="33">
        <v>141010</v>
      </c>
      <c r="I3288" s="34">
        <f>Table3[[#This Row],[Volume, kg.]]/1000</f>
        <v>141.01</v>
      </c>
      <c r="J3288" s="34">
        <v>0.20100000000000001</v>
      </c>
      <c r="K3288" s="34">
        <f t="shared" si="102"/>
        <v>28343.010000000002</v>
      </c>
      <c r="L3288" s="34">
        <v>2.61</v>
      </c>
      <c r="M3288" s="34">
        <v>367815.5</v>
      </c>
      <c r="N3288" s="34">
        <f t="shared" si="103"/>
        <v>12.98507462686567</v>
      </c>
    </row>
    <row r="3289" spans="1:14" x14ac:dyDescent="0.45">
      <c r="A3289" s="30">
        <v>2024</v>
      </c>
      <c r="B3289" s="30" t="s">
        <v>12</v>
      </c>
      <c r="C3289" s="30" t="s">
        <v>46</v>
      </c>
      <c r="D3289" s="30" t="s">
        <v>47</v>
      </c>
      <c r="E3289" s="32" t="s">
        <v>612</v>
      </c>
      <c r="F3289" s="32" t="s">
        <v>57</v>
      </c>
      <c r="G3289" s="32" t="s">
        <v>50</v>
      </c>
      <c r="H3289" s="33">
        <v>101930</v>
      </c>
      <c r="I3289" s="34">
        <f>Table3[[#This Row],[Volume, kg.]]/1000</f>
        <v>101.93</v>
      </c>
      <c r="J3289" s="34">
        <v>0.1875</v>
      </c>
      <c r="K3289" s="34">
        <f t="shared" si="102"/>
        <v>19111.875</v>
      </c>
      <c r="L3289" s="34">
        <v>2.52</v>
      </c>
      <c r="M3289" s="34">
        <v>256849.5</v>
      </c>
      <c r="N3289" s="34">
        <f t="shared" si="103"/>
        <v>13.44</v>
      </c>
    </row>
    <row r="3290" spans="1:14" x14ac:dyDescent="0.45">
      <c r="A3290" s="30">
        <v>2024</v>
      </c>
      <c r="B3290" s="30" t="s">
        <v>12</v>
      </c>
      <c r="C3290" s="30" t="s">
        <v>46</v>
      </c>
      <c r="D3290" s="30" t="s">
        <v>47</v>
      </c>
      <c r="E3290" s="32" t="s">
        <v>594</v>
      </c>
      <c r="F3290" s="32" t="s">
        <v>223</v>
      </c>
      <c r="G3290" s="32" t="s">
        <v>50</v>
      </c>
      <c r="H3290" s="33">
        <v>146390</v>
      </c>
      <c r="I3290" s="34">
        <f>Table3[[#This Row],[Volume, kg.]]/1000</f>
        <v>146.38999999999999</v>
      </c>
      <c r="J3290" s="34">
        <v>0.23449999999999999</v>
      </c>
      <c r="K3290" s="34">
        <f t="shared" si="102"/>
        <v>34328.454999999994</v>
      </c>
      <c r="L3290" s="34">
        <v>2.84</v>
      </c>
      <c r="M3290" s="34">
        <v>416177</v>
      </c>
      <c r="N3290" s="34">
        <f t="shared" si="103"/>
        <v>12.110874200426439</v>
      </c>
    </row>
    <row r="3291" spans="1:14" x14ac:dyDescent="0.45">
      <c r="A3291" s="30">
        <v>2024</v>
      </c>
      <c r="B3291" s="30" t="s">
        <v>12</v>
      </c>
      <c r="C3291" s="30" t="s">
        <v>46</v>
      </c>
      <c r="D3291" s="30" t="s">
        <v>47</v>
      </c>
      <c r="E3291" s="32" t="s">
        <v>595</v>
      </c>
      <c r="F3291" s="32" t="s">
        <v>64</v>
      </c>
      <c r="G3291" s="32" t="s">
        <v>50</v>
      </c>
      <c r="H3291" s="33">
        <v>145350</v>
      </c>
      <c r="I3291" s="34">
        <f>Table3[[#This Row],[Volume, kg.]]/1000</f>
        <v>145.35</v>
      </c>
      <c r="J3291" s="34">
        <v>0.17460000000000001</v>
      </c>
      <c r="K3291" s="34">
        <f t="shared" si="102"/>
        <v>25378.11</v>
      </c>
      <c r="L3291" s="34">
        <v>2.5099999999999998</v>
      </c>
      <c r="M3291" s="34">
        <v>364279.5</v>
      </c>
      <c r="N3291" s="34">
        <f t="shared" si="103"/>
        <v>14.375715922107673</v>
      </c>
    </row>
    <row r="3292" spans="1:14" x14ac:dyDescent="0.45">
      <c r="A3292" s="30">
        <v>2024</v>
      </c>
      <c r="B3292" s="30" t="s">
        <v>12</v>
      </c>
      <c r="C3292" s="30" t="s">
        <v>46</v>
      </c>
      <c r="D3292" s="30" t="s">
        <v>47</v>
      </c>
      <c r="E3292" s="32" t="s">
        <v>606</v>
      </c>
      <c r="F3292" s="32" t="s">
        <v>49</v>
      </c>
      <c r="G3292" s="32" t="s">
        <v>50</v>
      </c>
      <c r="H3292" s="33">
        <v>29740</v>
      </c>
      <c r="I3292" s="34">
        <f>Table3[[#This Row],[Volume, kg.]]/1000</f>
        <v>29.74</v>
      </c>
      <c r="J3292" s="34">
        <v>0.15179999999999999</v>
      </c>
      <c r="K3292" s="34">
        <f t="shared" si="102"/>
        <v>4514.5320000000002</v>
      </c>
      <c r="L3292" s="34">
        <v>2.2000000000000002</v>
      </c>
      <c r="M3292" s="34">
        <v>65483</v>
      </c>
      <c r="N3292" s="34">
        <f t="shared" si="103"/>
        <v>14.492753623188408</v>
      </c>
    </row>
    <row r="3293" spans="1:14" x14ac:dyDescent="0.45">
      <c r="A3293" s="30">
        <v>2024</v>
      </c>
      <c r="B3293" s="30" t="s">
        <v>12</v>
      </c>
      <c r="C3293" s="30" t="s">
        <v>46</v>
      </c>
      <c r="D3293" s="30" t="s">
        <v>47</v>
      </c>
      <c r="E3293" s="32" t="s">
        <v>613</v>
      </c>
      <c r="F3293" s="32" t="s">
        <v>134</v>
      </c>
      <c r="G3293" s="32" t="s">
        <v>50</v>
      </c>
      <c r="H3293" s="33">
        <v>26600</v>
      </c>
      <c r="I3293" s="34">
        <f>Table3[[#This Row],[Volume, kg.]]/1000</f>
        <v>26.6</v>
      </c>
      <c r="J3293" s="34">
        <v>0.22030000000000002</v>
      </c>
      <c r="K3293" s="34">
        <f t="shared" si="102"/>
        <v>5859.9800000000005</v>
      </c>
      <c r="L3293" s="34">
        <v>2.9</v>
      </c>
      <c r="M3293" s="34">
        <v>77140</v>
      </c>
      <c r="N3293" s="34">
        <f t="shared" si="103"/>
        <v>13.163867453472536</v>
      </c>
    </row>
    <row r="3294" spans="1:14" x14ac:dyDescent="0.45">
      <c r="A3294" s="30">
        <v>2024</v>
      </c>
      <c r="B3294" s="30" t="s">
        <v>12</v>
      </c>
      <c r="C3294" s="30" t="s">
        <v>46</v>
      </c>
      <c r="D3294" s="30" t="s">
        <v>47</v>
      </c>
      <c r="E3294" s="32" t="s">
        <v>607</v>
      </c>
      <c r="F3294" s="32" t="s">
        <v>81</v>
      </c>
      <c r="G3294" s="32" t="s">
        <v>50</v>
      </c>
      <c r="H3294" s="33">
        <v>8940</v>
      </c>
      <c r="I3294" s="34">
        <f>Table3[[#This Row],[Volume, kg.]]/1000</f>
        <v>8.94</v>
      </c>
      <c r="J3294" s="34">
        <v>0.16500000000000001</v>
      </c>
      <c r="K3294" s="34">
        <f t="shared" si="102"/>
        <v>1475.1000000000001</v>
      </c>
      <c r="L3294" s="34">
        <v>2.35</v>
      </c>
      <c r="M3294" s="34">
        <v>21009</v>
      </c>
      <c r="N3294" s="34">
        <f t="shared" si="103"/>
        <v>14.242424242424242</v>
      </c>
    </row>
    <row r="3295" spans="1:14" x14ac:dyDescent="0.45">
      <c r="A3295" s="30">
        <v>2024</v>
      </c>
      <c r="B3295" s="30" t="s">
        <v>12</v>
      </c>
      <c r="C3295" s="30" t="s">
        <v>46</v>
      </c>
      <c r="D3295" s="30" t="s">
        <v>47</v>
      </c>
      <c r="E3295" s="32" t="s">
        <v>615</v>
      </c>
      <c r="F3295" s="32" t="s">
        <v>134</v>
      </c>
      <c r="G3295" s="32" t="s">
        <v>50</v>
      </c>
      <c r="H3295" s="33">
        <v>26940</v>
      </c>
      <c r="I3295" s="34">
        <f>Table3[[#This Row],[Volume, kg.]]/1000</f>
        <v>26.94</v>
      </c>
      <c r="J3295" s="34">
        <v>0.19409999999999999</v>
      </c>
      <c r="K3295" s="34">
        <f t="shared" si="102"/>
        <v>5229.0540000000001</v>
      </c>
      <c r="L3295" s="34">
        <v>2.75</v>
      </c>
      <c r="M3295" s="34">
        <v>74167</v>
      </c>
      <c r="N3295" s="34">
        <f t="shared" si="103"/>
        <v>14.16795466254508</v>
      </c>
    </row>
    <row r="3296" spans="1:14" x14ac:dyDescent="0.45">
      <c r="A3296" s="30">
        <v>2024</v>
      </c>
      <c r="B3296" s="30" t="s">
        <v>12</v>
      </c>
      <c r="C3296" s="30" t="s">
        <v>46</v>
      </c>
      <c r="D3296" s="30" t="s">
        <v>47</v>
      </c>
      <c r="E3296" s="32" t="s">
        <v>619</v>
      </c>
      <c r="F3296" s="32" t="s">
        <v>81</v>
      </c>
      <c r="G3296" s="32" t="s">
        <v>50</v>
      </c>
      <c r="H3296" s="33">
        <v>670</v>
      </c>
      <c r="I3296" s="34">
        <f>Table3[[#This Row],[Volume, kg.]]/1000</f>
        <v>0.67</v>
      </c>
      <c r="J3296" s="34">
        <v>0.14699999999999999</v>
      </c>
      <c r="K3296" s="34">
        <f t="shared" si="102"/>
        <v>98.49</v>
      </c>
      <c r="L3296" s="34">
        <v>2.5</v>
      </c>
      <c r="M3296" s="34">
        <v>1675</v>
      </c>
      <c r="N3296" s="34">
        <f t="shared" si="103"/>
        <v>17.006802721088437</v>
      </c>
    </row>
    <row r="3297" spans="1:14" x14ac:dyDescent="0.45">
      <c r="A3297" s="30">
        <v>2024</v>
      </c>
      <c r="B3297" s="30" t="s">
        <v>12</v>
      </c>
      <c r="C3297" s="30" t="s">
        <v>46</v>
      </c>
      <c r="D3297" s="30" t="s">
        <v>47</v>
      </c>
      <c r="E3297" s="32" t="s">
        <v>632</v>
      </c>
      <c r="F3297" s="32" t="s">
        <v>134</v>
      </c>
      <c r="G3297" s="32" t="s">
        <v>50</v>
      </c>
      <c r="H3297" s="33">
        <v>72110</v>
      </c>
      <c r="I3297" s="34">
        <f>Table3[[#This Row],[Volume, kg.]]/1000</f>
        <v>72.11</v>
      </c>
      <c r="J3297" s="34">
        <v>0.23050000000000001</v>
      </c>
      <c r="K3297" s="34">
        <f t="shared" si="102"/>
        <v>16621.355</v>
      </c>
      <c r="L3297" s="34">
        <v>2.92</v>
      </c>
      <c r="M3297" s="34">
        <v>210323.5</v>
      </c>
      <c r="N3297" s="34">
        <f t="shared" si="103"/>
        <v>12.668112798264641</v>
      </c>
    </row>
    <row r="3298" spans="1:14" x14ac:dyDescent="0.45">
      <c r="A3298" s="30">
        <v>2024</v>
      </c>
      <c r="B3298" s="30" t="s">
        <v>12</v>
      </c>
      <c r="C3298" s="30" t="s">
        <v>46</v>
      </c>
      <c r="D3298" s="30" t="s">
        <v>47</v>
      </c>
      <c r="E3298" s="32" t="s">
        <v>633</v>
      </c>
      <c r="F3298" s="32" t="s">
        <v>64</v>
      </c>
      <c r="G3298" s="32" t="s">
        <v>50</v>
      </c>
      <c r="H3298" s="33">
        <v>6790</v>
      </c>
      <c r="I3298" s="34">
        <f>Table3[[#This Row],[Volume, kg.]]/1000</f>
        <v>6.79</v>
      </c>
      <c r="J3298" s="34">
        <v>0.1565</v>
      </c>
      <c r="K3298" s="34">
        <f t="shared" si="102"/>
        <v>1062.635</v>
      </c>
      <c r="L3298" s="34">
        <v>2.35</v>
      </c>
      <c r="M3298" s="34">
        <v>15956.5</v>
      </c>
      <c r="N3298" s="34">
        <f t="shared" si="103"/>
        <v>15.015974440894569</v>
      </c>
    </row>
    <row r="3299" spans="1:14" x14ac:dyDescent="0.45">
      <c r="A3299" s="30">
        <v>2024</v>
      </c>
      <c r="B3299" s="30" t="s">
        <v>12</v>
      </c>
      <c r="C3299" s="30" t="s">
        <v>46</v>
      </c>
      <c r="D3299" s="30" t="s">
        <v>47</v>
      </c>
      <c r="E3299" s="32" t="s">
        <v>636</v>
      </c>
      <c r="F3299" s="32" t="s">
        <v>64</v>
      </c>
      <c r="G3299" s="32" t="s">
        <v>50</v>
      </c>
      <c r="H3299" s="33">
        <v>121870</v>
      </c>
      <c r="I3299" s="34">
        <f>Table3[[#This Row],[Volume, kg.]]/1000</f>
        <v>121.87</v>
      </c>
      <c r="J3299" s="34">
        <v>0.17550000000000002</v>
      </c>
      <c r="K3299" s="34">
        <f t="shared" si="102"/>
        <v>21388.185000000001</v>
      </c>
      <c r="L3299" s="34">
        <v>2.59</v>
      </c>
      <c r="M3299" s="34">
        <v>315542.5</v>
      </c>
      <c r="N3299" s="34">
        <f t="shared" si="103"/>
        <v>14.757834757834756</v>
      </c>
    </row>
    <row r="3300" spans="1:14" x14ac:dyDescent="0.45">
      <c r="A3300" s="30">
        <v>2024</v>
      </c>
      <c r="B3300" s="30" t="s">
        <v>12</v>
      </c>
      <c r="C3300" s="30" t="s">
        <v>46</v>
      </c>
      <c r="D3300" s="30" t="s">
        <v>47</v>
      </c>
      <c r="E3300" s="32" t="s">
        <v>642</v>
      </c>
      <c r="F3300" s="32" t="s">
        <v>64</v>
      </c>
      <c r="G3300" s="32" t="s">
        <v>50</v>
      </c>
      <c r="H3300" s="33">
        <v>51050</v>
      </c>
      <c r="I3300" s="34">
        <f>Table3[[#This Row],[Volume, kg.]]/1000</f>
        <v>51.05</v>
      </c>
      <c r="J3300" s="34">
        <v>0.22089999999999999</v>
      </c>
      <c r="K3300" s="34">
        <f t="shared" si="102"/>
        <v>11276.945</v>
      </c>
      <c r="L3300" s="34">
        <v>2.9</v>
      </c>
      <c r="M3300" s="34">
        <v>148290.5</v>
      </c>
      <c r="N3300" s="34">
        <f t="shared" si="103"/>
        <v>13.128112267994569</v>
      </c>
    </row>
    <row r="3301" spans="1:14" x14ac:dyDescent="0.45">
      <c r="A3301" s="30">
        <v>2024</v>
      </c>
      <c r="B3301" s="30" t="s">
        <v>12</v>
      </c>
      <c r="C3301" s="30" t="s">
        <v>46</v>
      </c>
      <c r="D3301" s="30" t="s">
        <v>47</v>
      </c>
      <c r="E3301" s="32" t="s">
        <v>643</v>
      </c>
      <c r="F3301" s="32" t="s">
        <v>57</v>
      </c>
      <c r="G3301" s="32" t="s">
        <v>50</v>
      </c>
      <c r="H3301" s="33">
        <v>3960</v>
      </c>
      <c r="I3301" s="34">
        <f>Table3[[#This Row],[Volume, kg.]]/1000</f>
        <v>3.96</v>
      </c>
      <c r="J3301" s="34">
        <v>0.17249999999999999</v>
      </c>
      <c r="K3301" s="34">
        <f t="shared" si="102"/>
        <v>683.09999999999991</v>
      </c>
      <c r="L3301" s="34">
        <v>2.65</v>
      </c>
      <c r="M3301" s="34">
        <v>10494</v>
      </c>
      <c r="N3301" s="34">
        <f t="shared" si="103"/>
        <v>15.362318840579711</v>
      </c>
    </row>
    <row r="3302" spans="1:14" x14ac:dyDescent="0.45">
      <c r="A3302" s="30">
        <v>2024</v>
      </c>
      <c r="B3302" s="30" t="s">
        <v>12</v>
      </c>
      <c r="C3302" s="30" t="s">
        <v>46</v>
      </c>
      <c r="D3302" s="30" t="s">
        <v>47</v>
      </c>
      <c r="E3302" s="32" t="s">
        <v>644</v>
      </c>
      <c r="F3302" s="32" t="s">
        <v>57</v>
      </c>
      <c r="G3302" s="32" t="s">
        <v>50</v>
      </c>
      <c r="H3302" s="33">
        <v>133080</v>
      </c>
      <c r="I3302" s="34">
        <f>Table3[[#This Row],[Volume, kg.]]/1000</f>
        <v>133.08000000000001</v>
      </c>
      <c r="J3302" s="34">
        <v>0.20230000000000001</v>
      </c>
      <c r="K3302" s="34">
        <f t="shared" si="102"/>
        <v>26922.084000000003</v>
      </c>
      <c r="L3302" s="34">
        <v>2.76</v>
      </c>
      <c r="M3302" s="34">
        <v>367055.5</v>
      </c>
      <c r="N3302" s="34">
        <f t="shared" si="103"/>
        <v>13.643104300543746</v>
      </c>
    </row>
    <row r="3303" spans="1:14" x14ac:dyDescent="0.45">
      <c r="A3303" s="30">
        <v>2024</v>
      </c>
      <c r="B3303" s="30" t="s">
        <v>12</v>
      </c>
      <c r="C3303" s="30" t="s">
        <v>46</v>
      </c>
      <c r="D3303" s="30" t="s">
        <v>47</v>
      </c>
      <c r="E3303" s="32" t="s">
        <v>645</v>
      </c>
      <c r="F3303" s="32" t="s">
        <v>238</v>
      </c>
      <c r="G3303" s="32" t="s">
        <v>50</v>
      </c>
      <c r="H3303" s="33">
        <v>76020</v>
      </c>
      <c r="I3303" s="34">
        <f>Table3[[#This Row],[Volume, kg.]]/1000</f>
        <v>76.02</v>
      </c>
      <c r="J3303" s="34">
        <v>0.15839999999999999</v>
      </c>
      <c r="K3303" s="34">
        <f t="shared" si="102"/>
        <v>12041.567999999999</v>
      </c>
      <c r="L3303" s="34">
        <v>2.35</v>
      </c>
      <c r="M3303" s="34">
        <v>178899</v>
      </c>
      <c r="N3303" s="34">
        <f t="shared" si="103"/>
        <v>14.835858585858588</v>
      </c>
    </row>
    <row r="3304" spans="1:14" x14ac:dyDescent="0.45">
      <c r="A3304" s="30">
        <v>2024</v>
      </c>
      <c r="B3304" s="30" t="s">
        <v>12</v>
      </c>
      <c r="C3304" s="30" t="s">
        <v>46</v>
      </c>
      <c r="D3304" s="30" t="s">
        <v>47</v>
      </c>
      <c r="E3304" s="32" t="s">
        <v>646</v>
      </c>
      <c r="F3304" s="32" t="s">
        <v>49</v>
      </c>
      <c r="G3304" s="32" t="s">
        <v>50</v>
      </c>
      <c r="H3304" s="33">
        <v>12620</v>
      </c>
      <c r="I3304" s="34">
        <f>Table3[[#This Row],[Volume, kg.]]/1000</f>
        <v>12.62</v>
      </c>
      <c r="J3304" s="34">
        <v>0.1656</v>
      </c>
      <c r="K3304" s="34">
        <f t="shared" si="102"/>
        <v>2089.8719999999998</v>
      </c>
      <c r="L3304" s="34">
        <v>2.56</v>
      </c>
      <c r="M3304" s="34">
        <v>32329</v>
      </c>
      <c r="N3304" s="34">
        <f t="shared" si="103"/>
        <v>15.458937198067634</v>
      </c>
    </row>
    <row r="3305" spans="1:14" x14ac:dyDescent="0.45">
      <c r="A3305" s="30">
        <v>2024</v>
      </c>
      <c r="B3305" s="30" t="s">
        <v>12</v>
      </c>
      <c r="C3305" s="30" t="s">
        <v>46</v>
      </c>
      <c r="D3305" s="30" t="s">
        <v>47</v>
      </c>
      <c r="E3305" s="32" t="s">
        <v>647</v>
      </c>
      <c r="F3305" s="32" t="s">
        <v>49</v>
      </c>
      <c r="G3305" s="32" t="s">
        <v>50</v>
      </c>
      <c r="H3305" s="33">
        <v>26890</v>
      </c>
      <c r="I3305" s="34">
        <f>Table3[[#This Row],[Volume, kg.]]/1000</f>
        <v>26.89</v>
      </c>
      <c r="J3305" s="34">
        <v>0.22620000000000001</v>
      </c>
      <c r="K3305" s="34">
        <f t="shared" si="102"/>
        <v>6082.518</v>
      </c>
      <c r="L3305" s="34">
        <v>2.78</v>
      </c>
      <c r="M3305" s="34">
        <v>74771</v>
      </c>
      <c r="N3305" s="34">
        <f t="shared" si="103"/>
        <v>12.290008841732979</v>
      </c>
    </row>
    <row r="3306" spans="1:14" x14ac:dyDescent="0.45">
      <c r="A3306" s="30">
        <v>2024</v>
      </c>
      <c r="B3306" s="30" t="s">
        <v>12</v>
      </c>
      <c r="C3306" s="30" t="s">
        <v>46</v>
      </c>
      <c r="D3306" s="30" t="s">
        <v>47</v>
      </c>
      <c r="E3306" s="32" t="s">
        <v>648</v>
      </c>
      <c r="F3306" s="32" t="s">
        <v>57</v>
      </c>
      <c r="G3306" s="32" t="s">
        <v>50</v>
      </c>
      <c r="H3306" s="33">
        <v>197020</v>
      </c>
      <c r="I3306" s="34">
        <f>Table3[[#This Row],[Volume, kg.]]/1000</f>
        <v>197.02</v>
      </c>
      <c r="J3306" s="34">
        <v>0.17300000000000001</v>
      </c>
      <c r="K3306" s="34">
        <f t="shared" si="102"/>
        <v>34084.460000000006</v>
      </c>
      <c r="L3306" s="34">
        <v>2.4300000000000002</v>
      </c>
      <c r="M3306" s="34">
        <v>478211.5</v>
      </c>
      <c r="N3306" s="34">
        <f t="shared" si="103"/>
        <v>14.046242774566474</v>
      </c>
    </row>
    <row r="3307" spans="1:14" x14ac:dyDescent="0.45">
      <c r="A3307" s="30">
        <v>2024</v>
      </c>
      <c r="B3307" s="30" t="s">
        <v>12</v>
      </c>
      <c r="C3307" s="30" t="s">
        <v>46</v>
      </c>
      <c r="D3307" s="30" t="s">
        <v>47</v>
      </c>
      <c r="E3307" s="32" t="s">
        <v>649</v>
      </c>
      <c r="F3307" s="32" t="s">
        <v>223</v>
      </c>
      <c r="G3307" s="32" t="s">
        <v>50</v>
      </c>
      <c r="H3307" s="33">
        <v>47850</v>
      </c>
      <c r="I3307" s="34">
        <f>Table3[[#This Row],[Volume, kg.]]/1000</f>
        <v>47.85</v>
      </c>
      <c r="J3307" s="34">
        <v>0.18160000000000001</v>
      </c>
      <c r="K3307" s="34">
        <f t="shared" si="102"/>
        <v>8689.5600000000013</v>
      </c>
      <c r="L3307" s="34">
        <v>2.57</v>
      </c>
      <c r="M3307" s="34">
        <v>122920</v>
      </c>
      <c r="N3307" s="34">
        <f t="shared" si="103"/>
        <v>14.151982378854624</v>
      </c>
    </row>
    <row r="3308" spans="1:14" x14ac:dyDescent="0.45">
      <c r="A3308" s="30">
        <v>2024</v>
      </c>
      <c r="B3308" s="30" t="s">
        <v>12</v>
      </c>
      <c r="C3308" s="30" t="s">
        <v>46</v>
      </c>
      <c r="D3308" s="30" t="s">
        <v>47</v>
      </c>
      <c r="E3308" s="32" t="s">
        <v>650</v>
      </c>
      <c r="F3308" s="32" t="s">
        <v>238</v>
      </c>
      <c r="G3308" s="32" t="s">
        <v>50</v>
      </c>
      <c r="H3308" s="33">
        <v>27650</v>
      </c>
      <c r="I3308" s="34">
        <f>Table3[[#This Row],[Volume, kg.]]/1000</f>
        <v>27.65</v>
      </c>
      <c r="J3308" s="34">
        <v>0.15890000000000001</v>
      </c>
      <c r="K3308" s="34">
        <f t="shared" si="102"/>
        <v>4393.585</v>
      </c>
      <c r="L3308" s="34">
        <v>2.33</v>
      </c>
      <c r="M3308" s="34">
        <v>64473.5</v>
      </c>
      <c r="N3308" s="34">
        <f t="shared" si="103"/>
        <v>14.663310258023914</v>
      </c>
    </row>
    <row r="3309" spans="1:14" x14ac:dyDescent="0.45">
      <c r="A3309" s="30">
        <v>2024</v>
      </c>
      <c r="B3309" s="30" t="s">
        <v>12</v>
      </c>
      <c r="C3309" s="30" t="s">
        <v>46</v>
      </c>
      <c r="D3309" s="30" t="s">
        <v>47</v>
      </c>
      <c r="E3309" s="32" t="s">
        <v>651</v>
      </c>
      <c r="F3309" s="32" t="s">
        <v>223</v>
      </c>
      <c r="G3309" s="32" t="s">
        <v>50</v>
      </c>
      <c r="H3309" s="33">
        <v>9910</v>
      </c>
      <c r="I3309" s="34">
        <f>Table3[[#This Row],[Volume, kg.]]/1000</f>
        <v>9.91</v>
      </c>
      <c r="J3309" s="34">
        <v>0.16649999999999998</v>
      </c>
      <c r="K3309" s="34">
        <f t="shared" si="102"/>
        <v>1650.0149999999999</v>
      </c>
      <c r="L3309" s="34">
        <v>2.4</v>
      </c>
      <c r="M3309" s="34">
        <v>23784</v>
      </c>
      <c r="N3309" s="34">
        <f t="shared" si="103"/>
        <v>14.414414414414415</v>
      </c>
    </row>
    <row r="3310" spans="1:14" x14ac:dyDescent="0.45">
      <c r="A3310" s="30">
        <v>2024</v>
      </c>
      <c r="B3310" s="30" t="s">
        <v>12</v>
      </c>
      <c r="C3310" s="30" t="s">
        <v>46</v>
      </c>
      <c r="D3310" s="30" t="s">
        <v>47</v>
      </c>
      <c r="E3310" s="32" t="s">
        <v>652</v>
      </c>
      <c r="F3310" s="32" t="s">
        <v>223</v>
      </c>
      <c r="G3310" s="32" t="s">
        <v>50</v>
      </c>
      <c r="H3310" s="33">
        <v>220</v>
      </c>
      <c r="I3310" s="34">
        <f>Table3[[#This Row],[Volume, kg.]]/1000</f>
        <v>0.22</v>
      </c>
      <c r="J3310" s="34">
        <v>0.13100000000000001</v>
      </c>
      <c r="K3310" s="34">
        <f t="shared" si="102"/>
        <v>28.82</v>
      </c>
      <c r="L3310" s="34">
        <v>2.15</v>
      </c>
      <c r="M3310" s="34">
        <v>473</v>
      </c>
      <c r="N3310" s="34">
        <f t="shared" si="103"/>
        <v>16.412213740458014</v>
      </c>
    </row>
    <row r="3311" spans="1:14" x14ac:dyDescent="0.45">
      <c r="A3311" s="30">
        <v>2024</v>
      </c>
      <c r="B3311" s="30" t="s">
        <v>12</v>
      </c>
      <c r="C3311" s="30" t="s">
        <v>46</v>
      </c>
      <c r="D3311" s="30" t="s">
        <v>47</v>
      </c>
      <c r="E3311" s="32" t="s">
        <v>653</v>
      </c>
      <c r="F3311" s="32" t="s">
        <v>60</v>
      </c>
      <c r="G3311" s="32" t="s">
        <v>50</v>
      </c>
      <c r="H3311" s="33">
        <v>37190</v>
      </c>
      <c r="I3311" s="34">
        <f>Table3[[#This Row],[Volume, kg.]]/1000</f>
        <v>37.19</v>
      </c>
      <c r="J3311" s="34">
        <v>0.17510000000000001</v>
      </c>
      <c r="K3311" s="34">
        <f t="shared" si="102"/>
        <v>6511.9690000000001</v>
      </c>
      <c r="L3311" s="34">
        <v>2.4</v>
      </c>
      <c r="M3311" s="34">
        <v>89387</v>
      </c>
      <c r="N3311" s="34">
        <f t="shared" si="103"/>
        <v>13.706453455168473</v>
      </c>
    </row>
    <row r="3312" spans="1:14" x14ac:dyDescent="0.45">
      <c r="A3312" s="30">
        <v>2024</v>
      </c>
      <c r="B3312" s="30" t="s">
        <v>12</v>
      </c>
      <c r="C3312" s="30" t="s">
        <v>46</v>
      </c>
      <c r="D3312" s="30" t="s">
        <v>47</v>
      </c>
      <c r="E3312" s="32" t="s">
        <v>654</v>
      </c>
      <c r="F3312" s="32" t="s">
        <v>281</v>
      </c>
      <c r="G3312" s="32" t="s">
        <v>50</v>
      </c>
      <c r="H3312" s="33">
        <v>13810</v>
      </c>
      <c r="I3312" s="34">
        <f>Table3[[#This Row],[Volume, kg.]]/1000</f>
        <v>13.81</v>
      </c>
      <c r="J3312" s="34">
        <v>0.17859999999999998</v>
      </c>
      <c r="K3312" s="34">
        <f t="shared" si="102"/>
        <v>2466.4659999999999</v>
      </c>
      <c r="L3312" s="34">
        <v>2.4</v>
      </c>
      <c r="M3312" s="34">
        <v>33173</v>
      </c>
      <c r="N3312" s="34">
        <f t="shared" si="103"/>
        <v>13.43784994400896</v>
      </c>
    </row>
    <row r="3313" spans="1:14" x14ac:dyDescent="0.45">
      <c r="A3313" s="30">
        <v>2024</v>
      </c>
      <c r="B3313" s="30" t="s">
        <v>13</v>
      </c>
      <c r="C3313" s="30" t="s">
        <v>46</v>
      </c>
      <c r="D3313" s="30" t="s">
        <v>102</v>
      </c>
      <c r="E3313" s="32" t="s">
        <v>239</v>
      </c>
      <c r="F3313" s="32" t="s">
        <v>240</v>
      </c>
      <c r="G3313" s="32" t="s">
        <v>50</v>
      </c>
      <c r="H3313" s="33">
        <v>22370</v>
      </c>
      <c r="I3313" s="34">
        <f>Table3[[#This Row],[Volume, kg.]]/1000</f>
        <v>22.37</v>
      </c>
      <c r="J3313" s="34">
        <v>0.1777</v>
      </c>
      <c r="K3313" s="34">
        <f t="shared" si="102"/>
        <v>3975.1489999999999</v>
      </c>
      <c r="L3313" s="34">
        <v>2.15</v>
      </c>
      <c r="M3313" s="34">
        <v>48095.5</v>
      </c>
      <c r="N3313" s="34">
        <f t="shared" si="103"/>
        <v>12.099043331457512</v>
      </c>
    </row>
    <row r="3314" spans="1:14" x14ac:dyDescent="0.45">
      <c r="A3314" s="30">
        <v>2024</v>
      </c>
      <c r="B3314" s="30" t="s">
        <v>13</v>
      </c>
      <c r="C3314" s="30" t="s">
        <v>46</v>
      </c>
      <c r="D3314" s="30" t="s">
        <v>102</v>
      </c>
      <c r="E3314" s="32" t="s">
        <v>188</v>
      </c>
      <c r="F3314" s="32" t="s">
        <v>189</v>
      </c>
      <c r="G3314" s="32" t="s">
        <v>128</v>
      </c>
      <c r="H3314" s="33">
        <v>167740</v>
      </c>
      <c r="I3314" s="34">
        <f>Table3[[#This Row],[Volume, kg.]]/1000</f>
        <v>167.74</v>
      </c>
      <c r="J3314" s="34">
        <v>0.17850000000000002</v>
      </c>
      <c r="K3314" s="34">
        <f t="shared" si="102"/>
        <v>29941.590000000004</v>
      </c>
      <c r="L3314" s="34">
        <v>2.14</v>
      </c>
      <c r="M3314" s="34">
        <v>359111.5</v>
      </c>
      <c r="N3314" s="34">
        <f t="shared" si="103"/>
        <v>11.988795518207283</v>
      </c>
    </row>
    <row r="3315" spans="1:14" x14ac:dyDescent="0.45">
      <c r="A3315" s="30">
        <v>2024</v>
      </c>
      <c r="B3315" s="30" t="s">
        <v>13</v>
      </c>
      <c r="C3315" s="30" t="s">
        <v>46</v>
      </c>
      <c r="D3315" s="30" t="s">
        <v>102</v>
      </c>
      <c r="E3315" s="32" t="s">
        <v>622</v>
      </c>
      <c r="F3315" s="32" t="s">
        <v>49</v>
      </c>
      <c r="G3315" s="32" t="s">
        <v>50</v>
      </c>
      <c r="H3315" s="33">
        <v>302670</v>
      </c>
      <c r="I3315" s="34">
        <f>Table3[[#This Row],[Volume, kg.]]/1000</f>
        <v>302.67</v>
      </c>
      <c r="J3315" s="34">
        <v>0.14800000000000002</v>
      </c>
      <c r="K3315" s="34">
        <f t="shared" si="102"/>
        <v>44795.16</v>
      </c>
      <c r="L3315" s="34">
        <v>2.0299999999999998</v>
      </c>
      <c r="M3315" s="34">
        <v>613543.5</v>
      </c>
      <c r="N3315" s="34">
        <f t="shared" si="103"/>
        <v>13.716216216216212</v>
      </c>
    </row>
    <row r="3316" spans="1:14" x14ac:dyDescent="0.45">
      <c r="A3316" s="30">
        <v>2024</v>
      </c>
      <c r="B3316" s="30" t="s">
        <v>13</v>
      </c>
      <c r="C3316" s="30" t="s">
        <v>46</v>
      </c>
      <c r="D3316" s="30" t="s">
        <v>47</v>
      </c>
      <c r="E3316" s="32" t="s">
        <v>426</v>
      </c>
      <c r="F3316" s="32" t="s">
        <v>49</v>
      </c>
      <c r="G3316" s="32" t="s">
        <v>50</v>
      </c>
      <c r="H3316" s="33">
        <v>15560</v>
      </c>
      <c r="I3316" s="34">
        <f>Table3[[#This Row],[Volume, kg.]]/1000</f>
        <v>15.56</v>
      </c>
      <c r="J3316" s="34">
        <v>0.1663</v>
      </c>
      <c r="K3316" s="34">
        <f t="shared" si="102"/>
        <v>2587.6280000000002</v>
      </c>
      <c r="L3316" s="34">
        <v>2.13</v>
      </c>
      <c r="M3316" s="34">
        <v>33097</v>
      </c>
      <c r="N3316" s="34">
        <f t="shared" si="103"/>
        <v>12.808177991581479</v>
      </c>
    </row>
    <row r="3317" spans="1:14" x14ac:dyDescent="0.45">
      <c r="A3317" s="30">
        <v>2024</v>
      </c>
      <c r="B3317" s="30" t="s">
        <v>13</v>
      </c>
      <c r="C3317" s="30" t="s">
        <v>46</v>
      </c>
      <c r="D3317" s="30" t="s">
        <v>47</v>
      </c>
      <c r="E3317" s="32" t="s">
        <v>181</v>
      </c>
      <c r="F3317" s="32" t="s">
        <v>57</v>
      </c>
      <c r="G3317" s="32" t="s">
        <v>50</v>
      </c>
      <c r="H3317" s="33">
        <v>8010</v>
      </c>
      <c r="I3317" s="34">
        <f>Table3[[#This Row],[Volume, kg.]]/1000</f>
        <v>8.01</v>
      </c>
      <c r="J3317" s="34">
        <v>0.217</v>
      </c>
      <c r="K3317" s="34">
        <f t="shared" si="102"/>
        <v>1738.17</v>
      </c>
      <c r="L3317" s="34">
        <v>2.35</v>
      </c>
      <c r="M3317" s="34">
        <v>18823.5</v>
      </c>
      <c r="N3317" s="34">
        <f t="shared" si="103"/>
        <v>10.829493087557605</v>
      </c>
    </row>
    <row r="3318" spans="1:14" x14ac:dyDescent="0.45">
      <c r="A3318" s="30">
        <v>2024</v>
      </c>
      <c r="B3318" s="30" t="s">
        <v>13</v>
      </c>
      <c r="C3318" s="30" t="s">
        <v>46</v>
      </c>
      <c r="D3318" s="30" t="s">
        <v>47</v>
      </c>
      <c r="E3318" s="32" t="s">
        <v>213</v>
      </c>
      <c r="F3318" s="32" t="s">
        <v>49</v>
      </c>
      <c r="G3318" s="32" t="s">
        <v>50</v>
      </c>
      <c r="H3318" s="33">
        <v>20740</v>
      </c>
      <c r="I3318" s="34">
        <f>Table3[[#This Row],[Volume, kg.]]/1000</f>
        <v>20.74</v>
      </c>
      <c r="J3318" s="34">
        <v>0.1643</v>
      </c>
      <c r="K3318" s="34">
        <f t="shared" si="102"/>
        <v>3407.5819999999999</v>
      </c>
      <c r="L3318" s="34">
        <v>2.06</v>
      </c>
      <c r="M3318" s="34">
        <v>42730.5</v>
      </c>
      <c r="N3318" s="34">
        <f t="shared" si="103"/>
        <v>12.538040170419963</v>
      </c>
    </row>
    <row r="3319" spans="1:14" x14ac:dyDescent="0.45">
      <c r="A3319" s="30">
        <v>2024</v>
      </c>
      <c r="B3319" s="30" t="s">
        <v>13</v>
      </c>
      <c r="C3319" s="30" t="s">
        <v>46</v>
      </c>
      <c r="D3319" s="30" t="s">
        <v>47</v>
      </c>
      <c r="E3319" s="32" t="s">
        <v>69</v>
      </c>
      <c r="F3319" s="32" t="s">
        <v>49</v>
      </c>
      <c r="G3319" s="32" t="s">
        <v>50</v>
      </c>
      <c r="H3319" s="33">
        <v>76710</v>
      </c>
      <c r="I3319" s="34">
        <f>Table3[[#This Row],[Volume, kg.]]/1000</f>
        <v>76.709999999999994</v>
      </c>
      <c r="J3319" s="34">
        <v>0.18100000000000002</v>
      </c>
      <c r="K3319" s="34">
        <f t="shared" si="102"/>
        <v>13884.510000000002</v>
      </c>
      <c r="L3319" s="34">
        <v>2.16</v>
      </c>
      <c r="M3319" s="34">
        <v>165576.5</v>
      </c>
      <c r="N3319" s="34">
        <f t="shared" si="103"/>
        <v>11.933701657458563</v>
      </c>
    </row>
    <row r="3320" spans="1:14" x14ac:dyDescent="0.45">
      <c r="A3320" s="30">
        <v>2024</v>
      </c>
      <c r="B3320" s="30" t="s">
        <v>13</v>
      </c>
      <c r="C3320" s="30" t="s">
        <v>46</v>
      </c>
      <c r="D3320" s="30" t="s">
        <v>47</v>
      </c>
      <c r="E3320" s="32" t="s">
        <v>202</v>
      </c>
      <c r="F3320" s="32" t="s">
        <v>57</v>
      </c>
      <c r="G3320" s="32" t="s">
        <v>50</v>
      </c>
      <c r="H3320" s="33">
        <v>4910</v>
      </c>
      <c r="I3320" s="34">
        <f>Table3[[#This Row],[Volume, kg.]]/1000</f>
        <v>4.91</v>
      </c>
      <c r="J3320" s="34">
        <v>0.1845</v>
      </c>
      <c r="K3320" s="34">
        <f t="shared" si="102"/>
        <v>905.89499999999998</v>
      </c>
      <c r="L3320" s="34">
        <v>2.15</v>
      </c>
      <c r="M3320" s="34">
        <v>10556.5</v>
      </c>
      <c r="N3320" s="34">
        <f t="shared" si="103"/>
        <v>11.653116531165312</v>
      </c>
    </row>
    <row r="3321" spans="1:14" x14ac:dyDescent="0.45">
      <c r="A3321" s="30">
        <v>2024</v>
      </c>
      <c r="B3321" s="30" t="s">
        <v>13</v>
      </c>
      <c r="C3321" s="30" t="s">
        <v>46</v>
      </c>
      <c r="D3321" s="30" t="s">
        <v>47</v>
      </c>
      <c r="E3321" s="32" t="s">
        <v>196</v>
      </c>
      <c r="F3321" s="32" t="s">
        <v>57</v>
      </c>
      <c r="G3321" s="32" t="s">
        <v>50</v>
      </c>
      <c r="H3321" s="33">
        <v>7890</v>
      </c>
      <c r="I3321" s="34">
        <f>Table3[[#This Row],[Volume, kg.]]/1000</f>
        <v>7.89</v>
      </c>
      <c r="J3321" s="34">
        <v>0.22149999999999997</v>
      </c>
      <c r="K3321" s="34">
        <f t="shared" si="102"/>
        <v>1747.6349999999998</v>
      </c>
      <c r="L3321" s="34">
        <v>2.4</v>
      </c>
      <c r="M3321" s="34">
        <v>18936</v>
      </c>
      <c r="N3321" s="34">
        <f t="shared" si="103"/>
        <v>10.835214446952596</v>
      </c>
    </row>
    <row r="3322" spans="1:14" x14ac:dyDescent="0.45">
      <c r="A3322" s="30">
        <v>2024</v>
      </c>
      <c r="B3322" s="30" t="s">
        <v>13</v>
      </c>
      <c r="C3322" s="30" t="s">
        <v>46</v>
      </c>
      <c r="D3322" s="30" t="s">
        <v>47</v>
      </c>
      <c r="E3322" s="32" t="s">
        <v>52</v>
      </c>
      <c r="F3322" s="32" t="s">
        <v>49</v>
      </c>
      <c r="G3322" s="32" t="s">
        <v>50</v>
      </c>
      <c r="H3322" s="33">
        <v>50040</v>
      </c>
      <c r="I3322" s="34">
        <f>Table3[[#This Row],[Volume, kg.]]/1000</f>
        <v>50.04</v>
      </c>
      <c r="J3322" s="34">
        <v>0.17649999999999999</v>
      </c>
      <c r="K3322" s="34">
        <f t="shared" si="102"/>
        <v>8832.06</v>
      </c>
      <c r="L3322" s="34">
        <v>2.14</v>
      </c>
      <c r="M3322" s="34">
        <v>107258</v>
      </c>
      <c r="N3322" s="34">
        <f t="shared" si="103"/>
        <v>12.124645892351277</v>
      </c>
    </row>
    <row r="3323" spans="1:14" x14ac:dyDescent="0.45">
      <c r="A3323" s="30">
        <v>2024</v>
      </c>
      <c r="B3323" s="30" t="s">
        <v>13</v>
      </c>
      <c r="C3323" s="30" t="s">
        <v>46</v>
      </c>
      <c r="D3323" s="30" t="s">
        <v>47</v>
      </c>
      <c r="E3323" s="32" t="s">
        <v>85</v>
      </c>
      <c r="F3323" s="32" t="s">
        <v>49</v>
      </c>
      <c r="G3323" s="32" t="s">
        <v>50</v>
      </c>
      <c r="H3323" s="33">
        <v>18440</v>
      </c>
      <c r="I3323" s="34">
        <f>Table3[[#This Row],[Volume, kg.]]/1000</f>
        <v>18.440000000000001</v>
      </c>
      <c r="J3323" s="34">
        <v>0.16</v>
      </c>
      <c r="K3323" s="34">
        <f t="shared" si="102"/>
        <v>2950.4</v>
      </c>
      <c r="L3323" s="34">
        <v>2.0499999999999998</v>
      </c>
      <c r="M3323" s="34">
        <v>37768</v>
      </c>
      <c r="N3323" s="34">
        <f t="shared" si="103"/>
        <v>12.812499999999998</v>
      </c>
    </row>
    <row r="3324" spans="1:14" x14ac:dyDescent="0.45">
      <c r="A3324" s="30">
        <v>2024</v>
      </c>
      <c r="B3324" s="30" t="s">
        <v>13</v>
      </c>
      <c r="C3324" s="30" t="s">
        <v>46</v>
      </c>
      <c r="D3324" s="30" t="s">
        <v>47</v>
      </c>
      <c r="E3324" s="32" t="s">
        <v>201</v>
      </c>
      <c r="F3324" s="32" t="s">
        <v>49</v>
      </c>
      <c r="G3324" s="32" t="s">
        <v>50</v>
      </c>
      <c r="H3324" s="33">
        <v>7830</v>
      </c>
      <c r="I3324" s="34">
        <f>Table3[[#This Row],[Volume, kg.]]/1000</f>
        <v>7.83</v>
      </c>
      <c r="J3324" s="34">
        <v>0.14099999999999999</v>
      </c>
      <c r="K3324" s="34">
        <f t="shared" si="102"/>
        <v>1104.03</v>
      </c>
      <c r="L3324" s="34">
        <v>1.95</v>
      </c>
      <c r="M3324" s="34">
        <v>15268.5</v>
      </c>
      <c r="N3324" s="34">
        <f t="shared" si="103"/>
        <v>13.829787234042554</v>
      </c>
    </row>
    <row r="3325" spans="1:14" x14ac:dyDescent="0.45">
      <c r="A3325" s="30">
        <v>2024</v>
      </c>
      <c r="B3325" s="30" t="s">
        <v>13</v>
      </c>
      <c r="C3325" s="30" t="s">
        <v>46</v>
      </c>
      <c r="D3325" s="30" t="s">
        <v>47</v>
      </c>
      <c r="E3325" s="32" t="s">
        <v>381</v>
      </c>
      <c r="F3325" s="32" t="s">
        <v>49</v>
      </c>
      <c r="G3325" s="32" t="s">
        <v>50</v>
      </c>
      <c r="H3325" s="33">
        <v>50340</v>
      </c>
      <c r="I3325" s="34">
        <f>Table3[[#This Row],[Volume, kg.]]/1000</f>
        <v>50.34</v>
      </c>
      <c r="J3325" s="34">
        <v>0.1802</v>
      </c>
      <c r="K3325" s="34">
        <f t="shared" si="102"/>
        <v>9071.268</v>
      </c>
      <c r="L3325" s="34">
        <v>2.15</v>
      </c>
      <c r="M3325" s="34">
        <v>108138.5</v>
      </c>
      <c r="N3325" s="34">
        <f t="shared" si="103"/>
        <v>11.931187569367369</v>
      </c>
    </row>
    <row r="3326" spans="1:14" x14ac:dyDescent="0.45">
      <c r="A3326" s="30">
        <v>2024</v>
      </c>
      <c r="B3326" s="30" t="s">
        <v>13</v>
      </c>
      <c r="C3326" s="30" t="s">
        <v>46</v>
      </c>
      <c r="D3326" s="30" t="s">
        <v>47</v>
      </c>
      <c r="E3326" s="32" t="s">
        <v>433</v>
      </c>
      <c r="F3326" s="32" t="s">
        <v>49</v>
      </c>
      <c r="G3326" s="32" t="s">
        <v>50</v>
      </c>
      <c r="H3326" s="33">
        <v>3850</v>
      </c>
      <c r="I3326" s="34">
        <f>Table3[[#This Row],[Volume, kg.]]/1000</f>
        <v>3.85</v>
      </c>
      <c r="J3326" s="34">
        <v>0.13650000000000001</v>
      </c>
      <c r="K3326" s="34">
        <f t="shared" si="102"/>
        <v>525.52500000000009</v>
      </c>
      <c r="L3326" s="34">
        <v>2</v>
      </c>
      <c r="M3326" s="34">
        <v>7700</v>
      </c>
      <c r="N3326" s="34">
        <f t="shared" si="103"/>
        <v>14.652014652014651</v>
      </c>
    </row>
    <row r="3327" spans="1:14" x14ac:dyDescent="0.45">
      <c r="A3327" s="30">
        <v>2024</v>
      </c>
      <c r="B3327" s="30" t="s">
        <v>13</v>
      </c>
      <c r="C3327" s="30" t="s">
        <v>46</v>
      </c>
      <c r="D3327" s="30" t="s">
        <v>47</v>
      </c>
      <c r="E3327" s="32" t="s">
        <v>235</v>
      </c>
      <c r="F3327" s="32" t="s">
        <v>57</v>
      </c>
      <c r="G3327" s="32" t="s">
        <v>50</v>
      </c>
      <c r="H3327" s="33">
        <v>5650</v>
      </c>
      <c r="I3327" s="34">
        <f>Table3[[#This Row],[Volume, kg.]]/1000</f>
        <v>5.65</v>
      </c>
      <c r="J3327" s="34">
        <v>0.20100000000000001</v>
      </c>
      <c r="K3327" s="34">
        <f t="shared" si="102"/>
        <v>1135.6500000000001</v>
      </c>
      <c r="L3327" s="34">
        <v>2.25</v>
      </c>
      <c r="M3327" s="34">
        <v>12712.5</v>
      </c>
      <c r="N3327" s="34">
        <f t="shared" si="103"/>
        <v>11.194029850746269</v>
      </c>
    </row>
    <row r="3328" spans="1:14" x14ac:dyDescent="0.45">
      <c r="A3328" s="30">
        <v>2024</v>
      </c>
      <c r="B3328" s="30" t="s">
        <v>13</v>
      </c>
      <c r="C3328" s="30" t="s">
        <v>46</v>
      </c>
      <c r="D3328" s="30" t="s">
        <v>47</v>
      </c>
      <c r="E3328" s="32" t="s">
        <v>149</v>
      </c>
      <c r="F3328" s="32" t="s">
        <v>49</v>
      </c>
      <c r="G3328" s="32" t="s">
        <v>50</v>
      </c>
      <c r="H3328" s="33">
        <v>15500</v>
      </c>
      <c r="I3328" s="34">
        <f>Table3[[#This Row],[Volume, kg.]]/1000</f>
        <v>15.5</v>
      </c>
      <c r="J3328" s="34">
        <v>0.19489999999999999</v>
      </c>
      <c r="K3328" s="34">
        <f t="shared" si="102"/>
        <v>3020.95</v>
      </c>
      <c r="L3328" s="34">
        <v>2.27</v>
      </c>
      <c r="M3328" s="34">
        <v>35136.5</v>
      </c>
      <c r="N3328" s="34">
        <f t="shared" si="103"/>
        <v>11.646998460749103</v>
      </c>
    </row>
    <row r="3329" spans="1:14" x14ac:dyDescent="0.45">
      <c r="A3329" s="30">
        <v>2024</v>
      </c>
      <c r="B3329" s="30" t="s">
        <v>13</v>
      </c>
      <c r="C3329" s="30" t="s">
        <v>46</v>
      </c>
      <c r="D3329" s="30" t="s">
        <v>47</v>
      </c>
      <c r="E3329" s="32" t="s">
        <v>246</v>
      </c>
      <c r="F3329" s="32" t="s">
        <v>49</v>
      </c>
      <c r="G3329" s="32" t="s">
        <v>50</v>
      </c>
      <c r="H3329" s="33">
        <v>7800</v>
      </c>
      <c r="I3329" s="34">
        <f>Table3[[#This Row],[Volume, kg.]]/1000</f>
        <v>7.8</v>
      </c>
      <c r="J3329" s="34">
        <v>0.19690000000000002</v>
      </c>
      <c r="K3329" s="34">
        <f t="shared" si="102"/>
        <v>1535.8200000000002</v>
      </c>
      <c r="L3329" s="34">
        <v>2.2400000000000002</v>
      </c>
      <c r="M3329" s="34">
        <v>17448</v>
      </c>
      <c r="N3329" s="34">
        <f t="shared" si="103"/>
        <v>11.376333164042661</v>
      </c>
    </row>
    <row r="3330" spans="1:14" x14ac:dyDescent="0.45">
      <c r="A3330" s="30">
        <v>2024</v>
      </c>
      <c r="B3330" s="30" t="s">
        <v>13</v>
      </c>
      <c r="C3330" s="30" t="s">
        <v>46</v>
      </c>
      <c r="D3330" s="30" t="s">
        <v>47</v>
      </c>
      <c r="E3330" s="32" t="s">
        <v>493</v>
      </c>
      <c r="F3330" s="32" t="s">
        <v>49</v>
      </c>
      <c r="G3330" s="32" t="s">
        <v>50</v>
      </c>
      <c r="H3330" s="33">
        <v>10500</v>
      </c>
      <c r="I3330" s="34">
        <f>Table3[[#This Row],[Volume, kg.]]/1000</f>
        <v>10.5</v>
      </c>
      <c r="J3330" s="34">
        <v>0.25850000000000001</v>
      </c>
      <c r="K3330" s="34">
        <f t="shared" si="102"/>
        <v>2714.25</v>
      </c>
      <c r="L3330" s="34">
        <v>2.5499999999999998</v>
      </c>
      <c r="M3330" s="34">
        <v>26775</v>
      </c>
      <c r="N3330" s="34">
        <f t="shared" si="103"/>
        <v>9.8646034816247568</v>
      </c>
    </row>
    <row r="3331" spans="1:14" x14ac:dyDescent="0.45">
      <c r="A3331" s="30">
        <v>2024</v>
      </c>
      <c r="B3331" s="30" t="s">
        <v>13</v>
      </c>
      <c r="C3331" s="30" t="s">
        <v>46</v>
      </c>
      <c r="D3331" s="30" t="s">
        <v>47</v>
      </c>
      <c r="E3331" s="32" t="s">
        <v>208</v>
      </c>
      <c r="F3331" s="32" t="s">
        <v>49</v>
      </c>
      <c r="G3331" s="32" t="s">
        <v>50</v>
      </c>
      <c r="H3331" s="33">
        <v>79630</v>
      </c>
      <c r="I3331" s="34">
        <f>Table3[[#This Row],[Volume, kg.]]/1000</f>
        <v>79.63</v>
      </c>
      <c r="J3331" s="34">
        <v>0.17749999999999999</v>
      </c>
      <c r="K3331" s="34">
        <f t="shared" ref="K3331:K3394" si="104">H3331*J3331</f>
        <v>14134.324999999999</v>
      </c>
      <c r="L3331" s="34">
        <v>2.15</v>
      </c>
      <c r="M3331" s="34">
        <v>171164</v>
      </c>
      <c r="N3331" s="34">
        <f t="shared" si="103"/>
        <v>12.112676056338028</v>
      </c>
    </row>
    <row r="3332" spans="1:14" x14ac:dyDescent="0.45">
      <c r="A3332" s="30">
        <v>2024</v>
      </c>
      <c r="B3332" s="30" t="s">
        <v>13</v>
      </c>
      <c r="C3332" s="30" t="s">
        <v>46</v>
      </c>
      <c r="D3332" s="30" t="s">
        <v>47</v>
      </c>
      <c r="E3332" s="32" t="s">
        <v>71</v>
      </c>
      <c r="F3332" s="32" t="s">
        <v>49</v>
      </c>
      <c r="G3332" s="32" t="s">
        <v>50</v>
      </c>
      <c r="H3332" s="33">
        <v>16330</v>
      </c>
      <c r="I3332" s="34">
        <f>Table3[[#This Row],[Volume, kg.]]/1000</f>
        <v>16.329999999999998</v>
      </c>
      <c r="J3332" s="34">
        <v>0.19030000000000002</v>
      </c>
      <c r="K3332" s="34">
        <f t="shared" si="104"/>
        <v>3107.5990000000006</v>
      </c>
      <c r="L3332" s="34">
        <v>2.2000000000000002</v>
      </c>
      <c r="M3332" s="34">
        <v>35926</v>
      </c>
      <c r="N3332" s="34">
        <f t="shared" ref="N3332:N3395" si="105">L3332/J3332</f>
        <v>11.560693641618496</v>
      </c>
    </row>
    <row r="3333" spans="1:14" x14ac:dyDescent="0.45">
      <c r="A3333" s="30">
        <v>2024</v>
      </c>
      <c r="B3333" s="30" t="s">
        <v>13</v>
      </c>
      <c r="C3333" s="30" t="s">
        <v>46</v>
      </c>
      <c r="D3333" s="30" t="s">
        <v>47</v>
      </c>
      <c r="E3333" s="32" t="s">
        <v>123</v>
      </c>
      <c r="F3333" s="32" t="s">
        <v>49</v>
      </c>
      <c r="G3333" s="32" t="s">
        <v>50</v>
      </c>
      <c r="H3333" s="33">
        <v>3460</v>
      </c>
      <c r="I3333" s="34">
        <f>Table3[[#This Row],[Volume, kg.]]/1000</f>
        <v>3.46</v>
      </c>
      <c r="J3333" s="34">
        <v>0.16200000000000001</v>
      </c>
      <c r="K3333" s="34">
        <f t="shared" si="104"/>
        <v>560.52</v>
      </c>
      <c r="L3333" s="34">
        <v>2.0499999999999998</v>
      </c>
      <c r="M3333" s="34">
        <v>7093</v>
      </c>
      <c r="N3333" s="34">
        <f t="shared" si="105"/>
        <v>12.654320987654319</v>
      </c>
    </row>
    <row r="3334" spans="1:14" x14ac:dyDescent="0.45">
      <c r="A3334" s="30">
        <v>2024</v>
      </c>
      <c r="B3334" s="30" t="s">
        <v>13</v>
      </c>
      <c r="C3334" s="30" t="s">
        <v>46</v>
      </c>
      <c r="D3334" s="30" t="s">
        <v>47</v>
      </c>
      <c r="E3334" s="32" t="s">
        <v>165</v>
      </c>
      <c r="F3334" s="32" t="s">
        <v>57</v>
      </c>
      <c r="G3334" s="32" t="s">
        <v>50</v>
      </c>
      <c r="H3334" s="33">
        <v>28540</v>
      </c>
      <c r="I3334" s="34">
        <f>Table3[[#This Row],[Volume, kg.]]/1000</f>
        <v>28.54</v>
      </c>
      <c r="J3334" s="34">
        <v>0.1862</v>
      </c>
      <c r="K3334" s="34">
        <f t="shared" si="104"/>
        <v>5314.1480000000001</v>
      </c>
      <c r="L3334" s="34">
        <v>2.19</v>
      </c>
      <c r="M3334" s="34">
        <v>62402.5</v>
      </c>
      <c r="N3334" s="34">
        <f t="shared" si="105"/>
        <v>11.761546723952739</v>
      </c>
    </row>
    <row r="3335" spans="1:14" x14ac:dyDescent="0.45">
      <c r="A3335" s="30">
        <v>2024</v>
      </c>
      <c r="B3335" s="30" t="s">
        <v>13</v>
      </c>
      <c r="C3335" s="30" t="s">
        <v>46</v>
      </c>
      <c r="D3335" s="30" t="s">
        <v>47</v>
      </c>
      <c r="E3335" s="32" t="s">
        <v>226</v>
      </c>
      <c r="F3335" s="32" t="s">
        <v>60</v>
      </c>
      <c r="G3335" s="32" t="s">
        <v>50</v>
      </c>
      <c r="H3335" s="33">
        <v>10560</v>
      </c>
      <c r="I3335" s="34">
        <f>Table3[[#This Row],[Volume, kg.]]/1000</f>
        <v>10.56</v>
      </c>
      <c r="J3335" s="34">
        <v>0.21230000000000002</v>
      </c>
      <c r="K3335" s="34">
        <f t="shared" si="104"/>
        <v>2241.8880000000004</v>
      </c>
      <c r="L3335" s="34">
        <v>2.3199999999999998</v>
      </c>
      <c r="M3335" s="34">
        <v>24500.5</v>
      </c>
      <c r="N3335" s="34">
        <f t="shared" si="105"/>
        <v>10.927932171455486</v>
      </c>
    </row>
    <row r="3336" spans="1:14" x14ac:dyDescent="0.45">
      <c r="A3336" s="30">
        <v>2024</v>
      </c>
      <c r="B3336" s="30" t="s">
        <v>13</v>
      </c>
      <c r="C3336" s="30" t="s">
        <v>46</v>
      </c>
      <c r="D3336" s="30" t="s">
        <v>47</v>
      </c>
      <c r="E3336" s="32" t="s">
        <v>182</v>
      </c>
      <c r="F3336" s="32" t="s">
        <v>81</v>
      </c>
      <c r="G3336" s="32" t="s">
        <v>50</v>
      </c>
      <c r="H3336" s="33">
        <v>30200</v>
      </c>
      <c r="I3336" s="34">
        <f>Table3[[#This Row],[Volume, kg.]]/1000</f>
        <v>30.2</v>
      </c>
      <c r="J3336" s="34">
        <v>0.20329999999999998</v>
      </c>
      <c r="K3336" s="34">
        <f t="shared" si="104"/>
        <v>6139.66</v>
      </c>
      <c r="L3336" s="34">
        <v>2.2799999999999998</v>
      </c>
      <c r="M3336" s="34">
        <v>68933</v>
      </c>
      <c r="N3336" s="34">
        <f t="shared" si="105"/>
        <v>11.214953271028037</v>
      </c>
    </row>
    <row r="3337" spans="1:14" x14ac:dyDescent="0.45">
      <c r="A3337" s="30">
        <v>2024</v>
      </c>
      <c r="B3337" s="30" t="s">
        <v>13</v>
      </c>
      <c r="C3337" s="30" t="s">
        <v>46</v>
      </c>
      <c r="D3337" s="30" t="s">
        <v>47</v>
      </c>
      <c r="E3337" s="32" t="s">
        <v>73</v>
      </c>
      <c r="F3337" s="32" t="s">
        <v>49</v>
      </c>
      <c r="G3337" s="32" t="s">
        <v>50</v>
      </c>
      <c r="H3337" s="33">
        <v>8790</v>
      </c>
      <c r="I3337" s="34">
        <f>Table3[[#This Row],[Volume, kg.]]/1000</f>
        <v>8.7899999999999991</v>
      </c>
      <c r="J3337" s="34">
        <v>0.17180000000000001</v>
      </c>
      <c r="K3337" s="34">
        <f t="shared" si="104"/>
        <v>1510.1220000000001</v>
      </c>
      <c r="L3337" s="34">
        <v>2.13</v>
      </c>
      <c r="M3337" s="34">
        <v>18694.5</v>
      </c>
      <c r="N3337" s="34">
        <f t="shared" si="105"/>
        <v>12.398137369033758</v>
      </c>
    </row>
    <row r="3338" spans="1:14" x14ac:dyDescent="0.45">
      <c r="A3338" s="30">
        <v>2024</v>
      </c>
      <c r="B3338" s="30" t="s">
        <v>13</v>
      </c>
      <c r="C3338" s="30" t="s">
        <v>46</v>
      </c>
      <c r="D3338" s="30" t="s">
        <v>47</v>
      </c>
      <c r="E3338" s="32" t="s">
        <v>65</v>
      </c>
      <c r="F3338" s="32" t="s">
        <v>49</v>
      </c>
      <c r="G3338" s="32" t="s">
        <v>50</v>
      </c>
      <c r="H3338" s="33">
        <v>24430</v>
      </c>
      <c r="I3338" s="34">
        <f>Table3[[#This Row],[Volume, kg.]]/1000</f>
        <v>24.43</v>
      </c>
      <c r="J3338" s="34">
        <v>0.1895</v>
      </c>
      <c r="K3338" s="34">
        <f t="shared" si="104"/>
        <v>4629.4849999999997</v>
      </c>
      <c r="L3338" s="34">
        <v>2.2200000000000002</v>
      </c>
      <c r="M3338" s="34">
        <v>54242</v>
      </c>
      <c r="N3338" s="34">
        <f t="shared" si="105"/>
        <v>11.715039577836412</v>
      </c>
    </row>
    <row r="3339" spans="1:14" x14ac:dyDescent="0.45">
      <c r="A3339" s="30">
        <v>2024</v>
      </c>
      <c r="B3339" s="30" t="s">
        <v>13</v>
      </c>
      <c r="C3339" s="30" t="s">
        <v>46</v>
      </c>
      <c r="D3339" s="30" t="s">
        <v>47</v>
      </c>
      <c r="E3339" s="32" t="s">
        <v>245</v>
      </c>
      <c r="F3339" s="32" t="s">
        <v>57</v>
      </c>
      <c r="G3339" s="32" t="s">
        <v>50</v>
      </c>
      <c r="H3339" s="33">
        <v>23040</v>
      </c>
      <c r="I3339" s="34">
        <f>Table3[[#This Row],[Volume, kg.]]/1000</f>
        <v>23.04</v>
      </c>
      <c r="J3339" s="34">
        <v>0.17129999999999998</v>
      </c>
      <c r="K3339" s="34">
        <f t="shared" si="104"/>
        <v>3946.7519999999995</v>
      </c>
      <c r="L3339" s="34">
        <v>2.12</v>
      </c>
      <c r="M3339" s="34">
        <v>48896.5</v>
      </c>
      <c r="N3339" s="34">
        <f t="shared" si="105"/>
        <v>12.375948628137772</v>
      </c>
    </row>
    <row r="3340" spans="1:14" x14ac:dyDescent="0.45">
      <c r="A3340" s="30">
        <v>2024</v>
      </c>
      <c r="B3340" s="30" t="s">
        <v>13</v>
      </c>
      <c r="C3340" s="30" t="s">
        <v>46</v>
      </c>
      <c r="D3340" s="30" t="s">
        <v>47</v>
      </c>
      <c r="E3340" s="32" t="s">
        <v>163</v>
      </c>
      <c r="F3340" s="32" t="s">
        <v>60</v>
      </c>
      <c r="G3340" s="32" t="s">
        <v>50</v>
      </c>
      <c r="H3340" s="33">
        <v>90600</v>
      </c>
      <c r="I3340" s="34">
        <f>Table3[[#This Row],[Volume, kg.]]/1000</f>
        <v>90.6</v>
      </c>
      <c r="J3340" s="34">
        <v>0.20949999999999999</v>
      </c>
      <c r="K3340" s="34">
        <f t="shared" si="104"/>
        <v>18980.7</v>
      </c>
      <c r="L3340" s="34">
        <v>2.31</v>
      </c>
      <c r="M3340" s="34">
        <v>209344.5</v>
      </c>
      <c r="N3340" s="34">
        <f t="shared" si="105"/>
        <v>11.026252983293556</v>
      </c>
    </row>
    <row r="3341" spans="1:14" x14ac:dyDescent="0.45">
      <c r="A3341" s="30">
        <v>2024</v>
      </c>
      <c r="B3341" s="30" t="s">
        <v>13</v>
      </c>
      <c r="C3341" s="30" t="s">
        <v>46</v>
      </c>
      <c r="D3341" s="30" t="s">
        <v>47</v>
      </c>
      <c r="E3341" s="32" t="s">
        <v>229</v>
      </c>
      <c r="F3341" s="32" t="s">
        <v>57</v>
      </c>
      <c r="G3341" s="32" t="s">
        <v>50</v>
      </c>
      <c r="H3341" s="33">
        <v>6640</v>
      </c>
      <c r="I3341" s="34">
        <f>Table3[[#This Row],[Volume, kg.]]/1000</f>
        <v>6.64</v>
      </c>
      <c r="J3341" s="34">
        <v>0.1925</v>
      </c>
      <c r="K3341" s="34">
        <f t="shared" si="104"/>
        <v>1278.2</v>
      </c>
      <c r="L3341" s="34">
        <v>2.2000000000000002</v>
      </c>
      <c r="M3341" s="34">
        <v>14608</v>
      </c>
      <c r="N3341" s="34">
        <f t="shared" si="105"/>
        <v>11.428571428571429</v>
      </c>
    </row>
    <row r="3342" spans="1:14" x14ac:dyDescent="0.45">
      <c r="A3342" s="30">
        <v>2024</v>
      </c>
      <c r="B3342" s="30" t="s">
        <v>13</v>
      </c>
      <c r="C3342" s="30" t="s">
        <v>46</v>
      </c>
      <c r="D3342" s="30" t="s">
        <v>47</v>
      </c>
      <c r="E3342" s="32" t="s">
        <v>251</v>
      </c>
      <c r="F3342" s="32" t="s">
        <v>49</v>
      </c>
      <c r="G3342" s="32" t="s">
        <v>50</v>
      </c>
      <c r="H3342" s="33">
        <v>4610</v>
      </c>
      <c r="I3342" s="34">
        <f>Table3[[#This Row],[Volume, kg.]]/1000</f>
        <v>4.6100000000000003</v>
      </c>
      <c r="J3342" s="34">
        <v>0.1595</v>
      </c>
      <c r="K3342" s="34">
        <f t="shared" si="104"/>
        <v>735.29499999999996</v>
      </c>
      <c r="L3342" s="34">
        <v>2.0499999999999998</v>
      </c>
      <c r="M3342" s="34">
        <v>9450.5</v>
      </c>
      <c r="N3342" s="34">
        <f t="shared" si="105"/>
        <v>12.852664576802507</v>
      </c>
    </row>
    <row r="3343" spans="1:14" x14ac:dyDescent="0.45">
      <c r="A3343" s="30">
        <v>2024</v>
      </c>
      <c r="B3343" s="30" t="s">
        <v>13</v>
      </c>
      <c r="C3343" s="30" t="s">
        <v>46</v>
      </c>
      <c r="D3343" s="30" t="s">
        <v>47</v>
      </c>
      <c r="E3343" s="32" t="s">
        <v>655</v>
      </c>
      <c r="F3343" s="32" t="s">
        <v>49</v>
      </c>
      <c r="G3343" s="32" t="s">
        <v>50</v>
      </c>
      <c r="H3343" s="33">
        <v>1410</v>
      </c>
      <c r="I3343" s="34">
        <f>Table3[[#This Row],[Volume, kg.]]/1000</f>
        <v>1.41</v>
      </c>
      <c r="J3343" s="34">
        <v>0.20550000000000002</v>
      </c>
      <c r="K3343" s="34">
        <f t="shared" si="104"/>
        <v>289.755</v>
      </c>
      <c r="L3343" s="34">
        <v>2.35</v>
      </c>
      <c r="M3343" s="34">
        <v>3313.5</v>
      </c>
      <c r="N3343" s="34">
        <f t="shared" si="105"/>
        <v>11.435523114355231</v>
      </c>
    </row>
    <row r="3344" spans="1:14" x14ac:dyDescent="0.45">
      <c r="A3344" s="30">
        <v>2024</v>
      </c>
      <c r="B3344" s="30" t="s">
        <v>13</v>
      </c>
      <c r="C3344" s="30" t="s">
        <v>46</v>
      </c>
      <c r="D3344" s="30" t="s">
        <v>47</v>
      </c>
      <c r="E3344" s="32" t="s">
        <v>301</v>
      </c>
      <c r="F3344" s="32" t="s">
        <v>60</v>
      </c>
      <c r="G3344" s="32" t="s">
        <v>50</v>
      </c>
      <c r="H3344" s="33">
        <v>7440</v>
      </c>
      <c r="I3344" s="34">
        <f>Table3[[#This Row],[Volume, kg.]]/1000</f>
        <v>7.44</v>
      </c>
      <c r="J3344" s="34">
        <v>0.20649999999999999</v>
      </c>
      <c r="K3344" s="34">
        <f t="shared" si="104"/>
        <v>1536.36</v>
      </c>
      <c r="L3344" s="34">
        <v>2.2999999999999998</v>
      </c>
      <c r="M3344" s="34">
        <v>17112</v>
      </c>
      <c r="N3344" s="34">
        <f t="shared" si="105"/>
        <v>11.138014527845035</v>
      </c>
    </row>
    <row r="3345" spans="1:14" x14ac:dyDescent="0.45">
      <c r="A3345" s="30">
        <v>2024</v>
      </c>
      <c r="B3345" s="30" t="s">
        <v>13</v>
      </c>
      <c r="C3345" s="30" t="s">
        <v>46</v>
      </c>
      <c r="D3345" s="30" t="s">
        <v>47</v>
      </c>
      <c r="E3345" s="32" t="s">
        <v>174</v>
      </c>
      <c r="F3345" s="32" t="s">
        <v>57</v>
      </c>
      <c r="G3345" s="32" t="s">
        <v>50</v>
      </c>
      <c r="H3345" s="33">
        <v>3810</v>
      </c>
      <c r="I3345" s="34">
        <f>Table3[[#This Row],[Volume, kg.]]/1000</f>
        <v>3.81</v>
      </c>
      <c r="J3345" s="34">
        <v>0.22500000000000001</v>
      </c>
      <c r="K3345" s="34">
        <f t="shared" si="104"/>
        <v>857.25</v>
      </c>
      <c r="L3345" s="34">
        <v>2.4</v>
      </c>
      <c r="M3345" s="34">
        <v>9144</v>
      </c>
      <c r="N3345" s="34">
        <f t="shared" si="105"/>
        <v>10.666666666666666</v>
      </c>
    </row>
    <row r="3346" spans="1:14" x14ac:dyDescent="0.45">
      <c r="A3346" s="30">
        <v>2024</v>
      </c>
      <c r="B3346" s="30" t="s">
        <v>13</v>
      </c>
      <c r="C3346" s="30" t="s">
        <v>46</v>
      </c>
      <c r="D3346" s="30" t="s">
        <v>47</v>
      </c>
      <c r="E3346" s="32" t="s">
        <v>51</v>
      </c>
      <c r="F3346" s="32" t="s">
        <v>49</v>
      </c>
      <c r="G3346" s="32" t="s">
        <v>50</v>
      </c>
      <c r="H3346" s="33">
        <v>9540</v>
      </c>
      <c r="I3346" s="34">
        <f>Table3[[#This Row],[Volume, kg.]]/1000</f>
        <v>9.5399999999999991</v>
      </c>
      <c r="J3346" s="34">
        <v>0.1532</v>
      </c>
      <c r="K3346" s="34">
        <f t="shared" si="104"/>
        <v>1461.528</v>
      </c>
      <c r="L3346" s="34">
        <v>2.02</v>
      </c>
      <c r="M3346" s="34">
        <v>19252</v>
      </c>
      <c r="N3346" s="34">
        <f t="shared" si="105"/>
        <v>13.185378590078329</v>
      </c>
    </row>
    <row r="3347" spans="1:14" x14ac:dyDescent="0.45">
      <c r="A3347" s="30">
        <v>2024</v>
      </c>
      <c r="B3347" s="30" t="s">
        <v>13</v>
      </c>
      <c r="C3347" s="30" t="s">
        <v>46</v>
      </c>
      <c r="D3347" s="30" t="s">
        <v>47</v>
      </c>
      <c r="E3347" s="32" t="s">
        <v>179</v>
      </c>
      <c r="F3347" s="32" t="s">
        <v>60</v>
      </c>
      <c r="G3347" s="32" t="s">
        <v>50</v>
      </c>
      <c r="H3347" s="33">
        <v>14340</v>
      </c>
      <c r="I3347" s="34">
        <f>Table3[[#This Row],[Volume, kg.]]/1000</f>
        <v>14.34</v>
      </c>
      <c r="J3347" s="34">
        <v>0.19820000000000002</v>
      </c>
      <c r="K3347" s="34">
        <f t="shared" si="104"/>
        <v>2842.1880000000001</v>
      </c>
      <c r="L3347" s="34">
        <v>2.2200000000000002</v>
      </c>
      <c r="M3347" s="34">
        <v>31887</v>
      </c>
      <c r="N3347" s="34">
        <f t="shared" si="105"/>
        <v>11.200807265388496</v>
      </c>
    </row>
    <row r="3348" spans="1:14" x14ac:dyDescent="0.45">
      <c r="A3348" s="30">
        <v>2024</v>
      </c>
      <c r="B3348" s="30" t="s">
        <v>13</v>
      </c>
      <c r="C3348" s="30" t="s">
        <v>46</v>
      </c>
      <c r="D3348" s="30" t="s">
        <v>47</v>
      </c>
      <c r="E3348" s="32" t="s">
        <v>258</v>
      </c>
      <c r="F3348" s="32" t="s">
        <v>49</v>
      </c>
      <c r="G3348" s="32" t="s">
        <v>50</v>
      </c>
      <c r="H3348" s="33">
        <v>502200</v>
      </c>
      <c r="I3348" s="34">
        <f>Table3[[#This Row],[Volume, kg.]]/1000</f>
        <v>502.2</v>
      </c>
      <c r="J3348" s="34">
        <v>0.18410000000000001</v>
      </c>
      <c r="K3348" s="34">
        <f t="shared" si="104"/>
        <v>92455.02</v>
      </c>
      <c r="L3348" s="34">
        <v>2.19</v>
      </c>
      <c r="M3348" s="34">
        <v>1097729.5</v>
      </c>
      <c r="N3348" s="34">
        <f t="shared" si="105"/>
        <v>11.895708853883757</v>
      </c>
    </row>
    <row r="3349" spans="1:14" x14ac:dyDescent="0.45">
      <c r="A3349" s="30">
        <v>2024</v>
      </c>
      <c r="B3349" s="30" t="s">
        <v>13</v>
      </c>
      <c r="C3349" s="30" t="s">
        <v>46</v>
      </c>
      <c r="D3349" s="30" t="s">
        <v>47</v>
      </c>
      <c r="E3349" s="32" t="s">
        <v>363</v>
      </c>
      <c r="F3349" s="32" t="s">
        <v>60</v>
      </c>
      <c r="G3349" s="32" t="s">
        <v>50</v>
      </c>
      <c r="H3349" s="33">
        <v>15210</v>
      </c>
      <c r="I3349" s="34">
        <f>Table3[[#This Row],[Volume, kg.]]/1000</f>
        <v>15.21</v>
      </c>
      <c r="J3349" s="34">
        <v>0.17949999999999999</v>
      </c>
      <c r="K3349" s="34">
        <f t="shared" si="104"/>
        <v>2730.1949999999997</v>
      </c>
      <c r="L3349" s="34">
        <v>2.17</v>
      </c>
      <c r="M3349" s="34">
        <v>32956.5</v>
      </c>
      <c r="N3349" s="34">
        <f t="shared" si="105"/>
        <v>12.089136490250697</v>
      </c>
    </row>
    <row r="3350" spans="1:14" x14ac:dyDescent="0.45">
      <c r="A3350" s="30">
        <v>2024</v>
      </c>
      <c r="B3350" s="30" t="s">
        <v>13</v>
      </c>
      <c r="C3350" s="30" t="s">
        <v>46</v>
      </c>
      <c r="D3350" s="30" t="s">
        <v>47</v>
      </c>
      <c r="E3350" s="32" t="s">
        <v>166</v>
      </c>
      <c r="F3350" s="32" t="s">
        <v>49</v>
      </c>
      <c r="G3350" s="32" t="s">
        <v>50</v>
      </c>
      <c r="H3350" s="33">
        <v>15460</v>
      </c>
      <c r="I3350" s="34">
        <f>Table3[[#This Row],[Volume, kg.]]/1000</f>
        <v>15.46</v>
      </c>
      <c r="J3350" s="34">
        <v>0.14749999999999999</v>
      </c>
      <c r="K3350" s="34">
        <f t="shared" si="104"/>
        <v>2280.35</v>
      </c>
      <c r="L3350" s="34">
        <v>2</v>
      </c>
      <c r="M3350" s="34">
        <v>30920</v>
      </c>
      <c r="N3350" s="34">
        <f t="shared" si="105"/>
        <v>13.559322033898306</v>
      </c>
    </row>
    <row r="3351" spans="1:14" x14ac:dyDescent="0.45">
      <c r="A3351" s="30">
        <v>2024</v>
      </c>
      <c r="B3351" s="30" t="s">
        <v>13</v>
      </c>
      <c r="C3351" s="30" t="s">
        <v>46</v>
      </c>
      <c r="D3351" s="30" t="s">
        <v>47</v>
      </c>
      <c r="E3351" s="32" t="s">
        <v>242</v>
      </c>
      <c r="F3351" s="32" t="s">
        <v>60</v>
      </c>
      <c r="G3351" s="32" t="s">
        <v>50</v>
      </c>
      <c r="H3351" s="33">
        <v>109340</v>
      </c>
      <c r="I3351" s="34">
        <f>Table3[[#This Row],[Volume, kg.]]/1000</f>
        <v>109.34</v>
      </c>
      <c r="J3351" s="34">
        <v>0.18460000000000001</v>
      </c>
      <c r="K3351" s="34">
        <f t="shared" si="104"/>
        <v>20184.164000000001</v>
      </c>
      <c r="L3351" s="34">
        <v>2.17</v>
      </c>
      <c r="M3351" s="34">
        <v>237133</v>
      </c>
      <c r="N3351" s="34">
        <f t="shared" si="105"/>
        <v>11.755146262188514</v>
      </c>
    </row>
    <row r="3352" spans="1:14" x14ac:dyDescent="0.45">
      <c r="A3352" s="30">
        <v>2024</v>
      </c>
      <c r="B3352" s="30" t="s">
        <v>13</v>
      </c>
      <c r="C3352" s="30" t="s">
        <v>46</v>
      </c>
      <c r="D3352" s="30" t="s">
        <v>47</v>
      </c>
      <c r="E3352" s="32" t="s">
        <v>244</v>
      </c>
      <c r="F3352" s="32" t="s">
        <v>60</v>
      </c>
      <c r="G3352" s="32" t="s">
        <v>50</v>
      </c>
      <c r="H3352" s="33">
        <v>3110</v>
      </c>
      <c r="I3352" s="34">
        <f>Table3[[#This Row],[Volume, kg.]]/1000</f>
        <v>3.11</v>
      </c>
      <c r="J3352" s="34">
        <v>0.19149999999999998</v>
      </c>
      <c r="K3352" s="34">
        <f t="shared" si="104"/>
        <v>595.56499999999994</v>
      </c>
      <c r="L3352" s="34">
        <v>2.25</v>
      </c>
      <c r="M3352" s="34">
        <v>6997.5</v>
      </c>
      <c r="N3352" s="34">
        <f t="shared" si="105"/>
        <v>11.749347258485642</v>
      </c>
    </row>
    <row r="3353" spans="1:14" x14ac:dyDescent="0.45">
      <c r="A3353" s="30">
        <v>2024</v>
      </c>
      <c r="B3353" s="30" t="s">
        <v>13</v>
      </c>
      <c r="C3353" s="30" t="s">
        <v>46</v>
      </c>
      <c r="D3353" s="30" t="s">
        <v>47</v>
      </c>
      <c r="E3353" s="32" t="s">
        <v>164</v>
      </c>
      <c r="F3353" s="32" t="s">
        <v>49</v>
      </c>
      <c r="G3353" s="32" t="s">
        <v>50</v>
      </c>
      <c r="H3353" s="33">
        <v>57090</v>
      </c>
      <c r="I3353" s="34">
        <f>Table3[[#This Row],[Volume, kg.]]/1000</f>
        <v>57.09</v>
      </c>
      <c r="J3353" s="34">
        <v>0.1757</v>
      </c>
      <c r="K3353" s="34">
        <f t="shared" si="104"/>
        <v>10030.713</v>
      </c>
      <c r="L3353" s="34">
        <v>2.14</v>
      </c>
      <c r="M3353" s="34">
        <v>122079.5</v>
      </c>
      <c r="N3353" s="34">
        <f t="shared" si="105"/>
        <v>12.179852020489472</v>
      </c>
    </row>
    <row r="3354" spans="1:14" x14ac:dyDescent="0.45">
      <c r="A3354" s="30">
        <v>2024</v>
      </c>
      <c r="B3354" s="30" t="s">
        <v>13</v>
      </c>
      <c r="C3354" s="30" t="s">
        <v>46</v>
      </c>
      <c r="D3354" s="30" t="s">
        <v>47</v>
      </c>
      <c r="E3354" s="32" t="s">
        <v>534</v>
      </c>
      <c r="F3354" s="32" t="s">
        <v>49</v>
      </c>
      <c r="G3354" s="32" t="s">
        <v>50</v>
      </c>
      <c r="H3354" s="33">
        <v>162220</v>
      </c>
      <c r="I3354" s="34">
        <f>Table3[[#This Row],[Volume, kg.]]/1000</f>
        <v>162.22</v>
      </c>
      <c r="J3354" s="34">
        <v>0.17629999999999998</v>
      </c>
      <c r="K3354" s="34">
        <f t="shared" si="104"/>
        <v>28599.385999999999</v>
      </c>
      <c r="L3354" s="34">
        <v>2.15</v>
      </c>
      <c r="M3354" s="34">
        <v>348429</v>
      </c>
      <c r="N3354" s="34">
        <f t="shared" si="105"/>
        <v>12.195121951219512</v>
      </c>
    </row>
    <row r="3355" spans="1:14" x14ac:dyDescent="0.45">
      <c r="A3355" s="30">
        <v>2024</v>
      </c>
      <c r="B3355" s="30" t="s">
        <v>13</v>
      </c>
      <c r="C3355" s="30" t="s">
        <v>46</v>
      </c>
      <c r="D3355" s="30" t="s">
        <v>47</v>
      </c>
      <c r="E3355" s="32" t="s">
        <v>220</v>
      </c>
      <c r="F3355" s="32" t="s">
        <v>49</v>
      </c>
      <c r="G3355" s="32" t="s">
        <v>50</v>
      </c>
      <c r="H3355" s="33">
        <v>10270</v>
      </c>
      <c r="I3355" s="34">
        <f>Table3[[#This Row],[Volume, kg.]]/1000</f>
        <v>10.27</v>
      </c>
      <c r="J3355" s="34">
        <v>0.1595</v>
      </c>
      <c r="K3355" s="34">
        <f t="shared" si="104"/>
        <v>1638.0650000000001</v>
      </c>
      <c r="L3355" s="34">
        <v>2.1</v>
      </c>
      <c r="M3355" s="34">
        <v>21567</v>
      </c>
      <c r="N3355" s="34">
        <f t="shared" si="105"/>
        <v>13.16614420062696</v>
      </c>
    </row>
    <row r="3356" spans="1:14" x14ac:dyDescent="0.45">
      <c r="A3356" s="30">
        <v>2024</v>
      </c>
      <c r="B3356" s="30" t="s">
        <v>13</v>
      </c>
      <c r="C3356" s="30" t="s">
        <v>46</v>
      </c>
      <c r="D3356" s="30" t="s">
        <v>47</v>
      </c>
      <c r="E3356" s="32" t="s">
        <v>294</v>
      </c>
      <c r="F3356" s="32" t="s">
        <v>81</v>
      </c>
      <c r="G3356" s="32" t="s">
        <v>50</v>
      </c>
      <c r="H3356" s="33">
        <v>19220</v>
      </c>
      <c r="I3356" s="34">
        <f>Table3[[#This Row],[Volume, kg.]]/1000</f>
        <v>19.22</v>
      </c>
      <c r="J3356" s="34">
        <v>0.20879999999999999</v>
      </c>
      <c r="K3356" s="34">
        <f t="shared" si="104"/>
        <v>4013.1359999999995</v>
      </c>
      <c r="L3356" s="34">
        <v>2.31</v>
      </c>
      <c r="M3356" s="34">
        <v>44359</v>
      </c>
      <c r="N3356" s="34">
        <f t="shared" si="105"/>
        <v>11.063218390804598</v>
      </c>
    </row>
    <row r="3357" spans="1:14" x14ac:dyDescent="0.45">
      <c r="A3357" s="30">
        <v>2024</v>
      </c>
      <c r="B3357" s="30" t="s">
        <v>13</v>
      </c>
      <c r="C3357" s="30" t="s">
        <v>46</v>
      </c>
      <c r="D3357" s="30" t="s">
        <v>47</v>
      </c>
      <c r="E3357" s="32" t="s">
        <v>464</v>
      </c>
      <c r="F3357" s="32" t="s">
        <v>57</v>
      </c>
      <c r="G3357" s="32" t="s">
        <v>50</v>
      </c>
      <c r="H3357" s="33">
        <v>15450</v>
      </c>
      <c r="I3357" s="34">
        <f>Table3[[#This Row],[Volume, kg.]]/1000</f>
        <v>15.45</v>
      </c>
      <c r="J3357" s="34">
        <v>0.151</v>
      </c>
      <c r="K3357" s="34">
        <f t="shared" si="104"/>
        <v>2332.9499999999998</v>
      </c>
      <c r="L3357" s="34">
        <v>2</v>
      </c>
      <c r="M3357" s="34">
        <v>30900</v>
      </c>
      <c r="N3357" s="34">
        <f t="shared" si="105"/>
        <v>13.245033112582782</v>
      </c>
    </row>
    <row r="3358" spans="1:14" x14ac:dyDescent="0.45">
      <c r="A3358" s="30">
        <v>2024</v>
      </c>
      <c r="B3358" s="30" t="s">
        <v>13</v>
      </c>
      <c r="C3358" s="30" t="s">
        <v>46</v>
      </c>
      <c r="D3358" s="30" t="s">
        <v>47</v>
      </c>
      <c r="E3358" s="32" t="s">
        <v>429</v>
      </c>
      <c r="F3358" s="32" t="s">
        <v>54</v>
      </c>
      <c r="G3358" s="32" t="s">
        <v>50</v>
      </c>
      <c r="H3358" s="33">
        <v>18250</v>
      </c>
      <c r="I3358" s="34">
        <f>Table3[[#This Row],[Volume, kg.]]/1000</f>
        <v>18.25</v>
      </c>
      <c r="J3358" s="34">
        <v>0.20370000000000002</v>
      </c>
      <c r="K3358" s="34">
        <f t="shared" si="104"/>
        <v>3717.5250000000005</v>
      </c>
      <c r="L3358" s="34">
        <v>2.27</v>
      </c>
      <c r="M3358" s="34">
        <v>41373.5</v>
      </c>
      <c r="N3358" s="34">
        <f t="shared" si="105"/>
        <v>11.143838978890525</v>
      </c>
    </row>
    <row r="3359" spans="1:14" x14ac:dyDescent="0.45">
      <c r="A3359" s="30">
        <v>2024</v>
      </c>
      <c r="B3359" s="30" t="s">
        <v>13</v>
      </c>
      <c r="C3359" s="30" t="s">
        <v>46</v>
      </c>
      <c r="D3359" s="30" t="s">
        <v>47</v>
      </c>
      <c r="E3359" s="32" t="s">
        <v>187</v>
      </c>
      <c r="F3359" s="32" t="s">
        <v>54</v>
      </c>
      <c r="G3359" s="32" t="s">
        <v>50</v>
      </c>
      <c r="H3359" s="33">
        <v>105780</v>
      </c>
      <c r="I3359" s="34">
        <f>Table3[[#This Row],[Volume, kg.]]/1000</f>
        <v>105.78</v>
      </c>
      <c r="J3359" s="34">
        <v>0.182</v>
      </c>
      <c r="K3359" s="34">
        <f t="shared" si="104"/>
        <v>19251.96</v>
      </c>
      <c r="L3359" s="34">
        <v>2.17</v>
      </c>
      <c r="M3359" s="34">
        <v>229994</v>
      </c>
      <c r="N3359" s="34">
        <f t="shared" si="105"/>
        <v>11.923076923076923</v>
      </c>
    </row>
    <row r="3360" spans="1:14" x14ac:dyDescent="0.45">
      <c r="A3360" s="30">
        <v>2024</v>
      </c>
      <c r="B3360" s="30" t="s">
        <v>13</v>
      </c>
      <c r="C3360" s="30" t="s">
        <v>46</v>
      </c>
      <c r="D3360" s="30" t="s">
        <v>47</v>
      </c>
      <c r="E3360" s="32" t="s">
        <v>191</v>
      </c>
      <c r="F3360" s="32" t="s">
        <v>49</v>
      </c>
      <c r="G3360" s="32" t="s">
        <v>50</v>
      </c>
      <c r="H3360" s="33">
        <v>14680</v>
      </c>
      <c r="I3360" s="34">
        <f>Table3[[#This Row],[Volume, kg.]]/1000</f>
        <v>14.68</v>
      </c>
      <c r="J3360" s="34">
        <v>0.18460000000000001</v>
      </c>
      <c r="K3360" s="34">
        <f t="shared" si="104"/>
        <v>2709.9280000000003</v>
      </c>
      <c r="L3360" s="34">
        <v>2.1800000000000002</v>
      </c>
      <c r="M3360" s="34">
        <v>31937</v>
      </c>
      <c r="N3360" s="34">
        <f t="shared" si="105"/>
        <v>11.809317443120261</v>
      </c>
    </row>
    <row r="3361" spans="1:14" x14ac:dyDescent="0.45">
      <c r="A3361" s="30">
        <v>2024</v>
      </c>
      <c r="B3361" s="30" t="s">
        <v>13</v>
      </c>
      <c r="C3361" s="30" t="s">
        <v>46</v>
      </c>
      <c r="D3361" s="30" t="s">
        <v>47</v>
      </c>
      <c r="E3361" s="32" t="s">
        <v>291</v>
      </c>
      <c r="F3361" s="32" t="s">
        <v>57</v>
      </c>
      <c r="G3361" s="32" t="s">
        <v>50</v>
      </c>
      <c r="H3361" s="33">
        <v>29960</v>
      </c>
      <c r="I3361" s="34">
        <f>Table3[[#This Row],[Volume, kg.]]/1000</f>
        <v>29.96</v>
      </c>
      <c r="J3361" s="34">
        <v>0.18340000000000001</v>
      </c>
      <c r="K3361" s="34">
        <f t="shared" si="104"/>
        <v>5494.6640000000007</v>
      </c>
      <c r="L3361" s="34">
        <v>2.17</v>
      </c>
      <c r="M3361" s="34">
        <v>65125</v>
      </c>
      <c r="N3361" s="34">
        <f t="shared" si="105"/>
        <v>11.83206106870229</v>
      </c>
    </row>
    <row r="3362" spans="1:14" x14ac:dyDescent="0.45">
      <c r="A3362" s="30">
        <v>2024</v>
      </c>
      <c r="B3362" s="30" t="s">
        <v>13</v>
      </c>
      <c r="C3362" s="30" t="s">
        <v>46</v>
      </c>
      <c r="D3362" s="30" t="s">
        <v>47</v>
      </c>
      <c r="E3362" s="32" t="s">
        <v>352</v>
      </c>
      <c r="F3362" s="32" t="s">
        <v>54</v>
      </c>
      <c r="G3362" s="32" t="s">
        <v>50</v>
      </c>
      <c r="H3362" s="33">
        <v>106530</v>
      </c>
      <c r="I3362" s="34">
        <f>Table3[[#This Row],[Volume, kg.]]/1000</f>
        <v>106.53</v>
      </c>
      <c r="J3362" s="34">
        <v>0.19489999999999999</v>
      </c>
      <c r="K3362" s="34">
        <f t="shared" si="104"/>
        <v>20762.697</v>
      </c>
      <c r="L3362" s="34">
        <v>2.23</v>
      </c>
      <c r="M3362" s="34">
        <v>237384.5</v>
      </c>
      <c r="N3362" s="34">
        <f t="shared" si="105"/>
        <v>11.441765007696254</v>
      </c>
    </row>
    <row r="3363" spans="1:14" x14ac:dyDescent="0.45">
      <c r="A3363" s="30">
        <v>2024</v>
      </c>
      <c r="B3363" s="30" t="s">
        <v>13</v>
      </c>
      <c r="C3363" s="30" t="s">
        <v>46</v>
      </c>
      <c r="D3363" s="30" t="s">
        <v>47</v>
      </c>
      <c r="E3363" s="32" t="s">
        <v>373</v>
      </c>
      <c r="F3363" s="32" t="s">
        <v>49</v>
      </c>
      <c r="G3363" s="32" t="s">
        <v>50</v>
      </c>
      <c r="H3363" s="33">
        <v>1980</v>
      </c>
      <c r="I3363" s="34">
        <f>Table3[[#This Row],[Volume, kg.]]/1000</f>
        <v>1.98</v>
      </c>
      <c r="J3363" s="34">
        <v>0.15529999999999999</v>
      </c>
      <c r="K3363" s="34">
        <f t="shared" si="104"/>
        <v>307.49399999999997</v>
      </c>
      <c r="L3363" s="34">
        <v>2.0499999999999998</v>
      </c>
      <c r="M3363" s="34">
        <v>4059</v>
      </c>
      <c r="N3363" s="34">
        <f t="shared" si="105"/>
        <v>13.200257566001287</v>
      </c>
    </row>
    <row r="3364" spans="1:14" x14ac:dyDescent="0.45">
      <c r="A3364" s="30">
        <v>2024</v>
      </c>
      <c r="B3364" s="30" t="s">
        <v>13</v>
      </c>
      <c r="C3364" s="30" t="s">
        <v>46</v>
      </c>
      <c r="D3364" s="30" t="s">
        <v>47</v>
      </c>
      <c r="E3364" s="32" t="s">
        <v>465</v>
      </c>
      <c r="F3364" s="32" t="s">
        <v>57</v>
      </c>
      <c r="G3364" s="32" t="s">
        <v>50</v>
      </c>
      <c r="H3364" s="33">
        <v>34470</v>
      </c>
      <c r="I3364" s="34">
        <f>Table3[[#This Row],[Volume, kg.]]/1000</f>
        <v>34.47</v>
      </c>
      <c r="J3364" s="34">
        <v>0.20300000000000001</v>
      </c>
      <c r="K3364" s="34">
        <f t="shared" si="104"/>
        <v>6997.4100000000008</v>
      </c>
      <c r="L3364" s="34">
        <v>2.2799999999999998</v>
      </c>
      <c r="M3364" s="34">
        <v>78470.5</v>
      </c>
      <c r="N3364" s="34">
        <f t="shared" si="105"/>
        <v>11.231527093596057</v>
      </c>
    </row>
    <row r="3365" spans="1:14" x14ac:dyDescent="0.45">
      <c r="A3365" s="30">
        <v>2024</v>
      </c>
      <c r="B3365" s="30" t="s">
        <v>13</v>
      </c>
      <c r="C3365" s="30" t="s">
        <v>46</v>
      </c>
      <c r="D3365" s="30" t="s">
        <v>47</v>
      </c>
      <c r="E3365" s="32" t="s">
        <v>110</v>
      </c>
      <c r="F3365" s="32" t="s">
        <v>57</v>
      </c>
      <c r="G3365" s="32" t="s">
        <v>50</v>
      </c>
      <c r="H3365" s="33">
        <v>19490</v>
      </c>
      <c r="I3365" s="34">
        <f>Table3[[#This Row],[Volume, kg.]]/1000</f>
        <v>19.489999999999998</v>
      </c>
      <c r="J3365" s="34">
        <v>0.22359999999999999</v>
      </c>
      <c r="K3365" s="34">
        <f t="shared" si="104"/>
        <v>4357.9639999999999</v>
      </c>
      <c r="L3365" s="34">
        <v>2.37</v>
      </c>
      <c r="M3365" s="34">
        <v>46270</v>
      </c>
      <c r="N3365" s="34">
        <f t="shared" si="105"/>
        <v>10.59928443649374</v>
      </c>
    </row>
    <row r="3366" spans="1:14" x14ac:dyDescent="0.45">
      <c r="A3366" s="30">
        <v>2024</v>
      </c>
      <c r="B3366" s="30" t="s">
        <v>13</v>
      </c>
      <c r="C3366" s="30" t="s">
        <v>46</v>
      </c>
      <c r="D3366" s="30" t="s">
        <v>47</v>
      </c>
      <c r="E3366" s="32" t="s">
        <v>385</v>
      </c>
      <c r="F3366" s="32" t="s">
        <v>57</v>
      </c>
      <c r="G3366" s="32" t="s">
        <v>50</v>
      </c>
      <c r="H3366" s="33">
        <v>79970</v>
      </c>
      <c r="I3366" s="34">
        <f>Table3[[#This Row],[Volume, kg.]]/1000</f>
        <v>79.97</v>
      </c>
      <c r="J3366" s="34">
        <v>0.1963</v>
      </c>
      <c r="K3366" s="34">
        <f t="shared" si="104"/>
        <v>15698.111000000001</v>
      </c>
      <c r="L3366" s="34">
        <v>2.23</v>
      </c>
      <c r="M3366" s="34">
        <v>178575</v>
      </c>
      <c r="N3366" s="34">
        <f t="shared" si="105"/>
        <v>11.360163015792155</v>
      </c>
    </row>
    <row r="3367" spans="1:14" x14ac:dyDescent="0.45">
      <c r="A3367" s="30">
        <v>2024</v>
      </c>
      <c r="B3367" s="30" t="s">
        <v>13</v>
      </c>
      <c r="C3367" s="30" t="s">
        <v>46</v>
      </c>
      <c r="D3367" s="30" t="s">
        <v>47</v>
      </c>
      <c r="E3367" s="32" t="s">
        <v>160</v>
      </c>
      <c r="F3367" s="32" t="s">
        <v>49</v>
      </c>
      <c r="G3367" s="32" t="s">
        <v>50</v>
      </c>
      <c r="H3367" s="33">
        <v>58090</v>
      </c>
      <c r="I3367" s="34">
        <f>Table3[[#This Row],[Volume, kg.]]/1000</f>
        <v>58.09</v>
      </c>
      <c r="J3367" s="34">
        <v>0.21989999999999998</v>
      </c>
      <c r="K3367" s="34">
        <f t="shared" si="104"/>
        <v>12773.991</v>
      </c>
      <c r="L3367" s="34">
        <v>2.35</v>
      </c>
      <c r="M3367" s="34">
        <v>136566.5</v>
      </c>
      <c r="N3367" s="34">
        <f t="shared" si="105"/>
        <v>10.68667576170987</v>
      </c>
    </row>
    <row r="3368" spans="1:14" x14ac:dyDescent="0.45">
      <c r="A3368" s="30">
        <v>2024</v>
      </c>
      <c r="B3368" s="30" t="s">
        <v>13</v>
      </c>
      <c r="C3368" s="30" t="s">
        <v>46</v>
      </c>
      <c r="D3368" s="30" t="s">
        <v>47</v>
      </c>
      <c r="E3368" s="32" t="s">
        <v>451</v>
      </c>
      <c r="F3368" s="32" t="s">
        <v>54</v>
      </c>
      <c r="G3368" s="32" t="s">
        <v>50</v>
      </c>
      <c r="H3368" s="33">
        <v>7090</v>
      </c>
      <c r="I3368" s="34">
        <f>Table3[[#This Row],[Volume, kg.]]/1000</f>
        <v>7.09</v>
      </c>
      <c r="J3368" s="34">
        <v>0.13350000000000001</v>
      </c>
      <c r="K3368" s="34">
        <f t="shared" si="104"/>
        <v>946.5150000000001</v>
      </c>
      <c r="L3368" s="34">
        <v>1.9</v>
      </c>
      <c r="M3368" s="34">
        <v>13471</v>
      </c>
      <c r="N3368" s="34">
        <f t="shared" si="105"/>
        <v>14.232209737827715</v>
      </c>
    </row>
    <row r="3369" spans="1:14" x14ac:dyDescent="0.45">
      <c r="A3369" s="30">
        <v>2024</v>
      </c>
      <c r="B3369" s="30" t="s">
        <v>13</v>
      </c>
      <c r="C3369" s="30" t="s">
        <v>46</v>
      </c>
      <c r="D3369" s="30" t="s">
        <v>47</v>
      </c>
      <c r="E3369" s="32" t="s">
        <v>431</v>
      </c>
      <c r="F3369" s="32" t="s">
        <v>49</v>
      </c>
      <c r="G3369" s="32" t="s">
        <v>50</v>
      </c>
      <c r="H3369" s="33">
        <v>87480</v>
      </c>
      <c r="I3369" s="34">
        <f>Table3[[#This Row],[Volume, kg.]]/1000</f>
        <v>87.48</v>
      </c>
      <c r="J3369" s="34">
        <v>0.1845</v>
      </c>
      <c r="K3369" s="34">
        <f t="shared" si="104"/>
        <v>16140.06</v>
      </c>
      <c r="L3369" s="34">
        <v>2.2000000000000002</v>
      </c>
      <c r="M3369" s="34">
        <v>192067</v>
      </c>
      <c r="N3369" s="34">
        <f t="shared" si="105"/>
        <v>11.924119241192413</v>
      </c>
    </row>
    <row r="3370" spans="1:14" x14ac:dyDescent="0.45">
      <c r="A3370" s="30">
        <v>2024</v>
      </c>
      <c r="B3370" s="30" t="s">
        <v>13</v>
      </c>
      <c r="C3370" s="30" t="s">
        <v>46</v>
      </c>
      <c r="D3370" s="30" t="s">
        <v>47</v>
      </c>
      <c r="E3370" s="32" t="s">
        <v>167</v>
      </c>
      <c r="F3370" s="32" t="s">
        <v>49</v>
      </c>
      <c r="G3370" s="32" t="s">
        <v>50</v>
      </c>
      <c r="H3370" s="33">
        <v>59010</v>
      </c>
      <c r="I3370" s="34">
        <f>Table3[[#This Row],[Volume, kg.]]/1000</f>
        <v>59.01</v>
      </c>
      <c r="J3370" s="34">
        <v>0.18460000000000001</v>
      </c>
      <c r="K3370" s="34">
        <f t="shared" si="104"/>
        <v>10893.246000000001</v>
      </c>
      <c r="L3370" s="34">
        <v>2.19</v>
      </c>
      <c r="M3370" s="34">
        <v>128937</v>
      </c>
      <c r="N3370" s="34">
        <f t="shared" si="105"/>
        <v>11.863488624052003</v>
      </c>
    </row>
    <row r="3371" spans="1:14" x14ac:dyDescent="0.45">
      <c r="A3371" s="30">
        <v>2024</v>
      </c>
      <c r="B3371" s="30" t="s">
        <v>13</v>
      </c>
      <c r="C3371" s="30" t="s">
        <v>46</v>
      </c>
      <c r="D3371" s="30" t="s">
        <v>47</v>
      </c>
      <c r="E3371" s="32" t="s">
        <v>190</v>
      </c>
      <c r="F3371" s="32" t="s">
        <v>81</v>
      </c>
      <c r="G3371" s="32" t="s">
        <v>50</v>
      </c>
      <c r="H3371" s="33">
        <v>32070</v>
      </c>
      <c r="I3371" s="34">
        <f>Table3[[#This Row],[Volume, kg.]]/1000</f>
        <v>32.07</v>
      </c>
      <c r="J3371" s="34">
        <v>0.17600000000000002</v>
      </c>
      <c r="K3371" s="34">
        <f t="shared" si="104"/>
        <v>5644.3200000000006</v>
      </c>
      <c r="L3371" s="34">
        <v>2.14</v>
      </c>
      <c r="M3371" s="34">
        <v>68529</v>
      </c>
      <c r="N3371" s="34">
        <f t="shared" si="105"/>
        <v>12.159090909090908</v>
      </c>
    </row>
    <row r="3372" spans="1:14" x14ac:dyDescent="0.45">
      <c r="A3372" s="30">
        <v>2024</v>
      </c>
      <c r="B3372" s="30" t="s">
        <v>13</v>
      </c>
      <c r="C3372" s="30" t="s">
        <v>46</v>
      </c>
      <c r="D3372" s="30" t="s">
        <v>47</v>
      </c>
      <c r="E3372" s="32" t="s">
        <v>77</v>
      </c>
      <c r="F3372" s="32" t="s">
        <v>49</v>
      </c>
      <c r="G3372" s="32" t="s">
        <v>50</v>
      </c>
      <c r="H3372" s="33">
        <v>38280</v>
      </c>
      <c r="I3372" s="34">
        <f>Table3[[#This Row],[Volume, kg.]]/1000</f>
        <v>38.28</v>
      </c>
      <c r="J3372" s="34">
        <v>0.20120000000000002</v>
      </c>
      <c r="K3372" s="34">
        <f t="shared" si="104"/>
        <v>7701.9360000000006</v>
      </c>
      <c r="L3372" s="34">
        <v>2.27</v>
      </c>
      <c r="M3372" s="34">
        <v>86877.5</v>
      </c>
      <c r="N3372" s="34">
        <f t="shared" si="105"/>
        <v>11.282306163021868</v>
      </c>
    </row>
    <row r="3373" spans="1:14" x14ac:dyDescent="0.45">
      <c r="A3373" s="30">
        <v>2024</v>
      </c>
      <c r="B3373" s="30" t="s">
        <v>13</v>
      </c>
      <c r="C3373" s="30" t="s">
        <v>46</v>
      </c>
      <c r="D3373" s="30" t="s">
        <v>47</v>
      </c>
      <c r="E3373" s="32" t="s">
        <v>263</v>
      </c>
      <c r="F3373" s="32" t="s">
        <v>81</v>
      </c>
      <c r="G3373" s="32" t="s">
        <v>50</v>
      </c>
      <c r="H3373" s="33">
        <v>14780</v>
      </c>
      <c r="I3373" s="34">
        <f>Table3[[#This Row],[Volume, kg.]]/1000</f>
        <v>14.78</v>
      </c>
      <c r="J3373" s="34">
        <v>0.20899999999999999</v>
      </c>
      <c r="K3373" s="34">
        <f t="shared" si="104"/>
        <v>3089.02</v>
      </c>
      <c r="L3373" s="34">
        <v>2.2999999999999998</v>
      </c>
      <c r="M3373" s="34">
        <v>33994</v>
      </c>
      <c r="N3373" s="34">
        <f t="shared" si="105"/>
        <v>11.004784688995215</v>
      </c>
    </row>
    <row r="3374" spans="1:14" x14ac:dyDescent="0.45">
      <c r="A3374" s="30">
        <v>2024</v>
      </c>
      <c r="B3374" s="30" t="s">
        <v>13</v>
      </c>
      <c r="C3374" s="30" t="s">
        <v>46</v>
      </c>
      <c r="D3374" s="30" t="s">
        <v>47</v>
      </c>
      <c r="E3374" s="32" t="s">
        <v>333</v>
      </c>
      <c r="F3374" s="32" t="s">
        <v>57</v>
      </c>
      <c r="G3374" s="32" t="s">
        <v>50</v>
      </c>
      <c r="H3374" s="33">
        <v>23890</v>
      </c>
      <c r="I3374" s="34">
        <f>Table3[[#This Row],[Volume, kg.]]/1000</f>
        <v>23.89</v>
      </c>
      <c r="J3374" s="34">
        <v>0.21340000000000001</v>
      </c>
      <c r="K3374" s="34">
        <f t="shared" si="104"/>
        <v>5098.1260000000002</v>
      </c>
      <c r="L3374" s="34">
        <v>2.3199999999999998</v>
      </c>
      <c r="M3374" s="34">
        <v>55311</v>
      </c>
      <c r="N3374" s="34">
        <f t="shared" si="105"/>
        <v>10.871602624179943</v>
      </c>
    </row>
    <row r="3375" spans="1:14" x14ac:dyDescent="0.45">
      <c r="A3375" s="30">
        <v>2024</v>
      </c>
      <c r="B3375" s="30" t="s">
        <v>13</v>
      </c>
      <c r="C3375" s="30" t="s">
        <v>46</v>
      </c>
      <c r="D3375" s="30" t="s">
        <v>47</v>
      </c>
      <c r="E3375" s="32" t="s">
        <v>236</v>
      </c>
      <c r="F3375" s="32" t="s">
        <v>49</v>
      </c>
      <c r="G3375" s="32" t="s">
        <v>50</v>
      </c>
      <c r="H3375" s="33">
        <v>4210</v>
      </c>
      <c r="I3375" s="34">
        <f>Table3[[#This Row],[Volume, kg.]]/1000</f>
        <v>4.21</v>
      </c>
      <c r="J3375" s="34">
        <v>0.16449999999999998</v>
      </c>
      <c r="K3375" s="34">
        <f t="shared" si="104"/>
        <v>692.54499999999996</v>
      </c>
      <c r="L3375" s="34">
        <v>2.0499999999999998</v>
      </c>
      <c r="M3375" s="34">
        <v>8630.5</v>
      </c>
      <c r="N3375" s="34">
        <f t="shared" si="105"/>
        <v>12.462006079027356</v>
      </c>
    </row>
    <row r="3376" spans="1:14" x14ac:dyDescent="0.45">
      <c r="A3376" s="30">
        <v>2024</v>
      </c>
      <c r="B3376" s="30" t="s">
        <v>13</v>
      </c>
      <c r="C3376" s="30" t="s">
        <v>46</v>
      </c>
      <c r="D3376" s="30" t="s">
        <v>47</v>
      </c>
      <c r="E3376" s="32" t="s">
        <v>499</v>
      </c>
      <c r="F3376" s="32" t="s">
        <v>81</v>
      </c>
      <c r="G3376" s="32" t="s">
        <v>50</v>
      </c>
      <c r="H3376" s="33">
        <v>127720</v>
      </c>
      <c r="I3376" s="34">
        <f>Table3[[#This Row],[Volume, kg.]]/1000</f>
        <v>127.72</v>
      </c>
      <c r="J3376" s="34">
        <v>0.19210000000000002</v>
      </c>
      <c r="K3376" s="34">
        <f t="shared" si="104"/>
        <v>24535.012000000002</v>
      </c>
      <c r="L3376" s="34">
        <v>2.21</v>
      </c>
      <c r="M3376" s="34">
        <v>282441</v>
      </c>
      <c r="N3376" s="34">
        <f t="shared" si="105"/>
        <v>11.504424778761061</v>
      </c>
    </row>
    <row r="3377" spans="1:14" x14ac:dyDescent="0.45">
      <c r="A3377" s="30">
        <v>2024</v>
      </c>
      <c r="B3377" s="30" t="s">
        <v>13</v>
      </c>
      <c r="C3377" s="30" t="s">
        <v>46</v>
      </c>
      <c r="D3377" s="30" t="s">
        <v>47</v>
      </c>
      <c r="E3377" s="32" t="s">
        <v>313</v>
      </c>
      <c r="F3377" s="32" t="s">
        <v>60</v>
      </c>
      <c r="G3377" s="32" t="s">
        <v>50</v>
      </c>
      <c r="H3377" s="33">
        <v>4560</v>
      </c>
      <c r="I3377" s="34">
        <f>Table3[[#This Row],[Volume, kg.]]/1000</f>
        <v>4.5599999999999996</v>
      </c>
      <c r="J3377" s="34">
        <v>0.14630000000000001</v>
      </c>
      <c r="K3377" s="34">
        <f t="shared" si="104"/>
        <v>667.12800000000004</v>
      </c>
      <c r="L3377" s="34">
        <v>2</v>
      </c>
      <c r="M3377" s="34">
        <v>9120</v>
      </c>
      <c r="N3377" s="34">
        <f t="shared" si="105"/>
        <v>13.670539986329459</v>
      </c>
    </row>
    <row r="3378" spans="1:14" x14ac:dyDescent="0.45">
      <c r="A3378" s="30">
        <v>2024</v>
      </c>
      <c r="B3378" s="30" t="s">
        <v>13</v>
      </c>
      <c r="C3378" s="30" t="s">
        <v>46</v>
      </c>
      <c r="D3378" s="30" t="s">
        <v>47</v>
      </c>
      <c r="E3378" s="32" t="s">
        <v>288</v>
      </c>
      <c r="F3378" s="32" t="s">
        <v>49</v>
      </c>
      <c r="G3378" s="32" t="s">
        <v>50</v>
      </c>
      <c r="H3378" s="33">
        <v>112770</v>
      </c>
      <c r="I3378" s="34">
        <f>Table3[[#This Row],[Volume, kg.]]/1000</f>
        <v>112.77</v>
      </c>
      <c r="J3378" s="34">
        <v>0.18719999999999998</v>
      </c>
      <c r="K3378" s="34">
        <f t="shared" si="104"/>
        <v>21110.543999999998</v>
      </c>
      <c r="L3378" s="34">
        <v>2.19</v>
      </c>
      <c r="M3378" s="34">
        <v>247193.5</v>
      </c>
      <c r="N3378" s="34">
        <f t="shared" si="105"/>
        <v>11.698717948717951</v>
      </c>
    </row>
    <row r="3379" spans="1:14" x14ac:dyDescent="0.45">
      <c r="A3379" s="30">
        <v>2024</v>
      </c>
      <c r="B3379" s="30" t="s">
        <v>13</v>
      </c>
      <c r="C3379" s="30" t="s">
        <v>46</v>
      </c>
      <c r="D3379" s="30" t="s">
        <v>47</v>
      </c>
      <c r="E3379" s="32" t="s">
        <v>70</v>
      </c>
      <c r="F3379" s="32" t="s">
        <v>49</v>
      </c>
      <c r="G3379" s="32" t="s">
        <v>50</v>
      </c>
      <c r="H3379" s="33">
        <v>218970</v>
      </c>
      <c r="I3379" s="34">
        <f>Table3[[#This Row],[Volume, kg.]]/1000</f>
        <v>218.97</v>
      </c>
      <c r="J3379" s="34">
        <v>0.20569999999999999</v>
      </c>
      <c r="K3379" s="34">
        <f t="shared" si="104"/>
        <v>45042.129000000001</v>
      </c>
      <c r="L3379" s="34">
        <v>2.29</v>
      </c>
      <c r="M3379" s="34">
        <v>501278</v>
      </c>
      <c r="N3379" s="34">
        <f t="shared" si="105"/>
        <v>11.132717549829851</v>
      </c>
    </row>
    <row r="3380" spans="1:14" x14ac:dyDescent="0.45">
      <c r="A3380" s="30">
        <v>2024</v>
      </c>
      <c r="B3380" s="30" t="s">
        <v>13</v>
      </c>
      <c r="C3380" s="30" t="s">
        <v>46</v>
      </c>
      <c r="D3380" s="30" t="s">
        <v>47</v>
      </c>
      <c r="E3380" s="32" t="s">
        <v>265</v>
      </c>
      <c r="F3380" s="32" t="s">
        <v>49</v>
      </c>
      <c r="G3380" s="32" t="s">
        <v>50</v>
      </c>
      <c r="H3380" s="33">
        <v>10010</v>
      </c>
      <c r="I3380" s="34">
        <f>Table3[[#This Row],[Volume, kg.]]/1000</f>
        <v>10.01</v>
      </c>
      <c r="J3380" s="34">
        <v>0.19899999999999998</v>
      </c>
      <c r="K3380" s="34">
        <f t="shared" si="104"/>
        <v>1991.9899999999998</v>
      </c>
      <c r="L3380" s="34">
        <v>2.25</v>
      </c>
      <c r="M3380" s="34">
        <v>22522.5</v>
      </c>
      <c r="N3380" s="34">
        <f t="shared" si="105"/>
        <v>11.306532663316585</v>
      </c>
    </row>
    <row r="3381" spans="1:14" x14ac:dyDescent="0.45">
      <c r="A3381" s="30">
        <v>2024</v>
      </c>
      <c r="B3381" s="30" t="s">
        <v>13</v>
      </c>
      <c r="C3381" s="30" t="s">
        <v>46</v>
      </c>
      <c r="D3381" s="30" t="s">
        <v>47</v>
      </c>
      <c r="E3381" s="32" t="s">
        <v>467</v>
      </c>
      <c r="F3381" s="32" t="s">
        <v>57</v>
      </c>
      <c r="G3381" s="32" t="s">
        <v>50</v>
      </c>
      <c r="H3381" s="33">
        <v>4920</v>
      </c>
      <c r="I3381" s="34">
        <f>Table3[[#This Row],[Volume, kg.]]/1000</f>
        <v>4.92</v>
      </c>
      <c r="J3381" s="34">
        <v>0.22500000000000001</v>
      </c>
      <c r="K3381" s="34">
        <f t="shared" si="104"/>
        <v>1107</v>
      </c>
      <c r="L3381" s="34">
        <v>2.4</v>
      </c>
      <c r="M3381" s="34">
        <v>11808</v>
      </c>
      <c r="N3381" s="34">
        <f t="shared" si="105"/>
        <v>10.666666666666666</v>
      </c>
    </row>
    <row r="3382" spans="1:14" x14ac:dyDescent="0.45">
      <c r="A3382" s="30">
        <v>2024</v>
      </c>
      <c r="B3382" s="30" t="s">
        <v>13</v>
      </c>
      <c r="C3382" s="30" t="s">
        <v>46</v>
      </c>
      <c r="D3382" s="30" t="s">
        <v>47</v>
      </c>
      <c r="E3382" s="32" t="s">
        <v>192</v>
      </c>
      <c r="F3382" s="32" t="s">
        <v>49</v>
      </c>
      <c r="G3382" s="32" t="s">
        <v>50</v>
      </c>
      <c r="H3382" s="33">
        <v>34490</v>
      </c>
      <c r="I3382" s="34">
        <f>Table3[[#This Row],[Volume, kg.]]/1000</f>
        <v>34.49</v>
      </c>
      <c r="J3382" s="34">
        <v>0.17760000000000001</v>
      </c>
      <c r="K3382" s="34">
        <f t="shared" si="104"/>
        <v>6125.424</v>
      </c>
      <c r="L3382" s="34">
        <v>2.15</v>
      </c>
      <c r="M3382" s="34">
        <v>74139.5</v>
      </c>
      <c r="N3382" s="34">
        <f t="shared" si="105"/>
        <v>12.105855855855856</v>
      </c>
    </row>
    <row r="3383" spans="1:14" x14ac:dyDescent="0.45">
      <c r="A3383" s="30">
        <v>2024</v>
      </c>
      <c r="B3383" s="30" t="s">
        <v>13</v>
      </c>
      <c r="C3383" s="30" t="s">
        <v>46</v>
      </c>
      <c r="D3383" s="30" t="s">
        <v>47</v>
      </c>
      <c r="E3383" s="32" t="s">
        <v>324</v>
      </c>
      <c r="F3383" s="32" t="s">
        <v>81</v>
      </c>
      <c r="G3383" s="32" t="s">
        <v>50</v>
      </c>
      <c r="H3383" s="33">
        <v>109120</v>
      </c>
      <c r="I3383" s="34">
        <f>Table3[[#This Row],[Volume, kg.]]/1000</f>
        <v>109.12</v>
      </c>
      <c r="J3383" s="34">
        <v>0.20300000000000001</v>
      </c>
      <c r="K3383" s="34">
        <f t="shared" si="104"/>
        <v>22151.360000000001</v>
      </c>
      <c r="L3383" s="34">
        <v>2.27</v>
      </c>
      <c r="M3383" s="34">
        <v>247253</v>
      </c>
      <c r="N3383" s="34">
        <f t="shared" si="105"/>
        <v>11.182266009852215</v>
      </c>
    </row>
    <row r="3384" spans="1:14" x14ac:dyDescent="0.45">
      <c r="A3384" s="30">
        <v>2024</v>
      </c>
      <c r="B3384" s="30" t="s">
        <v>13</v>
      </c>
      <c r="C3384" s="30" t="s">
        <v>46</v>
      </c>
      <c r="D3384" s="30" t="s">
        <v>47</v>
      </c>
      <c r="E3384" s="32" t="s">
        <v>74</v>
      </c>
      <c r="F3384" s="32" t="s">
        <v>49</v>
      </c>
      <c r="G3384" s="32" t="s">
        <v>50</v>
      </c>
      <c r="H3384" s="33">
        <v>7380</v>
      </c>
      <c r="I3384" s="34">
        <f>Table3[[#This Row],[Volume, kg.]]/1000</f>
        <v>7.38</v>
      </c>
      <c r="J3384" s="34">
        <v>0.217</v>
      </c>
      <c r="K3384" s="34">
        <f t="shared" si="104"/>
        <v>1601.46</v>
      </c>
      <c r="L3384" s="34">
        <v>2.35</v>
      </c>
      <c r="M3384" s="34">
        <v>17343</v>
      </c>
      <c r="N3384" s="34">
        <f t="shared" si="105"/>
        <v>10.829493087557605</v>
      </c>
    </row>
    <row r="3385" spans="1:14" x14ac:dyDescent="0.45">
      <c r="A3385" s="30">
        <v>2024</v>
      </c>
      <c r="B3385" s="30" t="s">
        <v>13</v>
      </c>
      <c r="C3385" s="30" t="s">
        <v>46</v>
      </c>
      <c r="D3385" s="30" t="s">
        <v>47</v>
      </c>
      <c r="E3385" s="32" t="s">
        <v>135</v>
      </c>
      <c r="F3385" s="32" t="s">
        <v>49</v>
      </c>
      <c r="G3385" s="32" t="s">
        <v>50</v>
      </c>
      <c r="H3385" s="33">
        <v>5600</v>
      </c>
      <c r="I3385" s="34">
        <f>Table3[[#This Row],[Volume, kg.]]/1000</f>
        <v>5.6</v>
      </c>
      <c r="J3385" s="34">
        <v>0.151</v>
      </c>
      <c r="K3385" s="34">
        <f t="shared" si="104"/>
        <v>845.6</v>
      </c>
      <c r="L3385" s="34">
        <v>2</v>
      </c>
      <c r="M3385" s="34">
        <v>11200</v>
      </c>
      <c r="N3385" s="34">
        <f t="shared" si="105"/>
        <v>13.245033112582782</v>
      </c>
    </row>
    <row r="3386" spans="1:14" x14ac:dyDescent="0.45">
      <c r="A3386" s="30">
        <v>2024</v>
      </c>
      <c r="B3386" s="30" t="s">
        <v>13</v>
      </c>
      <c r="C3386" s="30" t="s">
        <v>46</v>
      </c>
      <c r="D3386" s="30" t="s">
        <v>47</v>
      </c>
      <c r="E3386" s="32" t="s">
        <v>520</v>
      </c>
      <c r="F3386" s="32" t="s">
        <v>49</v>
      </c>
      <c r="G3386" s="32" t="s">
        <v>50</v>
      </c>
      <c r="H3386" s="33">
        <v>27500</v>
      </c>
      <c r="I3386" s="34">
        <f>Table3[[#This Row],[Volume, kg.]]/1000</f>
        <v>27.5</v>
      </c>
      <c r="J3386" s="34">
        <v>0.1948</v>
      </c>
      <c r="K3386" s="34">
        <f t="shared" si="104"/>
        <v>5357</v>
      </c>
      <c r="L3386" s="34">
        <v>2.25</v>
      </c>
      <c r="M3386" s="34">
        <v>61772.5</v>
      </c>
      <c r="N3386" s="34">
        <f t="shared" si="105"/>
        <v>11.550308008213552</v>
      </c>
    </row>
    <row r="3387" spans="1:14" x14ac:dyDescent="0.45">
      <c r="A3387" s="30">
        <v>2024</v>
      </c>
      <c r="B3387" s="30" t="s">
        <v>13</v>
      </c>
      <c r="C3387" s="30" t="s">
        <v>46</v>
      </c>
      <c r="D3387" s="30" t="s">
        <v>47</v>
      </c>
      <c r="E3387" s="32" t="s">
        <v>125</v>
      </c>
      <c r="F3387" s="32" t="s">
        <v>60</v>
      </c>
      <c r="G3387" s="32" t="s">
        <v>50</v>
      </c>
      <c r="H3387" s="33">
        <v>11710</v>
      </c>
      <c r="I3387" s="34">
        <f>Table3[[#This Row],[Volume, kg.]]/1000</f>
        <v>11.71</v>
      </c>
      <c r="J3387" s="34">
        <v>0.17910000000000001</v>
      </c>
      <c r="K3387" s="34">
        <f t="shared" si="104"/>
        <v>2097.261</v>
      </c>
      <c r="L3387" s="34">
        <v>2.16</v>
      </c>
      <c r="M3387" s="34">
        <v>25286</v>
      </c>
      <c r="N3387" s="34">
        <f t="shared" si="105"/>
        <v>12.060301507537689</v>
      </c>
    </row>
    <row r="3388" spans="1:14" x14ac:dyDescent="0.45">
      <c r="A3388" s="30">
        <v>2024</v>
      </c>
      <c r="B3388" s="30" t="s">
        <v>13</v>
      </c>
      <c r="C3388" s="30" t="s">
        <v>46</v>
      </c>
      <c r="D3388" s="30" t="s">
        <v>47</v>
      </c>
      <c r="E3388" s="32" t="s">
        <v>390</v>
      </c>
      <c r="F3388" s="32" t="s">
        <v>60</v>
      </c>
      <c r="G3388" s="32" t="s">
        <v>50</v>
      </c>
      <c r="H3388" s="33">
        <v>7670</v>
      </c>
      <c r="I3388" s="34">
        <f>Table3[[#This Row],[Volume, kg.]]/1000</f>
        <v>7.67</v>
      </c>
      <c r="J3388" s="34">
        <v>0.1515</v>
      </c>
      <c r="K3388" s="34">
        <f t="shared" si="104"/>
        <v>1162.0049999999999</v>
      </c>
      <c r="L3388" s="34">
        <v>2</v>
      </c>
      <c r="M3388" s="34">
        <v>15340</v>
      </c>
      <c r="N3388" s="34">
        <f t="shared" si="105"/>
        <v>13.201320132013201</v>
      </c>
    </row>
    <row r="3389" spans="1:14" x14ac:dyDescent="0.45">
      <c r="A3389" s="30">
        <v>2024</v>
      </c>
      <c r="B3389" s="30" t="s">
        <v>13</v>
      </c>
      <c r="C3389" s="30" t="s">
        <v>46</v>
      </c>
      <c r="D3389" s="30" t="s">
        <v>47</v>
      </c>
      <c r="E3389" s="32" t="s">
        <v>144</v>
      </c>
      <c r="F3389" s="32" t="s">
        <v>49</v>
      </c>
      <c r="G3389" s="32" t="s">
        <v>50</v>
      </c>
      <c r="H3389" s="33">
        <v>8630</v>
      </c>
      <c r="I3389" s="34">
        <f>Table3[[#This Row],[Volume, kg.]]/1000</f>
        <v>8.6300000000000008</v>
      </c>
      <c r="J3389" s="34">
        <v>0.185</v>
      </c>
      <c r="K3389" s="34">
        <f t="shared" si="104"/>
        <v>1596.55</v>
      </c>
      <c r="L3389" s="34">
        <v>2.2000000000000002</v>
      </c>
      <c r="M3389" s="34">
        <v>18986</v>
      </c>
      <c r="N3389" s="34">
        <f t="shared" si="105"/>
        <v>11.891891891891893</v>
      </c>
    </row>
    <row r="3390" spans="1:14" x14ac:dyDescent="0.45">
      <c r="A3390" s="30">
        <v>2024</v>
      </c>
      <c r="B3390" s="30" t="s">
        <v>13</v>
      </c>
      <c r="C3390" s="30" t="s">
        <v>46</v>
      </c>
      <c r="D3390" s="30" t="s">
        <v>47</v>
      </c>
      <c r="E3390" s="32" t="s">
        <v>76</v>
      </c>
      <c r="F3390" s="32" t="s">
        <v>60</v>
      </c>
      <c r="G3390" s="32" t="s">
        <v>50</v>
      </c>
      <c r="H3390" s="33">
        <v>5990</v>
      </c>
      <c r="I3390" s="34">
        <f>Table3[[#This Row],[Volume, kg.]]/1000</f>
        <v>5.99</v>
      </c>
      <c r="J3390" s="34">
        <v>0.19899999999999998</v>
      </c>
      <c r="K3390" s="34">
        <f t="shared" si="104"/>
        <v>1192.01</v>
      </c>
      <c r="L3390" s="34">
        <v>2.25</v>
      </c>
      <c r="M3390" s="34">
        <v>13477.5</v>
      </c>
      <c r="N3390" s="34">
        <f t="shared" si="105"/>
        <v>11.306532663316585</v>
      </c>
    </row>
    <row r="3391" spans="1:14" x14ac:dyDescent="0.45">
      <c r="A3391" s="30">
        <v>2024</v>
      </c>
      <c r="B3391" s="30" t="s">
        <v>13</v>
      </c>
      <c r="C3391" s="30" t="s">
        <v>46</v>
      </c>
      <c r="D3391" s="30" t="s">
        <v>47</v>
      </c>
      <c r="E3391" s="32" t="s">
        <v>469</v>
      </c>
      <c r="F3391" s="32" t="s">
        <v>57</v>
      </c>
      <c r="G3391" s="32" t="s">
        <v>50</v>
      </c>
      <c r="H3391" s="33">
        <v>2640</v>
      </c>
      <c r="I3391" s="34">
        <f>Table3[[#This Row],[Volume, kg.]]/1000</f>
        <v>2.64</v>
      </c>
      <c r="J3391" s="34">
        <v>0.17550000000000002</v>
      </c>
      <c r="K3391" s="34">
        <f t="shared" si="104"/>
        <v>463.32000000000005</v>
      </c>
      <c r="L3391" s="34">
        <v>2.15</v>
      </c>
      <c r="M3391" s="34">
        <v>5676</v>
      </c>
      <c r="N3391" s="34">
        <f t="shared" si="105"/>
        <v>12.250712250712249</v>
      </c>
    </row>
    <row r="3392" spans="1:14" x14ac:dyDescent="0.45">
      <c r="A3392" s="30">
        <v>2024</v>
      </c>
      <c r="B3392" s="30" t="s">
        <v>13</v>
      </c>
      <c r="C3392" s="30" t="s">
        <v>46</v>
      </c>
      <c r="D3392" s="30" t="s">
        <v>47</v>
      </c>
      <c r="E3392" s="32" t="s">
        <v>147</v>
      </c>
      <c r="F3392" s="32" t="s">
        <v>57</v>
      </c>
      <c r="G3392" s="32" t="s">
        <v>50</v>
      </c>
      <c r="H3392" s="33">
        <v>64480</v>
      </c>
      <c r="I3392" s="34">
        <f>Table3[[#This Row],[Volume, kg.]]/1000</f>
        <v>64.48</v>
      </c>
      <c r="J3392" s="34">
        <v>0.20440000000000003</v>
      </c>
      <c r="K3392" s="34">
        <f t="shared" si="104"/>
        <v>13179.712000000001</v>
      </c>
      <c r="L3392" s="34">
        <v>2.27</v>
      </c>
      <c r="M3392" s="34">
        <v>146681.5</v>
      </c>
      <c r="N3392" s="34">
        <f t="shared" si="105"/>
        <v>11.105675146771036</v>
      </c>
    </row>
    <row r="3393" spans="1:14" x14ac:dyDescent="0.45">
      <c r="A3393" s="30">
        <v>2024</v>
      </c>
      <c r="B3393" s="30" t="s">
        <v>13</v>
      </c>
      <c r="C3393" s="30" t="s">
        <v>46</v>
      </c>
      <c r="D3393" s="30" t="s">
        <v>47</v>
      </c>
      <c r="E3393" s="32" t="s">
        <v>122</v>
      </c>
      <c r="F3393" s="32" t="s">
        <v>49</v>
      </c>
      <c r="G3393" s="32" t="s">
        <v>50</v>
      </c>
      <c r="H3393" s="33">
        <v>7680</v>
      </c>
      <c r="I3393" s="34">
        <f>Table3[[#This Row],[Volume, kg.]]/1000</f>
        <v>7.68</v>
      </c>
      <c r="J3393" s="34">
        <v>0.1431</v>
      </c>
      <c r="K3393" s="34">
        <f t="shared" si="104"/>
        <v>1099.008</v>
      </c>
      <c r="L3393" s="34">
        <v>2.0099999999999998</v>
      </c>
      <c r="M3393" s="34">
        <v>15402.5</v>
      </c>
      <c r="N3393" s="34">
        <f t="shared" si="105"/>
        <v>14.046121593291403</v>
      </c>
    </row>
    <row r="3394" spans="1:14" x14ac:dyDescent="0.45">
      <c r="A3394" s="30">
        <v>2024</v>
      </c>
      <c r="B3394" s="30" t="s">
        <v>13</v>
      </c>
      <c r="C3394" s="30" t="s">
        <v>46</v>
      </c>
      <c r="D3394" s="30" t="s">
        <v>47</v>
      </c>
      <c r="E3394" s="32" t="s">
        <v>210</v>
      </c>
      <c r="F3394" s="32" t="s">
        <v>60</v>
      </c>
      <c r="G3394" s="32" t="s">
        <v>50</v>
      </c>
      <c r="H3394" s="33">
        <v>7020</v>
      </c>
      <c r="I3394" s="34">
        <f>Table3[[#This Row],[Volume, kg.]]/1000</f>
        <v>7.02</v>
      </c>
      <c r="J3394" s="34">
        <v>0.1825</v>
      </c>
      <c r="K3394" s="34">
        <f t="shared" si="104"/>
        <v>1281.1499999999999</v>
      </c>
      <c r="L3394" s="34">
        <v>2.2000000000000002</v>
      </c>
      <c r="M3394" s="34">
        <v>15444</v>
      </c>
      <c r="N3394" s="34">
        <f t="shared" si="105"/>
        <v>12.054794520547947</v>
      </c>
    </row>
    <row r="3395" spans="1:14" x14ac:dyDescent="0.45">
      <c r="A3395" s="30">
        <v>2024</v>
      </c>
      <c r="B3395" s="30" t="s">
        <v>13</v>
      </c>
      <c r="C3395" s="30" t="s">
        <v>46</v>
      </c>
      <c r="D3395" s="30" t="s">
        <v>47</v>
      </c>
      <c r="E3395" s="32" t="s">
        <v>253</v>
      </c>
      <c r="F3395" s="32" t="s">
        <v>57</v>
      </c>
      <c r="G3395" s="32" t="s">
        <v>50</v>
      </c>
      <c r="H3395" s="33">
        <v>30410</v>
      </c>
      <c r="I3395" s="34">
        <f>Table3[[#This Row],[Volume, kg.]]/1000</f>
        <v>30.41</v>
      </c>
      <c r="J3395" s="34">
        <v>0.1925</v>
      </c>
      <c r="K3395" s="34">
        <f t="shared" ref="K3395:K3458" si="106">H3395*J3395</f>
        <v>5853.9250000000002</v>
      </c>
      <c r="L3395" s="34">
        <v>2.23</v>
      </c>
      <c r="M3395" s="34">
        <v>67767.5</v>
      </c>
      <c r="N3395" s="34">
        <f t="shared" si="105"/>
        <v>11.584415584415584</v>
      </c>
    </row>
    <row r="3396" spans="1:14" x14ac:dyDescent="0.45">
      <c r="A3396" s="30">
        <v>2024</v>
      </c>
      <c r="B3396" s="30" t="s">
        <v>13</v>
      </c>
      <c r="C3396" s="30" t="s">
        <v>46</v>
      </c>
      <c r="D3396" s="30" t="s">
        <v>47</v>
      </c>
      <c r="E3396" s="32" t="s">
        <v>171</v>
      </c>
      <c r="F3396" s="32" t="s">
        <v>49</v>
      </c>
      <c r="G3396" s="32" t="s">
        <v>50</v>
      </c>
      <c r="H3396" s="33">
        <v>4110</v>
      </c>
      <c r="I3396" s="34">
        <f>Table3[[#This Row],[Volume, kg.]]/1000</f>
        <v>4.1100000000000003</v>
      </c>
      <c r="J3396" s="34">
        <v>0.182</v>
      </c>
      <c r="K3396" s="34">
        <f t="shared" si="106"/>
        <v>748.02</v>
      </c>
      <c r="L3396" s="34">
        <v>2.15</v>
      </c>
      <c r="M3396" s="34">
        <v>8836.5</v>
      </c>
      <c r="N3396" s="34">
        <f t="shared" ref="N3396:N3459" si="107">L3396/J3396</f>
        <v>11.813186813186814</v>
      </c>
    </row>
    <row r="3397" spans="1:14" x14ac:dyDescent="0.45">
      <c r="A3397" s="30">
        <v>2024</v>
      </c>
      <c r="B3397" s="30" t="s">
        <v>13</v>
      </c>
      <c r="C3397" s="30" t="s">
        <v>46</v>
      </c>
      <c r="D3397" s="30" t="s">
        <v>47</v>
      </c>
      <c r="E3397" s="32" t="s">
        <v>233</v>
      </c>
      <c r="F3397" s="32" t="s">
        <v>57</v>
      </c>
      <c r="G3397" s="32" t="s">
        <v>50</v>
      </c>
      <c r="H3397" s="33">
        <v>29920</v>
      </c>
      <c r="I3397" s="34">
        <f>Table3[[#This Row],[Volume, kg.]]/1000</f>
        <v>29.92</v>
      </c>
      <c r="J3397" s="34">
        <v>0.21410000000000001</v>
      </c>
      <c r="K3397" s="34">
        <f t="shared" si="106"/>
        <v>6405.8720000000003</v>
      </c>
      <c r="L3397" s="34">
        <v>2.33</v>
      </c>
      <c r="M3397" s="34">
        <v>69814</v>
      </c>
      <c r="N3397" s="34">
        <f t="shared" si="107"/>
        <v>10.882765063054647</v>
      </c>
    </row>
    <row r="3398" spans="1:14" x14ac:dyDescent="0.45">
      <c r="A3398" s="30">
        <v>2024</v>
      </c>
      <c r="B3398" s="30" t="s">
        <v>13</v>
      </c>
      <c r="C3398" s="30" t="s">
        <v>46</v>
      </c>
      <c r="D3398" s="30" t="s">
        <v>47</v>
      </c>
      <c r="E3398" s="32" t="s">
        <v>89</v>
      </c>
      <c r="F3398" s="32" t="s">
        <v>81</v>
      </c>
      <c r="G3398" s="32" t="s">
        <v>50</v>
      </c>
      <c r="H3398" s="33">
        <v>17920</v>
      </c>
      <c r="I3398" s="34">
        <f>Table3[[#This Row],[Volume, kg.]]/1000</f>
        <v>17.920000000000002</v>
      </c>
      <c r="J3398" s="34">
        <v>0.221</v>
      </c>
      <c r="K3398" s="34">
        <f t="shared" si="106"/>
        <v>3960.32</v>
      </c>
      <c r="L3398" s="34">
        <v>2.34</v>
      </c>
      <c r="M3398" s="34">
        <v>41918</v>
      </c>
      <c r="N3398" s="34">
        <f t="shared" si="107"/>
        <v>10.588235294117647</v>
      </c>
    </row>
    <row r="3399" spans="1:14" x14ac:dyDescent="0.45">
      <c r="A3399" s="30">
        <v>2024</v>
      </c>
      <c r="B3399" s="30" t="s">
        <v>13</v>
      </c>
      <c r="C3399" s="30" t="s">
        <v>46</v>
      </c>
      <c r="D3399" s="30" t="s">
        <v>47</v>
      </c>
      <c r="E3399" s="32" t="s">
        <v>90</v>
      </c>
      <c r="F3399" s="32" t="s">
        <v>49</v>
      </c>
      <c r="G3399" s="32" t="s">
        <v>50</v>
      </c>
      <c r="H3399" s="33">
        <v>47640</v>
      </c>
      <c r="I3399" s="34">
        <f>Table3[[#This Row],[Volume, kg.]]/1000</f>
        <v>47.64</v>
      </c>
      <c r="J3399" s="34">
        <v>0.17949999999999999</v>
      </c>
      <c r="K3399" s="34">
        <f t="shared" si="106"/>
        <v>8551.3799999999992</v>
      </c>
      <c r="L3399" s="34">
        <v>2.15</v>
      </c>
      <c r="M3399" s="34">
        <v>102259</v>
      </c>
      <c r="N3399" s="34">
        <f t="shared" si="107"/>
        <v>11.977715877437326</v>
      </c>
    </row>
    <row r="3400" spans="1:14" x14ac:dyDescent="0.45">
      <c r="A3400" s="30">
        <v>2024</v>
      </c>
      <c r="B3400" s="30" t="s">
        <v>13</v>
      </c>
      <c r="C3400" s="30" t="s">
        <v>46</v>
      </c>
      <c r="D3400" s="30" t="s">
        <v>47</v>
      </c>
      <c r="E3400" s="32" t="s">
        <v>275</v>
      </c>
      <c r="F3400" s="32" t="s">
        <v>54</v>
      </c>
      <c r="G3400" s="32" t="s">
        <v>50</v>
      </c>
      <c r="H3400" s="33">
        <v>100830</v>
      </c>
      <c r="I3400" s="34">
        <f>Table3[[#This Row],[Volume, kg.]]/1000</f>
        <v>100.83</v>
      </c>
      <c r="J3400" s="34">
        <v>0.1918</v>
      </c>
      <c r="K3400" s="34">
        <f t="shared" si="106"/>
        <v>19339.194</v>
      </c>
      <c r="L3400" s="34">
        <v>2.21</v>
      </c>
      <c r="M3400" s="34">
        <v>223296.5</v>
      </c>
      <c r="N3400" s="34">
        <f t="shared" si="107"/>
        <v>11.522419186652764</v>
      </c>
    </row>
    <row r="3401" spans="1:14" x14ac:dyDescent="0.45">
      <c r="A3401" s="30">
        <v>2024</v>
      </c>
      <c r="B3401" s="30" t="s">
        <v>13</v>
      </c>
      <c r="C3401" s="30" t="s">
        <v>46</v>
      </c>
      <c r="D3401" s="30" t="s">
        <v>47</v>
      </c>
      <c r="E3401" s="32" t="s">
        <v>88</v>
      </c>
      <c r="F3401" s="32" t="s">
        <v>49</v>
      </c>
      <c r="G3401" s="32" t="s">
        <v>50</v>
      </c>
      <c r="H3401" s="33">
        <v>27620</v>
      </c>
      <c r="I3401" s="34">
        <f>Table3[[#This Row],[Volume, kg.]]/1000</f>
        <v>27.62</v>
      </c>
      <c r="J3401" s="34">
        <v>0.18629999999999999</v>
      </c>
      <c r="K3401" s="34">
        <f t="shared" si="106"/>
        <v>5145.6059999999998</v>
      </c>
      <c r="L3401" s="34">
        <v>2.21</v>
      </c>
      <c r="M3401" s="34">
        <v>60902.5</v>
      </c>
      <c r="N3401" s="34">
        <f t="shared" si="107"/>
        <v>11.862587224906065</v>
      </c>
    </row>
    <row r="3402" spans="1:14" x14ac:dyDescent="0.45">
      <c r="A3402" s="30">
        <v>2024</v>
      </c>
      <c r="B3402" s="30" t="s">
        <v>13</v>
      </c>
      <c r="C3402" s="30" t="s">
        <v>46</v>
      </c>
      <c r="D3402" s="30" t="s">
        <v>47</v>
      </c>
      <c r="E3402" s="32" t="s">
        <v>311</v>
      </c>
      <c r="F3402" s="32" t="s">
        <v>57</v>
      </c>
      <c r="G3402" s="32" t="s">
        <v>50</v>
      </c>
      <c r="H3402" s="33">
        <v>28990</v>
      </c>
      <c r="I3402" s="34">
        <f>Table3[[#This Row],[Volume, kg.]]/1000</f>
        <v>28.99</v>
      </c>
      <c r="J3402" s="34">
        <v>0.21870000000000001</v>
      </c>
      <c r="K3402" s="34">
        <f t="shared" si="106"/>
        <v>6340.1130000000003</v>
      </c>
      <c r="L3402" s="34">
        <v>2.35</v>
      </c>
      <c r="M3402" s="34">
        <v>68141.5</v>
      </c>
      <c r="N3402" s="34">
        <f t="shared" si="107"/>
        <v>10.745313214449016</v>
      </c>
    </row>
    <row r="3403" spans="1:14" x14ac:dyDescent="0.45">
      <c r="A3403" s="30">
        <v>2024</v>
      </c>
      <c r="B3403" s="30" t="s">
        <v>13</v>
      </c>
      <c r="C3403" s="30" t="s">
        <v>46</v>
      </c>
      <c r="D3403" s="30" t="s">
        <v>47</v>
      </c>
      <c r="E3403" s="32" t="s">
        <v>361</v>
      </c>
      <c r="F3403" s="32" t="s">
        <v>57</v>
      </c>
      <c r="G3403" s="32" t="s">
        <v>50</v>
      </c>
      <c r="H3403" s="33">
        <v>22260</v>
      </c>
      <c r="I3403" s="34">
        <f>Table3[[#This Row],[Volume, kg.]]/1000</f>
        <v>22.26</v>
      </c>
      <c r="J3403" s="34">
        <v>0.19059999999999999</v>
      </c>
      <c r="K3403" s="34">
        <f t="shared" si="106"/>
        <v>4242.7559999999994</v>
      </c>
      <c r="L3403" s="34">
        <v>2.23</v>
      </c>
      <c r="M3403" s="34">
        <v>49629.5</v>
      </c>
      <c r="N3403" s="34">
        <f t="shared" si="107"/>
        <v>11.699895068205667</v>
      </c>
    </row>
    <row r="3404" spans="1:14" x14ac:dyDescent="0.45">
      <c r="A3404" s="30">
        <v>2024</v>
      </c>
      <c r="B3404" s="30" t="s">
        <v>13</v>
      </c>
      <c r="C3404" s="30" t="s">
        <v>46</v>
      </c>
      <c r="D3404" s="30" t="s">
        <v>47</v>
      </c>
      <c r="E3404" s="32" t="s">
        <v>356</v>
      </c>
      <c r="F3404" s="32" t="s">
        <v>49</v>
      </c>
      <c r="G3404" s="32" t="s">
        <v>50</v>
      </c>
      <c r="H3404" s="33">
        <v>9520</v>
      </c>
      <c r="I3404" s="34">
        <f>Table3[[#This Row],[Volume, kg.]]/1000</f>
        <v>9.52</v>
      </c>
      <c r="J3404" s="34">
        <v>0.1739</v>
      </c>
      <c r="K3404" s="34">
        <f t="shared" si="106"/>
        <v>1655.528</v>
      </c>
      <c r="L3404" s="34">
        <v>2.14</v>
      </c>
      <c r="M3404" s="34">
        <v>20400</v>
      </c>
      <c r="N3404" s="34">
        <f t="shared" si="107"/>
        <v>12.305922944220818</v>
      </c>
    </row>
    <row r="3405" spans="1:14" x14ac:dyDescent="0.45">
      <c r="A3405" s="30">
        <v>2024</v>
      </c>
      <c r="B3405" s="30" t="s">
        <v>13</v>
      </c>
      <c r="C3405" s="30" t="s">
        <v>46</v>
      </c>
      <c r="D3405" s="30" t="s">
        <v>102</v>
      </c>
      <c r="E3405" s="32" t="s">
        <v>656</v>
      </c>
      <c r="F3405" s="32" t="s">
        <v>657</v>
      </c>
      <c r="G3405" s="32" t="s">
        <v>119</v>
      </c>
      <c r="H3405" s="33">
        <v>275620</v>
      </c>
      <c r="I3405" s="34">
        <f>Table3[[#This Row],[Volume, kg.]]/1000</f>
        <v>275.62</v>
      </c>
      <c r="J3405" s="34">
        <v>0.18090000000000001</v>
      </c>
      <c r="K3405" s="34">
        <f t="shared" si="106"/>
        <v>49859.658000000003</v>
      </c>
      <c r="L3405" s="34">
        <v>2.17</v>
      </c>
      <c r="M3405" s="34">
        <v>598077.5</v>
      </c>
      <c r="N3405" s="34">
        <f t="shared" si="107"/>
        <v>11.995577667219457</v>
      </c>
    </row>
    <row r="3406" spans="1:14" x14ac:dyDescent="0.45">
      <c r="A3406" s="30">
        <v>2024</v>
      </c>
      <c r="B3406" s="30" t="s">
        <v>13</v>
      </c>
      <c r="C3406" s="30" t="s">
        <v>46</v>
      </c>
      <c r="D3406" s="30" t="s">
        <v>47</v>
      </c>
      <c r="E3406" s="32" t="s">
        <v>637</v>
      </c>
      <c r="F3406" s="32" t="s">
        <v>60</v>
      </c>
      <c r="G3406" s="32" t="s">
        <v>50</v>
      </c>
      <c r="H3406" s="33">
        <v>1970</v>
      </c>
      <c r="I3406" s="34">
        <f>Table3[[#This Row],[Volume, kg.]]/1000</f>
        <v>1.97</v>
      </c>
      <c r="J3406" s="34">
        <v>0.26300000000000001</v>
      </c>
      <c r="K3406" s="34">
        <f t="shared" si="106"/>
        <v>518.11</v>
      </c>
      <c r="L3406" s="34">
        <v>2.5499999999999998</v>
      </c>
      <c r="M3406" s="34">
        <v>5023.5</v>
      </c>
      <c r="N3406" s="34">
        <f t="shared" si="107"/>
        <v>9.6958174904942958</v>
      </c>
    </row>
    <row r="3407" spans="1:14" x14ac:dyDescent="0.45">
      <c r="A3407" s="30">
        <v>2024</v>
      </c>
      <c r="B3407" s="30" t="s">
        <v>13</v>
      </c>
      <c r="C3407" s="30" t="s">
        <v>46</v>
      </c>
      <c r="D3407" s="30" t="s">
        <v>47</v>
      </c>
      <c r="E3407" s="32" t="s">
        <v>573</v>
      </c>
      <c r="F3407" s="32" t="s">
        <v>49</v>
      </c>
      <c r="G3407" s="32" t="s">
        <v>50</v>
      </c>
      <c r="H3407" s="33">
        <v>35540</v>
      </c>
      <c r="I3407" s="34">
        <f>Table3[[#This Row],[Volume, kg.]]/1000</f>
        <v>35.54</v>
      </c>
      <c r="J3407" s="34">
        <v>0.1673</v>
      </c>
      <c r="K3407" s="34">
        <f t="shared" si="106"/>
        <v>5945.8420000000006</v>
      </c>
      <c r="L3407" s="34">
        <v>2.09</v>
      </c>
      <c r="M3407" s="34">
        <v>74284</v>
      </c>
      <c r="N3407" s="34">
        <f t="shared" si="107"/>
        <v>12.49252839210998</v>
      </c>
    </row>
    <row r="3408" spans="1:14" x14ac:dyDescent="0.45">
      <c r="A3408" s="30">
        <v>2024</v>
      </c>
      <c r="B3408" s="30" t="s">
        <v>13</v>
      </c>
      <c r="C3408" s="30" t="s">
        <v>46</v>
      </c>
      <c r="D3408" s="30" t="s">
        <v>47</v>
      </c>
      <c r="E3408" s="32" t="s">
        <v>153</v>
      </c>
      <c r="F3408" s="32" t="s">
        <v>57</v>
      </c>
      <c r="G3408" s="32" t="s">
        <v>50</v>
      </c>
      <c r="H3408" s="33">
        <v>29270</v>
      </c>
      <c r="I3408" s="34">
        <f>Table3[[#This Row],[Volume, kg.]]/1000</f>
        <v>29.27</v>
      </c>
      <c r="J3408" s="34">
        <v>0.20329999999999998</v>
      </c>
      <c r="K3408" s="34">
        <f t="shared" si="106"/>
        <v>5950.5909999999994</v>
      </c>
      <c r="L3408" s="34">
        <v>2.2799999999999998</v>
      </c>
      <c r="M3408" s="34">
        <v>66619</v>
      </c>
      <c r="N3408" s="34">
        <f t="shared" si="107"/>
        <v>11.214953271028037</v>
      </c>
    </row>
    <row r="3409" spans="1:14" x14ac:dyDescent="0.45">
      <c r="A3409" s="30">
        <v>2024</v>
      </c>
      <c r="B3409" s="30" t="s">
        <v>13</v>
      </c>
      <c r="C3409" s="30" t="s">
        <v>46</v>
      </c>
      <c r="D3409" s="30" t="s">
        <v>47</v>
      </c>
      <c r="E3409" s="32" t="s">
        <v>536</v>
      </c>
      <c r="F3409" s="32" t="s">
        <v>60</v>
      </c>
      <c r="G3409" s="32" t="s">
        <v>50</v>
      </c>
      <c r="H3409" s="33">
        <v>10620</v>
      </c>
      <c r="I3409" s="34">
        <f>Table3[[#This Row],[Volume, kg.]]/1000</f>
        <v>10.62</v>
      </c>
      <c r="J3409" s="34">
        <v>0.18100000000000002</v>
      </c>
      <c r="K3409" s="34">
        <f t="shared" si="106"/>
        <v>1922.2200000000003</v>
      </c>
      <c r="L3409" s="34">
        <v>2.15</v>
      </c>
      <c r="M3409" s="34">
        <v>22833</v>
      </c>
      <c r="N3409" s="34">
        <f t="shared" si="107"/>
        <v>11.878453038674031</v>
      </c>
    </row>
    <row r="3410" spans="1:14" x14ac:dyDescent="0.45">
      <c r="A3410" s="30">
        <v>2024</v>
      </c>
      <c r="B3410" s="30" t="s">
        <v>13</v>
      </c>
      <c r="C3410" s="30" t="s">
        <v>46</v>
      </c>
      <c r="D3410" s="30" t="s">
        <v>47</v>
      </c>
      <c r="E3410" s="32" t="s">
        <v>545</v>
      </c>
      <c r="F3410" s="32" t="s">
        <v>54</v>
      </c>
      <c r="G3410" s="32" t="s">
        <v>50</v>
      </c>
      <c r="H3410" s="33">
        <v>14370</v>
      </c>
      <c r="I3410" s="34">
        <f>Table3[[#This Row],[Volume, kg.]]/1000</f>
        <v>14.37</v>
      </c>
      <c r="J3410" s="34">
        <v>0.21100000000000002</v>
      </c>
      <c r="K3410" s="34">
        <f t="shared" si="106"/>
        <v>3032.07</v>
      </c>
      <c r="L3410" s="34">
        <v>2.2999999999999998</v>
      </c>
      <c r="M3410" s="34">
        <v>33051</v>
      </c>
      <c r="N3410" s="34">
        <f t="shared" si="107"/>
        <v>10.900473933649288</v>
      </c>
    </row>
    <row r="3411" spans="1:14" x14ac:dyDescent="0.45">
      <c r="A3411" s="30">
        <v>2024</v>
      </c>
      <c r="B3411" s="30" t="s">
        <v>13</v>
      </c>
      <c r="C3411" s="30" t="s">
        <v>46</v>
      </c>
      <c r="D3411" s="30" t="s">
        <v>47</v>
      </c>
      <c r="E3411" s="32" t="s">
        <v>346</v>
      </c>
      <c r="F3411" s="32" t="s">
        <v>49</v>
      </c>
      <c r="G3411" s="32" t="s">
        <v>50</v>
      </c>
      <c r="H3411" s="33">
        <v>50520</v>
      </c>
      <c r="I3411" s="34">
        <f>Table3[[#This Row],[Volume, kg.]]/1000</f>
        <v>50.52</v>
      </c>
      <c r="J3411" s="34">
        <v>0.16159999999999999</v>
      </c>
      <c r="K3411" s="34">
        <f t="shared" si="106"/>
        <v>8164.0319999999992</v>
      </c>
      <c r="L3411" s="34">
        <v>2.06</v>
      </c>
      <c r="M3411" s="34">
        <v>103881</v>
      </c>
      <c r="N3411" s="34">
        <f t="shared" si="107"/>
        <v>12.747524752475249</v>
      </c>
    </row>
    <row r="3412" spans="1:14" x14ac:dyDescent="0.45">
      <c r="A3412" s="30">
        <v>2024</v>
      </c>
      <c r="B3412" s="30" t="s">
        <v>13</v>
      </c>
      <c r="C3412" s="30" t="s">
        <v>46</v>
      </c>
      <c r="D3412" s="30" t="s">
        <v>47</v>
      </c>
      <c r="E3412" s="32" t="s">
        <v>225</v>
      </c>
      <c r="F3412" s="32" t="s">
        <v>64</v>
      </c>
      <c r="G3412" s="32" t="s">
        <v>50</v>
      </c>
      <c r="H3412" s="33">
        <v>54530</v>
      </c>
      <c r="I3412" s="34">
        <f>Table3[[#This Row],[Volume, kg.]]/1000</f>
        <v>54.53</v>
      </c>
      <c r="J3412" s="34">
        <v>0.1434</v>
      </c>
      <c r="K3412" s="34">
        <f t="shared" si="106"/>
        <v>7819.6019999999999</v>
      </c>
      <c r="L3412" s="34">
        <v>2.0099999999999998</v>
      </c>
      <c r="M3412" s="34">
        <v>109718</v>
      </c>
      <c r="N3412" s="34">
        <f t="shared" si="107"/>
        <v>14.016736401673638</v>
      </c>
    </row>
    <row r="3413" spans="1:14" x14ac:dyDescent="0.45">
      <c r="A3413" s="30">
        <v>2024</v>
      </c>
      <c r="B3413" s="30" t="s">
        <v>13</v>
      </c>
      <c r="C3413" s="30" t="s">
        <v>46</v>
      </c>
      <c r="D3413" s="30" t="s">
        <v>47</v>
      </c>
      <c r="E3413" s="32" t="s">
        <v>306</v>
      </c>
      <c r="F3413" s="32" t="s">
        <v>60</v>
      </c>
      <c r="G3413" s="32" t="s">
        <v>50</v>
      </c>
      <c r="H3413" s="33">
        <v>41790</v>
      </c>
      <c r="I3413" s="34">
        <f>Table3[[#This Row],[Volume, kg.]]/1000</f>
        <v>41.79</v>
      </c>
      <c r="J3413" s="34">
        <v>0.17879999999999999</v>
      </c>
      <c r="K3413" s="34">
        <f t="shared" si="106"/>
        <v>7472.0519999999997</v>
      </c>
      <c r="L3413" s="34">
        <v>2.14</v>
      </c>
      <c r="M3413" s="34">
        <v>89298</v>
      </c>
      <c r="N3413" s="34">
        <f t="shared" si="107"/>
        <v>11.96868008948546</v>
      </c>
    </row>
    <row r="3414" spans="1:14" x14ac:dyDescent="0.45">
      <c r="A3414" s="30">
        <v>2024</v>
      </c>
      <c r="B3414" s="30" t="s">
        <v>13</v>
      </c>
      <c r="C3414" s="30" t="s">
        <v>46</v>
      </c>
      <c r="D3414" s="30" t="s">
        <v>47</v>
      </c>
      <c r="E3414" s="32" t="s">
        <v>262</v>
      </c>
      <c r="F3414" s="32" t="s">
        <v>81</v>
      </c>
      <c r="G3414" s="32" t="s">
        <v>50</v>
      </c>
      <c r="H3414" s="33">
        <v>26790</v>
      </c>
      <c r="I3414" s="34">
        <f>Table3[[#This Row],[Volume, kg.]]/1000</f>
        <v>26.79</v>
      </c>
      <c r="J3414" s="34">
        <v>0.19140000000000001</v>
      </c>
      <c r="K3414" s="34">
        <f t="shared" si="106"/>
        <v>5127.6060000000007</v>
      </c>
      <c r="L3414" s="34">
        <v>2.23</v>
      </c>
      <c r="M3414" s="34">
        <v>59639</v>
      </c>
      <c r="N3414" s="34">
        <f t="shared" si="107"/>
        <v>11.650992685475444</v>
      </c>
    </row>
    <row r="3415" spans="1:14" x14ac:dyDescent="0.45">
      <c r="A3415" s="30">
        <v>2024</v>
      </c>
      <c r="B3415" s="30" t="s">
        <v>13</v>
      </c>
      <c r="C3415" s="30" t="s">
        <v>46</v>
      </c>
      <c r="D3415" s="30" t="s">
        <v>47</v>
      </c>
      <c r="E3415" s="32" t="s">
        <v>197</v>
      </c>
      <c r="F3415" s="32" t="s">
        <v>57</v>
      </c>
      <c r="G3415" s="32" t="s">
        <v>50</v>
      </c>
      <c r="H3415" s="33">
        <v>51600</v>
      </c>
      <c r="I3415" s="34">
        <f>Table3[[#This Row],[Volume, kg.]]/1000</f>
        <v>51.6</v>
      </c>
      <c r="J3415" s="34">
        <v>0.20180000000000001</v>
      </c>
      <c r="K3415" s="34">
        <f t="shared" si="106"/>
        <v>10412.880000000001</v>
      </c>
      <c r="L3415" s="34">
        <v>2.27</v>
      </c>
      <c r="M3415" s="34">
        <v>117269.5</v>
      </c>
      <c r="N3415" s="34">
        <f t="shared" si="107"/>
        <v>11.248761149653122</v>
      </c>
    </row>
    <row r="3416" spans="1:14" x14ac:dyDescent="0.45">
      <c r="A3416" s="30">
        <v>2024</v>
      </c>
      <c r="B3416" s="30" t="s">
        <v>13</v>
      </c>
      <c r="C3416" s="30" t="s">
        <v>46</v>
      </c>
      <c r="D3416" s="30" t="s">
        <v>47</v>
      </c>
      <c r="E3416" s="32" t="s">
        <v>206</v>
      </c>
      <c r="F3416" s="32" t="s">
        <v>81</v>
      </c>
      <c r="G3416" s="32" t="s">
        <v>50</v>
      </c>
      <c r="H3416" s="33">
        <v>28500</v>
      </c>
      <c r="I3416" s="34">
        <f>Table3[[#This Row],[Volume, kg.]]/1000</f>
        <v>28.5</v>
      </c>
      <c r="J3416" s="34">
        <v>0.1704</v>
      </c>
      <c r="K3416" s="34">
        <f t="shared" si="106"/>
        <v>4856.3999999999996</v>
      </c>
      <c r="L3416" s="34">
        <v>2.12</v>
      </c>
      <c r="M3416" s="34">
        <v>60428</v>
      </c>
      <c r="N3416" s="34">
        <f t="shared" si="107"/>
        <v>12.441314553990612</v>
      </c>
    </row>
    <row r="3417" spans="1:14" x14ac:dyDescent="0.45">
      <c r="A3417" s="30">
        <v>2024</v>
      </c>
      <c r="B3417" s="30" t="s">
        <v>13</v>
      </c>
      <c r="C3417" s="30" t="s">
        <v>46</v>
      </c>
      <c r="D3417" s="30" t="s">
        <v>47</v>
      </c>
      <c r="E3417" s="32" t="s">
        <v>169</v>
      </c>
      <c r="F3417" s="32" t="s">
        <v>49</v>
      </c>
      <c r="G3417" s="32" t="s">
        <v>50</v>
      </c>
      <c r="H3417" s="33">
        <v>0</v>
      </c>
      <c r="I3417" s="34">
        <f>Table3[[#This Row],[Volume, kg.]]/1000</f>
        <v>0</v>
      </c>
      <c r="J3417" s="34">
        <v>0</v>
      </c>
      <c r="K3417" s="34">
        <f t="shared" si="106"/>
        <v>0</v>
      </c>
      <c r="L3417" s="34">
        <v>0</v>
      </c>
      <c r="M3417" s="34">
        <v>0</v>
      </c>
    </row>
    <row r="3418" spans="1:14" x14ac:dyDescent="0.45">
      <c r="A3418" s="30">
        <v>2024</v>
      </c>
      <c r="B3418" s="30" t="s">
        <v>13</v>
      </c>
      <c r="C3418" s="30" t="s">
        <v>46</v>
      </c>
      <c r="D3418" s="30" t="s">
        <v>47</v>
      </c>
      <c r="E3418" s="32" t="s">
        <v>350</v>
      </c>
      <c r="F3418" s="32" t="s">
        <v>49</v>
      </c>
      <c r="G3418" s="32" t="s">
        <v>50</v>
      </c>
      <c r="H3418" s="33">
        <v>43000</v>
      </c>
      <c r="I3418" s="34">
        <f>Table3[[#This Row],[Volume, kg.]]/1000</f>
        <v>43</v>
      </c>
      <c r="J3418" s="34">
        <v>0.19409999999999999</v>
      </c>
      <c r="K3418" s="34">
        <f t="shared" si="106"/>
        <v>8346.2999999999993</v>
      </c>
      <c r="L3418" s="34">
        <v>2.2200000000000002</v>
      </c>
      <c r="M3418" s="34">
        <v>95647.5</v>
      </c>
      <c r="N3418" s="34">
        <f t="shared" si="107"/>
        <v>11.437403400309121</v>
      </c>
    </row>
    <row r="3419" spans="1:14" x14ac:dyDescent="0.45">
      <c r="A3419" s="30">
        <v>2024</v>
      </c>
      <c r="B3419" s="30" t="s">
        <v>13</v>
      </c>
      <c r="C3419" s="30" t="s">
        <v>46</v>
      </c>
      <c r="D3419" s="30" t="s">
        <v>47</v>
      </c>
      <c r="E3419" s="32" t="s">
        <v>610</v>
      </c>
      <c r="F3419" s="32" t="s">
        <v>238</v>
      </c>
      <c r="G3419" s="32" t="s">
        <v>50</v>
      </c>
      <c r="H3419" s="33">
        <v>19930</v>
      </c>
      <c r="I3419" s="34">
        <f>Table3[[#This Row],[Volume, kg.]]/1000</f>
        <v>19.93</v>
      </c>
      <c r="J3419" s="34">
        <v>0.18379999999999999</v>
      </c>
      <c r="K3419" s="34">
        <f t="shared" si="106"/>
        <v>3663.134</v>
      </c>
      <c r="L3419" s="34">
        <v>2.17</v>
      </c>
      <c r="M3419" s="34">
        <v>43172.5</v>
      </c>
      <c r="N3419" s="34">
        <f t="shared" si="107"/>
        <v>11.806311207834604</v>
      </c>
    </row>
    <row r="3420" spans="1:14" x14ac:dyDescent="0.45">
      <c r="A3420" s="30">
        <v>2024</v>
      </c>
      <c r="B3420" s="30" t="s">
        <v>13</v>
      </c>
      <c r="C3420" s="30" t="s">
        <v>46</v>
      </c>
      <c r="D3420" s="30" t="s">
        <v>47</v>
      </c>
      <c r="E3420" s="32" t="s">
        <v>395</v>
      </c>
      <c r="F3420" s="32" t="s">
        <v>81</v>
      </c>
      <c r="G3420" s="32" t="s">
        <v>50</v>
      </c>
      <c r="H3420" s="33">
        <v>635480</v>
      </c>
      <c r="I3420" s="34">
        <f>Table3[[#This Row],[Volume, kg.]]/1000</f>
        <v>635.48</v>
      </c>
      <c r="J3420" s="34">
        <v>0.1827</v>
      </c>
      <c r="K3420" s="34">
        <f t="shared" si="106"/>
        <v>116102.196</v>
      </c>
      <c r="L3420" s="34">
        <v>2.1800000000000002</v>
      </c>
      <c r="M3420" s="34">
        <v>1382237</v>
      </c>
      <c r="N3420" s="34">
        <f t="shared" si="107"/>
        <v>11.932129173508484</v>
      </c>
    </row>
    <row r="3421" spans="1:14" x14ac:dyDescent="0.45">
      <c r="A3421" s="30">
        <v>2024</v>
      </c>
      <c r="B3421" s="30" t="s">
        <v>13</v>
      </c>
      <c r="C3421" s="30" t="s">
        <v>46</v>
      </c>
      <c r="D3421" s="30" t="s">
        <v>47</v>
      </c>
      <c r="E3421" s="32" t="s">
        <v>312</v>
      </c>
      <c r="F3421" s="32" t="s">
        <v>60</v>
      </c>
      <c r="G3421" s="32" t="s">
        <v>50</v>
      </c>
      <c r="H3421" s="33">
        <v>10450</v>
      </c>
      <c r="I3421" s="34">
        <f>Table3[[#This Row],[Volume, kg.]]/1000</f>
        <v>10.45</v>
      </c>
      <c r="J3421" s="34">
        <v>0.17660000000000001</v>
      </c>
      <c r="K3421" s="34">
        <f t="shared" si="106"/>
        <v>1845.47</v>
      </c>
      <c r="L3421" s="34">
        <v>2.1800000000000002</v>
      </c>
      <c r="M3421" s="34">
        <v>22756.5</v>
      </c>
      <c r="N3421" s="34">
        <f t="shared" si="107"/>
        <v>12.344280860702153</v>
      </c>
    </row>
    <row r="3422" spans="1:14" x14ac:dyDescent="0.45">
      <c r="A3422" s="30">
        <v>2024</v>
      </c>
      <c r="B3422" s="30" t="s">
        <v>13</v>
      </c>
      <c r="C3422" s="30" t="s">
        <v>46</v>
      </c>
      <c r="D3422" s="30" t="s">
        <v>47</v>
      </c>
      <c r="E3422" s="32" t="s">
        <v>548</v>
      </c>
      <c r="F3422" s="32" t="s">
        <v>49</v>
      </c>
      <c r="G3422" s="32" t="s">
        <v>50</v>
      </c>
      <c r="H3422" s="33">
        <v>2040</v>
      </c>
      <c r="I3422" s="34">
        <f>Table3[[#This Row],[Volume, kg.]]/1000</f>
        <v>2.04</v>
      </c>
      <c r="J3422" s="34">
        <v>0.158</v>
      </c>
      <c r="K3422" s="34">
        <f t="shared" si="106"/>
        <v>322.32</v>
      </c>
      <c r="L3422" s="34">
        <v>2.1</v>
      </c>
      <c r="M3422" s="34">
        <v>4284</v>
      </c>
      <c r="N3422" s="34">
        <f t="shared" si="107"/>
        <v>13.291139240506329</v>
      </c>
    </row>
    <row r="3423" spans="1:14" x14ac:dyDescent="0.45">
      <c r="A3423" s="30">
        <v>2024</v>
      </c>
      <c r="B3423" s="30" t="s">
        <v>13</v>
      </c>
      <c r="C3423" s="30" t="s">
        <v>46</v>
      </c>
      <c r="D3423" s="30" t="s">
        <v>47</v>
      </c>
      <c r="E3423" s="32" t="s">
        <v>98</v>
      </c>
      <c r="F3423" s="32" t="s">
        <v>49</v>
      </c>
      <c r="G3423" s="32" t="s">
        <v>50</v>
      </c>
      <c r="H3423" s="33">
        <v>43010</v>
      </c>
      <c r="I3423" s="34">
        <f>Table3[[#This Row],[Volume, kg.]]/1000</f>
        <v>43.01</v>
      </c>
      <c r="J3423" s="34">
        <v>0.1888</v>
      </c>
      <c r="K3423" s="34">
        <f t="shared" si="106"/>
        <v>8120.2879999999996</v>
      </c>
      <c r="L3423" s="34">
        <v>2.2000000000000002</v>
      </c>
      <c r="M3423" s="34">
        <v>94824.5</v>
      </c>
      <c r="N3423" s="34">
        <f t="shared" si="107"/>
        <v>11.652542372881356</v>
      </c>
    </row>
    <row r="3424" spans="1:14" x14ac:dyDescent="0.45">
      <c r="A3424" s="30">
        <v>2024</v>
      </c>
      <c r="B3424" s="30" t="s">
        <v>13</v>
      </c>
      <c r="C3424" s="30" t="s">
        <v>46</v>
      </c>
      <c r="D3424" s="30" t="s">
        <v>47</v>
      </c>
      <c r="E3424" s="32" t="s">
        <v>129</v>
      </c>
      <c r="F3424" s="32" t="s">
        <v>57</v>
      </c>
      <c r="G3424" s="32" t="s">
        <v>50</v>
      </c>
      <c r="H3424" s="33">
        <v>18280</v>
      </c>
      <c r="I3424" s="34">
        <f>Table3[[#This Row],[Volume, kg.]]/1000</f>
        <v>18.28</v>
      </c>
      <c r="J3424" s="34">
        <v>0.23050000000000001</v>
      </c>
      <c r="K3424" s="34">
        <f t="shared" si="106"/>
        <v>4213.54</v>
      </c>
      <c r="L3424" s="34">
        <v>2.41</v>
      </c>
      <c r="M3424" s="34">
        <v>44024</v>
      </c>
      <c r="N3424" s="34">
        <f t="shared" si="107"/>
        <v>10.455531453362257</v>
      </c>
    </row>
    <row r="3425" spans="1:14" x14ac:dyDescent="0.45">
      <c r="A3425" s="30">
        <v>2024</v>
      </c>
      <c r="B3425" s="30" t="s">
        <v>13</v>
      </c>
      <c r="C3425" s="30" t="s">
        <v>46</v>
      </c>
      <c r="D3425" s="30" t="s">
        <v>47</v>
      </c>
      <c r="E3425" s="32" t="s">
        <v>80</v>
      </c>
      <c r="F3425" s="32" t="s">
        <v>81</v>
      </c>
      <c r="G3425" s="32" t="s">
        <v>50</v>
      </c>
      <c r="H3425" s="33">
        <v>56370</v>
      </c>
      <c r="I3425" s="34">
        <f>Table3[[#This Row],[Volume, kg.]]/1000</f>
        <v>56.37</v>
      </c>
      <c r="J3425" s="34">
        <v>0.18479999999999999</v>
      </c>
      <c r="K3425" s="34">
        <f t="shared" si="106"/>
        <v>10417.175999999999</v>
      </c>
      <c r="L3425" s="34">
        <v>2.1800000000000002</v>
      </c>
      <c r="M3425" s="34">
        <v>122758</v>
      </c>
      <c r="N3425" s="34">
        <f t="shared" si="107"/>
        <v>11.796536796536797</v>
      </c>
    </row>
    <row r="3426" spans="1:14" x14ac:dyDescent="0.45">
      <c r="A3426" s="30">
        <v>2024</v>
      </c>
      <c r="B3426" s="30" t="s">
        <v>13</v>
      </c>
      <c r="C3426" s="30" t="s">
        <v>46</v>
      </c>
      <c r="D3426" s="30" t="s">
        <v>47</v>
      </c>
      <c r="E3426" s="32" t="s">
        <v>374</v>
      </c>
      <c r="F3426" s="32" t="s">
        <v>81</v>
      </c>
      <c r="G3426" s="32" t="s">
        <v>50</v>
      </c>
      <c r="H3426" s="33">
        <v>11500</v>
      </c>
      <c r="I3426" s="34">
        <f>Table3[[#This Row],[Volume, kg.]]/1000</f>
        <v>11.5</v>
      </c>
      <c r="J3426" s="34">
        <v>0.21050000000000002</v>
      </c>
      <c r="K3426" s="34">
        <f t="shared" si="106"/>
        <v>2420.7500000000005</v>
      </c>
      <c r="L3426" s="34">
        <v>2.3199999999999998</v>
      </c>
      <c r="M3426" s="34">
        <v>26673</v>
      </c>
      <c r="N3426" s="34">
        <f t="shared" si="107"/>
        <v>11.021377672209024</v>
      </c>
    </row>
    <row r="3427" spans="1:14" x14ac:dyDescent="0.45">
      <c r="A3427" s="30">
        <v>2024</v>
      </c>
      <c r="B3427" s="30" t="s">
        <v>13</v>
      </c>
      <c r="C3427" s="30" t="s">
        <v>46</v>
      </c>
      <c r="D3427" s="30" t="s">
        <v>47</v>
      </c>
      <c r="E3427" s="32" t="s">
        <v>638</v>
      </c>
      <c r="F3427" s="32" t="s">
        <v>57</v>
      </c>
      <c r="G3427" s="32" t="s">
        <v>50</v>
      </c>
      <c r="H3427" s="33">
        <v>7730</v>
      </c>
      <c r="I3427" s="34">
        <f>Table3[[#This Row],[Volume, kg.]]/1000</f>
        <v>7.73</v>
      </c>
      <c r="J3427" s="34">
        <v>0.1925</v>
      </c>
      <c r="K3427" s="34">
        <f t="shared" si="106"/>
        <v>1488.0250000000001</v>
      </c>
      <c r="L3427" s="34">
        <v>2.2000000000000002</v>
      </c>
      <c r="M3427" s="34">
        <v>17006</v>
      </c>
      <c r="N3427" s="34">
        <f t="shared" si="107"/>
        <v>11.428571428571429</v>
      </c>
    </row>
    <row r="3428" spans="1:14" x14ac:dyDescent="0.45">
      <c r="A3428" s="30">
        <v>2024</v>
      </c>
      <c r="B3428" s="30" t="s">
        <v>13</v>
      </c>
      <c r="C3428" s="30" t="s">
        <v>46</v>
      </c>
      <c r="D3428" s="30" t="s">
        <v>102</v>
      </c>
      <c r="E3428" s="32" t="s">
        <v>103</v>
      </c>
      <c r="F3428" s="32" t="s">
        <v>104</v>
      </c>
      <c r="G3428" s="32" t="s">
        <v>105</v>
      </c>
      <c r="H3428" s="33">
        <v>3794830</v>
      </c>
      <c r="I3428" s="34">
        <f>Table3[[#This Row],[Volume, kg.]]/1000</f>
        <v>3794.83</v>
      </c>
      <c r="J3428" s="34">
        <v>0.17989999999999998</v>
      </c>
      <c r="K3428" s="34">
        <f t="shared" si="106"/>
        <v>682689.9169999999</v>
      </c>
      <c r="L3428" s="34">
        <v>2.16</v>
      </c>
      <c r="M3428" s="34">
        <v>8186251</v>
      </c>
      <c r="N3428" s="34">
        <f t="shared" si="107"/>
        <v>12.006670372429129</v>
      </c>
    </row>
    <row r="3429" spans="1:14" x14ac:dyDescent="0.45">
      <c r="A3429" s="30">
        <v>2024</v>
      </c>
      <c r="B3429" s="30" t="s">
        <v>13</v>
      </c>
      <c r="C3429" s="30" t="s">
        <v>46</v>
      </c>
      <c r="D3429" s="30" t="s">
        <v>47</v>
      </c>
      <c r="E3429" s="32" t="s">
        <v>203</v>
      </c>
      <c r="F3429" s="32" t="s">
        <v>57</v>
      </c>
      <c r="G3429" s="32" t="s">
        <v>50</v>
      </c>
      <c r="H3429" s="33">
        <v>12470</v>
      </c>
      <c r="I3429" s="34">
        <f>Table3[[#This Row],[Volume, kg.]]/1000</f>
        <v>12.47</v>
      </c>
      <c r="J3429" s="34">
        <v>0.18789999999999998</v>
      </c>
      <c r="K3429" s="34">
        <f t="shared" si="106"/>
        <v>2343.1129999999998</v>
      </c>
      <c r="L3429" s="34">
        <v>2.1800000000000002</v>
      </c>
      <c r="M3429" s="34">
        <v>27187.5</v>
      </c>
      <c r="N3429" s="34">
        <f t="shared" si="107"/>
        <v>11.601915912719534</v>
      </c>
    </row>
    <row r="3430" spans="1:14" x14ac:dyDescent="0.45">
      <c r="A3430" s="30">
        <v>2024</v>
      </c>
      <c r="B3430" s="30" t="s">
        <v>13</v>
      </c>
      <c r="C3430" s="30" t="s">
        <v>46</v>
      </c>
      <c r="D3430" s="30" t="s">
        <v>47</v>
      </c>
      <c r="E3430" s="32" t="s">
        <v>137</v>
      </c>
      <c r="F3430" s="32" t="s">
        <v>49</v>
      </c>
      <c r="G3430" s="32" t="s">
        <v>50</v>
      </c>
      <c r="H3430" s="33">
        <v>15940</v>
      </c>
      <c r="I3430" s="34">
        <f>Table3[[#This Row],[Volume, kg.]]/1000</f>
        <v>15.94</v>
      </c>
      <c r="J3430" s="34">
        <v>0.15259999999999999</v>
      </c>
      <c r="K3430" s="34">
        <f t="shared" si="106"/>
        <v>2432.444</v>
      </c>
      <c r="L3430" s="34">
        <v>2.02</v>
      </c>
      <c r="M3430" s="34">
        <v>32213</v>
      </c>
      <c r="N3430" s="34">
        <f t="shared" si="107"/>
        <v>13.237221494102229</v>
      </c>
    </row>
    <row r="3431" spans="1:14" x14ac:dyDescent="0.45">
      <c r="A3431" s="30">
        <v>2024</v>
      </c>
      <c r="B3431" s="30" t="s">
        <v>13</v>
      </c>
      <c r="C3431" s="30" t="s">
        <v>46</v>
      </c>
      <c r="D3431" s="30" t="s">
        <v>47</v>
      </c>
      <c r="E3431" s="32" t="s">
        <v>334</v>
      </c>
      <c r="F3431" s="32" t="s">
        <v>81</v>
      </c>
      <c r="G3431" s="32" t="s">
        <v>50</v>
      </c>
      <c r="H3431" s="33">
        <v>34970</v>
      </c>
      <c r="I3431" s="34">
        <f>Table3[[#This Row],[Volume, kg.]]/1000</f>
        <v>34.97</v>
      </c>
      <c r="J3431" s="34">
        <v>0.21760000000000002</v>
      </c>
      <c r="K3431" s="34">
        <f t="shared" si="106"/>
        <v>7609.4720000000007</v>
      </c>
      <c r="L3431" s="34">
        <v>2.38</v>
      </c>
      <c r="M3431" s="34">
        <v>83384.5</v>
      </c>
      <c r="N3431" s="34">
        <f t="shared" si="107"/>
        <v>10.937499999999998</v>
      </c>
    </row>
    <row r="3432" spans="1:14" x14ac:dyDescent="0.45">
      <c r="A3432" s="30">
        <v>2024</v>
      </c>
      <c r="B3432" s="30" t="s">
        <v>13</v>
      </c>
      <c r="C3432" s="30" t="s">
        <v>46</v>
      </c>
      <c r="D3432" s="30" t="s">
        <v>47</v>
      </c>
      <c r="E3432" s="32" t="s">
        <v>474</v>
      </c>
      <c r="F3432" s="32" t="s">
        <v>60</v>
      </c>
      <c r="G3432" s="32" t="s">
        <v>50</v>
      </c>
      <c r="H3432" s="33">
        <v>13750</v>
      </c>
      <c r="I3432" s="34">
        <f>Table3[[#This Row],[Volume, kg.]]/1000</f>
        <v>13.75</v>
      </c>
      <c r="J3432" s="34">
        <v>0.17649999999999999</v>
      </c>
      <c r="K3432" s="34">
        <f t="shared" si="106"/>
        <v>2426.875</v>
      </c>
      <c r="L3432" s="34">
        <v>2.15</v>
      </c>
      <c r="M3432" s="34">
        <v>29562.5</v>
      </c>
      <c r="N3432" s="34">
        <f t="shared" si="107"/>
        <v>12.181303116147308</v>
      </c>
    </row>
    <row r="3433" spans="1:14" x14ac:dyDescent="0.45">
      <c r="A3433" s="30">
        <v>2024</v>
      </c>
      <c r="B3433" s="30" t="s">
        <v>13</v>
      </c>
      <c r="C3433" s="30" t="s">
        <v>46</v>
      </c>
      <c r="D3433" s="30" t="s">
        <v>47</v>
      </c>
      <c r="E3433" s="32" t="s">
        <v>447</v>
      </c>
      <c r="F3433" s="32" t="s">
        <v>57</v>
      </c>
      <c r="G3433" s="32" t="s">
        <v>50</v>
      </c>
      <c r="H3433" s="33">
        <v>41890</v>
      </c>
      <c r="I3433" s="34">
        <f>Table3[[#This Row],[Volume, kg.]]/1000</f>
        <v>41.89</v>
      </c>
      <c r="J3433" s="34">
        <v>0.185</v>
      </c>
      <c r="K3433" s="34">
        <f t="shared" si="106"/>
        <v>7749.65</v>
      </c>
      <c r="L3433" s="34">
        <v>2.17</v>
      </c>
      <c r="M3433" s="34">
        <v>90793.5</v>
      </c>
      <c r="N3433" s="34">
        <f t="shared" si="107"/>
        <v>11.72972972972973</v>
      </c>
    </row>
    <row r="3434" spans="1:14" x14ac:dyDescent="0.45">
      <c r="A3434" s="30">
        <v>2024</v>
      </c>
      <c r="B3434" s="30" t="s">
        <v>13</v>
      </c>
      <c r="C3434" s="30" t="s">
        <v>46</v>
      </c>
      <c r="D3434" s="30" t="s">
        <v>47</v>
      </c>
      <c r="E3434" s="32" t="s">
        <v>526</v>
      </c>
      <c r="F3434" s="32" t="s">
        <v>49</v>
      </c>
      <c r="G3434" s="32" t="s">
        <v>50</v>
      </c>
      <c r="H3434" s="33">
        <v>11230</v>
      </c>
      <c r="I3434" s="34">
        <f>Table3[[#This Row],[Volume, kg.]]/1000</f>
        <v>11.23</v>
      </c>
      <c r="J3434" s="34">
        <v>0.19550000000000001</v>
      </c>
      <c r="K3434" s="34">
        <f t="shared" si="106"/>
        <v>2195.4650000000001</v>
      </c>
      <c r="L3434" s="34">
        <v>2.23</v>
      </c>
      <c r="M3434" s="34">
        <v>25069</v>
      </c>
      <c r="N3434" s="34">
        <f t="shared" si="107"/>
        <v>11.406649616368286</v>
      </c>
    </row>
    <row r="3435" spans="1:14" x14ac:dyDescent="0.45">
      <c r="A3435" s="30">
        <v>2024</v>
      </c>
      <c r="B3435" s="30" t="s">
        <v>13</v>
      </c>
      <c r="C3435" s="30" t="s">
        <v>46</v>
      </c>
      <c r="D3435" s="30" t="s">
        <v>47</v>
      </c>
      <c r="E3435" s="32" t="s">
        <v>335</v>
      </c>
      <c r="F3435" s="32" t="s">
        <v>54</v>
      </c>
      <c r="G3435" s="32" t="s">
        <v>50</v>
      </c>
      <c r="H3435" s="33">
        <v>25880</v>
      </c>
      <c r="I3435" s="34">
        <f>Table3[[#This Row],[Volume, kg.]]/1000</f>
        <v>25.88</v>
      </c>
      <c r="J3435" s="34">
        <v>0.20019999999999999</v>
      </c>
      <c r="K3435" s="34">
        <f t="shared" si="106"/>
        <v>5181.1759999999995</v>
      </c>
      <c r="L3435" s="34">
        <v>2.25</v>
      </c>
      <c r="M3435" s="34">
        <v>58230</v>
      </c>
      <c r="N3435" s="34">
        <f t="shared" si="107"/>
        <v>11.238761238761239</v>
      </c>
    </row>
    <row r="3436" spans="1:14" x14ac:dyDescent="0.45">
      <c r="A3436" s="30">
        <v>2024</v>
      </c>
      <c r="B3436" s="30" t="s">
        <v>13</v>
      </c>
      <c r="C3436" s="30" t="s">
        <v>46</v>
      </c>
      <c r="D3436" s="30" t="s">
        <v>47</v>
      </c>
      <c r="E3436" s="32" t="s">
        <v>475</v>
      </c>
      <c r="F3436" s="32" t="s">
        <v>281</v>
      </c>
      <c r="G3436" s="32" t="s">
        <v>50</v>
      </c>
      <c r="H3436" s="33">
        <v>61920</v>
      </c>
      <c r="I3436" s="34">
        <f>Table3[[#This Row],[Volume, kg.]]/1000</f>
        <v>61.92</v>
      </c>
      <c r="J3436" s="34">
        <v>0.18440000000000001</v>
      </c>
      <c r="K3436" s="34">
        <f t="shared" si="106"/>
        <v>11418.048000000001</v>
      </c>
      <c r="L3436" s="34">
        <v>2.16</v>
      </c>
      <c r="M3436" s="34">
        <v>134003</v>
      </c>
      <c r="N3436" s="34">
        <f t="shared" si="107"/>
        <v>11.713665943600867</v>
      </c>
    </row>
    <row r="3437" spans="1:14" x14ac:dyDescent="0.45">
      <c r="A3437" s="30">
        <v>2024</v>
      </c>
      <c r="B3437" s="30" t="s">
        <v>13</v>
      </c>
      <c r="C3437" s="30" t="s">
        <v>46</v>
      </c>
      <c r="D3437" s="30" t="s">
        <v>47</v>
      </c>
      <c r="E3437" s="32" t="s">
        <v>401</v>
      </c>
      <c r="F3437" s="32" t="s">
        <v>57</v>
      </c>
      <c r="G3437" s="32" t="s">
        <v>50</v>
      </c>
      <c r="H3437" s="33">
        <v>43890</v>
      </c>
      <c r="I3437" s="34">
        <f>Table3[[#This Row],[Volume, kg.]]/1000</f>
        <v>43.89</v>
      </c>
      <c r="J3437" s="34">
        <v>0.19640000000000002</v>
      </c>
      <c r="K3437" s="34">
        <f t="shared" si="106"/>
        <v>8619.996000000001</v>
      </c>
      <c r="L3437" s="34">
        <v>2.25</v>
      </c>
      <c r="M3437" s="34">
        <v>98624.5</v>
      </c>
      <c r="N3437" s="34">
        <f t="shared" si="107"/>
        <v>11.45621181262729</v>
      </c>
    </row>
    <row r="3438" spans="1:14" x14ac:dyDescent="0.45">
      <c r="A3438" s="30">
        <v>2024</v>
      </c>
      <c r="B3438" s="30" t="s">
        <v>13</v>
      </c>
      <c r="C3438" s="30" t="s">
        <v>46</v>
      </c>
      <c r="D3438" s="30" t="s">
        <v>47</v>
      </c>
      <c r="E3438" s="32" t="s">
        <v>567</v>
      </c>
      <c r="F3438" s="32" t="s">
        <v>49</v>
      </c>
      <c r="G3438" s="32" t="s">
        <v>50</v>
      </c>
      <c r="H3438" s="33">
        <v>54790</v>
      </c>
      <c r="I3438" s="34">
        <f>Table3[[#This Row],[Volume, kg.]]/1000</f>
        <v>54.79</v>
      </c>
      <c r="J3438" s="34">
        <v>0.19</v>
      </c>
      <c r="K3438" s="34">
        <f t="shared" si="106"/>
        <v>10410.1</v>
      </c>
      <c r="L3438" s="34">
        <v>2.2000000000000002</v>
      </c>
      <c r="M3438" s="34">
        <v>120354.5</v>
      </c>
      <c r="N3438" s="34">
        <f t="shared" si="107"/>
        <v>11.578947368421053</v>
      </c>
    </row>
    <row r="3439" spans="1:14" x14ac:dyDescent="0.45">
      <c r="A3439" s="30">
        <v>2024</v>
      </c>
      <c r="B3439" s="30" t="s">
        <v>13</v>
      </c>
      <c r="C3439" s="30" t="s">
        <v>46</v>
      </c>
      <c r="D3439" s="30" t="s">
        <v>102</v>
      </c>
      <c r="E3439" s="32" t="s">
        <v>546</v>
      </c>
      <c r="F3439" s="32" t="s">
        <v>547</v>
      </c>
      <c r="G3439" s="32" t="s">
        <v>341</v>
      </c>
      <c r="H3439" s="33">
        <v>85840</v>
      </c>
      <c r="I3439" s="34">
        <f>Table3[[#This Row],[Volume, kg.]]/1000</f>
        <v>85.84</v>
      </c>
      <c r="J3439" s="34">
        <v>0.16930000000000001</v>
      </c>
      <c r="K3439" s="34">
        <f t="shared" si="106"/>
        <v>14532.712000000001</v>
      </c>
      <c r="L3439" s="34">
        <v>2.1</v>
      </c>
      <c r="M3439" s="34">
        <v>179976</v>
      </c>
      <c r="N3439" s="34">
        <f t="shared" si="107"/>
        <v>12.404016538688719</v>
      </c>
    </row>
    <row r="3440" spans="1:14" x14ac:dyDescent="0.45">
      <c r="A3440" s="30">
        <v>2024</v>
      </c>
      <c r="B3440" s="30" t="s">
        <v>13</v>
      </c>
      <c r="C3440" s="30" t="s">
        <v>46</v>
      </c>
      <c r="D3440" s="30" t="s">
        <v>47</v>
      </c>
      <c r="E3440" s="32" t="s">
        <v>216</v>
      </c>
      <c r="F3440" s="32" t="s">
        <v>64</v>
      </c>
      <c r="G3440" s="32" t="s">
        <v>50</v>
      </c>
      <c r="H3440" s="33">
        <v>6580</v>
      </c>
      <c r="I3440" s="34">
        <f>Table3[[#This Row],[Volume, kg.]]/1000</f>
        <v>6.58</v>
      </c>
      <c r="J3440" s="34">
        <v>0.17199999999999999</v>
      </c>
      <c r="K3440" s="34">
        <f t="shared" si="106"/>
        <v>1131.76</v>
      </c>
      <c r="L3440" s="34">
        <v>2.1</v>
      </c>
      <c r="M3440" s="34">
        <v>13818</v>
      </c>
      <c r="N3440" s="34">
        <f t="shared" si="107"/>
        <v>12.209302325581397</v>
      </c>
    </row>
    <row r="3441" spans="1:14" x14ac:dyDescent="0.45">
      <c r="A3441" s="30">
        <v>2024</v>
      </c>
      <c r="B3441" s="30" t="s">
        <v>13</v>
      </c>
      <c r="C3441" s="30" t="s">
        <v>46</v>
      </c>
      <c r="D3441" s="30" t="s">
        <v>47</v>
      </c>
      <c r="E3441" s="32" t="s">
        <v>307</v>
      </c>
      <c r="F3441" s="32" t="s">
        <v>81</v>
      </c>
      <c r="G3441" s="32" t="s">
        <v>50</v>
      </c>
      <c r="H3441" s="33">
        <v>64730</v>
      </c>
      <c r="I3441" s="34">
        <f>Table3[[#This Row],[Volume, kg.]]/1000</f>
        <v>64.73</v>
      </c>
      <c r="J3441" s="34">
        <v>0.18429999999999999</v>
      </c>
      <c r="K3441" s="34">
        <f t="shared" si="106"/>
        <v>11929.739</v>
      </c>
      <c r="L3441" s="34">
        <v>2.1800000000000002</v>
      </c>
      <c r="M3441" s="34">
        <v>141379.5</v>
      </c>
      <c r="N3441" s="34">
        <f t="shared" si="107"/>
        <v>11.828540423223007</v>
      </c>
    </row>
    <row r="3442" spans="1:14" x14ac:dyDescent="0.45">
      <c r="A3442" s="30">
        <v>2024</v>
      </c>
      <c r="B3442" s="30" t="s">
        <v>13</v>
      </c>
      <c r="C3442" s="30" t="s">
        <v>46</v>
      </c>
      <c r="D3442" s="30" t="s">
        <v>47</v>
      </c>
      <c r="E3442" s="32" t="s">
        <v>243</v>
      </c>
      <c r="F3442" s="32" t="s">
        <v>60</v>
      </c>
      <c r="G3442" s="32" t="s">
        <v>50</v>
      </c>
      <c r="H3442" s="33">
        <v>4710</v>
      </c>
      <c r="I3442" s="34">
        <f>Table3[[#This Row],[Volume, kg.]]/1000</f>
        <v>4.71</v>
      </c>
      <c r="J3442" s="34">
        <v>0.20449999999999999</v>
      </c>
      <c r="K3442" s="34">
        <f t="shared" si="106"/>
        <v>963.19499999999994</v>
      </c>
      <c r="L3442" s="34">
        <v>2.25</v>
      </c>
      <c r="M3442" s="34">
        <v>10597.5</v>
      </c>
      <c r="N3442" s="34">
        <f t="shared" si="107"/>
        <v>11.002444987775062</v>
      </c>
    </row>
    <row r="3443" spans="1:14" x14ac:dyDescent="0.45">
      <c r="A3443" s="30">
        <v>2024</v>
      </c>
      <c r="B3443" s="30" t="s">
        <v>13</v>
      </c>
      <c r="C3443" s="30" t="s">
        <v>46</v>
      </c>
      <c r="D3443" s="30" t="s">
        <v>47</v>
      </c>
      <c r="E3443" s="32" t="s">
        <v>204</v>
      </c>
      <c r="F3443" s="32" t="s">
        <v>49</v>
      </c>
      <c r="G3443" s="32" t="s">
        <v>50</v>
      </c>
      <c r="H3443" s="33">
        <v>45810</v>
      </c>
      <c r="I3443" s="34">
        <f>Table3[[#This Row],[Volume, kg.]]/1000</f>
        <v>45.81</v>
      </c>
      <c r="J3443" s="34">
        <v>0.1883</v>
      </c>
      <c r="K3443" s="34">
        <f t="shared" si="106"/>
        <v>8626.0229999999992</v>
      </c>
      <c r="L3443" s="34">
        <v>2.2000000000000002</v>
      </c>
      <c r="M3443" s="34">
        <v>100605.5</v>
      </c>
      <c r="N3443" s="34">
        <f t="shared" si="107"/>
        <v>11.683483802442911</v>
      </c>
    </row>
    <row r="3444" spans="1:14" x14ac:dyDescent="0.45">
      <c r="A3444" s="30">
        <v>2024</v>
      </c>
      <c r="B3444" s="30" t="s">
        <v>13</v>
      </c>
      <c r="C3444" s="30" t="s">
        <v>46</v>
      </c>
      <c r="D3444" s="30" t="s">
        <v>47</v>
      </c>
      <c r="E3444" s="32" t="s">
        <v>403</v>
      </c>
      <c r="F3444" s="32" t="s">
        <v>60</v>
      </c>
      <c r="G3444" s="32" t="s">
        <v>50</v>
      </c>
      <c r="H3444" s="33">
        <v>19870</v>
      </c>
      <c r="I3444" s="34">
        <f>Table3[[#This Row],[Volume, kg.]]/1000</f>
        <v>19.87</v>
      </c>
      <c r="J3444" s="34">
        <v>0.18710000000000002</v>
      </c>
      <c r="K3444" s="34">
        <f t="shared" si="106"/>
        <v>3717.6770000000001</v>
      </c>
      <c r="L3444" s="34">
        <v>2.2000000000000002</v>
      </c>
      <c r="M3444" s="34">
        <v>43714</v>
      </c>
      <c r="N3444" s="34">
        <f t="shared" si="107"/>
        <v>11.758417958311064</v>
      </c>
    </row>
    <row r="3445" spans="1:14" x14ac:dyDescent="0.45">
      <c r="A3445" s="30">
        <v>2024</v>
      </c>
      <c r="B3445" s="30" t="s">
        <v>13</v>
      </c>
      <c r="C3445" s="30" t="s">
        <v>46</v>
      </c>
      <c r="D3445" s="30" t="s">
        <v>102</v>
      </c>
      <c r="E3445" s="32" t="s">
        <v>378</v>
      </c>
      <c r="F3445" s="32" t="s">
        <v>81</v>
      </c>
      <c r="G3445" s="32" t="s">
        <v>50</v>
      </c>
      <c r="H3445" s="33">
        <v>107390</v>
      </c>
      <c r="I3445" s="34">
        <f>Table3[[#This Row],[Volume, kg.]]/1000</f>
        <v>107.39</v>
      </c>
      <c r="J3445" s="34">
        <v>0.19440000000000002</v>
      </c>
      <c r="K3445" s="34">
        <f t="shared" si="106"/>
        <v>20876.616000000002</v>
      </c>
      <c r="L3445" s="34">
        <v>2.2200000000000002</v>
      </c>
      <c r="M3445" s="34">
        <v>238575.5</v>
      </c>
      <c r="N3445" s="34">
        <f t="shared" si="107"/>
        <v>11.419753086419753</v>
      </c>
    </row>
    <row r="3446" spans="1:14" x14ac:dyDescent="0.45">
      <c r="A3446" s="30">
        <v>2024</v>
      </c>
      <c r="B3446" s="30" t="s">
        <v>13</v>
      </c>
      <c r="C3446" s="30" t="s">
        <v>46</v>
      </c>
      <c r="D3446" s="30" t="s">
        <v>47</v>
      </c>
      <c r="E3446" s="32" t="s">
        <v>211</v>
      </c>
      <c r="F3446" s="32" t="s">
        <v>57</v>
      </c>
      <c r="G3446" s="32" t="s">
        <v>50</v>
      </c>
      <c r="H3446" s="33">
        <v>14710</v>
      </c>
      <c r="I3446" s="34">
        <f>Table3[[#This Row],[Volume, kg.]]/1000</f>
        <v>14.71</v>
      </c>
      <c r="J3446" s="34">
        <v>0.18969999999999998</v>
      </c>
      <c r="K3446" s="34">
        <f t="shared" si="106"/>
        <v>2790.4869999999996</v>
      </c>
      <c r="L3446" s="34">
        <v>2.2000000000000002</v>
      </c>
      <c r="M3446" s="34">
        <v>32362.5</v>
      </c>
      <c r="N3446" s="34">
        <f t="shared" si="107"/>
        <v>11.597258829731157</v>
      </c>
    </row>
    <row r="3447" spans="1:14" x14ac:dyDescent="0.45">
      <c r="A3447" s="30">
        <v>2024</v>
      </c>
      <c r="B3447" s="30" t="s">
        <v>13</v>
      </c>
      <c r="C3447" s="30" t="s">
        <v>46</v>
      </c>
      <c r="D3447" s="30" t="s">
        <v>47</v>
      </c>
      <c r="E3447" s="32" t="s">
        <v>75</v>
      </c>
      <c r="F3447" s="32" t="s">
        <v>49</v>
      </c>
      <c r="G3447" s="32" t="s">
        <v>50</v>
      </c>
      <c r="H3447" s="33">
        <v>28340</v>
      </c>
      <c r="I3447" s="34">
        <f>Table3[[#This Row],[Volume, kg.]]/1000</f>
        <v>28.34</v>
      </c>
      <c r="J3447" s="34">
        <v>0.17809999999999998</v>
      </c>
      <c r="K3447" s="34">
        <f t="shared" si="106"/>
        <v>5047.3539999999994</v>
      </c>
      <c r="L3447" s="34">
        <v>2.15</v>
      </c>
      <c r="M3447" s="34">
        <v>60982.5</v>
      </c>
      <c r="N3447" s="34">
        <f t="shared" si="107"/>
        <v>12.071869736103313</v>
      </c>
    </row>
    <row r="3448" spans="1:14" x14ac:dyDescent="0.45">
      <c r="A3448" s="30">
        <v>2024</v>
      </c>
      <c r="B3448" s="30" t="s">
        <v>13</v>
      </c>
      <c r="C3448" s="30" t="s">
        <v>46</v>
      </c>
      <c r="D3448" s="30" t="s">
        <v>47</v>
      </c>
      <c r="E3448" s="32" t="s">
        <v>97</v>
      </c>
      <c r="F3448" s="32" t="s">
        <v>49</v>
      </c>
      <c r="G3448" s="32" t="s">
        <v>50</v>
      </c>
      <c r="H3448" s="33">
        <v>138460</v>
      </c>
      <c r="I3448" s="34">
        <f>Table3[[#This Row],[Volume, kg.]]/1000</f>
        <v>138.46</v>
      </c>
      <c r="J3448" s="34">
        <v>0.18309999999999998</v>
      </c>
      <c r="K3448" s="34">
        <f t="shared" si="106"/>
        <v>25352.025999999998</v>
      </c>
      <c r="L3448" s="34">
        <v>2.1800000000000002</v>
      </c>
      <c r="M3448" s="34">
        <v>301978.5</v>
      </c>
      <c r="N3448" s="34">
        <f t="shared" si="107"/>
        <v>11.906062261059532</v>
      </c>
    </row>
    <row r="3449" spans="1:14" x14ac:dyDescent="0.45">
      <c r="A3449" s="30">
        <v>2024</v>
      </c>
      <c r="B3449" s="30" t="s">
        <v>13</v>
      </c>
      <c r="C3449" s="30" t="s">
        <v>46</v>
      </c>
      <c r="D3449" s="30" t="s">
        <v>47</v>
      </c>
      <c r="E3449" s="32" t="s">
        <v>345</v>
      </c>
      <c r="F3449" s="32" t="s">
        <v>81</v>
      </c>
      <c r="G3449" s="32" t="s">
        <v>50</v>
      </c>
      <c r="H3449" s="33">
        <v>57740</v>
      </c>
      <c r="I3449" s="34">
        <f>Table3[[#This Row],[Volume, kg.]]/1000</f>
        <v>57.74</v>
      </c>
      <c r="J3449" s="34">
        <v>0.17069999999999999</v>
      </c>
      <c r="K3449" s="34">
        <f t="shared" si="106"/>
        <v>9856.2179999999989</v>
      </c>
      <c r="L3449" s="34">
        <v>2.12</v>
      </c>
      <c r="M3449" s="34">
        <v>122621</v>
      </c>
      <c r="N3449" s="34">
        <f t="shared" si="107"/>
        <v>12.419449326303457</v>
      </c>
    </row>
    <row r="3450" spans="1:14" x14ac:dyDescent="0.45">
      <c r="A3450" s="30">
        <v>2024</v>
      </c>
      <c r="B3450" s="30" t="s">
        <v>13</v>
      </c>
      <c r="C3450" s="30" t="s">
        <v>46</v>
      </c>
      <c r="D3450" s="30" t="s">
        <v>47</v>
      </c>
      <c r="E3450" s="32" t="s">
        <v>218</v>
      </c>
      <c r="F3450" s="32" t="s">
        <v>49</v>
      </c>
      <c r="G3450" s="32" t="s">
        <v>50</v>
      </c>
      <c r="H3450" s="33">
        <v>36430</v>
      </c>
      <c r="I3450" s="34">
        <f>Table3[[#This Row],[Volume, kg.]]/1000</f>
        <v>36.43</v>
      </c>
      <c r="J3450" s="34">
        <v>0.19750000000000001</v>
      </c>
      <c r="K3450" s="34">
        <f t="shared" si="106"/>
        <v>7194.9250000000002</v>
      </c>
      <c r="L3450" s="34">
        <v>2.27</v>
      </c>
      <c r="M3450" s="34">
        <v>82668</v>
      </c>
      <c r="N3450" s="34">
        <f t="shared" si="107"/>
        <v>11.493670886075948</v>
      </c>
    </row>
    <row r="3451" spans="1:14" x14ac:dyDescent="0.45">
      <c r="A3451" s="30">
        <v>2024</v>
      </c>
      <c r="B3451" s="30" t="s">
        <v>13</v>
      </c>
      <c r="C3451" s="30" t="s">
        <v>46</v>
      </c>
      <c r="D3451" s="30" t="s">
        <v>47</v>
      </c>
      <c r="E3451" s="32" t="s">
        <v>639</v>
      </c>
      <c r="F3451" s="32" t="s">
        <v>60</v>
      </c>
      <c r="G3451" s="32" t="s">
        <v>50</v>
      </c>
      <c r="H3451" s="33">
        <v>22810</v>
      </c>
      <c r="I3451" s="34">
        <f>Table3[[#This Row],[Volume, kg.]]/1000</f>
        <v>22.81</v>
      </c>
      <c r="J3451" s="34">
        <v>0.1656</v>
      </c>
      <c r="K3451" s="34">
        <f t="shared" si="106"/>
        <v>3777.3359999999998</v>
      </c>
      <c r="L3451" s="34">
        <v>2.08</v>
      </c>
      <c r="M3451" s="34">
        <v>47407.5</v>
      </c>
      <c r="N3451" s="34">
        <f t="shared" si="107"/>
        <v>12.560386473429952</v>
      </c>
    </row>
    <row r="3452" spans="1:14" x14ac:dyDescent="0.45">
      <c r="A3452" s="30">
        <v>2024</v>
      </c>
      <c r="B3452" s="30" t="s">
        <v>13</v>
      </c>
      <c r="C3452" s="30" t="s">
        <v>46</v>
      </c>
      <c r="D3452" s="30" t="s">
        <v>47</v>
      </c>
      <c r="E3452" s="32" t="s">
        <v>96</v>
      </c>
      <c r="F3452" s="32" t="s">
        <v>49</v>
      </c>
      <c r="G3452" s="32" t="s">
        <v>50</v>
      </c>
      <c r="H3452" s="33">
        <v>53280</v>
      </c>
      <c r="I3452" s="34">
        <f>Table3[[#This Row],[Volume, kg.]]/1000</f>
        <v>53.28</v>
      </c>
      <c r="J3452" s="34">
        <v>0.18030000000000002</v>
      </c>
      <c r="K3452" s="34">
        <f t="shared" si="106"/>
        <v>9606.384</v>
      </c>
      <c r="L3452" s="34">
        <v>2.1800000000000002</v>
      </c>
      <c r="M3452" s="34">
        <v>115998.5</v>
      </c>
      <c r="N3452" s="34">
        <f t="shared" si="107"/>
        <v>12.09095951192457</v>
      </c>
    </row>
    <row r="3453" spans="1:14" x14ac:dyDescent="0.45">
      <c r="A3453" s="30">
        <v>2024</v>
      </c>
      <c r="B3453" s="30" t="s">
        <v>13</v>
      </c>
      <c r="C3453" s="30" t="s">
        <v>46</v>
      </c>
      <c r="D3453" s="30" t="s">
        <v>47</v>
      </c>
      <c r="E3453" s="32" t="s">
        <v>369</v>
      </c>
      <c r="F3453" s="32" t="s">
        <v>57</v>
      </c>
      <c r="G3453" s="32" t="s">
        <v>50</v>
      </c>
      <c r="H3453" s="33">
        <v>76500</v>
      </c>
      <c r="I3453" s="34">
        <f>Table3[[#This Row],[Volume, kg.]]/1000</f>
        <v>76.5</v>
      </c>
      <c r="J3453" s="34">
        <v>0.18140000000000001</v>
      </c>
      <c r="K3453" s="34">
        <f t="shared" si="106"/>
        <v>13877.1</v>
      </c>
      <c r="L3453" s="34">
        <v>2.17</v>
      </c>
      <c r="M3453" s="34">
        <v>165714.5</v>
      </c>
      <c r="N3453" s="34">
        <f t="shared" si="107"/>
        <v>11.962513781697904</v>
      </c>
    </row>
    <row r="3454" spans="1:14" x14ac:dyDescent="0.45">
      <c r="A3454" s="30">
        <v>2024</v>
      </c>
      <c r="B3454" s="30" t="s">
        <v>13</v>
      </c>
      <c r="C3454" s="30" t="s">
        <v>46</v>
      </c>
      <c r="D3454" s="30" t="s">
        <v>102</v>
      </c>
      <c r="E3454" s="32" t="s">
        <v>250</v>
      </c>
      <c r="F3454" s="32" t="s">
        <v>49</v>
      </c>
      <c r="G3454" s="32" t="s">
        <v>50</v>
      </c>
      <c r="H3454" s="33">
        <v>3285760</v>
      </c>
      <c r="I3454" s="34">
        <f>Table3[[#This Row],[Volume, kg.]]/1000</f>
        <v>3285.76</v>
      </c>
      <c r="J3454" s="34">
        <v>0.1704</v>
      </c>
      <c r="K3454" s="34">
        <f t="shared" si="106"/>
        <v>559893.50399999996</v>
      </c>
      <c r="L3454" s="34">
        <v>2.12</v>
      </c>
      <c r="M3454" s="34">
        <v>6968753.5</v>
      </c>
      <c r="N3454" s="34">
        <f t="shared" si="107"/>
        <v>12.441314553990612</v>
      </c>
    </row>
    <row r="3455" spans="1:14" x14ac:dyDescent="0.45">
      <c r="A3455" s="30">
        <v>2024</v>
      </c>
      <c r="B3455" s="30" t="s">
        <v>13</v>
      </c>
      <c r="C3455" s="30" t="s">
        <v>46</v>
      </c>
      <c r="D3455" s="30" t="s">
        <v>47</v>
      </c>
      <c r="E3455" s="32" t="s">
        <v>87</v>
      </c>
      <c r="F3455" s="32" t="s">
        <v>49</v>
      </c>
      <c r="G3455" s="32" t="s">
        <v>50</v>
      </c>
      <c r="H3455" s="33">
        <v>64860</v>
      </c>
      <c r="I3455" s="34">
        <f>Table3[[#This Row],[Volume, kg.]]/1000</f>
        <v>64.86</v>
      </c>
      <c r="J3455" s="34">
        <v>0.16739999999999999</v>
      </c>
      <c r="K3455" s="34">
        <f t="shared" si="106"/>
        <v>10857.564</v>
      </c>
      <c r="L3455" s="34">
        <v>2.11</v>
      </c>
      <c r="M3455" s="34">
        <v>136991.5</v>
      </c>
      <c r="N3455" s="34">
        <f t="shared" si="107"/>
        <v>12.604540023894863</v>
      </c>
    </row>
    <row r="3456" spans="1:14" x14ac:dyDescent="0.45">
      <c r="A3456" s="30">
        <v>2024</v>
      </c>
      <c r="B3456" s="30" t="s">
        <v>13</v>
      </c>
      <c r="C3456" s="30" t="s">
        <v>46</v>
      </c>
      <c r="D3456" s="30" t="s">
        <v>47</v>
      </c>
      <c r="E3456" s="32" t="s">
        <v>155</v>
      </c>
      <c r="F3456" s="32" t="s">
        <v>64</v>
      </c>
      <c r="G3456" s="32" t="s">
        <v>50</v>
      </c>
      <c r="H3456" s="33">
        <v>127970</v>
      </c>
      <c r="I3456" s="34">
        <f>Table3[[#This Row],[Volume, kg.]]/1000</f>
        <v>127.97</v>
      </c>
      <c r="J3456" s="34">
        <v>0.1585</v>
      </c>
      <c r="K3456" s="34">
        <f t="shared" si="106"/>
        <v>20283.244999999999</v>
      </c>
      <c r="L3456" s="34">
        <v>2.0699999999999998</v>
      </c>
      <c r="M3456" s="34">
        <v>265081</v>
      </c>
      <c r="N3456" s="34">
        <f t="shared" si="107"/>
        <v>13.059936908517349</v>
      </c>
    </row>
    <row r="3457" spans="1:14" x14ac:dyDescent="0.45">
      <c r="A3457" s="30">
        <v>2024</v>
      </c>
      <c r="B3457" s="30" t="s">
        <v>13</v>
      </c>
      <c r="C3457" s="30" t="s">
        <v>46</v>
      </c>
      <c r="D3457" s="30" t="s">
        <v>47</v>
      </c>
      <c r="E3457" s="32" t="s">
        <v>441</v>
      </c>
      <c r="F3457" s="32" t="s">
        <v>64</v>
      </c>
      <c r="G3457" s="32" t="s">
        <v>50</v>
      </c>
      <c r="H3457" s="33">
        <v>44870</v>
      </c>
      <c r="I3457" s="34">
        <f>Table3[[#This Row],[Volume, kg.]]/1000</f>
        <v>44.87</v>
      </c>
      <c r="J3457" s="34">
        <v>0.2114</v>
      </c>
      <c r="K3457" s="34">
        <f t="shared" si="106"/>
        <v>9485.518</v>
      </c>
      <c r="L3457" s="34">
        <v>2.35</v>
      </c>
      <c r="M3457" s="34">
        <v>105367</v>
      </c>
      <c r="N3457" s="34">
        <f t="shared" si="107"/>
        <v>11.116367076631978</v>
      </c>
    </row>
    <row r="3458" spans="1:14" x14ac:dyDescent="0.45">
      <c r="A3458" s="30">
        <v>2024</v>
      </c>
      <c r="B3458" s="30" t="s">
        <v>13</v>
      </c>
      <c r="C3458" s="30" t="s">
        <v>46</v>
      </c>
      <c r="D3458" s="30" t="s">
        <v>47</v>
      </c>
      <c r="E3458" s="32" t="s">
        <v>254</v>
      </c>
      <c r="F3458" s="32" t="s">
        <v>49</v>
      </c>
      <c r="G3458" s="32" t="s">
        <v>50</v>
      </c>
      <c r="H3458" s="33">
        <v>13330</v>
      </c>
      <c r="I3458" s="34">
        <f>Table3[[#This Row],[Volume, kg.]]/1000</f>
        <v>13.33</v>
      </c>
      <c r="J3458" s="34">
        <v>0.20170000000000002</v>
      </c>
      <c r="K3458" s="34">
        <f t="shared" si="106"/>
        <v>2688.6610000000001</v>
      </c>
      <c r="L3458" s="34">
        <v>2.2599999999999998</v>
      </c>
      <c r="M3458" s="34">
        <v>30114.5</v>
      </c>
      <c r="N3458" s="34">
        <f t="shared" si="107"/>
        <v>11.204759543877042</v>
      </c>
    </row>
    <row r="3459" spans="1:14" x14ac:dyDescent="0.45">
      <c r="A3459" s="30">
        <v>2024</v>
      </c>
      <c r="B3459" s="30" t="s">
        <v>13</v>
      </c>
      <c r="C3459" s="30" t="s">
        <v>46</v>
      </c>
      <c r="D3459" s="30" t="s">
        <v>47</v>
      </c>
      <c r="E3459" s="32" t="s">
        <v>199</v>
      </c>
      <c r="F3459" s="32" t="s">
        <v>60</v>
      </c>
      <c r="G3459" s="32" t="s">
        <v>50</v>
      </c>
      <c r="H3459" s="33">
        <v>10300</v>
      </c>
      <c r="I3459" s="34">
        <f>Table3[[#This Row],[Volume, kg.]]/1000</f>
        <v>10.3</v>
      </c>
      <c r="J3459" s="34">
        <v>0.16589999999999999</v>
      </c>
      <c r="K3459" s="34">
        <f t="shared" ref="K3459:K3522" si="108">H3459*J3459</f>
        <v>1708.77</v>
      </c>
      <c r="L3459" s="34">
        <v>2.0699999999999998</v>
      </c>
      <c r="M3459" s="34">
        <v>21300</v>
      </c>
      <c r="N3459" s="34">
        <f t="shared" si="107"/>
        <v>12.477396021699819</v>
      </c>
    </row>
    <row r="3460" spans="1:14" x14ac:dyDescent="0.45">
      <c r="A3460" s="30">
        <v>2024</v>
      </c>
      <c r="B3460" s="30" t="s">
        <v>13</v>
      </c>
      <c r="C3460" s="30" t="s">
        <v>46</v>
      </c>
      <c r="D3460" s="30" t="s">
        <v>47</v>
      </c>
      <c r="E3460" s="32" t="s">
        <v>314</v>
      </c>
      <c r="F3460" s="32" t="s">
        <v>57</v>
      </c>
      <c r="G3460" s="32" t="s">
        <v>50</v>
      </c>
      <c r="H3460" s="33">
        <v>39500</v>
      </c>
      <c r="I3460" s="34">
        <f>Table3[[#This Row],[Volume, kg.]]/1000</f>
        <v>39.5</v>
      </c>
      <c r="J3460" s="34">
        <v>0.19239999999999999</v>
      </c>
      <c r="K3460" s="34">
        <f t="shared" si="108"/>
        <v>7599.7999999999993</v>
      </c>
      <c r="L3460" s="34">
        <v>2.27</v>
      </c>
      <c r="M3460" s="34">
        <v>89584.5</v>
      </c>
      <c r="N3460" s="34">
        <f t="shared" ref="N3460:N3523" si="109">L3460/J3460</f>
        <v>11.798336798336798</v>
      </c>
    </row>
    <row r="3461" spans="1:14" x14ac:dyDescent="0.45">
      <c r="A3461" s="30">
        <v>2024</v>
      </c>
      <c r="B3461" s="30" t="s">
        <v>13</v>
      </c>
      <c r="C3461" s="30" t="s">
        <v>46</v>
      </c>
      <c r="D3461" s="30" t="s">
        <v>47</v>
      </c>
      <c r="E3461" s="32" t="s">
        <v>478</v>
      </c>
      <c r="F3461" s="32" t="s">
        <v>281</v>
      </c>
      <c r="G3461" s="32" t="s">
        <v>50</v>
      </c>
      <c r="H3461" s="33">
        <v>10140</v>
      </c>
      <c r="I3461" s="34">
        <f>Table3[[#This Row],[Volume, kg.]]/1000</f>
        <v>10.14</v>
      </c>
      <c r="J3461" s="34">
        <v>0.16670000000000001</v>
      </c>
      <c r="K3461" s="34">
        <f t="shared" si="108"/>
        <v>1690.3380000000002</v>
      </c>
      <c r="L3461" s="34">
        <v>2.12</v>
      </c>
      <c r="M3461" s="34">
        <v>21451.5</v>
      </c>
      <c r="N3461" s="34">
        <f t="shared" si="109"/>
        <v>12.717456508698261</v>
      </c>
    </row>
    <row r="3462" spans="1:14" x14ac:dyDescent="0.45">
      <c r="A3462" s="30">
        <v>2024</v>
      </c>
      <c r="B3462" s="30" t="s">
        <v>13</v>
      </c>
      <c r="C3462" s="30" t="s">
        <v>46</v>
      </c>
      <c r="D3462" s="30" t="s">
        <v>47</v>
      </c>
      <c r="E3462" s="32" t="s">
        <v>215</v>
      </c>
      <c r="F3462" s="32" t="s">
        <v>57</v>
      </c>
      <c r="G3462" s="32" t="s">
        <v>50</v>
      </c>
      <c r="H3462" s="33">
        <v>42490</v>
      </c>
      <c r="I3462" s="34">
        <f>Table3[[#This Row],[Volume, kg.]]/1000</f>
        <v>42.49</v>
      </c>
      <c r="J3462" s="34">
        <v>0.15820000000000001</v>
      </c>
      <c r="K3462" s="34">
        <f t="shared" si="108"/>
        <v>6721.9180000000006</v>
      </c>
      <c r="L3462" s="34">
        <v>2.0499999999999998</v>
      </c>
      <c r="M3462" s="34">
        <v>87068</v>
      </c>
      <c r="N3462" s="34">
        <f t="shared" si="109"/>
        <v>12.958280657395701</v>
      </c>
    </row>
    <row r="3463" spans="1:14" x14ac:dyDescent="0.45">
      <c r="A3463" s="30">
        <v>2024</v>
      </c>
      <c r="B3463" s="30" t="s">
        <v>13</v>
      </c>
      <c r="C3463" s="30" t="s">
        <v>46</v>
      </c>
      <c r="D3463" s="30" t="s">
        <v>47</v>
      </c>
      <c r="E3463" s="32" t="s">
        <v>453</v>
      </c>
      <c r="F3463" s="32" t="s">
        <v>57</v>
      </c>
      <c r="G3463" s="32" t="s">
        <v>50</v>
      </c>
      <c r="H3463" s="33">
        <v>12570</v>
      </c>
      <c r="I3463" s="34">
        <f>Table3[[#This Row],[Volume, kg.]]/1000</f>
        <v>12.57</v>
      </c>
      <c r="J3463" s="34">
        <v>0.1895</v>
      </c>
      <c r="K3463" s="34">
        <f t="shared" si="108"/>
        <v>2382.0149999999999</v>
      </c>
      <c r="L3463" s="34">
        <v>2.21</v>
      </c>
      <c r="M3463" s="34">
        <v>27807.5</v>
      </c>
      <c r="N3463" s="34">
        <f t="shared" si="109"/>
        <v>11.6622691292876</v>
      </c>
    </row>
    <row r="3464" spans="1:14" x14ac:dyDescent="0.45">
      <c r="A3464" s="30">
        <v>2024</v>
      </c>
      <c r="B3464" s="30" t="s">
        <v>13</v>
      </c>
      <c r="C3464" s="30" t="s">
        <v>46</v>
      </c>
      <c r="D3464" s="30" t="s">
        <v>47</v>
      </c>
      <c r="E3464" s="32" t="s">
        <v>315</v>
      </c>
      <c r="F3464" s="32" t="s">
        <v>134</v>
      </c>
      <c r="G3464" s="32" t="s">
        <v>50</v>
      </c>
      <c r="H3464" s="33">
        <v>44220</v>
      </c>
      <c r="I3464" s="34">
        <f>Table3[[#This Row],[Volume, kg.]]/1000</f>
        <v>44.22</v>
      </c>
      <c r="J3464" s="34">
        <v>0.156</v>
      </c>
      <c r="K3464" s="34">
        <f t="shared" si="108"/>
        <v>6898.32</v>
      </c>
      <c r="L3464" s="34">
        <v>2.0299999999999998</v>
      </c>
      <c r="M3464" s="34">
        <v>89940</v>
      </c>
      <c r="N3464" s="34">
        <f t="shared" si="109"/>
        <v>13.012820512820511</v>
      </c>
    </row>
    <row r="3465" spans="1:14" x14ac:dyDescent="0.45">
      <c r="A3465" s="30">
        <v>2024</v>
      </c>
      <c r="B3465" s="30" t="s">
        <v>13</v>
      </c>
      <c r="C3465" s="30" t="s">
        <v>46</v>
      </c>
      <c r="D3465" s="30" t="s">
        <v>47</v>
      </c>
      <c r="E3465" s="32" t="s">
        <v>227</v>
      </c>
      <c r="F3465" s="32" t="s">
        <v>57</v>
      </c>
      <c r="G3465" s="32" t="s">
        <v>50</v>
      </c>
      <c r="H3465" s="33">
        <v>10830</v>
      </c>
      <c r="I3465" s="34">
        <f>Table3[[#This Row],[Volume, kg.]]/1000</f>
        <v>10.83</v>
      </c>
      <c r="J3465" s="34">
        <v>0.1784</v>
      </c>
      <c r="K3465" s="34">
        <f t="shared" si="108"/>
        <v>1932.0720000000001</v>
      </c>
      <c r="L3465" s="34">
        <v>2.14</v>
      </c>
      <c r="M3465" s="34">
        <v>23199</v>
      </c>
      <c r="N3465" s="34">
        <f t="shared" si="109"/>
        <v>11.995515695067265</v>
      </c>
    </row>
    <row r="3466" spans="1:14" x14ac:dyDescent="0.45">
      <c r="A3466" s="30">
        <v>2024</v>
      </c>
      <c r="B3466" s="30" t="s">
        <v>13</v>
      </c>
      <c r="C3466" s="30" t="s">
        <v>46</v>
      </c>
      <c r="D3466" s="30" t="s">
        <v>47</v>
      </c>
      <c r="E3466" s="32" t="s">
        <v>480</v>
      </c>
      <c r="F3466" s="32" t="s">
        <v>49</v>
      </c>
      <c r="G3466" s="32" t="s">
        <v>50</v>
      </c>
      <c r="H3466" s="33">
        <v>16140</v>
      </c>
      <c r="I3466" s="34">
        <f>Table3[[#This Row],[Volume, kg.]]/1000</f>
        <v>16.14</v>
      </c>
      <c r="J3466" s="34">
        <v>0.1925</v>
      </c>
      <c r="K3466" s="34">
        <f t="shared" si="108"/>
        <v>3106.9500000000003</v>
      </c>
      <c r="L3466" s="34">
        <v>2.23</v>
      </c>
      <c r="M3466" s="34">
        <v>35977.5</v>
      </c>
      <c r="N3466" s="34">
        <f t="shared" si="109"/>
        <v>11.584415584415584</v>
      </c>
    </row>
    <row r="3467" spans="1:14" x14ac:dyDescent="0.45">
      <c r="A3467" s="30">
        <v>2024</v>
      </c>
      <c r="B3467" s="30" t="s">
        <v>13</v>
      </c>
      <c r="C3467" s="30" t="s">
        <v>46</v>
      </c>
      <c r="D3467" s="30" t="s">
        <v>47</v>
      </c>
      <c r="E3467" s="32" t="s">
        <v>101</v>
      </c>
      <c r="F3467" s="32" t="s">
        <v>64</v>
      </c>
      <c r="G3467" s="32" t="s">
        <v>50</v>
      </c>
      <c r="H3467" s="33">
        <v>45740</v>
      </c>
      <c r="I3467" s="34">
        <f>Table3[[#This Row],[Volume, kg.]]/1000</f>
        <v>45.74</v>
      </c>
      <c r="J3467" s="34">
        <v>0.14630000000000001</v>
      </c>
      <c r="K3467" s="34">
        <f t="shared" si="108"/>
        <v>6691.7620000000006</v>
      </c>
      <c r="L3467" s="34">
        <v>2.02</v>
      </c>
      <c r="M3467" s="34">
        <v>92322</v>
      </c>
      <c r="N3467" s="34">
        <f t="shared" si="109"/>
        <v>13.807245386192754</v>
      </c>
    </row>
    <row r="3468" spans="1:14" x14ac:dyDescent="0.45">
      <c r="A3468" s="30">
        <v>2024</v>
      </c>
      <c r="B3468" s="30" t="s">
        <v>13</v>
      </c>
      <c r="C3468" s="30" t="s">
        <v>46</v>
      </c>
      <c r="D3468" s="30" t="s">
        <v>47</v>
      </c>
      <c r="E3468" s="32" t="s">
        <v>146</v>
      </c>
      <c r="F3468" s="32" t="s">
        <v>64</v>
      </c>
      <c r="G3468" s="32" t="s">
        <v>50</v>
      </c>
      <c r="H3468" s="33">
        <v>55720</v>
      </c>
      <c r="I3468" s="34">
        <f>Table3[[#This Row],[Volume, kg.]]/1000</f>
        <v>55.72</v>
      </c>
      <c r="J3468" s="34">
        <v>0.16760000000000003</v>
      </c>
      <c r="K3468" s="34">
        <f t="shared" si="108"/>
        <v>9338.6720000000023</v>
      </c>
      <c r="L3468" s="34">
        <v>2.13</v>
      </c>
      <c r="M3468" s="34">
        <v>118602.5</v>
      </c>
      <c r="N3468" s="34">
        <f t="shared" si="109"/>
        <v>12.708830548926011</v>
      </c>
    </row>
    <row r="3469" spans="1:14" x14ac:dyDescent="0.45">
      <c r="A3469" s="30">
        <v>2024</v>
      </c>
      <c r="B3469" s="30" t="s">
        <v>13</v>
      </c>
      <c r="C3469" s="30" t="s">
        <v>46</v>
      </c>
      <c r="D3469" s="30" t="s">
        <v>47</v>
      </c>
      <c r="E3469" s="32" t="s">
        <v>83</v>
      </c>
      <c r="F3469" s="32" t="s">
        <v>64</v>
      </c>
      <c r="G3469" s="32" t="s">
        <v>50</v>
      </c>
      <c r="H3469" s="33">
        <v>32330</v>
      </c>
      <c r="I3469" s="34">
        <f>Table3[[#This Row],[Volume, kg.]]/1000</f>
        <v>32.33</v>
      </c>
      <c r="J3469" s="34">
        <v>0.15029999999999999</v>
      </c>
      <c r="K3469" s="34">
        <f t="shared" si="108"/>
        <v>4859.1989999999996</v>
      </c>
      <c r="L3469" s="34">
        <v>2.0299999999999998</v>
      </c>
      <c r="M3469" s="34">
        <v>65486</v>
      </c>
      <c r="N3469" s="34">
        <f t="shared" si="109"/>
        <v>13.506320691949433</v>
      </c>
    </row>
    <row r="3470" spans="1:14" x14ac:dyDescent="0.45">
      <c r="A3470" s="30">
        <v>2024</v>
      </c>
      <c r="B3470" s="30" t="s">
        <v>13</v>
      </c>
      <c r="C3470" s="30" t="s">
        <v>46</v>
      </c>
      <c r="D3470" s="30" t="s">
        <v>47</v>
      </c>
      <c r="E3470" s="32" t="s">
        <v>255</v>
      </c>
      <c r="F3470" s="32" t="s">
        <v>60</v>
      </c>
      <c r="G3470" s="32" t="s">
        <v>50</v>
      </c>
      <c r="H3470" s="33">
        <v>2260</v>
      </c>
      <c r="I3470" s="34">
        <f>Table3[[#This Row],[Volume, kg.]]/1000</f>
        <v>2.2599999999999998</v>
      </c>
      <c r="J3470" s="34">
        <v>0.17399999999999999</v>
      </c>
      <c r="K3470" s="34">
        <f t="shared" si="108"/>
        <v>393.23999999999995</v>
      </c>
      <c r="L3470" s="34">
        <v>2.1</v>
      </c>
      <c r="M3470" s="34">
        <v>4746</v>
      </c>
      <c r="N3470" s="34">
        <f t="shared" si="109"/>
        <v>12.068965517241381</v>
      </c>
    </row>
    <row r="3471" spans="1:14" x14ac:dyDescent="0.45">
      <c r="A3471" s="30">
        <v>2024</v>
      </c>
      <c r="B3471" s="30" t="s">
        <v>13</v>
      </c>
      <c r="C3471" s="30" t="s">
        <v>46</v>
      </c>
      <c r="D3471" s="30" t="s">
        <v>47</v>
      </c>
      <c r="E3471" s="32" t="s">
        <v>309</v>
      </c>
      <c r="F3471" s="32" t="s">
        <v>81</v>
      </c>
      <c r="G3471" s="32" t="s">
        <v>50</v>
      </c>
      <c r="H3471" s="33">
        <v>33430</v>
      </c>
      <c r="I3471" s="34">
        <f>Table3[[#This Row],[Volume, kg.]]/1000</f>
        <v>33.43</v>
      </c>
      <c r="J3471" s="34">
        <v>0.1918</v>
      </c>
      <c r="K3471" s="34">
        <f t="shared" si="108"/>
        <v>6411.8739999999998</v>
      </c>
      <c r="L3471" s="34">
        <v>2.2000000000000002</v>
      </c>
      <c r="M3471" s="34">
        <v>73546</v>
      </c>
      <c r="N3471" s="34">
        <f t="shared" si="109"/>
        <v>11.470281543274245</v>
      </c>
    </row>
    <row r="3472" spans="1:14" x14ac:dyDescent="0.45">
      <c r="A3472" s="30">
        <v>2024</v>
      </c>
      <c r="B3472" s="30" t="s">
        <v>13</v>
      </c>
      <c r="C3472" s="30" t="s">
        <v>46</v>
      </c>
      <c r="D3472" s="30" t="s">
        <v>47</v>
      </c>
      <c r="E3472" s="32" t="s">
        <v>136</v>
      </c>
      <c r="F3472" s="32" t="s">
        <v>49</v>
      </c>
      <c r="G3472" s="32" t="s">
        <v>50</v>
      </c>
      <c r="H3472" s="33">
        <v>9730</v>
      </c>
      <c r="I3472" s="34">
        <f>Table3[[#This Row],[Volume, kg.]]/1000</f>
        <v>9.73</v>
      </c>
      <c r="J3472" s="34">
        <v>0.2072</v>
      </c>
      <c r="K3472" s="34">
        <f t="shared" si="108"/>
        <v>2016.056</v>
      </c>
      <c r="L3472" s="34">
        <v>2.3199999999999998</v>
      </c>
      <c r="M3472" s="34">
        <v>22573</v>
      </c>
      <c r="N3472" s="34">
        <f t="shared" si="109"/>
        <v>11.196911196911197</v>
      </c>
    </row>
    <row r="3473" spans="1:14" x14ac:dyDescent="0.45">
      <c r="A3473" s="30">
        <v>2024</v>
      </c>
      <c r="B3473" s="30" t="s">
        <v>13</v>
      </c>
      <c r="C3473" s="30" t="s">
        <v>46</v>
      </c>
      <c r="D3473" s="30" t="s">
        <v>47</v>
      </c>
      <c r="E3473" s="32" t="s">
        <v>53</v>
      </c>
      <c r="F3473" s="32" t="s">
        <v>54</v>
      </c>
      <c r="G3473" s="32" t="s">
        <v>50</v>
      </c>
      <c r="H3473" s="33">
        <v>43990</v>
      </c>
      <c r="I3473" s="34">
        <f>Table3[[#This Row],[Volume, kg.]]/1000</f>
        <v>43.99</v>
      </c>
      <c r="J3473" s="34">
        <v>0.1946</v>
      </c>
      <c r="K3473" s="34">
        <f t="shared" si="108"/>
        <v>8560.4539999999997</v>
      </c>
      <c r="L3473" s="34">
        <v>2.23</v>
      </c>
      <c r="M3473" s="34">
        <v>98167</v>
      </c>
      <c r="N3473" s="34">
        <f t="shared" si="109"/>
        <v>11.459403905447072</v>
      </c>
    </row>
    <row r="3474" spans="1:14" x14ac:dyDescent="0.45">
      <c r="A3474" s="30">
        <v>2024</v>
      </c>
      <c r="B3474" s="30" t="s">
        <v>13</v>
      </c>
      <c r="C3474" s="30" t="s">
        <v>46</v>
      </c>
      <c r="D3474" s="30" t="s">
        <v>47</v>
      </c>
      <c r="E3474" s="32" t="s">
        <v>151</v>
      </c>
      <c r="F3474" s="32" t="s">
        <v>60</v>
      </c>
      <c r="G3474" s="32" t="s">
        <v>50</v>
      </c>
      <c r="H3474" s="33">
        <v>5230</v>
      </c>
      <c r="I3474" s="34">
        <f>Table3[[#This Row],[Volume, kg.]]/1000</f>
        <v>5.23</v>
      </c>
      <c r="J3474" s="34">
        <v>0.1905</v>
      </c>
      <c r="K3474" s="34">
        <f t="shared" si="108"/>
        <v>996.31500000000005</v>
      </c>
      <c r="L3474" s="34">
        <v>2.2000000000000002</v>
      </c>
      <c r="M3474" s="34">
        <v>11506</v>
      </c>
      <c r="N3474" s="34">
        <f t="shared" si="109"/>
        <v>11.548556430446196</v>
      </c>
    </row>
    <row r="3475" spans="1:14" x14ac:dyDescent="0.45">
      <c r="A3475" s="30">
        <v>2024</v>
      </c>
      <c r="B3475" s="30" t="s">
        <v>13</v>
      </c>
      <c r="C3475" s="30" t="s">
        <v>46</v>
      </c>
      <c r="D3475" s="30" t="s">
        <v>47</v>
      </c>
      <c r="E3475" s="32" t="s">
        <v>408</v>
      </c>
      <c r="F3475" s="32" t="s">
        <v>238</v>
      </c>
      <c r="G3475" s="32" t="s">
        <v>50</v>
      </c>
      <c r="H3475" s="33">
        <v>71250</v>
      </c>
      <c r="I3475" s="34">
        <f>Table3[[#This Row],[Volume, kg.]]/1000</f>
        <v>71.25</v>
      </c>
      <c r="J3475" s="34">
        <v>0.16690000000000002</v>
      </c>
      <c r="K3475" s="34">
        <f t="shared" si="108"/>
        <v>11891.625000000002</v>
      </c>
      <c r="L3475" s="34">
        <v>2.12</v>
      </c>
      <c r="M3475" s="34">
        <v>150864</v>
      </c>
      <c r="N3475" s="34">
        <f t="shared" si="109"/>
        <v>12.702216896345115</v>
      </c>
    </row>
    <row r="3476" spans="1:14" x14ac:dyDescent="0.45">
      <c r="A3476" s="30">
        <v>2024</v>
      </c>
      <c r="B3476" s="30" t="s">
        <v>13</v>
      </c>
      <c r="C3476" s="30" t="s">
        <v>46</v>
      </c>
      <c r="D3476" s="30" t="s">
        <v>47</v>
      </c>
      <c r="E3476" s="32" t="s">
        <v>184</v>
      </c>
      <c r="F3476" s="32" t="s">
        <v>57</v>
      </c>
      <c r="G3476" s="32" t="s">
        <v>50</v>
      </c>
      <c r="H3476" s="33">
        <v>72330</v>
      </c>
      <c r="I3476" s="34">
        <f>Table3[[#This Row],[Volume, kg.]]/1000</f>
        <v>72.33</v>
      </c>
      <c r="J3476" s="34">
        <v>0.1593</v>
      </c>
      <c r="K3476" s="34">
        <f t="shared" si="108"/>
        <v>11522.169</v>
      </c>
      <c r="L3476" s="34">
        <v>2.06</v>
      </c>
      <c r="M3476" s="34">
        <v>149356.5</v>
      </c>
      <c r="N3476" s="34">
        <f t="shared" si="109"/>
        <v>12.93157564344005</v>
      </c>
    </row>
    <row r="3477" spans="1:14" x14ac:dyDescent="0.45">
      <c r="A3477" s="30">
        <v>2024</v>
      </c>
      <c r="B3477" s="30" t="s">
        <v>13</v>
      </c>
      <c r="C3477" s="30" t="s">
        <v>46</v>
      </c>
      <c r="D3477" s="30" t="s">
        <v>47</v>
      </c>
      <c r="E3477" s="32" t="s">
        <v>257</v>
      </c>
      <c r="F3477" s="32" t="s">
        <v>64</v>
      </c>
      <c r="G3477" s="32" t="s">
        <v>50</v>
      </c>
      <c r="H3477" s="33">
        <v>251600</v>
      </c>
      <c r="I3477" s="34">
        <f>Table3[[#This Row],[Volume, kg.]]/1000</f>
        <v>251.6</v>
      </c>
      <c r="J3477" s="34">
        <v>0.15258464228934818</v>
      </c>
      <c r="K3477" s="34">
        <f t="shared" si="108"/>
        <v>38390.296000000002</v>
      </c>
      <c r="L3477" s="34">
        <v>2.0459678060413355</v>
      </c>
      <c r="M3477" s="34">
        <v>514765.5</v>
      </c>
      <c r="N3477" s="34">
        <f t="shared" si="109"/>
        <v>13.408740062853385</v>
      </c>
    </row>
    <row r="3478" spans="1:14" x14ac:dyDescent="0.45">
      <c r="A3478" s="30">
        <v>2024</v>
      </c>
      <c r="B3478" s="30" t="s">
        <v>13</v>
      </c>
      <c r="C3478" s="30" t="s">
        <v>46</v>
      </c>
      <c r="D3478" s="30" t="s">
        <v>102</v>
      </c>
      <c r="E3478" s="32" t="s">
        <v>658</v>
      </c>
      <c r="F3478" s="32" t="s">
        <v>64</v>
      </c>
      <c r="G3478" s="32" t="s">
        <v>50</v>
      </c>
      <c r="H3478" s="33">
        <v>99290</v>
      </c>
      <c r="I3478" s="34">
        <f>Table3[[#This Row],[Volume, kg.]]/1000</f>
        <v>99.29</v>
      </c>
      <c r="J3478" s="34">
        <v>0.15116260449189242</v>
      </c>
      <c r="K3478" s="34">
        <f t="shared" si="108"/>
        <v>15008.934999999998</v>
      </c>
      <c r="L3478" s="34">
        <v>1.991278074327727</v>
      </c>
      <c r="M3478" s="34">
        <v>197714</v>
      </c>
      <c r="N3478" s="34">
        <f t="shared" si="109"/>
        <v>13.173086564769587</v>
      </c>
    </row>
    <row r="3479" spans="1:14" x14ac:dyDescent="0.45">
      <c r="A3479" s="30">
        <v>2024</v>
      </c>
      <c r="B3479" s="30" t="s">
        <v>13</v>
      </c>
      <c r="C3479" s="30" t="s">
        <v>46</v>
      </c>
      <c r="D3479" s="30" t="s">
        <v>102</v>
      </c>
      <c r="E3479" s="32" t="s">
        <v>337</v>
      </c>
      <c r="F3479" s="32" t="s">
        <v>338</v>
      </c>
      <c r="G3479" s="32" t="s">
        <v>105</v>
      </c>
      <c r="H3479" s="33">
        <v>29830</v>
      </c>
      <c r="I3479" s="34">
        <f>Table3[[#This Row],[Volume, kg.]]/1000</f>
        <v>29.83</v>
      </c>
      <c r="J3479" s="34">
        <v>0.16140000000000002</v>
      </c>
      <c r="K3479" s="34">
        <f t="shared" si="108"/>
        <v>4814.5620000000008</v>
      </c>
      <c r="L3479" s="34">
        <v>2.1</v>
      </c>
      <c r="M3479" s="34">
        <v>62566.5</v>
      </c>
      <c r="N3479" s="34">
        <f t="shared" si="109"/>
        <v>13.011152416356877</v>
      </c>
    </row>
    <row r="3480" spans="1:14" x14ac:dyDescent="0.45">
      <c r="A3480" s="30">
        <v>2024</v>
      </c>
      <c r="B3480" s="30" t="s">
        <v>13</v>
      </c>
      <c r="C3480" s="30" t="s">
        <v>46</v>
      </c>
      <c r="D3480" s="30" t="s">
        <v>47</v>
      </c>
      <c r="E3480" s="32" t="s">
        <v>133</v>
      </c>
      <c r="F3480" s="32" t="s">
        <v>134</v>
      </c>
      <c r="G3480" s="32" t="s">
        <v>50</v>
      </c>
      <c r="H3480" s="33">
        <v>105820</v>
      </c>
      <c r="I3480" s="34">
        <f>Table3[[#This Row],[Volume, kg.]]/1000</f>
        <v>105.82</v>
      </c>
      <c r="J3480" s="34">
        <v>0.1888</v>
      </c>
      <c r="K3480" s="34">
        <f t="shared" si="108"/>
        <v>19978.815999999999</v>
      </c>
      <c r="L3480" s="34">
        <v>2.21</v>
      </c>
      <c r="M3480" s="34">
        <v>233785</v>
      </c>
      <c r="N3480" s="34">
        <f t="shared" si="109"/>
        <v>11.705508474576272</v>
      </c>
    </row>
    <row r="3481" spans="1:14" x14ac:dyDescent="0.45">
      <c r="A3481" s="30">
        <v>2024</v>
      </c>
      <c r="B3481" s="30" t="s">
        <v>13</v>
      </c>
      <c r="C3481" s="30" t="s">
        <v>46</v>
      </c>
      <c r="D3481" s="30" t="s">
        <v>47</v>
      </c>
      <c r="E3481" s="32" t="s">
        <v>252</v>
      </c>
      <c r="F3481" s="32" t="s">
        <v>49</v>
      </c>
      <c r="G3481" s="32" t="s">
        <v>50</v>
      </c>
      <c r="H3481" s="33">
        <v>15250</v>
      </c>
      <c r="I3481" s="34">
        <f>Table3[[#This Row],[Volume, kg.]]/1000</f>
        <v>15.25</v>
      </c>
      <c r="J3481" s="34">
        <v>0.16089999999999999</v>
      </c>
      <c r="K3481" s="34">
        <f t="shared" si="108"/>
        <v>2453.7249999999999</v>
      </c>
      <c r="L3481" s="34">
        <v>2.04</v>
      </c>
      <c r="M3481" s="34">
        <v>31181</v>
      </c>
      <c r="N3481" s="34">
        <f t="shared" si="109"/>
        <v>12.678682411435675</v>
      </c>
    </row>
    <row r="3482" spans="1:14" x14ac:dyDescent="0.45">
      <c r="A3482" s="30">
        <v>2024</v>
      </c>
      <c r="B3482" s="30" t="s">
        <v>13</v>
      </c>
      <c r="C3482" s="30" t="s">
        <v>46</v>
      </c>
      <c r="D3482" s="30" t="s">
        <v>47</v>
      </c>
      <c r="E3482" s="32" t="s">
        <v>95</v>
      </c>
      <c r="F3482" s="32" t="s">
        <v>49</v>
      </c>
      <c r="G3482" s="32" t="s">
        <v>50</v>
      </c>
      <c r="H3482" s="33">
        <v>15110</v>
      </c>
      <c r="I3482" s="34">
        <f>Table3[[#This Row],[Volume, kg.]]/1000</f>
        <v>15.11</v>
      </c>
      <c r="J3482" s="34">
        <v>0.1784</v>
      </c>
      <c r="K3482" s="34">
        <f t="shared" si="108"/>
        <v>2695.6240000000003</v>
      </c>
      <c r="L3482" s="34">
        <v>2.16</v>
      </c>
      <c r="M3482" s="34">
        <v>32653</v>
      </c>
      <c r="N3482" s="34">
        <f t="shared" si="109"/>
        <v>12.107623318385651</v>
      </c>
    </row>
    <row r="3483" spans="1:14" x14ac:dyDescent="0.45">
      <c r="A3483" s="30">
        <v>2024</v>
      </c>
      <c r="B3483" s="30" t="s">
        <v>13</v>
      </c>
      <c r="C3483" s="30" t="s">
        <v>46</v>
      </c>
      <c r="D3483" s="30" t="s">
        <v>47</v>
      </c>
      <c r="E3483" s="32" t="s">
        <v>205</v>
      </c>
      <c r="F3483" s="32" t="s">
        <v>49</v>
      </c>
      <c r="G3483" s="32" t="s">
        <v>50</v>
      </c>
      <c r="H3483" s="33">
        <v>62050</v>
      </c>
      <c r="I3483" s="34">
        <f>Table3[[#This Row],[Volume, kg.]]/1000</f>
        <v>62.05</v>
      </c>
      <c r="J3483" s="34">
        <v>0.20350000000000001</v>
      </c>
      <c r="K3483" s="34">
        <f t="shared" si="108"/>
        <v>12627.175000000001</v>
      </c>
      <c r="L3483" s="34">
        <v>2.2599999999999998</v>
      </c>
      <c r="M3483" s="34">
        <v>140456.5</v>
      </c>
      <c r="N3483" s="34">
        <f t="shared" si="109"/>
        <v>11.105651105651104</v>
      </c>
    </row>
    <row r="3484" spans="1:14" x14ac:dyDescent="0.45">
      <c r="A3484" s="30">
        <v>2024</v>
      </c>
      <c r="B3484" s="30" t="s">
        <v>13</v>
      </c>
      <c r="C3484" s="30" t="s">
        <v>46</v>
      </c>
      <c r="D3484" s="30" t="s">
        <v>47</v>
      </c>
      <c r="E3484" s="32" t="s">
        <v>511</v>
      </c>
      <c r="F3484" s="32" t="s">
        <v>60</v>
      </c>
      <c r="G3484" s="32" t="s">
        <v>50</v>
      </c>
      <c r="H3484" s="33">
        <v>52000</v>
      </c>
      <c r="I3484" s="34">
        <f>Table3[[#This Row],[Volume, kg.]]/1000</f>
        <v>52</v>
      </c>
      <c r="J3484" s="34">
        <v>0.1865</v>
      </c>
      <c r="K3484" s="34">
        <f t="shared" si="108"/>
        <v>9698</v>
      </c>
      <c r="L3484" s="34">
        <v>2.1800000000000002</v>
      </c>
      <c r="M3484" s="34">
        <v>113490.5</v>
      </c>
      <c r="N3484" s="34">
        <f t="shared" si="109"/>
        <v>11.689008042895443</v>
      </c>
    </row>
    <row r="3485" spans="1:14" x14ac:dyDescent="0.45">
      <c r="A3485" s="30">
        <v>2024</v>
      </c>
      <c r="B3485" s="30" t="s">
        <v>13</v>
      </c>
      <c r="C3485" s="30" t="s">
        <v>46</v>
      </c>
      <c r="D3485" s="30" t="s">
        <v>47</v>
      </c>
      <c r="E3485" s="32" t="s">
        <v>439</v>
      </c>
      <c r="F3485" s="32" t="s">
        <v>64</v>
      </c>
      <c r="G3485" s="32" t="s">
        <v>50</v>
      </c>
      <c r="H3485" s="33">
        <v>25880</v>
      </c>
      <c r="I3485" s="34">
        <f>Table3[[#This Row],[Volume, kg.]]/1000</f>
        <v>25.88</v>
      </c>
      <c r="J3485" s="34">
        <v>0.1943</v>
      </c>
      <c r="K3485" s="34">
        <f t="shared" si="108"/>
        <v>5028.4840000000004</v>
      </c>
      <c r="L3485" s="34">
        <v>2.2200000000000002</v>
      </c>
      <c r="M3485" s="34">
        <v>57497.5</v>
      </c>
      <c r="N3485" s="34">
        <f t="shared" si="109"/>
        <v>11.425630468347917</v>
      </c>
    </row>
    <row r="3486" spans="1:14" x14ac:dyDescent="0.45">
      <c r="A3486" s="30">
        <v>2024</v>
      </c>
      <c r="B3486" s="30" t="s">
        <v>13</v>
      </c>
      <c r="C3486" s="30" t="s">
        <v>46</v>
      </c>
      <c r="D3486" s="30" t="s">
        <v>102</v>
      </c>
      <c r="E3486" s="32" t="s">
        <v>366</v>
      </c>
      <c r="F3486" s="32" t="s">
        <v>367</v>
      </c>
      <c r="G3486" s="32" t="s">
        <v>368</v>
      </c>
      <c r="H3486" s="33">
        <v>392380</v>
      </c>
      <c r="I3486" s="34">
        <f>Table3[[#This Row],[Volume, kg.]]/1000</f>
        <v>392.38</v>
      </c>
      <c r="J3486" s="34">
        <v>0.1643</v>
      </c>
      <c r="K3486" s="34">
        <f t="shared" si="108"/>
        <v>64468.034</v>
      </c>
      <c r="L3486" s="34">
        <v>2.0699999999999998</v>
      </c>
      <c r="M3486" s="34">
        <v>812253</v>
      </c>
      <c r="N3486" s="34">
        <f t="shared" si="109"/>
        <v>12.598904443091904</v>
      </c>
    </row>
    <row r="3487" spans="1:14" x14ac:dyDescent="0.45">
      <c r="A3487" s="30">
        <v>2024</v>
      </c>
      <c r="B3487" s="30" t="s">
        <v>13</v>
      </c>
      <c r="C3487" s="30" t="s">
        <v>46</v>
      </c>
      <c r="D3487" s="30" t="s">
        <v>102</v>
      </c>
      <c r="E3487" s="32" t="s">
        <v>437</v>
      </c>
      <c r="F3487" s="32" t="s">
        <v>49</v>
      </c>
      <c r="G3487" s="32" t="s">
        <v>50</v>
      </c>
      <c r="H3487" s="33">
        <v>1528090</v>
      </c>
      <c r="I3487" s="34">
        <f>Table3[[#This Row],[Volume, kg.]]/1000</f>
        <v>1528.09</v>
      </c>
      <c r="J3487" s="34">
        <v>0.16930000000000001</v>
      </c>
      <c r="K3487" s="34">
        <f t="shared" si="108"/>
        <v>258705.63700000002</v>
      </c>
      <c r="L3487" s="34">
        <v>2.12</v>
      </c>
      <c r="M3487" s="34">
        <v>3237868</v>
      </c>
      <c r="N3487" s="34">
        <f t="shared" si="109"/>
        <v>12.522150029533373</v>
      </c>
    </row>
    <row r="3488" spans="1:14" x14ac:dyDescent="0.45">
      <c r="A3488" s="30">
        <v>2024</v>
      </c>
      <c r="B3488" s="30" t="s">
        <v>13</v>
      </c>
      <c r="C3488" s="30" t="s">
        <v>46</v>
      </c>
      <c r="D3488" s="30" t="s">
        <v>47</v>
      </c>
      <c r="E3488" s="32" t="s">
        <v>409</v>
      </c>
      <c r="F3488" s="32" t="s">
        <v>57</v>
      </c>
      <c r="G3488" s="32" t="s">
        <v>50</v>
      </c>
      <c r="H3488" s="33">
        <v>260</v>
      </c>
      <c r="I3488" s="34">
        <f>Table3[[#This Row],[Volume, kg.]]/1000</f>
        <v>0.26</v>
      </c>
      <c r="J3488" s="34">
        <v>0.124</v>
      </c>
      <c r="K3488" s="34">
        <f t="shared" si="108"/>
        <v>32.24</v>
      </c>
      <c r="L3488" s="34">
        <v>1.85</v>
      </c>
      <c r="M3488" s="34">
        <v>481</v>
      </c>
      <c r="N3488" s="34">
        <f t="shared" si="109"/>
        <v>14.919354838709678</v>
      </c>
    </row>
    <row r="3489" spans="1:14" x14ac:dyDescent="0.45">
      <c r="A3489" s="30">
        <v>2024</v>
      </c>
      <c r="B3489" s="30" t="s">
        <v>13</v>
      </c>
      <c r="C3489" s="30" t="s">
        <v>46</v>
      </c>
      <c r="D3489" s="30" t="s">
        <v>47</v>
      </c>
      <c r="E3489" s="32" t="s">
        <v>412</v>
      </c>
      <c r="F3489" s="32" t="s">
        <v>57</v>
      </c>
      <c r="G3489" s="32" t="s">
        <v>50</v>
      </c>
      <c r="H3489" s="33">
        <v>5530</v>
      </c>
      <c r="I3489" s="34">
        <f>Table3[[#This Row],[Volume, kg.]]/1000</f>
        <v>5.53</v>
      </c>
      <c r="J3489" s="34">
        <v>0.223</v>
      </c>
      <c r="K3489" s="34">
        <f t="shared" si="108"/>
        <v>1233.19</v>
      </c>
      <c r="L3489" s="34">
        <v>2.35</v>
      </c>
      <c r="M3489" s="34">
        <v>12995.5</v>
      </c>
      <c r="N3489" s="34">
        <f t="shared" si="109"/>
        <v>10.538116591928251</v>
      </c>
    </row>
    <row r="3490" spans="1:14" x14ac:dyDescent="0.45">
      <c r="A3490" s="30">
        <v>2024</v>
      </c>
      <c r="B3490" s="30" t="s">
        <v>13</v>
      </c>
      <c r="C3490" s="30" t="s">
        <v>46</v>
      </c>
      <c r="D3490" s="30" t="s">
        <v>47</v>
      </c>
      <c r="E3490" s="32" t="s">
        <v>413</v>
      </c>
      <c r="F3490" s="32" t="s">
        <v>49</v>
      </c>
      <c r="G3490" s="32" t="s">
        <v>50</v>
      </c>
      <c r="H3490" s="33">
        <v>42680</v>
      </c>
      <c r="I3490" s="34">
        <f>Table3[[#This Row],[Volume, kg.]]/1000</f>
        <v>42.68</v>
      </c>
      <c r="J3490" s="34">
        <v>0.19739999999999999</v>
      </c>
      <c r="K3490" s="34">
        <f t="shared" si="108"/>
        <v>8425.0319999999992</v>
      </c>
      <c r="L3490" s="34">
        <v>2.2599999999999998</v>
      </c>
      <c r="M3490" s="34">
        <v>96426</v>
      </c>
      <c r="N3490" s="34">
        <f t="shared" si="109"/>
        <v>11.448834853090172</v>
      </c>
    </row>
    <row r="3491" spans="1:14" x14ac:dyDescent="0.45">
      <c r="A3491" s="30">
        <v>2024</v>
      </c>
      <c r="B3491" s="30" t="s">
        <v>13</v>
      </c>
      <c r="C3491" s="30" t="s">
        <v>46</v>
      </c>
      <c r="D3491" s="30" t="s">
        <v>102</v>
      </c>
      <c r="E3491" s="32" t="s">
        <v>418</v>
      </c>
      <c r="F3491" s="32" t="s">
        <v>104</v>
      </c>
      <c r="G3491" s="32" t="s">
        <v>105</v>
      </c>
      <c r="H3491" s="33">
        <v>1364150</v>
      </c>
      <c r="I3491" s="34">
        <f>Table3[[#This Row],[Volume, kg.]]/1000</f>
        <v>1364.15</v>
      </c>
      <c r="J3491" s="34">
        <v>0.17670000000000002</v>
      </c>
      <c r="K3491" s="34">
        <f t="shared" si="108"/>
        <v>241045.30500000002</v>
      </c>
      <c r="L3491" s="34">
        <v>2.15</v>
      </c>
      <c r="M3491" s="34">
        <v>2930212</v>
      </c>
      <c r="N3491" s="34">
        <f t="shared" si="109"/>
        <v>12.167515563101299</v>
      </c>
    </row>
    <row r="3492" spans="1:14" x14ac:dyDescent="0.45">
      <c r="A3492" s="30">
        <v>2024</v>
      </c>
      <c r="B3492" s="30" t="s">
        <v>13</v>
      </c>
      <c r="C3492" s="30" t="s">
        <v>46</v>
      </c>
      <c r="D3492" s="30" t="s">
        <v>47</v>
      </c>
      <c r="E3492" s="32" t="s">
        <v>448</v>
      </c>
      <c r="F3492" s="32" t="s">
        <v>238</v>
      </c>
      <c r="G3492" s="32" t="s">
        <v>50</v>
      </c>
      <c r="H3492" s="33">
        <v>133550</v>
      </c>
      <c r="I3492" s="34">
        <f>Table3[[#This Row],[Volume, kg.]]/1000</f>
        <v>133.55000000000001</v>
      </c>
      <c r="J3492" s="34">
        <v>0.15740000000000001</v>
      </c>
      <c r="K3492" s="34">
        <f t="shared" si="108"/>
        <v>21020.77</v>
      </c>
      <c r="L3492" s="34">
        <v>2.06</v>
      </c>
      <c r="M3492" s="34">
        <v>274745.5</v>
      </c>
      <c r="N3492" s="34">
        <f t="shared" si="109"/>
        <v>13.087674714104192</v>
      </c>
    </row>
    <row r="3493" spans="1:14" x14ac:dyDescent="0.45">
      <c r="A3493" s="30">
        <v>2024</v>
      </c>
      <c r="B3493" s="30" t="s">
        <v>13</v>
      </c>
      <c r="C3493" s="30" t="s">
        <v>46</v>
      </c>
      <c r="D3493" s="30" t="s">
        <v>47</v>
      </c>
      <c r="E3493" s="32" t="s">
        <v>436</v>
      </c>
      <c r="F3493" s="32" t="s">
        <v>57</v>
      </c>
      <c r="G3493" s="32" t="s">
        <v>50</v>
      </c>
      <c r="H3493" s="33">
        <v>24270</v>
      </c>
      <c r="I3493" s="34">
        <f>Table3[[#This Row],[Volume, kg.]]/1000</f>
        <v>24.27</v>
      </c>
      <c r="J3493" s="34">
        <v>0.17809999999999998</v>
      </c>
      <c r="K3493" s="34">
        <f t="shared" si="108"/>
        <v>4322.4869999999992</v>
      </c>
      <c r="L3493" s="34">
        <v>2.13</v>
      </c>
      <c r="M3493" s="34">
        <v>51592.5</v>
      </c>
      <c r="N3493" s="34">
        <f t="shared" si="109"/>
        <v>11.959573273441887</v>
      </c>
    </row>
    <row r="3494" spans="1:14" x14ac:dyDescent="0.45">
      <c r="A3494" s="30">
        <v>2024</v>
      </c>
      <c r="B3494" s="30" t="s">
        <v>13</v>
      </c>
      <c r="C3494" s="30" t="s">
        <v>46</v>
      </c>
      <c r="D3494" s="30" t="s">
        <v>47</v>
      </c>
      <c r="E3494" s="32" t="s">
        <v>434</v>
      </c>
      <c r="F3494" s="32" t="s">
        <v>57</v>
      </c>
      <c r="G3494" s="32" t="s">
        <v>50</v>
      </c>
      <c r="H3494" s="33">
        <v>72980</v>
      </c>
      <c r="I3494" s="34">
        <f>Table3[[#This Row],[Volume, kg.]]/1000</f>
        <v>72.98</v>
      </c>
      <c r="J3494" s="34">
        <v>0.15190000000000001</v>
      </c>
      <c r="K3494" s="34">
        <f t="shared" si="108"/>
        <v>11085.662</v>
      </c>
      <c r="L3494" s="34">
        <v>2.0299999999999998</v>
      </c>
      <c r="M3494" s="34">
        <v>147969</v>
      </c>
      <c r="N3494" s="34">
        <f t="shared" si="109"/>
        <v>13.364055299539169</v>
      </c>
    </row>
    <row r="3495" spans="1:14" x14ac:dyDescent="0.45">
      <c r="A3495" s="30">
        <v>2024</v>
      </c>
      <c r="B3495" s="30" t="s">
        <v>13</v>
      </c>
      <c r="C3495" s="30" t="s">
        <v>46</v>
      </c>
      <c r="D3495" s="30" t="s">
        <v>47</v>
      </c>
      <c r="E3495" s="32" t="s">
        <v>483</v>
      </c>
      <c r="F3495" s="32" t="s">
        <v>238</v>
      </c>
      <c r="G3495" s="32" t="s">
        <v>50</v>
      </c>
      <c r="H3495" s="33">
        <v>75270</v>
      </c>
      <c r="I3495" s="34">
        <f>Table3[[#This Row],[Volume, kg.]]/1000</f>
        <v>75.27</v>
      </c>
      <c r="J3495" s="34">
        <v>0.18960000000000002</v>
      </c>
      <c r="K3495" s="34">
        <f t="shared" si="108"/>
        <v>14271.192000000001</v>
      </c>
      <c r="L3495" s="34">
        <v>2.2000000000000002</v>
      </c>
      <c r="M3495" s="34">
        <v>165848.5</v>
      </c>
      <c r="N3495" s="34">
        <f t="shared" si="109"/>
        <v>11.603375527426159</v>
      </c>
    </row>
    <row r="3496" spans="1:14" x14ac:dyDescent="0.45">
      <c r="A3496" s="30">
        <v>2024</v>
      </c>
      <c r="B3496" s="30" t="s">
        <v>13</v>
      </c>
      <c r="C3496" s="30" t="s">
        <v>46</v>
      </c>
      <c r="D3496" s="30" t="s">
        <v>47</v>
      </c>
      <c r="E3496" s="32" t="s">
        <v>488</v>
      </c>
      <c r="F3496" s="32" t="s">
        <v>57</v>
      </c>
      <c r="G3496" s="32" t="s">
        <v>50</v>
      </c>
      <c r="H3496" s="33">
        <v>25030</v>
      </c>
      <c r="I3496" s="34">
        <f>Table3[[#This Row],[Volume, kg.]]/1000</f>
        <v>25.03</v>
      </c>
      <c r="J3496" s="34">
        <v>0.1888</v>
      </c>
      <c r="K3496" s="34">
        <f t="shared" si="108"/>
        <v>4725.6639999999998</v>
      </c>
      <c r="L3496" s="34">
        <v>2.21</v>
      </c>
      <c r="M3496" s="34">
        <v>55295.5</v>
      </c>
      <c r="N3496" s="34">
        <f t="shared" si="109"/>
        <v>11.705508474576272</v>
      </c>
    </row>
    <row r="3497" spans="1:14" x14ac:dyDescent="0.45">
      <c r="A3497" s="30">
        <v>2024</v>
      </c>
      <c r="B3497" s="30" t="s">
        <v>13</v>
      </c>
      <c r="C3497" s="30" t="s">
        <v>46</v>
      </c>
      <c r="D3497" s="30" t="s">
        <v>47</v>
      </c>
      <c r="E3497" s="32" t="s">
        <v>489</v>
      </c>
      <c r="F3497" s="32" t="s">
        <v>81</v>
      </c>
      <c r="G3497" s="32" t="s">
        <v>50</v>
      </c>
      <c r="H3497" s="33">
        <v>272090</v>
      </c>
      <c r="I3497" s="34">
        <f>Table3[[#This Row],[Volume, kg.]]/1000</f>
        <v>272.08999999999997</v>
      </c>
      <c r="J3497" s="34">
        <v>0.18789999999999998</v>
      </c>
      <c r="K3497" s="34">
        <f t="shared" si="108"/>
        <v>51125.710999999996</v>
      </c>
      <c r="L3497" s="34">
        <v>2.2000000000000002</v>
      </c>
      <c r="M3497" s="34">
        <v>597334.5</v>
      </c>
      <c r="N3497" s="34">
        <f t="shared" si="109"/>
        <v>11.70835550824907</v>
      </c>
    </row>
    <row r="3498" spans="1:14" x14ac:dyDescent="0.45">
      <c r="A3498" s="30">
        <v>2024</v>
      </c>
      <c r="B3498" s="30" t="s">
        <v>13</v>
      </c>
      <c r="C3498" s="30" t="s">
        <v>46</v>
      </c>
      <c r="D3498" s="30" t="s">
        <v>47</v>
      </c>
      <c r="E3498" s="32" t="s">
        <v>492</v>
      </c>
      <c r="F3498" s="32" t="s">
        <v>57</v>
      </c>
      <c r="G3498" s="32" t="s">
        <v>50</v>
      </c>
      <c r="H3498" s="33">
        <v>57830</v>
      </c>
      <c r="I3498" s="34">
        <f>Table3[[#This Row],[Volume, kg.]]/1000</f>
        <v>57.83</v>
      </c>
      <c r="J3498" s="34">
        <v>0.1522</v>
      </c>
      <c r="K3498" s="34">
        <f t="shared" si="108"/>
        <v>8801.7260000000006</v>
      </c>
      <c r="L3498" s="34">
        <v>2.02</v>
      </c>
      <c r="M3498" s="34">
        <v>116643.5</v>
      </c>
      <c r="N3498" s="34">
        <f t="shared" si="109"/>
        <v>13.272010512483574</v>
      </c>
    </row>
    <row r="3499" spans="1:14" x14ac:dyDescent="0.45">
      <c r="A3499" s="30">
        <v>2024</v>
      </c>
      <c r="B3499" s="30" t="s">
        <v>13</v>
      </c>
      <c r="C3499" s="30" t="s">
        <v>46</v>
      </c>
      <c r="D3499" s="30" t="s">
        <v>47</v>
      </c>
      <c r="E3499" s="32" t="s">
        <v>512</v>
      </c>
      <c r="F3499" s="32" t="s">
        <v>81</v>
      </c>
      <c r="G3499" s="32" t="s">
        <v>50</v>
      </c>
      <c r="H3499" s="33">
        <v>8680</v>
      </c>
      <c r="I3499" s="34">
        <f>Table3[[#This Row],[Volume, kg.]]/1000</f>
        <v>8.68</v>
      </c>
      <c r="J3499" s="34">
        <v>0.17399999999999999</v>
      </c>
      <c r="K3499" s="34">
        <f t="shared" si="108"/>
        <v>1510.32</v>
      </c>
      <c r="L3499" s="34">
        <v>2.12</v>
      </c>
      <c r="M3499" s="34">
        <v>18416.5</v>
      </c>
      <c r="N3499" s="34">
        <f t="shared" si="109"/>
        <v>12.183908045977013</v>
      </c>
    </row>
    <row r="3500" spans="1:14" x14ac:dyDescent="0.45">
      <c r="A3500" s="30">
        <v>2024</v>
      </c>
      <c r="B3500" s="30" t="s">
        <v>13</v>
      </c>
      <c r="C3500" s="30" t="s">
        <v>46</v>
      </c>
      <c r="D3500" s="30" t="s">
        <v>47</v>
      </c>
      <c r="E3500" s="32" t="s">
        <v>517</v>
      </c>
      <c r="F3500" s="32" t="s">
        <v>57</v>
      </c>
      <c r="G3500" s="32" t="s">
        <v>50</v>
      </c>
      <c r="H3500" s="33">
        <v>43110</v>
      </c>
      <c r="I3500" s="34">
        <f>Table3[[#This Row],[Volume, kg.]]/1000</f>
        <v>43.11</v>
      </c>
      <c r="J3500" s="34">
        <v>0.18010000000000001</v>
      </c>
      <c r="K3500" s="34">
        <f t="shared" si="108"/>
        <v>7764.1110000000008</v>
      </c>
      <c r="L3500" s="34">
        <v>2.15</v>
      </c>
      <c r="M3500" s="34">
        <v>92599.5</v>
      </c>
      <c r="N3500" s="34">
        <f t="shared" si="109"/>
        <v>11.937812326485284</v>
      </c>
    </row>
    <row r="3501" spans="1:14" x14ac:dyDescent="0.45">
      <c r="A3501" s="30">
        <v>2024</v>
      </c>
      <c r="B3501" s="30" t="s">
        <v>13</v>
      </c>
      <c r="C3501" s="30" t="s">
        <v>46</v>
      </c>
      <c r="D3501" s="30" t="s">
        <v>47</v>
      </c>
      <c r="E3501" s="32" t="s">
        <v>603</v>
      </c>
      <c r="F3501" s="32" t="s">
        <v>49</v>
      </c>
      <c r="G3501" s="32" t="s">
        <v>50</v>
      </c>
      <c r="H3501" s="33">
        <v>28760</v>
      </c>
      <c r="I3501" s="34">
        <f>Table3[[#This Row],[Volume, kg.]]/1000</f>
        <v>28.76</v>
      </c>
      <c r="J3501" s="34">
        <v>0.2021</v>
      </c>
      <c r="K3501" s="34">
        <f t="shared" si="108"/>
        <v>5812.3959999999997</v>
      </c>
      <c r="L3501" s="34">
        <v>2.2999999999999998</v>
      </c>
      <c r="M3501" s="34">
        <v>66010.5</v>
      </c>
      <c r="N3501" s="34">
        <f t="shared" si="109"/>
        <v>11.380504700643245</v>
      </c>
    </row>
    <row r="3502" spans="1:14" x14ac:dyDescent="0.45">
      <c r="A3502" s="30">
        <v>2024</v>
      </c>
      <c r="B3502" s="30" t="s">
        <v>13</v>
      </c>
      <c r="C3502" s="30" t="s">
        <v>46</v>
      </c>
      <c r="D3502" s="30" t="s">
        <v>102</v>
      </c>
      <c r="E3502" s="32" t="s">
        <v>552</v>
      </c>
      <c r="F3502" s="32" t="s">
        <v>238</v>
      </c>
      <c r="G3502" s="32" t="s">
        <v>50</v>
      </c>
      <c r="H3502" s="33">
        <v>2178370</v>
      </c>
      <c r="I3502" s="34">
        <f>Table3[[#This Row],[Volume, kg.]]/1000</f>
        <v>2178.37</v>
      </c>
      <c r="J3502" s="34">
        <v>0.15890000000000001</v>
      </c>
      <c r="K3502" s="34">
        <f t="shared" si="108"/>
        <v>346142.99300000002</v>
      </c>
      <c r="L3502" s="34">
        <v>2.0499999999999998</v>
      </c>
      <c r="M3502" s="34">
        <v>4466539.5</v>
      </c>
      <c r="N3502" s="34">
        <f t="shared" si="109"/>
        <v>12.901195720578979</v>
      </c>
    </row>
    <row r="3503" spans="1:14" x14ac:dyDescent="0.45">
      <c r="A3503" s="30">
        <v>2024</v>
      </c>
      <c r="B3503" s="30" t="s">
        <v>13</v>
      </c>
      <c r="C3503" s="30" t="s">
        <v>46</v>
      </c>
      <c r="D3503" s="30" t="s">
        <v>47</v>
      </c>
      <c r="E3503" s="32" t="s">
        <v>587</v>
      </c>
      <c r="F3503" s="32" t="s">
        <v>223</v>
      </c>
      <c r="G3503" s="32" t="s">
        <v>50</v>
      </c>
      <c r="H3503" s="33">
        <v>30840</v>
      </c>
      <c r="I3503" s="34">
        <f>Table3[[#This Row],[Volume, kg.]]/1000</f>
        <v>30.84</v>
      </c>
      <c r="J3503" s="34">
        <v>0.21609999999999999</v>
      </c>
      <c r="K3503" s="34">
        <f t="shared" si="108"/>
        <v>6664.5239999999994</v>
      </c>
      <c r="L3503" s="34">
        <v>2.34</v>
      </c>
      <c r="M3503" s="34">
        <v>72218.5</v>
      </c>
      <c r="N3503" s="34">
        <f t="shared" si="109"/>
        <v>10.828320222119389</v>
      </c>
    </row>
    <row r="3504" spans="1:14" x14ac:dyDescent="0.45">
      <c r="A3504" s="30">
        <v>2024</v>
      </c>
      <c r="B3504" s="30" t="s">
        <v>13</v>
      </c>
      <c r="C3504" s="30" t="s">
        <v>46</v>
      </c>
      <c r="D3504" s="30" t="s">
        <v>47</v>
      </c>
      <c r="E3504" s="32" t="s">
        <v>588</v>
      </c>
      <c r="F3504" s="32" t="s">
        <v>223</v>
      </c>
      <c r="G3504" s="32" t="s">
        <v>50</v>
      </c>
      <c r="H3504" s="33">
        <v>28180</v>
      </c>
      <c r="I3504" s="34">
        <f>Table3[[#This Row],[Volume, kg.]]/1000</f>
        <v>28.18</v>
      </c>
      <c r="J3504" s="34">
        <v>0.2482</v>
      </c>
      <c r="K3504" s="34">
        <f t="shared" si="108"/>
        <v>6994.2759999999998</v>
      </c>
      <c r="L3504" s="34">
        <v>2.48</v>
      </c>
      <c r="M3504" s="34">
        <v>69921</v>
      </c>
      <c r="N3504" s="34">
        <f t="shared" si="109"/>
        <v>9.9919419822723601</v>
      </c>
    </row>
    <row r="3505" spans="1:14" x14ac:dyDescent="0.45">
      <c r="A3505" s="30">
        <v>2024</v>
      </c>
      <c r="B3505" s="30" t="s">
        <v>13</v>
      </c>
      <c r="C3505" s="30" t="s">
        <v>46</v>
      </c>
      <c r="D3505" s="30" t="s">
        <v>47</v>
      </c>
      <c r="E3505" s="32" t="s">
        <v>592</v>
      </c>
      <c r="F3505" s="32" t="s">
        <v>223</v>
      </c>
      <c r="G3505" s="32" t="s">
        <v>50</v>
      </c>
      <c r="H3505" s="33">
        <v>50670</v>
      </c>
      <c r="I3505" s="34">
        <f>Table3[[#This Row],[Volume, kg.]]/1000</f>
        <v>50.67</v>
      </c>
      <c r="J3505" s="34">
        <v>0.16469999999999999</v>
      </c>
      <c r="K3505" s="34">
        <f t="shared" si="108"/>
        <v>8345.3490000000002</v>
      </c>
      <c r="L3505" s="34">
        <v>2.1</v>
      </c>
      <c r="M3505" s="34">
        <v>106517</v>
      </c>
      <c r="N3505" s="34">
        <f t="shared" si="109"/>
        <v>12.750455373406195</v>
      </c>
    </row>
    <row r="3506" spans="1:14" x14ac:dyDescent="0.45">
      <c r="A3506" s="30">
        <v>2024</v>
      </c>
      <c r="B3506" s="30" t="s">
        <v>13</v>
      </c>
      <c r="C3506" s="30" t="s">
        <v>46</v>
      </c>
      <c r="D3506" s="30" t="s">
        <v>47</v>
      </c>
      <c r="E3506" s="32" t="s">
        <v>612</v>
      </c>
      <c r="F3506" s="32" t="s">
        <v>57</v>
      </c>
      <c r="G3506" s="32" t="s">
        <v>50</v>
      </c>
      <c r="H3506" s="33">
        <v>15340</v>
      </c>
      <c r="I3506" s="34">
        <f>Table3[[#This Row],[Volume, kg.]]/1000</f>
        <v>15.34</v>
      </c>
      <c r="J3506" s="34">
        <v>0.1673</v>
      </c>
      <c r="K3506" s="34">
        <f t="shared" si="108"/>
        <v>2566.3820000000001</v>
      </c>
      <c r="L3506" s="34">
        <v>2.08</v>
      </c>
      <c r="M3506" s="34">
        <v>31867</v>
      </c>
      <c r="N3506" s="34">
        <f t="shared" si="109"/>
        <v>12.432755528989839</v>
      </c>
    </row>
    <row r="3507" spans="1:14" x14ac:dyDescent="0.45">
      <c r="A3507" s="30">
        <v>2024</v>
      </c>
      <c r="B3507" s="30" t="s">
        <v>13</v>
      </c>
      <c r="C3507" s="30" t="s">
        <v>46</v>
      </c>
      <c r="D3507" s="30" t="s">
        <v>47</v>
      </c>
      <c r="E3507" s="32" t="s">
        <v>594</v>
      </c>
      <c r="F3507" s="32" t="s">
        <v>223</v>
      </c>
      <c r="G3507" s="32" t="s">
        <v>50</v>
      </c>
      <c r="H3507" s="33">
        <v>46070</v>
      </c>
      <c r="I3507" s="34">
        <f>Table3[[#This Row],[Volume, kg.]]/1000</f>
        <v>46.07</v>
      </c>
      <c r="J3507" s="34">
        <v>0.19109999999999999</v>
      </c>
      <c r="K3507" s="34">
        <f t="shared" si="108"/>
        <v>8803.976999999999</v>
      </c>
      <c r="L3507" s="34">
        <v>2.21</v>
      </c>
      <c r="M3507" s="34">
        <v>101961.5</v>
      </c>
      <c r="N3507" s="34">
        <f t="shared" si="109"/>
        <v>11.564625850340136</v>
      </c>
    </row>
    <row r="3508" spans="1:14" x14ac:dyDescent="0.45">
      <c r="A3508" s="30">
        <v>2024</v>
      </c>
      <c r="B3508" s="30" t="s">
        <v>13</v>
      </c>
      <c r="C3508" s="30" t="s">
        <v>46</v>
      </c>
      <c r="D3508" s="30" t="s">
        <v>47</v>
      </c>
      <c r="E3508" s="32" t="s">
        <v>595</v>
      </c>
      <c r="F3508" s="32" t="s">
        <v>64</v>
      </c>
      <c r="G3508" s="32" t="s">
        <v>50</v>
      </c>
      <c r="H3508" s="33">
        <v>86960</v>
      </c>
      <c r="I3508" s="34">
        <f>Table3[[#This Row],[Volume, kg.]]/1000</f>
        <v>86.96</v>
      </c>
      <c r="J3508" s="34">
        <v>0.15229999999999999</v>
      </c>
      <c r="K3508" s="34">
        <f t="shared" si="108"/>
        <v>13244.008</v>
      </c>
      <c r="L3508" s="34">
        <v>2.0499999999999998</v>
      </c>
      <c r="M3508" s="34">
        <v>178374</v>
      </c>
      <c r="N3508" s="34">
        <f t="shared" si="109"/>
        <v>13.460275771503611</v>
      </c>
    </row>
    <row r="3509" spans="1:14" x14ac:dyDescent="0.45">
      <c r="A3509" s="30">
        <v>2024</v>
      </c>
      <c r="B3509" s="30" t="s">
        <v>13</v>
      </c>
      <c r="C3509" s="30" t="s">
        <v>46</v>
      </c>
      <c r="D3509" s="30" t="s">
        <v>47</v>
      </c>
      <c r="E3509" s="32" t="s">
        <v>613</v>
      </c>
      <c r="F3509" s="32" t="s">
        <v>134</v>
      </c>
      <c r="G3509" s="32" t="s">
        <v>50</v>
      </c>
      <c r="H3509" s="33">
        <v>8790</v>
      </c>
      <c r="I3509" s="34">
        <f>Table3[[#This Row],[Volume, kg.]]/1000</f>
        <v>8.7899999999999991</v>
      </c>
      <c r="J3509" s="34">
        <v>0.214</v>
      </c>
      <c r="K3509" s="34">
        <f t="shared" si="108"/>
        <v>1881.06</v>
      </c>
      <c r="L3509" s="34">
        <v>2.2999999999999998</v>
      </c>
      <c r="M3509" s="34">
        <v>20217</v>
      </c>
      <c r="N3509" s="34">
        <f t="shared" si="109"/>
        <v>10.747663551401869</v>
      </c>
    </row>
    <row r="3510" spans="1:14" x14ac:dyDescent="0.45">
      <c r="A3510" s="30">
        <v>2024</v>
      </c>
      <c r="B3510" s="30" t="s">
        <v>13</v>
      </c>
      <c r="C3510" s="30" t="s">
        <v>46</v>
      </c>
      <c r="D3510" s="30" t="s">
        <v>47</v>
      </c>
      <c r="E3510" s="32" t="s">
        <v>607</v>
      </c>
      <c r="F3510" s="32" t="s">
        <v>81</v>
      </c>
      <c r="G3510" s="32" t="s">
        <v>50</v>
      </c>
      <c r="H3510" s="33">
        <v>240</v>
      </c>
      <c r="I3510" s="34">
        <f>Table3[[#This Row],[Volume, kg.]]/1000</f>
        <v>0.24</v>
      </c>
      <c r="J3510" s="34">
        <v>0.1075</v>
      </c>
      <c r="K3510" s="34">
        <f t="shared" si="108"/>
        <v>25.8</v>
      </c>
      <c r="L3510" s="34">
        <v>1.85</v>
      </c>
      <c r="M3510" s="34">
        <v>444</v>
      </c>
      <c r="N3510" s="34">
        <f t="shared" si="109"/>
        <v>17.209302325581397</v>
      </c>
    </row>
    <row r="3511" spans="1:14" x14ac:dyDescent="0.45">
      <c r="A3511" s="30">
        <v>2024</v>
      </c>
      <c r="B3511" s="30" t="s">
        <v>13</v>
      </c>
      <c r="C3511" s="30" t="s">
        <v>46</v>
      </c>
      <c r="D3511" s="30" t="s">
        <v>47</v>
      </c>
      <c r="E3511" s="32" t="s">
        <v>628</v>
      </c>
      <c r="F3511" s="32" t="s">
        <v>54</v>
      </c>
      <c r="G3511" s="32" t="s">
        <v>50</v>
      </c>
      <c r="H3511" s="33">
        <v>12120</v>
      </c>
      <c r="I3511" s="34">
        <f>Table3[[#This Row],[Volume, kg.]]/1000</f>
        <v>12.12</v>
      </c>
      <c r="J3511" s="34">
        <v>0.193</v>
      </c>
      <c r="K3511" s="34">
        <f t="shared" si="108"/>
        <v>2339.16</v>
      </c>
      <c r="L3511" s="34">
        <v>2.2000000000000002</v>
      </c>
      <c r="M3511" s="34">
        <v>26664</v>
      </c>
      <c r="N3511" s="34">
        <f t="shared" si="109"/>
        <v>11.39896373056995</v>
      </c>
    </row>
    <row r="3512" spans="1:14" x14ac:dyDescent="0.45">
      <c r="A3512" s="30">
        <v>2024</v>
      </c>
      <c r="B3512" s="30" t="s">
        <v>13</v>
      </c>
      <c r="C3512" s="30" t="s">
        <v>46</v>
      </c>
      <c r="D3512" s="30" t="s">
        <v>47</v>
      </c>
      <c r="E3512" s="32" t="s">
        <v>620</v>
      </c>
      <c r="F3512" s="32" t="s">
        <v>134</v>
      </c>
      <c r="G3512" s="32" t="s">
        <v>50</v>
      </c>
      <c r="H3512" s="33">
        <v>101700</v>
      </c>
      <c r="I3512" s="34">
        <f>Table3[[#This Row],[Volume, kg.]]/1000</f>
        <v>101.7</v>
      </c>
      <c r="J3512" s="34">
        <v>0.16159999999999999</v>
      </c>
      <c r="K3512" s="34">
        <f t="shared" si="108"/>
        <v>16434.72</v>
      </c>
      <c r="L3512" s="34">
        <v>2.0699999999999998</v>
      </c>
      <c r="M3512" s="34">
        <v>210909</v>
      </c>
      <c r="N3512" s="34">
        <f t="shared" si="109"/>
        <v>12.809405940594059</v>
      </c>
    </row>
    <row r="3513" spans="1:14" x14ac:dyDescent="0.45">
      <c r="A3513" s="30">
        <v>2024</v>
      </c>
      <c r="B3513" s="30" t="s">
        <v>13</v>
      </c>
      <c r="C3513" s="30" t="s">
        <v>46</v>
      </c>
      <c r="D3513" s="30" t="s">
        <v>47</v>
      </c>
      <c r="E3513" s="32" t="s">
        <v>659</v>
      </c>
      <c r="F3513" s="32" t="s">
        <v>49</v>
      </c>
      <c r="G3513" s="32" t="s">
        <v>50</v>
      </c>
      <c r="H3513" s="33">
        <v>21350</v>
      </c>
      <c r="I3513" s="34">
        <f>Table3[[#This Row],[Volume, kg.]]/1000</f>
        <v>21.35</v>
      </c>
      <c r="J3513" s="34">
        <v>0.19039999999999999</v>
      </c>
      <c r="K3513" s="34">
        <f t="shared" si="108"/>
        <v>4065.0399999999995</v>
      </c>
      <c r="L3513" s="34">
        <v>2.21</v>
      </c>
      <c r="M3513" s="34">
        <v>47152.5</v>
      </c>
      <c r="N3513" s="34">
        <f t="shared" si="109"/>
        <v>11.607142857142858</v>
      </c>
    </row>
    <row r="3514" spans="1:14" x14ac:dyDescent="0.45">
      <c r="A3514" s="30">
        <v>2024</v>
      </c>
      <c r="B3514" s="30" t="s">
        <v>13</v>
      </c>
      <c r="C3514" s="30" t="s">
        <v>46</v>
      </c>
      <c r="D3514" s="30" t="s">
        <v>47</v>
      </c>
      <c r="E3514" s="32" t="s">
        <v>644</v>
      </c>
      <c r="F3514" s="32" t="s">
        <v>57</v>
      </c>
      <c r="G3514" s="32" t="s">
        <v>50</v>
      </c>
      <c r="H3514" s="33">
        <v>33920</v>
      </c>
      <c r="I3514" s="34">
        <f>Table3[[#This Row],[Volume, kg.]]/1000</f>
        <v>33.92</v>
      </c>
      <c r="J3514" s="34">
        <v>0.15079999999999999</v>
      </c>
      <c r="K3514" s="34">
        <f t="shared" si="108"/>
        <v>5115.1359999999995</v>
      </c>
      <c r="L3514" s="34">
        <v>2.02</v>
      </c>
      <c r="M3514" s="34">
        <v>68389</v>
      </c>
      <c r="N3514" s="34">
        <f t="shared" si="109"/>
        <v>13.395225464190982</v>
      </c>
    </row>
    <row r="3515" spans="1:14" x14ac:dyDescent="0.45">
      <c r="A3515" s="30">
        <v>2024</v>
      </c>
      <c r="B3515" s="30" t="s">
        <v>13</v>
      </c>
      <c r="C3515" s="30" t="s">
        <v>46</v>
      </c>
      <c r="D3515" s="30" t="s">
        <v>47</v>
      </c>
      <c r="E3515" s="32" t="s">
        <v>648</v>
      </c>
      <c r="F3515" s="32" t="s">
        <v>57</v>
      </c>
      <c r="G3515" s="32" t="s">
        <v>50</v>
      </c>
      <c r="H3515" s="33">
        <v>47740</v>
      </c>
      <c r="I3515" s="34">
        <f>Table3[[#This Row],[Volume, kg.]]/1000</f>
        <v>47.74</v>
      </c>
      <c r="J3515" s="34">
        <v>0.15279999999999999</v>
      </c>
      <c r="K3515" s="34">
        <f t="shared" si="108"/>
        <v>7294.6719999999996</v>
      </c>
      <c r="L3515" s="34">
        <v>2.04</v>
      </c>
      <c r="M3515" s="34">
        <v>97287.5</v>
      </c>
      <c r="N3515" s="34">
        <f t="shared" si="109"/>
        <v>13.350785340314138</v>
      </c>
    </row>
    <row r="3516" spans="1:14" x14ac:dyDescent="0.45">
      <c r="A3516" s="30">
        <v>2024</v>
      </c>
      <c r="B3516" s="30" t="s">
        <v>13</v>
      </c>
      <c r="C3516" s="30" t="s">
        <v>46</v>
      </c>
      <c r="D3516" s="30" t="s">
        <v>47</v>
      </c>
      <c r="E3516" s="32" t="s">
        <v>650</v>
      </c>
      <c r="F3516" s="32" t="s">
        <v>238</v>
      </c>
      <c r="G3516" s="32" t="s">
        <v>50</v>
      </c>
      <c r="H3516" s="33">
        <v>29980</v>
      </c>
      <c r="I3516" s="34">
        <f>Table3[[#This Row],[Volume, kg.]]/1000</f>
        <v>29.98</v>
      </c>
      <c r="J3516" s="34">
        <v>0.13390000000000002</v>
      </c>
      <c r="K3516" s="34">
        <f t="shared" si="108"/>
        <v>4014.3220000000006</v>
      </c>
      <c r="L3516" s="34">
        <v>1.92</v>
      </c>
      <c r="M3516" s="34">
        <v>57647.5</v>
      </c>
      <c r="N3516" s="34">
        <f t="shared" si="109"/>
        <v>14.339058999253172</v>
      </c>
    </row>
    <row r="3517" spans="1:14" x14ac:dyDescent="0.45">
      <c r="A3517" s="30">
        <v>2024</v>
      </c>
      <c r="B3517" s="30" t="s">
        <v>13</v>
      </c>
      <c r="C3517" s="30" t="s">
        <v>46</v>
      </c>
      <c r="D3517" s="30" t="s">
        <v>47</v>
      </c>
      <c r="E3517" s="32" t="s">
        <v>651</v>
      </c>
      <c r="F3517" s="32" t="s">
        <v>223</v>
      </c>
      <c r="G3517" s="32" t="s">
        <v>50</v>
      </c>
      <c r="H3517" s="33">
        <v>59800</v>
      </c>
      <c r="I3517" s="34">
        <f>Table3[[#This Row],[Volume, kg.]]/1000</f>
        <v>59.8</v>
      </c>
      <c r="J3517" s="34">
        <v>0.16920000000000002</v>
      </c>
      <c r="K3517" s="34">
        <f t="shared" si="108"/>
        <v>10118.160000000002</v>
      </c>
      <c r="L3517" s="34">
        <v>2.1</v>
      </c>
      <c r="M3517" s="34">
        <v>125586.5</v>
      </c>
      <c r="N3517" s="34">
        <f t="shared" si="109"/>
        <v>12.411347517730496</v>
      </c>
    </row>
    <row r="3518" spans="1:14" x14ac:dyDescent="0.45">
      <c r="A3518" s="30">
        <v>2024</v>
      </c>
      <c r="B3518" s="30" t="s">
        <v>13</v>
      </c>
      <c r="C3518" s="30" t="s">
        <v>46</v>
      </c>
      <c r="D3518" s="30" t="s">
        <v>47</v>
      </c>
      <c r="E3518" s="32" t="s">
        <v>653</v>
      </c>
      <c r="F3518" s="32" t="s">
        <v>60</v>
      </c>
      <c r="G3518" s="32" t="s">
        <v>50</v>
      </c>
      <c r="H3518" s="33">
        <v>35660</v>
      </c>
      <c r="I3518" s="34">
        <f>Table3[[#This Row],[Volume, kg.]]/1000</f>
        <v>35.659999999999997</v>
      </c>
      <c r="J3518" s="34">
        <v>0.1459</v>
      </c>
      <c r="K3518" s="34">
        <f t="shared" si="108"/>
        <v>5202.7939999999999</v>
      </c>
      <c r="L3518" s="34">
        <v>1.99</v>
      </c>
      <c r="M3518" s="34">
        <v>70990</v>
      </c>
      <c r="N3518" s="34">
        <f t="shared" si="109"/>
        <v>13.639479095270733</v>
      </c>
    </row>
    <row r="3519" spans="1:14" x14ac:dyDescent="0.45">
      <c r="A3519" s="30">
        <v>2024</v>
      </c>
      <c r="B3519" s="30" t="s">
        <v>13</v>
      </c>
      <c r="C3519" s="30" t="s">
        <v>46</v>
      </c>
      <c r="D3519" s="30" t="s">
        <v>47</v>
      </c>
      <c r="E3519" s="32" t="s">
        <v>660</v>
      </c>
      <c r="F3519" s="32" t="s">
        <v>281</v>
      </c>
      <c r="G3519" s="32" t="s">
        <v>50</v>
      </c>
      <c r="H3519" s="33">
        <v>12900</v>
      </c>
      <c r="I3519" s="34">
        <f>Table3[[#This Row],[Volume, kg.]]/1000</f>
        <v>12.9</v>
      </c>
      <c r="J3519" s="34">
        <v>0.17899999999999999</v>
      </c>
      <c r="K3519" s="34">
        <f t="shared" si="108"/>
        <v>2309.1</v>
      </c>
      <c r="L3519" s="34">
        <v>2.15</v>
      </c>
      <c r="M3519" s="34">
        <v>27735</v>
      </c>
      <c r="N3519" s="34">
        <f t="shared" si="109"/>
        <v>12.011173184357542</v>
      </c>
    </row>
    <row r="3520" spans="1:14" x14ac:dyDescent="0.45">
      <c r="A3520" s="30">
        <v>2024</v>
      </c>
      <c r="B3520" s="30" t="s">
        <v>13</v>
      </c>
      <c r="C3520" s="30" t="s">
        <v>46</v>
      </c>
      <c r="D3520" s="30" t="s">
        <v>47</v>
      </c>
      <c r="E3520" s="32" t="s">
        <v>661</v>
      </c>
      <c r="F3520" s="32" t="s">
        <v>281</v>
      </c>
      <c r="G3520" s="32" t="s">
        <v>50</v>
      </c>
      <c r="H3520" s="33">
        <v>22070</v>
      </c>
      <c r="I3520" s="34">
        <f>Table3[[#This Row],[Volume, kg.]]/1000</f>
        <v>22.07</v>
      </c>
      <c r="J3520" s="34">
        <v>0.20170000000000002</v>
      </c>
      <c r="K3520" s="34">
        <f t="shared" si="108"/>
        <v>4451.5190000000002</v>
      </c>
      <c r="L3520" s="34">
        <v>2.2799999999999998</v>
      </c>
      <c r="M3520" s="34">
        <v>50225.5</v>
      </c>
      <c r="N3520" s="34">
        <f t="shared" si="109"/>
        <v>11.30391670798215</v>
      </c>
    </row>
    <row r="3521" spans="1:14" x14ac:dyDescent="0.45">
      <c r="A3521" s="30">
        <v>2024</v>
      </c>
      <c r="B3521" s="30" t="s">
        <v>13</v>
      </c>
      <c r="C3521" s="30" t="s">
        <v>46</v>
      </c>
      <c r="D3521" s="30" t="s">
        <v>47</v>
      </c>
      <c r="E3521" s="32" t="s">
        <v>662</v>
      </c>
      <c r="F3521" s="32" t="s">
        <v>57</v>
      </c>
      <c r="G3521" s="32" t="s">
        <v>50</v>
      </c>
      <c r="H3521" s="33">
        <v>33590</v>
      </c>
      <c r="I3521" s="34">
        <f>Table3[[#This Row],[Volume, kg.]]/1000</f>
        <v>33.590000000000003</v>
      </c>
      <c r="J3521" s="34">
        <v>0.20699999999999999</v>
      </c>
      <c r="K3521" s="34">
        <f t="shared" si="108"/>
        <v>6953.1299999999992</v>
      </c>
      <c r="L3521" s="34">
        <v>2.2799999999999998</v>
      </c>
      <c r="M3521" s="34">
        <v>76444</v>
      </c>
      <c r="N3521" s="34">
        <f t="shared" si="109"/>
        <v>11.014492753623188</v>
      </c>
    </row>
    <row r="3522" spans="1:14" x14ac:dyDescent="0.45">
      <c r="A3522" s="30">
        <v>2024</v>
      </c>
      <c r="B3522" s="30" t="s">
        <v>13</v>
      </c>
      <c r="C3522" s="30" t="s">
        <v>46</v>
      </c>
      <c r="D3522" s="30" t="s">
        <v>47</v>
      </c>
      <c r="E3522" s="32" t="s">
        <v>663</v>
      </c>
      <c r="F3522" s="32" t="s">
        <v>49</v>
      </c>
      <c r="G3522" s="32" t="s">
        <v>50</v>
      </c>
      <c r="H3522" s="33">
        <v>9810</v>
      </c>
      <c r="I3522" s="34">
        <f>Table3[[#This Row],[Volume, kg.]]/1000</f>
        <v>9.81</v>
      </c>
      <c r="J3522" s="34">
        <v>0.1457</v>
      </c>
      <c r="K3522" s="34">
        <f t="shared" si="108"/>
        <v>1429.317</v>
      </c>
      <c r="L3522" s="34">
        <v>2</v>
      </c>
      <c r="M3522" s="34">
        <v>19620</v>
      </c>
      <c r="N3522" s="34">
        <f t="shared" si="109"/>
        <v>13.726835964310228</v>
      </c>
    </row>
    <row r="3523" spans="1:14" x14ac:dyDescent="0.45">
      <c r="A3523" s="30">
        <v>2024</v>
      </c>
      <c r="B3523" s="30" t="s">
        <v>13</v>
      </c>
      <c r="C3523" s="30" t="s">
        <v>46</v>
      </c>
      <c r="D3523" s="30" t="s">
        <v>47</v>
      </c>
      <c r="E3523" s="32" t="s">
        <v>664</v>
      </c>
      <c r="F3523" s="32" t="s">
        <v>114</v>
      </c>
      <c r="G3523" s="32" t="s">
        <v>108</v>
      </c>
      <c r="H3523" s="33">
        <v>8960</v>
      </c>
      <c r="I3523" s="34">
        <f>Table3[[#This Row],[Volume, kg.]]/1000</f>
        <v>8.9600000000000009</v>
      </c>
      <c r="J3523" s="34">
        <v>0.19329999999999997</v>
      </c>
      <c r="K3523" s="34">
        <f t="shared" ref="K3523:K3586" si="110">H3523*J3523</f>
        <v>1731.9679999999998</v>
      </c>
      <c r="L3523" s="34">
        <v>2.2200000000000002</v>
      </c>
      <c r="M3523" s="34">
        <v>19908.5</v>
      </c>
      <c r="N3523" s="34">
        <f t="shared" si="109"/>
        <v>11.484738748060012</v>
      </c>
    </row>
    <row r="3524" spans="1:14" x14ac:dyDescent="0.45">
      <c r="A3524" s="30">
        <v>2024</v>
      </c>
      <c r="B3524" s="30" t="s">
        <v>13</v>
      </c>
      <c r="C3524" s="30" t="s">
        <v>46</v>
      </c>
      <c r="D3524" s="30" t="s">
        <v>102</v>
      </c>
      <c r="E3524" s="32" t="s">
        <v>665</v>
      </c>
      <c r="F3524" s="32" t="s">
        <v>487</v>
      </c>
      <c r="G3524" s="32" t="s">
        <v>341</v>
      </c>
      <c r="H3524" s="33">
        <v>536150</v>
      </c>
      <c r="I3524" s="34">
        <f>Table3[[#This Row],[Volume, kg.]]/1000</f>
        <v>536.15</v>
      </c>
      <c r="J3524" s="34">
        <v>0.1686</v>
      </c>
      <c r="K3524" s="34">
        <f t="shared" si="110"/>
        <v>90394.89</v>
      </c>
      <c r="L3524" s="34">
        <v>2.09</v>
      </c>
      <c r="M3524" s="34">
        <v>1121939.5</v>
      </c>
      <c r="N3524" s="34">
        <f t="shared" ref="N3524:N3587" si="111">L3524/J3524</f>
        <v>12.396204033214708</v>
      </c>
    </row>
    <row r="3525" spans="1:14" x14ac:dyDescent="0.45">
      <c r="A3525" s="30">
        <v>2024</v>
      </c>
      <c r="B3525" s="30" t="s">
        <v>14</v>
      </c>
      <c r="C3525" s="30" t="s">
        <v>46</v>
      </c>
      <c r="D3525" s="30" t="s">
        <v>102</v>
      </c>
      <c r="E3525" s="32" t="s">
        <v>239</v>
      </c>
      <c r="F3525" s="32" t="s">
        <v>240</v>
      </c>
      <c r="G3525" s="32" t="s">
        <v>50</v>
      </c>
      <c r="H3525" s="33">
        <v>350</v>
      </c>
      <c r="I3525" s="34">
        <f>Table3[[#This Row],[Volume, kg.]]/1000</f>
        <v>0.35</v>
      </c>
      <c r="J3525" s="34">
        <v>0.17449999999999999</v>
      </c>
      <c r="K3525" s="34">
        <f t="shared" si="110"/>
        <v>61.074999999999996</v>
      </c>
      <c r="L3525" s="34">
        <v>2.2000000000000002</v>
      </c>
      <c r="M3525" s="34">
        <v>770</v>
      </c>
      <c r="N3525" s="34">
        <f t="shared" si="111"/>
        <v>12.607449856733526</v>
      </c>
    </row>
    <row r="3526" spans="1:14" x14ac:dyDescent="0.45">
      <c r="A3526" s="30">
        <v>2024</v>
      </c>
      <c r="B3526" s="30" t="s">
        <v>14</v>
      </c>
      <c r="C3526" s="30" t="s">
        <v>46</v>
      </c>
      <c r="D3526" s="30" t="s">
        <v>102</v>
      </c>
      <c r="E3526" s="32" t="s">
        <v>188</v>
      </c>
      <c r="F3526" s="32" t="s">
        <v>189</v>
      </c>
      <c r="G3526" s="32" t="s">
        <v>128</v>
      </c>
      <c r="H3526" s="33">
        <v>81120</v>
      </c>
      <c r="I3526" s="34">
        <f>Table3[[#This Row],[Volume, kg.]]/1000</f>
        <v>81.12</v>
      </c>
      <c r="J3526" s="34">
        <v>0.18160000000000001</v>
      </c>
      <c r="K3526" s="34">
        <f t="shared" si="110"/>
        <v>14731.392000000002</v>
      </c>
      <c r="L3526" s="34">
        <v>2.2999999999999998</v>
      </c>
      <c r="M3526" s="34">
        <v>186225</v>
      </c>
      <c r="N3526" s="34">
        <f t="shared" si="111"/>
        <v>12.665198237885461</v>
      </c>
    </row>
    <row r="3527" spans="1:14" x14ac:dyDescent="0.45">
      <c r="A3527" s="30">
        <v>2024</v>
      </c>
      <c r="B3527" s="30" t="s">
        <v>14</v>
      </c>
      <c r="C3527" s="30" t="s">
        <v>46</v>
      </c>
      <c r="D3527" s="30" t="s">
        <v>47</v>
      </c>
      <c r="E3527" s="32" t="s">
        <v>138</v>
      </c>
      <c r="F3527" s="32" t="s">
        <v>49</v>
      </c>
      <c r="G3527" s="32" t="s">
        <v>50</v>
      </c>
      <c r="H3527" s="33">
        <v>7050</v>
      </c>
      <c r="I3527" s="34">
        <f>Table3[[#This Row],[Volume, kg.]]/1000</f>
        <v>7.05</v>
      </c>
      <c r="J3527" s="34">
        <v>0.23550000000000001</v>
      </c>
      <c r="K3527" s="34">
        <f t="shared" si="110"/>
        <v>1660.2750000000001</v>
      </c>
      <c r="L3527" s="34">
        <v>2.5</v>
      </c>
      <c r="M3527" s="34">
        <v>17625</v>
      </c>
      <c r="N3527" s="34">
        <f t="shared" si="111"/>
        <v>10.615711252653927</v>
      </c>
    </row>
    <row r="3528" spans="1:14" x14ac:dyDescent="0.45">
      <c r="A3528" s="30">
        <v>2024</v>
      </c>
      <c r="B3528" s="30" t="s">
        <v>14</v>
      </c>
      <c r="C3528" s="30" t="s">
        <v>46</v>
      </c>
      <c r="D3528" s="30" t="s">
        <v>47</v>
      </c>
      <c r="E3528" s="32" t="s">
        <v>232</v>
      </c>
      <c r="F3528" s="32" t="s">
        <v>49</v>
      </c>
      <c r="G3528" s="32" t="s">
        <v>50</v>
      </c>
      <c r="H3528" s="33">
        <v>42320</v>
      </c>
      <c r="I3528" s="34">
        <f>Table3[[#This Row],[Volume, kg.]]/1000</f>
        <v>42.32</v>
      </c>
      <c r="J3528" s="34">
        <v>0.2024</v>
      </c>
      <c r="K3528" s="34">
        <f t="shared" si="110"/>
        <v>8565.5679999999993</v>
      </c>
      <c r="L3528" s="34">
        <v>2.2000000000000002</v>
      </c>
      <c r="M3528" s="34">
        <v>93045.5</v>
      </c>
      <c r="N3528" s="34">
        <f t="shared" si="111"/>
        <v>10.869565217391305</v>
      </c>
    </row>
    <row r="3529" spans="1:14" x14ac:dyDescent="0.45">
      <c r="A3529" s="30">
        <v>2024</v>
      </c>
      <c r="B3529" s="30" t="s">
        <v>14</v>
      </c>
      <c r="C3529" s="30" t="s">
        <v>46</v>
      </c>
      <c r="D3529" s="30" t="s">
        <v>47</v>
      </c>
      <c r="E3529" s="32" t="s">
        <v>213</v>
      </c>
      <c r="F3529" s="32" t="s">
        <v>49</v>
      </c>
      <c r="G3529" s="32" t="s">
        <v>50</v>
      </c>
      <c r="H3529" s="33">
        <v>176400</v>
      </c>
      <c r="I3529" s="34">
        <f>Table3[[#This Row],[Volume, kg.]]/1000</f>
        <v>176.4</v>
      </c>
      <c r="J3529" s="34">
        <v>0.20960000000000001</v>
      </c>
      <c r="K3529" s="34">
        <f t="shared" si="110"/>
        <v>36973.440000000002</v>
      </c>
      <c r="L3529" s="34">
        <v>2.31</v>
      </c>
      <c r="M3529" s="34">
        <v>408160.5</v>
      </c>
      <c r="N3529" s="34">
        <f t="shared" si="111"/>
        <v>11.020992366412214</v>
      </c>
    </row>
    <row r="3530" spans="1:14" x14ac:dyDescent="0.45">
      <c r="A3530" s="30">
        <v>2024</v>
      </c>
      <c r="B3530" s="30" t="s">
        <v>14</v>
      </c>
      <c r="C3530" s="30" t="s">
        <v>46</v>
      </c>
      <c r="D3530" s="30" t="s">
        <v>47</v>
      </c>
      <c r="E3530" s="32" t="s">
        <v>69</v>
      </c>
      <c r="F3530" s="32" t="s">
        <v>49</v>
      </c>
      <c r="G3530" s="32" t="s">
        <v>50</v>
      </c>
      <c r="H3530" s="33">
        <v>125390</v>
      </c>
      <c r="I3530" s="34">
        <f>Table3[[#This Row],[Volume, kg.]]/1000</f>
        <v>125.39</v>
      </c>
      <c r="J3530" s="34">
        <v>0.1953</v>
      </c>
      <c r="K3530" s="34">
        <f t="shared" si="110"/>
        <v>24488.667000000001</v>
      </c>
      <c r="L3530" s="34">
        <v>2.21</v>
      </c>
      <c r="M3530" s="34">
        <v>276655.5</v>
      </c>
      <c r="N3530" s="34">
        <f t="shared" si="111"/>
        <v>11.315924219150025</v>
      </c>
    </row>
    <row r="3531" spans="1:14" x14ac:dyDescent="0.45">
      <c r="A3531" s="30">
        <v>2024</v>
      </c>
      <c r="B3531" s="30" t="s">
        <v>14</v>
      </c>
      <c r="C3531" s="30" t="s">
        <v>46</v>
      </c>
      <c r="D3531" s="30" t="s">
        <v>47</v>
      </c>
      <c r="E3531" s="32" t="s">
        <v>326</v>
      </c>
      <c r="F3531" s="32" t="s">
        <v>57</v>
      </c>
      <c r="G3531" s="32" t="s">
        <v>50</v>
      </c>
      <c r="H3531" s="33">
        <v>17920</v>
      </c>
      <c r="I3531" s="34">
        <f>Table3[[#This Row],[Volume, kg.]]/1000</f>
        <v>17.920000000000002</v>
      </c>
      <c r="J3531" s="34">
        <v>0.2072</v>
      </c>
      <c r="K3531" s="34">
        <f t="shared" si="110"/>
        <v>3713.0239999999999</v>
      </c>
      <c r="L3531" s="34">
        <v>2.35</v>
      </c>
      <c r="M3531" s="34">
        <v>42061.5</v>
      </c>
      <c r="N3531" s="34">
        <f t="shared" si="111"/>
        <v>11.341698841698843</v>
      </c>
    </row>
    <row r="3532" spans="1:14" x14ac:dyDescent="0.45">
      <c r="A3532" s="30">
        <v>2024</v>
      </c>
      <c r="B3532" s="30" t="s">
        <v>14</v>
      </c>
      <c r="C3532" s="30" t="s">
        <v>46</v>
      </c>
      <c r="D3532" s="30" t="s">
        <v>47</v>
      </c>
      <c r="E3532" s="32" t="s">
        <v>201</v>
      </c>
      <c r="F3532" s="32" t="s">
        <v>49</v>
      </c>
      <c r="G3532" s="32" t="s">
        <v>50</v>
      </c>
      <c r="H3532" s="33">
        <v>88630</v>
      </c>
      <c r="I3532" s="34">
        <f>Table3[[#This Row],[Volume, kg.]]/1000</f>
        <v>88.63</v>
      </c>
      <c r="J3532" s="34">
        <v>0.21289999999999998</v>
      </c>
      <c r="K3532" s="34">
        <f t="shared" si="110"/>
        <v>18869.326999999997</v>
      </c>
      <c r="L3532" s="34">
        <v>2.31</v>
      </c>
      <c r="M3532" s="34">
        <v>204930</v>
      </c>
      <c r="N3532" s="34">
        <f t="shared" si="111"/>
        <v>10.85016439643025</v>
      </c>
    </row>
    <row r="3533" spans="1:14" x14ac:dyDescent="0.45">
      <c r="A3533" s="30">
        <v>2024</v>
      </c>
      <c r="B3533" s="30" t="s">
        <v>14</v>
      </c>
      <c r="C3533" s="30" t="s">
        <v>46</v>
      </c>
      <c r="D3533" s="30" t="s">
        <v>47</v>
      </c>
      <c r="E3533" s="32" t="s">
        <v>381</v>
      </c>
      <c r="F3533" s="32" t="s">
        <v>49</v>
      </c>
      <c r="G3533" s="32" t="s">
        <v>50</v>
      </c>
      <c r="H3533" s="33">
        <v>65890</v>
      </c>
      <c r="I3533" s="34">
        <f>Table3[[#This Row],[Volume, kg.]]/1000</f>
        <v>65.89</v>
      </c>
      <c r="J3533" s="34">
        <v>0.20079999999999998</v>
      </c>
      <c r="K3533" s="34">
        <f t="shared" si="110"/>
        <v>13230.711999999998</v>
      </c>
      <c r="L3533" s="34">
        <v>2.2799999999999998</v>
      </c>
      <c r="M3533" s="34">
        <v>150272</v>
      </c>
      <c r="N3533" s="34">
        <f t="shared" si="111"/>
        <v>11.354581673306773</v>
      </c>
    </row>
    <row r="3534" spans="1:14" x14ac:dyDescent="0.45">
      <c r="A3534" s="30">
        <v>2024</v>
      </c>
      <c r="B3534" s="30" t="s">
        <v>14</v>
      </c>
      <c r="C3534" s="30" t="s">
        <v>46</v>
      </c>
      <c r="D3534" s="30" t="s">
        <v>47</v>
      </c>
      <c r="E3534" s="32" t="s">
        <v>382</v>
      </c>
      <c r="F3534" s="32" t="s">
        <v>60</v>
      </c>
      <c r="G3534" s="32" t="s">
        <v>50</v>
      </c>
      <c r="H3534" s="33">
        <v>14530</v>
      </c>
      <c r="I3534" s="34">
        <f>Table3[[#This Row],[Volume, kg.]]/1000</f>
        <v>14.53</v>
      </c>
      <c r="J3534" s="34">
        <v>0.19719999999999999</v>
      </c>
      <c r="K3534" s="34">
        <f t="shared" si="110"/>
        <v>2865.3159999999998</v>
      </c>
      <c r="L3534" s="34">
        <v>2.09</v>
      </c>
      <c r="M3534" s="34">
        <v>30301</v>
      </c>
      <c r="N3534" s="34">
        <f t="shared" si="111"/>
        <v>10.598377281947261</v>
      </c>
    </row>
    <row r="3535" spans="1:14" x14ac:dyDescent="0.45">
      <c r="A3535" s="30">
        <v>2024</v>
      </c>
      <c r="B3535" s="30" t="s">
        <v>14</v>
      </c>
      <c r="C3535" s="30" t="s">
        <v>46</v>
      </c>
      <c r="D3535" s="30" t="s">
        <v>47</v>
      </c>
      <c r="E3535" s="32" t="s">
        <v>149</v>
      </c>
      <c r="F3535" s="32" t="s">
        <v>49</v>
      </c>
      <c r="G3535" s="32" t="s">
        <v>50</v>
      </c>
      <c r="H3535" s="33">
        <v>33950</v>
      </c>
      <c r="I3535" s="34">
        <f>Table3[[#This Row],[Volume, kg.]]/1000</f>
        <v>33.950000000000003</v>
      </c>
      <c r="J3535" s="34">
        <v>0.22570000000000001</v>
      </c>
      <c r="K3535" s="34">
        <f t="shared" si="110"/>
        <v>7662.5150000000003</v>
      </c>
      <c r="L3535" s="34">
        <v>2.34</v>
      </c>
      <c r="M3535" s="34">
        <v>79579.5</v>
      </c>
      <c r="N3535" s="34">
        <f t="shared" si="111"/>
        <v>10.367744793974301</v>
      </c>
    </row>
    <row r="3536" spans="1:14" x14ac:dyDescent="0.45">
      <c r="A3536" s="30">
        <v>2024</v>
      </c>
      <c r="B3536" s="30" t="s">
        <v>14</v>
      </c>
      <c r="C3536" s="30" t="s">
        <v>46</v>
      </c>
      <c r="D3536" s="30" t="s">
        <v>47</v>
      </c>
      <c r="E3536" s="32" t="s">
        <v>493</v>
      </c>
      <c r="F3536" s="32" t="s">
        <v>49</v>
      </c>
      <c r="G3536" s="32" t="s">
        <v>50</v>
      </c>
      <c r="H3536" s="33">
        <v>5930</v>
      </c>
      <c r="I3536" s="34">
        <f>Table3[[#This Row],[Volume, kg.]]/1000</f>
        <v>5.93</v>
      </c>
      <c r="J3536" s="34">
        <v>0.19149999999999998</v>
      </c>
      <c r="K3536" s="34">
        <f t="shared" si="110"/>
        <v>1135.5949999999998</v>
      </c>
      <c r="L3536" s="34">
        <v>2.2000000000000002</v>
      </c>
      <c r="M3536" s="34">
        <v>13046</v>
      </c>
      <c r="N3536" s="34">
        <f t="shared" si="111"/>
        <v>11.488250652741517</v>
      </c>
    </row>
    <row r="3537" spans="1:14" x14ac:dyDescent="0.45">
      <c r="A3537" s="30">
        <v>2024</v>
      </c>
      <c r="B3537" s="30" t="s">
        <v>14</v>
      </c>
      <c r="C3537" s="30" t="s">
        <v>46</v>
      </c>
      <c r="D3537" s="30" t="s">
        <v>47</v>
      </c>
      <c r="E3537" s="32" t="s">
        <v>208</v>
      </c>
      <c r="F3537" s="32" t="s">
        <v>49</v>
      </c>
      <c r="G3537" s="32" t="s">
        <v>50</v>
      </c>
      <c r="H3537" s="33">
        <v>58440</v>
      </c>
      <c r="I3537" s="34">
        <f>Table3[[#This Row],[Volume, kg.]]/1000</f>
        <v>58.44</v>
      </c>
      <c r="J3537" s="34">
        <v>0.21059999999999998</v>
      </c>
      <c r="K3537" s="34">
        <f t="shared" si="110"/>
        <v>12307.463999999998</v>
      </c>
      <c r="L3537" s="34">
        <v>2.34</v>
      </c>
      <c r="M3537" s="34">
        <v>136651</v>
      </c>
      <c r="N3537" s="34">
        <f t="shared" si="111"/>
        <v>11.111111111111111</v>
      </c>
    </row>
    <row r="3538" spans="1:14" x14ac:dyDescent="0.45">
      <c r="A3538" s="30">
        <v>2024</v>
      </c>
      <c r="B3538" s="30" t="s">
        <v>14</v>
      </c>
      <c r="C3538" s="30" t="s">
        <v>46</v>
      </c>
      <c r="D3538" s="30" t="s">
        <v>47</v>
      </c>
      <c r="E3538" s="32" t="s">
        <v>71</v>
      </c>
      <c r="F3538" s="32" t="s">
        <v>49</v>
      </c>
      <c r="G3538" s="32" t="s">
        <v>50</v>
      </c>
      <c r="H3538" s="33">
        <v>23580</v>
      </c>
      <c r="I3538" s="34">
        <f>Table3[[#This Row],[Volume, kg.]]/1000</f>
        <v>23.58</v>
      </c>
      <c r="J3538" s="34">
        <v>0.2195</v>
      </c>
      <c r="K3538" s="34">
        <f t="shared" si="110"/>
        <v>5175.8100000000004</v>
      </c>
      <c r="L3538" s="34">
        <v>2.35</v>
      </c>
      <c r="M3538" s="34">
        <v>55367</v>
      </c>
      <c r="N3538" s="34">
        <f t="shared" si="111"/>
        <v>10.70615034168565</v>
      </c>
    </row>
    <row r="3539" spans="1:14" x14ac:dyDescent="0.45">
      <c r="A3539" s="30">
        <v>2024</v>
      </c>
      <c r="B3539" s="30" t="s">
        <v>14</v>
      </c>
      <c r="C3539" s="30" t="s">
        <v>46</v>
      </c>
      <c r="D3539" s="30" t="s">
        <v>47</v>
      </c>
      <c r="E3539" s="32" t="s">
        <v>99</v>
      </c>
      <c r="F3539" s="32" t="s">
        <v>49</v>
      </c>
      <c r="G3539" s="32" t="s">
        <v>50</v>
      </c>
      <c r="H3539" s="33">
        <v>44980</v>
      </c>
      <c r="I3539" s="34">
        <f>Table3[[#This Row],[Volume, kg.]]/1000</f>
        <v>44.98</v>
      </c>
      <c r="J3539" s="34">
        <v>0.2152</v>
      </c>
      <c r="K3539" s="34">
        <f t="shared" si="110"/>
        <v>9679.6959999999999</v>
      </c>
      <c r="L3539" s="34">
        <v>2.2400000000000002</v>
      </c>
      <c r="M3539" s="34">
        <v>100540.5</v>
      </c>
      <c r="N3539" s="34">
        <f t="shared" si="111"/>
        <v>10.408921933085503</v>
      </c>
    </row>
    <row r="3540" spans="1:14" x14ac:dyDescent="0.45">
      <c r="A3540" s="30">
        <v>2024</v>
      </c>
      <c r="B3540" s="30" t="s">
        <v>14</v>
      </c>
      <c r="C3540" s="30" t="s">
        <v>46</v>
      </c>
      <c r="D3540" s="30" t="s">
        <v>47</v>
      </c>
      <c r="E3540" s="32" t="s">
        <v>165</v>
      </c>
      <c r="F3540" s="32" t="s">
        <v>57</v>
      </c>
      <c r="G3540" s="32" t="s">
        <v>50</v>
      </c>
      <c r="H3540" s="33">
        <v>18130</v>
      </c>
      <c r="I3540" s="34">
        <f>Table3[[#This Row],[Volume, kg.]]/1000</f>
        <v>18.13</v>
      </c>
      <c r="J3540" s="34">
        <v>0.23260000000000003</v>
      </c>
      <c r="K3540" s="34">
        <f t="shared" si="110"/>
        <v>4217.0380000000005</v>
      </c>
      <c r="L3540" s="34">
        <v>2.4</v>
      </c>
      <c r="M3540" s="34">
        <v>43557.5</v>
      </c>
      <c r="N3540" s="34">
        <f t="shared" si="111"/>
        <v>10.318142734307823</v>
      </c>
    </row>
    <row r="3541" spans="1:14" x14ac:dyDescent="0.45">
      <c r="A3541" s="30">
        <v>2024</v>
      </c>
      <c r="B3541" s="30" t="s">
        <v>14</v>
      </c>
      <c r="C3541" s="30" t="s">
        <v>46</v>
      </c>
      <c r="D3541" s="30" t="s">
        <v>47</v>
      </c>
      <c r="E3541" s="32" t="s">
        <v>226</v>
      </c>
      <c r="F3541" s="32" t="s">
        <v>60</v>
      </c>
      <c r="G3541" s="32" t="s">
        <v>50</v>
      </c>
      <c r="H3541" s="33">
        <v>29650</v>
      </c>
      <c r="I3541" s="34">
        <f>Table3[[#This Row],[Volume, kg.]]/1000</f>
        <v>29.65</v>
      </c>
      <c r="J3541" s="34">
        <v>0.23180000000000001</v>
      </c>
      <c r="K3541" s="34">
        <f t="shared" si="110"/>
        <v>6872.87</v>
      </c>
      <c r="L3541" s="34">
        <v>2.42</v>
      </c>
      <c r="M3541" s="34">
        <v>71807</v>
      </c>
      <c r="N3541" s="34">
        <f t="shared" si="111"/>
        <v>10.440034512510785</v>
      </c>
    </row>
    <row r="3542" spans="1:14" x14ac:dyDescent="0.45">
      <c r="A3542" s="30">
        <v>2024</v>
      </c>
      <c r="B3542" s="30" t="s">
        <v>14</v>
      </c>
      <c r="C3542" s="30" t="s">
        <v>46</v>
      </c>
      <c r="D3542" s="30" t="s">
        <v>47</v>
      </c>
      <c r="E3542" s="32" t="s">
        <v>182</v>
      </c>
      <c r="F3542" s="32" t="s">
        <v>81</v>
      </c>
      <c r="G3542" s="32" t="s">
        <v>50</v>
      </c>
      <c r="H3542" s="33">
        <v>108980</v>
      </c>
      <c r="I3542" s="34">
        <f>Table3[[#This Row],[Volume, kg.]]/1000</f>
        <v>108.98</v>
      </c>
      <c r="J3542" s="34">
        <v>0.2195</v>
      </c>
      <c r="K3542" s="34">
        <f t="shared" si="110"/>
        <v>23921.11</v>
      </c>
      <c r="L3542" s="34">
        <v>2.35</v>
      </c>
      <c r="M3542" s="34">
        <v>255929.5</v>
      </c>
      <c r="N3542" s="34">
        <f t="shared" si="111"/>
        <v>10.70615034168565</v>
      </c>
    </row>
    <row r="3543" spans="1:14" x14ac:dyDescent="0.45">
      <c r="A3543" s="30">
        <v>2024</v>
      </c>
      <c r="B3543" s="30" t="s">
        <v>14</v>
      </c>
      <c r="C3543" s="30" t="s">
        <v>46</v>
      </c>
      <c r="D3543" s="30" t="s">
        <v>47</v>
      </c>
      <c r="E3543" s="32" t="s">
        <v>442</v>
      </c>
      <c r="F3543" s="32" t="s">
        <v>81</v>
      </c>
      <c r="G3543" s="32" t="s">
        <v>50</v>
      </c>
      <c r="H3543" s="33">
        <v>18160</v>
      </c>
      <c r="I3543" s="34">
        <f>Table3[[#This Row],[Volume, kg.]]/1000</f>
        <v>18.16</v>
      </c>
      <c r="J3543" s="34">
        <v>0.218</v>
      </c>
      <c r="K3543" s="34">
        <f t="shared" si="110"/>
        <v>3958.88</v>
      </c>
      <c r="L3543" s="34">
        <v>2.29</v>
      </c>
      <c r="M3543" s="34">
        <v>41513.5</v>
      </c>
      <c r="N3543" s="34">
        <f t="shared" si="111"/>
        <v>10.504587155963304</v>
      </c>
    </row>
    <row r="3544" spans="1:14" x14ac:dyDescent="0.45">
      <c r="A3544" s="30">
        <v>2024</v>
      </c>
      <c r="B3544" s="30" t="s">
        <v>14</v>
      </c>
      <c r="C3544" s="30" t="s">
        <v>46</v>
      </c>
      <c r="D3544" s="30" t="s">
        <v>47</v>
      </c>
      <c r="E3544" s="32" t="s">
        <v>73</v>
      </c>
      <c r="F3544" s="32" t="s">
        <v>49</v>
      </c>
      <c r="G3544" s="32" t="s">
        <v>50</v>
      </c>
      <c r="H3544" s="33">
        <v>11640</v>
      </c>
      <c r="I3544" s="34">
        <f>Table3[[#This Row],[Volume, kg.]]/1000</f>
        <v>11.64</v>
      </c>
      <c r="J3544" s="34">
        <v>0.24729999999999999</v>
      </c>
      <c r="K3544" s="34">
        <f t="shared" si="110"/>
        <v>2878.5720000000001</v>
      </c>
      <c r="L3544" s="34">
        <v>2.5099999999999998</v>
      </c>
      <c r="M3544" s="34">
        <v>29264</v>
      </c>
      <c r="N3544" s="34">
        <f t="shared" si="111"/>
        <v>10.149615851192882</v>
      </c>
    </row>
    <row r="3545" spans="1:14" x14ac:dyDescent="0.45">
      <c r="A3545" s="30">
        <v>2024</v>
      </c>
      <c r="B3545" s="30" t="s">
        <v>14</v>
      </c>
      <c r="C3545" s="30" t="s">
        <v>46</v>
      </c>
      <c r="D3545" s="30" t="s">
        <v>47</v>
      </c>
      <c r="E3545" s="32" t="s">
        <v>65</v>
      </c>
      <c r="F3545" s="32" t="s">
        <v>49</v>
      </c>
      <c r="G3545" s="32" t="s">
        <v>50</v>
      </c>
      <c r="H3545" s="33">
        <v>48480</v>
      </c>
      <c r="I3545" s="34">
        <f>Table3[[#This Row],[Volume, kg.]]/1000</f>
        <v>48.48</v>
      </c>
      <c r="J3545" s="34">
        <v>0.20749999999999999</v>
      </c>
      <c r="K3545" s="34">
        <f t="shared" si="110"/>
        <v>10059.6</v>
      </c>
      <c r="L3545" s="34">
        <v>2.2799999999999998</v>
      </c>
      <c r="M3545" s="34">
        <v>110344.5</v>
      </c>
      <c r="N3545" s="34">
        <f t="shared" si="111"/>
        <v>10.987951807228916</v>
      </c>
    </row>
    <row r="3546" spans="1:14" x14ac:dyDescent="0.45">
      <c r="A3546" s="30">
        <v>2024</v>
      </c>
      <c r="B3546" s="30" t="s">
        <v>14</v>
      </c>
      <c r="C3546" s="30" t="s">
        <v>46</v>
      </c>
      <c r="D3546" s="30" t="s">
        <v>47</v>
      </c>
      <c r="E3546" s="32" t="s">
        <v>245</v>
      </c>
      <c r="F3546" s="32" t="s">
        <v>57</v>
      </c>
      <c r="G3546" s="32" t="s">
        <v>50</v>
      </c>
      <c r="H3546" s="33">
        <v>46390</v>
      </c>
      <c r="I3546" s="34">
        <f>Table3[[#This Row],[Volume, kg.]]/1000</f>
        <v>46.39</v>
      </c>
      <c r="J3546" s="34">
        <v>0.22070000000000001</v>
      </c>
      <c r="K3546" s="34">
        <f t="shared" si="110"/>
        <v>10238.273000000001</v>
      </c>
      <c r="L3546" s="34">
        <v>2.33</v>
      </c>
      <c r="M3546" s="34">
        <v>108143.5</v>
      </c>
      <c r="N3546" s="34">
        <f t="shared" si="111"/>
        <v>10.557317625736294</v>
      </c>
    </row>
    <row r="3547" spans="1:14" x14ac:dyDescent="0.45">
      <c r="A3547" s="30">
        <v>2024</v>
      </c>
      <c r="B3547" s="30" t="s">
        <v>14</v>
      </c>
      <c r="C3547" s="30" t="s">
        <v>46</v>
      </c>
      <c r="D3547" s="30" t="s">
        <v>47</v>
      </c>
      <c r="E3547" s="32" t="s">
        <v>163</v>
      </c>
      <c r="F3547" s="32" t="s">
        <v>60</v>
      </c>
      <c r="G3547" s="32" t="s">
        <v>50</v>
      </c>
      <c r="H3547" s="33">
        <v>78120</v>
      </c>
      <c r="I3547" s="34">
        <f>Table3[[#This Row],[Volume, kg.]]/1000</f>
        <v>78.12</v>
      </c>
      <c r="J3547" s="34">
        <v>0.22510000000000002</v>
      </c>
      <c r="K3547" s="34">
        <f t="shared" si="110"/>
        <v>17584.812000000002</v>
      </c>
      <c r="L3547" s="34">
        <v>2.3199999999999998</v>
      </c>
      <c r="M3547" s="34">
        <v>181291.5</v>
      </c>
      <c r="N3547" s="34">
        <f t="shared" si="111"/>
        <v>10.30653043091959</v>
      </c>
    </row>
    <row r="3548" spans="1:14" x14ac:dyDescent="0.45">
      <c r="A3548" s="30">
        <v>2024</v>
      </c>
      <c r="B3548" s="30" t="s">
        <v>14</v>
      </c>
      <c r="C3548" s="30" t="s">
        <v>46</v>
      </c>
      <c r="D3548" s="30" t="s">
        <v>47</v>
      </c>
      <c r="E3548" s="32" t="s">
        <v>229</v>
      </c>
      <c r="F3548" s="32" t="s">
        <v>57</v>
      </c>
      <c r="G3548" s="32" t="s">
        <v>50</v>
      </c>
      <c r="H3548" s="33">
        <v>3580</v>
      </c>
      <c r="I3548" s="34">
        <f>Table3[[#This Row],[Volume, kg.]]/1000</f>
        <v>3.58</v>
      </c>
      <c r="J3548" s="34">
        <v>0.22149999999999997</v>
      </c>
      <c r="K3548" s="34">
        <f t="shared" si="110"/>
        <v>792.96999999999991</v>
      </c>
      <c r="L3548" s="34">
        <v>2.15</v>
      </c>
      <c r="M3548" s="34">
        <v>7697</v>
      </c>
      <c r="N3548" s="34">
        <f t="shared" si="111"/>
        <v>9.7065462753950342</v>
      </c>
    </row>
    <row r="3549" spans="1:14" x14ac:dyDescent="0.45">
      <c r="A3549" s="30">
        <v>2024</v>
      </c>
      <c r="B3549" s="30" t="s">
        <v>14</v>
      </c>
      <c r="C3549" s="30" t="s">
        <v>46</v>
      </c>
      <c r="D3549" s="30" t="s">
        <v>47</v>
      </c>
      <c r="E3549" s="32" t="s">
        <v>172</v>
      </c>
      <c r="F3549" s="32" t="s">
        <v>57</v>
      </c>
      <c r="G3549" s="32" t="s">
        <v>50</v>
      </c>
      <c r="H3549" s="33">
        <v>17680</v>
      </c>
      <c r="I3549" s="34">
        <f>Table3[[#This Row],[Volume, kg.]]/1000</f>
        <v>17.68</v>
      </c>
      <c r="J3549" s="34">
        <v>0.17980000000000002</v>
      </c>
      <c r="K3549" s="34">
        <f t="shared" si="110"/>
        <v>3178.8640000000005</v>
      </c>
      <c r="L3549" s="34">
        <v>2.16</v>
      </c>
      <c r="M3549" s="34">
        <v>38203.5</v>
      </c>
      <c r="N3549" s="34">
        <f t="shared" si="111"/>
        <v>12.013348164627363</v>
      </c>
    </row>
    <row r="3550" spans="1:14" x14ac:dyDescent="0.45">
      <c r="A3550" s="30">
        <v>2024</v>
      </c>
      <c r="B3550" s="30" t="s">
        <v>14</v>
      </c>
      <c r="C3550" s="30" t="s">
        <v>46</v>
      </c>
      <c r="D3550" s="30" t="s">
        <v>47</v>
      </c>
      <c r="E3550" s="32" t="s">
        <v>655</v>
      </c>
      <c r="F3550" s="32" t="s">
        <v>49</v>
      </c>
      <c r="G3550" s="32" t="s">
        <v>50</v>
      </c>
      <c r="H3550" s="33">
        <v>16080</v>
      </c>
      <c r="I3550" s="34">
        <f>Table3[[#This Row],[Volume, kg.]]/1000</f>
        <v>16.079999999999998</v>
      </c>
      <c r="J3550" s="34">
        <v>0.20480000000000001</v>
      </c>
      <c r="K3550" s="34">
        <f t="shared" si="110"/>
        <v>3293.1840000000002</v>
      </c>
      <c r="L3550" s="34">
        <v>2.19</v>
      </c>
      <c r="M3550" s="34">
        <v>35295.5</v>
      </c>
      <c r="N3550" s="34">
        <f t="shared" si="111"/>
        <v>10.693359375</v>
      </c>
    </row>
    <row r="3551" spans="1:14" x14ac:dyDescent="0.45">
      <c r="A3551" s="30">
        <v>2024</v>
      </c>
      <c r="B3551" s="30" t="s">
        <v>14</v>
      </c>
      <c r="C3551" s="30" t="s">
        <v>46</v>
      </c>
      <c r="D3551" s="30" t="s">
        <v>47</v>
      </c>
      <c r="E3551" s="32" t="s">
        <v>170</v>
      </c>
      <c r="F3551" s="32" t="s">
        <v>49</v>
      </c>
      <c r="G3551" s="32" t="s">
        <v>50</v>
      </c>
      <c r="H3551" s="33">
        <v>39010</v>
      </c>
      <c r="I3551" s="34">
        <f>Table3[[#This Row],[Volume, kg.]]/1000</f>
        <v>39.01</v>
      </c>
      <c r="J3551" s="34">
        <v>0.2351</v>
      </c>
      <c r="K3551" s="34">
        <f t="shared" si="110"/>
        <v>9171.2510000000002</v>
      </c>
      <c r="L3551" s="34">
        <v>2.42</v>
      </c>
      <c r="M3551" s="34">
        <v>94396.5</v>
      </c>
      <c r="N3551" s="34">
        <f t="shared" si="111"/>
        <v>10.293492131008081</v>
      </c>
    </row>
    <row r="3552" spans="1:14" x14ac:dyDescent="0.45">
      <c r="A3552" s="30">
        <v>2024</v>
      </c>
      <c r="B3552" s="30" t="s">
        <v>14</v>
      </c>
      <c r="C3552" s="30" t="s">
        <v>46</v>
      </c>
      <c r="D3552" s="30" t="s">
        <v>47</v>
      </c>
      <c r="E3552" s="32" t="s">
        <v>320</v>
      </c>
      <c r="F3552" s="32" t="s">
        <v>49</v>
      </c>
      <c r="G3552" s="32" t="s">
        <v>50</v>
      </c>
      <c r="H3552" s="33">
        <v>40990</v>
      </c>
      <c r="I3552" s="34">
        <f>Table3[[#This Row],[Volume, kg.]]/1000</f>
        <v>40.99</v>
      </c>
      <c r="J3552" s="34">
        <v>0.19640000000000002</v>
      </c>
      <c r="K3552" s="34">
        <f t="shared" si="110"/>
        <v>8050.4360000000006</v>
      </c>
      <c r="L3552" s="34">
        <v>2.17</v>
      </c>
      <c r="M3552" s="34">
        <v>89061</v>
      </c>
      <c r="N3552" s="34">
        <f t="shared" si="111"/>
        <v>11.048879837067208</v>
      </c>
    </row>
    <row r="3553" spans="1:14" x14ac:dyDescent="0.45">
      <c r="A3553" s="30">
        <v>2024</v>
      </c>
      <c r="B3553" s="30" t="s">
        <v>14</v>
      </c>
      <c r="C3553" s="30" t="s">
        <v>46</v>
      </c>
      <c r="D3553" s="30" t="s">
        <v>47</v>
      </c>
      <c r="E3553" s="32" t="s">
        <v>666</v>
      </c>
      <c r="F3553" s="32" t="s">
        <v>49</v>
      </c>
      <c r="G3553" s="32" t="s">
        <v>50</v>
      </c>
      <c r="H3553" s="33">
        <v>10800</v>
      </c>
      <c r="I3553" s="34">
        <f>Table3[[#This Row],[Volume, kg.]]/1000</f>
        <v>10.8</v>
      </c>
      <c r="J3553" s="34">
        <v>0.2535</v>
      </c>
      <c r="K3553" s="34">
        <f t="shared" si="110"/>
        <v>2737.8</v>
      </c>
      <c r="L3553" s="34">
        <v>2.2999999999999998</v>
      </c>
      <c r="M3553" s="34">
        <v>24840</v>
      </c>
      <c r="N3553" s="34">
        <f t="shared" si="111"/>
        <v>9.0729783037475329</v>
      </c>
    </row>
    <row r="3554" spans="1:14" x14ac:dyDescent="0.45">
      <c r="A3554" s="30">
        <v>2024</v>
      </c>
      <c r="B3554" s="30" t="s">
        <v>14</v>
      </c>
      <c r="C3554" s="30" t="s">
        <v>46</v>
      </c>
      <c r="D3554" s="30" t="s">
        <v>47</v>
      </c>
      <c r="E3554" s="32" t="s">
        <v>301</v>
      </c>
      <c r="F3554" s="32" t="s">
        <v>60</v>
      </c>
      <c r="G3554" s="32" t="s">
        <v>50</v>
      </c>
      <c r="H3554" s="33">
        <v>101590</v>
      </c>
      <c r="I3554" s="34">
        <f>Table3[[#This Row],[Volume, kg.]]/1000</f>
        <v>101.59</v>
      </c>
      <c r="J3554" s="34">
        <v>0.23</v>
      </c>
      <c r="K3554" s="34">
        <f t="shared" si="110"/>
        <v>23365.7</v>
      </c>
      <c r="L3554" s="34">
        <v>2.37</v>
      </c>
      <c r="M3554" s="34">
        <v>240510.5</v>
      </c>
      <c r="N3554" s="34">
        <f t="shared" si="111"/>
        <v>10.304347826086957</v>
      </c>
    </row>
    <row r="3555" spans="1:14" x14ac:dyDescent="0.45">
      <c r="A3555" s="30">
        <v>2024</v>
      </c>
      <c r="B3555" s="30" t="s">
        <v>14</v>
      </c>
      <c r="C3555" s="30" t="s">
        <v>46</v>
      </c>
      <c r="D3555" s="30" t="s">
        <v>47</v>
      </c>
      <c r="E3555" s="32" t="s">
        <v>51</v>
      </c>
      <c r="F3555" s="32" t="s">
        <v>49</v>
      </c>
      <c r="G3555" s="32" t="s">
        <v>50</v>
      </c>
      <c r="H3555" s="33">
        <v>62700</v>
      </c>
      <c r="I3555" s="34">
        <f>Table3[[#This Row],[Volume, kg.]]/1000</f>
        <v>62.7</v>
      </c>
      <c r="J3555" s="34">
        <v>0.21420000000000003</v>
      </c>
      <c r="K3555" s="34">
        <f t="shared" si="110"/>
        <v>13430.340000000002</v>
      </c>
      <c r="L3555" s="34">
        <v>2.3199999999999998</v>
      </c>
      <c r="M3555" s="34">
        <v>145647.5</v>
      </c>
      <c r="N3555" s="34">
        <f t="shared" si="111"/>
        <v>10.830999066293181</v>
      </c>
    </row>
    <row r="3556" spans="1:14" x14ac:dyDescent="0.45">
      <c r="A3556" s="30">
        <v>2024</v>
      </c>
      <c r="B3556" s="30" t="s">
        <v>14</v>
      </c>
      <c r="C3556" s="30" t="s">
        <v>46</v>
      </c>
      <c r="D3556" s="30" t="s">
        <v>47</v>
      </c>
      <c r="E3556" s="32" t="s">
        <v>462</v>
      </c>
      <c r="F3556" s="32" t="s">
        <v>49</v>
      </c>
      <c r="G3556" s="32" t="s">
        <v>50</v>
      </c>
      <c r="H3556" s="33">
        <v>76300</v>
      </c>
      <c r="I3556" s="34">
        <f>Table3[[#This Row],[Volume, kg.]]/1000</f>
        <v>76.3</v>
      </c>
      <c r="J3556" s="34">
        <v>0.18989999999999999</v>
      </c>
      <c r="K3556" s="34">
        <f t="shared" si="110"/>
        <v>14489.369999999999</v>
      </c>
      <c r="L3556" s="34">
        <v>2.21</v>
      </c>
      <c r="M3556" s="34">
        <v>168403.5</v>
      </c>
      <c r="N3556" s="34">
        <f t="shared" si="111"/>
        <v>11.637704054765667</v>
      </c>
    </row>
    <row r="3557" spans="1:14" x14ac:dyDescent="0.45">
      <c r="A3557" s="30">
        <v>2024</v>
      </c>
      <c r="B3557" s="30" t="s">
        <v>14</v>
      </c>
      <c r="C3557" s="30" t="s">
        <v>46</v>
      </c>
      <c r="D3557" s="30" t="s">
        <v>47</v>
      </c>
      <c r="E3557" s="32" t="s">
        <v>179</v>
      </c>
      <c r="F3557" s="32" t="s">
        <v>60</v>
      </c>
      <c r="G3557" s="32" t="s">
        <v>50</v>
      </c>
      <c r="H3557" s="33">
        <v>18470</v>
      </c>
      <c r="I3557" s="34">
        <f>Table3[[#This Row],[Volume, kg.]]/1000</f>
        <v>18.47</v>
      </c>
      <c r="J3557" s="34">
        <v>0.18890000000000001</v>
      </c>
      <c r="K3557" s="34">
        <f t="shared" si="110"/>
        <v>3488.9830000000002</v>
      </c>
      <c r="L3557" s="34">
        <v>2.15</v>
      </c>
      <c r="M3557" s="34">
        <v>39710.5</v>
      </c>
      <c r="N3557" s="34">
        <f t="shared" si="111"/>
        <v>11.381683430386447</v>
      </c>
    </row>
    <row r="3558" spans="1:14" x14ac:dyDescent="0.45">
      <c r="A3558" s="30">
        <v>2024</v>
      </c>
      <c r="B3558" s="30" t="s">
        <v>14</v>
      </c>
      <c r="C3558" s="30" t="s">
        <v>46</v>
      </c>
      <c r="D3558" s="30" t="s">
        <v>47</v>
      </c>
      <c r="E3558" s="32" t="s">
        <v>463</v>
      </c>
      <c r="F3558" s="32" t="s">
        <v>49</v>
      </c>
      <c r="G3558" s="32" t="s">
        <v>50</v>
      </c>
      <c r="H3558" s="33">
        <v>10170</v>
      </c>
      <c r="I3558" s="34">
        <f>Table3[[#This Row],[Volume, kg.]]/1000</f>
        <v>10.17</v>
      </c>
      <c r="J3558" s="34">
        <v>0.16739999999999999</v>
      </c>
      <c r="K3558" s="34">
        <f t="shared" si="110"/>
        <v>1702.4579999999999</v>
      </c>
      <c r="L3558" s="34">
        <v>2.08</v>
      </c>
      <c r="M3558" s="34">
        <v>21196.5</v>
      </c>
      <c r="N3558" s="34">
        <f t="shared" si="111"/>
        <v>12.425328554360814</v>
      </c>
    </row>
    <row r="3559" spans="1:14" x14ac:dyDescent="0.45">
      <c r="A3559" s="30">
        <v>2024</v>
      </c>
      <c r="B3559" s="30" t="s">
        <v>14</v>
      </c>
      <c r="C3559" s="30" t="s">
        <v>46</v>
      </c>
      <c r="D3559" s="30" t="s">
        <v>47</v>
      </c>
      <c r="E3559" s="32" t="s">
        <v>258</v>
      </c>
      <c r="F3559" s="32" t="s">
        <v>49</v>
      </c>
      <c r="G3559" s="32" t="s">
        <v>50</v>
      </c>
      <c r="H3559" s="33">
        <v>1332710</v>
      </c>
      <c r="I3559" s="34">
        <f>Table3[[#This Row],[Volume, kg.]]/1000</f>
        <v>1332.71</v>
      </c>
      <c r="J3559" s="34">
        <v>0.20860000000000001</v>
      </c>
      <c r="K3559" s="34">
        <f t="shared" si="110"/>
        <v>278003.30599999998</v>
      </c>
      <c r="L3559" s="34">
        <v>2.29</v>
      </c>
      <c r="M3559" s="34">
        <v>3046134</v>
      </c>
      <c r="N3559" s="34">
        <f t="shared" si="111"/>
        <v>10.977948226270374</v>
      </c>
    </row>
    <row r="3560" spans="1:14" x14ac:dyDescent="0.45">
      <c r="A3560" s="30">
        <v>2024</v>
      </c>
      <c r="B3560" s="30" t="s">
        <v>14</v>
      </c>
      <c r="C3560" s="30" t="s">
        <v>46</v>
      </c>
      <c r="D3560" s="30" t="s">
        <v>47</v>
      </c>
      <c r="E3560" s="32" t="s">
        <v>375</v>
      </c>
      <c r="F3560" s="32" t="s">
        <v>49</v>
      </c>
      <c r="G3560" s="32" t="s">
        <v>50</v>
      </c>
      <c r="H3560" s="33">
        <v>11600</v>
      </c>
      <c r="I3560" s="34">
        <f>Table3[[#This Row],[Volume, kg.]]/1000</f>
        <v>11.6</v>
      </c>
      <c r="J3560" s="34">
        <v>0.2455</v>
      </c>
      <c r="K3560" s="34">
        <f t="shared" si="110"/>
        <v>2847.7999999999997</v>
      </c>
      <c r="L3560" s="34">
        <v>2.5499999999999998</v>
      </c>
      <c r="M3560" s="34">
        <v>29580</v>
      </c>
      <c r="N3560" s="34">
        <f t="shared" si="111"/>
        <v>10.386965376782078</v>
      </c>
    </row>
    <row r="3561" spans="1:14" x14ac:dyDescent="0.45">
      <c r="A3561" s="30">
        <v>2024</v>
      </c>
      <c r="B3561" s="30" t="s">
        <v>14</v>
      </c>
      <c r="C3561" s="30" t="s">
        <v>46</v>
      </c>
      <c r="D3561" s="30" t="s">
        <v>47</v>
      </c>
      <c r="E3561" s="32" t="s">
        <v>363</v>
      </c>
      <c r="F3561" s="32" t="s">
        <v>60</v>
      </c>
      <c r="G3561" s="32" t="s">
        <v>50</v>
      </c>
      <c r="H3561" s="33">
        <v>24300</v>
      </c>
      <c r="I3561" s="34">
        <f>Table3[[#This Row],[Volume, kg.]]/1000</f>
        <v>24.3</v>
      </c>
      <c r="J3561" s="34">
        <v>0.19440000000000002</v>
      </c>
      <c r="K3561" s="34">
        <f t="shared" si="110"/>
        <v>4723.92</v>
      </c>
      <c r="L3561" s="34">
        <v>2.21</v>
      </c>
      <c r="M3561" s="34">
        <v>53778</v>
      </c>
      <c r="N3561" s="34">
        <f t="shared" si="111"/>
        <v>11.368312757201645</v>
      </c>
    </row>
    <row r="3562" spans="1:14" x14ac:dyDescent="0.45">
      <c r="A3562" s="30">
        <v>2024</v>
      </c>
      <c r="B3562" s="30" t="s">
        <v>14</v>
      </c>
      <c r="C3562" s="30" t="s">
        <v>46</v>
      </c>
      <c r="D3562" s="30" t="s">
        <v>47</v>
      </c>
      <c r="E3562" s="32" t="s">
        <v>231</v>
      </c>
      <c r="F3562" s="32" t="s">
        <v>49</v>
      </c>
      <c r="G3562" s="32" t="s">
        <v>50</v>
      </c>
      <c r="H3562" s="33">
        <v>4930</v>
      </c>
      <c r="I3562" s="34">
        <f>Table3[[#This Row],[Volume, kg.]]/1000</f>
        <v>4.93</v>
      </c>
      <c r="J3562" s="34">
        <v>0.20069999999999999</v>
      </c>
      <c r="K3562" s="34">
        <f t="shared" si="110"/>
        <v>989.45099999999991</v>
      </c>
      <c r="L3562" s="34">
        <v>2.15</v>
      </c>
      <c r="M3562" s="34">
        <v>10599.5</v>
      </c>
      <c r="N3562" s="34">
        <f t="shared" si="111"/>
        <v>10.712506228201295</v>
      </c>
    </row>
    <row r="3563" spans="1:14" x14ac:dyDescent="0.45">
      <c r="A3563" s="30">
        <v>2024</v>
      </c>
      <c r="B3563" s="30" t="s">
        <v>14</v>
      </c>
      <c r="C3563" s="30" t="s">
        <v>46</v>
      </c>
      <c r="D3563" s="30" t="s">
        <v>47</v>
      </c>
      <c r="E3563" s="32" t="s">
        <v>166</v>
      </c>
      <c r="F3563" s="32" t="s">
        <v>49</v>
      </c>
      <c r="G3563" s="32" t="s">
        <v>50</v>
      </c>
      <c r="H3563" s="33">
        <v>186690</v>
      </c>
      <c r="I3563" s="34">
        <f>Table3[[#This Row],[Volume, kg.]]/1000</f>
        <v>186.69</v>
      </c>
      <c r="J3563" s="34">
        <v>0.19980000000000001</v>
      </c>
      <c r="K3563" s="34">
        <f t="shared" si="110"/>
        <v>37300.662000000004</v>
      </c>
      <c r="L3563" s="34">
        <v>2.2599999999999998</v>
      </c>
      <c r="M3563" s="34">
        <v>422429.5</v>
      </c>
      <c r="N3563" s="34">
        <f t="shared" si="111"/>
        <v>11.311311311311309</v>
      </c>
    </row>
    <row r="3564" spans="1:14" x14ac:dyDescent="0.45">
      <c r="A3564" s="30">
        <v>2024</v>
      </c>
      <c r="B3564" s="30" t="s">
        <v>14</v>
      </c>
      <c r="C3564" s="30" t="s">
        <v>46</v>
      </c>
      <c r="D3564" s="30" t="s">
        <v>47</v>
      </c>
      <c r="E3564" s="32" t="s">
        <v>293</v>
      </c>
      <c r="F3564" s="32" t="s">
        <v>60</v>
      </c>
      <c r="G3564" s="32" t="s">
        <v>50</v>
      </c>
      <c r="H3564" s="33">
        <v>53310</v>
      </c>
      <c r="I3564" s="34">
        <f>Table3[[#This Row],[Volume, kg.]]/1000</f>
        <v>53.31</v>
      </c>
      <c r="J3564" s="34">
        <v>0.2152</v>
      </c>
      <c r="K3564" s="34">
        <f t="shared" si="110"/>
        <v>11472.312</v>
      </c>
      <c r="L3564" s="34">
        <v>2.31</v>
      </c>
      <c r="M3564" s="34">
        <v>123193</v>
      </c>
      <c r="N3564" s="34">
        <f t="shared" si="111"/>
        <v>10.734200743494425</v>
      </c>
    </row>
    <row r="3565" spans="1:14" x14ac:dyDescent="0.45">
      <c r="A3565" s="30">
        <v>2024</v>
      </c>
      <c r="B3565" s="30" t="s">
        <v>14</v>
      </c>
      <c r="C3565" s="30" t="s">
        <v>46</v>
      </c>
      <c r="D3565" s="30" t="s">
        <v>47</v>
      </c>
      <c r="E3565" s="32" t="s">
        <v>242</v>
      </c>
      <c r="F3565" s="32" t="s">
        <v>60</v>
      </c>
      <c r="G3565" s="32" t="s">
        <v>50</v>
      </c>
      <c r="H3565" s="33">
        <v>32850</v>
      </c>
      <c r="I3565" s="34">
        <f>Table3[[#This Row],[Volume, kg.]]/1000</f>
        <v>32.85</v>
      </c>
      <c r="J3565" s="34">
        <v>0.23350000000000001</v>
      </c>
      <c r="K3565" s="34">
        <f t="shared" si="110"/>
        <v>7670.4750000000004</v>
      </c>
      <c r="L3565" s="34">
        <v>2.36</v>
      </c>
      <c r="M3565" s="34">
        <v>77393</v>
      </c>
      <c r="N3565" s="34">
        <f t="shared" si="111"/>
        <v>10.107066381156315</v>
      </c>
    </row>
    <row r="3566" spans="1:14" x14ac:dyDescent="0.45">
      <c r="A3566" s="30">
        <v>2024</v>
      </c>
      <c r="B3566" s="30" t="s">
        <v>14</v>
      </c>
      <c r="C3566" s="30" t="s">
        <v>46</v>
      </c>
      <c r="D3566" s="30" t="s">
        <v>47</v>
      </c>
      <c r="E3566" s="32" t="s">
        <v>384</v>
      </c>
      <c r="F3566" s="32" t="s">
        <v>60</v>
      </c>
      <c r="G3566" s="32" t="s">
        <v>50</v>
      </c>
      <c r="H3566" s="33">
        <v>29310</v>
      </c>
      <c r="I3566" s="34">
        <f>Table3[[#This Row],[Volume, kg.]]/1000</f>
        <v>29.31</v>
      </c>
      <c r="J3566" s="34">
        <v>0.2165</v>
      </c>
      <c r="K3566" s="34">
        <f t="shared" si="110"/>
        <v>6345.6149999999998</v>
      </c>
      <c r="L3566" s="34">
        <v>2.3199999999999998</v>
      </c>
      <c r="M3566" s="34">
        <v>67875</v>
      </c>
      <c r="N3566" s="34">
        <f t="shared" si="111"/>
        <v>10.715935334872979</v>
      </c>
    </row>
    <row r="3567" spans="1:14" x14ac:dyDescent="0.45">
      <c r="A3567" s="30">
        <v>2024</v>
      </c>
      <c r="B3567" s="30" t="s">
        <v>14</v>
      </c>
      <c r="C3567" s="30" t="s">
        <v>46</v>
      </c>
      <c r="D3567" s="30" t="s">
        <v>47</v>
      </c>
      <c r="E3567" s="32" t="s">
        <v>244</v>
      </c>
      <c r="F3567" s="32" t="s">
        <v>60</v>
      </c>
      <c r="G3567" s="32" t="s">
        <v>50</v>
      </c>
      <c r="H3567" s="33">
        <v>69720</v>
      </c>
      <c r="I3567" s="34">
        <f>Table3[[#This Row],[Volume, kg.]]/1000</f>
        <v>69.72</v>
      </c>
      <c r="J3567" s="34">
        <v>0.2288</v>
      </c>
      <c r="K3567" s="34">
        <f t="shared" si="110"/>
        <v>15951.936</v>
      </c>
      <c r="L3567" s="34">
        <v>2.34</v>
      </c>
      <c r="M3567" s="34">
        <v>162839.5</v>
      </c>
      <c r="N3567" s="34">
        <f t="shared" si="111"/>
        <v>10.227272727272727</v>
      </c>
    </row>
    <row r="3568" spans="1:14" x14ac:dyDescent="0.45">
      <c r="A3568" s="30">
        <v>2024</v>
      </c>
      <c r="B3568" s="30" t="s">
        <v>14</v>
      </c>
      <c r="C3568" s="30" t="s">
        <v>46</v>
      </c>
      <c r="D3568" s="30" t="s">
        <v>47</v>
      </c>
      <c r="E3568" s="32" t="s">
        <v>256</v>
      </c>
      <c r="F3568" s="32" t="s">
        <v>81</v>
      </c>
      <c r="G3568" s="32" t="s">
        <v>50</v>
      </c>
      <c r="H3568" s="33">
        <v>15080</v>
      </c>
      <c r="I3568" s="34">
        <f>Table3[[#This Row],[Volume, kg.]]/1000</f>
        <v>15.08</v>
      </c>
      <c r="J3568" s="34">
        <v>0.23699999999999999</v>
      </c>
      <c r="K3568" s="34">
        <f t="shared" si="110"/>
        <v>3573.96</v>
      </c>
      <c r="L3568" s="34">
        <v>2.25</v>
      </c>
      <c r="M3568" s="34">
        <v>33930</v>
      </c>
      <c r="N3568" s="34">
        <f t="shared" si="111"/>
        <v>9.4936708860759502</v>
      </c>
    </row>
    <row r="3569" spans="1:14" x14ac:dyDescent="0.45">
      <c r="A3569" s="30">
        <v>2024</v>
      </c>
      <c r="B3569" s="30" t="s">
        <v>14</v>
      </c>
      <c r="C3569" s="30" t="s">
        <v>46</v>
      </c>
      <c r="D3569" s="30" t="s">
        <v>47</v>
      </c>
      <c r="E3569" s="32" t="s">
        <v>597</v>
      </c>
      <c r="F3569" s="32" t="s">
        <v>49</v>
      </c>
      <c r="G3569" s="32" t="s">
        <v>50</v>
      </c>
      <c r="H3569" s="33">
        <v>24530</v>
      </c>
      <c r="I3569" s="34">
        <f>Table3[[#This Row],[Volume, kg.]]/1000</f>
        <v>24.53</v>
      </c>
      <c r="J3569" s="34">
        <v>0.2107</v>
      </c>
      <c r="K3569" s="34">
        <f t="shared" si="110"/>
        <v>5168.4709999999995</v>
      </c>
      <c r="L3569" s="34">
        <v>2.35</v>
      </c>
      <c r="M3569" s="34">
        <v>57766</v>
      </c>
      <c r="N3569" s="34">
        <f t="shared" si="111"/>
        <v>11.153298528713812</v>
      </c>
    </row>
    <row r="3570" spans="1:14" x14ac:dyDescent="0.45">
      <c r="A3570" s="30">
        <v>2024</v>
      </c>
      <c r="B3570" s="30" t="s">
        <v>14</v>
      </c>
      <c r="C3570" s="30" t="s">
        <v>46</v>
      </c>
      <c r="D3570" s="30" t="s">
        <v>47</v>
      </c>
      <c r="E3570" s="32" t="s">
        <v>287</v>
      </c>
      <c r="F3570" s="32" t="s">
        <v>60</v>
      </c>
      <c r="G3570" s="32" t="s">
        <v>50</v>
      </c>
      <c r="H3570" s="33">
        <v>23690</v>
      </c>
      <c r="I3570" s="34">
        <f>Table3[[#This Row],[Volume, kg.]]/1000</f>
        <v>23.69</v>
      </c>
      <c r="J3570" s="34">
        <v>0.22750000000000001</v>
      </c>
      <c r="K3570" s="34">
        <f t="shared" si="110"/>
        <v>5389.4750000000004</v>
      </c>
      <c r="L3570" s="34">
        <v>2.2000000000000002</v>
      </c>
      <c r="M3570" s="34">
        <v>52233</v>
      </c>
      <c r="N3570" s="34">
        <f t="shared" si="111"/>
        <v>9.6703296703296715</v>
      </c>
    </row>
    <row r="3571" spans="1:14" x14ac:dyDescent="0.45">
      <c r="A3571" s="30">
        <v>2024</v>
      </c>
      <c r="B3571" s="30" t="s">
        <v>14</v>
      </c>
      <c r="C3571" s="30" t="s">
        <v>46</v>
      </c>
      <c r="D3571" s="30" t="s">
        <v>47</v>
      </c>
      <c r="E3571" s="32" t="s">
        <v>164</v>
      </c>
      <c r="F3571" s="32" t="s">
        <v>49</v>
      </c>
      <c r="G3571" s="32" t="s">
        <v>50</v>
      </c>
      <c r="H3571" s="33">
        <v>54430</v>
      </c>
      <c r="I3571" s="34">
        <f>Table3[[#This Row],[Volume, kg.]]/1000</f>
        <v>54.43</v>
      </c>
      <c r="J3571" s="34">
        <v>0.2029</v>
      </c>
      <c r="K3571" s="34">
        <f t="shared" si="110"/>
        <v>11043.847</v>
      </c>
      <c r="L3571" s="34">
        <v>2.27</v>
      </c>
      <c r="M3571" s="34">
        <v>123623</v>
      </c>
      <c r="N3571" s="34">
        <f t="shared" si="111"/>
        <v>11.187777230162641</v>
      </c>
    </row>
    <row r="3572" spans="1:14" x14ac:dyDescent="0.45">
      <c r="A3572" s="30">
        <v>2024</v>
      </c>
      <c r="B3572" s="30" t="s">
        <v>14</v>
      </c>
      <c r="C3572" s="30" t="s">
        <v>46</v>
      </c>
      <c r="D3572" s="30" t="s">
        <v>47</v>
      </c>
      <c r="E3572" s="32" t="s">
        <v>534</v>
      </c>
      <c r="F3572" s="32" t="s">
        <v>49</v>
      </c>
      <c r="G3572" s="32" t="s">
        <v>50</v>
      </c>
      <c r="H3572" s="33">
        <v>18910</v>
      </c>
      <c r="I3572" s="34">
        <f>Table3[[#This Row],[Volume, kg.]]/1000</f>
        <v>18.91</v>
      </c>
      <c r="J3572" s="34">
        <v>0.17859999999999998</v>
      </c>
      <c r="K3572" s="34">
        <f t="shared" si="110"/>
        <v>3377.3259999999996</v>
      </c>
      <c r="L3572" s="34">
        <v>2.13</v>
      </c>
      <c r="M3572" s="34">
        <v>40331</v>
      </c>
      <c r="N3572" s="34">
        <f t="shared" si="111"/>
        <v>11.926091825307951</v>
      </c>
    </row>
    <row r="3573" spans="1:14" x14ac:dyDescent="0.45">
      <c r="A3573" s="30">
        <v>2024</v>
      </c>
      <c r="B3573" s="30" t="s">
        <v>14</v>
      </c>
      <c r="C3573" s="30" t="s">
        <v>46</v>
      </c>
      <c r="D3573" s="30" t="s">
        <v>47</v>
      </c>
      <c r="E3573" s="32" t="s">
        <v>220</v>
      </c>
      <c r="F3573" s="32" t="s">
        <v>49</v>
      </c>
      <c r="G3573" s="32" t="s">
        <v>50</v>
      </c>
      <c r="H3573" s="33">
        <v>8110</v>
      </c>
      <c r="I3573" s="34">
        <f>Table3[[#This Row],[Volume, kg.]]/1000</f>
        <v>8.11</v>
      </c>
      <c r="J3573" s="34">
        <v>0.22750000000000001</v>
      </c>
      <c r="K3573" s="34">
        <f t="shared" si="110"/>
        <v>1845.0250000000001</v>
      </c>
      <c r="L3573" s="34">
        <v>2.2999999999999998</v>
      </c>
      <c r="M3573" s="34">
        <v>18653</v>
      </c>
      <c r="N3573" s="34">
        <f t="shared" si="111"/>
        <v>10.109890109890109</v>
      </c>
    </row>
    <row r="3574" spans="1:14" x14ac:dyDescent="0.45">
      <c r="A3574" s="30">
        <v>2024</v>
      </c>
      <c r="B3574" s="30" t="s">
        <v>14</v>
      </c>
      <c r="C3574" s="30" t="s">
        <v>46</v>
      </c>
      <c r="D3574" s="30" t="s">
        <v>47</v>
      </c>
      <c r="E3574" s="32" t="s">
        <v>294</v>
      </c>
      <c r="F3574" s="32" t="s">
        <v>81</v>
      </c>
      <c r="G3574" s="32" t="s">
        <v>50</v>
      </c>
      <c r="H3574" s="33">
        <v>63590</v>
      </c>
      <c r="I3574" s="34">
        <f>Table3[[#This Row],[Volume, kg.]]/1000</f>
        <v>63.59</v>
      </c>
      <c r="J3574" s="34">
        <v>0.2051</v>
      </c>
      <c r="K3574" s="34">
        <f t="shared" si="110"/>
        <v>13042.309000000001</v>
      </c>
      <c r="L3574" s="34">
        <v>2.27</v>
      </c>
      <c r="M3574" s="34">
        <v>144137.5</v>
      </c>
      <c r="N3574" s="34">
        <f t="shared" si="111"/>
        <v>11.067771818625062</v>
      </c>
    </row>
    <row r="3575" spans="1:14" x14ac:dyDescent="0.45">
      <c r="A3575" s="30">
        <v>2024</v>
      </c>
      <c r="B3575" s="30" t="s">
        <v>14</v>
      </c>
      <c r="C3575" s="30" t="s">
        <v>46</v>
      </c>
      <c r="D3575" s="30" t="s">
        <v>47</v>
      </c>
      <c r="E3575" s="32" t="s">
        <v>358</v>
      </c>
      <c r="F3575" s="32" t="s">
        <v>60</v>
      </c>
      <c r="G3575" s="32" t="s">
        <v>50</v>
      </c>
      <c r="H3575" s="33">
        <v>69100</v>
      </c>
      <c r="I3575" s="34">
        <f>Table3[[#This Row],[Volume, kg.]]/1000</f>
        <v>69.099999999999994</v>
      </c>
      <c r="J3575" s="34">
        <v>0.22210000000000002</v>
      </c>
      <c r="K3575" s="34">
        <f t="shared" si="110"/>
        <v>15347.11</v>
      </c>
      <c r="L3575" s="34">
        <v>2.29</v>
      </c>
      <c r="M3575" s="34">
        <v>158562</v>
      </c>
      <c r="N3575" s="34">
        <f t="shared" si="111"/>
        <v>10.310670868977937</v>
      </c>
    </row>
    <row r="3576" spans="1:14" x14ac:dyDescent="0.45">
      <c r="A3576" s="30">
        <v>2024</v>
      </c>
      <c r="B3576" s="30" t="s">
        <v>14</v>
      </c>
      <c r="C3576" s="30" t="s">
        <v>46</v>
      </c>
      <c r="D3576" s="30" t="s">
        <v>47</v>
      </c>
      <c r="E3576" s="32" t="s">
        <v>464</v>
      </c>
      <c r="F3576" s="32" t="s">
        <v>57</v>
      </c>
      <c r="G3576" s="32" t="s">
        <v>50</v>
      </c>
      <c r="H3576" s="33">
        <v>127770</v>
      </c>
      <c r="I3576" s="34">
        <f>Table3[[#This Row],[Volume, kg.]]/1000</f>
        <v>127.77</v>
      </c>
      <c r="J3576" s="34">
        <v>0.2155</v>
      </c>
      <c r="K3576" s="34">
        <f t="shared" si="110"/>
        <v>27534.435000000001</v>
      </c>
      <c r="L3576" s="34">
        <v>2.33</v>
      </c>
      <c r="M3576" s="34">
        <v>297309</v>
      </c>
      <c r="N3576" s="34">
        <f t="shared" si="111"/>
        <v>10.812064965197216</v>
      </c>
    </row>
    <row r="3577" spans="1:14" x14ac:dyDescent="0.45">
      <c r="A3577" s="30">
        <v>2024</v>
      </c>
      <c r="B3577" s="30" t="s">
        <v>14</v>
      </c>
      <c r="C3577" s="30" t="s">
        <v>46</v>
      </c>
      <c r="D3577" s="30" t="s">
        <v>47</v>
      </c>
      <c r="E3577" s="32" t="s">
        <v>260</v>
      </c>
      <c r="F3577" s="32" t="s">
        <v>49</v>
      </c>
      <c r="G3577" s="32" t="s">
        <v>50</v>
      </c>
      <c r="H3577" s="33">
        <v>89640</v>
      </c>
      <c r="I3577" s="34">
        <f>Table3[[#This Row],[Volume, kg.]]/1000</f>
        <v>89.64</v>
      </c>
      <c r="J3577" s="34">
        <v>0.21160000000000001</v>
      </c>
      <c r="K3577" s="34">
        <f t="shared" si="110"/>
        <v>18967.824000000001</v>
      </c>
      <c r="L3577" s="34">
        <v>2.2999999999999998</v>
      </c>
      <c r="M3577" s="34">
        <v>206457</v>
      </c>
      <c r="N3577" s="34">
        <f t="shared" si="111"/>
        <v>10.869565217391303</v>
      </c>
    </row>
    <row r="3578" spans="1:14" x14ac:dyDescent="0.45">
      <c r="A3578" s="30">
        <v>2024</v>
      </c>
      <c r="B3578" s="30" t="s">
        <v>14</v>
      </c>
      <c r="C3578" s="30" t="s">
        <v>46</v>
      </c>
      <c r="D3578" s="30" t="s">
        <v>47</v>
      </c>
      <c r="E3578" s="32" t="s">
        <v>429</v>
      </c>
      <c r="F3578" s="32" t="s">
        <v>54</v>
      </c>
      <c r="G3578" s="32" t="s">
        <v>50</v>
      </c>
      <c r="H3578" s="33">
        <v>60870</v>
      </c>
      <c r="I3578" s="34">
        <f>Table3[[#This Row],[Volume, kg.]]/1000</f>
        <v>60.87</v>
      </c>
      <c r="J3578" s="34">
        <v>0.20929999999999999</v>
      </c>
      <c r="K3578" s="34">
        <f t="shared" si="110"/>
        <v>12740.090999999999</v>
      </c>
      <c r="L3578" s="34">
        <v>2.3199999999999998</v>
      </c>
      <c r="M3578" s="34">
        <v>140997.5</v>
      </c>
      <c r="N3578" s="34">
        <f t="shared" si="111"/>
        <v>11.084567606306736</v>
      </c>
    </row>
    <row r="3579" spans="1:14" x14ac:dyDescent="0.45">
      <c r="A3579" s="30">
        <v>2024</v>
      </c>
      <c r="B3579" s="30" t="s">
        <v>14</v>
      </c>
      <c r="C3579" s="30" t="s">
        <v>46</v>
      </c>
      <c r="D3579" s="30" t="s">
        <v>47</v>
      </c>
      <c r="E3579" s="32" t="s">
        <v>187</v>
      </c>
      <c r="F3579" s="32" t="s">
        <v>54</v>
      </c>
      <c r="G3579" s="32" t="s">
        <v>50</v>
      </c>
      <c r="H3579" s="33">
        <v>130440</v>
      </c>
      <c r="I3579" s="34">
        <f>Table3[[#This Row],[Volume, kg.]]/1000</f>
        <v>130.44</v>
      </c>
      <c r="J3579" s="34">
        <v>0.2122</v>
      </c>
      <c r="K3579" s="34">
        <f t="shared" si="110"/>
        <v>27679.367999999999</v>
      </c>
      <c r="L3579" s="34">
        <v>2.2000000000000002</v>
      </c>
      <c r="M3579" s="34">
        <v>286469.5</v>
      </c>
      <c r="N3579" s="34">
        <f t="shared" si="111"/>
        <v>10.367577756833176</v>
      </c>
    </row>
    <row r="3580" spans="1:14" x14ac:dyDescent="0.45">
      <c r="A3580" s="30">
        <v>2024</v>
      </c>
      <c r="B3580" s="30" t="s">
        <v>14</v>
      </c>
      <c r="C3580" s="30" t="s">
        <v>46</v>
      </c>
      <c r="D3580" s="30" t="s">
        <v>47</v>
      </c>
      <c r="E3580" s="32" t="s">
        <v>191</v>
      </c>
      <c r="F3580" s="32" t="s">
        <v>49</v>
      </c>
      <c r="G3580" s="32" t="s">
        <v>50</v>
      </c>
      <c r="H3580" s="33">
        <v>50090</v>
      </c>
      <c r="I3580" s="34">
        <f>Table3[[#This Row],[Volume, kg.]]/1000</f>
        <v>50.09</v>
      </c>
      <c r="J3580" s="34">
        <v>0.22109999999999999</v>
      </c>
      <c r="K3580" s="34">
        <f t="shared" si="110"/>
        <v>11074.898999999999</v>
      </c>
      <c r="L3580" s="34">
        <v>2.35</v>
      </c>
      <c r="M3580" s="34">
        <v>117690</v>
      </c>
      <c r="N3580" s="34">
        <f t="shared" si="111"/>
        <v>10.628674807779285</v>
      </c>
    </row>
    <row r="3581" spans="1:14" x14ac:dyDescent="0.45">
      <c r="A3581" s="30">
        <v>2024</v>
      </c>
      <c r="B3581" s="30" t="s">
        <v>14</v>
      </c>
      <c r="C3581" s="30" t="s">
        <v>46</v>
      </c>
      <c r="D3581" s="30" t="s">
        <v>47</v>
      </c>
      <c r="E3581" s="32" t="s">
        <v>291</v>
      </c>
      <c r="F3581" s="32" t="s">
        <v>57</v>
      </c>
      <c r="G3581" s="32" t="s">
        <v>50</v>
      </c>
      <c r="H3581" s="33">
        <v>147880</v>
      </c>
      <c r="I3581" s="34">
        <f>Table3[[#This Row],[Volume, kg.]]/1000</f>
        <v>147.88</v>
      </c>
      <c r="J3581" s="34">
        <v>0.21660000000000001</v>
      </c>
      <c r="K3581" s="34">
        <f t="shared" si="110"/>
        <v>32030.808000000001</v>
      </c>
      <c r="L3581" s="34">
        <v>2.31</v>
      </c>
      <c r="M3581" s="34">
        <v>342113.5</v>
      </c>
      <c r="N3581" s="34">
        <f t="shared" si="111"/>
        <v>10.664819944598337</v>
      </c>
    </row>
    <row r="3582" spans="1:14" x14ac:dyDescent="0.45">
      <c r="A3582" s="30">
        <v>2024</v>
      </c>
      <c r="B3582" s="30" t="s">
        <v>14</v>
      </c>
      <c r="C3582" s="30" t="s">
        <v>46</v>
      </c>
      <c r="D3582" s="30" t="s">
        <v>47</v>
      </c>
      <c r="E3582" s="32" t="s">
        <v>352</v>
      </c>
      <c r="F3582" s="32" t="s">
        <v>54</v>
      </c>
      <c r="G3582" s="32" t="s">
        <v>50</v>
      </c>
      <c r="H3582" s="33">
        <v>347840</v>
      </c>
      <c r="I3582" s="34">
        <f>Table3[[#This Row],[Volume, kg.]]/1000</f>
        <v>347.84</v>
      </c>
      <c r="J3582" s="34">
        <v>0.1991</v>
      </c>
      <c r="K3582" s="34">
        <f t="shared" si="110"/>
        <v>69254.944000000003</v>
      </c>
      <c r="L3582" s="34">
        <v>2.25</v>
      </c>
      <c r="M3582" s="34">
        <v>781972</v>
      </c>
      <c r="N3582" s="34">
        <f t="shared" si="111"/>
        <v>11.300853842290307</v>
      </c>
    </row>
    <row r="3583" spans="1:14" x14ac:dyDescent="0.45">
      <c r="A3583" s="30">
        <v>2024</v>
      </c>
      <c r="B3583" s="30" t="s">
        <v>14</v>
      </c>
      <c r="C3583" s="30" t="s">
        <v>46</v>
      </c>
      <c r="D3583" s="30" t="s">
        <v>47</v>
      </c>
      <c r="E3583" s="32" t="s">
        <v>465</v>
      </c>
      <c r="F3583" s="32" t="s">
        <v>57</v>
      </c>
      <c r="G3583" s="32" t="s">
        <v>50</v>
      </c>
      <c r="H3583" s="33">
        <v>115210</v>
      </c>
      <c r="I3583" s="34">
        <f>Table3[[#This Row],[Volume, kg.]]/1000</f>
        <v>115.21</v>
      </c>
      <c r="J3583" s="34">
        <v>0.223</v>
      </c>
      <c r="K3583" s="34">
        <f t="shared" si="110"/>
        <v>25691.83</v>
      </c>
      <c r="L3583" s="34">
        <v>2.37</v>
      </c>
      <c r="M3583" s="34">
        <v>273618.5</v>
      </c>
      <c r="N3583" s="34">
        <f t="shared" si="111"/>
        <v>10.627802690582961</v>
      </c>
    </row>
    <row r="3584" spans="1:14" x14ac:dyDescent="0.45">
      <c r="A3584" s="30">
        <v>2024</v>
      </c>
      <c r="B3584" s="30" t="s">
        <v>14</v>
      </c>
      <c r="C3584" s="30" t="s">
        <v>46</v>
      </c>
      <c r="D3584" s="30" t="s">
        <v>47</v>
      </c>
      <c r="E3584" s="32" t="s">
        <v>110</v>
      </c>
      <c r="F3584" s="32" t="s">
        <v>57</v>
      </c>
      <c r="G3584" s="32" t="s">
        <v>50</v>
      </c>
      <c r="H3584" s="33">
        <v>22200</v>
      </c>
      <c r="I3584" s="34">
        <f>Table3[[#This Row],[Volume, kg.]]/1000</f>
        <v>22.2</v>
      </c>
      <c r="J3584" s="34">
        <v>0.23870000000000002</v>
      </c>
      <c r="K3584" s="34">
        <f t="shared" si="110"/>
        <v>5299.14</v>
      </c>
      <c r="L3584" s="34">
        <v>2.4</v>
      </c>
      <c r="M3584" s="34">
        <v>53177.5</v>
      </c>
      <c r="N3584" s="34">
        <f t="shared" si="111"/>
        <v>10.054461667364892</v>
      </c>
    </row>
    <row r="3585" spans="1:14" x14ac:dyDescent="0.45">
      <c r="A3585" s="30">
        <v>2024</v>
      </c>
      <c r="B3585" s="30" t="s">
        <v>14</v>
      </c>
      <c r="C3585" s="30" t="s">
        <v>46</v>
      </c>
      <c r="D3585" s="30" t="s">
        <v>47</v>
      </c>
      <c r="E3585" s="32" t="s">
        <v>495</v>
      </c>
      <c r="F3585" s="32" t="s">
        <v>54</v>
      </c>
      <c r="G3585" s="32" t="s">
        <v>50</v>
      </c>
      <c r="H3585" s="33">
        <v>15160</v>
      </c>
      <c r="I3585" s="34">
        <f>Table3[[#This Row],[Volume, kg.]]/1000</f>
        <v>15.16</v>
      </c>
      <c r="J3585" s="34">
        <v>0.2145</v>
      </c>
      <c r="K3585" s="34">
        <f t="shared" si="110"/>
        <v>3251.82</v>
      </c>
      <c r="L3585" s="34">
        <v>2.2999999999999998</v>
      </c>
      <c r="M3585" s="34">
        <v>34868</v>
      </c>
      <c r="N3585" s="34">
        <f t="shared" si="111"/>
        <v>10.722610722610723</v>
      </c>
    </row>
    <row r="3586" spans="1:14" x14ac:dyDescent="0.45">
      <c r="A3586" s="30">
        <v>2024</v>
      </c>
      <c r="B3586" s="30" t="s">
        <v>14</v>
      </c>
      <c r="C3586" s="30" t="s">
        <v>46</v>
      </c>
      <c r="D3586" s="30" t="s">
        <v>47</v>
      </c>
      <c r="E3586" s="32" t="s">
        <v>385</v>
      </c>
      <c r="F3586" s="32" t="s">
        <v>57</v>
      </c>
      <c r="G3586" s="32" t="s">
        <v>50</v>
      </c>
      <c r="H3586" s="33">
        <v>130120</v>
      </c>
      <c r="I3586" s="34">
        <f>Table3[[#This Row],[Volume, kg.]]/1000</f>
        <v>130.12</v>
      </c>
      <c r="J3586" s="34">
        <v>0.22920000000000001</v>
      </c>
      <c r="K3586" s="34">
        <f t="shared" si="110"/>
        <v>29823.504000000001</v>
      </c>
      <c r="L3586" s="34">
        <v>2.41</v>
      </c>
      <c r="M3586" s="34">
        <v>312968</v>
      </c>
      <c r="N3586" s="34">
        <f t="shared" si="111"/>
        <v>10.514834205933683</v>
      </c>
    </row>
    <row r="3587" spans="1:14" x14ac:dyDescent="0.45">
      <c r="A3587" s="30">
        <v>2024</v>
      </c>
      <c r="B3587" s="30" t="s">
        <v>14</v>
      </c>
      <c r="C3587" s="30" t="s">
        <v>46</v>
      </c>
      <c r="D3587" s="30" t="s">
        <v>47</v>
      </c>
      <c r="E3587" s="32" t="s">
        <v>142</v>
      </c>
      <c r="F3587" s="32" t="s">
        <v>57</v>
      </c>
      <c r="G3587" s="32" t="s">
        <v>50</v>
      </c>
      <c r="H3587" s="33">
        <v>81060</v>
      </c>
      <c r="I3587" s="34">
        <f>Table3[[#This Row],[Volume, kg.]]/1000</f>
        <v>81.06</v>
      </c>
      <c r="J3587" s="34">
        <v>0.20949999999999999</v>
      </c>
      <c r="K3587" s="34">
        <f t="shared" ref="K3587:K3650" si="112">H3587*J3587</f>
        <v>16982.07</v>
      </c>
      <c r="L3587" s="34">
        <v>2.2799999999999998</v>
      </c>
      <c r="M3587" s="34">
        <v>184481.5</v>
      </c>
      <c r="N3587" s="34">
        <f t="shared" si="111"/>
        <v>10.883054892601432</v>
      </c>
    </row>
    <row r="3588" spans="1:14" x14ac:dyDescent="0.45">
      <c r="A3588" s="30">
        <v>2024</v>
      </c>
      <c r="B3588" s="30" t="s">
        <v>14</v>
      </c>
      <c r="C3588" s="30" t="s">
        <v>46</v>
      </c>
      <c r="D3588" s="30" t="s">
        <v>47</v>
      </c>
      <c r="E3588" s="32" t="s">
        <v>86</v>
      </c>
      <c r="F3588" s="32" t="s">
        <v>49</v>
      </c>
      <c r="G3588" s="32" t="s">
        <v>50</v>
      </c>
      <c r="H3588" s="33">
        <v>52110</v>
      </c>
      <c r="I3588" s="34">
        <f>Table3[[#This Row],[Volume, kg.]]/1000</f>
        <v>52.11</v>
      </c>
      <c r="J3588" s="34">
        <v>0.19350000000000001</v>
      </c>
      <c r="K3588" s="34">
        <f t="shared" si="112"/>
        <v>10083.285</v>
      </c>
      <c r="L3588" s="34">
        <v>2.14</v>
      </c>
      <c r="M3588" s="34">
        <v>111361.5</v>
      </c>
      <c r="N3588" s="34">
        <f t="shared" ref="N3588:N3651" si="113">L3588/J3588</f>
        <v>11.059431524547804</v>
      </c>
    </row>
    <row r="3589" spans="1:14" x14ac:dyDescent="0.45">
      <c r="A3589" s="30">
        <v>2024</v>
      </c>
      <c r="B3589" s="30" t="s">
        <v>14</v>
      </c>
      <c r="C3589" s="30" t="s">
        <v>46</v>
      </c>
      <c r="D3589" s="30" t="s">
        <v>47</v>
      </c>
      <c r="E3589" s="32" t="s">
        <v>523</v>
      </c>
      <c r="F3589" s="32" t="s">
        <v>49</v>
      </c>
      <c r="G3589" s="32" t="s">
        <v>50</v>
      </c>
      <c r="H3589" s="33">
        <v>28500</v>
      </c>
      <c r="I3589" s="34">
        <f>Table3[[#This Row],[Volume, kg.]]/1000</f>
        <v>28.5</v>
      </c>
      <c r="J3589" s="34">
        <v>0.19879999999999998</v>
      </c>
      <c r="K3589" s="34">
        <f t="shared" si="112"/>
        <v>5665.7999999999993</v>
      </c>
      <c r="L3589" s="34">
        <v>2.25</v>
      </c>
      <c r="M3589" s="34">
        <v>64109</v>
      </c>
      <c r="N3589" s="34">
        <f t="shared" si="113"/>
        <v>11.317907444668009</v>
      </c>
    </row>
    <row r="3590" spans="1:14" x14ac:dyDescent="0.45">
      <c r="A3590" s="30">
        <v>2024</v>
      </c>
      <c r="B3590" s="30" t="s">
        <v>14</v>
      </c>
      <c r="C3590" s="30" t="s">
        <v>46</v>
      </c>
      <c r="D3590" s="30" t="s">
        <v>47</v>
      </c>
      <c r="E3590" s="32" t="s">
        <v>451</v>
      </c>
      <c r="F3590" s="32" t="s">
        <v>54</v>
      </c>
      <c r="G3590" s="32" t="s">
        <v>50</v>
      </c>
      <c r="H3590" s="33">
        <v>76800</v>
      </c>
      <c r="I3590" s="34">
        <f>Table3[[#This Row],[Volume, kg.]]/1000</f>
        <v>76.8</v>
      </c>
      <c r="J3590" s="34">
        <v>0.20469999999999999</v>
      </c>
      <c r="K3590" s="34">
        <f t="shared" si="112"/>
        <v>15720.96</v>
      </c>
      <c r="L3590" s="34">
        <v>2.25</v>
      </c>
      <c r="M3590" s="34">
        <v>172936</v>
      </c>
      <c r="N3590" s="34">
        <f t="shared" si="113"/>
        <v>10.991695163654128</v>
      </c>
    </row>
    <row r="3591" spans="1:14" x14ac:dyDescent="0.45">
      <c r="A3591" s="30">
        <v>2024</v>
      </c>
      <c r="B3591" s="30" t="s">
        <v>14</v>
      </c>
      <c r="C3591" s="30" t="s">
        <v>46</v>
      </c>
      <c r="D3591" s="30" t="s">
        <v>47</v>
      </c>
      <c r="E3591" s="32" t="s">
        <v>431</v>
      </c>
      <c r="F3591" s="32" t="s">
        <v>49</v>
      </c>
      <c r="G3591" s="32" t="s">
        <v>50</v>
      </c>
      <c r="H3591" s="33">
        <v>37280</v>
      </c>
      <c r="I3591" s="34">
        <f>Table3[[#This Row],[Volume, kg.]]/1000</f>
        <v>37.28</v>
      </c>
      <c r="J3591" s="34">
        <v>0.19690000000000002</v>
      </c>
      <c r="K3591" s="34">
        <f t="shared" si="112"/>
        <v>7340.4320000000007</v>
      </c>
      <c r="L3591" s="34">
        <v>2.2599999999999998</v>
      </c>
      <c r="M3591" s="34">
        <v>84309</v>
      </c>
      <c r="N3591" s="34">
        <f t="shared" si="113"/>
        <v>11.477907567293039</v>
      </c>
    </row>
    <row r="3592" spans="1:14" x14ac:dyDescent="0.45">
      <c r="A3592" s="30">
        <v>2024</v>
      </c>
      <c r="B3592" s="30" t="s">
        <v>14</v>
      </c>
      <c r="C3592" s="30" t="s">
        <v>46</v>
      </c>
      <c r="D3592" s="30" t="s">
        <v>47</v>
      </c>
      <c r="E3592" s="32" t="s">
        <v>167</v>
      </c>
      <c r="F3592" s="32" t="s">
        <v>49</v>
      </c>
      <c r="G3592" s="32" t="s">
        <v>50</v>
      </c>
      <c r="H3592" s="33">
        <v>141780</v>
      </c>
      <c r="I3592" s="34">
        <f>Table3[[#This Row],[Volume, kg.]]/1000</f>
        <v>141.78</v>
      </c>
      <c r="J3592" s="34">
        <v>0.21309999999999998</v>
      </c>
      <c r="K3592" s="34">
        <f t="shared" si="112"/>
        <v>30213.317999999999</v>
      </c>
      <c r="L3592" s="34">
        <v>2.29</v>
      </c>
      <c r="M3592" s="34">
        <v>324396.5</v>
      </c>
      <c r="N3592" s="34">
        <f t="shared" si="113"/>
        <v>10.746128578132334</v>
      </c>
    </row>
    <row r="3593" spans="1:14" x14ac:dyDescent="0.45">
      <c r="A3593" s="30">
        <v>2024</v>
      </c>
      <c r="B3593" s="30" t="s">
        <v>14</v>
      </c>
      <c r="C3593" s="30" t="s">
        <v>46</v>
      </c>
      <c r="D3593" s="30" t="s">
        <v>47</v>
      </c>
      <c r="E3593" s="32" t="s">
        <v>329</v>
      </c>
      <c r="F3593" s="32" t="s">
        <v>49</v>
      </c>
      <c r="G3593" s="32" t="s">
        <v>50</v>
      </c>
      <c r="H3593" s="33">
        <v>37130</v>
      </c>
      <c r="I3593" s="34">
        <f>Table3[[#This Row],[Volume, kg.]]/1000</f>
        <v>37.130000000000003</v>
      </c>
      <c r="J3593" s="34">
        <v>0.21629999999999999</v>
      </c>
      <c r="K3593" s="34">
        <f t="shared" si="112"/>
        <v>8031.2190000000001</v>
      </c>
      <c r="L3593" s="34">
        <v>2.38</v>
      </c>
      <c r="M3593" s="34">
        <v>88236</v>
      </c>
      <c r="N3593" s="34">
        <f t="shared" si="113"/>
        <v>11.003236245954692</v>
      </c>
    </row>
    <row r="3594" spans="1:14" x14ac:dyDescent="0.45">
      <c r="A3594" s="30">
        <v>2024</v>
      </c>
      <c r="B3594" s="30" t="s">
        <v>14</v>
      </c>
      <c r="C3594" s="30" t="s">
        <v>46</v>
      </c>
      <c r="D3594" s="30" t="s">
        <v>47</v>
      </c>
      <c r="E3594" s="32" t="s">
        <v>190</v>
      </c>
      <c r="F3594" s="32" t="s">
        <v>81</v>
      </c>
      <c r="G3594" s="32" t="s">
        <v>50</v>
      </c>
      <c r="H3594" s="33">
        <v>51380</v>
      </c>
      <c r="I3594" s="34">
        <f>Table3[[#This Row],[Volume, kg.]]/1000</f>
        <v>51.38</v>
      </c>
      <c r="J3594" s="34">
        <v>0.18770000000000001</v>
      </c>
      <c r="K3594" s="34">
        <f t="shared" si="112"/>
        <v>9644.0259999999998</v>
      </c>
      <c r="L3594" s="34">
        <v>2.2000000000000002</v>
      </c>
      <c r="M3594" s="34">
        <v>112952.5</v>
      </c>
      <c r="N3594" s="34">
        <f t="shared" si="113"/>
        <v>11.720831113478956</v>
      </c>
    </row>
    <row r="3595" spans="1:14" x14ac:dyDescent="0.45">
      <c r="A3595" s="30">
        <v>2024</v>
      </c>
      <c r="B3595" s="30" t="s">
        <v>14</v>
      </c>
      <c r="C3595" s="30" t="s">
        <v>46</v>
      </c>
      <c r="D3595" s="30" t="s">
        <v>47</v>
      </c>
      <c r="E3595" s="32" t="s">
        <v>498</v>
      </c>
      <c r="F3595" s="32" t="s">
        <v>49</v>
      </c>
      <c r="G3595" s="32" t="s">
        <v>50</v>
      </c>
      <c r="H3595" s="33">
        <v>11190</v>
      </c>
      <c r="I3595" s="34">
        <f>Table3[[#This Row],[Volume, kg.]]/1000</f>
        <v>11.19</v>
      </c>
      <c r="J3595" s="34">
        <v>0.20649999999999999</v>
      </c>
      <c r="K3595" s="34">
        <f t="shared" si="112"/>
        <v>2310.7349999999997</v>
      </c>
      <c r="L3595" s="34">
        <v>2.2000000000000002</v>
      </c>
      <c r="M3595" s="34">
        <v>24618</v>
      </c>
      <c r="N3595" s="34">
        <f t="shared" si="113"/>
        <v>10.653753026634384</v>
      </c>
    </row>
    <row r="3596" spans="1:14" x14ac:dyDescent="0.45">
      <c r="A3596" s="30">
        <v>2024</v>
      </c>
      <c r="B3596" s="30" t="s">
        <v>14</v>
      </c>
      <c r="C3596" s="30" t="s">
        <v>46</v>
      </c>
      <c r="D3596" s="30" t="s">
        <v>47</v>
      </c>
      <c r="E3596" s="32" t="s">
        <v>319</v>
      </c>
      <c r="F3596" s="32" t="s">
        <v>81</v>
      </c>
      <c r="G3596" s="32" t="s">
        <v>50</v>
      </c>
      <c r="H3596" s="33">
        <v>69210</v>
      </c>
      <c r="I3596" s="34">
        <f>Table3[[#This Row],[Volume, kg.]]/1000</f>
        <v>69.209999999999994</v>
      </c>
      <c r="J3596" s="34">
        <v>0.21420000000000003</v>
      </c>
      <c r="K3596" s="34">
        <f t="shared" si="112"/>
        <v>14824.782000000003</v>
      </c>
      <c r="L3596" s="34">
        <v>2.36</v>
      </c>
      <c r="M3596" s="34">
        <v>163537.5</v>
      </c>
      <c r="N3596" s="34">
        <f t="shared" si="113"/>
        <v>11.017740429505134</v>
      </c>
    </row>
    <row r="3597" spans="1:14" x14ac:dyDescent="0.45">
      <c r="A3597" s="30">
        <v>2024</v>
      </c>
      <c r="B3597" s="30" t="s">
        <v>14</v>
      </c>
      <c r="C3597" s="30" t="s">
        <v>46</v>
      </c>
      <c r="D3597" s="30" t="s">
        <v>47</v>
      </c>
      <c r="E3597" s="32" t="s">
        <v>466</v>
      </c>
      <c r="F3597" s="32" t="s">
        <v>57</v>
      </c>
      <c r="G3597" s="32" t="s">
        <v>50</v>
      </c>
      <c r="H3597" s="33">
        <v>18040</v>
      </c>
      <c r="I3597" s="34">
        <f>Table3[[#This Row],[Volume, kg.]]/1000</f>
        <v>18.04</v>
      </c>
      <c r="J3597" s="34">
        <v>0.2286</v>
      </c>
      <c r="K3597" s="34">
        <f t="shared" si="112"/>
        <v>4123.9439999999995</v>
      </c>
      <c r="L3597" s="34">
        <v>2.35</v>
      </c>
      <c r="M3597" s="34">
        <v>42393</v>
      </c>
      <c r="N3597" s="34">
        <f t="shared" si="113"/>
        <v>10.279965004374453</v>
      </c>
    </row>
    <row r="3598" spans="1:14" x14ac:dyDescent="0.45">
      <c r="A3598" s="30">
        <v>2024</v>
      </c>
      <c r="B3598" s="30" t="s">
        <v>14</v>
      </c>
      <c r="C3598" s="30" t="s">
        <v>46</v>
      </c>
      <c r="D3598" s="30" t="s">
        <v>47</v>
      </c>
      <c r="E3598" s="32" t="s">
        <v>241</v>
      </c>
      <c r="F3598" s="32" t="s">
        <v>57</v>
      </c>
      <c r="G3598" s="32" t="s">
        <v>50</v>
      </c>
      <c r="H3598" s="33">
        <v>8590</v>
      </c>
      <c r="I3598" s="34">
        <f>Table3[[#This Row],[Volume, kg.]]/1000</f>
        <v>8.59</v>
      </c>
      <c r="J3598" s="34">
        <v>0.17319999999999999</v>
      </c>
      <c r="K3598" s="34">
        <f t="shared" si="112"/>
        <v>1487.788</v>
      </c>
      <c r="L3598" s="34">
        <v>1.96</v>
      </c>
      <c r="M3598" s="34">
        <v>16805</v>
      </c>
      <c r="N3598" s="34">
        <f t="shared" si="113"/>
        <v>11.316397228637413</v>
      </c>
    </row>
    <row r="3599" spans="1:14" x14ac:dyDescent="0.45">
      <c r="A3599" s="30">
        <v>2024</v>
      </c>
      <c r="B3599" s="30" t="s">
        <v>14</v>
      </c>
      <c r="C3599" s="30" t="s">
        <v>46</v>
      </c>
      <c r="D3599" s="30" t="s">
        <v>47</v>
      </c>
      <c r="E3599" s="32" t="s">
        <v>263</v>
      </c>
      <c r="F3599" s="32" t="s">
        <v>81</v>
      </c>
      <c r="G3599" s="32" t="s">
        <v>50</v>
      </c>
      <c r="H3599" s="33">
        <v>146940</v>
      </c>
      <c r="I3599" s="34">
        <f>Table3[[#This Row],[Volume, kg.]]/1000</f>
        <v>146.94</v>
      </c>
      <c r="J3599" s="34">
        <v>0.2089</v>
      </c>
      <c r="K3599" s="34">
        <f t="shared" si="112"/>
        <v>30695.766</v>
      </c>
      <c r="L3599" s="34">
        <v>2.2999999999999998</v>
      </c>
      <c r="M3599" s="34">
        <v>338190.5</v>
      </c>
      <c r="N3599" s="34">
        <f t="shared" si="113"/>
        <v>11.010052656773574</v>
      </c>
    </row>
    <row r="3600" spans="1:14" x14ac:dyDescent="0.45">
      <c r="A3600" s="30">
        <v>2024</v>
      </c>
      <c r="B3600" s="30" t="s">
        <v>14</v>
      </c>
      <c r="C3600" s="30" t="s">
        <v>46</v>
      </c>
      <c r="D3600" s="30" t="s">
        <v>47</v>
      </c>
      <c r="E3600" s="32" t="s">
        <v>333</v>
      </c>
      <c r="F3600" s="32" t="s">
        <v>57</v>
      </c>
      <c r="G3600" s="32" t="s">
        <v>50</v>
      </c>
      <c r="H3600" s="33">
        <v>70190</v>
      </c>
      <c r="I3600" s="34">
        <f>Table3[[#This Row],[Volume, kg.]]/1000</f>
        <v>70.19</v>
      </c>
      <c r="J3600" s="34">
        <v>0.23699999999999999</v>
      </c>
      <c r="K3600" s="34">
        <f t="shared" si="112"/>
        <v>16635.03</v>
      </c>
      <c r="L3600" s="34">
        <v>2.4</v>
      </c>
      <c r="M3600" s="34">
        <v>168797.5</v>
      </c>
      <c r="N3600" s="34">
        <f t="shared" si="113"/>
        <v>10.126582278481013</v>
      </c>
    </row>
    <row r="3601" spans="1:14" x14ac:dyDescent="0.45">
      <c r="A3601" s="30">
        <v>2024</v>
      </c>
      <c r="B3601" s="30" t="s">
        <v>14</v>
      </c>
      <c r="C3601" s="30" t="s">
        <v>46</v>
      </c>
      <c r="D3601" s="30" t="s">
        <v>47</v>
      </c>
      <c r="E3601" s="32" t="s">
        <v>236</v>
      </c>
      <c r="F3601" s="32" t="s">
        <v>49</v>
      </c>
      <c r="G3601" s="32" t="s">
        <v>50</v>
      </c>
      <c r="H3601" s="33">
        <v>42080</v>
      </c>
      <c r="I3601" s="34">
        <f>Table3[[#This Row],[Volume, kg.]]/1000</f>
        <v>42.08</v>
      </c>
      <c r="J3601" s="34">
        <v>0.2006</v>
      </c>
      <c r="K3601" s="34">
        <f t="shared" si="112"/>
        <v>8441.2479999999996</v>
      </c>
      <c r="L3601" s="34">
        <v>2.2400000000000002</v>
      </c>
      <c r="M3601" s="34">
        <v>94451.5</v>
      </c>
      <c r="N3601" s="34">
        <f t="shared" si="113"/>
        <v>11.166500498504488</v>
      </c>
    </row>
    <row r="3602" spans="1:14" x14ac:dyDescent="0.45">
      <c r="A3602" s="30">
        <v>2024</v>
      </c>
      <c r="B3602" s="30" t="s">
        <v>14</v>
      </c>
      <c r="C3602" s="30" t="s">
        <v>46</v>
      </c>
      <c r="D3602" s="30" t="s">
        <v>47</v>
      </c>
      <c r="E3602" s="32" t="s">
        <v>499</v>
      </c>
      <c r="F3602" s="32" t="s">
        <v>81</v>
      </c>
      <c r="G3602" s="32" t="s">
        <v>50</v>
      </c>
      <c r="H3602" s="33">
        <v>63170</v>
      </c>
      <c r="I3602" s="34">
        <f>Table3[[#This Row],[Volume, kg.]]/1000</f>
        <v>63.17</v>
      </c>
      <c r="J3602" s="34">
        <v>0.2029</v>
      </c>
      <c r="K3602" s="34">
        <f t="shared" si="112"/>
        <v>12817.192999999999</v>
      </c>
      <c r="L3602" s="34">
        <v>2.27</v>
      </c>
      <c r="M3602" s="34">
        <v>143092</v>
      </c>
      <c r="N3602" s="34">
        <f t="shared" si="113"/>
        <v>11.187777230162641</v>
      </c>
    </row>
    <row r="3603" spans="1:14" x14ac:dyDescent="0.45">
      <c r="A3603" s="30">
        <v>2024</v>
      </c>
      <c r="B3603" s="30" t="s">
        <v>14</v>
      </c>
      <c r="C3603" s="30" t="s">
        <v>46</v>
      </c>
      <c r="D3603" s="30" t="s">
        <v>47</v>
      </c>
      <c r="E3603" s="32" t="s">
        <v>388</v>
      </c>
      <c r="F3603" s="32" t="s">
        <v>134</v>
      </c>
      <c r="G3603" s="32" t="s">
        <v>50</v>
      </c>
      <c r="H3603" s="33">
        <v>53590</v>
      </c>
      <c r="I3603" s="34">
        <f>Table3[[#This Row],[Volume, kg.]]/1000</f>
        <v>53.59</v>
      </c>
      <c r="J3603" s="34">
        <v>0.1787</v>
      </c>
      <c r="K3603" s="34">
        <f t="shared" si="112"/>
        <v>9576.5329999999994</v>
      </c>
      <c r="L3603" s="34">
        <v>2.16</v>
      </c>
      <c r="M3603" s="34">
        <v>115509</v>
      </c>
      <c r="N3603" s="34">
        <f t="shared" si="113"/>
        <v>12.087297146054841</v>
      </c>
    </row>
    <row r="3604" spans="1:14" x14ac:dyDescent="0.45">
      <c r="A3604" s="30">
        <v>2024</v>
      </c>
      <c r="B3604" s="30" t="s">
        <v>14</v>
      </c>
      <c r="C3604" s="30" t="s">
        <v>46</v>
      </c>
      <c r="D3604" s="30" t="s">
        <v>47</v>
      </c>
      <c r="E3604" s="32" t="s">
        <v>313</v>
      </c>
      <c r="F3604" s="32" t="s">
        <v>60</v>
      </c>
      <c r="G3604" s="32" t="s">
        <v>50</v>
      </c>
      <c r="H3604" s="33">
        <v>67060</v>
      </c>
      <c r="I3604" s="34">
        <f>Table3[[#This Row],[Volume, kg.]]/1000</f>
        <v>67.06</v>
      </c>
      <c r="J3604" s="34">
        <v>0.20569999999999999</v>
      </c>
      <c r="K3604" s="34">
        <f t="shared" si="112"/>
        <v>13794.242</v>
      </c>
      <c r="L3604" s="34">
        <v>2.2200000000000002</v>
      </c>
      <c r="M3604" s="34">
        <v>149138</v>
      </c>
      <c r="N3604" s="34">
        <f t="shared" si="113"/>
        <v>10.792416140009724</v>
      </c>
    </row>
    <row r="3605" spans="1:14" x14ac:dyDescent="0.45">
      <c r="A3605" s="30">
        <v>2024</v>
      </c>
      <c r="B3605" s="30" t="s">
        <v>14</v>
      </c>
      <c r="C3605" s="30" t="s">
        <v>46</v>
      </c>
      <c r="D3605" s="30" t="s">
        <v>47</v>
      </c>
      <c r="E3605" s="32" t="s">
        <v>288</v>
      </c>
      <c r="F3605" s="32" t="s">
        <v>49</v>
      </c>
      <c r="G3605" s="32" t="s">
        <v>50</v>
      </c>
      <c r="H3605" s="33">
        <v>67130</v>
      </c>
      <c r="I3605" s="34">
        <f>Table3[[#This Row],[Volume, kg.]]/1000</f>
        <v>67.13</v>
      </c>
      <c r="J3605" s="34">
        <v>0.18440000000000001</v>
      </c>
      <c r="K3605" s="34">
        <f t="shared" si="112"/>
        <v>12378.772000000001</v>
      </c>
      <c r="L3605" s="34">
        <v>2.16</v>
      </c>
      <c r="M3605" s="34">
        <v>145040</v>
      </c>
      <c r="N3605" s="34">
        <f t="shared" si="113"/>
        <v>11.713665943600867</v>
      </c>
    </row>
    <row r="3606" spans="1:14" x14ac:dyDescent="0.45">
      <c r="A3606" s="30">
        <v>2024</v>
      </c>
      <c r="B3606" s="30" t="s">
        <v>14</v>
      </c>
      <c r="C3606" s="30" t="s">
        <v>46</v>
      </c>
      <c r="D3606" s="30" t="s">
        <v>47</v>
      </c>
      <c r="E3606" s="32" t="s">
        <v>70</v>
      </c>
      <c r="F3606" s="32" t="s">
        <v>49</v>
      </c>
      <c r="G3606" s="32" t="s">
        <v>50</v>
      </c>
      <c r="H3606" s="33">
        <v>244440</v>
      </c>
      <c r="I3606" s="34">
        <f>Table3[[#This Row],[Volume, kg.]]/1000</f>
        <v>244.44</v>
      </c>
      <c r="J3606" s="34">
        <v>0.21820000000000001</v>
      </c>
      <c r="K3606" s="34">
        <f t="shared" si="112"/>
        <v>53336.808000000005</v>
      </c>
      <c r="L3606" s="34">
        <v>2.36</v>
      </c>
      <c r="M3606" s="34">
        <v>577632.5</v>
      </c>
      <c r="N3606" s="34">
        <f t="shared" si="113"/>
        <v>10.815765352887258</v>
      </c>
    </row>
    <row r="3607" spans="1:14" x14ac:dyDescent="0.45">
      <c r="A3607" s="30">
        <v>2024</v>
      </c>
      <c r="B3607" s="30" t="s">
        <v>14</v>
      </c>
      <c r="C3607" s="30" t="s">
        <v>46</v>
      </c>
      <c r="D3607" s="30" t="s">
        <v>47</v>
      </c>
      <c r="E3607" s="32" t="s">
        <v>265</v>
      </c>
      <c r="F3607" s="32" t="s">
        <v>49</v>
      </c>
      <c r="G3607" s="32" t="s">
        <v>50</v>
      </c>
      <c r="H3607" s="33">
        <v>5760</v>
      </c>
      <c r="I3607" s="34">
        <f>Table3[[#This Row],[Volume, kg.]]/1000</f>
        <v>5.76</v>
      </c>
      <c r="J3607" s="34">
        <v>0.20899999999999999</v>
      </c>
      <c r="K3607" s="34">
        <f t="shared" si="112"/>
        <v>1203.8399999999999</v>
      </c>
      <c r="L3607" s="34">
        <v>2.35</v>
      </c>
      <c r="M3607" s="34">
        <v>13536</v>
      </c>
      <c r="N3607" s="34">
        <f t="shared" si="113"/>
        <v>11.244019138755982</v>
      </c>
    </row>
    <row r="3608" spans="1:14" x14ac:dyDescent="0.45">
      <c r="A3608" s="30">
        <v>2024</v>
      </c>
      <c r="B3608" s="30" t="s">
        <v>14</v>
      </c>
      <c r="C3608" s="30" t="s">
        <v>46</v>
      </c>
      <c r="D3608" s="30" t="s">
        <v>47</v>
      </c>
      <c r="E3608" s="32" t="s">
        <v>467</v>
      </c>
      <c r="F3608" s="32" t="s">
        <v>57</v>
      </c>
      <c r="G3608" s="32" t="s">
        <v>50</v>
      </c>
      <c r="H3608" s="33">
        <v>39830</v>
      </c>
      <c r="I3608" s="34">
        <f>Table3[[#This Row],[Volume, kg.]]/1000</f>
        <v>39.83</v>
      </c>
      <c r="J3608" s="34">
        <v>0.2379</v>
      </c>
      <c r="K3608" s="34">
        <f t="shared" si="112"/>
        <v>9475.5570000000007</v>
      </c>
      <c r="L3608" s="34">
        <v>2.46</v>
      </c>
      <c r="M3608" s="34">
        <v>98054</v>
      </c>
      <c r="N3608" s="34">
        <f t="shared" si="113"/>
        <v>10.34047919293821</v>
      </c>
    </row>
    <row r="3609" spans="1:14" x14ac:dyDescent="0.45">
      <c r="A3609" s="30">
        <v>2024</v>
      </c>
      <c r="B3609" s="30" t="s">
        <v>14</v>
      </c>
      <c r="C3609" s="30" t="s">
        <v>46</v>
      </c>
      <c r="D3609" s="30" t="s">
        <v>47</v>
      </c>
      <c r="E3609" s="32" t="s">
        <v>500</v>
      </c>
      <c r="F3609" s="32" t="s">
        <v>49</v>
      </c>
      <c r="G3609" s="32" t="s">
        <v>50</v>
      </c>
      <c r="H3609" s="33">
        <v>10510</v>
      </c>
      <c r="I3609" s="34">
        <f>Table3[[#This Row],[Volume, kg.]]/1000</f>
        <v>10.51</v>
      </c>
      <c r="J3609" s="34">
        <v>0.21719999999999998</v>
      </c>
      <c r="K3609" s="34">
        <f t="shared" si="112"/>
        <v>2282.7719999999999</v>
      </c>
      <c r="L3609" s="34">
        <v>2.34</v>
      </c>
      <c r="M3609" s="34">
        <v>24554</v>
      </c>
      <c r="N3609" s="34">
        <f t="shared" si="113"/>
        <v>10.773480662983426</v>
      </c>
    </row>
    <row r="3610" spans="1:14" x14ac:dyDescent="0.45">
      <c r="A3610" s="30">
        <v>2024</v>
      </c>
      <c r="B3610" s="30" t="s">
        <v>14</v>
      </c>
      <c r="C3610" s="30" t="s">
        <v>46</v>
      </c>
      <c r="D3610" s="30" t="s">
        <v>47</v>
      </c>
      <c r="E3610" s="32" t="s">
        <v>192</v>
      </c>
      <c r="F3610" s="32" t="s">
        <v>49</v>
      </c>
      <c r="G3610" s="32" t="s">
        <v>50</v>
      </c>
      <c r="H3610" s="33">
        <v>29450</v>
      </c>
      <c r="I3610" s="34">
        <f>Table3[[#This Row],[Volume, kg.]]/1000</f>
        <v>29.45</v>
      </c>
      <c r="J3610" s="34">
        <v>0.21429999999999999</v>
      </c>
      <c r="K3610" s="34">
        <f t="shared" si="112"/>
        <v>6311.1349999999993</v>
      </c>
      <c r="L3610" s="34">
        <v>2.35</v>
      </c>
      <c r="M3610" s="34">
        <v>69218</v>
      </c>
      <c r="N3610" s="34">
        <f t="shared" si="113"/>
        <v>10.965935604293048</v>
      </c>
    </row>
    <row r="3611" spans="1:14" x14ac:dyDescent="0.45">
      <c r="A3611" s="30">
        <v>2024</v>
      </c>
      <c r="B3611" s="30" t="s">
        <v>14</v>
      </c>
      <c r="C3611" s="30" t="s">
        <v>46</v>
      </c>
      <c r="D3611" s="30" t="s">
        <v>47</v>
      </c>
      <c r="E3611" s="32" t="s">
        <v>277</v>
      </c>
      <c r="F3611" s="32" t="s">
        <v>60</v>
      </c>
      <c r="G3611" s="32" t="s">
        <v>50</v>
      </c>
      <c r="H3611" s="33">
        <v>24830</v>
      </c>
      <c r="I3611" s="34">
        <f>Table3[[#This Row],[Volume, kg.]]/1000</f>
        <v>24.83</v>
      </c>
      <c r="J3611" s="34">
        <v>0.21960000000000002</v>
      </c>
      <c r="K3611" s="34">
        <f t="shared" si="112"/>
        <v>5452.6680000000006</v>
      </c>
      <c r="L3611" s="34">
        <v>2.25</v>
      </c>
      <c r="M3611" s="34">
        <v>55853</v>
      </c>
      <c r="N3611" s="34">
        <f t="shared" si="113"/>
        <v>10.245901639344261</v>
      </c>
    </row>
    <row r="3612" spans="1:14" x14ac:dyDescent="0.45">
      <c r="A3612" s="30">
        <v>2024</v>
      </c>
      <c r="B3612" s="30" t="s">
        <v>14</v>
      </c>
      <c r="C3612" s="30" t="s">
        <v>46</v>
      </c>
      <c r="D3612" s="30" t="s">
        <v>47</v>
      </c>
      <c r="E3612" s="32" t="s">
        <v>324</v>
      </c>
      <c r="F3612" s="32" t="s">
        <v>81</v>
      </c>
      <c r="G3612" s="32" t="s">
        <v>50</v>
      </c>
      <c r="H3612" s="33">
        <v>150590</v>
      </c>
      <c r="I3612" s="34">
        <f>Table3[[#This Row],[Volume, kg.]]/1000</f>
        <v>150.59</v>
      </c>
      <c r="J3612" s="34">
        <v>0.2112</v>
      </c>
      <c r="K3612" s="34">
        <f t="shared" si="112"/>
        <v>31804.608</v>
      </c>
      <c r="L3612" s="34">
        <v>2.3199999999999998</v>
      </c>
      <c r="M3612" s="34">
        <v>349208</v>
      </c>
      <c r="N3612" s="34">
        <f t="shared" si="113"/>
        <v>10.984848484848484</v>
      </c>
    </row>
    <row r="3613" spans="1:14" x14ac:dyDescent="0.45">
      <c r="A3613" s="30">
        <v>2024</v>
      </c>
      <c r="B3613" s="30" t="s">
        <v>14</v>
      </c>
      <c r="C3613" s="30" t="s">
        <v>46</v>
      </c>
      <c r="D3613" s="30" t="s">
        <v>47</v>
      </c>
      <c r="E3613" s="32" t="s">
        <v>74</v>
      </c>
      <c r="F3613" s="32" t="s">
        <v>49</v>
      </c>
      <c r="G3613" s="32" t="s">
        <v>50</v>
      </c>
      <c r="H3613" s="33">
        <v>90240</v>
      </c>
      <c r="I3613" s="34">
        <f>Table3[[#This Row],[Volume, kg.]]/1000</f>
        <v>90.24</v>
      </c>
      <c r="J3613" s="34">
        <v>0.21739999999999998</v>
      </c>
      <c r="K3613" s="34">
        <f t="shared" si="112"/>
        <v>19618.175999999999</v>
      </c>
      <c r="L3613" s="34">
        <v>2.33</v>
      </c>
      <c r="M3613" s="34">
        <v>209927.5</v>
      </c>
      <c r="N3613" s="34">
        <f t="shared" si="113"/>
        <v>10.717571297148115</v>
      </c>
    </row>
    <row r="3614" spans="1:14" x14ac:dyDescent="0.45">
      <c r="A3614" s="30">
        <v>2024</v>
      </c>
      <c r="B3614" s="30" t="s">
        <v>14</v>
      </c>
      <c r="C3614" s="30" t="s">
        <v>46</v>
      </c>
      <c r="D3614" s="30" t="s">
        <v>47</v>
      </c>
      <c r="E3614" s="32" t="s">
        <v>135</v>
      </c>
      <c r="F3614" s="32" t="s">
        <v>49</v>
      </c>
      <c r="G3614" s="32" t="s">
        <v>50</v>
      </c>
      <c r="H3614" s="33">
        <v>13370</v>
      </c>
      <c r="I3614" s="34">
        <f>Table3[[#This Row],[Volume, kg.]]/1000</f>
        <v>13.37</v>
      </c>
      <c r="J3614" s="34">
        <v>0.14899999999999999</v>
      </c>
      <c r="K3614" s="34">
        <f t="shared" si="112"/>
        <v>1992.1299999999999</v>
      </c>
      <c r="L3614" s="34">
        <v>2</v>
      </c>
      <c r="M3614" s="34">
        <v>26740</v>
      </c>
      <c r="N3614" s="34">
        <f t="shared" si="113"/>
        <v>13.422818791946309</v>
      </c>
    </row>
    <row r="3615" spans="1:14" x14ac:dyDescent="0.45">
      <c r="A3615" s="30">
        <v>2024</v>
      </c>
      <c r="B3615" s="30" t="s">
        <v>14</v>
      </c>
      <c r="C3615" s="30" t="s">
        <v>46</v>
      </c>
      <c r="D3615" s="30" t="s">
        <v>47</v>
      </c>
      <c r="E3615" s="32" t="s">
        <v>125</v>
      </c>
      <c r="F3615" s="32" t="s">
        <v>60</v>
      </c>
      <c r="G3615" s="32" t="s">
        <v>50</v>
      </c>
      <c r="H3615" s="33">
        <v>60020</v>
      </c>
      <c r="I3615" s="34">
        <f>Table3[[#This Row],[Volume, kg.]]/1000</f>
        <v>60.02</v>
      </c>
      <c r="J3615" s="34">
        <v>0.21840000000000001</v>
      </c>
      <c r="K3615" s="34">
        <f t="shared" si="112"/>
        <v>13108.368</v>
      </c>
      <c r="L3615" s="34">
        <v>2.27</v>
      </c>
      <c r="M3615" s="34">
        <v>136440</v>
      </c>
      <c r="N3615" s="34">
        <f t="shared" si="113"/>
        <v>10.393772893772894</v>
      </c>
    </row>
    <row r="3616" spans="1:14" x14ac:dyDescent="0.45">
      <c r="A3616" s="30">
        <v>2024</v>
      </c>
      <c r="B3616" s="30" t="s">
        <v>14</v>
      </c>
      <c r="C3616" s="30" t="s">
        <v>46</v>
      </c>
      <c r="D3616" s="30" t="s">
        <v>47</v>
      </c>
      <c r="E3616" s="32" t="s">
        <v>390</v>
      </c>
      <c r="F3616" s="32" t="s">
        <v>60</v>
      </c>
      <c r="G3616" s="32" t="s">
        <v>50</v>
      </c>
      <c r="H3616" s="33">
        <v>14330</v>
      </c>
      <c r="I3616" s="34">
        <f>Table3[[#This Row],[Volume, kg.]]/1000</f>
        <v>14.33</v>
      </c>
      <c r="J3616" s="34">
        <v>0.1953</v>
      </c>
      <c r="K3616" s="34">
        <f t="shared" si="112"/>
        <v>2798.6489999999999</v>
      </c>
      <c r="L3616" s="34">
        <v>2.21</v>
      </c>
      <c r="M3616" s="34">
        <v>31733</v>
      </c>
      <c r="N3616" s="34">
        <f t="shared" si="113"/>
        <v>11.315924219150025</v>
      </c>
    </row>
    <row r="3617" spans="1:14" x14ac:dyDescent="0.45">
      <c r="A3617" s="30">
        <v>2024</v>
      </c>
      <c r="B3617" s="30" t="s">
        <v>14</v>
      </c>
      <c r="C3617" s="30" t="s">
        <v>46</v>
      </c>
      <c r="D3617" s="30" t="s">
        <v>47</v>
      </c>
      <c r="E3617" s="32" t="s">
        <v>144</v>
      </c>
      <c r="F3617" s="32" t="s">
        <v>49</v>
      </c>
      <c r="G3617" s="32" t="s">
        <v>50</v>
      </c>
      <c r="H3617" s="33">
        <v>169390</v>
      </c>
      <c r="I3617" s="34">
        <f>Table3[[#This Row],[Volume, kg.]]/1000</f>
        <v>169.39</v>
      </c>
      <c r="J3617" s="34">
        <v>0.20250000000000001</v>
      </c>
      <c r="K3617" s="34">
        <f t="shared" si="112"/>
        <v>34301.475000000006</v>
      </c>
      <c r="L3617" s="34">
        <v>2.25</v>
      </c>
      <c r="M3617" s="34">
        <v>381797</v>
      </c>
      <c r="N3617" s="34">
        <f t="shared" si="113"/>
        <v>11.111111111111111</v>
      </c>
    </row>
    <row r="3618" spans="1:14" x14ac:dyDescent="0.45">
      <c r="A3618" s="30">
        <v>2024</v>
      </c>
      <c r="B3618" s="30" t="s">
        <v>14</v>
      </c>
      <c r="C3618" s="30" t="s">
        <v>46</v>
      </c>
      <c r="D3618" s="30" t="s">
        <v>47</v>
      </c>
      <c r="E3618" s="32" t="s">
        <v>501</v>
      </c>
      <c r="F3618" s="32" t="s">
        <v>81</v>
      </c>
      <c r="G3618" s="32" t="s">
        <v>50</v>
      </c>
      <c r="H3618" s="33">
        <v>14640</v>
      </c>
      <c r="I3618" s="34">
        <f>Table3[[#This Row],[Volume, kg.]]/1000</f>
        <v>14.64</v>
      </c>
      <c r="J3618" s="34">
        <v>0.19500000000000001</v>
      </c>
      <c r="K3618" s="34">
        <f t="shared" si="112"/>
        <v>2854.8</v>
      </c>
      <c r="L3618" s="34">
        <v>2.06</v>
      </c>
      <c r="M3618" s="34">
        <v>30216</v>
      </c>
      <c r="N3618" s="34">
        <f t="shared" si="113"/>
        <v>10.564102564102564</v>
      </c>
    </row>
    <row r="3619" spans="1:14" x14ac:dyDescent="0.45">
      <c r="A3619" s="30">
        <v>2024</v>
      </c>
      <c r="B3619" s="30" t="s">
        <v>14</v>
      </c>
      <c r="C3619" s="30" t="s">
        <v>46</v>
      </c>
      <c r="D3619" s="30" t="s">
        <v>47</v>
      </c>
      <c r="E3619" s="32" t="s">
        <v>469</v>
      </c>
      <c r="F3619" s="32" t="s">
        <v>57</v>
      </c>
      <c r="G3619" s="32" t="s">
        <v>50</v>
      </c>
      <c r="H3619" s="33">
        <v>24170</v>
      </c>
      <c r="I3619" s="34">
        <f>Table3[[#This Row],[Volume, kg.]]/1000</f>
        <v>24.17</v>
      </c>
      <c r="J3619" s="34">
        <v>0.2273</v>
      </c>
      <c r="K3619" s="34">
        <f t="shared" si="112"/>
        <v>5493.8410000000003</v>
      </c>
      <c r="L3619" s="34">
        <v>2.36</v>
      </c>
      <c r="M3619" s="34">
        <v>56997.5</v>
      </c>
      <c r="N3619" s="34">
        <f t="shared" si="113"/>
        <v>10.382754069511657</v>
      </c>
    </row>
    <row r="3620" spans="1:14" x14ac:dyDescent="0.45">
      <c r="A3620" s="30">
        <v>2024</v>
      </c>
      <c r="B3620" s="30" t="s">
        <v>14</v>
      </c>
      <c r="C3620" s="30" t="s">
        <v>46</v>
      </c>
      <c r="D3620" s="30" t="s">
        <v>47</v>
      </c>
      <c r="E3620" s="32" t="s">
        <v>283</v>
      </c>
      <c r="F3620" s="32" t="s">
        <v>49</v>
      </c>
      <c r="G3620" s="32" t="s">
        <v>50</v>
      </c>
      <c r="H3620" s="33">
        <v>9080</v>
      </c>
      <c r="I3620" s="34">
        <f>Table3[[#This Row],[Volume, kg.]]/1000</f>
        <v>9.08</v>
      </c>
      <c r="J3620" s="34">
        <v>0.14749999999999999</v>
      </c>
      <c r="K3620" s="34">
        <f t="shared" si="112"/>
        <v>1339.3</v>
      </c>
      <c r="L3620" s="34">
        <v>2</v>
      </c>
      <c r="M3620" s="34">
        <v>18160</v>
      </c>
      <c r="N3620" s="34">
        <f t="shared" si="113"/>
        <v>13.559322033898306</v>
      </c>
    </row>
    <row r="3621" spans="1:14" x14ac:dyDescent="0.45">
      <c r="A3621" s="30">
        <v>2024</v>
      </c>
      <c r="B3621" s="30" t="s">
        <v>14</v>
      </c>
      <c r="C3621" s="30" t="s">
        <v>46</v>
      </c>
      <c r="D3621" s="30" t="s">
        <v>47</v>
      </c>
      <c r="E3621" s="32" t="s">
        <v>147</v>
      </c>
      <c r="F3621" s="32" t="s">
        <v>57</v>
      </c>
      <c r="G3621" s="32" t="s">
        <v>50</v>
      </c>
      <c r="H3621" s="33">
        <v>92220</v>
      </c>
      <c r="I3621" s="34">
        <f>Table3[[#This Row],[Volume, kg.]]/1000</f>
        <v>92.22</v>
      </c>
      <c r="J3621" s="34">
        <v>0.21559999999999999</v>
      </c>
      <c r="K3621" s="34">
        <f t="shared" si="112"/>
        <v>19882.631999999998</v>
      </c>
      <c r="L3621" s="34">
        <v>2.35</v>
      </c>
      <c r="M3621" s="34">
        <v>216411.5</v>
      </c>
      <c r="N3621" s="34">
        <f t="shared" si="113"/>
        <v>10.899814471243044</v>
      </c>
    </row>
    <row r="3622" spans="1:14" x14ac:dyDescent="0.45">
      <c r="A3622" s="30">
        <v>2024</v>
      </c>
      <c r="B3622" s="30" t="s">
        <v>14</v>
      </c>
      <c r="C3622" s="30" t="s">
        <v>46</v>
      </c>
      <c r="D3622" s="30" t="s">
        <v>47</v>
      </c>
      <c r="E3622" s="32" t="s">
        <v>502</v>
      </c>
      <c r="F3622" s="32" t="s">
        <v>49</v>
      </c>
      <c r="G3622" s="32" t="s">
        <v>50</v>
      </c>
      <c r="H3622" s="33">
        <v>23240</v>
      </c>
      <c r="I3622" s="34">
        <f>Table3[[#This Row],[Volume, kg.]]/1000</f>
        <v>23.24</v>
      </c>
      <c r="J3622" s="34">
        <v>0.21379999999999999</v>
      </c>
      <c r="K3622" s="34">
        <f t="shared" si="112"/>
        <v>4968.7119999999995</v>
      </c>
      <c r="L3622" s="34">
        <v>2.2400000000000002</v>
      </c>
      <c r="M3622" s="34">
        <v>52050.5</v>
      </c>
      <c r="N3622" s="34">
        <f t="shared" si="113"/>
        <v>10.47708138447147</v>
      </c>
    </row>
    <row r="3623" spans="1:14" x14ac:dyDescent="0.45">
      <c r="A3623" s="30">
        <v>2024</v>
      </c>
      <c r="B3623" s="30" t="s">
        <v>14</v>
      </c>
      <c r="C3623" s="30" t="s">
        <v>46</v>
      </c>
      <c r="D3623" s="30" t="s">
        <v>47</v>
      </c>
      <c r="E3623" s="32" t="s">
        <v>210</v>
      </c>
      <c r="F3623" s="32" t="s">
        <v>60</v>
      </c>
      <c r="G3623" s="32" t="s">
        <v>50</v>
      </c>
      <c r="H3623" s="33">
        <v>45410</v>
      </c>
      <c r="I3623" s="34">
        <f>Table3[[#This Row],[Volume, kg.]]/1000</f>
        <v>45.41</v>
      </c>
      <c r="J3623" s="34">
        <v>0.22579999999999997</v>
      </c>
      <c r="K3623" s="34">
        <f t="shared" si="112"/>
        <v>10253.578</v>
      </c>
      <c r="L3623" s="34">
        <v>2.34</v>
      </c>
      <c r="M3623" s="34">
        <v>106465.5</v>
      </c>
      <c r="N3623" s="34">
        <f t="shared" si="113"/>
        <v>10.363153232949513</v>
      </c>
    </row>
    <row r="3624" spans="1:14" x14ac:dyDescent="0.45">
      <c r="A3624" s="30">
        <v>2024</v>
      </c>
      <c r="B3624" s="30" t="s">
        <v>14</v>
      </c>
      <c r="C3624" s="30" t="s">
        <v>46</v>
      </c>
      <c r="D3624" s="30" t="s">
        <v>47</v>
      </c>
      <c r="E3624" s="32" t="s">
        <v>253</v>
      </c>
      <c r="F3624" s="32" t="s">
        <v>57</v>
      </c>
      <c r="G3624" s="32" t="s">
        <v>50</v>
      </c>
      <c r="H3624" s="33">
        <v>70660</v>
      </c>
      <c r="I3624" s="34">
        <f>Table3[[#This Row],[Volume, kg.]]/1000</f>
        <v>70.66</v>
      </c>
      <c r="J3624" s="34">
        <v>0.21390000000000001</v>
      </c>
      <c r="K3624" s="34">
        <f t="shared" si="112"/>
        <v>15114.174000000001</v>
      </c>
      <c r="L3624" s="34">
        <v>2.2999999999999998</v>
      </c>
      <c r="M3624" s="34">
        <v>162284</v>
      </c>
      <c r="N3624" s="34">
        <f t="shared" si="113"/>
        <v>10.75268817204301</v>
      </c>
    </row>
    <row r="3625" spans="1:14" x14ac:dyDescent="0.45">
      <c r="A3625" s="30">
        <v>2024</v>
      </c>
      <c r="B3625" s="30" t="s">
        <v>14</v>
      </c>
      <c r="C3625" s="30" t="s">
        <v>46</v>
      </c>
      <c r="D3625" s="30" t="s">
        <v>47</v>
      </c>
      <c r="E3625" s="32" t="s">
        <v>667</v>
      </c>
      <c r="F3625" s="32" t="s">
        <v>60</v>
      </c>
      <c r="G3625" s="32" t="s">
        <v>50</v>
      </c>
      <c r="H3625" s="33">
        <v>16310</v>
      </c>
      <c r="I3625" s="34">
        <f>Table3[[#This Row],[Volume, kg.]]/1000</f>
        <v>16.309999999999999</v>
      </c>
      <c r="J3625" s="34">
        <v>0.183</v>
      </c>
      <c r="K3625" s="34">
        <f t="shared" si="112"/>
        <v>2984.73</v>
      </c>
      <c r="L3625" s="34">
        <v>2.0699999999999998</v>
      </c>
      <c r="M3625" s="34">
        <v>33681.5</v>
      </c>
      <c r="N3625" s="34">
        <f t="shared" si="113"/>
        <v>11.311475409836065</v>
      </c>
    </row>
    <row r="3626" spans="1:14" x14ac:dyDescent="0.45">
      <c r="A3626" s="30">
        <v>2024</v>
      </c>
      <c r="B3626" s="30" t="s">
        <v>14</v>
      </c>
      <c r="C3626" s="30" t="s">
        <v>46</v>
      </c>
      <c r="D3626" s="30" t="s">
        <v>47</v>
      </c>
      <c r="E3626" s="32" t="s">
        <v>171</v>
      </c>
      <c r="F3626" s="32" t="s">
        <v>49</v>
      </c>
      <c r="G3626" s="32" t="s">
        <v>50</v>
      </c>
      <c r="H3626" s="33">
        <v>11270</v>
      </c>
      <c r="I3626" s="34">
        <f>Table3[[#This Row],[Volume, kg.]]/1000</f>
        <v>11.27</v>
      </c>
      <c r="J3626" s="34">
        <v>0.20449999999999999</v>
      </c>
      <c r="K3626" s="34">
        <f t="shared" si="112"/>
        <v>2304.7149999999997</v>
      </c>
      <c r="L3626" s="34">
        <v>2.27</v>
      </c>
      <c r="M3626" s="34">
        <v>25602.5</v>
      </c>
      <c r="N3626" s="34">
        <f t="shared" si="113"/>
        <v>11.100244498777506</v>
      </c>
    </row>
    <row r="3627" spans="1:14" x14ac:dyDescent="0.45">
      <c r="A3627" s="30">
        <v>2024</v>
      </c>
      <c r="B3627" s="30" t="s">
        <v>14</v>
      </c>
      <c r="C3627" s="30" t="s">
        <v>46</v>
      </c>
      <c r="D3627" s="30" t="s">
        <v>47</v>
      </c>
      <c r="E3627" s="32" t="s">
        <v>233</v>
      </c>
      <c r="F3627" s="32" t="s">
        <v>57</v>
      </c>
      <c r="G3627" s="32" t="s">
        <v>50</v>
      </c>
      <c r="H3627" s="33">
        <v>74430</v>
      </c>
      <c r="I3627" s="34">
        <f>Table3[[#This Row],[Volume, kg.]]/1000</f>
        <v>74.430000000000007</v>
      </c>
      <c r="J3627" s="34">
        <v>0.2321</v>
      </c>
      <c r="K3627" s="34">
        <f t="shared" si="112"/>
        <v>17275.203000000001</v>
      </c>
      <c r="L3627" s="34">
        <v>2.44</v>
      </c>
      <c r="M3627" s="34">
        <v>181520</v>
      </c>
      <c r="N3627" s="34">
        <f t="shared" si="113"/>
        <v>10.512710038776389</v>
      </c>
    </row>
    <row r="3628" spans="1:14" x14ac:dyDescent="0.45">
      <c r="A3628" s="30">
        <v>2024</v>
      </c>
      <c r="B3628" s="30" t="s">
        <v>14</v>
      </c>
      <c r="C3628" s="30" t="s">
        <v>46</v>
      </c>
      <c r="D3628" s="30" t="s">
        <v>47</v>
      </c>
      <c r="E3628" s="32" t="s">
        <v>89</v>
      </c>
      <c r="F3628" s="32" t="s">
        <v>81</v>
      </c>
      <c r="G3628" s="32" t="s">
        <v>50</v>
      </c>
      <c r="H3628" s="33">
        <v>18740</v>
      </c>
      <c r="I3628" s="34">
        <f>Table3[[#This Row],[Volume, kg.]]/1000</f>
        <v>18.739999999999998</v>
      </c>
      <c r="J3628" s="34">
        <v>0.2225</v>
      </c>
      <c r="K3628" s="34">
        <f t="shared" si="112"/>
        <v>4169.6499999999996</v>
      </c>
      <c r="L3628" s="34">
        <v>2.4</v>
      </c>
      <c r="M3628" s="34">
        <v>45003</v>
      </c>
      <c r="N3628" s="34">
        <f t="shared" si="113"/>
        <v>10.786516853932584</v>
      </c>
    </row>
    <row r="3629" spans="1:14" x14ac:dyDescent="0.45">
      <c r="A3629" s="30">
        <v>2024</v>
      </c>
      <c r="B3629" s="30" t="s">
        <v>14</v>
      </c>
      <c r="C3629" s="30" t="s">
        <v>46</v>
      </c>
      <c r="D3629" s="30" t="s">
        <v>47</v>
      </c>
      <c r="E3629" s="32" t="s">
        <v>90</v>
      </c>
      <c r="F3629" s="32" t="s">
        <v>49</v>
      </c>
      <c r="G3629" s="32" t="s">
        <v>50</v>
      </c>
      <c r="H3629" s="33">
        <v>133460</v>
      </c>
      <c r="I3629" s="34">
        <f>Table3[[#This Row],[Volume, kg.]]/1000</f>
        <v>133.46</v>
      </c>
      <c r="J3629" s="34">
        <v>0.22219999999999998</v>
      </c>
      <c r="K3629" s="34">
        <f t="shared" si="112"/>
        <v>29654.811999999998</v>
      </c>
      <c r="L3629" s="34">
        <v>2.38</v>
      </c>
      <c r="M3629" s="34">
        <v>318085.5</v>
      </c>
      <c r="N3629" s="34">
        <f t="shared" si="113"/>
        <v>10.711071107110712</v>
      </c>
    </row>
    <row r="3630" spans="1:14" x14ac:dyDescent="0.45">
      <c r="A3630" s="30">
        <v>2024</v>
      </c>
      <c r="B3630" s="30" t="s">
        <v>14</v>
      </c>
      <c r="C3630" s="30" t="s">
        <v>46</v>
      </c>
      <c r="D3630" s="30" t="s">
        <v>47</v>
      </c>
      <c r="E3630" s="32" t="s">
        <v>275</v>
      </c>
      <c r="F3630" s="32" t="s">
        <v>54</v>
      </c>
      <c r="G3630" s="32" t="s">
        <v>50</v>
      </c>
      <c r="H3630" s="33">
        <v>61810</v>
      </c>
      <c r="I3630" s="34">
        <f>Table3[[#This Row],[Volume, kg.]]/1000</f>
        <v>61.81</v>
      </c>
      <c r="J3630" s="34">
        <v>0.2079</v>
      </c>
      <c r="K3630" s="34">
        <f t="shared" si="112"/>
        <v>12850.299000000001</v>
      </c>
      <c r="L3630" s="34">
        <v>2.2999999999999998</v>
      </c>
      <c r="M3630" s="34">
        <v>142382</v>
      </c>
      <c r="N3630" s="34">
        <f t="shared" si="113"/>
        <v>11.063011063011063</v>
      </c>
    </row>
    <row r="3631" spans="1:14" x14ac:dyDescent="0.45">
      <c r="A3631" s="30">
        <v>2024</v>
      </c>
      <c r="B3631" s="30" t="s">
        <v>14</v>
      </c>
      <c r="C3631" s="30" t="s">
        <v>46</v>
      </c>
      <c r="D3631" s="30" t="s">
        <v>47</v>
      </c>
      <c r="E3631" s="32" t="s">
        <v>362</v>
      </c>
      <c r="F3631" s="32" t="s">
        <v>49</v>
      </c>
      <c r="G3631" s="32" t="s">
        <v>50</v>
      </c>
      <c r="H3631" s="33">
        <v>12660</v>
      </c>
      <c r="I3631" s="34">
        <f>Table3[[#This Row],[Volume, kg.]]/1000</f>
        <v>12.66</v>
      </c>
      <c r="J3631" s="34">
        <v>0.19450000000000001</v>
      </c>
      <c r="K3631" s="34">
        <f t="shared" si="112"/>
        <v>2462.37</v>
      </c>
      <c r="L3631" s="34">
        <v>2</v>
      </c>
      <c r="M3631" s="34">
        <v>25320</v>
      </c>
      <c r="N3631" s="34">
        <f t="shared" si="113"/>
        <v>10.282776349614396</v>
      </c>
    </row>
    <row r="3632" spans="1:14" x14ac:dyDescent="0.45">
      <c r="A3632" s="30">
        <v>2024</v>
      </c>
      <c r="B3632" s="30" t="s">
        <v>14</v>
      </c>
      <c r="C3632" s="30" t="s">
        <v>46</v>
      </c>
      <c r="D3632" s="30" t="s">
        <v>47</v>
      </c>
      <c r="E3632" s="32" t="s">
        <v>88</v>
      </c>
      <c r="F3632" s="32" t="s">
        <v>49</v>
      </c>
      <c r="G3632" s="32" t="s">
        <v>50</v>
      </c>
      <c r="H3632" s="33">
        <v>60050</v>
      </c>
      <c r="I3632" s="34">
        <f>Table3[[#This Row],[Volume, kg.]]/1000</f>
        <v>60.05</v>
      </c>
      <c r="J3632" s="34">
        <v>0.2402</v>
      </c>
      <c r="K3632" s="34">
        <f t="shared" si="112"/>
        <v>14424.01</v>
      </c>
      <c r="L3632" s="34">
        <v>2.4700000000000002</v>
      </c>
      <c r="M3632" s="34">
        <v>148192.5</v>
      </c>
      <c r="N3632" s="34">
        <f t="shared" si="113"/>
        <v>10.283097418817652</v>
      </c>
    </row>
    <row r="3633" spans="1:14" x14ac:dyDescent="0.45">
      <c r="A3633" s="30">
        <v>2024</v>
      </c>
      <c r="B3633" s="30" t="s">
        <v>14</v>
      </c>
      <c r="C3633" s="30" t="s">
        <v>46</v>
      </c>
      <c r="D3633" s="30" t="s">
        <v>47</v>
      </c>
      <c r="E3633" s="32" t="s">
        <v>599</v>
      </c>
      <c r="F3633" s="32" t="s">
        <v>57</v>
      </c>
      <c r="G3633" s="32" t="s">
        <v>50</v>
      </c>
      <c r="H3633" s="33">
        <v>79720</v>
      </c>
      <c r="I3633" s="34">
        <f>Table3[[#This Row],[Volume, kg.]]/1000</f>
        <v>79.72</v>
      </c>
      <c r="J3633" s="34">
        <v>0.22219999999999998</v>
      </c>
      <c r="K3633" s="34">
        <f t="shared" si="112"/>
        <v>17713.784</v>
      </c>
      <c r="L3633" s="34">
        <v>2.33</v>
      </c>
      <c r="M3633" s="34">
        <v>185612</v>
      </c>
      <c r="N3633" s="34">
        <f t="shared" si="113"/>
        <v>10.486048604860487</v>
      </c>
    </row>
    <row r="3634" spans="1:14" x14ac:dyDescent="0.45">
      <c r="A3634" s="30">
        <v>2024</v>
      </c>
      <c r="B3634" s="30" t="s">
        <v>14</v>
      </c>
      <c r="C3634" s="30" t="s">
        <v>46</v>
      </c>
      <c r="D3634" s="30" t="s">
        <v>47</v>
      </c>
      <c r="E3634" s="32" t="s">
        <v>311</v>
      </c>
      <c r="F3634" s="32" t="s">
        <v>57</v>
      </c>
      <c r="G3634" s="32" t="s">
        <v>50</v>
      </c>
      <c r="H3634" s="33">
        <v>3540</v>
      </c>
      <c r="I3634" s="34">
        <f>Table3[[#This Row],[Volume, kg.]]/1000</f>
        <v>3.54</v>
      </c>
      <c r="J3634" s="34">
        <v>0.23230000000000001</v>
      </c>
      <c r="K3634" s="34">
        <f t="shared" si="112"/>
        <v>822.34199999999998</v>
      </c>
      <c r="L3634" s="34">
        <v>2.4500000000000002</v>
      </c>
      <c r="M3634" s="34">
        <v>8673</v>
      </c>
      <c r="N3634" s="34">
        <f t="shared" si="113"/>
        <v>10.546706844597503</v>
      </c>
    </row>
    <row r="3635" spans="1:14" x14ac:dyDescent="0.45">
      <c r="A3635" s="30">
        <v>2024</v>
      </c>
      <c r="B3635" s="30" t="s">
        <v>14</v>
      </c>
      <c r="C3635" s="30" t="s">
        <v>46</v>
      </c>
      <c r="D3635" s="30" t="s">
        <v>47</v>
      </c>
      <c r="E3635" s="32" t="s">
        <v>361</v>
      </c>
      <c r="F3635" s="32" t="s">
        <v>57</v>
      </c>
      <c r="G3635" s="32" t="s">
        <v>50</v>
      </c>
      <c r="H3635" s="33">
        <v>61270</v>
      </c>
      <c r="I3635" s="34">
        <f>Table3[[#This Row],[Volume, kg.]]/1000</f>
        <v>61.27</v>
      </c>
      <c r="J3635" s="34">
        <v>0.22500000000000001</v>
      </c>
      <c r="K3635" s="34">
        <f t="shared" si="112"/>
        <v>13785.75</v>
      </c>
      <c r="L3635" s="34">
        <v>2.37</v>
      </c>
      <c r="M3635" s="34">
        <v>145450</v>
      </c>
      <c r="N3635" s="34">
        <f t="shared" si="113"/>
        <v>10.533333333333333</v>
      </c>
    </row>
    <row r="3636" spans="1:14" x14ac:dyDescent="0.45">
      <c r="A3636" s="30">
        <v>2024</v>
      </c>
      <c r="B3636" s="30" t="s">
        <v>14</v>
      </c>
      <c r="C3636" s="30" t="s">
        <v>46</v>
      </c>
      <c r="D3636" s="30" t="s">
        <v>47</v>
      </c>
      <c r="E3636" s="32" t="s">
        <v>356</v>
      </c>
      <c r="F3636" s="32" t="s">
        <v>49</v>
      </c>
      <c r="G3636" s="32" t="s">
        <v>50</v>
      </c>
      <c r="H3636" s="33">
        <v>10030</v>
      </c>
      <c r="I3636" s="34">
        <f>Table3[[#This Row],[Volume, kg.]]/1000</f>
        <v>10.029999999999999</v>
      </c>
      <c r="J3636" s="34">
        <v>0.2094</v>
      </c>
      <c r="K3636" s="34">
        <f t="shared" si="112"/>
        <v>2100.2820000000002</v>
      </c>
      <c r="L3636" s="34">
        <v>2.3199999999999998</v>
      </c>
      <c r="M3636" s="34">
        <v>23219.5</v>
      </c>
      <c r="N3636" s="34">
        <f t="shared" si="113"/>
        <v>11.079274116523399</v>
      </c>
    </row>
    <row r="3637" spans="1:14" x14ac:dyDescent="0.45">
      <c r="A3637" s="30">
        <v>2024</v>
      </c>
      <c r="B3637" s="30" t="s">
        <v>14</v>
      </c>
      <c r="C3637" s="30" t="s">
        <v>46</v>
      </c>
      <c r="D3637" s="30" t="s">
        <v>102</v>
      </c>
      <c r="E3637" s="32" t="s">
        <v>656</v>
      </c>
      <c r="F3637" s="32" t="s">
        <v>657</v>
      </c>
      <c r="G3637" s="32" t="s">
        <v>119</v>
      </c>
      <c r="H3637" s="33">
        <v>844140</v>
      </c>
      <c r="I3637" s="34">
        <f>Table3[[#This Row],[Volume, kg.]]/1000</f>
        <v>844.14</v>
      </c>
      <c r="J3637" s="34">
        <v>0.19469999999999998</v>
      </c>
      <c r="K3637" s="34">
        <f t="shared" si="112"/>
        <v>164354.05799999999</v>
      </c>
      <c r="L3637" s="34">
        <v>2.3199999999999998</v>
      </c>
      <c r="M3637" s="34">
        <v>1955197.5</v>
      </c>
      <c r="N3637" s="34">
        <f t="shared" si="113"/>
        <v>11.915767847971239</v>
      </c>
    </row>
    <row r="3638" spans="1:14" x14ac:dyDescent="0.45">
      <c r="A3638" s="30">
        <v>2024</v>
      </c>
      <c r="B3638" s="30" t="s">
        <v>14</v>
      </c>
      <c r="C3638" s="30" t="s">
        <v>46</v>
      </c>
      <c r="D3638" s="30" t="s">
        <v>47</v>
      </c>
      <c r="E3638" s="32" t="s">
        <v>637</v>
      </c>
      <c r="F3638" s="32" t="s">
        <v>60</v>
      </c>
      <c r="G3638" s="32" t="s">
        <v>50</v>
      </c>
      <c r="H3638" s="33">
        <v>49840</v>
      </c>
      <c r="I3638" s="34">
        <f>Table3[[#This Row],[Volume, kg.]]/1000</f>
        <v>49.84</v>
      </c>
      <c r="J3638" s="34">
        <v>0.21870000000000001</v>
      </c>
      <c r="K3638" s="34">
        <f t="shared" si="112"/>
        <v>10900.008</v>
      </c>
      <c r="L3638" s="34">
        <v>2.3199999999999998</v>
      </c>
      <c r="M3638" s="34">
        <v>115481.5</v>
      </c>
      <c r="N3638" s="34">
        <f t="shared" si="113"/>
        <v>10.60813900320073</v>
      </c>
    </row>
    <row r="3639" spans="1:14" x14ac:dyDescent="0.45">
      <c r="A3639" s="30">
        <v>2024</v>
      </c>
      <c r="B3639" s="30" t="s">
        <v>14</v>
      </c>
      <c r="C3639" s="30" t="s">
        <v>46</v>
      </c>
      <c r="D3639" s="30" t="s">
        <v>47</v>
      </c>
      <c r="E3639" s="32" t="s">
        <v>573</v>
      </c>
      <c r="F3639" s="32" t="s">
        <v>49</v>
      </c>
      <c r="G3639" s="32" t="s">
        <v>50</v>
      </c>
      <c r="H3639" s="33">
        <v>9810</v>
      </c>
      <c r="I3639" s="34">
        <f>Table3[[#This Row],[Volume, kg.]]/1000</f>
        <v>9.81</v>
      </c>
      <c r="J3639" s="34">
        <v>0.19570000000000001</v>
      </c>
      <c r="K3639" s="34">
        <f t="shared" si="112"/>
        <v>1919.8170000000002</v>
      </c>
      <c r="L3639" s="34">
        <v>2.2200000000000002</v>
      </c>
      <c r="M3639" s="34">
        <v>21793.5</v>
      </c>
      <c r="N3639" s="34">
        <f t="shared" si="113"/>
        <v>11.343893714869699</v>
      </c>
    </row>
    <row r="3640" spans="1:14" x14ac:dyDescent="0.45">
      <c r="A3640" s="30">
        <v>2024</v>
      </c>
      <c r="B3640" s="30" t="s">
        <v>14</v>
      </c>
      <c r="C3640" s="30" t="s">
        <v>46</v>
      </c>
      <c r="D3640" s="30" t="s">
        <v>47</v>
      </c>
      <c r="E3640" s="32" t="s">
        <v>153</v>
      </c>
      <c r="F3640" s="32" t="s">
        <v>57</v>
      </c>
      <c r="G3640" s="32" t="s">
        <v>50</v>
      </c>
      <c r="H3640" s="33">
        <v>66460</v>
      </c>
      <c r="I3640" s="34">
        <f>Table3[[#This Row],[Volume, kg.]]/1000</f>
        <v>66.459999999999994</v>
      </c>
      <c r="J3640" s="34">
        <v>0.21960000000000002</v>
      </c>
      <c r="K3640" s="34">
        <f t="shared" si="112"/>
        <v>14594.616000000002</v>
      </c>
      <c r="L3640" s="34">
        <v>2.35</v>
      </c>
      <c r="M3640" s="34">
        <v>156262.5</v>
      </c>
      <c r="N3640" s="34">
        <f t="shared" si="113"/>
        <v>10.70127504553734</v>
      </c>
    </row>
    <row r="3641" spans="1:14" x14ac:dyDescent="0.45">
      <c r="A3641" s="30">
        <v>2024</v>
      </c>
      <c r="B3641" s="30" t="s">
        <v>14</v>
      </c>
      <c r="C3641" s="30" t="s">
        <v>46</v>
      </c>
      <c r="D3641" s="30" t="s">
        <v>47</v>
      </c>
      <c r="E3641" s="32" t="s">
        <v>545</v>
      </c>
      <c r="F3641" s="32" t="s">
        <v>54</v>
      </c>
      <c r="G3641" s="32" t="s">
        <v>50</v>
      </c>
      <c r="H3641" s="33">
        <v>26690</v>
      </c>
      <c r="I3641" s="34">
        <f>Table3[[#This Row],[Volume, kg.]]/1000</f>
        <v>26.69</v>
      </c>
      <c r="J3641" s="34">
        <v>0.20550000000000002</v>
      </c>
      <c r="K3641" s="34">
        <f t="shared" si="112"/>
        <v>5484.7950000000001</v>
      </c>
      <c r="L3641" s="34">
        <v>2.3199999999999998</v>
      </c>
      <c r="M3641" s="34">
        <v>61895.5</v>
      </c>
      <c r="N3641" s="34">
        <f t="shared" si="113"/>
        <v>11.289537712895376</v>
      </c>
    </row>
    <row r="3642" spans="1:14" x14ac:dyDescent="0.45">
      <c r="A3642" s="30">
        <v>2024</v>
      </c>
      <c r="B3642" s="30" t="s">
        <v>14</v>
      </c>
      <c r="C3642" s="30" t="s">
        <v>46</v>
      </c>
      <c r="D3642" s="30" t="s">
        <v>47</v>
      </c>
      <c r="E3642" s="32" t="s">
        <v>346</v>
      </c>
      <c r="F3642" s="32" t="s">
        <v>49</v>
      </c>
      <c r="G3642" s="32" t="s">
        <v>50</v>
      </c>
      <c r="H3642" s="33">
        <v>16110</v>
      </c>
      <c r="I3642" s="34">
        <f>Table3[[#This Row],[Volume, kg.]]/1000</f>
        <v>16.11</v>
      </c>
      <c r="J3642" s="34">
        <v>0.20679999999999998</v>
      </c>
      <c r="K3642" s="34">
        <f t="shared" si="112"/>
        <v>3331.5479999999998</v>
      </c>
      <c r="L3642" s="34">
        <v>2.2400000000000002</v>
      </c>
      <c r="M3642" s="34">
        <v>36039.5</v>
      </c>
      <c r="N3642" s="34">
        <f t="shared" si="113"/>
        <v>10.831721470019344</v>
      </c>
    </row>
    <row r="3643" spans="1:14" x14ac:dyDescent="0.45">
      <c r="A3643" s="30">
        <v>2024</v>
      </c>
      <c r="B3643" s="30" t="s">
        <v>14</v>
      </c>
      <c r="C3643" s="30" t="s">
        <v>46</v>
      </c>
      <c r="D3643" s="30" t="s">
        <v>47</v>
      </c>
      <c r="E3643" s="32" t="s">
        <v>504</v>
      </c>
      <c r="F3643" s="32" t="s">
        <v>60</v>
      </c>
      <c r="G3643" s="32" t="s">
        <v>50</v>
      </c>
      <c r="H3643" s="33">
        <v>46860</v>
      </c>
      <c r="I3643" s="34">
        <f>Table3[[#This Row],[Volume, kg.]]/1000</f>
        <v>46.86</v>
      </c>
      <c r="J3643" s="34">
        <v>0.21850000000000003</v>
      </c>
      <c r="K3643" s="34">
        <f t="shared" si="112"/>
        <v>10238.910000000002</v>
      </c>
      <c r="L3643" s="34">
        <v>2.25</v>
      </c>
      <c r="M3643" s="34">
        <v>105548</v>
      </c>
      <c r="N3643" s="34">
        <f t="shared" si="113"/>
        <v>10.297482837528603</v>
      </c>
    </row>
    <row r="3644" spans="1:14" x14ac:dyDescent="0.45">
      <c r="A3644" s="30">
        <v>2024</v>
      </c>
      <c r="B3644" s="30" t="s">
        <v>14</v>
      </c>
      <c r="C3644" s="30" t="s">
        <v>46</v>
      </c>
      <c r="D3644" s="30" t="s">
        <v>47</v>
      </c>
      <c r="E3644" s="32" t="s">
        <v>537</v>
      </c>
      <c r="F3644" s="32" t="s">
        <v>49</v>
      </c>
      <c r="G3644" s="32" t="s">
        <v>50</v>
      </c>
      <c r="H3644" s="33">
        <v>23270</v>
      </c>
      <c r="I3644" s="34">
        <f>Table3[[#This Row],[Volume, kg.]]/1000</f>
        <v>23.27</v>
      </c>
      <c r="J3644" s="34">
        <v>0.1787</v>
      </c>
      <c r="K3644" s="34">
        <f t="shared" si="112"/>
        <v>4158.3490000000002</v>
      </c>
      <c r="L3644" s="34">
        <v>2.15</v>
      </c>
      <c r="M3644" s="34">
        <v>49966</v>
      </c>
      <c r="N3644" s="34">
        <f t="shared" si="113"/>
        <v>12.031337437045327</v>
      </c>
    </row>
    <row r="3645" spans="1:14" x14ac:dyDescent="0.45">
      <c r="A3645" s="30">
        <v>2024</v>
      </c>
      <c r="B3645" s="30" t="s">
        <v>14</v>
      </c>
      <c r="C3645" s="30" t="s">
        <v>46</v>
      </c>
      <c r="D3645" s="30" t="s">
        <v>47</v>
      </c>
      <c r="E3645" s="32" t="s">
        <v>304</v>
      </c>
      <c r="F3645" s="32" t="s">
        <v>64</v>
      </c>
      <c r="G3645" s="32" t="s">
        <v>50</v>
      </c>
      <c r="H3645" s="33">
        <v>6950</v>
      </c>
      <c r="I3645" s="34">
        <f>Table3[[#This Row],[Volume, kg.]]/1000</f>
        <v>6.95</v>
      </c>
      <c r="J3645" s="34">
        <v>0.14550000000000002</v>
      </c>
      <c r="K3645" s="34">
        <f t="shared" si="112"/>
        <v>1011.2250000000001</v>
      </c>
      <c r="L3645" s="34">
        <v>2</v>
      </c>
      <c r="M3645" s="34">
        <v>13900</v>
      </c>
      <c r="N3645" s="34">
        <f t="shared" si="113"/>
        <v>13.745704467353951</v>
      </c>
    </row>
    <row r="3646" spans="1:14" x14ac:dyDescent="0.45">
      <c r="A3646" s="30">
        <v>2024</v>
      </c>
      <c r="B3646" s="30" t="s">
        <v>14</v>
      </c>
      <c r="C3646" s="30" t="s">
        <v>46</v>
      </c>
      <c r="D3646" s="30" t="s">
        <v>47</v>
      </c>
      <c r="E3646" s="32" t="s">
        <v>306</v>
      </c>
      <c r="F3646" s="32" t="s">
        <v>60</v>
      </c>
      <c r="G3646" s="32" t="s">
        <v>50</v>
      </c>
      <c r="H3646" s="33">
        <v>47960</v>
      </c>
      <c r="I3646" s="34">
        <f>Table3[[#This Row],[Volume, kg.]]/1000</f>
        <v>47.96</v>
      </c>
      <c r="J3646" s="34">
        <v>0.22030000000000002</v>
      </c>
      <c r="K3646" s="34">
        <f t="shared" si="112"/>
        <v>10565.588000000002</v>
      </c>
      <c r="L3646" s="34">
        <v>2.39</v>
      </c>
      <c r="M3646" s="34">
        <v>114814.5</v>
      </c>
      <c r="N3646" s="34">
        <f t="shared" si="113"/>
        <v>10.848842487517022</v>
      </c>
    </row>
    <row r="3647" spans="1:14" x14ac:dyDescent="0.45">
      <c r="A3647" s="30">
        <v>2024</v>
      </c>
      <c r="B3647" s="30" t="s">
        <v>14</v>
      </c>
      <c r="C3647" s="30" t="s">
        <v>46</v>
      </c>
      <c r="D3647" s="30" t="s">
        <v>47</v>
      </c>
      <c r="E3647" s="32" t="s">
        <v>458</v>
      </c>
      <c r="F3647" s="32" t="s">
        <v>60</v>
      </c>
      <c r="G3647" s="32" t="s">
        <v>50</v>
      </c>
      <c r="H3647" s="33">
        <v>36910</v>
      </c>
      <c r="I3647" s="34">
        <f>Table3[[#This Row],[Volume, kg.]]/1000</f>
        <v>36.909999999999997</v>
      </c>
      <c r="J3647" s="34">
        <v>0.21829999999999999</v>
      </c>
      <c r="K3647" s="34">
        <f t="shared" si="112"/>
        <v>8057.4529999999995</v>
      </c>
      <c r="L3647" s="34">
        <v>2.36</v>
      </c>
      <c r="M3647" s="34">
        <v>87151</v>
      </c>
      <c r="N3647" s="34">
        <f t="shared" si="113"/>
        <v>10.810810810810811</v>
      </c>
    </row>
    <row r="3648" spans="1:14" x14ac:dyDescent="0.45">
      <c r="A3648" s="30">
        <v>2024</v>
      </c>
      <c r="B3648" s="30" t="s">
        <v>14</v>
      </c>
      <c r="C3648" s="30" t="s">
        <v>46</v>
      </c>
      <c r="D3648" s="30" t="s">
        <v>47</v>
      </c>
      <c r="E3648" s="32" t="s">
        <v>197</v>
      </c>
      <c r="F3648" s="32" t="s">
        <v>57</v>
      </c>
      <c r="G3648" s="32" t="s">
        <v>50</v>
      </c>
      <c r="H3648" s="33">
        <v>133640</v>
      </c>
      <c r="I3648" s="34">
        <f>Table3[[#This Row],[Volume, kg.]]/1000</f>
        <v>133.63999999999999</v>
      </c>
      <c r="J3648" s="34">
        <v>0.22030000000000002</v>
      </c>
      <c r="K3648" s="34">
        <f t="shared" si="112"/>
        <v>29440.892000000003</v>
      </c>
      <c r="L3648" s="34">
        <v>2.34</v>
      </c>
      <c r="M3648" s="34">
        <v>313238</v>
      </c>
      <c r="N3648" s="34">
        <f t="shared" si="113"/>
        <v>10.621879255560597</v>
      </c>
    </row>
    <row r="3649" spans="1:14" x14ac:dyDescent="0.45">
      <c r="A3649" s="30">
        <v>2024</v>
      </c>
      <c r="B3649" s="30" t="s">
        <v>14</v>
      </c>
      <c r="C3649" s="30" t="s">
        <v>46</v>
      </c>
      <c r="D3649" s="30" t="s">
        <v>47</v>
      </c>
      <c r="E3649" s="32" t="s">
        <v>177</v>
      </c>
      <c r="F3649" s="32" t="s">
        <v>49</v>
      </c>
      <c r="G3649" s="32" t="s">
        <v>50</v>
      </c>
      <c r="H3649" s="33">
        <v>72710</v>
      </c>
      <c r="I3649" s="34">
        <f>Table3[[#This Row],[Volume, kg.]]/1000</f>
        <v>72.709999999999994</v>
      </c>
      <c r="J3649" s="34">
        <v>0.21299999999999999</v>
      </c>
      <c r="K3649" s="34">
        <f t="shared" si="112"/>
        <v>15487.23</v>
      </c>
      <c r="L3649" s="34">
        <v>2.31</v>
      </c>
      <c r="M3649" s="34">
        <v>168257.5</v>
      </c>
      <c r="N3649" s="34">
        <f t="shared" si="113"/>
        <v>10.845070422535212</v>
      </c>
    </row>
    <row r="3650" spans="1:14" x14ac:dyDescent="0.45">
      <c r="A3650" s="30">
        <v>2024</v>
      </c>
      <c r="B3650" s="30" t="s">
        <v>14</v>
      </c>
      <c r="C3650" s="30" t="s">
        <v>46</v>
      </c>
      <c r="D3650" s="30" t="s">
        <v>47</v>
      </c>
      <c r="E3650" s="32" t="s">
        <v>206</v>
      </c>
      <c r="F3650" s="32" t="s">
        <v>81</v>
      </c>
      <c r="G3650" s="32" t="s">
        <v>50</v>
      </c>
      <c r="H3650" s="33">
        <v>78320</v>
      </c>
      <c r="I3650" s="34">
        <f>Table3[[#This Row],[Volume, kg.]]/1000</f>
        <v>78.319999999999993</v>
      </c>
      <c r="J3650" s="34">
        <v>0.1918</v>
      </c>
      <c r="K3650" s="34">
        <f t="shared" si="112"/>
        <v>15021.776</v>
      </c>
      <c r="L3650" s="34">
        <v>2.16</v>
      </c>
      <c r="M3650" s="34">
        <v>169300</v>
      </c>
      <c r="N3650" s="34">
        <f t="shared" si="113"/>
        <v>11.261730969760167</v>
      </c>
    </row>
    <row r="3651" spans="1:14" x14ac:dyDescent="0.45">
      <c r="A3651" s="30">
        <v>2024</v>
      </c>
      <c r="B3651" s="30" t="s">
        <v>14</v>
      </c>
      <c r="C3651" s="30" t="s">
        <v>46</v>
      </c>
      <c r="D3651" s="30" t="s">
        <v>47</v>
      </c>
      <c r="E3651" s="32" t="s">
        <v>350</v>
      </c>
      <c r="F3651" s="32" t="s">
        <v>49</v>
      </c>
      <c r="G3651" s="32" t="s">
        <v>50</v>
      </c>
      <c r="H3651" s="33">
        <v>50120</v>
      </c>
      <c r="I3651" s="34">
        <f>Table3[[#This Row],[Volume, kg.]]/1000</f>
        <v>50.12</v>
      </c>
      <c r="J3651" s="34">
        <v>0.22989999999999999</v>
      </c>
      <c r="K3651" s="34">
        <f t="shared" ref="K3651:K3714" si="114">H3651*J3651</f>
        <v>11522.588</v>
      </c>
      <c r="L3651" s="34">
        <v>2.39</v>
      </c>
      <c r="M3651" s="34">
        <v>119601</v>
      </c>
      <c r="N3651" s="34">
        <f t="shared" si="113"/>
        <v>10.395824271422358</v>
      </c>
    </row>
    <row r="3652" spans="1:14" x14ac:dyDescent="0.45">
      <c r="A3652" s="30">
        <v>2024</v>
      </c>
      <c r="B3652" s="30" t="s">
        <v>14</v>
      </c>
      <c r="C3652" s="30" t="s">
        <v>46</v>
      </c>
      <c r="D3652" s="30" t="s">
        <v>47</v>
      </c>
      <c r="E3652" s="32" t="s">
        <v>610</v>
      </c>
      <c r="F3652" s="32" t="s">
        <v>238</v>
      </c>
      <c r="G3652" s="32" t="s">
        <v>50</v>
      </c>
      <c r="H3652" s="33">
        <v>49420</v>
      </c>
      <c r="I3652" s="34">
        <f>Table3[[#This Row],[Volume, kg.]]/1000</f>
        <v>49.42</v>
      </c>
      <c r="J3652" s="34">
        <v>0.20780000000000001</v>
      </c>
      <c r="K3652" s="34">
        <f t="shared" si="114"/>
        <v>10269.476000000001</v>
      </c>
      <c r="L3652" s="34">
        <v>2.29</v>
      </c>
      <c r="M3652" s="34">
        <v>113286</v>
      </c>
      <c r="N3652" s="34">
        <f t="shared" ref="N3652:N3715" si="115">L3652/J3652</f>
        <v>11.020211742059672</v>
      </c>
    </row>
    <row r="3653" spans="1:14" x14ac:dyDescent="0.45">
      <c r="A3653" s="30">
        <v>2024</v>
      </c>
      <c r="B3653" s="30" t="s">
        <v>14</v>
      </c>
      <c r="C3653" s="30" t="s">
        <v>46</v>
      </c>
      <c r="D3653" s="30" t="s">
        <v>47</v>
      </c>
      <c r="E3653" s="32" t="s">
        <v>395</v>
      </c>
      <c r="F3653" s="32" t="s">
        <v>81</v>
      </c>
      <c r="G3653" s="32" t="s">
        <v>50</v>
      </c>
      <c r="H3653" s="33">
        <v>234650</v>
      </c>
      <c r="I3653" s="34">
        <f>Table3[[#This Row],[Volume, kg.]]/1000</f>
        <v>234.65</v>
      </c>
      <c r="J3653" s="34">
        <v>0.21249999999999999</v>
      </c>
      <c r="K3653" s="34">
        <f t="shared" si="114"/>
        <v>49863.125</v>
      </c>
      <c r="L3653" s="34">
        <v>2.31</v>
      </c>
      <c r="M3653" s="34">
        <v>542305</v>
      </c>
      <c r="N3653" s="34">
        <f t="shared" si="115"/>
        <v>10.870588235294118</v>
      </c>
    </row>
    <row r="3654" spans="1:14" x14ac:dyDescent="0.45">
      <c r="A3654" s="30">
        <v>2024</v>
      </c>
      <c r="B3654" s="30" t="s">
        <v>14</v>
      </c>
      <c r="C3654" s="30" t="s">
        <v>46</v>
      </c>
      <c r="D3654" s="30" t="s">
        <v>47</v>
      </c>
      <c r="E3654" s="32" t="s">
        <v>312</v>
      </c>
      <c r="F3654" s="32" t="s">
        <v>60</v>
      </c>
      <c r="G3654" s="32" t="s">
        <v>50</v>
      </c>
      <c r="H3654" s="33">
        <v>40930</v>
      </c>
      <c r="I3654" s="34">
        <f>Table3[[#This Row],[Volume, kg.]]/1000</f>
        <v>40.93</v>
      </c>
      <c r="J3654" s="34">
        <v>0.19889999999999999</v>
      </c>
      <c r="K3654" s="34">
        <f t="shared" si="114"/>
        <v>8140.9769999999999</v>
      </c>
      <c r="L3654" s="34">
        <v>2.14</v>
      </c>
      <c r="M3654" s="34">
        <v>87704</v>
      </c>
      <c r="N3654" s="34">
        <f t="shared" si="115"/>
        <v>10.759175465057819</v>
      </c>
    </row>
    <row r="3655" spans="1:14" x14ac:dyDescent="0.45">
      <c r="A3655" s="30">
        <v>2024</v>
      </c>
      <c r="B3655" s="30" t="s">
        <v>14</v>
      </c>
      <c r="C3655" s="30" t="s">
        <v>46</v>
      </c>
      <c r="D3655" s="30" t="s">
        <v>47</v>
      </c>
      <c r="E3655" s="32" t="s">
        <v>548</v>
      </c>
      <c r="F3655" s="32" t="s">
        <v>49</v>
      </c>
      <c r="G3655" s="32" t="s">
        <v>50</v>
      </c>
      <c r="H3655" s="33">
        <v>23820</v>
      </c>
      <c r="I3655" s="34">
        <f>Table3[[#This Row],[Volume, kg.]]/1000</f>
        <v>23.82</v>
      </c>
      <c r="J3655" s="34">
        <v>0.2107</v>
      </c>
      <c r="K3655" s="34">
        <f t="shared" si="114"/>
        <v>5018.8739999999998</v>
      </c>
      <c r="L3655" s="34">
        <v>2.21</v>
      </c>
      <c r="M3655" s="34">
        <v>52578</v>
      </c>
      <c r="N3655" s="34">
        <f t="shared" si="115"/>
        <v>10.488846701471287</v>
      </c>
    </row>
    <row r="3656" spans="1:14" x14ac:dyDescent="0.45">
      <c r="A3656" s="30">
        <v>2024</v>
      </c>
      <c r="B3656" s="30" t="s">
        <v>14</v>
      </c>
      <c r="C3656" s="30" t="s">
        <v>46</v>
      </c>
      <c r="D3656" s="30" t="s">
        <v>47</v>
      </c>
      <c r="E3656" s="32" t="s">
        <v>98</v>
      </c>
      <c r="F3656" s="32" t="s">
        <v>49</v>
      </c>
      <c r="G3656" s="32" t="s">
        <v>50</v>
      </c>
      <c r="H3656" s="33">
        <v>74520</v>
      </c>
      <c r="I3656" s="34">
        <f>Table3[[#This Row],[Volume, kg.]]/1000</f>
        <v>74.52</v>
      </c>
      <c r="J3656" s="34">
        <v>0.218</v>
      </c>
      <c r="K3656" s="34">
        <f t="shared" si="114"/>
        <v>16245.36</v>
      </c>
      <c r="L3656" s="34">
        <v>2.34</v>
      </c>
      <c r="M3656" s="34">
        <v>174104.5</v>
      </c>
      <c r="N3656" s="34">
        <f t="shared" si="115"/>
        <v>10.73394495412844</v>
      </c>
    </row>
    <row r="3657" spans="1:14" x14ac:dyDescent="0.45">
      <c r="A3657" s="30">
        <v>2024</v>
      </c>
      <c r="B3657" s="30" t="s">
        <v>14</v>
      </c>
      <c r="C3657" s="30" t="s">
        <v>46</v>
      </c>
      <c r="D3657" s="30" t="s">
        <v>102</v>
      </c>
      <c r="E3657" s="32" t="s">
        <v>106</v>
      </c>
      <c r="F3657" s="32" t="s">
        <v>107</v>
      </c>
      <c r="G3657" s="32" t="s">
        <v>108</v>
      </c>
      <c r="H3657" s="33">
        <v>329870</v>
      </c>
      <c r="I3657" s="34">
        <f>Table3[[#This Row],[Volume, kg.]]/1000</f>
        <v>329.87</v>
      </c>
      <c r="J3657" s="34">
        <v>0.19760000000000003</v>
      </c>
      <c r="K3657" s="34">
        <f t="shared" si="114"/>
        <v>65182.312000000005</v>
      </c>
      <c r="L3657" s="34">
        <v>2.36</v>
      </c>
      <c r="M3657" s="34">
        <v>777367</v>
      </c>
      <c r="N3657" s="34">
        <f t="shared" si="115"/>
        <v>11.943319838056677</v>
      </c>
    </row>
    <row r="3658" spans="1:14" x14ac:dyDescent="0.45">
      <c r="A3658" s="30">
        <v>2024</v>
      </c>
      <c r="B3658" s="30" t="s">
        <v>14</v>
      </c>
      <c r="C3658" s="30" t="s">
        <v>46</v>
      </c>
      <c r="D3658" s="30" t="s">
        <v>47</v>
      </c>
      <c r="E3658" s="32" t="s">
        <v>354</v>
      </c>
      <c r="F3658" s="32" t="s">
        <v>60</v>
      </c>
      <c r="G3658" s="32" t="s">
        <v>50</v>
      </c>
      <c r="H3658" s="33">
        <v>11590</v>
      </c>
      <c r="I3658" s="34">
        <f>Table3[[#This Row],[Volume, kg.]]/1000</f>
        <v>11.59</v>
      </c>
      <c r="J3658" s="34">
        <v>0.1986</v>
      </c>
      <c r="K3658" s="34">
        <f t="shared" si="114"/>
        <v>2301.7739999999999</v>
      </c>
      <c r="L3658" s="34">
        <v>2.21</v>
      </c>
      <c r="M3658" s="34">
        <v>25572.5</v>
      </c>
      <c r="N3658" s="34">
        <f t="shared" si="115"/>
        <v>11.127895266868077</v>
      </c>
    </row>
    <row r="3659" spans="1:14" x14ac:dyDescent="0.45">
      <c r="A3659" s="30">
        <v>2024</v>
      </c>
      <c r="B3659" s="30" t="s">
        <v>14</v>
      </c>
      <c r="C3659" s="30" t="s">
        <v>46</v>
      </c>
      <c r="D3659" s="30" t="s">
        <v>47</v>
      </c>
      <c r="E3659" s="32" t="s">
        <v>129</v>
      </c>
      <c r="F3659" s="32" t="s">
        <v>57</v>
      </c>
      <c r="G3659" s="32" t="s">
        <v>50</v>
      </c>
      <c r="H3659" s="33">
        <v>73320</v>
      </c>
      <c r="I3659" s="34">
        <f>Table3[[#This Row],[Volume, kg.]]/1000</f>
        <v>73.319999999999993</v>
      </c>
      <c r="J3659" s="34">
        <v>0.21989999999999998</v>
      </c>
      <c r="K3659" s="34">
        <f t="shared" si="114"/>
        <v>16123.067999999999</v>
      </c>
      <c r="L3659" s="34">
        <v>2.33</v>
      </c>
      <c r="M3659" s="34">
        <v>170555</v>
      </c>
      <c r="N3659" s="34">
        <f t="shared" si="115"/>
        <v>10.595725329695318</v>
      </c>
    </row>
    <row r="3660" spans="1:14" x14ac:dyDescent="0.45">
      <c r="A3660" s="30">
        <v>2024</v>
      </c>
      <c r="B3660" s="30" t="s">
        <v>14</v>
      </c>
      <c r="C3660" s="30" t="s">
        <v>46</v>
      </c>
      <c r="D3660" s="30" t="s">
        <v>47</v>
      </c>
      <c r="E3660" s="32" t="s">
        <v>80</v>
      </c>
      <c r="F3660" s="32" t="s">
        <v>81</v>
      </c>
      <c r="G3660" s="32" t="s">
        <v>50</v>
      </c>
      <c r="H3660" s="33">
        <v>38330</v>
      </c>
      <c r="I3660" s="34">
        <f>Table3[[#This Row],[Volume, kg.]]/1000</f>
        <v>38.33</v>
      </c>
      <c r="J3660" s="34">
        <v>0.18969999999999998</v>
      </c>
      <c r="K3660" s="34">
        <f t="shared" si="114"/>
        <v>7271.2009999999991</v>
      </c>
      <c r="L3660" s="34">
        <v>2.09</v>
      </c>
      <c r="M3660" s="34">
        <v>80184.5</v>
      </c>
      <c r="N3660" s="34">
        <f t="shared" si="115"/>
        <v>11.017395888244597</v>
      </c>
    </row>
    <row r="3661" spans="1:14" x14ac:dyDescent="0.45">
      <c r="A3661" s="30">
        <v>2024</v>
      </c>
      <c r="B3661" s="30" t="s">
        <v>14</v>
      </c>
      <c r="C3661" s="30" t="s">
        <v>46</v>
      </c>
      <c r="D3661" s="30" t="s">
        <v>47</v>
      </c>
      <c r="E3661" s="32" t="s">
        <v>296</v>
      </c>
      <c r="F3661" s="32" t="s">
        <v>60</v>
      </c>
      <c r="G3661" s="32" t="s">
        <v>50</v>
      </c>
      <c r="H3661" s="33">
        <v>15060</v>
      </c>
      <c r="I3661" s="34">
        <f>Table3[[#This Row],[Volume, kg.]]/1000</f>
        <v>15.06</v>
      </c>
      <c r="J3661" s="34">
        <v>0.22690000000000002</v>
      </c>
      <c r="K3661" s="34">
        <f t="shared" si="114"/>
        <v>3417.1140000000005</v>
      </c>
      <c r="L3661" s="34">
        <v>2.3199999999999998</v>
      </c>
      <c r="M3661" s="34">
        <v>34967</v>
      </c>
      <c r="N3661" s="34">
        <f t="shared" si="115"/>
        <v>10.224768620537681</v>
      </c>
    </row>
    <row r="3662" spans="1:14" x14ac:dyDescent="0.45">
      <c r="A3662" s="30">
        <v>2024</v>
      </c>
      <c r="B3662" s="30" t="s">
        <v>14</v>
      </c>
      <c r="C3662" s="30" t="s">
        <v>46</v>
      </c>
      <c r="D3662" s="30" t="s">
        <v>47</v>
      </c>
      <c r="E3662" s="32" t="s">
        <v>638</v>
      </c>
      <c r="F3662" s="32" t="s">
        <v>57</v>
      </c>
      <c r="G3662" s="32" t="s">
        <v>50</v>
      </c>
      <c r="H3662" s="33">
        <v>7150</v>
      </c>
      <c r="I3662" s="34">
        <f>Table3[[#This Row],[Volume, kg.]]/1000</f>
        <v>7.15</v>
      </c>
      <c r="J3662" s="34">
        <v>0.22450000000000001</v>
      </c>
      <c r="K3662" s="34">
        <f t="shared" si="114"/>
        <v>1605.175</v>
      </c>
      <c r="L3662" s="34">
        <v>2.4</v>
      </c>
      <c r="M3662" s="34">
        <v>17160</v>
      </c>
      <c r="N3662" s="34">
        <f t="shared" si="115"/>
        <v>10.690423162583519</v>
      </c>
    </row>
    <row r="3663" spans="1:14" x14ac:dyDescent="0.45">
      <c r="A3663" s="30">
        <v>2024</v>
      </c>
      <c r="B3663" s="30" t="s">
        <v>14</v>
      </c>
      <c r="C3663" s="30" t="s">
        <v>46</v>
      </c>
      <c r="D3663" s="30" t="s">
        <v>47</v>
      </c>
      <c r="E3663" s="32" t="s">
        <v>194</v>
      </c>
      <c r="F3663" s="32" t="s">
        <v>49</v>
      </c>
      <c r="G3663" s="32" t="s">
        <v>50</v>
      </c>
      <c r="H3663" s="33">
        <v>51180</v>
      </c>
      <c r="I3663" s="34">
        <f>Table3[[#This Row],[Volume, kg.]]/1000</f>
        <v>51.18</v>
      </c>
      <c r="J3663" s="34">
        <v>0.1966</v>
      </c>
      <c r="K3663" s="34">
        <f t="shared" si="114"/>
        <v>10061.987999999999</v>
      </c>
      <c r="L3663" s="34">
        <v>2.15</v>
      </c>
      <c r="M3663" s="34">
        <v>110022</v>
      </c>
      <c r="N3663" s="34">
        <f t="shared" si="115"/>
        <v>10.935910478128179</v>
      </c>
    </row>
    <row r="3664" spans="1:14" x14ac:dyDescent="0.45">
      <c r="A3664" s="30">
        <v>2024</v>
      </c>
      <c r="B3664" s="30" t="s">
        <v>14</v>
      </c>
      <c r="C3664" s="30" t="s">
        <v>46</v>
      </c>
      <c r="D3664" s="30" t="s">
        <v>47</v>
      </c>
      <c r="E3664" s="32" t="s">
        <v>267</v>
      </c>
      <c r="F3664" s="32" t="s">
        <v>57</v>
      </c>
      <c r="G3664" s="32" t="s">
        <v>50</v>
      </c>
      <c r="H3664" s="33">
        <v>29480</v>
      </c>
      <c r="I3664" s="34">
        <f>Table3[[#This Row],[Volume, kg.]]/1000</f>
        <v>29.48</v>
      </c>
      <c r="J3664" s="34">
        <v>0.22589999999999999</v>
      </c>
      <c r="K3664" s="34">
        <f t="shared" si="114"/>
        <v>6659.5319999999992</v>
      </c>
      <c r="L3664" s="34">
        <v>2.35</v>
      </c>
      <c r="M3664" s="34">
        <v>69139.5</v>
      </c>
      <c r="N3664" s="34">
        <f t="shared" si="115"/>
        <v>10.402833111996459</v>
      </c>
    </row>
    <row r="3665" spans="1:14" x14ac:dyDescent="0.45">
      <c r="A3665" s="30">
        <v>2024</v>
      </c>
      <c r="B3665" s="30" t="s">
        <v>14</v>
      </c>
      <c r="C3665" s="30" t="s">
        <v>46</v>
      </c>
      <c r="D3665" s="30" t="s">
        <v>102</v>
      </c>
      <c r="E3665" s="32" t="s">
        <v>103</v>
      </c>
      <c r="F3665" s="32" t="s">
        <v>104</v>
      </c>
      <c r="G3665" s="32" t="s">
        <v>105</v>
      </c>
      <c r="H3665" s="33">
        <v>2458490</v>
      </c>
      <c r="I3665" s="34">
        <f>Table3[[#This Row],[Volume, kg.]]/1000</f>
        <v>2458.4899999999998</v>
      </c>
      <c r="J3665" s="34">
        <v>0.1865</v>
      </c>
      <c r="K3665" s="34">
        <f t="shared" si="114"/>
        <v>458508.38500000001</v>
      </c>
      <c r="L3665" s="34">
        <v>2.29</v>
      </c>
      <c r="M3665" s="34">
        <v>5618731.5</v>
      </c>
      <c r="N3665" s="34">
        <f t="shared" si="115"/>
        <v>12.278820375335121</v>
      </c>
    </row>
    <row r="3666" spans="1:14" x14ac:dyDescent="0.45">
      <c r="A3666" s="30">
        <v>2024</v>
      </c>
      <c r="B3666" s="30" t="s">
        <v>14</v>
      </c>
      <c r="C3666" s="30" t="s">
        <v>46</v>
      </c>
      <c r="D3666" s="30" t="s">
        <v>47</v>
      </c>
      <c r="E3666" s="32" t="s">
        <v>203</v>
      </c>
      <c r="F3666" s="32" t="s">
        <v>57</v>
      </c>
      <c r="G3666" s="32" t="s">
        <v>50</v>
      </c>
      <c r="H3666" s="33">
        <v>68510</v>
      </c>
      <c r="I3666" s="34">
        <f>Table3[[#This Row],[Volume, kg.]]/1000</f>
        <v>68.510000000000005</v>
      </c>
      <c r="J3666" s="34">
        <v>0.2059</v>
      </c>
      <c r="K3666" s="34">
        <f t="shared" si="114"/>
        <v>14106.209000000001</v>
      </c>
      <c r="L3666" s="34">
        <v>2.2799999999999998</v>
      </c>
      <c r="M3666" s="34">
        <v>156155</v>
      </c>
      <c r="N3666" s="34">
        <f t="shared" si="115"/>
        <v>11.073336571151044</v>
      </c>
    </row>
    <row r="3667" spans="1:14" x14ac:dyDescent="0.45">
      <c r="A3667" s="30">
        <v>2024</v>
      </c>
      <c r="B3667" s="30" t="s">
        <v>14</v>
      </c>
      <c r="C3667" s="30" t="s">
        <v>46</v>
      </c>
      <c r="D3667" s="30" t="s">
        <v>47</v>
      </c>
      <c r="E3667" s="32" t="s">
        <v>261</v>
      </c>
      <c r="F3667" s="32" t="s">
        <v>81</v>
      </c>
      <c r="G3667" s="32" t="s">
        <v>50</v>
      </c>
      <c r="H3667" s="33">
        <v>12480</v>
      </c>
      <c r="I3667" s="34">
        <f>Table3[[#This Row],[Volume, kg.]]/1000</f>
        <v>12.48</v>
      </c>
      <c r="J3667" s="34">
        <v>0.17199999999999999</v>
      </c>
      <c r="K3667" s="34">
        <f t="shared" si="114"/>
        <v>2146.56</v>
      </c>
      <c r="L3667" s="34">
        <v>2.15</v>
      </c>
      <c r="M3667" s="34">
        <v>26832</v>
      </c>
      <c r="N3667" s="34">
        <f t="shared" si="115"/>
        <v>12.5</v>
      </c>
    </row>
    <row r="3668" spans="1:14" x14ac:dyDescent="0.45">
      <c r="A3668" s="30">
        <v>2024</v>
      </c>
      <c r="B3668" s="30" t="s">
        <v>14</v>
      </c>
      <c r="C3668" s="30" t="s">
        <v>46</v>
      </c>
      <c r="D3668" s="30" t="s">
        <v>47</v>
      </c>
      <c r="E3668" s="32" t="s">
        <v>58</v>
      </c>
      <c r="F3668" s="32" t="s">
        <v>49</v>
      </c>
      <c r="G3668" s="32" t="s">
        <v>50</v>
      </c>
      <c r="H3668" s="33">
        <v>49110</v>
      </c>
      <c r="I3668" s="34">
        <f>Table3[[#This Row],[Volume, kg.]]/1000</f>
        <v>49.11</v>
      </c>
      <c r="J3668" s="34">
        <v>0.21109999999999998</v>
      </c>
      <c r="K3668" s="34">
        <f t="shared" si="114"/>
        <v>10367.120999999999</v>
      </c>
      <c r="L3668" s="34">
        <v>2.29</v>
      </c>
      <c r="M3668" s="34">
        <v>112258.5</v>
      </c>
      <c r="N3668" s="34">
        <f t="shared" si="115"/>
        <v>10.847939365229751</v>
      </c>
    </row>
    <row r="3669" spans="1:14" x14ac:dyDescent="0.45">
      <c r="A3669" s="30">
        <v>2024</v>
      </c>
      <c r="B3669" s="30" t="s">
        <v>14</v>
      </c>
      <c r="C3669" s="30" t="s">
        <v>46</v>
      </c>
      <c r="D3669" s="30" t="s">
        <v>47</v>
      </c>
      <c r="E3669" s="32" t="s">
        <v>474</v>
      </c>
      <c r="F3669" s="32" t="s">
        <v>60</v>
      </c>
      <c r="G3669" s="32" t="s">
        <v>50</v>
      </c>
      <c r="H3669" s="33">
        <v>17790</v>
      </c>
      <c r="I3669" s="34">
        <f>Table3[[#This Row],[Volume, kg.]]/1000</f>
        <v>17.79</v>
      </c>
      <c r="J3669" s="34">
        <v>0.19850000000000001</v>
      </c>
      <c r="K3669" s="34">
        <f t="shared" si="114"/>
        <v>3531.3150000000001</v>
      </c>
      <c r="L3669" s="34">
        <v>2.25</v>
      </c>
      <c r="M3669" s="34">
        <v>40027.5</v>
      </c>
      <c r="N3669" s="34">
        <f t="shared" si="115"/>
        <v>11.335012594458437</v>
      </c>
    </row>
    <row r="3670" spans="1:14" x14ac:dyDescent="0.45">
      <c r="A3670" s="30">
        <v>2024</v>
      </c>
      <c r="B3670" s="30" t="s">
        <v>14</v>
      </c>
      <c r="C3670" s="30" t="s">
        <v>46</v>
      </c>
      <c r="D3670" s="30" t="s">
        <v>47</v>
      </c>
      <c r="E3670" s="32" t="s">
        <v>447</v>
      </c>
      <c r="F3670" s="32" t="s">
        <v>57</v>
      </c>
      <c r="G3670" s="32" t="s">
        <v>50</v>
      </c>
      <c r="H3670" s="33">
        <v>9850</v>
      </c>
      <c r="I3670" s="34">
        <f>Table3[[#This Row],[Volume, kg.]]/1000</f>
        <v>9.85</v>
      </c>
      <c r="J3670" s="34">
        <v>0.17399999999999999</v>
      </c>
      <c r="K3670" s="34">
        <f t="shared" si="114"/>
        <v>1713.8999999999999</v>
      </c>
      <c r="L3670" s="34">
        <v>2.1</v>
      </c>
      <c r="M3670" s="34">
        <v>20685</v>
      </c>
      <c r="N3670" s="34">
        <f t="shared" si="115"/>
        <v>12.068965517241381</v>
      </c>
    </row>
    <row r="3671" spans="1:14" x14ac:dyDescent="0.45">
      <c r="A3671" s="30">
        <v>2024</v>
      </c>
      <c r="B3671" s="30" t="s">
        <v>14</v>
      </c>
      <c r="C3671" s="30" t="s">
        <v>46</v>
      </c>
      <c r="D3671" s="30" t="s">
        <v>47</v>
      </c>
      <c r="E3671" s="32" t="s">
        <v>526</v>
      </c>
      <c r="F3671" s="32" t="s">
        <v>49</v>
      </c>
      <c r="G3671" s="32" t="s">
        <v>50</v>
      </c>
      <c r="H3671" s="33">
        <v>31710</v>
      </c>
      <c r="I3671" s="34">
        <f>Table3[[#This Row],[Volume, kg.]]/1000</f>
        <v>31.71</v>
      </c>
      <c r="J3671" s="34">
        <v>0.2087</v>
      </c>
      <c r="K3671" s="34">
        <f t="shared" si="114"/>
        <v>6617.8769999999995</v>
      </c>
      <c r="L3671" s="34">
        <v>2.3199999999999998</v>
      </c>
      <c r="M3671" s="34">
        <v>73610.5</v>
      </c>
      <c r="N3671" s="34">
        <f t="shared" si="115"/>
        <v>11.116435074269285</v>
      </c>
    </row>
    <row r="3672" spans="1:14" x14ac:dyDescent="0.45">
      <c r="A3672" s="30">
        <v>2024</v>
      </c>
      <c r="B3672" s="30" t="s">
        <v>14</v>
      </c>
      <c r="C3672" s="30" t="s">
        <v>46</v>
      </c>
      <c r="D3672" s="30" t="s">
        <v>47</v>
      </c>
      <c r="E3672" s="32" t="s">
        <v>668</v>
      </c>
      <c r="F3672" s="32" t="s">
        <v>60</v>
      </c>
      <c r="G3672" s="32" t="s">
        <v>50</v>
      </c>
      <c r="H3672" s="33">
        <v>42600</v>
      </c>
      <c r="I3672" s="34">
        <f>Table3[[#This Row],[Volume, kg.]]/1000</f>
        <v>42.6</v>
      </c>
      <c r="J3672" s="34">
        <v>0.2059</v>
      </c>
      <c r="K3672" s="34">
        <f t="shared" si="114"/>
        <v>8771.34</v>
      </c>
      <c r="L3672" s="34">
        <v>2.25</v>
      </c>
      <c r="M3672" s="34">
        <v>95801.5</v>
      </c>
      <c r="N3672" s="34">
        <f t="shared" si="115"/>
        <v>10.927634774162215</v>
      </c>
    </row>
    <row r="3673" spans="1:14" x14ac:dyDescent="0.45">
      <c r="A3673" s="30">
        <v>2024</v>
      </c>
      <c r="B3673" s="30" t="s">
        <v>14</v>
      </c>
      <c r="C3673" s="30" t="s">
        <v>46</v>
      </c>
      <c r="D3673" s="30" t="s">
        <v>47</v>
      </c>
      <c r="E3673" s="32" t="s">
        <v>335</v>
      </c>
      <c r="F3673" s="32" t="s">
        <v>54</v>
      </c>
      <c r="G3673" s="32" t="s">
        <v>50</v>
      </c>
      <c r="H3673" s="33">
        <v>241030</v>
      </c>
      <c r="I3673" s="34">
        <f>Table3[[#This Row],[Volume, kg.]]/1000</f>
        <v>241.03</v>
      </c>
      <c r="J3673" s="34">
        <v>0.2147</v>
      </c>
      <c r="K3673" s="34">
        <f t="shared" si="114"/>
        <v>51749.141000000003</v>
      </c>
      <c r="L3673" s="34">
        <v>2.31</v>
      </c>
      <c r="M3673" s="34">
        <v>557574.5</v>
      </c>
      <c r="N3673" s="34">
        <f t="shared" si="115"/>
        <v>10.759198882161154</v>
      </c>
    </row>
    <row r="3674" spans="1:14" x14ac:dyDescent="0.45">
      <c r="A3674" s="30">
        <v>2024</v>
      </c>
      <c r="B3674" s="30" t="s">
        <v>14</v>
      </c>
      <c r="C3674" s="30" t="s">
        <v>46</v>
      </c>
      <c r="D3674" s="30" t="s">
        <v>47</v>
      </c>
      <c r="E3674" s="32" t="s">
        <v>401</v>
      </c>
      <c r="F3674" s="32" t="s">
        <v>57</v>
      </c>
      <c r="G3674" s="32" t="s">
        <v>50</v>
      </c>
      <c r="H3674" s="33">
        <v>56270</v>
      </c>
      <c r="I3674" s="34">
        <f>Table3[[#This Row],[Volume, kg.]]/1000</f>
        <v>56.27</v>
      </c>
      <c r="J3674" s="34">
        <v>0.21239999999999998</v>
      </c>
      <c r="K3674" s="34">
        <f t="shared" si="114"/>
        <v>11951.748</v>
      </c>
      <c r="L3674" s="34">
        <v>2.36</v>
      </c>
      <c r="M3674" s="34">
        <v>132690</v>
      </c>
      <c r="N3674" s="34">
        <f t="shared" si="115"/>
        <v>11.111111111111112</v>
      </c>
    </row>
    <row r="3675" spans="1:14" x14ac:dyDescent="0.45">
      <c r="A3675" s="30">
        <v>2024</v>
      </c>
      <c r="B3675" s="30" t="s">
        <v>14</v>
      </c>
      <c r="C3675" s="30" t="s">
        <v>46</v>
      </c>
      <c r="D3675" s="30" t="s">
        <v>47</v>
      </c>
      <c r="E3675" s="32" t="s">
        <v>567</v>
      </c>
      <c r="F3675" s="32" t="s">
        <v>49</v>
      </c>
      <c r="G3675" s="32" t="s">
        <v>50</v>
      </c>
      <c r="H3675" s="33">
        <v>13550</v>
      </c>
      <c r="I3675" s="34">
        <f>Table3[[#This Row],[Volume, kg.]]/1000</f>
        <v>13.55</v>
      </c>
      <c r="J3675" s="34">
        <v>0.19640000000000002</v>
      </c>
      <c r="K3675" s="34">
        <f t="shared" si="114"/>
        <v>2661.2200000000003</v>
      </c>
      <c r="L3675" s="34">
        <v>2.25</v>
      </c>
      <c r="M3675" s="34">
        <v>30421</v>
      </c>
      <c r="N3675" s="34">
        <f t="shared" si="115"/>
        <v>11.45621181262729</v>
      </c>
    </row>
    <row r="3676" spans="1:14" x14ac:dyDescent="0.45">
      <c r="A3676" s="30">
        <v>2024</v>
      </c>
      <c r="B3676" s="30" t="s">
        <v>14</v>
      </c>
      <c r="C3676" s="30" t="s">
        <v>46</v>
      </c>
      <c r="D3676" s="30" t="s">
        <v>47</v>
      </c>
      <c r="E3676" s="32" t="s">
        <v>507</v>
      </c>
      <c r="F3676" s="32" t="s">
        <v>60</v>
      </c>
      <c r="G3676" s="32" t="s">
        <v>50</v>
      </c>
      <c r="H3676" s="33">
        <v>53710</v>
      </c>
      <c r="I3676" s="34">
        <f>Table3[[#This Row],[Volume, kg.]]/1000</f>
        <v>53.71</v>
      </c>
      <c r="J3676" s="34">
        <v>0.21710000000000002</v>
      </c>
      <c r="K3676" s="34">
        <f t="shared" si="114"/>
        <v>11660.441000000001</v>
      </c>
      <c r="L3676" s="34">
        <v>2.2999999999999998</v>
      </c>
      <c r="M3676" s="34">
        <v>123426.5</v>
      </c>
      <c r="N3676" s="34">
        <f t="shared" si="115"/>
        <v>10.594196222938736</v>
      </c>
    </row>
    <row r="3677" spans="1:14" x14ac:dyDescent="0.45">
      <c r="A3677" s="30">
        <v>2024</v>
      </c>
      <c r="B3677" s="30" t="s">
        <v>14</v>
      </c>
      <c r="C3677" s="30" t="s">
        <v>46</v>
      </c>
      <c r="D3677" s="30" t="s">
        <v>47</v>
      </c>
      <c r="E3677" s="32" t="s">
        <v>214</v>
      </c>
      <c r="F3677" s="32" t="s">
        <v>64</v>
      </c>
      <c r="G3677" s="32" t="s">
        <v>50</v>
      </c>
      <c r="H3677" s="33">
        <v>135200</v>
      </c>
      <c r="I3677" s="34">
        <f>Table3[[#This Row],[Volume, kg.]]/1000</f>
        <v>135.19999999999999</v>
      </c>
      <c r="J3677" s="34">
        <v>0.22519999999999998</v>
      </c>
      <c r="K3677" s="34">
        <f t="shared" si="114"/>
        <v>30447.039999999997</v>
      </c>
      <c r="L3677" s="34">
        <v>2.38</v>
      </c>
      <c r="M3677" s="34">
        <v>321889</v>
      </c>
      <c r="N3677" s="34">
        <f t="shared" si="115"/>
        <v>10.568383658969806</v>
      </c>
    </row>
    <row r="3678" spans="1:14" x14ac:dyDescent="0.45">
      <c r="A3678" s="30">
        <v>2024</v>
      </c>
      <c r="B3678" s="30" t="s">
        <v>14</v>
      </c>
      <c r="C3678" s="30" t="s">
        <v>46</v>
      </c>
      <c r="D3678" s="30" t="s">
        <v>102</v>
      </c>
      <c r="E3678" s="32" t="s">
        <v>546</v>
      </c>
      <c r="F3678" s="32" t="s">
        <v>547</v>
      </c>
      <c r="G3678" s="32" t="s">
        <v>341</v>
      </c>
      <c r="H3678" s="33">
        <v>226610</v>
      </c>
      <c r="I3678" s="34">
        <f>Table3[[#This Row],[Volume, kg.]]/1000</f>
        <v>226.61</v>
      </c>
      <c r="J3678" s="34">
        <v>0.18160000000000001</v>
      </c>
      <c r="K3678" s="34">
        <f t="shared" si="114"/>
        <v>41152.376000000004</v>
      </c>
      <c r="L3678" s="34">
        <v>2.2400000000000002</v>
      </c>
      <c r="M3678" s="34">
        <v>508529</v>
      </c>
      <c r="N3678" s="34">
        <f t="shared" si="115"/>
        <v>12.334801762114537</v>
      </c>
    </row>
    <row r="3679" spans="1:14" x14ac:dyDescent="0.45">
      <c r="A3679" s="30">
        <v>2024</v>
      </c>
      <c r="B3679" s="30" t="s">
        <v>14</v>
      </c>
      <c r="C3679" s="30" t="s">
        <v>46</v>
      </c>
      <c r="D3679" s="30" t="s">
        <v>47</v>
      </c>
      <c r="E3679" s="32" t="s">
        <v>669</v>
      </c>
      <c r="F3679" s="32" t="s">
        <v>81</v>
      </c>
      <c r="G3679" s="32" t="s">
        <v>50</v>
      </c>
      <c r="H3679" s="33">
        <v>11270</v>
      </c>
      <c r="I3679" s="34">
        <f>Table3[[#This Row],[Volume, kg.]]/1000</f>
        <v>11.27</v>
      </c>
      <c r="J3679" s="34">
        <v>0.23319999999999999</v>
      </c>
      <c r="K3679" s="34">
        <f t="shared" si="114"/>
        <v>2628.1639999999998</v>
      </c>
      <c r="L3679" s="34">
        <v>2.48</v>
      </c>
      <c r="M3679" s="34">
        <v>27913</v>
      </c>
      <c r="N3679" s="34">
        <f t="shared" si="115"/>
        <v>10.634648370497427</v>
      </c>
    </row>
    <row r="3680" spans="1:14" x14ac:dyDescent="0.45">
      <c r="A3680" s="30">
        <v>2024</v>
      </c>
      <c r="B3680" s="30" t="s">
        <v>14</v>
      </c>
      <c r="C3680" s="30" t="s">
        <v>46</v>
      </c>
      <c r="D3680" s="30" t="s">
        <v>47</v>
      </c>
      <c r="E3680" s="32" t="s">
        <v>280</v>
      </c>
      <c r="F3680" s="32" t="s">
        <v>281</v>
      </c>
      <c r="G3680" s="32" t="s">
        <v>50</v>
      </c>
      <c r="H3680" s="33">
        <v>4300</v>
      </c>
      <c r="I3680" s="34">
        <f>Table3[[#This Row],[Volume, kg.]]/1000</f>
        <v>4.3</v>
      </c>
      <c r="J3680" s="34">
        <v>0.19469999999999998</v>
      </c>
      <c r="K3680" s="34">
        <f t="shared" si="114"/>
        <v>837.20999999999992</v>
      </c>
      <c r="L3680" s="34">
        <v>2.1</v>
      </c>
      <c r="M3680" s="34">
        <v>9030</v>
      </c>
      <c r="N3680" s="34">
        <f t="shared" si="115"/>
        <v>10.785824345146381</v>
      </c>
    </row>
    <row r="3681" spans="1:14" x14ac:dyDescent="0.45">
      <c r="A3681" s="30">
        <v>2024</v>
      </c>
      <c r="B3681" s="30" t="s">
        <v>14</v>
      </c>
      <c r="C3681" s="30" t="s">
        <v>46</v>
      </c>
      <c r="D3681" s="30" t="s">
        <v>47</v>
      </c>
      <c r="E3681" s="32" t="s">
        <v>602</v>
      </c>
      <c r="F3681" s="32" t="s">
        <v>49</v>
      </c>
      <c r="G3681" s="32" t="s">
        <v>50</v>
      </c>
      <c r="H3681" s="33">
        <v>15980</v>
      </c>
      <c r="I3681" s="34">
        <f>Table3[[#This Row],[Volume, kg.]]/1000</f>
        <v>15.98</v>
      </c>
      <c r="J3681" s="34">
        <v>0.21149999999999999</v>
      </c>
      <c r="K3681" s="34">
        <f t="shared" si="114"/>
        <v>3379.77</v>
      </c>
      <c r="L3681" s="34">
        <v>2.2000000000000002</v>
      </c>
      <c r="M3681" s="34">
        <v>35156</v>
      </c>
      <c r="N3681" s="34">
        <f t="shared" si="115"/>
        <v>10.401891252955084</v>
      </c>
    </row>
    <row r="3682" spans="1:14" x14ac:dyDescent="0.45">
      <c r="A3682" s="30">
        <v>2024</v>
      </c>
      <c r="B3682" s="30" t="s">
        <v>14</v>
      </c>
      <c r="C3682" s="30" t="s">
        <v>46</v>
      </c>
      <c r="D3682" s="30" t="s">
        <v>47</v>
      </c>
      <c r="E3682" s="32" t="s">
        <v>307</v>
      </c>
      <c r="F3682" s="32" t="s">
        <v>81</v>
      </c>
      <c r="G3682" s="32" t="s">
        <v>50</v>
      </c>
      <c r="H3682" s="33">
        <v>19210</v>
      </c>
      <c r="I3682" s="34">
        <f>Table3[[#This Row],[Volume, kg.]]/1000</f>
        <v>19.21</v>
      </c>
      <c r="J3682" s="34">
        <v>0.2009</v>
      </c>
      <c r="K3682" s="34">
        <f t="shared" si="114"/>
        <v>3859.2889999999998</v>
      </c>
      <c r="L3682" s="34">
        <v>2.13</v>
      </c>
      <c r="M3682" s="34">
        <v>40929.5</v>
      </c>
      <c r="N3682" s="34">
        <f t="shared" si="115"/>
        <v>10.602289696366352</v>
      </c>
    </row>
    <row r="3683" spans="1:14" x14ac:dyDescent="0.45">
      <c r="A3683" s="30">
        <v>2024</v>
      </c>
      <c r="B3683" s="30" t="s">
        <v>14</v>
      </c>
      <c r="C3683" s="30" t="s">
        <v>46</v>
      </c>
      <c r="D3683" s="30" t="s">
        <v>47</v>
      </c>
      <c r="E3683" s="32" t="s">
        <v>243</v>
      </c>
      <c r="F3683" s="32" t="s">
        <v>60</v>
      </c>
      <c r="G3683" s="32" t="s">
        <v>50</v>
      </c>
      <c r="H3683" s="33">
        <v>33270</v>
      </c>
      <c r="I3683" s="34">
        <f>Table3[[#This Row],[Volume, kg.]]/1000</f>
        <v>33.270000000000003</v>
      </c>
      <c r="J3683" s="34">
        <v>0.24510000000000001</v>
      </c>
      <c r="K3683" s="34">
        <f t="shared" si="114"/>
        <v>8154.4770000000008</v>
      </c>
      <c r="L3683" s="34">
        <v>2.36</v>
      </c>
      <c r="M3683" s="34">
        <v>78464</v>
      </c>
      <c r="N3683" s="34">
        <f t="shared" si="115"/>
        <v>9.6287229702162378</v>
      </c>
    </row>
    <row r="3684" spans="1:14" x14ac:dyDescent="0.45">
      <c r="A3684" s="30">
        <v>2024</v>
      </c>
      <c r="B3684" s="30" t="s">
        <v>14</v>
      </c>
      <c r="C3684" s="30" t="s">
        <v>46</v>
      </c>
      <c r="D3684" s="30" t="s">
        <v>47</v>
      </c>
      <c r="E3684" s="32" t="s">
        <v>259</v>
      </c>
      <c r="F3684" s="32" t="s">
        <v>54</v>
      </c>
      <c r="G3684" s="32" t="s">
        <v>50</v>
      </c>
      <c r="H3684" s="33">
        <v>52830</v>
      </c>
      <c r="I3684" s="34">
        <f>Table3[[#This Row],[Volume, kg.]]/1000</f>
        <v>52.83</v>
      </c>
      <c r="J3684" s="34">
        <v>0.22489999999999999</v>
      </c>
      <c r="K3684" s="34">
        <f t="shared" si="114"/>
        <v>11881.466999999999</v>
      </c>
      <c r="L3684" s="34">
        <v>2.33</v>
      </c>
      <c r="M3684" s="34">
        <v>123320</v>
      </c>
      <c r="N3684" s="34">
        <f t="shared" si="115"/>
        <v>10.360160071142731</v>
      </c>
    </row>
    <row r="3685" spans="1:14" x14ac:dyDescent="0.45">
      <c r="A3685" s="30">
        <v>2024</v>
      </c>
      <c r="B3685" s="30" t="s">
        <v>14</v>
      </c>
      <c r="C3685" s="30" t="s">
        <v>46</v>
      </c>
      <c r="D3685" s="30" t="s">
        <v>47</v>
      </c>
      <c r="E3685" s="32" t="s">
        <v>148</v>
      </c>
      <c r="F3685" s="32" t="s">
        <v>49</v>
      </c>
      <c r="G3685" s="32" t="s">
        <v>50</v>
      </c>
      <c r="H3685" s="33">
        <v>10320</v>
      </c>
      <c r="I3685" s="34">
        <f>Table3[[#This Row],[Volume, kg.]]/1000</f>
        <v>10.32</v>
      </c>
      <c r="J3685" s="34">
        <v>0.22649999999999998</v>
      </c>
      <c r="K3685" s="34">
        <f t="shared" si="114"/>
        <v>2337.4799999999996</v>
      </c>
      <c r="L3685" s="34">
        <v>2.2000000000000002</v>
      </c>
      <c r="M3685" s="34">
        <v>22704</v>
      </c>
      <c r="N3685" s="34">
        <f t="shared" si="115"/>
        <v>9.713024282560708</v>
      </c>
    </row>
    <row r="3686" spans="1:14" x14ac:dyDescent="0.45">
      <c r="A3686" s="30">
        <v>2024</v>
      </c>
      <c r="B3686" s="30" t="s">
        <v>14</v>
      </c>
      <c r="C3686" s="30" t="s">
        <v>46</v>
      </c>
      <c r="D3686" s="30" t="s">
        <v>47</v>
      </c>
      <c r="E3686" s="32" t="s">
        <v>204</v>
      </c>
      <c r="F3686" s="32" t="s">
        <v>49</v>
      </c>
      <c r="G3686" s="32" t="s">
        <v>50</v>
      </c>
      <c r="H3686" s="33">
        <v>66200</v>
      </c>
      <c r="I3686" s="34">
        <f>Table3[[#This Row],[Volume, kg.]]/1000</f>
        <v>66.2</v>
      </c>
      <c r="J3686" s="34">
        <v>0.21230000000000002</v>
      </c>
      <c r="K3686" s="34">
        <f t="shared" si="114"/>
        <v>14054.26</v>
      </c>
      <c r="L3686" s="34">
        <v>2.34</v>
      </c>
      <c r="M3686" s="34">
        <v>154814</v>
      </c>
      <c r="N3686" s="34">
        <f t="shared" si="115"/>
        <v>11.022138483278377</v>
      </c>
    </row>
    <row r="3687" spans="1:14" x14ac:dyDescent="0.45">
      <c r="A3687" s="30">
        <v>2024</v>
      </c>
      <c r="B3687" s="30" t="s">
        <v>14</v>
      </c>
      <c r="C3687" s="30" t="s">
        <v>46</v>
      </c>
      <c r="D3687" s="30" t="s">
        <v>47</v>
      </c>
      <c r="E3687" s="32" t="s">
        <v>540</v>
      </c>
      <c r="F3687" s="32" t="s">
        <v>49</v>
      </c>
      <c r="G3687" s="32" t="s">
        <v>50</v>
      </c>
      <c r="H3687" s="33">
        <v>12220</v>
      </c>
      <c r="I3687" s="34">
        <f>Table3[[#This Row],[Volume, kg.]]/1000</f>
        <v>12.22</v>
      </c>
      <c r="J3687" s="34">
        <v>0.1827</v>
      </c>
      <c r="K3687" s="34">
        <f t="shared" si="114"/>
        <v>2232.5940000000001</v>
      </c>
      <c r="L3687" s="34">
        <v>2</v>
      </c>
      <c r="M3687" s="34">
        <v>24475.5</v>
      </c>
      <c r="N3687" s="34">
        <f t="shared" si="115"/>
        <v>10.946907498631637</v>
      </c>
    </row>
    <row r="3688" spans="1:14" x14ac:dyDescent="0.45">
      <c r="A3688" s="30">
        <v>2024</v>
      </c>
      <c r="B3688" s="30" t="s">
        <v>14</v>
      </c>
      <c r="C3688" s="30" t="s">
        <v>46</v>
      </c>
      <c r="D3688" s="30" t="s">
        <v>102</v>
      </c>
      <c r="E3688" s="32" t="s">
        <v>378</v>
      </c>
      <c r="F3688" s="32" t="s">
        <v>81</v>
      </c>
      <c r="G3688" s="32" t="s">
        <v>50</v>
      </c>
      <c r="H3688" s="33">
        <v>57440</v>
      </c>
      <c r="I3688" s="34">
        <f>Table3[[#This Row],[Volume, kg.]]/1000</f>
        <v>57.44</v>
      </c>
      <c r="J3688" s="34">
        <v>0.19820000000000002</v>
      </c>
      <c r="K3688" s="34">
        <f t="shared" si="114"/>
        <v>11384.608</v>
      </c>
      <c r="L3688" s="34">
        <v>2.33</v>
      </c>
      <c r="M3688" s="34">
        <v>133837.5</v>
      </c>
      <c r="N3688" s="34">
        <f t="shared" si="115"/>
        <v>11.755802219979818</v>
      </c>
    </row>
    <row r="3689" spans="1:14" x14ac:dyDescent="0.45">
      <c r="A3689" s="30">
        <v>2024</v>
      </c>
      <c r="B3689" s="30" t="s">
        <v>14</v>
      </c>
      <c r="C3689" s="30" t="s">
        <v>46</v>
      </c>
      <c r="D3689" s="30" t="s">
        <v>47</v>
      </c>
      <c r="E3689" s="32" t="s">
        <v>75</v>
      </c>
      <c r="F3689" s="32" t="s">
        <v>49</v>
      </c>
      <c r="G3689" s="32" t="s">
        <v>50</v>
      </c>
      <c r="H3689" s="33">
        <v>40390</v>
      </c>
      <c r="I3689" s="34">
        <f>Table3[[#This Row],[Volume, kg.]]/1000</f>
        <v>40.39</v>
      </c>
      <c r="J3689" s="34">
        <v>0.17300000000000001</v>
      </c>
      <c r="K3689" s="34">
        <f t="shared" si="114"/>
        <v>6987.47</v>
      </c>
      <c r="L3689" s="34">
        <v>2.1</v>
      </c>
      <c r="M3689" s="34">
        <v>84876.5</v>
      </c>
      <c r="N3689" s="34">
        <f t="shared" si="115"/>
        <v>12.138728323699421</v>
      </c>
    </row>
    <row r="3690" spans="1:14" x14ac:dyDescent="0.45">
      <c r="A3690" s="30">
        <v>2024</v>
      </c>
      <c r="B3690" s="30" t="s">
        <v>14</v>
      </c>
      <c r="C3690" s="30" t="s">
        <v>46</v>
      </c>
      <c r="D3690" s="30" t="s">
        <v>47</v>
      </c>
      <c r="E3690" s="32" t="s">
        <v>97</v>
      </c>
      <c r="F3690" s="32" t="s">
        <v>49</v>
      </c>
      <c r="G3690" s="32" t="s">
        <v>50</v>
      </c>
      <c r="H3690" s="33">
        <v>76840</v>
      </c>
      <c r="I3690" s="34">
        <f>Table3[[#This Row],[Volume, kg.]]/1000</f>
        <v>76.84</v>
      </c>
      <c r="J3690" s="34">
        <v>0.18149999999999999</v>
      </c>
      <c r="K3690" s="34">
        <f t="shared" si="114"/>
        <v>13946.46</v>
      </c>
      <c r="L3690" s="34">
        <v>2.19</v>
      </c>
      <c r="M3690" s="34">
        <v>168460.5</v>
      </c>
      <c r="N3690" s="34">
        <f t="shared" si="115"/>
        <v>12.066115702479339</v>
      </c>
    </row>
    <row r="3691" spans="1:14" x14ac:dyDescent="0.45">
      <c r="A3691" s="30">
        <v>2024</v>
      </c>
      <c r="B3691" s="30" t="s">
        <v>14</v>
      </c>
      <c r="C3691" s="30" t="s">
        <v>46</v>
      </c>
      <c r="D3691" s="30" t="s">
        <v>47</v>
      </c>
      <c r="E3691" s="32" t="s">
        <v>535</v>
      </c>
      <c r="F3691" s="32" t="s">
        <v>60</v>
      </c>
      <c r="G3691" s="32" t="s">
        <v>50</v>
      </c>
      <c r="H3691" s="33">
        <v>4320</v>
      </c>
      <c r="I3691" s="34">
        <f>Table3[[#This Row],[Volume, kg.]]/1000</f>
        <v>4.32</v>
      </c>
      <c r="J3691" s="34">
        <v>0.26700000000000002</v>
      </c>
      <c r="K3691" s="34">
        <f t="shared" si="114"/>
        <v>1153.44</v>
      </c>
      <c r="L3691" s="34">
        <v>2.65</v>
      </c>
      <c r="M3691" s="34">
        <v>11448</v>
      </c>
      <c r="N3691" s="34">
        <f t="shared" si="115"/>
        <v>9.9250936329588004</v>
      </c>
    </row>
    <row r="3692" spans="1:14" x14ac:dyDescent="0.45">
      <c r="A3692" s="30">
        <v>2024</v>
      </c>
      <c r="B3692" s="30" t="s">
        <v>14</v>
      </c>
      <c r="C3692" s="30" t="s">
        <v>46</v>
      </c>
      <c r="D3692" s="30" t="s">
        <v>47</v>
      </c>
      <c r="E3692" s="32" t="s">
        <v>355</v>
      </c>
      <c r="F3692" s="32" t="s">
        <v>60</v>
      </c>
      <c r="G3692" s="32" t="s">
        <v>50</v>
      </c>
      <c r="H3692" s="33">
        <v>18840</v>
      </c>
      <c r="I3692" s="34">
        <f>Table3[[#This Row],[Volume, kg.]]/1000</f>
        <v>18.84</v>
      </c>
      <c r="J3692" s="34">
        <v>0.19039999999999999</v>
      </c>
      <c r="K3692" s="34">
        <f t="shared" si="114"/>
        <v>3587.1359999999995</v>
      </c>
      <c r="L3692" s="34">
        <v>2.25</v>
      </c>
      <c r="M3692" s="34">
        <v>42307.5</v>
      </c>
      <c r="N3692" s="34">
        <f t="shared" si="115"/>
        <v>11.817226890756304</v>
      </c>
    </row>
    <row r="3693" spans="1:14" x14ac:dyDescent="0.45">
      <c r="A3693" s="30">
        <v>2024</v>
      </c>
      <c r="B3693" s="30" t="s">
        <v>14</v>
      </c>
      <c r="C3693" s="30" t="s">
        <v>46</v>
      </c>
      <c r="D3693" s="30" t="s">
        <v>47</v>
      </c>
      <c r="E3693" s="32" t="s">
        <v>345</v>
      </c>
      <c r="F3693" s="32" t="s">
        <v>81</v>
      </c>
      <c r="G3693" s="32" t="s">
        <v>50</v>
      </c>
      <c r="H3693" s="33">
        <v>74850</v>
      </c>
      <c r="I3693" s="34">
        <f>Table3[[#This Row],[Volume, kg.]]/1000</f>
        <v>74.849999999999994</v>
      </c>
      <c r="J3693" s="34">
        <v>0.20309999999999997</v>
      </c>
      <c r="K3693" s="34">
        <f t="shared" si="114"/>
        <v>15202.034999999998</v>
      </c>
      <c r="L3693" s="34">
        <v>2.29</v>
      </c>
      <c r="M3693" s="34">
        <v>171071</v>
      </c>
      <c r="N3693" s="34">
        <f t="shared" si="115"/>
        <v>11.275233874938456</v>
      </c>
    </row>
    <row r="3694" spans="1:14" x14ac:dyDescent="0.45">
      <c r="A3694" s="30">
        <v>2024</v>
      </c>
      <c r="B3694" s="30" t="s">
        <v>14</v>
      </c>
      <c r="C3694" s="30" t="s">
        <v>46</v>
      </c>
      <c r="D3694" s="30" t="s">
        <v>47</v>
      </c>
      <c r="E3694" s="32" t="s">
        <v>273</v>
      </c>
      <c r="F3694" s="32" t="s">
        <v>49</v>
      </c>
      <c r="G3694" s="32" t="s">
        <v>50</v>
      </c>
      <c r="H3694" s="33">
        <v>4780</v>
      </c>
      <c r="I3694" s="34">
        <f>Table3[[#This Row],[Volume, kg.]]/1000</f>
        <v>4.78</v>
      </c>
      <c r="J3694" s="34">
        <v>0.187</v>
      </c>
      <c r="K3694" s="34">
        <f t="shared" si="114"/>
        <v>893.86</v>
      </c>
      <c r="L3694" s="34">
        <v>2.1</v>
      </c>
      <c r="M3694" s="34">
        <v>10038</v>
      </c>
      <c r="N3694" s="34">
        <f t="shared" si="115"/>
        <v>11.229946524064172</v>
      </c>
    </row>
    <row r="3695" spans="1:14" x14ac:dyDescent="0.45">
      <c r="A3695" s="30">
        <v>2024</v>
      </c>
      <c r="B3695" s="30" t="s">
        <v>14</v>
      </c>
      <c r="C3695" s="30" t="s">
        <v>46</v>
      </c>
      <c r="D3695" s="30" t="s">
        <v>47</v>
      </c>
      <c r="E3695" s="32" t="s">
        <v>639</v>
      </c>
      <c r="F3695" s="32" t="s">
        <v>60</v>
      </c>
      <c r="G3695" s="32" t="s">
        <v>50</v>
      </c>
      <c r="H3695" s="33">
        <v>44510</v>
      </c>
      <c r="I3695" s="34">
        <f>Table3[[#This Row],[Volume, kg.]]/1000</f>
        <v>44.51</v>
      </c>
      <c r="J3695" s="34">
        <v>0.1963</v>
      </c>
      <c r="K3695" s="34">
        <f t="shared" si="114"/>
        <v>8737.3130000000001</v>
      </c>
      <c r="L3695" s="34">
        <v>2.2200000000000002</v>
      </c>
      <c r="M3695" s="34">
        <v>98828</v>
      </c>
      <c r="N3695" s="34">
        <f t="shared" si="115"/>
        <v>11.30922058074376</v>
      </c>
    </row>
    <row r="3696" spans="1:14" x14ac:dyDescent="0.45">
      <c r="A3696" s="30">
        <v>2024</v>
      </c>
      <c r="B3696" s="30" t="s">
        <v>14</v>
      </c>
      <c r="C3696" s="30" t="s">
        <v>46</v>
      </c>
      <c r="D3696" s="30" t="s">
        <v>47</v>
      </c>
      <c r="E3696" s="32" t="s">
        <v>247</v>
      </c>
      <c r="F3696" s="32" t="s">
        <v>134</v>
      </c>
      <c r="G3696" s="32" t="s">
        <v>50</v>
      </c>
      <c r="H3696" s="33">
        <v>43520</v>
      </c>
      <c r="I3696" s="34">
        <f>Table3[[#This Row],[Volume, kg.]]/1000</f>
        <v>43.52</v>
      </c>
      <c r="J3696" s="34">
        <v>0.18780000000000002</v>
      </c>
      <c r="K3696" s="34">
        <f t="shared" si="114"/>
        <v>8173.0560000000014</v>
      </c>
      <c r="L3696" s="34">
        <v>2.19</v>
      </c>
      <c r="M3696" s="34">
        <v>95485</v>
      </c>
      <c r="N3696" s="34">
        <f t="shared" si="115"/>
        <v>11.661341853035141</v>
      </c>
    </row>
    <row r="3697" spans="1:14" x14ac:dyDescent="0.45">
      <c r="A3697" s="30">
        <v>2024</v>
      </c>
      <c r="B3697" s="30" t="s">
        <v>14</v>
      </c>
      <c r="C3697" s="30" t="s">
        <v>46</v>
      </c>
      <c r="D3697" s="30" t="s">
        <v>47</v>
      </c>
      <c r="E3697" s="32" t="s">
        <v>96</v>
      </c>
      <c r="F3697" s="32" t="s">
        <v>49</v>
      </c>
      <c r="G3697" s="32" t="s">
        <v>50</v>
      </c>
      <c r="H3697" s="33">
        <v>92470</v>
      </c>
      <c r="I3697" s="34">
        <f>Table3[[#This Row],[Volume, kg.]]/1000</f>
        <v>92.47</v>
      </c>
      <c r="J3697" s="34">
        <v>0.21160000000000001</v>
      </c>
      <c r="K3697" s="34">
        <f t="shared" si="114"/>
        <v>19566.652000000002</v>
      </c>
      <c r="L3697" s="34">
        <v>2.3199999999999998</v>
      </c>
      <c r="M3697" s="34">
        <v>214447</v>
      </c>
      <c r="N3697" s="34">
        <f t="shared" si="115"/>
        <v>10.964083175803401</v>
      </c>
    </row>
    <row r="3698" spans="1:14" x14ac:dyDescent="0.45">
      <c r="A3698" s="30">
        <v>2024</v>
      </c>
      <c r="B3698" s="30" t="s">
        <v>14</v>
      </c>
      <c r="C3698" s="30" t="s">
        <v>46</v>
      </c>
      <c r="D3698" s="30" t="s">
        <v>47</v>
      </c>
      <c r="E3698" s="32" t="s">
        <v>143</v>
      </c>
      <c r="F3698" s="32" t="s">
        <v>49</v>
      </c>
      <c r="G3698" s="32" t="s">
        <v>50</v>
      </c>
      <c r="H3698" s="33">
        <v>6430</v>
      </c>
      <c r="I3698" s="34">
        <f>Table3[[#This Row],[Volume, kg.]]/1000</f>
        <v>6.43</v>
      </c>
      <c r="J3698" s="34">
        <v>0.21249999999999999</v>
      </c>
      <c r="K3698" s="34">
        <f t="shared" si="114"/>
        <v>1366.375</v>
      </c>
      <c r="L3698" s="34">
        <v>2.35</v>
      </c>
      <c r="M3698" s="34">
        <v>15110.5</v>
      </c>
      <c r="N3698" s="34">
        <f t="shared" si="115"/>
        <v>11.058823529411766</v>
      </c>
    </row>
    <row r="3699" spans="1:14" x14ac:dyDescent="0.45">
      <c r="A3699" s="30">
        <v>2024</v>
      </c>
      <c r="B3699" s="30" t="s">
        <v>14</v>
      </c>
      <c r="C3699" s="30" t="s">
        <v>46</v>
      </c>
      <c r="D3699" s="30" t="s">
        <v>47</v>
      </c>
      <c r="E3699" s="32" t="s">
        <v>369</v>
      </c>
      <c r="F3699" s="32" t="s">
        <v>57</v>
      </c>
      <c r="G3699" s="32" t="s">
        <v>50</v>
      </c>
      <c r="H3699" s="33">
        <v>132740</v>
      </c>
      <c r="I3699" s="34">
        <f>Table3[[#This Row],[Volume, kg.]]/1000</f>
        <v>132.74</v>
      </c>
      <c r="J3699" s="34">
        <v>0.21690000000000001</v>
      </c>
      <c r="K3699" s="34">
        <f t="shared" si="114"/>
        <v>28791.306</v>
      </c>
      <c r="L3699" s="34">
        <v>2.35</v>
      </c>
      <c r="M3699" s="34">
        <v>312182</v>
      </c>
      <c r="N3699" s="34">
        <f t="shared" si="115"/>
        <v>10.834485938220379</v>
      </c>
    </row>
    <row r="3700" spans="1:14" x14ac:dyDescent="0.45">
      <c r="A3700" s="30">
        <v>2024</v>
      </c>
      <c r="B3700" s="30" t="s">
        <v>14</v>
      </c>
      <c r="C3700" s="30" t="s">
        <v>46</v>
      </c>
      <c r="D3700" s="30" t="s">
        <v>47</v>
      </c>
      <c r="E3700" s="32" t="s">
        <v>518</v>
      </c>
      <c r="F3700" s="32" t="s">
        <v>49</v>
      </c>
      <c r="G3700" s="32" t="s">
        <v>50</v>
      </c>
      <c r="H3700" s="33">
        <v>6760</v>
      </c>
      <c r="I3700" s="34">
        <f>Table3[[#This Row],[Volume, kg.]]/1000</f>
        <v>6.76</v>
      </c>
      <c r="J3700" s="34">
        <v>0.20149999999999998</v>
      </c>
      <c r="K3700" s="34">
        <f t="shared" si="114"/>
        <v>1362.1399999999999</v>
      </c>
      <c r="L3700" s="34">
        <v>2.25</v>
      </c>
      <c r="M3700" s="34">
        <v>15210</v>
      </c>
      <c r="N3700" s="34">
        <f t="shared" si="115"/>
        <v>11.166253101736974</v>
      </c>
    </row>
    <row r="3701" spans="1:14" x14ac:dyDescent="0.45">
      <c r="A3701" s="30">
        <v>2024</v>
      </c>
      <c r="B3701" s="30" t="s">
        <v>14</v>
      </c>
      <c r="C3701" s="30" t="s">
        <v>46</v>
      </c>
      <c r="D3701" s="30" t="s">
        <v>47</v>
      </c>
      <c r="E3701" s="32" t="s">
        <v>87</v>
      </c>
      <c r="F3701" s="32" t="s">
        <v>49</v>
      </c>
      <c r="G3701" s="32" t="s">
        <v>50</v>
      </c>
      <c r="H3701" s="33">
        <v>54400</v>
      </c>
      <c r="I3701" s="34">
        <f>Table3[[#This Row],[Volume, kg.]]/1000</f>
        <v>54.4</v>
      </c>
      <c r="J3701" s="34">
        <v>0.20120000000000002</v>
      </c>
      <c r="K3701" s="34">
        <f t="shared" si="114"/>
        <v>10945.28</v>
      </c>
      <c r="L3701" s="34">
        <v>2.25</v>
      </c>
      <c r="M3701" s="34">
        <v>122183.5</v>
      </c>
      <c r="N3701" s="34">
        <f t="shared" si="115"/>
        <v>11.182902584493041</v>
      </c>
    </row>
    <row r="3702" spans="1:14" x14ac:dyDescent="0.45">
      <c r="A3702" s="30">
        <v>2024</v>
      </c>
      <c r="B3702" s="30" t="s">
        <v>14</v>
      </c>
      <c r="C3702" s="30" t="s">
        <v>46</v>
      </c>
      <c r="D3702" s="30" t="s">
        <v>47</v>
      </c>
      <c r="E3702" s="32" t="s">
        <v>94</v>
      </c>
      <c r="F3702" s="32" t="s">
        <v>64</v>
      </c>
      <c r="G3702" s="32" t="s">
        <v>50</v>
      </c>
      <c r="H3702" s="33">
        <v>12390</v>
      </c>
      <c r="I3702" s="34">
        <f>Table3[[#This Row],[Volume, kg.]]/1000</f>
        <v>12.39</v>
      </c>
      <c r="J3702" s="34">
        <v>0.1825</v>
      </c>
      <c r="K3702" s="34">
        <f t="shared" si="114"/>
        <v>2261.1749999999997</v>
      </c>
      <c r="L3702" s="34">
        <v>2.2000000000000002</v>
      </c>
      <c r="M3702" s="34">
        <v>27258</v>
      </c>
      <c r="N3702" s="34">
        <f t="shared" si="115"/>
        <v>12.054794520547947</v>
      </c>
    </row>
    <row r="3703" spans="1:14" x14ac:dyDescent="0.45">
      <c r="A3703" s="30">
        <v>2024</v>
      </c>
      <c r="B3703" s="30" t="s">
        <v>14</v>
      </c>
      <c r="C3703" s="30" t="s">
        <v>46</v>
      </c>
      <c r="D3703" s="30" t="s">
        <v>47</v>
      </c>
      <c r="E3703" s="32" t="s">
        <v>155</v>
      </c>
      <c r="F3703" s="32" t="s">
        <v>64</v>
      </c>
      <c r="G3703" s="32" t="s">
        <v>50</v>
      </c>
      <c r="H3703" s="33">
        <v>17440</v>
      </c>
      <c r="I3703" s="34">
        <f>Table3[[#This Row],[Volume, kg.]]/1000</f>
        <v>17.440000000000001</v>
      </c>
      <c r="J3703" s="34">
        <v>0.17610000000000001</v>
      </c>
      <c r="K3703" s="34">
        <f t="shared" si="114"/>
        <v>3071.1840000000002</v>
      </c>
      <c r="L3703" s="34">
        <v>2.17</v>
      </c>
      <c r="M3703" s="34">
        <v>37852</v>
      </c>
      <c r="N3703" s="34">
        <f t="shared" si="115"/>
        <v>12.322544009085746</v>
      </c>
    </row>
    <row r="3704" spans="1:14" x14ac:dyDescent="0.45">
      <c r="A3704" s="30">
        <v>2024</v>
      </c>
      <c r="B3704" s="30" t="s">
        <v>14</v>
      </c>
      <c r="C3704" s="30" t="s">
        <v>46</v>
      </c>
      <c r="D3704" s="30" t="s">
        <v>47</v>
      </c>
      <c r="E3704" s="32" t="s">
        <v>285</v>
      </c>
      <c r="F3704" s="32" t="s">
        <v>49</v>
      </c>
      <c r="G3704" s="32" t="s">
        <v>50</v>
      </c>
      <c r="H3704" s="33">
        <v>17600</v>
      </c>
      <c r="I3704" s="34">
        <f>Table3[[#This Row],[Volume, kg.]]/1000</f>
        <v>17.600000000000001</v>
      </c>
      <c r="J3704" s="34">
        <v>0.22190000000000001</v>
      </c>
      <c r="K3704" s="34">
        <f t="shared" si="114"/>
        <v>3905.44</v>
      </c>
      <c r="L3704" s="34">
        <v>2.36</v>
      </c>
      <c r="M3704" s="34">
        <v>41578</v>
      </c>
      <c r="N3704" s="34">
        <f t="shared" si="115"/>
        <v>10.63542136097341</v>
      </c>
    </row>
    <row r="3705" spans="1:14" x14ac:dyDescent="0.45">
      <c r="A3705" s="30">
        <v>2024</v>
      </c>
      <c r="B3705" s="30" t="s">
        <v>14</v>
      </c>
      <c r="C3705" s="30" t="s">
        <v>46</v>
      </c>
      <c r="D3705" s="30" t="s">
        <v>47</v>
      </c>
      <c r="E3705" s="32" t="s">
        <v>254</v>
      </c>
      <c r="F3705" s="32" t="s">
        <v>49</v>
      </c>
      <c r="G3705" s="32" t="s">
        <v>50</v>
      </c>
      <c r="H3705" s="33">
        <v>16430</v>
      </c>
      <c r="I3705" s="34">
        <f>Table3[[#This Row],[Volume, kg.]]/1000</f>
        <v>16.43</v>
      </c>
      <c r="J3705" s="34">
        <v>0.19159999999999999</v>
      </c>
      <c r="K3705" s="34">
        <f t="shared" si="114"/>
        <v>3147.9879999999998</v>
      </c>
      <c r="L3705" s="34">
        <v>2.12</v>
      </c>
      <c r="M3705" s="34">
        <v>34885</v>
      </c>
      <c r="N3705" s="34">
        <f t="shared" si="115"/>
        <v>11.064718162839249</v>
      </c>
    </row>
    <row r="3706" spans="1:14" x14ac:dyDescent="0.45">
      <c r="A3706" s="30">
        <v>2024</v>
      </c>
      <c r="B3706" s="30" t="s">
        <v>14</v>
      </c>
      <c r="C3706" s="30" t="s">
        <v>46</v>
      </c>
      <c r="D3706" s="30" t="s">
        <v>47</v>
      </c>
      <c r="E3706" s="32" t="s">
        <v>508</v>
      </c>
      <c r="F3706" s="32" t="s">
        <v>60</v>
      </c>
      <c r="G3706" s="32" t="s">
        <v>50</v>
      </c>
      <c r="H3706" s="33">
        <v>24830</v>
      </c>
      <c r="I3706" s="34">
        <f>Table3[[#This Row],[Volume, kg.]]/1000</f>
        <v>24.83</v>
      </c>
      <c r="J3706" s="34">
        <v>0.21010000000000001</v>
      </c>
      <c r="K3706" s="34">
        <f t="shared" si="114"/>
        <v>5216.7830000000004</v>
      </c>
      <c r="L3706" s="34">
        <v>2.35</v>
      </c>
      <c r="M3706" s="34">
        <v>58241</v>
      </c>
      <c r="N3706" s="34">
        <f t="shared" si="115"/>
        <v>11.185149928605426</v>
      </c>
    </row>
    <row r="3707" spans="1:14" x14ac:dyDescent="0.45">
      <c r="A3707" s="30">
        <v>2024</v>
      </c>
      <c r="B3707" s="30" t="s">
        <v>14</v>
      </c>
      <c r="C3707" s="30" t="s">
        <v>46</v>
      </c>
      <c r="D3707" s="30" t="s">
        <v>47</v>
      </c>
      <c r="E3707" s="32" t="s">
        <v>430</v>
      </c>
      <c r="F3707" s="32" t="s">
        <v>49</v>
      </c>
      <c r="G3707" s="32" t="s">
        <v>50</v>
      </c>
      <c r="H3707" s="33">
        <v>17990</v>
      </c>
      <c r="I3707" s="34">
        <f>Table3[[#This Row],[Volume, kg.]]/1000</f>
        <v>17.989999999999998</v>
      </c>
      <c r="J3707" s="34">
        <v>0.22989999999999999</v>
      </c>
      <c r="K3707" s="34">
        <f t="shared" si="114"/>
        <v>4135.9009999999998</v>
      </c>
      <c r="L3707" s="34">
        <v>2.3199999999999998</v>
      </c>
      <c r="M3707" s="34">
        <v>41687.5</v>
      </c>
      <c r="N3707" s="34">
        <f t="shared" si="115"/>
        <v>10.091344062635928</v>
      </c>
    </row>
    <row r="3708" spans="1:14" x14ac:dyDescent="0.45">
      <c r="A3708" s="30">
        <v>2024</v>
      </c>
      <c r="B3708" s="30" t="s">
        <v>14</v>
      </c>
      <c r="C3708" s="30" t="s">
        <v>46</v>
      </c>
      <c r="D3708" s="30" t="s">
        <v>47</v>
      </c>
      <c r="E3708" s="32" t="s">
        <v>199</v>
      </c>
      <c r="F3708" s="32" t="s">
        <v>60</v>
      </c>
      <c r="G3708" s="32" t="s">
        <v>50</v>
      </c>
      <c r="H3708" s="33">
        <v>22570</v>
      </c>
      <c r="I3708" s="34">
        <f>Table3[[#This Row],[Volume, kg.]]/1000</f>
        <v>22.57</v>
      </c>
      <c r="J3708" s="34">
        <v>0.19579999999999997</v>
      </c>
      <c r="K3708" s="34">
        <f t="shared" si="114"/>
        <v>4419.2059999999992</v>
      </c>
      <c r="L3708" s="34">
        <v>2.2400000000000002</v>
      </c>
      <c r="M3708" s="34">
        <v>50572</v>
      </c>
      <c r="N3708" s="34">
        <f t="shared" si="115"/>
        <v>11.44024514811032</v>
      </c>
    </row>
    <row r="3709" spans="1:14" x14ac:dyDescent="0.45">
      <c r="A3709" s="30">
        <v>2024</v>
      </c>
      <c r="B3709" s="30" t="s">
        <v>14</v>
      </c>
      <c r="C3709" s="30" t="s">
        <v>46</v>
      </c>
      <c r="D3709" s="30" t="s">
        <v>47</v>
      </c>
      <c r="E3709" s="32" t="s">
        <v>314</v>
      </c>
      <c r="F3709" s="32" t="s">
        <v>57</v>
      </c>
      <c r="G3709" s="32" t="s">
        <v>50</v>
      </c>
      <c r="H3709" s="33">
        <v>21340</v>
      </c>
      <c r="I3709" s="34">
        <f>Table3[[#This Row],[Volume, kg.]]/1000</f>
        <v>21.34</v>
      </c>
      <c r="J3709" s="34">
        <v>0.20100000000000001</v>
      </c>
      <c r="K3709" s="34">
        <f t="shared" si="114"/>
        <v>4289.34</v>
      </c>
      <c r="L3709" s="34">
        <v>2.2000000000000002</v>
      </c>
      <c r="M3709" s="34">
        <v>46992</v>
      </c>
      <c r="N3709" s="34">
        <f t="shared" si="115"/>
        <v>10.945273631840797</v>
      </c>
    </row>
    <row r="3710" spans="1:14" x14ac:dyDescent="0.45">
      <c r="A3710" s="30">
        <v>2024</v>
      </c>
      <c r="B3710" s="30" t="s">
        <v>14</v>
      </c>
      <c r="C3710" s="30" t="s">
        <v>46</v>
      </c>
      <c r="D3710" s="30" t="s">
        <v>47</v>
      </c>
      <c r="E3710" s="32" t="s">
        <v>215</v>
      </c>
      <c r="F3710" s="32" t="s">
        <v>57</v>
      </c>
      <c r="G3710" s="32" t="s">
        <v>50</v>
      </c>
      <c r="H3710" s="33">
        <v>9430</v>
      </c>
      <c r="I3710" s="34">
        <f>Table3[[#This Row],[Volume, kg.]]/1000</f>
        <v>9.43</v>
      </c>
      <c r="J3710" s="34">
        <v>0.23949999999999999</v>
      </c>
      <c r="K3710" s="34">
        <f t="shared" si="114"/>
        <v>2258.4850000000001</v>
      </c>
      <c r="L3710" s="34">
        <v>2.5</v>
      </c>
      <c r="M3710" s="34">
        <v>23575</v>
      </c>
      <c r="N3710" s="34">
        <f t="shared" si="115"/>
        <v>10.438413361169102</v>
      </c>
    </row>
    <row r="3711" spans="1:14" x14ac:dyDescent="0.45">
      <c r="A3711" s="30">
        <v>2024</v>
      </c>
      <c r="B3711" s="30" t="s">
        <v>14</v>
      </c>
      <c r="C3711" s="30" t="s">
        <v>46</v>
      </c>
      <c r="D3711" s="30" t="s">
        <v>47</v>
      </c>
      <c r="E3711" s="32" t="s">
        <v>453</v>
      </c>
      <c r="F3711" s="32" t="s">
        <v>57</v>
      </c>
      <c r="G3711" s="32" t="s">
        <v>50</v>
      </c>
      <c r="H3711" s="33">
        <v>143700</v>
      </c>
      <c r="I3711" s="34">
        <f>Table3[[#This Row],[Volume, kg.]]/1000</f>
        <v>143.69999999999999</v>
      </c>
      <c r="J3711" s="34">
        <v>0.23010000000000003</v>
      </c>
      <c r="K3711" s="34">
        <f t="shared" si="114"/>
        <v>33065.370000000003</v>
      </c>
      <c r="L3711" s="34">
        <v>2.4300000000000002</v>
      </c>
      <c r="M3711" s="34">
        <v>348833</v>
      </c>
      <c r="N3711" s="34">
        <f t="shared" si="115"/>
        <v>10.560625814863103</v>
      </c>
    </row>
    <row r="3712" spans="1:14" x14ac:dyDescent="0.45">
      <c r="A3712" s="30">
        <v>2024</v>
      </c>
      <c r="B3712" s="30" t="s">
        <v>14</v>
      </c>
      <c r="C3712" s="30" t="s">
        <v>46</v>
      </c>
      <c r="D3712" s="30" t="s">
        <v>47</v>
      </c>
      <c r="E3712" s="32" t="s">
        <v>141</v>
      </c>
      <c r="F3712" s="32" t="s">
        <v>49</v>
      </c>
      <c r="G3712" s="32" t="s">
        <v>50</v>
      </c>
      <c r="H3712" s="33">
        <v>23850</v>
      </c>
      <c r="I3712" s="34">
        <f>Table3[[#This Row],[Volume, kg.]]/1000</f>
        <v>23.85</v>
      </c>
      <c r="J3712" s="34">
        <v>0.17370000000000002</v>
      </c>
      <c r="K3712" s="34">
        <f t="shared" si="114"/>
        <v>4142.7450000000008</v>
      </c>
      <c r="L3712" s="34">
        <v>2.04</v>
      </c>
      <c r="M3712" s="34">
        <v>48710</v>
      </c>
      <c r="N3712" s="34">
        <f t="shared" si="115"/>
        <v>11.744386873920551</v>
      </c>
    </row>
    <row r="3713" spans="1:14" x14ac:dyDescent="0.45">
      <c r="A3713" s="30">
        <v>2024</v>
      </c>
      <c r="B3713" s="30" t="s">
        <v>14</v>
      </c>
      <c r="C3713" s="30" t="s">
        <v>46</v>
      </c>
      <c r="D3713" s="30" t="s">
        <v>47</v>
      </c>
      <c r="E3713" s="32" t="s">
        <v>227</v>
      </c>
      <c r="F3713" s="32" t="s">
        <v>57</v>
      </c>
      <c r="G3713" s="32" t="s">
        <v>50</v>
      </c>
      <c r="H3713" s="33">
        <v>14390</v>
      </c>
      <c r="I3713" s="34">
        <f>Table3[[#This Row],[Volume, kg.]]/1000</f>
        <v>14.39</v>
      </c>
      <c r="J3713" s="34">
        <v>0.20670000000000002</v>
      </c>
      <c r="K3713" s="34">
        <f t="shared" si="114"/>
        <v>2974.4130000000005</v>
      </c>
      <c r="L3713" s="34">
        <v>2.1800000000000002</v>
      </c>
      <c r="M3713" s="34">
        <v>31309</v>
      </c>
      <c r="N3713" s="34">
        <f t="shared" si="115"/>
        <v>10.546686018384131</v>
      </c>
    </row>
    <row r="3714" spans="1:14" x14ac:dyDescent="0.45">
      <c r="A3714" s="30">
        <v>2024</v>
      </c>
      <c r="B3714" s="30" t="s">
        <v>14</v>
      </c>
      <c r="C3714" s="30" t="s">
        <v>46</v>
      </c>
      <c r="D3714" s="30" t="s">
        <v>47</v>
      </c>
      <c r="E3714" s="32" t="s">
        <v>66</v>
      </c>
      <c r="F3714" s="32" t="s">
        <v>49</v>
      </c>
      <c r="G3714" s="32" t="s">
        <v>50</v>
      </c>
      <c r="H3714" s="33">
        <v>11070</v>
      </c>
      <c r="I3714" s="34">
        <f>Table3[[#This Row],[Volume, kg.]]/1000</f>
        <v>11.07</v>
      </c>
      <c r="J3714" s="34">
        <v>0.2175</v>
      </c>
      <c r="K3714" s="34">
        <f t="shared" si="114"/>
        <v>2407.7249999999999</v>
      </c>
      <c r="L3714" s="34">
        <v>2.25</v>
      </c>
      <c r="M3714" s="34">
        <v>24907.5</v>
      </c>
      <c r="N3714" s="34">
        <f t="shared" si="115"/>
        <v>10.344827586206897</v>
      </c>
    </row>
    <row r="3715" spans="1:14" x14ac:dyDescent="0.45">
      <c r="A3715" s="30">
        <v>2024</v>
      </c>
      <c r="B3715" s="30" t="s">
        <v>14</v>
      </c>
      <c r="C3715" s="30" t="s">
        <v>46</v>
      </c>
      <c r="D3715" s="30" t="s">
        <v>47</v>
      </c>
      <c r="E3715" s="32" t="s">
        <v>480</v>
      </c>
      <c r="F3715" s="32" t="s">
        <v>49</v>
      </c>
      <c r="G3715" s="32" t="s">
        <v>50</v>
      </c>
      <c r="H3715" s="33">
        <v>74970</v>
      </c>
      <c r="I3715" s="34">
        <f>Table3[[#This Row],[Volume, kg.]]/1000</f>
        <v>74.97</v>
      </c>
      <c r="J3715" s="34">
        <v>0.21329999999999999</v>
      </c>
      <c r="K3715" s="34">
        <f t="shared" ref="K3715:K3778" si="116">H3715*J3715</f>
        <v>15991.100999999999</v>
      </c>
      <c r="L3715" s="34">
        <v>2.29</v>
      </c>
      <c r="M3715" s="34">
        <v>171465.5</v>
      </c>
      <c r="N3715" s="34">
        <f t="shared" si="115"/>
        <v>10.736052508204407</v>
      </c>
    </row>
    <row r="3716" spans="1:14" x14ac:dyDescent="0.45">
      <c r="A3716" s="30">
        <v>2024</v>
      </c>
      <c r="B3716" s="30" t="s">
        <v>14</v>
      </c>
      <c r="C3716" s="30" t="s">
        <v>46</v>
      </c>
      <c r="D3716" s="30" t="s">
        <v>47</v>
      </c>
      <c r="E3716" s="32" t="s">
        <v>159</v>
      </c>
      <c r="F3716" s="32" t="s">
        <v>81</v>
      </c>
      <c r="G3716" s="32" t="s">
        <v>50</v>
      </c>
      <c r="H3716" s="33">
        <v>33730</v>
      </c>
      <c r="I3716" s="34">
        <f>Table3[[#This Row],[Volume, kg.]]/1000</f>
        <v>33.729999999999997</v>
      </c>
      <c r="J3716" s="34">
        <v>0.18030000000000002</v>
      </c>
      <c r="K3716" s="34">
        <f t="shared" si="116"/>
        <v>6081.5190000000002</v>
      </c>
      <c r="L3716" s="34">
        <v>2.04</v>
      </c>
      <c r="M3716" s="34">
        <v>68906</v>
      </c>
      <c r="N3716" s="34">
        <f t="shared" ref="N3716:N3779" si="117">L3716/J3716</f>
        <v>11.314475873544092</v>
      </c>
    </row>
    <row r="3717" spans="1:14" x14ac:dyDescent="0.45">
      <c r="A3717" s="30">
        <v>2024</v>
      </c>
      <c r="B3717" s="30" t="s">
        <v>14</v>
      </c>
      <c r="C3717" s="30" t="s">
        <v>46</v>
      </c>
      <c r="D3717" s="30" t="s">
        <v>47</v>
      </c>
      <c r="E3717" s="32" t="s">
        <v>101</v>
      </c>
      <c r="F3717" s="32" t="s">
        <v>64</v>
      </c>
      <c r="G3717" s="32" t="s">
        <v>50</v>
      </c>
      <c r="H3717" s="33">
        <v>1470</v>
      </c>
      <c r="I3717" s="34">
        <f>Table3[[#This Row],[Volume, kg.]]/1000</f>
        <v>1.47</v>
      </c>
      <c r="J3717" s="34">
        <v>0.10150000000000001</v>
      </c>
      <c r="K3717" s="34">
        <f t="shared" si="116"/>
        <v>149.20500000000001</v>
      </c>
      <c r="L3717" s="34">
        <v>1.75</v>
      </c>
      <c r="M3717" s="34">
        <v>2572.5</v>
      </c>
      <c r="N3717" s="34">
        <f t="shared" si="117"/>
        <v>17.241379310344826</v>
      </c>
    </row>
    <row r="3718" spans="1:14" x14ac:dyDescent="0.45">
      <c r="A3718" s="30">
        <v>2024</v>
      </c>
      <c r="B3718" s="30" t="s">
        <v>14</v>
      </c>
      <c r="C3718" s="30" t="s">
        <v>46</v>
      </c>
      <c r="D3718" s="30" t="s">
        <v>47</v>
      </c>
      <c r="E3718" s="32" t="s">
        <v>406</v>
      </c>
      <c r="F3718" s="32" t="s">
        <v>81</v>
      </c>
      <c r="G3718" s="32" t="s">
        <v>50</v>
      </c>
      <c r="H3718" s="33">
        <v>38130</v>
      </c>
      <c r="I3718" s="34">
        <f>Table3[[#This Row],[Volume, kg.]]/1000</f>
        <v>38.130000000000003</v>
      </c>
      <c r="J3718" s="34">
        <v>0.16649999999999998</v>
      </c>
      <c r="K3718" s="34">
        <f t="shared" si="116"/>
        <v>6348.6449999999995</v>
      </c>
      <c r="L3718" s="34">
        <v>2.11</v>
      </c>
      <c r="M3718" s="34">
        <v>80484.5</v>
      </c>
      <c r="N3718" s="34">
        <f t="shared" si="117"/>
        <v>12.672672672672673</v>
      </c>
    </row>
    <row r="3719" spans="1:14" x14ac:dyDescent="0.45">
      <c r="A3719" s="30">
        <v>2024</v>
      </c>
      <c r="B3719" s="30" t="s">
        <v>14</v>
      </c>
      <c r="C3719" s="30" t="s">
        <v>46</v>
      </c>
      <c r="D3719" s="30" t="s">
        <v>47</v>
      </c>
      <c r="E3719" s="32" t="s">
        <v>255</v>
      </c>
      <c r="F3719" s="32" t="s">
        <v>60</v>
      </c>
      <c r="G3719" s="32" t="s">
        <v>50</v>
      </c>
      <c r="H3719" s="33">
        <v>16820</v>
      </c>
      <c r="I3719" s="34">
        <f>Table3[[#This Row],[Volume, kg.]]/1000</f>
        <v>16.82</v>
      </c>
      <c r="J3719" s="34">
        <v>0.22270000000000001</v>
      </c>
      <c r="K3719" s="34">
        <f t="shared" si="116"/>
        <v>3745.8140000000003</v>
      </c>
      <c r="L3719" s="34">
        <v>2.35</v>
      </c>
      <c r="M3719" s="34">
        <v>39515</v>
      </c>
      <c r="N3719" s="34">
        <f t="shared" si="117"/>
        <v>10.552312528064661</v>
      </c>
    </row>
    <row r="3720" spans="1:14" x14ac:dyDescent="0.45">
      <c r="A3720" s="30">
        <v>2024</v>
      </c>
      <c r="B3720" s="30" t="s">
        <v>14</v>
      </c>
      <c r="C3720" s="30" t="s">
        <v>46</v>
      </c>
      <c r="D3720" s="30" t="s">
        <v>47</v>
      </c>
      <c r="E3720" s="32" t="s">
        <v>309</v>
      </c>
      <c r="F3720" s="32" t="s">
        <v>81</v>
      </c>
      <c r="G3720" s="32" t="s">
        <v>50</v>
      </c>
      <c r="H3720" s="33">
        <v>30320</v>
      </c>
      <c r="I3720" s="34">
        <f>Table3[[#This Row],[Volume, kg.]]/1000</f>
        <v>30.32</v>
      </c>
      <c r="J3720" s="34">
        <v>0.20519999999999999</v>
      </c>
      <c r="K3720" s="34">
        <f t="shared" si="116"/>
        <v>6221.6639999999998</v>
      </c>
      <c r="L3720" s="34">
        <v>2.21</v>
      </c>
      <c r="M3720" s="34">
        <v>67113</v>
      </c>
      <c r="N3720" s="34">
        <f t="shared" si="117"/>
        <v>10.769980506822613</v>
      </c>
    </row>
    <row r="3721" spans="1:14" x14ac:dyDescent="0.45">
      <c r="A3721" s="30">
        <v>2024</v>
      </c>
      <c r="B3721" s="30" t="s">
        <v>14</v>
      </c>
      <c r="C3721" s="30" t="s">
        <v>46</v>
      </c>
      <c r="D3721" s="30" t="s">
        <v>47</v>
      </c>
      <c r="E3721" s="32" t="s">
        <v>510</v>
      </c>
      <c r="F3721" s="32" t="s">
        <v>49</v>
      </c>
      <c r="G3721" s="32" t="s">
        <v>50</v>
      </c>
      <c r="H3721" s="33">
        <v>21910</v>
      </c>
      <c r="I3721" s="34">
        <f>Table3[[#This Row],[Volume, kg.]]/1000</f>
        <v>21.91</v>
      </c>
      <c r="J3721" s="34">
        <v>0.20850000000000002</v>
      </c>
      <c r="K3721" s="34">
        <f t="shared" si="116"/>
        <v>4568.2350000000006</v>
      </c>
      <c r="L3721" s="34">
        <v>2.15</v>
      </c>
      <c r="M3721" s="34">
        <v>47127.5</v>
      </c>
      <c r="N3721" s="34">
        <f t="shared" si="117"/>
        <v>10.311750599520382</v>
      </c>
    </row>
    <row r="3722" spans="1:14" x14ac:dyDescent="0.45">
      <c r="A3722" s="30">
        <v>2024</v>
      </c>
      <c r="B3722" s="30" t="s">
        <v>14</v>
      </c>
      <c r="C3722" s="30" t="s">
        <v>46</v>
      </c>
      <c r="D3722" s="30" t="s">
        <v>47</v>
      </c>
      <c r="E3722" s="32" t="s">
        <v>136</v>
      </c>
      <c r="F3722" s="32" t="s">
        <v>49</v>
      </c>
      <c r="G3722" s="32" t="s">
        <v>50</v>
      </c>
      <c r="H3722" s="33">
        <v>57860</v>
      </c>
      <c r="I3722" s="34">
        <f>Table3[[#This Row],[Volume, kg.]]/1000</f>
        <v>57.86</v>
      </c>
      <c r="J3722" s="34">
        <v>0.20309999999999997</v>
      </c>
      <c r="K3722" s="34">
        <f t="shared" si="116"/>
        <v>11751.365999999998</v>
      </c>
      <c r="L3722" s="34">
        <v>2.2200000000000002</v>
      </c>
      <c r="M3722" s="34">
        <v>128659.5</v>
      </c>
      <c r="N3722" s="34">
        <f t="shared" si="117"/>
        <v>10.930576070901036</v>
      </c>
    </row>
    <row r="3723" spans="1:14" x14ac:dyDescent="0.45">
      <c r="A3723" s="30">
        <v>2024</v>
      </c>
      <c r="B3723" s="30" t="s">
        <v>14</v>
      </c>
      <c r="C3723" s="30" t="s">
        <v>46</v>
      </c>
      <c r="D3723" s="30" t="s">
        <v>47</v>
      </c>
      <c r="E3723" s="32" t="s">
        <v>575</v>
      </c>
      <c r="F3723" s="32" t="s">
        <v>64</v>
      </c>
      <c r="G3723" s="32" t="s">
        <v>50</v>
      </c>
      <c r="H3723" s="33">
        <v>12130</v>
      </c>
      <c r="I3723" s="34">
        <f>Table3[[#This Row],[Volume, kg.]]/1000</f>
        <v>12.13</v>
      </c>
      <c r="J3723" s="34">
        <v>0.16949999999999998</v>
      </c>
      <c r="K3723" s="34">
        <f t="shared" si="116"/>
        <v>2056.0349999999999</v>
      </c>
      <c r="L3723" s="34">
        <v>2.15</v>
      </c>
      <c r="M3723" s="34">
        <v>26079.5</v>
      </c>
      <c r="N3723" s="34">
        <f t="shared" si="117"/>
        <v>12.684365781710914</v>
      </c>
    </row>
    <row r="3724" spans="1:14" x14ac:dyDescent="0.45">
      <c r="A3724" s="30">
        <v>2024</v>
      </c>
      <c r="B3724" s="30" t="s">
        <v>14</v>
      </c>
      <c r="C3724" s="30" t="s">
        <v>46</v>
      </c>
      <c r="D3724" s="30" t="s">
        <v>47</v>
      </c>
      <c r="E3724" s="32" t="s">
        <v>53</v>
      </c>
      <c r="F3724" s="32" t="s">
        <v>54</v>
      </c>
      <c r="G3724" s="32" t="s">
        <v>50</v>
      </c>
      <c r="H3724" s="33">
        <v>110120</v>
      </c>
      <c r="I3724" s="34">
        <f>Table3[[#This Row],[Volume, kg.]]/1000</f>
        <v>110.12</v>
      </c>
      <c r="J3724" s="34">
        <v>0.22390000000000002</v>
      </c>
      <c r="K3724" s="34">
        <f t="shared" si="116"/>
        <v>24655.868000000002</v>
      </c>
      <c r="L3724" s="34">
        <v>2.38</v>
      </c>
      <c r="M3724" s="34">
        <v>261718.5</v>
      </c>
      <c r="N3724" s="34">
        <f t="shared" si="117"/>
        <v>10.62974542206342</v>
      </c>
    </row>
    <row r="3725" spans="1:14" x14ac:dyDescent="0.45">
      <c r="A3725" s="30">
        <v>2024</v>
      </c>
      <c r="B3725" s="30" t="s">
        <v>14</v>
      </c>
      <c r="C3725" s="30" t="s">
        <v>46</v>
      </c>
      <c r="D3725" s="30" t="s">
        <v>47</v>
      </c>
      <c r="E3725" s="32" t="s">
        <v>120</v>
      </c>
      <c r="F3725" s="32" t="s">
        <v>49</v>
      </c>
      <c r="G3725" s="32" t="s">
        <v>50</v>
      </c>
      <c r="H3725" s="33">
        <v>39660</v>
      </c>
      <c r="I3725" s="34">
        <f>Table3[[#This Row],[Volume, kg.]]/1000</f>
        <v>39.659999999999997</v>
      </c>
      <c r="J3725" s="34">
        <v>0.20579999999999998</v>
      </c>
      <c r="K3725" s="34">
        <f t="shared" si="116"/>
        <v>8162.0279999999993</v>
      </c>
      <c r="L3725" s="34">
        <v>2.2599999999999998</v>
      </c>
      <c r="M3725" s="34">
        <v>89473</v>
      </c>
      <c r="N3725" s="34">
        <f t="shared" si="117"/>
        <v>10.981535471331389</v>
      </c>
    </row>
    <row r="3726" spans="1:14" x14ac:dyDescent="0.45">
      <c r="A3726" s="30">
        <v>2024</v>
      </c>
      <c r="B3726" s="30" t="s">
        <v>14</v>
      </c>
      <c r="C3726" s="30" t="s">
        <v>46</v>
      </c>
      <c r="D3726" s="30" t="s">
        <v>47</v>
      </c>
      <c r="E3726" s="32" t="s">
        <v>151</v>
      </c>
      <c r="F3726" s="32" t="s">
        <v>60</v>
      </c>
      <c r="G3726" s="32" t="s">
        <v>50</v>
      </c>
      <c r="H3726" s="33">
        <v>26330</v>
      </c>
      <c r="I3726" s="34">
        <f>Table3[[#This Row],[Volume, kg.]]/1000</f>
        <v>26.33</v>
      </c>
      <c r="J3726" s="34">
        <v>0.22450000000000001</v>
      </c>
      <c r="K3726" s="34">
        <f t="shared" si="116"/>
        <v>5911.085</v>
      </c>
      <c r="L3726" s="34">
        <v>2.2200000000000002</v>
      </c>
      <c r="M3726" s="34">
        <v>58547</v>
      </c>
      <c r="N3726" s="34">
        <f t="shared" si="117"/>
        <v>9.8886414253897552</v>
      </c>
    </row>
    <row r="3727" spans="1:14" x14ac:dyDescent="0.45">
      <c r="A3727" s="30">
        <v>2024</v>
      </c>
      <c r="B3727" s="30" t="s">
        <v>14</v>
      </c>
      <c r="C3727" s="30" t="s">
        <v>46</v>
      </c>
      <c r="D3727" s="30" t="s">
        <v>47</v>
      </c>
      <c r="E3727" s="32" t="s">
        <v>408</v>
      </c>
      <c r="F3727" s="32" t="s">
        <v>238</v>
      </c>
      <c r="G3727" s="32" t="s">
        <v>50</v>
      </c>
      <c r="H3727" s="33">
        <v>375020</v>
      </c>
      <c r="I3727" s="34">
        <f>Table3[[#This Row],[Volume, kg.]]/1000</f>
        <v>375.02</v>
      </c>
      <c r="J3727" s="34">
        <v>0.18239999999999998</v>
      </c>
      <c r="K3727" s="34">
        <f t="shared" si="116"/>
        <v>68403.647999999986</v>
      </c>
      <c r="L3727" s="34">
        <v>2.1800000000000002</v>
      </c>
      <c r="M3727" s="34">
        <v>815967.5</v>
      </c>
      <c r="N3727" s="34">
        <f t="shared" si="117"/>
        <v>11.951754385964914</v>
      </c>
    </row>
    <row r="3728" spans="1:14" x14ac:dyDescent="0.45">
      <c r="A3728" s="30">
        <v>2024</v>
      </c>
      <c r="B3728" s="30" t="s">
        <v>14</v>
      </c>
      <c r="C3728" s="30" t="s">
        <v>46</v>
      </c>
      <c r="D3728" s="30" t="s">
        <v>47</v>
      </c>
      <c r="E3728" s="32" t="s">
        <v>184</v>
      </c>
      <c r="F3728" s="32" t="s">
        <v>57</v>
      </c>
      <c r="G3728" s="32" t="s">
        <v>50</v>
      </c>
      <c r="H3728" s="33">
        <v>19230</v>
      </c>
      <c r="I3728" s="34">
        <f>Table3[[#This Row],[Volume, kg.]]/1000</f>
        <v>19.23</v>
      </c>
      <c r="J3728" s="34">
        <v>0.1981</v>
      </c>
      <c r="K3728" s="34">
        <f t="shared" si="116"/>
        <v>3809.4630000000002</v>
      </c>
      <c r="L3728" s="34">
        <v>2.27</v>
      </c>
      <c r="M3728" s="34">
        <v>43665</v>
      </c>
      <c r="N3728" s="34">
        <f t="shared" si="117"/>
        <v>11.458859162039374</v>
      </c>
    </row>
    <row r="3729" spans="1:14" x14ac:dyDescent="0.45">
      <c r="A3729" s="30">
        <v>2024</v>
      </c>
      <c r="B3729" s="30" t="s">
        <v>14</v>
      </c>
      <c r="C3729" s="30" t="s">
        <v>46</v>
      </c>
      <c r="D3729" s="30" t="s">
        <v>47</v>
      </c>
      <c r="E3729" s="32" t="s">
        <v>351</v>
      </c>
      <c r="F3729" s="32" t="s">
        <v>49</v>
      </c>
      <c r="G3729" s="32" t="s">
        <v>50</v>
      </c>
      <c r="H3729" s="33">
        <v>108230</v>
      </c>
      <c r="I3729" s="34">
        <f>Table3[[#This Row],[Volume, kg.]]/1000</f>
        <v>108.23</v>
      </c>
      <c r="J3729" s="34">
        <v>0.18340000000000001</v>
      </c>
      <c r="K3729" s="34">
        <f t="shared" si="116"/>
        <v>19849.382000000001</v>
      </c>
      <c r="L3729" s="34">
        <v>2.2000000000000002</v>
      </c>
      <c r="M3729" s="34">
        <v>238082</v>
      </c>
      <c r="N3729" s="34">
        <f t="shared" si="117"/>
        <v>11.995637949836423</v>
      </c>
    </row>
    <row r="3730" spans="1:14" x14ac:dyDescent="0.45">
      <c r="A3730" s="30">
        <v>2024</v>
      </c>
      <c r="B3730" s="30" t="s">
        <v>14</v>
      </c>
      <c r="C3730" s="30" t="s">
        <v>46</v>
      </c>
      <c r="D3730" s="30" t="s">
        <v>47</v>
      </c>
      <c r="E3730" s="32" t="s">
        <v>133</v>
      </c>
      <c r="F3730" s="32" t="s">
        <v>134</v>
      </c>
      <c r="G3730" s="32" t="s">
        <v>50</v>
      </c>
      <c r="H3730" s="33">
        <v>111080</v>
      </c>
      <c r="I3730" s="34">
        <f>Table3[[#This Row],[Volume, kg.]]/1000</f>
        <v>111.08</v>
      </c>
      <c r="J3730" s="34">
        <v>0.1923</v>
      </c>
      <c r="K3730" s="34">
        <f t="shared" si="116"/>
        <v>21360.684000000001</v>
      </c>
      <c r="L3730" s="34">
        <v>2.2200000000000002</v>
      </c>
      <c r="M3730" s="34">
        <v>246804</v>
      </c>
      <c r="N3730" s="34">
        <f t="shared" si="117"/>
        <v>11.54446177847114</v>
      </c>
    </row>
    <row r="3731" spans="1:14" x14ac:dyDescent="0.45">
      <c r="A3731" s="30">
        <v>2024</v>
      </c>
      <c r="B3731" s="30" t="s">
        <v>14</v>
      </c>
      <c r="C3731" s="30" t="s">
        <v>46</v>
      </c>
      <c r="D3731" s="30" t="s">
        <v>47</v>
      </c>
      <c r="E3731" s="32" t="s">
        <v>252</v>
      </c>
      <c r="F3731" s="32" t="s">
        <v>49</v>
      </c>
      <c r="G3731" s="32" t="s">
        <v>50</v>
      </c>
      <c r="H3731" s="33">
        <v>4240</v>
      </c>
      <c r="I3731" s="34">
        <f>Table3[[#This Row],[Volume, kg.]]/1000</f>
        <v>4.24</v>
      </c>
      <c r="J3731" s="34">
        <v>0.21100000000000002</v>
      </c>
      <c r="K3731" s="34">
        <f t="shared" si="116"/>
        <v>894.6400000000001</v>
      </c>
      <c r="L3731" s="34">
        <v>2.2999999999999998</v>
      </c>
      <c r="M3731" s="34">
        <v>9752</v>
      </c>
      <c r="N3731" s="34">
        <f t="shared" si="117"/>
        <v>10.900473933649288</v>
      </c>
    </row>
    <row r="3732" spans="1:14" x14ac:dyDescent="0.45">
      <c r="A3732" s="30">
        <v>2024</v>
      </c>
      <c r="B3732" s="30" t="s">
        <v>14</v>
      </c>
      <c r="C3732" s="30" t="s">
        <v>46</v>
      </c>
      <c r="D3732" s="30" t="s">
        <v>47</v>
      </c>
      <c r="E3732" s="32" t="s">
        <v>95</v>
      </c>
      <c r="F3732" s="32" t="s">
        <v>49</v>
      </c>
      <c r="G3732" s="32" t="s">
        <v>50</v>
      </c>
      <c r="H3732" s="33">
        <v>16400</v>
      </c>
      <c r="I3732" s="34">
        <f>Table3[[#This Row],[Volume, kg.]]/1000</f>
        <v>16.399999999999999</v>
      </c>
      <c r="J3732" s="34">
        <v>0.16500000000000001</v>
      </c>
      <c r="K3732" s="34">
        <f t="shared" si="116"/>
        <v>2706</v>
      </c>
      <c r="L3732" s="34">
        <v>2.0099999999999998</v>
      </c>
      <c r="M3732" s="34">
        <v>33017.5</v>
      </c>
      <c r="N3732" s="34">
        <f t="shared" si="117"/>
        <v>12.18181818181818</v>
      </c>
    </row>
    <row r="3733" spans="1:14" x14ac:dyDescent="0.45">
      <c r="A3733" s="30">
        <v>2024</v>
      </c>
      <c r="B3733" s="30" t="s">
        <v>14</v>
      </c>
      <c r="C3733" s="30" t="s">
        <v>46</v>
      </c>
      <c r="D3733" s="30" t="s">
        <v>47</v>
      </c>
      <c r="E3733" s="32" t="s">
        <v>205</v>
      </c>
      <c r="F3733" s="32" t="s">
        <v>49</v>
      </c>
      <c r="G3733" s="32" t="s">
        <v>50</v>
      </c>
      <c r="H3733" s="33">
        <v>86790</v>
      </c>
      <c r="I3733" s="34">
        <f>Table3[[#This Row],[Volume, kg.]]/1000</f>
        <v>86.79</v>
      </c>
      <c r="J3733" s="34">
        <v>0.18719999999999998</v>
      </c>
      <c r="K3733" s="34">
        <f t="shared" si="116"/>
        <v>16247.087999999998</v>
      </c>
      <c r="L3733" s="34">
        <v>2.1800000000000002</v>
      </c>
      <c r="M3733" s="34">
        <v>189439.5</v>
      </c>
      <c r="N3733" s="34">
        <f t="shared" si="117"/>
        <v>11.645299145299148</v>
      </c>
    </row>
    <row r="3734" spans="1:14" x14ac:dyDescent="0.45">
      <c r="A3734" s="30">
        <v>2024</v>
      </c>
      <c r="B3734" s="30" t="s">
        <v>14</v>
      </c>
      <c r="C3734" s="30" t="s">
        <v>46</v>
      </c>
      <c r="D3734" s="30" t="s">
        <v>47</v>
      </c>
      <c r="E3734" s="32" t="s">
        <v>511</v>
      </c>
      <c r="F3734" s="32" t="s">
        <v>60</v>
      </c>
      <c r="G3734" s="32" t="s">
        <v>50</v>
      </c>
      <c r="H3734" s="33">
        <v>5380</v>
      </c>
      <c r="I3734" s="34">
        <f>Table3[[#This Row],[Volume, kg.]]/1000</f>
        <v>5.38</v>
      </c>
      <c r="J3734" s="34">
        <v>0.22550000000000001</v>
      </c>
      <c r="K3734" s="34">
        <f t="shared" si="116"/>
        <v>1213.19</v>
      </c>
      <c r="L3734" s="34">
        <v>2.4500000000000002</v>
      </c>
      <c r="M3734" s="34">
        <v>13181</v>
      </c>
      <c r="N3734" s="34">
        <f t="shared" si="117"/>
        <v>10.864745011086475</v>
      </c>
    </row>
    <row r="3735" spans="1:14" x14ac:dyDescent="0.45">
      <c r="A3735" s="30">
        <v>2024</v>
      </c>
      <c r="B3735" s="30" t="s">
        <v>14</v>
      </c>
      <c r="C3735" s="30" t="s">
        <v>46</v>
      </c>
      <c r="D3735" s="30" t="s">
        <v>102</v>
      </c>
      <c r="E3735" s="32" t="s">
        <v>366</v>
      </c>
      <c r="F3735" s="32" t="s">
        <v>367</v>
      </c>
      <c r="G3735" s="32" t="s">
        <v>368</v>
      </c>
      <c r="H3735" s="33">
        <v>583850</v>
      </c>
      <c r="I3735" s="34">
        <f>Table3[[#This Row],[Volume, kg.]]/1000</f>
        <v>583.85</v>
      </c>
      <c r="J3735" s="34">
        <v>0.17399999999999999</v>
      </c>
      <c r="K3735" s="34">
        <f t="shared" si="116"/>
        <v>101589.9</v>
      </c>
      <c r="L3735" s="34">
        <v>2.19</v>
      </c>
      <c r="M3735" s="34">
        <v>1280121</v>
      </c>
      <c r="N3735" s="34">
        <f t="shared" si="117"/>
        <v>12.586206896551724</v>
      </c>
    </row>
    <row r="3736" spans="1:14" x14ac:dyDescent="0.45">
      <c r="A3736" s="30">
        <v>2024</v>
      </c>
      <c r="B3736" s="30" t="s">
        <v>14</v>
      </c>
      <c r="C3736" s="30" t="s">
        <v>46</v>
      </c>
      <c r="D3736" s="30" t="s">
        <v>47</v>
      </c>
      <c r="E3736" s="32" t="s">
        <v>410</v>
      </c>
      <c r="F3736" s="32" t="s">
        <v>54</v>
      </c>
      <c r="G3736" s="32" t="s">
        <v>50</v>
      </c>
      <c r="H3736" s="33">
        <v>10110</v>
      </c>
      <c r="I3736" s="34">
        <f>Table3[[#This Row],[Volume, kg.]]/1000</f>
        <v>10.11</v>
      </c>
      <c r="J3736" s="34">
        <v>0.2024</v>
      </c>
      <c r="K3736" s="34">
        <f t="shared" si="116"/>
        <v>2046.2639999999999</v>
      </c>
      <c r="L3736" s="34">
        <v>2.25</v>
      </c>
      <c r="M3736" s="34">
        <v>22762.5</v>
      </c>
      <c r="N3736" s="34">
        <f t="shared" si="117"/>
        <v>11.116600790513834</v>
      </c>
    </row>
    <row r="3737" spans="1:14" x14ac:dyDescent="0.45">
      <c r="A3737" s="30">
        <v>2024</v>
      </c>
      <c r="B3737" s="30" t="s">
        <v>14</v>
      </c>
      <c r="C3737" s="30" t="s">
        <v>46</v>
      </c>
      <c r="D3737" s="30" t="s">
        <v>47</v>
      </c>
      <c r="E3737" s="32" t="s">
        <v>412</v>
      </c>
      <c r="F3737" s="32" t="s">
        <v>57</v>
      </c>
      <c r="G3737" s="32" t="s">
        <v>50</v>
      </c>
      <c r="H3737" s="33">
        <v>65660</v>
      </c>
      <c r="I3737" s="34">
        <f>Table3[[#This Row],[Volume, kg.]]/1000</f>
        <v>65.66</v>
      </c>
      <c r="J3737" s="34">
        <v>0.221</v>
      </c>
      <c r="K3737" s="34">
        <f t="shared" si="116"/>
        <v>14510.86</v>
      </c>
      <c r="L3737" s="34">
        <v>2.4</v>
      </c>
      <c r="M3737" s="34">
        <v>157541.5</v>
      </c>
      <c r="N3737" s="34">
        <f t="shared" si="117"/>
        <v>10.859728506787329</v>
      </c>
    </row>
    <row r="3738" spans="1:14" x14ac:dyDescent="0.45">
      <c r="A3738" s="30">
        <v>2024</v>
      </c>
      <c r="B3738" s="30" t="s">
        <v>14</v>
      </c>
      <c r="C3738" s="30" t="s">
        <v>46</v>
      </c>
      <c r="D3738" s="30" t="s">
        <v>47</v>
      </c>
      <c r="E3738" s="32" t="s">
        <v>413</v>
      </c>
      <c r="F3738" s="32" t="s">
        <v>49</v>
      </c>
      <c r="G3738" s="32" t="s">
        <v>50</v>
      </c>
      <c r="H3738" s="33">
        <v>88500</v>
      </c>
      <c r="I3738" s="34">
        <f>Table3[[#This Row],[Volume, kg.]]/1000</f>
        <v>88.5</v>
      </c>
      <c r="J3738" s="34">
        <v>0.21780000000000002</v>
      </c>
      <c r="K3738" s="34">
        <f t="shared" si="116"/>
        <v>19275.300000000003</v>
      </c>
      <c r="L3738" s="34">
        <v>2.33</v>
      </c>
      <c r="M3738" s="34">
        <v>205771</v>
      </c>
      <c r="N3738" s="34">
        <f t="shared" si="117"/>
        <v>10.697887970615243</v>
      </c>
    </row>
    <row r="3739" spans="1:14" x14ac:dyDescent="0.45">
      <c r="A3739" s="30">
        <v>2024</v>
      </c>
      <c r="B3739" s="30" t="s">
        <v>14</v>
      </c>
      <c r="C3739" s="30" t="s">
        <v>46</v>
      </c>
      <c r="D3739" s="30" t="s">
        <v>102</v>
      </c>
      <c r="E3739" s="32" t="s">
        <v>418</v>
      </c>
      <c r="F3739" s="32" t="s">
        <v>104</v>
      </c>
      <c r="G3739" s="32" t="s">
        <v>105</v>
      </c>
      <c r="H3739" s="33">
        <v>1348450</v>
      </c>
      <c r="I3739" s="34">
        <f>Table3[[#This Row],[Volume, kg.]]/1000</f>
        <v>1348.45</v>
      </c>
      <c r="J3739" s="34">
        <v>0.1857</v>
      </c>
      <c r="K3739" s="34">
        <f t="shared" si="116"/>
        <v>250407.16500000001</v>
      </c>
      <c r="L3739" s="34">
        <v>2.27</v>
      </c>
      <c r="M3739" s="34">
        <v>3065216.5</v>
      </c>
      <c r="N3739" s="34">
        <f t="shared" si="117"/>
        <v>12.224017232094777</v>
      </c>
    </row>
    <row r="3740" spans="1:14" x14ac:dyDescent="0.45">
      <c r="A3740" s="30">
        <v>2024</v>
      </c>
      <c r="B3740" s="30" t="s">
        <v>14</v>
      </c>
      <c r="C3740" s="30" t="s">
        <v>46</v>
      </c>
      <c r="D3740" s="30" t="s">
        <v>47</v>
      </c>
      <c r="E3740" s="32" t="s">
        <v>448</v>
      </c>
      <c r="F3740" s="32" t="s">
        <v>238</v>
      </c>
      <c r="G3740" s="32" t="s">
        <v>50</v>
      </c>
      <c r="H3740" s="33">
        <v>169230</v>
      </c>
      <c r="I3740" s="34">
        <f>Table3[[#This Row],[Volume, kg.]]/1000</f>
        <v>169.23</v>
      </c>
      <c r="J3740" s="34">
        <v>0.19550000000000001</v>
      </c>
      <c r="K3740" s="34">
        <f t="shared" si="116"/>
        <v>33084.465000000004</v>
      </c>
      <c r="L3740" s="34">
        <v>2.23</v>
      </c>
      <c r="M3740" s="34">
        <v>377006</v>
      </c>
      <c r="N3740" s="34">
        <f t="shared" si="117"/>
        <v>11.406649616368286</v>
      </c>
    </row>
    <row r="3741" spans="1:14" x14ac:dyDescent="0.45">
      <c r="A3741" s="30">
        <v>2024</v>
      </c>
      <c r="B3741" s="30" t="s">
        <v>14</v>
      </c>
      <c r="C3741" s="30" t="s">
        <v>46</v>
      </c>
      <c r="D3741" s="30" t="s">
        <v>47</v>
      </c>
      <c r="E3741" s="32" t="s">
        <v>436</v>
      </c>
      <c r="F3741" s="32" t="s">
        <v>57</v>
      </c>
      <c r="G3741" s="32" t="s">
        <v>50</v>
      </c>
      <c r="H3741" s="33">
        <v>52180</v>
      </c>
      <c r="I3741" s="34">
        <f>Table3[[#This Row],[Volume, kg.]]/1000</f>
        <v>52.18</v>
      </c>
      <c r="J3741" s="34">
        <v>0.2465</v>
      </c>
      <c r="K3741" s="34">
        <f t="shared" si="116"/>
        <v>12862.369999999999</v>
      </c>
      <c r="L3741" s="34">
        <v>2.5099999999999998</v>
      </c>
      <c r="M3741" s="34">
        <v>131219.5</v>
      </c>
      <c r="N3741" s="34">
        <f t="shared" si="117"/>
        <v>10.182555780933063</v>
      </c>
    </row>
    <row r="3742" spans="1:14" x14ac:dyDescent="0.45">
      <c r="A3742" s="30">
        <v>2024</v>
      </c>
      <c r="B3742" s="30" t="s">
        <v>14</v>
      </c>
      <c r="C3742" s="30" t="s">
        <v>46</v>
      </c>
      <c r="D3742" s="30" t="s">
        <v>47</v>
      </c>
      <c r="E3742" s="32" t="s">
        <v>434</v>
      </c>
      <c r="F3742" s="32" t="s">
        <v>57</v>
      </c>
      <c r="G3742" s="32" t="s">
        <v>50</v>
      </c>
      <c r="H3742" s="33">
        <v>46900</v>
      </c>
      <c r="I3742" s="34">
        <f>Table3[[#This Row],[Volume, kg.]]/1000</f>
        <v>46.9</v>
      </c>
      <c r="J3742" s="34">
        <v>0.2167</v>
      </c>
      <c r="K3742" s="34">
        <f t="shared" si="116"/>
        <v>10163.23</v>
      </c>
      <c r="L3742" s="34">
        <v>2.37</v>
      </c>
      <c r="M3742" s="34">
        <v>111085</v>
      </c>
      <c r="N3742" s="34">
        <f t="shared" si="117"/>
        <v>10.936778957083526</v>
      </c>
    </row>
    <row r="3743" spans="1:14" x14ac:dyDescent="0.45">
      <c r="A3743" s="30">
        <v>2024</v>
      </c>
      <c r="B3743" s="30" t="s">
        <v>14</v>
      </c>
      <c r="C3743" s="30" t="s">
        <v>46</v>
      </c>
      <c r="D3743" s="30" t="s">
        <v>47</v>
      </c>
      <c r="E3743" s="32" t="s">
        <v>452</v>
      </c>
      <c r="F3743" s="32" t="s">
        <v>134</v>
      </c>
      <c r="G3743" s="32" t="s">
        <v>50</v>
      </c>
      <c r="H3743" s="33">
        <v>21850</v>
      </c>
      <c r="I3743" s="34">
        <f>Table3[[#This Row],[Volume, kg.]]/1000</f>
        <v>21.85</v>
      </c>
      <c r="J3743" s="34">
        <v>0.21850000000000003</v>
      </c>
      <c r="K3743" s="34">
        <f t="shared" si="116"/>
        <v>4774.2250000000004</v>
      </c>
      <c r="L3743" s="34">
        <v>2.38</v>
      </c>
      <c r="M3743" s="34">
        <v>51933.5</v>
      </c>
      <c r="N3743" s="34">
        <f t="shared" si="117"/>
        <v>10.89244851258581</v>
      </c>
    </row>
    <row r="3744" spans="1:14" x14ac:dyDescent="0.45">
      <c r="A3744" s="30">
        <v>2024</v>
      </c>
      <c r="B3744" s="30" t="s">
        <v>14</v>
      </c>
      <c r="C3744" s="30" t="s">
        <v>46</v>
      </c>
      <c r="D3744" s="30" t="s">
        <v>47</v>
      </c>
      <c r="E3744" s="32" t="s">
        <v>483</v>
      </c>
      <c r="F3744" s="32" t="s">
        <v>238</v>
      </c>
      <c r="G3744" s="32" t="s">
        <v>50</v>
      </c>
      <c r="H3744" s="33">
        <v>141120</v>
      </c>
      <c r="I3744" s="34">
        <f>Table3[[#This Row],[Volume, kg.]]/1000</f>
        <v>141.12</v>
      </c>
      <c r="J3744" s="34">
        <v>0.18820000000000001</v>
      </c>
      <c r="K3744" s="34">
        <f t="shared" si="116"/>
        <v>26558.784</v>
      </c>
      <c r="L3744" s="34">
        <v>2.2200000000000002</v>
      </c>
      <c r="M3744" s="34">
        <v>312775.5</v>
      </c>
      <c r="N3744" s="34">
        <f t="shared" si="117"/>
        <v>11.795961742826782</v>
      </c>
    </row>
    <row r="3745" spans="1:14" x14ac:dyDescent="0.45">
      <c r="A3745" s="30">
        <v>2024</v>
      </c>
      <c r="B3745" s="30" t="s">
        <v>14</v>
      </c>
      <c r="C3745" s="30" t="s">
        <v>46</v>
      </c>
      <c r="D3745" s="30" t="s">
        <v>47</v>
      </c>
      <c r="E3745" s="32" t="s">
        <v>488</v>
      </c>
      <c r="F3745" s="32" t="s">
        <v>57</v>
      </c>
      <c r="G3745" s="32" t="s">
        <v>50</v>
      </c>
      <c r="H3745" s="33">
        <v>96480</v>
      </c>
      <c r="I3745" s="34">
        <f>Table3[[#This Row],[Volume, kg.]]/1000</f>
        <v>96.48</v>
      </c>
      <c r="J3745" s="34">
        <v>0.21710000000000002</v>
      </c>
      <c r="K3745" s="34">
        <f t="shared" si="116"/>
        <v>20945.808000000001</v>
      </c>
      <c r="L3745" s="34">
        <v>2.35</v>
      </c>
      <c r="M3745" s="34">
        <v>226351</v>
      </c>
      <c r="N3745" s="34">
        <f t="shared" si="117"/>
        <v>10.824504836480884</v>
      </c>
    </row>
    <row r="3746" spans="1:14" x14ac:dyDescent="0.45">
      <c r="A3746" s="30">
        <v>2024</v>
      </c>
      <c r="B3746" s="30" t="s">
        <v>14</v>
      </c>
      <c r="C3746" s="30" t="s">
        <v>46</v>
      </c>
      <c r="D3746" s="30" t="s">
        <v>47</v>
      </c>
      <c r="E3746" s="32" t="s">
        <v>489</v>
      </c>
      <c r="F3746" s="32" t="s">
        <v>81</v>
      </c>
      <c r="G3746" s="32" t="s">
        <v>50</v>
      </c>
      <c r="H3746" s="33">
        <v>344680</v>
      </c>
      <c r="I3746" s="34">
        <f>Table3[[#This Row],[Volume, kg.]]/1000</f>
        <v>344.68</v>
      </c>
      <c r="J3746" s="34">
        <v>0.19949999999999998</v>
      </c>
      <c r="K3746" s="34">
        <f t="shared" si="116"/>
        <v>68763.659999999989</v>
      </c>
      <c r="L3746" s="34">
        <v>2.2599999999999998</v>
      </c>
      <c r="M3746" s="34">
        <v>777800</v>
      </c>
      <c r="N3746" s="34">
        <f t="shared" si="117"/>
        <v>11.328320802005013</v>
      </c>
    </row>
    <row r="3747" spans="1:14" x14ac:dyDescent="0.45">
      <c r="A3747" s="30">
        <v>2024</v>
      </c>
      <c r="B3747" s="30" t="s">
        <v>14</v>
      </c>
      <c r="C3747" s="30" t="s">
        <v>46</v>
      </c>
      <c r="D3747" s="30" t="s">
        <v>47</v>
      </c>
      <c r="E3747" s="32" t="s">
        <v>492</v>
      </c>
      <c r="F3747" s="32" t="s">
        <v>57</v>
      </c>
      <c r="G3747" s="32" t="s">
        <v>50</v>
      </c>
      <c r="H3747" s="33">
        <v>84570</v>
      </c>
      <c r="I3747" s="34">
        <f>Table3[[#This Row],[Volume, kg.]]/1000</f>
        <v>84.57</v>
      </c>
      <c r="J3747" s="34">
        <v>0.19769999999999999</v>
      </c>
      <c r="K3747" s="34">
        <f t="shared" si="116"/>
        <v>16719.488999999998</v>
      </c>
      <c r="L3747" s="34">
        <v>2.25</v>
      </c>
      <c r="M3747" s="34">
        <v>190081.5</v>
      </c>
      <c r="N3747" s="34">
        <f t="shared" si="117"/>
        <v>11.380880121396055</v>
      </c>
    </row>
    <row r="3748" spans="1:14" x14ac:dyDescent="0.45">
      <c r="A3748" s="30">
        <v>2024</v>
      </c>
      <c r="B3748" s="30" t="s">
        <v>14</v>
      </c>
      <c r="C3748" s="30" t="s">
        <v>46</v>
      </c>
      <c r="D3748" s="30" t="s">
        <v>47</v>
      </c>
      <c r="E3748" s="32" t="s">
        <v>512</v>
      </c>
      <c r="F3748" s="32" t="s">
        <v>81</v>
      </c>
      <c r="G3748" s="32" t="s">
        <v>50</v>
      </c>
      <c r="H3748" s="33">
        <v>20020</v>
      </c>
      <c r="I3748" s="34">
        <f>Table3[[#This Row],[Volume, kg.]]/1000</f>
        <v>20.02</v>
      </c>
      <c r="J3748" s="34">
        <v>0.19210000000000002</v>
      </c>
      <c r="K3748" s="34">
        <f t="shared" si="116"/>
        <v>3845.8420000000006</v>
      </c>
      <c r="L3748" s="34">
        <v>2.2799999999999998</v>
      </c>
      <c r="M3748" s="34">
        <v>45633</v>
      </c>
      <c r="N3748" s="34">
        <f t="shared" si="117"/>
        <v>11.868818323789691</v>
      </c>
    </row>
    <row r="3749" spans="1:14" x14ac:dyDescent="0.45">
      <c r="A3749" s="30">
        <v>2024</v>
      </c>
      <c r="B3749" s="30" t="s">
        <v>14</v>
      </c>
      <c r="C3749" s="30" t="s">
        <v>46</v>
      </c>
      <c r="D3749" s="30" t="s">
        <v>47</v>
      </c>
      <c r="E3749" s="32" t="s">
        <v>513</v>
      </c>
      <c r="F3749" s="32" t="s">
        <v>57</v>
      </c>
      <c r="G3749" s="32" t="s">
        <v>50</v>
      </c>
      <c r="H3749" s="33">
        <v>28330</v>
      </c>
      <c r="I3749" s="34">
        <f>Table3[[#This Row],[Volume, kg.]]/1000</f>
        <v>28.33</v>
      </c>
      <c r="J3749" s="34">
        <v>0.22539999999999999</v>
      </c>
      <c r="K3749" s="34">
        <f t="shared" si="116"/>
        <v>6385.5819999999994</v>
      </c>
      <c r="L3749" s="34">
        <v>2.3199999999999998</v>
      </c>
      <c r="M3749" s="34">
        <v>65780.5</v>
      </c>
      <c r="N3749" s="34">
        <f t="shared" si="117"/>
        <v>10.292812777284826</v>
      </c>
    </row>
    <row r="3750" spans="1:14" x14ac:dyDescent="0.45">
      <c r="A3750" s="30">
        <v>2024</v>
      </c>
      <c r="B3750" s="30" t="s">
        <v>14</v>
      </c>
      <c r="C3750" s="30" t="s">
        <v>46</v>
      </c>
      <c r="D3750" s="30" t="s">
        <v>47</v>
      </c>
      <c r="E3750" s="32" t="s">
        <v>517</v>
      </c>
      <c r="F3750" s="32" t="s">
        <v>57</v>
      </c>
      <c r="G3750" s="32" t="s">
        <v>50</v>
      </c>
      <c r="H3750" s="33">
        <v>34940</v>
      </c>
      <c r="I3750" s="34">
        <f>Table3[[#This Row],[Volume, kg.]]/1000</f>
        <v>34.94</v>
      </c>
      <c r="J3750" s="34">
        <v>0.21230000000000002</v>
      </c>
      <c r="K3750" s="34">
        <f t="shared" si="116"/>
        <v>7417.7620000000006</v>
      </c>
      <c r="L3750" s="34">
        <v>2.29</v>
      </c>
      <c r="M3750" s="34">
        <v>80012</v>
      </c>
      <c r="N3750" s="34">
        <f t="shared" si="117"/>
        <v>10.786622703721148</v>
      </c>
    </row>
    <row r="3751" spans="1:14" x14ac:dyDescent="0.45">
      <c r="A3751" s="30">
        <v>2024</v>
      </c>
      <c r="B3751" s="30" t="s">
        <v>14</v>
      </c>
      <c r="C3751" s="30" t="s">
        <v>46</v>
      </c>
      <c r="D3751" s="30" t="s">
        <v>47</v>
      </c>
      <c r="E3751" s="32" t="s">
        <v>524</v>
      </c>
      <c r="F3751" s="32" t="s">
        <v>49</v>
      </c>
      <c r="G3751" s="32" t="s">
        <v>50</v>
      </c>
      <c r="H3751" s="33">
        <v>16240</v>
      </c>
      <c r="I3751" s="34">
        <f>Table3[[#This Row],[Volume, kg.]]/1000</f>
        <v>16.239999999999998</v>
      </c>
      <c r="J3751" s="34">
        <v>0.214</v>
      </c>
      <c r="K3751" s="34">
        <f t="shared" si="116"/>
        <v>3475.36</v>
      </c>
      <c r="L3751" s="34">
        <v>2.1</v>
      </c>
      <c r="M3751" s="34">
        <v>34104</v>
      </c>
      <c r="N3751" s="34">
        <f t="shared" si="117"/>
        <v>9.813084112149534</v>
      </c>
    </row>
    <row r="3752" spans="1:14" x14ac:dyDescent="0.45">
      <c r="A3752" s="30">
        <v>2024</v>
      </c>
      <c r="B3752" s="30" t="s">
        <v>14</v>
      </c>
      <c r="C3752" s="30" t="s">
        <v>46</v>
      </c>
      <c r="D3752" s="30" t="s">
        <v>47</v>
      </c>
      <c r="E3752" s="32" t="s">
        <v>530</v>
      </c>
      <c r="F3752" s="32" t="s">
        <v>49</v>
      </c>
      <c r="G3752" s="32" t="s">
        <v>50</v>
      </c>
      <c r="H3752" s="33">
        <v>11230</v>
      </c>
      <c r="I3752" s="34">
        <f>Table3[[#This Row],[Volume, kg.]]/1000</f>
        <v>11.23</v>
      </c>
      <c r="J3752" s="34">
        <v>0.192</v>
      </c>
      <c r="K3752" s="34">
        <f t="shared" si="116"/>
        <v>2156.16</v>
      </c>
      <c r="L3752" s="34">
        <v>2</v>
      </c>
      <c r="M3752" s="34">
        <v>22460</v>
      </c>
      <c r="N3752" s="34">
        <f t="shared" si="117"/>
        <v>10.416666666666666</v>
      </c>
    </row>
    <row r="3753" spans="1:14" x14ac:dyDescent="0.45">
      <c r="A3753" s="30">
        <v>2024</v>
      </c>
      <c r="B3753" s="30" t="s">
        <v>14</v>
      </c>
      <c r="C3753" s="30" t="s">
        <v>46</v>
      </c>
      <c r="D3753" s="30" t="s">
        <v>47</v>
      </c>
      <c r="E3753" s="32" t="s">
        <v>603</v>
      </c>
      <c r="F3753" s="32" t="s">
        <v>49</v>
      </c>
      <c r="G3753" s="32" t="s">
        <v>50</v>
      </c>
      <c r="H3753" s="33">
        <v>23890</v>
      </c>
      <c r="I3753" s="34">
        <f>Table3[[#This Row],[Volume, kg.]]/1000</f>
        <v>23.89</v>
      </c>
      <c r="J3753" s="34">
        <v>0.22690000000000002</v>
      </c>
      <c r="K3753" s="34">
        <f t="shared" si="116"/>
        <v>5420.6410000000005</v>
      </c>
      <c r="L3753" s="34">
        <v>2.36</v>
      </c>
      <c r="M3753" s="34">
        <v>56448.5</v>
      </c>
      <c r="N3753" s="34">
        <f t="shared" si="117"/>
        <v>10.401057734684882</v>
      </c>
    </row>
    <row r="3754" spans="1:14" x14ac:dyDescent="0.45">
      <c r="A3754" s="30">
        <v>2024</v>
      </c>
      <c r="B3754" s="30" t="s">
        <v>14</v>
      </c>
      <c r="C3754" s="30" t="s">
        <v>46</v>
      </c>
      <c r="D3754" s="30" t="s">
        <v>102</v>
      </c>
      <c r="E3754" s="32" t="s">
        <v>552</v>
      </c>
      <c r="F3754" s="32" t="s">
        <v>238</v>
      </c>
      <c r="G3754" s="32" t="s">
        <v>50</v>
      </c>
      <c r="H3754" s="33">
        <v>933230</v>
      </c>
      <c r="I3754" s="34">
        <f>Table3[[#This Row],[Volume, kg.]]/1000</f>
        <v>933.23</v>
      </c>
      <c r="J3754" s="34">
        <v>0.1764</v>
      </c>
      <c r="K3754" s="34">
        <f t="shared" si="116"/>
        <v>164621.772</v>
      </c>
      <c r="L3754" s="34">
        <v>2.2000000000000002</v>
      </c>
      <c r="M3754" s="34">
        <v>2054830.5</v>
      </c>
      <c r="N3754" s="34">
        <f t="shared" si="117"/>
        <v>12.471655328798187</v>
      </c>
    </row>
    <row r="3755" spans="1:14" x14ac:dyDescent="0.45">
      <c r="A3755" s="30">
        <v>2024</v>
      </c>
      <c r="B3755" s="30" t="s">
        <v>14</v>
      </c>
      <c r="C3755" s="30" t="s">
        <v>46</v>
      </c>
      <c r="D3755" s="30" t="s">
        <v>47</v>
      </c>
      <c r="E3755" s="32" t="s">
        <v>586</v>
      </c>
      <c r="F3755" s="32" t="s">
        <v>64</v>
      </c>
      <c r="G3755" s="32" t="s">
        <v>50</v>
      </c>
      <c r="H3755" s="33">
        <v>22560</v>
      </c>
      <c r="I3755" s="34">
        <f>Table3[[#This Row],[Volume, kg.]]/1000</f>
        <v>22.56</v>
      </c>
      <c r="J3755" s="34">
        <v>0.1946</v>
      </c>
      <c r="K3755" s="34">
        <f t="shared" si="116"/>
        <v>4390.1759999999995</v>
      </c>
      <c r="L3755" s="34">
        <v>2.13</v>
      </c>
      <c r="M3755" s="34">
        <v>48075</v>
      </c>
      <c r="N3755" s="34">
        <f t="shared" si="117"/>
        <v>10.945529290853031</v>
      </c>
    </row>
    <row r="3756" spans="1:14" x14ac:dyDescent="0.45">
      <c r="A3756" s="30">
        <v>2024</v>
      </c>
      <c r="B3756" s="30" t="s">
        <v>14</v>
      </c>
      <c r="C3756" s="30" t="s">
        <v>46</v>
      </c>
      <c r="D3756" s="30" t="s">
        <v>47</v>
      </c>
      <c r="E3756" s="32" t="s">
        <v>592</v>
      </c>
      <c r="F3756" s="32" t="s">
        <v>223</v>
      </c>
      <c r="G3756" s="32" t="s">
        <v>50</v>
      </c>
      <c r="H3756" s="33">
        <v>5610</v>
      </c>
      <c r="I3756" s="34">
        <f>Table3[[#This Row],[Volume, kg.]]/1000</f>
        <v>5.61</v>
      </c>
      <c r="J3756" s="34">
        <v>0.18149999999999999</v>
      </c>
      <c r="K3756" s="34">
        <f t="shared" si="116"/>
        <v>1018.2149999999999</v>
      </c>
      <c r="L3756" s="34">
        <v>2.15</v>
      </c>
      <c r="M3756" s="34">
        <v>12061.5</v>
      </c>
      <c r="N3756" s="34">
        <f t="shared" si="117"/>
        <v>11.845730027548209</v>
      </c>
    </row>
    <row r="3757" spans="1:14" x14ac:dyDescent="0.45">
      <c r="A3757" s="30">
        <v>2024</v>
      </c>
      <c r="B3757" s="30" t="s">
        <v>14</v>
      </c>
      <c r="C3757" s="30" t="s">
        <v>46</v>
      </c>
      <c r="D3757" s="30" t="s">
        <v>47</v>
      </c>
      <c r="E3757" s="32" t="s">
        <v>593</v>
      </c>
      <c r="F3757" s="32" t="s">
        <v>49</v>
      </c>
      <c r="G3757" s="32" t="s">
        <v>50</v>
      </c>
      <c r="H3757" s="33">
        <v>61540</v>
      </c>
      <c r="I3757" s="34">
        <f>Table3[[#This Row],[Volume, kg.]]/1000</f>
        <v>61.54</v>
      </c>
      <c r="J3757" s="34">
        <v>0.2177</v>
      </c>
      <c r="K3757" s="34">
        <f t="shared" si="116"/>
        <v>13397.258</v>
      </c>
      <c r="L3757" s="34">
        <v>2.33</v>
      </c>
      <c r="M3757" s="34">
        <v>143197</v>
      </c>
      <c r="N3757" s="34">
        <f t="shared" si="117"/>
        <v>10.702802021129996</v>
      </c>
    </row>
    <row r="3758" spans="1:14" x14ac:dyDescent="0.45">
      <c r="A3758" s="30">
        <v>2024</v>
      </c>
      <c r="B3758" s="30" t="s">
        <v>14</v>
      </c>
      <c r="C3758" s="30" t="s">
        <v>46</v>
      </c>
      <c r="D3758" s="30" t="s">
        <v>47</v>
      </c>
      <c r="E3758" s="32" t="s">
        <v>612</v>
      </c>
      <c r="F3758" s="32" t="s">
        <v>57</v>
      </c>
      <c r="G3758" s="32" t="s">
        <v>50</v>
      </c>
      <c r="H3758" s="33">
        <v>33670</v>
      </c>
      <c r="I3758" s="34">
        <f>Table3[[#This Row],[Volume, kg.]]/1000</f>
        <v>33.67</v>
      </c>
      <c r="J3758" s="34">
        <v>0.20980000000000001</v>
      </c>
      <c r="K3758" s="34">
        <f t="shared" si="116"/>
        <v>7063.9660000000003</v>
      </c>
      <c r="L3758" s="34">
        <v>2.36</v>
      </c>
      <c r="M3758" s="34">
        <v>79549</v>
      </c>
      <c r="N3758" s="34">
        <f t="shared" si="117"/>
        <v>11.248808388941848</v>
      </c>
    </row>
    <row r="3759" spans="1:14" x14ac:dyDescent="0.45">
      <c r="A3759" s="30">
        <v>2024</v>
      </c>
      <c r="B3759" s="30" t="s">
        <v>14</v>
      </c>
      <c r="C3759" s="30" t="s">
        <v>46</v>
      </c>
      <c r="D3759" s="30" t="s">
        <v>47</v>
      </c>
      <c r="E3759" s="32" t="s">
        <v>606</v>
      </c>
      <c r="F3759" s="32" t="s">
        <v>49</v>
      </c>
      <c r="G3759" s="32" t="s">
        <v>50</v>
      </c>
      <c r="H3759" s="33">
        <v>21870</v>
      </c>
      <c r="I3759" s="34">
        <f>Table3[[#This Row],[Volume, kg.]]/1000</f>
        <v>21.87</v>
      </c>
      <c r="J3759" s="34">
        <v>0.17280000000000001</v>
      </c>
      <c r="K3759" s="34">
        <f t="shared" si="116"/>
        <v>3779.1360000000004</v>
      </c>
      <c r="L3759" s="34">
        <v>2.11</v>
      </c>
      <c r="M3759" s="34">
        <v>46070.5</v>
      </c>
      <c r="N3759" s="34">
        <f t="shared" si="117"/>
        <v>12.210648148148147</v>
      </c>
    </row>
    <row r="3760" spans="1:14" x14ac:dyDescent="0.45">
      <c r="A3760" s="30">
        <v>2024</v>
      </c>
      <c r="B3760" s="30" t="s">
        <v>14</v>
      </c>
      <c r="C3760" s="30" t="s">
        <v>46</v>
      </c>
      <c r="D3760" s="30" t="s">
        <v>47</v>
      </c>
      <c r="E3760" s="32" t="s">
        <v>613</v>
      </c>
      <c r="F3760" s="32" t="s">
        <v>134</v>
      </c>
      <c r="G3760" s="32" t="s">
        <v>50</v>
      </c>
      <c r="H3760" s="33">
        <v>25680</v>
      </c>
      <c r="I3760" s="34">
        <f>Table3[[#This Row],[Volume, kg.]]/1000</f>
        <v>25.68</v>
      </c>
      <c r="J3760" s="34">
        <v>0.2127</v>
      </c>
      <c r="K3760" s="34">
        <f t="shared" si="116"/>
        <v>5462.1360000000004</v>
      </c>
      <c r="L3760" s="34">
        <v>2.33</v>
      </c>
      <c r="M3760" s="34">
        <v>59745.5</v>
      </c>
      <c r="N3760" s="34">
        <f t="shared" si="117"/>
        <v>10.954395862717442</v>
      </c>
    </row>
    <row r="3761" spans="1:14" x14ac:dyDescent="0.45">
      <c r="A3761" s="30">
        <v>2024</v>
      </c>
      <c r="B3761" s="30" t="s">
        <v>14</v>
      </c>
      <c r="C3761" s="30" t="s">
        <v>46</v>
      </c>
      <c r="D3761" s="30" t="s">
        <v>47</v>
      </c>
      <c r="E3761" s="32" t="s">
        <v>620</v>
      </c>
      <c r="F3761" s="32" t="s">
        <v>134</v>
      </c>
      <c r="G3761" s="32" t="s">
        <v>50</v>
      </c>
      <c r="H3761" s="33">
        <v>23990</v>
      </c>
      <c r="I3761" s="34">
        <f>Table3[[#This Row],[Volume, kg.]]/1000</f>
        <v>23.99</v>
      </c>
      <c r="J3761" s="34">
        <v>0.15839999999999999</v>
      </c>
      <c r="K3761" s="34">
        <f t="shared" si="116"/>
        <v>3800.0159999999996</v>
      </c>
      <c r="L3761" s="34">
        <v>2.06</v>
      </c>
      <c r="M3761" s="34">
        <v>49380</v>
      </c>
      <c r="N3761" s="34">
        <f t="shared" si="117"/>
        <v>13.005050505050507</v>
      </c>
    </row>
    <row r="3762" spans="1:14" x14ac:dyDescent="0.45">
      <c r="A3762" s="30">
        <v>2024</v>
      </c>
      <c r="B3762" s="30" t="s">
        <v>14</v>
      </c>
      <c r="C3762" s="30" t="s">
        <v>46</v>
      </c>
      <c r="D3762" s="30" t="s">
        <v>47</v>
      </c>
      <c r="E3762" s="32" t="s">
        <v>659</v>
      </c>
      <c r="F3762" s="32" t="s">
        <v>49</v>
      </c>
      <c r="G3762" s="32" t="s">
        <v>50</v>
      </c>
      <c r="H3762" s="33">
        <v>58840</v>
      </c>
      <c r="I3762" s="34">
        <f>Table3[[#This Row],[Volume, kg.]]/1000</f>
        <v>58.84</v>
      </c>
      <c r="J3762" s="34">
        <v>0.20379999999999998</v>
      </c>
      <c r="K3762" s="34">
        <f t="shared" si="116"/>
        <v>11991.591999999999</v>
      </c>
      <c r="L3762" s="34">
        <v>2.2999999999999998</v>
      </c>
      <c r="M3762" s="34">
        <v>135289.5</v>
      </c>
      <c r="N3762" s="34">
        <f t="shared" si="117"/>
        <v>11.285574092247302</v>
      </c>
    </row>
    <row r="3763" spans="1:14" x14ac:dyDescent="0.45">
      <c r="A3763" s="30">
        <v>2024</v>
      </c>
      <c r="B3763" s="30" t="s">
        <v>14</v>
      </c>
      <c r="C3763" s="30" t="s">
        <v>46</v>
      </c>
      <c r="D3763" s="30" t="s">
        <v>47</v>
      </c>
      <c r="E3763" s="32" t="s">
        <v>645</v>
      </c>
      <c r="F3763" s="32" t="s">
        <v>238</v>
      </c>
      <c r="G3763" s="32" t="s">
        <v>50</v>
      </c>
      <c r="H3763" s="33">
        <v>122820</v>
      </c>
      <c r="I3763" s="34">
        <f>Table3[[#This Row],[Volume, kg.]]/1000</f>
        <v>122.82</v>
      </c>
      <c r="J3763" s="34">
        <v>0.1827</v>
      </c>
      <c r="K3763" s="34">
        <f t="shared" si="116"/>
        <v>22439.214</v>
      </c>
      <c r="L3763" s="34">
        <v>2.2000000000000002</v>
      </c>
      <c r="M3763" s="34">
        <v>270038.5</v>
      </c>
      <c r="N3763" s="34">
        <f t="shared" si="117"/>
        <v>12.0415982484948</v>
      </c>
    </row>
    <row r="3764" spans="1:14" x14ac:dyDescent="0.45">
      <c r="A3764" s="30">
        <v>2024</v>
      </c>
      <c r="B3764" s="30" t="s">
        <v>14</v>
      </c>
      <c r="C3764" s="30" t="s">
        <v>46</v>
      </c>
      <c r="D3764" s="30" t="s">
        <v>47</v>
      </c>
      <c r="E3764" s="32" t="s">
        <v>647</v>
      </c>
      <c r="F3764" s="32" t="s">
        <v>49</v>
      </c>
      <c r="G3764" s="32" t="s">
        <v>50</v>
      </c>
      <c r="H3764" s="33">
        <v>7140</v>
      </c>
      <c r="I3764" s="34">
        <f>Table3[[#This Row],[Volume, kg.]]/1000</f>
        <v>7.14</v>
      </c>
      <c r="J3764" s="34">
        <v>0.21190000000000001</v>
      </c>
      <c r="K3764" s="34">
        <f t="shared" si="116"/>
        <v>1512.9660000000001</v>
      </c>
      <c r="L3764" s="34">
        <v>2.34</v>
      </c>
      <c r="M3764" s="34">
        <v>16730.5</v>
      </c>
      <c r="N3764" s="34">
        <f t="shared" si="117"/>
        <v>11.042944785276072</v>
      </c>
    </row>
    <row r="3765" spans="1:14" x14ac:dyDescent="0.45">
      <c r="A3765" s="30">
        <v>2024</v>
      </c>
      <c r="B3765" s="30" t="s">
        <v>14</v>
      </c>
      <c r="C3765" s="30" t="s">
        <v>46</v>
      </c>
      <c r="D3765" s="30" t="s">
        <v>47</v>
      </c>
      <c r="E3765" s="32" t="s">
        <v>648</v>
      </c>
      <c r="F3765" s="32" t="s">
        <v>57</v>
      </c>
      <c r="G3765" s="32" t="s">
        <v>50</v>
      </c>
      <c r="H3765" s="33">
        <v>30340</v>
      </c>
      <c r="I3765" s="34">
        <f>Table3[[#This Row],[Volume, kg.]]/1000</f>
        <v>30.34</v>
      </c>
      <c r="J3765" s="34">
        <v>0.17850000000000002</v>
      </c>
      <c r="K3765" s="34">
        <f t="shared" si="116"/>
        <v>5415.6900000000005</v>
      </c>
      <c r="L3765" s="34">
        <v>2.15</v>
      </c>
      <c r="M3765" s="34">
        <v>65143</v>
      </c>
      <c r="N3765" s="34">
        <f t="shared" si="117"/>
        <v>12.044817927170866</v>
      </c>
    </row>
    <row r="3766" spans="1:14" x14ac:dyDescent="0.45">
      <c r="A3766" s="30">
        <v>2024</v>
      </c>
      <c r="B3766" s="30" t="s">
        <v>14</v>
      </c>
      <c r="C3766" s="30" t="s">
        <v>46</v>
      </c>
      <c r="D3766" s="30" t="s">
        <v>47</v>
      </c>
      <c r="E3766" s="32" t="s">
        <v>650</v>
      </c>
      <c r="F3766" s="32" t="s">
        <v>238</v>
      </c>
      <c r="G3766" s="32" t="s">
        <v>50</v>
      </c>
      <c r="H3766" s="33">
        <v>39370</v>
      </c>
      <c r="I3766" s="34">
        <f>Table3[[#This Row],[Volume, kg.]]/1000</f>
        <v>39.369999999999997</v>
      </c>
      <c r="J3766" s="34">
        <v>0.2024</v>
      </c>
      <c r="K3766" s="34">
        <f t="shared" si="116"/>
        <v>7968.4880000000003</v>
      </c>
      <c r="L3766" s="34">
        <v>2.2799999999999998</v>
      </c>
      <c r="M3766" s="34">
        <v>89739.5</v>
      </c>
      <c r="N3766" s="34">
        <f t="shared" si="117"/>
        <v>11.264822134387352</v>
      </c>
    </row>
    <row r="3767" spans="1:14" x14ac:dyDescent="0.45">
      <c r="A3767" s="30">
        <v>2024</v>
      </c>
      <c r="B3767" s="30" t="s">
        <v>14</v>
      </c>
      <c r="C3767" s="30" t="s">
        <v>46</v>
      </c>
      <c r="D3767" s="30" t="s">
        <v>47</v>
      </c>
      <c r="E3767" s="32" t="s">
        <v>670</v>
      </c>
      <c r="F3767" s="32" t="s">
        <v>81</v>
      </c>
      <c r="G3767" s="32" t="s">
        <v>50</v>
      </c>
      <c r="H3767" s="33">
        <v>96730</v>
      </c>
      <c r="I3767" s="34">
        <f>Table3[[#This Row],[Volume, kg.]]/1000</f>
        <v>96.73</v>
      </c>
      <c r="J3767" s="34">
        <v>0.223</v>
      </c>
      <c r="K3767" s="34">
        <f t="shared" si="116"/>
        <v>21570.79</v>
      </c>
      <c r="L3767" s="34">
        <v>2.35</v>
      </c>
      <c r="M3767" s="34">
        <v>227315.5</v>
      </c>
      <c r="N3767" s="34">
        <f t="shared" si="117"/>
        <v>10.538116591928251</v>
      </c>
    </row>
    <row r="3768" spans="1:14" x14ac:dyDescent="0.45">
      <c r="A3768" s="30">
        <v>2024</v>
      </c>
      <c r="B3768" s="30" t="s">
        <v>14</v>
      </c>
      <c r="C3768" s="30" t="s">
        <v>46</v>
      </c>
      <c r="D3768" s="30" t="s">
        <v>47</v>
      </c>
      <c r="E3768" s="32" t="s">
        <v>662</v>
      </c>
      <c r="F3768" s="32" t="s">
        <v>57</v>
      </c>
      <c r="G3768" s="32" t="s">
        <v>50</v>
      </c>
      <c r="H3768" s="33">
        <v>63180</v>
      </c>
      <c r="I3768" s="34">
        <f>Table3[[#This Row],[Volume, kg.]]/1000</f>
        <v>63.18</v>
      </c>
      <c r="J3768" s="34">
        <v>0.20559999999999998</v>
      </c>
      <c r="K3768" s="34">
        <f t="shared" si="116"/>
        <v>12989.807999999999</v>
      </c>
      <c r="L3768" s="34">
        <v>2.27</v>
      </c>
      <c r="M3768" s="34">
        <v>143310.5</v>
      </c>
      <c r="N3768" s="34">
        <f t="shared" si="117"/>
        <v>11.040856031128406</v>
      </c>
    </row>
    <row r="3769" spans="1:14" x14ac:dyDescent="0.45">
      <c r="A3769" s="30">
        <v>2024</v>
      </c>
      <c r="B3769" s="30" t="s">
        <v>14</v>
      </c>
      <c r="C3769" s="30" t="s">
        <v>46</v>
      </c>
      <c r="D3769" s="30" t="s">
        <v>47</v>
      </c>
      <c r="E3769" s="32" t="s">
        <v>663</v>
      </c>
      <c r="F3769" s="32" t="s">
        <v>49</v>
      </c>
      <c r="G3769" s="32" t="s">
        <v>50</v>
      </c>
      <c r="H3769" s="33">
        <v>55860</v>
      </c>
      <c r="I3769" s="34">
        <f>Table3[[#This Row],[Volume, kg.]]/1000</f>
        <v>55.86</v>
      </c>
      <c r="J3769" s="34">
        <v>0.2029</v>
      </c>
      <c r="K3769" s="34">
        <f t="shared" si="116"/>
        <v>11333.994000000001</v>
      </c>
      <c r="L3769" s="34">
        <v>2.29</v>
      </c>
      <c r="M3769" s="34">
        <v>127807</v>
      </c>
      <c r="N3769" s="34">
        <f t="shared" si="117"/>
        <v>11.286347954657467</v>
      </c>
    </row>
    <row r="3770" spans="1:14" x14ac:dyDescent="0.45">
      <c r="A3770" s="30">
        <v>2024</v>
      </c>
      <c r="B3770" s="30" t="s">
        <v>14</v>
      </c>
      <c r="C3770" s="30" t="s">
        <v>46</v>
      </c>
      <c r="D3770" s="30" t="s">
        <v>102</v>
      </c>
      <c r="E3770" s="32" t="s">
        <v>665</v>
      </c>
      <c r="F3770" s="32" t="s">
        <v>487</v>
      </c>
      <c r="G3770" s="32" t="s">
        <v>341</v>
      </c>
      <c r="H3770" s="33">
        <v>28520</v>
      </c>
      <c r="I3770" s="34">
        <f>Table3[[#This Row],[Volume, kg.]]/1000</f>
        <v>28.52</v>
      </c>
      <c r="J3770" s="34">
        <v>0.17499999999999999</v>
      </c>
      <c r="K3770" s="34">
        <f t="shared" si="116"/>
        <v>4991</v>
      </c>
      <c r="L3770" s="34">
        <v>2.25</v>
      </c>
      <c r="M3770" s="34">
        <v>64170</v>
      </c>
      <c r="N3770" s="34">
        <f t="shared" si="117"/>
        <v>12.857142857142858</v>
      </c>
    </row>
    <row r="3771" spans="1:14" x14ac:dyDescent="0.45">
      <c r="A3771" s="30">
        <v>2024</v>
      </c>
      <c r="B3771" s="30" t="s">
        <v>14</v>
      </c>
      <c r="C3771" s="30" t="s">
        <v>46</v>
      </c>
      <c r="D3771" s="30" t="s">
        <v>47</v>
      </c>
      <c r="E3771" s="32" t="s">
        <v>671</v>
      </c>
      <c r="F3771" s="32" t="s">
        <v>49</v>
      </c>
      <c r="G3771" s="32" t="s">
        <v>50</v>
      </c>
      <c r="H3771" s="33">
        <v>10820</v>
      </c>
      <c r="I3771" s="34">
        <f>Table3[[#This Row],[Volume, kg.]]/1000</f>
        <v>10.82</v>
      </c>
      <c r="J3771" s="34">
        <v>0.158</v>
      </c>
      <c r="K3771" s="34">
        <f t="shared" si="116"/>
        <v>1709.56</v>
      </c>
      <c r="L3771" s="34">
        <v>2.0499999999999998</v>
      </c>
      <c r="M3771" s="34">
        <v>22181</v>
      </c>
      <c r="N3771" s="34">
        <f t="shared" si="117"/>
        <v>12.974683544303796</v>
      </c>
    </row>
    <row r="3772" spans="1:14" x14ac:dyDescent="0.45">
      <c r="A3772" s="30">
        <v>2024</v>
      </c>
      <c r="B3772" s="30" t="s">
        <v>14</v>
      </c>
      <c r="C3772" s="30" t="s">
        <v>46</v>
      </c>
      <c r="D3772" s="30" t="s">
        <v>47</v>
      </c>
      <c r="E3772" s="32" t="s">
        <v>672</v>
      </c>
      <c r="F3772" s="32" t="s">
        <v>134</v>
      </c>
      <c r="G3772" s="32" t="s">
        <v>50</v>
      </c>
      <c r="H3772" s="33">
        <v>58410</v>
      </c>
      <c r="I3772" s="34">
        <f>Table3[[#This Row],[Volume, kg.]]/1000</f>
        <v>58.41</v>
      </c>
      <c r="J3772" s="34">
        <v>0.17519999999999999</v>
      </c>
      <c r="K3772" s="34">
        <f t="shared" si="116"/>
        <v>10233.431999999999</v>
      </c>
      <c r="L3772" s="34">
        <v>2.11</v>
      </c>
      <c r="M3772" s="34">
        <v>123508</v>
      </c>
      <c r="N3772" s="34">
        <f t="shared" si="117"/>
        <v>12.043378995433789</v>
      </c>
    </row>
    <row r="3773" spans="1:14" x14ac:dyDescent="0.45">
      <c r="A3773" s="30">
        <v>2024</v>
      </c>
      <c r="B3773" s="30" t="s">
        <v>14</v>
      </c>
      <c r="C3773" s="30" t="s">
        <v>46</v>
      </c>
      <c r="D3773" s="30" t="s">
        <v>47</v>
      </c>
      <c r="E3773" s="32" t="s">
        <v>673</v>
      </c>
      <c r="F3773" s="32" t="s">
        <v>49</v>
      </c>
      <c r="G3773" s="32" t="s">
        <v>50</v>
      </c>
      <c r="H3773" s="33">
        <v>94020</v>
      </c>
      <c r="I3773" s="34">
        <f>Table3[[#This Row],[Volume, kg.]]/1000</f>
        <v>94.02</v>
      </c>
      <c r="J3773" s="34">
        <v>0.21379999999999999</v>
      </c>
      <c r="K3773" s="34">
        <f t="shared" si="116"/>
        <v>20101.475999999999</v>
      </c>
      <c r="L3773" s="34">
        <v>2.35</v>
      </c>
      <c r="M3773" s="34">
        <v>220853.5</v>
      </c>
      <c r="N3773" s="34">
        <f t="shared" si="117"/>
        <v>10.991580916744622</v>
      </c>
    </row>
    <row r="3774" spans="1:14" x14ac:dyDescent="0.45">
      <c r="A3774" s="30">
        <v>2024</v>
      </c>
      <c r="B3774" s="30" t="s">
        <v>15</v>
      </c>
      <c r="C3774" s="30" t="s">
        <v>46</v>
      </c>
      <c r="D3774" s="30" t="s">
        <v>47</v>
      </c>
      <c r="E3774" s="32" t="s">
        <v>596</v>
      </c>
      <c r="F3774" s="32" t="s">
        <v>49</v>
      </c>
      <c r="G3774" s="32" t="s">
        <v>50</v>
      </c>
      <c r="H3774" s="33">
        <v>10210</v>
      </c>
      <c r="I3774" s="34">
        <f>Table3[[#This Row],[Volume, kg.]]/1000</f>
        <v>10.210000000000001</v>
      </c>
      <c r="J3774" s="34">
        <v>0.21050000000000002</v>
      </c>
      <c r="K3774" s="34">
        <f t="shared" si="116"/>
        <v>2149.2050000000004</v>
      </c>
      <c r="L3774" s="34">
        <v>2.15</v>
      </c>
      <c r="M3774" s="34">
        <v>21951.5</v>
      </c>
      <c r="N3774" s="34">
        <f t="shared" si="117"/>
        <v>10.213776722090261</v>
      </c>
    </row>
    <row r="3775" spans="1:14" x14ac:dyDescent="0.45">
      <c r="A3775" s="30">
        <v>2024</v>
      </c>
      <c r="B3775" s="30" t="s">
        <v>15</v>
      </c>
      <c r="C3775" s="30" t="s">
        <v>46</v>
      </c>
      <c r="D3775" s="30" t="s">
        <v>47</v>
      </c>
      <c r="E3775" s="32" t="s">
        <v>232</v>
      </c>
      <c r="F3775" s="32" t="s">
        <v>49</v>
      </c>
      <c r="G3775" s="32" t="s">
        <v>50</v>
      </c>
      <c r="H3775" s="33">
        <v>126310</v>
      </c>
      <c r="I3775" s="34">
        <f>Table3[[#This Row],[Volume, kg.]]/1000</f>
        <v>126.31</v>
      </c>
      <c r="J3775" s="34">
        <v>0.2369</v>
      </c>
      <c r="K3775" s="34">
        <f t="shared" si="116"/>
        <v>29922.839</v>
      </c>
      <c r="L3775" s="34">
        <v>2.2999999999999998</v>
      </c>
      <c r="M3775" s="34">
        <v>289921</v>
      </c>
      <c r="N3775" s="34">
        <f t="shared" si="117"/>
        <v>9.7087378640776691</v>
      </c>
    </row>
    <row r="3776" spans="1:14" x14ac:dyDescent="0.45">
      <c r="A3776" s="30">
        <v>2024</v>
      </c>
      <c r="B3776" s="30" t="s">
        <v>15</v>
      </c>
      <c r="C3776" s="30" t="s">
        <v>46</v>
      </c>
      <c r="D3776" s="30" t="s">
        <v>47</v>
      </c>
      <c r="E3776" s="32" t="s">
        <v>213</v>
      </c>
      <c r="F3776" s="32" t="s">
        <v>49</v>
      </c>
      <c r="G3776" s="32" t="s">
        <v>50</v>
      </c>
      <c r="H3776" s="33">
        <v>281190</v>
      </c>
      <c r="I3776" s="34">
        <f>Table3[[#This Row],[Volume, kg.]]/1000</f>
        <v>281.19</v>
      </c>
      <c r="J3776" s="34">
        <v>0.2175</v>
      </c>
      <c r="K3776" s="34">
        <f t="shared" si="116"/>
        <v>61158.824999999997</v>
      </c>
      <c r="L3776" s="34">
        <v>2.19</v>
      </c>
      <c r="M3776" s="34">
        <v>616267</v>
      </c>
      <c r="N3776" s="34">
        <f t="shared" si="117"/>
        <v>10.068965517241379</v>
      </c>
    </row>
    <row r="3777" spans="1:14" x14ac:dyDescent="0.45">
      <c r="A3777" s="30">
        <v>2024</v>
      </c>
      <c r="B3777" s="30" t="s">
        <v>15</v>
      </c>
      <c r="C3777" s="30" t="s">
        <v>46</v>
      </c>
      <c r="D3777" s="30" t="s">
        <v>47</v>
      </c>
      <c r="E3777" s="32" t="s">
        <v>69</v>
      </c>
      <c r="F3777" s="32" t="s">
        <v>49</v>
      </c>
      <c r="G3777" s="32" t="s">
        <v>50</v>
      </c>
      <c r="H3777" s="33">
        <v>230530</v>
      </c>
      <c r="I3777" s="34">
        <f>Table3[[#This Row],[Volume, kg.]]/1000</f>
        <v>230.53</v>
      </c>
      <c r="J3777" s="34">
        <v>0.2213</v>
      </c>
      <c r="K3777" s="34">
        <f t="shared" si="116"/>
        <v>51016.288999999997</v>
      </c>
      <c r="L3777" s="34">
        <v>2.2200000000000002</v>
      </c>
      <c r="M3777" s="34">
        <v>512046</v>
      </c>
      <c r="N3777" s="34">
        <f t="shared" si="117"/>
        <v>10.031631269769544</v>
      </c>
    </row>
    <row r="3778" spans="1:14" x14ac:dyDescent="0.45">
      <c r="A3778" s="30">
        <v>2024</v>
      </c>
      <c r="B3778" s="30" t="s">
        <v>15</v>
      </c>
      <c r="C3778" s="30" t="s">
        <v>46</v>
      </c>
      <c r="D3778" s="30" t="s">
        <v>47</v>
      </c>
      <c r="E3778" s="32" t="s">
        <v>202</v>
      </c>
      <c r="F3778" s="32" t="s">
        <v>57</v>
      </c>
      <c r="G3778" s="32" t="s">
        <v>50</v>
      </c>
      <c r="H3778" s="33">
        <v>62350</v>
      </c>
      <c r="I3778" s="34">
        <f>Table3[[#This Row],[Volume, kg.]]/1000</f>
        <v>62.35</v>
      </c>
      <c r="J3778" s="34">
        <v>0.20960000000000001</v>
      </c>
      <c r="K3778" s="34">
        <f t="shared" si="116"/>
        <v>13068.560000000001</v>
      </c>
      <c r="L3778" s="34">
        <v>2.16</v>
      </c>
      <c r="M3778" s="34">
        <v>134789.5</v>
      </c>
      <c r="N3778" s="34">
        <f t="shared" si="117"/>
        <v>10.305343511450381</v>
      </c>
    </row>
    <row r="3779" spans="1:14" x14ac:dyDescent="0.45">
      <c r="A3779" s="30">
        <v>2024</v>
      </c>
      <c r="B3779" s="30" t="s">
        <v>15</v>
      </c>
      <c r="C3779" s="30" t="s">
        <v>46</v>
      </c>
      <c r="D3779" s="30" t="s">
        <v>47</v>
      </c>
      <c r="E3779" s="32" t="s">
        <v>150</v>
      </c>
      <c r="F3779" s="32" t="s">
        <v>49</v>
      </c>
      <c r="G3779" s="32" t="s">
        <v>50</v>
      </c>
      <c r="H3779" s="33">
        <v>17150</v>
      </c>
      <c r="I3779" s="34">
        <f>Table3[[#This Row],[Volume, kg.]]/1000</f>
        <v>17.149999999999999</v>
      </c>
      <c r="J3779" s="34">
        <v>0.22030000000000002</v>
      </c>
      <c r="K3779" s="34">
        <f t="shared" ref="K3779:K3842" si="118">H3779*J3779</f>
        <v>3778.1450000000004</v>
      </c>
      <c r="L3779" s="34">
        <v>2.25</v>
      </c>
      <c r="M3779" s="34">
        <v>38589.5</v>
      </c>
      <c r="N3779" s="34">
        <f t="shared" si="117"/>
        <v>10.213345438039036</v>
      </c>
    </row>
    <row r="3780" spans="1:14" x14ac:dyDescent="0.45">
      <c r="A3780" s="30">
        <v>2024</v>
      </c>
      <c r="B3780" s="30" t="s">
        <v>15</v>
      </c>
      <c r="C3780" s="30" t="s">
        <v>46</v>
      </c>
      <c r="D3780" s="30" t="s">
        <v>47</v>
      </c>
      <c r="E3780" s="32" t="s">
        <v>326</v>
      </c>
      <c r="F3780" s="32" t="s">
        <v>57</v>
      </c>
      <c r="G3780" s="32" t="s">
        <v>50</v>
      </c>
      <c r="H3780" s="33">
        <v>29560</v>
      </c>
      <c r="I3780" s="34">
        <f>Table3[[#This Row],[Volume, kg.]]/1000</f>
        <v>29.56</v>
      </c>
      <c r="J3780" s="34">
        <v>0.23519999999999999</v>
      </c>
      <c r="K3780" s="34">
        <f t="shared" si="118"/>
        <v>6952.5119999999997</v>
      </c>
      <c r="L3780" s="34">
        <v>2.33</v>
      </c>
      <c r="M3780" s="34">
        <v>69009</v>
      </c>
      <c r="N3780" s="34">
        <f t="shared" ref="N3780:N3843" si="119">L3780/J3780</f>
        <v>9.9064625850340136</v>
      </c>
    </row>
    <row r="3781" spans="1:14" x14ac:dyDescent="0.45">
      <c r="A3781" s="30">
        <v>2024</v>
      </c>
      <c r="B3781" s="30" t="s">
        <v>15</v>
      </c>
      <c r="C3781" s="30" t="s">
        <v>46</v>
      </c>
      <c r="D3781" s="30" t="s">
        <v>47</v>
      </c>
      <c r="E3781" s="32" t="s">
        <v>201</v>
      </c>
      <c r="F3781" s="32" t="s">
        <v>49</v>
      </c>
      <c r="G3781" s="32" t="s">
        <v>50</v>
      </c>
      <c r="H3781" s="33">
        <v>223980</v>
      </c>
      <c r="I3781" s="34">
        <f>Table3[[#This Row],[Volume, kg.]]/1000</f>
        <v>223.98</v>
      </c>
      <c r="J3781" s="34">
        <v>0.22769999999999999</v>
      </c>
      <c r="K3781" s="34">
        <f t="shared" si="118"/>
        <v>51000.245999999999</v>
      </c>
      <c r="L3781" s="34">
        <v>2.23</v>
      </c>
      <c r="M3781" s="34">
        <v>499259.5</v>
      </c>
      <c r="N3781" s="34">
        <f t="shared" si="119"/>
        <v>9.7935880544576204</v>
      </c>
    </row>
    <row r="3782" spans="1:14" x14ac:dyDescent="0.45">
      <c r="A3782" s="30">
        <v>2024</v>
      </c>
      <c r="B3782" s="30" t="s">
        <v>15</v>
      </c>
      <c r="C3782" s="30" t="s">
        <v>46</v>
      </c>
      <c r="D3782" s="30" t="s">
        <v>47</v>
      </c>
      <c r="E3782" s="32" t="s">
        <v>381</v>
      </c>
      <c r="F3782" s="32" t="s">
        <v>49</v>
      </c>
      <c r="G3782" s="32" t="s">
        <v>50</v>
      </c>
      <c r="H3782" s="33">
        <v>34780</v>
      </c>
      <c r="I3782" s="34">
        <f>Table3[[#This Row],[Volume, kg.]]/1000</f>
        <v>34.78</v>
      </c>
      <c r="J3782" s="34">
        <v>0.2235</v>
      </c>
      <c r="K3782" s="34">
        <f t="shared" si="118"/>
        <v>7773.33</v>
      </c>
      <c r="L3782" s="34">
        <v>2.2000000000000002</v>
      </c>
      <c r="M3782" s="34">
        <v>76460.5</v>
      </c>
      <c r="N3782" s="34">
        <f t="shared" si="119"/>
        <v>9.8434004474272943</v>
      </c>
    </row>
    <row r="3783" spans="1:14" x14ac:dyDescent="0.45">
      <c r="A3783" s="30">
        <v>2024</v>
      </c>
      <c r="B3783" s="30" t="s">
        <v>15</v>
      </c>
      <c r="C3783" s="30" t="s">
        <v>46</v>
      </c>
      <c r="D3783" s="30" t="s">
        <v>47</v>
      </c>
      <c r="E3783" s="32" t="s">
        <v>382</v>
      </c>
      <c r="F3783" s="32" t="s">
        <v>60</v>
      </c>
      <c r="G3783" s="32" t="s">
        <v>50</v>
      </c>
      <c r="H3783" s="33">
        <v>53360</v>
      </c>
      <c r="I3783" s="34">
        <f>Table3[[#This Row],[Volume, kg.]]/1000</f>
        <v>53.36</v>
      </c>
      <c r="J3783" s="34">
        <v>0.23039999999999999</v>
      </c>
      <c r="K3783" s="34">
        <f t="shared" si="118"/>
        <v>12294.144</v>
      </c>
      <c r="L3783" s="34">
        <v>2.29</v>
      </c>
      <c r="M3783" s="34">
        <v>122416</v>
      </c>
      <c r="N3783" s="34">
        <f t="shared" si="119"/>
        <v>9.9392361111111107</v>
      </c>
    </row>
    <row r="3784" spans="1:14" x14ac:dyDescent="0.45">
      <c r="A3784" s="30">
        <v>2024</v>
      </c>
      <c r="B3784" s="30" t="s">
        <v>15</v>
      </c>
      <c r="C3784" s="30" t="s">
        <v>46</v>
      </c>
      <c r="D3784" s="30" t="s">
        <v>47</v>
      </c>
      <c r="E3784" s="32" t="s">
        <v>235</v>
      </c>
      <c r="F3784" s="32" t="s">
        <v>57</v>
      </c>
      <c r="G3784" s="32" t="s">
        <v>50</v>
      </c>
      <c r="H3784" s="33">
        <v>15150</v>
      </c>
      <c r="I3784" s="34">
        <f>Table3[[#This Row],[Volume, kg.]]/1000</f>
        <v>15.15</v>
      </c>
      <c r="J3784" s="34">
        <v>0.22190000000000001</v>
      </c>
      <c r="K3784" s="34">
        <f t="shared" si="118"/>
        <v>3361.7850000000003</v>
      </c>
      <c r="L3784" s="34">
        <v>2.2200000000000002</v>
      </c>
      <c r="M3784" s="34">
        <v>33635</v>
      </c>
      <c r="N3784" s="34">
        <f t="shared" si="119"/>
        <v>10.00450653447499</v>
      </c>
    </row>
    <row r="3785" spans="1:14" x14ac:dyDescent="0.45">
      <c r="A3785" s="30">
        <v>2024</v>
      </c>
      <c r="B3785" s="30" t="s">
        <v>15</v>
      </c>
      <c r="C3785" s="30" t="s">
        <v>46</v>
      </c>
      <c r="D3785" s="30" t="s">
        <v>47</v>
      </c>
      <c r="E3785" s="32" t="s">
        <v>149</v>
      </c>
      <c r="F3785" s="32" t="s">
        <v>49</v>
      </c>
      <c r="G3785" s="32" t="s">
        <v>50</v>
      </c>
      <c r="H3785" s="33">
        <v>128440</v>
      </c>
      <c r="I3785" s="34">
        <f>Table3[[#This Row],[Volume, kg.]]/1000</f>
        <v>128.44</v>
      </c>
      <c r="J3785" s="34">
        <v>0.2316</v>
      </c>
      <c r="K3785" s="34">
        <f t="shared" si="118"/>
        <v>29746.704000000002</v>
      </c>
      <c r="L3785" s="34">
        <v>2.25</v>
      </c>
      <c r="M3785" s="34">
        <v>289125</v>
      </c>
      <c r="N3785" s="34">
        <f t="shared" si="119"/>
        <v>9.7150259067357521</v>
      </c>
    </row>
    <row r="3786" spans="1:14" x14ac:dyDescent="0.45">
      <c r="A3786" s="30">
        <v>2024</v>
      </c>
      <c r="B3786" s="30" t="s">
        <v>15</v>
      </c>
      <c r="C3786" s="30" t="s">
        <v>46</v>
      </c>
      <c r="D3786" s="30" t="s">
        <v>47</v>
      </c>
      <c r="E3786" s="32" t="s">
        <v>383</v>
      </c>
      <c r="F3786" s="32" t="s">
        <v>49</v>
      </c>
      <c r="G3786" s="32" t="s">
        <v>50</v>
      </c>
      <c r="H3786" s="33">
        <v>33930</v>
      </c>
      <c r="I3786" s="34">
        <f>Table3[[#This Row],[Volume, kg.]]/1000</f>
        <v>33.93</v>
      </c>
      <c r="J3786" s="34">
        <v>0.23300000000000001</v>
      </c>
      <c r="K3786" s="34">
        <f t="shared" si="118"/>
        <v>7905.6900000000005</v>
      </c>
      <c r="L3786" s="34">
        <v>2.2799999999999998</v>
      </c>
      <c r="M3786" s="34">
        <v>77256.5</v>
      </c>
      <c r="N3786" s="34">
        <f t="shared" si="119"/>
        <v>9.7854077253218872</v>
      </c>
    </row>
    <row r="3787" spans="1:14" x14ac:dyDescent="0.45">
      <c r="A3787" s="30">
        <v>2024</v>
      </c>
      <c r="B3787" s="30" t="s">
        <v>15</v>
      </c>
      <c r="C3787" s="30" t="s">
        <v>46</v>
      </c>
      <c r="D3787" s="30" t="s">
        <v>47</v>
      </c>
      <c r="E3787" s="32" t="s">
        <v>493</v>
      </c>
      <c r="F3787" s="32" t="s">
        <v>49</v>
      </c>
      <c r="G3787" s="32" t="s">
        <v>50</v>
      </c>
      <c r="H3787" s="33">
        <v>39800</v>
      </c>
      <c r="I3787" s="34">
        <f>Table3[[#This Row],[Volume, kg.]]/1000</f>
        <v>39.799999999999997</v>
      </c>
      <c r="J3787" s="34">
        <v>0.22820000000000001</v>
      </c>
      <c r="K3787" s="34">
        <f t="shared" si="118"/>
        <v>9082.36</v>
      </c>
      <c r="L3787" s="34">
        <v>2.27</v>
      </c>
      <c r="M3787" s="34">
        <v>90198</v>
      </c>
      <c r="N3787" s="34">
        <f t="shared" si="119"/>
        <v>9.9474145486415413</v>
      </c>
    </row>
    <row r="3788" spans="1:14" x14ac:dyDescent="0.45">
      <c r="A3788" s="30">
        <v>2024</v>
      </c>
      <c r="B3788" s="30" t="s">
        <v>15</v>
      </c>
      <c r="C3788" s="30" t="s">
        <v>46</v>
      </c>
      <c r="D3788" s="30" t="s">
        <v>47</v>
      </c>
      <c r="E3788" s="32" t="s">
        <v>208</v>
      </c>
      <c r="F3788" s="32" t="s">
        <v>49</v>
      </c>
      <c r="G3788" s="32" t="s">
        <v>50</v>
      </c>
      <c r="H3788" s="33">
        <v>161080</v>
      </c>
      <c r="I3788" s="34">
        <f>Table3[[#This Row],[Volume, kg.]]/1000</f>
        <v>161.08000000000001</v>
      </c>
      <c r="J3788" s="34">
        <v>0.23710000000000001</v>
      </c>
      <c r="K3788" s="34">
        <f t="shared" si="118"/>
        <v>38192.067999999999</v>
      </c>
      <c r="L3788" s="34">
        <v>2.2999999999999998</v>
      </c>
      <c r="M3788" s="34">
        <v>371093.5</v>
      </c>
      <c r="N3788" s="34">
        <f t="shared" si="119"/>
        <v>9.7005482918599739</v>
      </c>
    </row>
    <row r="3789" spans="1:14" x14ac:dyDescent="0.45">
      <c r="A3789" s="30">
        <v>2024</v>
      </c>
      <c r="B3789" s="30" t="s">
        <v>15</v>
      </c>
      <c r="C3789" s="30" t="s">
        <v>46</v>
      </c>
      <c r="D3789" s="30" t="s">
        <v>47</v>
      </c>
      <c r="E3789" s="32" t="s">
        <v>71</v>
      </c>
      <c r="F3789" s="32" t="s">
        <v>49</v>
      </c>
      <c r="G3789" s="32" t="s">
        <v>50</v>
      </c>
      <c r="H3789" s="33">
        <v>77020</v>
      </c>
      <c r="I3789" s="34">
        <f>Table3[[#This Row],[Volume, kg.]]/1000</f>
        <v>77.02</v>
      </c>
      <c r="J3789" s="34">
        <v>0.24410000000000001</v>
      </c>
      <c r="K3789" s="34">
        <f t="shared" si="118"/>
        <v>18800.582000000002</v>
      </c>
      <c r="L3789" s="34">
        <v>2.35</v>
      </c>
      <c r="M3789" s="34">
        <v>180833.5</v>
      </c>
      <c r="N3789" s="34">
        <f t="shared" si="119"/>
        <v>9.6272019664072097</v>
      </c>
    </row>
    <row r="3790" spans="1:14" x14ac:dyDescent="0.45">
      <c r="A3790" s="30">
        <v>2024</v>
      </c>
      <c r="B3790" s="30" t="s">
        <v>15</v>
      </c>
      <c r="C3790" s="30" t="s">
        <v>46</v>
      </c>
      <c r="D3790" s="30" t="s">
        <v>47</v>
      </c>
      <c r="E3790" s="32" t="s">
        <v>123</v>
      </c>
      <c r="F3790" s="32" t="s">
        <v>49</v>
      </c>
      <c r="G3790" s="32" t="s">
        <v>50</v>
      </c>
      <c r="H3790" s="33">
        <v>18090</v>
      </c>
      <c r="I3790" s="34">
        <f>Table3[[#This Row],[Volume, kg.]]/1000</f>
        <v>18.09</v>
      </c>
      <c r="J3790" s="34">
        <v>0.21050000000000002</v>
      </c>
      <c r="K3790" s="34">
        <f t="shared" si="118"/>
        <v>3807.9450000000002</v>
      </c>
      <c r="L3790" s="34">
        <v>2.15</v>
      </c>
      <c r="M3790" s="34">
        <v>38893.5</v>
      </c>
      <c r="N3790" s="34">
        <f t="shared" si="119"/>
        <v>10.213776722090261</v>
      </c>
    </row>
    <row r="3791" spans="1:14" x14ac:dyDescent="0.45">
      <c r="A3791" s="30">
        <v>2024</v>
      </c>
      <c r="B3791" s="30" t="s">
        <v>15</v>
      </c>
      <c r="C3791" s="30" t="s">
        <v>46</v>
      </c>
      <c r="D3791" s="30" t="s">
        <v>47</v>
      </c>
      <c r="E3791" s="32" t="s">
        <v>185</v>
      </c>
      <c r="F3791" s="32" t="s">
        <v>57</v>
      </c>
      <c r="G3791" s="32" t="s">
        <v>50</v>
      </c>
      <c r="H3791" s="33">
        <v>12260</v>
      </c>
      <c r="I3791" s="34">
        <f>Table3[[#This Row],[Volume, kg.]]/1000</f>
        <v>12.26</v>
      </c>
      <c r="J3791" s="34">
        <v>0.22039999999999998</v>
      </c>
      <c r="K3791" s="34">
        <f t="shared" si="118"/>
        <v>2702.1039999999998</v>
      </c>
      <c r="L3791" s="34">
        <v>2.25</v>
      </c>
      <c r="M3791" s="34">
        <v>27576</v>
      </c>
      <c r="N3791" s="34">
        <f t="shared" si="119"/>
        <v>10.208711433756806</v>
      </c>
    </row>
    <row r="3792" spans="1:14" x14ac:dyDescent="0.45">
      <c r="A3792" s="30">
        <v>2024</v>
      </c>
      <c r="B3792" s="30" t="s">
        <v>15</v>
      </c>
      <c r="C3792" s="30" t="s">
        <v>46</v>
      </c>
      <c r="D3792" s="30" t="s">
        <v>47</v>
      </c>
      <c r="E3792" s="32" t="s">
        <v>99</v>
      </c>
      <c r="F3792" s="32" t="s">
        <v>49</v>
      </c>
      <c r="G3792" s="32" t="s">
        <v>50</v>
      </c>
      <c r="H3792" s="33">
        <v>107250</v>
      </c>
      <c r="I3792" s="34">
        <f>Table3[[#This Row],[Volume, kg.]]/1000</f>
        <v>107.25</v>
      </c>
      <c r="J3792" s="34">
        <v>0.2384</v>
      </c>
      <c r="K3792" s="34">
        <f t="shared" si="118"/>
        <v>25568.400000000001</v>
      </c>
      <c r="L3792" s="34">
        <v>2.29</v>
      </c>
      <c r="M3792" s="34">
        <v>245627.5</v>
      </c>
      <c r="N3792" s="34">
        <f t="shared" si="119"/>
        <v>9.6057046979865781</v>
      </c>
    </row>
    <row r="3793" spans="1:14" x14ac:dyDescent="0.45">
      <c r="A3793" s="30">
        <v>2024</v>
      </c>
      <c r="B3793" s="30" t="s">
        <v>15</v>
      </c>
      <c r="C3793" s="30" t="s">
        <v>46</v>
      </c>
      <c r="D3793" s="30" t="s">
        <v>47</v>
      </c>
      <c r="E3793" s="32" t="s">
        <v>165</v>
      </c>
      <c r="F3793" s="32" t="s">
        <v>57</v>
      </c>
      <c r="G3793" s="32" t="s">
        <v>50</v>
      </c>
      <c r="H3793" s="33">
        <v>4610</v>
      </c>
      <c r="I3793" s="34">
        <f>Table3[[#This Row],[Volume, kg.]]/1000</f>
        <v>4.6100000000000003</v>
      </c>
      <c r="J3793" s="34">
        <v>0.2155</v>
      </c>
      <c r="K3793" s="34">
        <f t="shared" si="118"/>
        <v>993.45500000000004</v>
      </c>
      <c r="L3793" s="34">
        <v>2.2000000000000002</v>
      </c>
      <c r="M3793" s="34">
        <v>10142</v>
      </c>
      <c r="N3793" s="34">
        <f t="shared" si="119"/>
        <v>10.208816705336428</v>
      </c>
    </row>
    <row r="3794" spans="1:14" x14ac:dyDescent="0.45">
      <c r="A3794" s="30">
        <v>2024</v>
      </c>
      <c r="B3794" s="30" t="s">
        <v>15</v>
      </c>
      <c r="C3794" s="30" t="s">
        <v>46</v>
      </c>
      <c r="D3794" s="30" t="s">
        <v>47</v>
      </c>
      <c r="E3794" s="32" t="s">
        <v>226</v>
      </c>
      <c r="F3794" s="32" t="s">
        <v>60</v>
      </c>
      <c r="G3794" s="32" t="s">
        <v>50</v>
      </c>
      <c r="H3794" s="33">
        <v>124820</v>
      </c>
      <c r="I3794" s="34">
        <f>Table3[[#This Row],[Volume, kg.]]/1000</f>
        <v>124.82</v>
      </c>
      <c r="J3794" s="34">
        <v>0.21780000000000002</v>
      </c>
      <c r="K3794" s="34">
        <f t="shared" si="118"/>
        <v>27185.796000000002</v>
      </c>
      <c r="L3794" s="34">
        <v>2.1800000000000002</v>
      </c>
      <c r="M3794" s="34">
        <v>271968</v>
      </c>
      <c r="N3794" s="34">
        <f t="shared" si="119"/>
        <v>10.009182736455463</v>
      </c>
    </row>
    <row r="3795" spans="1:14" x14ac:dyDescent="0.45">
      <c r="A3795" s="30">
        <v>2024</v>
      </c>
      <c r="B3795" s="30" t="s">
        <v>15</v>
      </c>
      <c r="C3795" s="30" t="s">
        <v>46</v>
      </c>
      <c r="D3795" s="30" t="s">
        <v>47</v>
      </c>
      <c r="E3795" s="32" t="s">
        <v>182</v>
      </c>
      <c r="F3795" s="32" t="s">
        <v>81</v>
      </c>
      <c r="G3795" s="32" t="s">
        <v>50</v>
      </c>
      <c r="H3795" s="33">
        <v>277910</v>
      </c>
      <c r="I3795" s="34">
        <f>Table3[[#This Row],[Volume, kg.]]/1000</f>
        <v>277.91000000000003</v>
      </c>
      <c r="J3795" s="34">
        <v>0.23680000000000001</v>
      </c>
      <c r="K3795" s="34">
        <f t="shared" si="118"/>
        <v>65809.088000000003</v>
      </c>
      <c r="L3795" s="34">
        <v>2.2999999999999998</v>
      </c>
      <c r="M3795" s="34">
        <v>638687</v>
      </c>
      <c r="N3795" s="34">
        <f t="shared" si="119"/>
        <v>9.7128378378378368</v>
      </c>
    </row>
    <row r="3796" spans="1:14" x14ac:dyDescent="0.45">
      <c r="A3796" s="30">
        <v>2024</v>
      </c>
      <c r="B3796" s="30" t="s">
        <v>15</v>
      </c>
      <c r="C3796" s="30" t="s">
        <v>46</v>
      </c>
      <c r="D3796" s="30" t="s">
        <v>47</v>
      </c>
      <c r="E3796" s="32" t="s">
        <v>442</v>
      </c>
      <c r="F3796" s="32" t="s">
        <v>81</v>
      </c>
      <c r="G3796" s="32" t="s">
        <v>50</v>
      </c>
      <c r="H3796" s="33">
        <v>3630</v>
      </c>
      <c r="I3796" s="34">
        <f>Table3[[#This Row],[Volume, kg.]]/1000</f>
        <v>3.63</v>
      </c>
      <c r="J3796" s="34">
        <v>0.26600000000000001</v>
      </c>
      <c r="K3796" s="34">
        <f t="shared" si="118"/>
        <v>965.58</v>
      </c>
      <c r="L3796" s="34">
        <v>2.4500000000000002</v>
      </c>
      <c r="M3796" s="34">
        <v>8893.5</v>
      </c>
      <c r="N3796" s="34">
        <f t="shared" si="119"/>
        <v>9.2105263157894743</v>
      </c>
    </row>
    <row r="3797" spans="1:14" x14ac:dyDescent="0.45">
      <c r="A3797" s="30">
        <v>2024</v>
      </c>
      <c r="B3797" s="30" t="s">
        <v>15</v>
      </c>
      <c r="C3797" s="30" t="s">
        <v>46</v>
      </c>
      <c r="D3797" s="30" t="s">
        <v>47</v>
      </c>
      <c r="E3797" s="32" t="s">
        <v>322</v>
      </c>
      <c r="F3797" s="32" t="s">
        <v>57</v>
      </c>
      <c r="G3797" s="32" t="s">
        <v>50</v>
      </c>
      <c r="H3797" s="33">
        <v>18390</v>
      </c>
      <c r="I3797" s="34">
        <f>Table3[[#This Row],[Volume, kg.]]/1000</f>
        <v>18.39</v>
      </c>
      <c r="J3797" s="34">
        <v>0.2059</v>
      </c>
      <c r="K3797" s="34">
        <f t="shared" si="118"/>
        <v>3786.5010000000002</v>
      </c>
      <c r="L3797" s="34">
        <v>2.13</v>
      </c>
      <c r="M3797" s="34">
        <v>39219</v>
      </c>
      <c r="N3797" s="34">
        <f t="shared" si="119"/>
        <v>10.344827586206897</v>
      </c>
    </row>
    <row r="3798" spans="1:14" x14ac:dyDescent="0.45">
      <c r="A3798" s="30">
        <v>2024</v>
      </c>
      <c r="B3798" s="30" t="s">
        <v>15</v>
      </c>
      <c r="C3798" s="30" t="s">
        <v>46</v>
      </c>
      <c r="D3798" s="30" t="s">
        <v>47</v>
      </c>
      <c r="E3798" s="32" t="s">
        <v>65</v>
      </c>
      <c r="F3798" s="32" t="s">
        <v>49</v>
      </c>
      <c r="G3798" s="32" t="s">
        <v>50</v>
      </c>
      <c r="H3798" s="33">
        <v>159180</v>
      </c>
      <c r="I3798" s="34">
        <f>Table3[[#This Row],[Volume, kg.]]/1000</f>
        <v>159.18</v>
      </c>
      <c r="J3798" s="34">
        <v>0.21609999999999999</v>
      </c>
      <c r="K3798" s="34">
        <f t="shared" si="118"/>
        <v>34398.797999999995</v>
      </c>
      <c r="L3798" s="34">
        <v>2.19</v>
      </c>
      <c r="M3798" s="34">
        <v>348004.5</v>
      </c>
      <c r="N3798" s="34">
        <f t="shared" si="119"/>
        <v>10.13419713095789</v>
      </c>
    </row>
    <row r="3799" spans="1:14" x14ac:dyDescent="0.45">
      <c r="A3799" s="30">
        <v>2024</v>
      </c>
      <c r="B3799" s="30" t="s">
        <v>15</v>
      </c>
      <c r="C3799" s="30" t="s">
        <v>46</v>
      </c>
      <c r="D3799" s="30" t="s">
        <v>47</v>
      </c>
      <c r="E3799" s="32" t="s">
        <v>245</v>
      </c>
      <c r="F3799" s="32" t="s">
        <v>57</v>
      </c>
      <c r="G3799" s="32" t="s">
        <v>50</v>
      </c>
      <c r="H3799" s="33">
        <v>58900</v>
      </c>
      <c r="I3799" s="34">
        <f>Table3[[#This Row],[Volume, kg.]]/1000</f>
        <v>58.9</v>
      </c>
      <c r="J3799" s="34">
        <v>0.23629999999999998</v>
      </c>
      <c r="K3799" s="34">
        <f t="shared" si="118"/>
        <v>13918.07</v>
      </c>
      <c r="L3799" s="34">
        <v>2.29</v>
      </c>
      <c r="M3799" s="34">
        <v>134676</v>
      </c>
      <c r="N3799" s="34">
        <f t="shared" si="119"/>
        <v>9.691070672873467</v>
      </c>
    </row>
    <row r="3800" spans="1:14" x14ac:dyDescent="0.45">
      <c r="A3800" s="30">
        <v>2024</v>
      </c>
      <c r="B3800" s="30" t="s">
        <v>15</v>
      </c>
      <c r="C3800" s="30" t="s">
        <v>46</v>
      </c>
      <c r="D3800" s="30" t="s">
        <v>47</v>
      </c>
      <c r="E3800" s="32" t="s">
        <v>163</v>
      </c>
      <c r="F3800" s="32" t="s">
        <v>60</v>
      </c>
      <c r="G3800" s="32" t="s">
        <v>50</v>
      </c>
      <c r="H3800" s="33">
        <v>132860</v>
      </c>
      <c r="I3800" s="34">
        <f>Table3[[#This Row],[Volume, kg.]]/1000</f>
        <v>132.86000000000001</v>
      </c>
      <c r="J3800" s="34">
        <v>0.2296</v>
      </c>
      <c r="K3800" s="34">
        <f t="shared" si="118"/>
        <v>30504.655999999999</v>
      </c>
      <c r="L3800" s="34">
        <v>2.2599999999999998</v>
      </c>
      <c r="M3800" s="34">
        <v>300200</v>
      </c>
      <c r="N3800" s="34">
        <f t="shared" si="119"/>
        <v>9.8432055749128917</v>
      </c>
    </row>
    <row r="3801" spans="1:14" x14ac:dyDescent="0.45">
      <c r="A3801" s="30">
        <v>2024</v>
      </c>
      <c r="B3801" s="30" t="s">
        <v>15</v>
      </c>
      <c r="C3801" s="30" t="s">
        <v>46</v>
      </c>
      <c r="D3801" s="30" t="s">
        <v>47</v>
      </c>
      <c r="E3801" s="32" t="s">
        <v>229</v>
      </c>
      <c r="F3801" s="32" t="s">
        <v>57</v>
      </c>
      <c r="G3801" s="32" t="s">
        <v>50</v>
      </c>
      <c r="H3801" s="33">
        <v>7400</v>
      </c>
      <c r="I3801" s="34">
        <f>Table3[[#This Row],[Volume, kg.]]/1000</f>
        <v>7.4</v>
      </c>
      <c r="J3801" s="34">
        <v>0.214</v>
      </c>
      <c r="K3801" s="34">
        <f t="shared" si="118"/>
        <v>1583.6</v>
      </c>
      <c r="L3801" s="34">
        <v>2.1</v>
      </c>
      <c r="M3801" s="34">
        <v>15540</v>
      </c>
      <c r="N3801" s="34">
        <f t="shared" si="119"/>
        <v>9.813084112149534</v>
      </c>
    </row>
    <row r="3802" spans="1:14" x14ac:dyDescent="0.45">
      <c r="A3802" s="30">
        <v>2024</v>
      </c>
      <c r="B3802" s="30" t="s">
        <v>15</v>
      </c>
      <c r="C3802" s="30" t="s">
        <v>46</v>
      </c>
      <c r="D3802" s="30" t="s">
        <v>47</v>
      </c>
      <c r="E3802" s="32" t="s">
        <v>156</v>
      </c>
      <c r="F3802" s="32" t="s">
        <v>49</v>
      </c>
      <c r="G3802" s="32" t="s">
        <v>50</v>
      </c>
      <c r="H3802" s="33">
        <v>4650</v>
      </c>
      <c r="I3802" s="34">
        <f>Table3[[#This Row],[Volume, kg.]]/1000</f>
        <v>4.6500000000000004</v>
      </c>
      <c r="J3802" s="34">
        <v>0.2545</v>
      </c>
      <c r="K3802" s="34">
        <f t="shared" si="118"/>
        <v>1183.425</v>
      </c>
      <c r="L3802" s="34">
        <v>2.4</v>
      </c>
      <c r="M3802" s="34">
        <v>11160</v>
      </c>
      <c r="N3802" s="34">
        <f t="shared" si="119"/>
        <v>9.4302554027504915</v>
      </c>
    </row>
    <row r="3803" spans="1:14" x14ac:dyDescent="0.45">
      <c r="A3803" s="30">
        <v>2024</v>
      </c>
      <c r="B3803" s="30" t="s">
        <v>15</v>
      </c>
      <c r="C3803" s="30" t="s">
        <v>46</v>
      </c>
      <c r="D3803" s="30" t="s">
        <v>47</v>
      </c>
      <c r="E3803" s="32" t="s">
        <v>172</v>
      </c>
      <c r="F3803" s="32" t="s">
        <v>57</v>
      </c>
      <c r="G3803" s="32" t="s">
        <v>50</v>
      </c>
      <c r="H3803" s="33">
        <v>14320</v>
      </c>
      <c r="I3803" s="34">
        <f>Table3[[#This Row],[Volume, kg.]]/1000</f>
        <v>14.32</v>
      </c>
      <c r="J3803" s="34">
        <v>0.2026</v>
      </c>
      <c r="K3803" s="34">
        <f t="shared" si="118"/>
        <v>2901.232</v>
      </c>
      <c r="L3803" s="34">
        <v>2.1</v>
      </c>
      <c r="M3803" s="34">
        <v>30072</v>
      </c>
      <c r="N3803" s="34">
        <f t="shared" si="119"/>
        <v>10.365251727541954</v>
      </c>
    </row>
    <row r="3804" spans="1:14" x14ac:dyDescent="0.45">
      <c r="A3804" s="30">
        <v>2024</v>
      </c>
      <c r="B3804" s="30" t="s">
        <v>15</v>
      </c>
      <c r="C3804" s="30" t="s">
        <v>46</v>
      </c>
      <c r="D3804" s="30" t="s">
        <v>47</v>
      </c>
      <c r="E3804" s="32" t="s">
        <v>251</v>
      </c>
      <c r="F3804" s="32" t="s">
        <v>49</v>
      </c>
      <c r="G3804" s="32" t="s">
        <v>50</v>
      </c>
      <c r="H3804" s="33">
        <v>12530</v>
      </c>
      <c r="I3804" s="34">
        <f>Table3[[#This Row],[Volume, kg.]]/1000</f>
        <v>12.53</v>
      </c>
      <c r="J3804" s="34">
        <v>0.20250000000000001</v>
      </c>
      <c r="K3804" s="34">
        <f t="shared" si="118"/>
        <v>2537.3250000000003</v>
      </c>
      <c r="L3804" s="34">
        <v>2.1</v>
      </c>
      <c r="M3804" s="34">
        <v>26313</v>
      </c>
      <c r="N3804" s="34">
        <f t="shared" si="119"/>
        <v>10.37037037037037</v>
      </c>
    </row>
    <row r="3805" spans="1:14" x14ac:dyDescent="0.45">
      <c r="A3805" s="30">
        <v>2024</v>
      </c>
      <c r="B3805" s="30" t="s">
        <v>15</v>
      </c>
      <c r="C3805" s="30" t="s">
        <v>46</v>
      </c>
      <c r="D3805" s="30" t="s">
        <v>47</v>
      </c>
      <c r="E3805" s="32" t="s">
        <v>655</v>
      </c>
      <c r="F3805" s="32" t="s">
        <v>49</v>
      </c>
      <c r="G3805" s="32" t="s">
        <v>50</v>
      </c>
      <c r="H3805" s="33">
        <v>69020</v>
      </c>
      <c r="I3805" s="34">
        <f>Table3[[#This Row],[Volume, kg.]]/1000</f>
        <v>69.02</v>
      </c>
      <c r="J3805" s="34">
        <v>0.25129999999999997</v>
      </c>
      <c r="K3805" s="34">
        <f t="shared" si="118"/>
        <v>17344.725999999999</v>
      </c>
      <c r="L3805" s="34">
        <v>2.36</v>
      </c>
      <c r="M3805" s="34">
        <v>163222.5</v>
      </c>
      <c r="N3805" s="34">
        <f t="shared" si="119"/>
        <v>9.3911659371269405</v>
      </c>
    </row>
    <row r="3806" spans="1:14" x14ac:dyDescent="0.45">
      <c r="A3806" s="30">
        <v>2024</v>
      </c>
      <c r="B3806" s="30" t="s">
        <v>15</v>
      </c>
      <c r="C3806" s="30" t="s">
        <v>46</v>
      </c>
      <c r="D3806" s="30" t="s">
        <v>47</v>
      </c>
      <c r="E3806" s="32" t="s">
        <v>170</v>
      </c>
      <c r="F3806" s="32" t="s">
        <v>49</v>
      </c>
      <c r="G3806" s="32" t="s">
        <v>50</v>
      </c>
      <c r="H3806" s="33">
        <v>15740</v>
      </c>
      <c r="I3806" s="34">
        <f>Table3[[#This Row],[Volume, kg.]]/1000</f>
        <v>15.74</v>
      </c>
      <c r="J3806" s="34">
        <v>0.22550000000000001</v>
      </c>
      <c r="K3806" s="34">
        <f t="shared" si="118"/>
        <v>3549.37</v>
      </c>
      <c r="L3806" s="34">
        <v>2.2000000000000002</v>
      </c>
      <c r="M3806" s="34">
        <v>34628</v>
      </c>
      <c r="N3806" s="34">
        <f t="shared" si="119"/>
        <v>9.7560975609756095</v>
      </c>
    </row>
    <row r="3807" spans="1:14" x14ac:dyDescent="0.45">
      <c r="A3807" s="30">
        <v>2024</v>
      </c>
      <c r="B3807" s="30" t="s">
        <v>15</v>
      </c>
      <c r="C3807" s="30" t="s">
        <v>46</v>
      </c>
      <c r="D3807" s="30" t="s">
        <v>47</v>
      </c>
      <c r="E3807" s="32" t="s">
        <v>320</v>
      </c>
      <c r="F3807" s="32" t="s">
        <v>49</v>
      </c>
      <c r="G3807" s="32" t="s">
        <v>50</v>
      </c>
      <c r="H3807" s="33">
        <v>125510</v>
      </c>
      <c r="I3807" s="34">
        <f>Table3[[#This Row],[Volume, kg.]]/1000</f>
        <v>125.51</v>
      </c>
      <c r="J3807" s="34">
        <v>0.23449999999999999</v>
      </c>
      <c r="K3807" s="34">
        <f t="shared" si="118"/>
        <v>29432.094999999998</v>
      </c>
      <c r="L3807" s="34">
        <v>2.2799999999999998</v>
      </c>
      <c r="M3807" s="34">
        <v>286605</v>
      </c>
      <c r="N3807" s="34">
        <f t="shared" si="119"/>
        <v>9.7228144989339018</v>
      </c>
    </row>
    <row r="3808" spans="1:14" x14ac:dyDescent="0.45">
      <c r="A3808" s="30">
        <v>2024</v>
      </c>
      <c r="B3808" s="30" t="s">
        <v>15</v>
      </c>
      <c r="C3808" s="30" t="s">
        <v>46</v>
      </c>
      <c r="D3808" s="30" t="s">
        <v>47</v>
      </c>
      <c r="E3808" s="32" t="s">
        <v>300</v>
      </c>
      <c r="F3808" s="32" t="s">
        <v>57</v>
      </c>
      <c r="G3808" s="32" t="s">
        <v>50</v>
      </c>
      <c r="H3808" s="33">
        <v>30570</v>
      </c>
      <c r="I3808" s="34">
        <f>Table3[[#This Row],[Volume, kg.]]/1000</f>
        <v>30.57</v>
      </c>
      <c r="J3808" s="34">
        <v>0.2127</v>
      </c>
      <c r="K3808" s="34">
        <f t="shared" si="118"/>
        <v>6502.2389999999996</v>
      </c>
      <c r="L3808" s="34">
        <v>2.16</v>
      </c>
      <c r="M3808" s="34">
        <v>66164</v>
      </c>
      <c r="N3808" s="34">
        <f t="shared" si="119"/>
        <v>10.155148095909732</v>
      </c>
    </row>
    <row r="3809" spans="1:14" x14ac:dyDescent="0.45">
      <c r="A3809" s="30">
        <v>2024</v>
      </c>
      <c r="B3809" s="30" t="s">
        <v>15</v>
      </c>
      <c r="C3809" s="30" t="s">
        <v>46</v>
      </c>
      <c r="D3809" s="30" t="s">
        <v>47</v>
      </c>
      <c r="E3809" s="32" t="s">
        <v>666</v>
      </c>
      <c r="F3809" s="32" t="s">
        <v>49</v>
      </c>
      <c r="G3809" s="32" t="s">
        <v>50</v>
      </c>
      <c r="H3809" s="33">
        <v>45520</v>
      </c>
      <c r="I3809" s="34">
        <f>Table3[[#This Row],[Volume, kg.]]/1000</f>
        <v>45.52</v>
      </c>
      <c r="J3809" s="34">
        <v>0.24530000000000002</v>
      </c>
      <c r="K3809" s="34">
        <f t="shared" si="118"/>
        <v>11166.056</v>
      </c>
      <c r="L3809" s="34">
        <v>2.29</v>
      </c>
      <c r="M3809" s="34">
        <v>104425.5</v>
      </c>
      <c r="N3809" s="34">
        <f t="shared" si="119"/>
        <v>9.3355075417855673</v>
      </c>
    </row>
    <row r="3810" spans="1:14" x14ac:dyDescent="0.45">
      <c r="A3810" s="30">
        <v>2024</v>
      </c>
      <c r="B3810" s="30" t="s">
        <v>15</v>
      </c>
      <c r="C3810" s="30" t="s">
        <v>46</v>
      </c>
      <c r="D3810" s="30" t="s">
        <v>47</v>
      </c>
      <c r="E3810" s="32" t="s">
        <v>302</v>
      </c>
      <c r="F3810" s="32" t="s">
        <v>49</v>
      </c>
      <c r="G3810" s="32" t="s">
        <v>50</v>
      </c>
      <c r="H3810" s="33">
        <v>18050</v>
      </c>
      <c r="I3810" s="34">
        <f>Table3[[#This Row],[Volume, kg.]]/1000</f>
        <v>18.05</v>
      </c>
      <c r="J3810" s="34">
        <v>0.2382</v>
      </c>
      <c r="K3810" s="34">
        <f t="shared" si="118"/>
        <v>4299.51</v>
      </c>
      <c r="L3810" s="34">
        <v>2.2999999999999998</v>
      </c>
      <c r="M3810" s="34">
        <v>41534</v>
      </c>
      <c r="N3810" s="34">
        <f t="shared" si="119"/>
        <v>9.6557514693534845</v>
      </c>
    </row>
    <row r="3811" spans="1:14" x14ac:dyDescent="0.45">
      <c r="A3811" s="30">
        <v>2024</v>
      </c>
      <c r="B3811" s="30" t="s">
        <v>15</v>
      </c>
      <c r="C3811" s="30" t="s">
        <v>46</v>
      </c>
      <c r="D3811" s="30" t="s">
        <v>47</v>
      </c>
      <c r="E3811" s="32" t="s">
        <v>301</v>
      </c>
      <c r="F3811" s="32" t="s">
        <v>60</v>
      </c>
      <c r="G3811" s="32" t="s">
        <v>50</v>
      </c>
      <c r="H3811" s="33">
        <v>247040</v>
      </c>
      <c r="I3811" s="34">
        <f>Table3[[#This Row],[Volume, kg.]]/1000</f>
        <v>247.04</v>
      </c>
      <c r="J3811" s="34">
        <v>0.24390000000000001</v>
      </c>
      <c r="K3811" s="34">
        <f t="shared" si="118"/>
        <v>60253.056000000004</v>
      </c>
      <c r="L3811" s="34">
        <v>2.3199999999999998</v>
      </c>
      <c r="M3811" s="34">
        <v>572809.5</v>
      </c>
      <c r="N3811" s="34">
        <f t="shared" si="119"/>
        <v>9.5120951209512086</v>
      </c>
    </row>
    <row r="3812" spans="1:14" x14ac:dyDescent="0.45">
      <c r="A3812" s="30">
        <v>2024</v>
      </c>
      <c r="B3812" s="30" t="s">
        <v>15</v>
      </c>
      <c r="C3812" s="30" t="s">
        <v>46</v>
      </c>
      <c r="D3812" s="30" t="s">
        <v>47</v>
      </c>
      <c r="E3812" s="32" t="s">
        <v>423</v>
      </c>
      <c r="F3812" s="32" t="s">
        <v>49</v>
      </c>
      <c r="G3812" s="32" t="s">
        <v>50</v>
      </c>
      <c r="H3812" s="33">
        <v>10540</v>
      </c>
      <c r="I3812" s="34">
        <f>Table3[[#This Row],[Volume, kg.]]/1000</f>
        <v>10.54</v>
      </c>
      <c r="J3812" s="34">
        <v>0.20800000000000002</v>
      </c>
      <c r="K3812" s="34">
        <f t="shared" si="118"/>
        <v>2192.3200000000002</v>
      </c>
      <c r="L3812" s="34">
        <v>2.2000000000000002</v>
      </c>
      <c r="M3812" s="34">
        <v>23188</v>
      </c>
      <c r="N3812" s="34">
        <f t="shared" si="119"/>
        <v>10.576923076923077</v>
      </c>
    </row>
    <row r="3813" spans="1:14" x14ac:dyDescent="0.45">
      <c r="A3813" s="30">
        <v>2024</v>
      </c>
      <c r="B3813" s="30" t="s">
        <v>15</v>
      </c>
      <c r="C3813" s="30" t="s">
        <v>46</v>
      </c>
      <c r="D3813" s="30" t="s">
        <v>47</v>
      </c>
      <c r="E3813" s="32" t="s">
        <v>174</v>
      </c>
      <c r="F3813" s="32" t="s">
        <v>57</v>
      </c>
      <c r="G3813" s="32" t="s">
        <v>50</v>
      </c>
      <c r="H3813" s="33">
        <v>2290</v>
      </c>
      <c r="I3813" s="34">
        <f>Table3[[#This Row],[Volume, kg.]]/1000</f>
        <v>2.29</v>
      </c>
      <c r="J3813" s="34">
        <v>0.19600000000000001</v>
      </c>
      <c r="K3813" s="34">
        <f t="shared" si="118"/>
        <v>448.84000000000003</v>
      </c>
      <c r="L3813" s="34">
        <v>2.1</v>
      </c>
      <c r="M3813" s="34">
        <v>4809</v>
      </c>
      <c r="N3813" s="34">
        <f t="shared" si="119"/>
        <v>10.714285714285714</v>
      </c>
    </row>
    <row r="3814" spans="1:14" x14ac:dyDescent="0.45">
      <c r="A3814" s="30">
        <v>2024</v>
      </c>
      <c r="B3814" s="30" t="s">
        <v>15</v>
      </c>
      <c r="C3814" s="30" t="s">
        <v>46</v>
      </c>
      <c r="D3814" s="30" t="s">
        <v>47</v>
      </c>
      <c r="E3814" s="32" t="s">
        <v>325</v>
      </c>
      <c r="F3814" s="32" t="s">
        <v>60</v>
      </c>
      <c r="G3814" s="32" t="s">
        <v>50</v>
      </c>
      <c r="H3814" s="33">
        <v>129790</v>
      </c>
      <c r="I3814" s="34">
        <f>Table3[[#This Row],[Volume, kg.]]/1000</f>
        <v>129.79</v>
      </c>
      <c r="J3814" s="34">
        <v>0.2525</v>
      </c>
      <c r="K3814" s="34">
        <f t="shared" si="118"/>
        <v>32771.974999999999</v>
      </c>
      <c r="L3814" s="34">
        <v>2.38</v>
      </c>
      <c r="M3814" s="34">
        <v>308374.5</v>
      </c>
      <c r="N3814" s="34">
        <f t="shared" si="119"/>
        <v>9.4257425742574252</v>
      </c>
    </row>
    <row r="3815" spans="1:14" x14ac:dyDescent="0.45">
      <c r="A3815" s="30">
        <v>2024</v>
      </c>
      <c r="B3815" s="30" t="s">
        <v>15</v>
      </c>
      <c r="C3815" s="30" t="s">
        <v>46</v>
      </c>
      <c r="D3815" s="30" t="s">
        <v>47</v>
      </c>
      <c r="E3815" s="32" t="s">
        <v>51</v>
      </c>
      <c r="F3815" s="32" t="s">
        <v>49</v>
      </c>
      <c r="G3815" s="32" t="s">
        <v>50</v>
      </c>
      <c r="H3815" s="33">
        <v>15070</v>
      </c>
      <c r="I3815" s="34">
        <f>Table3[[#This Row],[Volume, kg.]]/1000</f>
        <v>15.07</v>
      </c>
      <c r="J3815" s="34">
        <v>0.23420000000000002</v>
      </c>
      <c r="K3815" s="34">
        <f t="shared" si="118"/>
        <v>3529.3940000000002</v>
      </c>
      <c r="L3815" s="34">
        <v>2.2799999999999998</v>
      </c>
      <c r="M3815" s="34">
        <v>34399.5</v>
      </c>
      <c r="N3815" s="34">
        <f t="shared" si="119"/>
        <v>9.73526900085397</v>
      </c>
    </row>
    <row r="3816" spans="1:14" x14ac:dyDescent="0.45">
      <c r="A3816" s="30">
        <v>2024</v>
      </c>
      <c r="B3816" s="30" t="s">
        <v>15</v>
      </c>
      <c r="C3816" s="30" t="s">
        <v>46</v>
      </c>
      <c r="D3816" s="30" t="s">
        <v>47</v>
      </c>
      <c r="E3816" s="32" t="s">
        <v>179</v>
      </c>
      <c r="F3816" s="32" t="s">
        <v>60</v>
      </c>
      <c r="G3816" s="32" t="s">
        <v>50</v>
      </c>
      <c r="H3816" s="33">
        <v>173440</v>
      </c>
      <c r="I3816" s="34">
        <f>Table3[[#This Row],[Volume, kg.]]/1000</f>
        <v>173.44</v>
      </c>
      <c r="J3816" s="34">
        <v>0.24230000000000002</v>
      </c>
      <c r="K3816" s="34">
        <f t="shared" si="118"/>
        <v>42024.512000000002</v>
      </c>
      <c r="L3816" s="34">
        <v>2.3199999999999998</v>
      </c>
      <c r="M3816" s="34">
        <v>401572</v>
      </c>
      <c r="N3816" s="34">
        <f t="shared" si="119"/>
        <v>9.5749071399092021</v>
      </c>
    </row>
    <row r="3817" spans="1:14" x14ac:dyDescent="0.45">
      <c r="A3817" s="30">
        <v>2024</v>
      </c>
      <c r="B3817" s="30" t="s">
        <v>15</v>
      </c>
      <c r="C3817" s="30" t="s">
        <v>46</v>
      </c>
      <c r="D3817" s="30" t="s">
        <v>47</v>
      </c>
      <c r="E3817" s="32" t="s">
        <v>258</v>
      </c>
      <c r="F3817" s="32" t="s">
        <v>49</v>
      </c>
      <c r="G3817" s="32" t="s">
        <v>50</v>
      </c>
      <c r="H3817" s="33">
        <v>1594750</v>
      </c>
      <c r="I3817" s="34">
        <f>Table3[[#This Row],[Volume, kg.]]/1000</f>
        <v>1594.75</v>
      </c>
      <c r="J3817" s="34">
        <v>0.22899999999999998</v>
      </c>
      <c r="K3817" s="34">
        <f t="shared" si="118"/>
        <v>365197.74999999994</v>
      </c>
      <c r="L3817" s="34">
        <v>2.25</v>
      </c>
      <c r="M3817" s="34">
        <v>3591398.5</v>
      </c>
      <c r="N3817" s="34">
        <f t="shared" si="119"/>
        <v>9.825327510917031</v>
      </c>
    </row>
    <row r="3818" spans="1:14" x14ac:dyDescent="0.45">
      <c r="A3818" s="30">
        <v>2024</v>
      </c>
      <c r="B3818" s="30" t="s">
        <v>15</v>
      </c>
      <c r="C3818" s="30" t="s">
        <v>46</v>
      </c>
      <c r="D3818" s="30" t="s">
        <v>47</v>
      </c>
      <c r="E3818" s="32" t="s">
        <v>375</v>
      </c>
      <c r="F3818" s="32" t="s">
        <v>49</v>
      </c>
      <c r="G3818" s="32" t="s">
        <v>50</v>
      </c>
      <c r="H3818" s="33">
        <v>86290</v>
      </c>
      <c r="I3818" s="34">
        <f>Table3[[#This Row],[Volume, kg.]]/1000</f>
        <v>86.29</v>
      </c>
      <c r="J3818" s="34">
        <v>0.23719999999999999</v>
      </c>
      <c r="K3818" s="34">
        <f t="shared" si="118"/>
        <v>20467.988000000001</v>
      </c>
      <c r="L3818" s="34">
        <v>2.29</v>
      </c>
      <c r="M3818" s="34">
        <v>197706</v>
      </c>
      <c r="N3818" s="34">
        <f t="shared" si="119"/>
        <v>9.6543001686340641</v>
      </c>
    </row>
    <row r="3819" spans="1:14" x14ac:dyDescent="0.45">
      <c r="A3819" s="30">
        <v>2024</v>
      </c>
      <c r="B3819" s="30" t="s">
        <v>15</v>
      </c>
      <c r="C3819" s="30" t="s">
        <v>46</v>
      </c>
      <c r="D3819" s="30" t="s">
        <v>47</v>
      </c>
      <c r="E3819" s="32" t="s">
        <v>363</v>
      </c>
      <c r="F3819" s="32" t="s">
        <v>60</v>
      </c>
      <c r="G3819" s="32" t="s">
        <v>50</v>
      </c>
      <c r="H3819" s="33">
        <v>50600</v>
      </c>
      <c r="I3819" s="34">
        <f>Table3[[#This Row],[Volume, kg.]]/1000</f>
        <v>50.6</v>
      </c>
      <c r="J3819" s="34">
        <v>0.23600000000000002</v>
      </c>
      <c r="K3819" s="34">
        <f t="shared" si="118"/>
        <v>11941.6</v>
      </c>
      <c r="L3819" s="34">
        <v>2.27</v>
      </c>
      <c r="M3819" s="34">
        <v>115044</v>
      </c>
      <c r="N3819" s="34">
        <f t="shared" si="119"/>
        <v>9.618644067796609</v>
      </c>
    </row>
    <row r="3820" spans="1:14" x14ac:dyDescent="0.45">
      <c r="A3820" s="30">
        <v>2024</v>
      </c>
      <c r="B3820" s="30" t="s">
        <v>15</v>
      </c>
      <c r="C3820" s="30" t="s">
        <v>46</v>
      </c>
      <c r="D3820" s="30" t="s">
        <v>47</v>
      </c>
      <c r="E3820" s="32" t="s">
        <v>231</v>
      </c>
      <c r="F3820" s="32" t="s">
        <v>49</v>
      </c>
      <c r="G3820" s="32" t="s">
        <v>50</v>
      </c>
      <c r="H3820" s="33">
        <v>47190</v>
      </c>
      <c r="I3820" s="34">
        <f>Table3[[#This Row],[Volume, kg.]]/1000</f>
        <v>47.19</v>
      </c>
      <c r="J3820" s="34">
        <v>0.21249999999999999</v>
      </c>
      <c r="K3820" s="34">
        <f t="shared" si="118"/>
        <v>10027.875</v>
      </c>
      <c r="L3820" s="34">
        <v>2.16</v>
      </c>
      <c r="M3820" s="34">
        <v>102098.5</v>
      </c>
      <c r="N3820" s="34">
        <f t="shared" si="119"/>
        <v>10.164705882352942</v>
      </c>
    </row>
    <row r="3821" spans="1:14" x14ac:dyDescent="0.45">
      <c r="A3821" s="30">
        <v>2024</v>
      </c>
      <c r="B3821" s="30" t="s">
        <v>15</v>
      </c>
      <c r="C3821" s="30" t="s">
        <v>46</v>
      </c>
      <c r="D3821" s="30" t="s">
        <v>47</v>
      </c>
      <c r="E3821" s="32" t="s">
        <v>166</v>
      </c>
      <c r="F3821" s="32" t="s">
        <v>49</v>
      </c>
      <c r="G3821" s="32" t="s">
        <v>50</v>
      </c>
      <c r="H3821" s="33">
        <v>27690</v>
      </c>
      <c r="I3821" s="34">
        <f>Table3[[#This Row],[Volume, kg.]]/1000</f>
        <v>27.69</v>
      </c>
      <c r="J3821" s="34">
        <v>0.2132</v>
      </c>
      <c r="K3821" s="34">
        <f t="shared" si="118"/>
        <v>5903.5079999999998</v>
      </c>
      <c r="L3821" s="34">
        <v>2.16</v>
      </c>
      <c r="M3821" s="34">
        <v>59945</v>
      </c>
      <c r="N3821" s="34">
        <f t="shared" si="119"/>
        <v>10.131332082551596</v>
      </c>
    </row>
    <row r="3822" spans="1:14" x14ac:dyDescent="0.45">
      <c r="A3822" s="30">
        <v>2024</v>
      </c>
      <c r="B3822" s="30" t="s">
        <v>15</v>
      </c>
      <c r="C3822" s="30" t="s">
        <v>46</v>
      </c>
      <c r="D3822" s="30" t="s">
        <v>47</v>
      </c>
      <c r="E3822" s="32" t="s">
        <v>293</v>
      </c>
      <c r="F3822" s="32" t="s">
        <v>60</v>
      </c>
      <c r="G3822" s="32" t="s">
        <v>50</v>
      </c>
      <c r="H3822" s="33">
        <v>276730</v>
      </c>
      <c r="I3822" s="34">
        <f>Table3[[#This Row],[Volume, kg.]]/1000</f>
        <v>276.73</v>
      </c>
      <c r="J3822" s="34">
        <v>0.23899999999999999</v>
      </c>
      <c r="K3822" s="34">
        <f t="shared" si="118"/>
        <v>66138.47</v>
      </c>
      <c r="L3822" s="34">
        <v>2.31</v>
      </c>
      <c r="M3822" s="34">
        <v>639029</v>
      </c>
      <c r="N3822" s="34">
        <f t="shared" si="119"/>
        <v>9.6652719665271967</v>
      </c>
    </row>
    <row r="3823" spans="1:14" x14ac:dyDescent="0.45">
      <c r="A3823" s="30">
        <v>2024</v>
      </c>
      <c r="B3823" s="30" t="s">
        <v>15</v>
      </c>
      <c r="C3823" s="30" t="s">
        <v>46</v>
      </c>
      <c r="D3823" s="30" t="s">
        <v>47</v>
      </c>
      <c r="E3823" s="32" t="s">
        <v>242</v>
      </c>
      <c r="F3823" s="32" t="s">
        <v>60</v>
      </c>
      <c r="G3823" s="32" t="s">
        <v>50</v>
      </c>
      <c r="H3823" s="33">
        <v>36010</v>
      </c>
      <c r="I3823" s="34">
        <f>Table3[[#This Row],[Volume, kg.]]/1000</f>
        <v>36.01</v>
      </c>
      <c r="J3823" s="34">
        <v>0.22620000000000001</v>
      </c>
      <c r="K3823" s="34">
        <f t="shared" si="118"/>
        <v>8145.4620000000004</v>
      </c>
      <c r="L3823" s="34">
        <v>2.21</v>
      </c>
      <c r="M3823" s="34">
        <v>79758.5</v>
      </c>
      <c r="N3823" s="34">
        <f t="shared" si="119"/>
        <v>9.7701149425287355</v>
      </c>
    </row>
    <row r="3824" spans="1:14" x14ac:dyDescent="0.45">
      <c r="A3824" s="30">
        <v>2024</v>
      </c>
      <c r="B3824" s="30" t="s">
        <v>15</v>
      </c>
      <c r="C3824" s="30" t="s">
        <v>46</v>
      </c>
      <c r="D3824" s="30" t="s">
        <v>47</v>
      </c>
      <c r="E3824" s="32" t="s">
        <v>384</v>
      </c>
      <c r="F3824" s="32" t="s">
        <v>60</v>
      </c>
      <c r="G3824" s="32" t="s">
        <v>50</v>
      </c>
      <c r="H3824" s="33">
        <v>104010</v>
      </c>
      <c r="I3824" s="34">
        <f>Table3[[#This Row],[Volume, kg.]]/1000</f>
        <v>104.01</v>
      </c>
      <c r="J3824" s="34">
        <v>0.21530000000000002</v>
      </c>
      <c r="K3824" s="34">
        <f t="shared" si="118"/>
        <v>22393.353000000003</v>
      </c>
      <c r="L3824" s="34">
        <v>2.19</v>
      </c>
      <c r="M3824" s="34">
        <v>227326.5</v>
      </c>
      <c r="N3824" s="34">
        <f t="shared" si="119"/>
        <v>10.171853228053877</v>
      </c>
    </row>
    <row r="3825" spans="1:14" x14ac:dyDescent="0.45">
      <c r="A3825" s="30">
        <v>2024</v>
      </c>
      <c r="B3825" s="30" t="s">
        <v>15</v>
      </c>
      <c r="C3825" s="30" t="s">
        <v>46</v>
      </c>
      <c r="D3825" s="30" t="s">
        <v>47</v>
      </c>
      <c r="E3825" s="32" t="s">
        <v>244</v>
      </c>
      <c r="F3825" s="32" t="s">
        <v>60</v>
      </c>
      <c r="G3825" s="32" t="s">
        <v>50</v>
      </c>
      <c r="H3825" s="33">
        <v>212040</v>
      </c>
      <c r="I3825" s="34">
        <f>Table3[[#This Row],[Volume, kg.]]/1000</f>
        <v>212.04</v>
      </c>
      <c r="J3825" s="34">
        <v>0.23519999999999999</v>
      </c>
      <c r="K3825" s="34">
        <f t="shared" si="118"/>
        <v>49871.807999999997</v>
      </c>
      <c r="L3825" s="34">
        <v>2.27</v>
      </c>
      <c r="M3825" s="34">
        <v>480613</v>
      </c>
      <c r="N3825" s="34">
        <f t="shared" si="119"/>
        <v>9.6513605442176882</v>
      </c>
    </row>
    <row r="3826" spans="1:14" x14ac:dyDescent="0.45">
      <c r="A3826" s="30">
        <v>2024</v>
      </c>
      <c r="B3826" s="30" t="s">
        <v>15</v>
      </c>
      <c r="C3826" s="30" t="s">
        <v>46</v>
      </c>
      <c r="D3826" s="30" t="s">
        <v>47</v>
      </c>
      <c r="E3826" s="32" t="s">
        <v>256</v>
      </c>
      <c r="F3826" s="32" t="s">
        <v>81</v>
      </c>
      <c r="G3826" s="32" t="s">
        <v>50</v>
      </c>
      <c r="H3826" s="33">
        <v>85810</v>
      </c>
      <c r="I3826" s="34">
        <f>Table3[[#This Row],[Volume, kg.]]/1000</f>
        <v>85.81</v>
      </c>
      <c r="J3826" s="34">
        <v>0.22949999999999998</v>
      </c>
      <c r="K3826" s="34">
        <f t="shared" si="118"/>
        <v>19693.394999999997</v>
      </c>
      <c r="L3826" s="34">
        <v>2.2599999999999998</v>
      </c>
      <c r="M3826" s="34">
        <v>193825.5</v>
      </c>
      <c r="N3826" s="34">
        <f t="shared" si="119"/>
        <v>9.8474945533769063</v>
      </c>
    </row>
    <row r="3827" spans="1:14" x14ac:dyDescent="0.45">
      <c r="A3827" s="30">
        <v>2024</v>
      </c>
      <c r="B3827" s="30" t="s">
        <v>15</v>
      </c>
      <c r="C3827" s="30" t="s">
        <v>46</v>
      </c>
      <c r="D3827" s="30" t="s">
        <v>47</v>
      </c>
      <c r="E3827" s="32" t="s">
        <v>597</v>
      </c>
      <c r="F3827" s="32" t="s">
        <v>49</v>
      </c>
      <c r="G3827" s="32" t="s">
        <v>50</v>
      </c>
      <c r="H3827" s="33">
        <v>18890</v>
      </c>
      <c r="I3827" s="34">
        <f>Table3[[#This Row],[Volume, kg.]]/1000</f>
        <v>18.89</v>
      </c>
      <c r="J3827" s="34">
        <v>0.22559999999999999</v>
      </c>
      <c r="K3827" s="34">
        <f t="shared" si="118"/>
        <v>4261.5839999999998</v>
      </c>
      <c r="L3827" s="34">
        <v>2.2200000000000002</v>
      </c>
      <c r="M3827" s="34">
        <v>41981.5</v>
      </c>
      <c r="N3827" s="34">
        <f t="shared" si="119"/>
        <v>9.8404255319148941</v>
      </c>
    </row>
    <row r="3828" spans="1:14" x14ac:dyDescent="0.45">
      <c r="A3828" s="30">
        <v>2024</v>
      </c>
      <c r="B3828" s="30" t="s">
        <v>15</v>
      </c>
      <c r="C3828" s="30" t="s">
        <v>46</v>
      </c>
      <c r="D3828" s="30" t="s">
        <v>47</v>
      </c>
      <c r="E3828" s="32" t="s">
        <v>198</v>
      </c>
      <c r="F3828" s="32" t="s">
        <v>49</v>
      </c>
      <c r="G3828" s="32" t="s">
        <v>50</v>
      </c>
      <c r="H3828" s="33">
        <v>31790</v>
      </c>
      <c r="I3828" s="34">
        <f>Table3[[#This Row],[Volume, kg.]]/1000</f>
        <v>31.79</v>
      </c>
      <c r="J3828" s="34">
        <v>0.24440000000000001</v>
      </c>
      <c r="K3828" s="34">
        <f t="shared" si="118"/>
        <v>7769.4760000000006</v>
      </c>
      <c r="L3828" s="34">
        <v>2.33</v>
      </c>
      <c r="M3828" s="34">
        <v>73990</v>
      </c>
      <c r="N3828" s="34">
        <f t="shared" si="119"/>
        <v>9.5335515548281506</v>
      </c>
    </row>
    <row r="3829" spans="1:14" x14ac:dyDescent="0.45">
      <c r="A3829" s="30">
        <v>2024</v>
      </c>
      <c r="B3829" s="30" t="s">
        <v>15</v>
      </c>
      <c r="C3829" s="30" t="s">
        <v>46</v>
      </c>
      <c r="D3829" s="30" t="s">
        <v>47</v>
      </c>
      <c r="E3829" s="32" t="s">
        <v>287</v>
      </c>
      <c r="F3829" s="32" t="s">
        <v>60</v>
      </c>
      <c r="G3829" s="32" t="s">
        <v>50</v>
      </c>
      <c r="H3829" s="33">
        <v>96740</v>
      </c>
      <c r="I3829" s="34">
        <f>Table3[[#This Row],[Volume, kg.]]/1000</f>
        <v>96.74</v>
      </c>
      <c r="J3829" s="34">
        <v>0.22839999999999999</v>
      </c>
      <c r="K3829" s="34">
        <f t="shared" si="118"/>
        <v>22095.415999999997</v>
      </c>
      <c r="L3829" s="34">
        <v>2.23</v>
      </c>
      <c r="M3829" s="34">
        <v>215970</v>
      </c>
      <c r="N3829" s="34">
        <f t="shared" si="119"/>
        <v>9.7635726795096325</v>
      </c>
    </row>
    <row r="3830" spans="1:14" x14ac:dyDescent="0.45">
      <c r="A3830" s="30">
        <v>2024</v>
      </c>
      <c r="B3830" s="30" t="s">
        <v>15</v>
      </c>
      <c r="C3830" s="30" t="s">
        <v>46</v>
      </c>
      <c r="D3830" s="30" t="s">
        <v>47</v>
      </c>
      <c r="E3830" s="32" t="s">
        <v>164</v>
      </c>
      <c r="F3830" s="32" t="s">
        <v>49</v>
      </c>
      <c r="G3830" s="32" t="s">
        <v>50</v>
      </c>
      <c r="H3830" s="33">
        <v>98830</v>
      </c>
      <c r="I3830" s="34">
        <f>Table3[[#This Row],[Volume, kg.]]/1000</f>
        <v>98.83</v>
      </c>
      <c r="J3830" s="34">
        <v>0.22850000000000001</v>
      </c>
      <c r="K3830" s="34">
        <f t="shared" si="118"/>
        <v>22582.655000000002</v>
      </c>
      <c r="L3830" s="34">
        <v>2.25</v>
      </c>
      <c r="M3830" s="34">
        <v>222043</v>
      </c>
      <c r="N3830" s="34">
        <f t="shared" si="119"/>
        <v>9.846827133479211</v>
      </c>
    </row>
    <row r="3831" spans="1:14" x14ac:dyDescent="0.45">
      <c r="A3831" s="30">
        <v>2024</v>
      </c>
      <c r="B3831" s="30" t="s">
        <v>15</v>
      </c>
      <c r="C3831" s="30" t="s">
        <v>46</v>
      </c>
      <c r="D3831" s="30" t="s">
        <v>47</v>
      </c>
      <c r="E3831" s="32" t="s">
        <v>220</v>
      </c>
      <c r="F3831" s="32" t="s">
        <v>49</v>
      </c>
      <c r="G3831" s="32" t="s">
        <v>50</v>
      </c>
      <c r="H3831" s="33">
        <v>63660</v>
      </c>
      <c r="I3831" s="34">
        <f>Table3[[#This Row],[Volume, kg.]]/1000</f>
        <v>63.66</v>
      </c>
      <c r="J3831" s="34">
        <v>0.22690000000000002</v>
      </c>
      <c r="K3831" s="34">
        <f t="shared" si="118"/>
        <v>14444.454000000002</v>
      </c>
      <c r="L3831" s="34">
        <v>2.25</v>
      </c>
      <c r="M3831" s="34">
        <v>143105.5</v>
      </c>
      <c r="N3831" s="34">
        <f t="shared" si="119"/>
        <v>9.9162626707800783</v>
      </c>
    </row>
    <row r="3832" spans="1:14" x14ac:dyDescent="0.45">
      <c r="A3832" s="30">
        <v>2024</v>
      </c>
      <c r="B3832" s="30" t="s">
        <v>15</v>
      </c>
      <c r="C3832" s="30" t="s">
        <v>46</v>
      </c>
      <c r="D3832" s="30" t="s">
        <v>47</v>
      </c>
      <c r="E3832" s="32" t="s">
        <v>294</v>
      </c>
      <c r="F3832" s="32" t="s">
        <v>81</v>
      </c>
      <c r="G3832" s="32" t="s">
        <v>50</v>
      </c>
      <c r="H3832" s="33">
        <v>90970</v>
      </c>
      <c r="I3832" s="34">
        <f>Table3[[#This Row],[Volume, kg.]]/1000</f>
        <v>90.97</v>
      </c>
      <c r="J3832" s="34">
        <v>0.24739999999999998</v>
      </c>
      <c r="K3832" s="34">
        <f t="shared" si="118"/>
        <v>22505.977999999999</v>
      </c>
      <c r="L3832" s="34">
        <v>2.34</v>
      </c>
      <c r="M3832" s="34">
        <v>212451</v>
      </c>
      <c r="N3832" s="34">
        <f t="shared" si="119"/>
        <v>9.4583670169765561</v>
      </c>
    </row>
    <row r="3833" spans="1:14" x14ac:dyDescent="0.45">
      <c r="A3833" s="30">
        <v>2024</v>
      </c>
      <c r="B3833" s="30" t="s">
        <v>15</v>
      </c>
      <c r="C3833" s="30" t="s">
        <v>46</v>
      </c>
      <c r="D3833" s="30" t="s">
        <v>47</v>
      </c>
      <c r="E3833" s="32" t="s">
        <v>358</v>
      </c>
      <c r="F3833" s="32" t="s">
        <v>60</v>
      </c>
      <c r="G3833" s="32" t="s">
        <v>50</v>
      </c>
      <c r="H3833" s="33">
        <v>249970</v>
      </c>
      <c r="I3833" s="34">
        <f>Table3[[#This Row],[Volume, kg.]]/1000</f>
        <v>249.97</v>
      </c>
      <c r="J3833" s="34">
        <v>0.2394</v>
      </c>
      <c r="K3833" s="34">
        <f t="shared" si="118"/>
        <v>59842.817999999999</v>
      </c>
      <c r="L3833" s="34">
        <v>2.31</v>
      </c>
      <c r="M3833" s="34">
        <v>577397</v>
      </c>
      <c r="N3833" s="34">
        <f t="shared" si="119"/>
        <v>9.6491228070175445</v>
      </c>
    </row>
    <row r="3834" spans="1:14" x14ac:dyDescent="0.45">
      <c r="A3834" s="30">
        <v>2024</v>
      </c>
      <c r="B3834" s="30" t="s">
        <v>15</v>
      </c>
      <c r="C3834" s="30" t="s">
        <v>46</v>
      </c>
      <c r="D3834" s="30" t="s">
        <v>47</v>
      </c>
      <c r="E3834" s="32" t="s">
        <v>464</v>
      </c>
      <c r="F3834" s="32" t="s">
        <v>57</v>
      </c>
      <c r="G3834" s="32" t="s">
        <v>50</v>
      </c>
      <c r="H3834" s="33">
        <v>146860</v>
      </c>
      <c r="I3834" s="34">
        <f>Table3[[#This Row],[Volume, kg.]]/1000</f>
        <v>146.86000000000001</v>
      </c>
      <c r="J3834" s="34">
        <v>0.23670000000000002</v>
      </c>
      <c r="K3834" s="34">
        <f t="shared" si="118"/>
        <v>34761.762000000002</v>
      </c>
      <c r="L3834" s="34">
        <v>2.2799999999999998</v>
      </c>
      <c r="M3834" s="34">
        <v>334259.5</v>
      </c>
      <c r="N3834" s="34">
        <f t="shared" si="119"/>
        <v>9.6324461343472727</v>
      </c>
    </row>
    <row r="3835" spans="1:14" x14ac:dyDescent="0.45">
      <c r="A3835" s="30">
        <v>2024</v>
      </c>
      <c r="B3835" s="30" t="s">
        <v>15</v>
      </c>
      <c r="C3835" s="30" t="s">
        <v>46</v>
      </c>
      <c r="D3835" s="30" t="s">
        <v>47</v>
      </c>
      <c r="E3835" s="32" t="s">
        <v>260</v>
      </c>
      <c r="F3835" s="32" t="s">
        <v>49</v>
      </c>
      <c r="G3835" s="32" t="s">
        <v>50</v>
      </c>
      <c r="H3835" s="33">
        <v>46870</v>
      </c>
      <c r="I3835" s="34">
        <f>Table3[[#This Row],[Volume, kg.]]/1000</f>
        <v>46.87</v>
      </c>
      <c r="J3835" s="34">
        <v>0.23670000000000002</v>
      </c>
      <c r="K3835" s="34">
        <f t="shared" si="118"/>
        <v>11094.129000000001</v>
      </c>
      <c r="L3835" s="34">
        <v>2.29</v>
      </c>
      <c r="M3835" s="34">
        <v>107128</v>
      </c>
      <c r="N3835" s="34">
        <f t="shared" si="119"/>
        <v>9.6746937051119559</v>
      </c>
    </row>
    <row r="3836" spans="1:14" x14ac:dyDescent="0.45">
      <c r="A3836" s="30">
        <v>2024</v>
      </c>
      <c r="B3836" s="30" t="s">
        <v>15</v>
      </c>
      <c r="C3836" s="30" t="s">
        <v>46</v>
      </c>
      <c r="D3836" s="30" t="s">
        <v>47</v>
      </c>
      <c r="E3836" s="32" t="s">
        <v>429</v>
      </c>
      <c r="F3836" s="32" t="s">
        <v>54</v>
      </c>
      <c r="G3836" s="32" t="s">
        <v>50</v>
      </c>
      <c r="H3836" s="33">
        <v>37500</v>
      </c>
      <c r="I3836" s="34">
        <f>Table3[[#This Row],[Volume, kg.]]/1000</f>
        <v>37.5</v>
      </c>
      <c r="J3836" s="34">
        <v>0.22289999999999999</v>
      </c>
      <c r="K3836" s="34">
        <f t="shared" si="118"/>
        <v>8358.75</v>
      </c>
      <c r="L3836" s="34">
        <v>2.21</v>
      </c>
      <c r="M3836" s="34">
        <v>82852.5</v>
      </c>
      <c r="N3836" s="34">
        <f t="shared" si="119"/>
        <v>9.9147599820547327</v>
      </c>
    </row>
    <row r="3837" spans="1:14" x14ac:dyDescent="0.45">
      <c r="A3837" s="30">
        <v>2024</v>
      </c>
      <c r="B3837" s="30" t="s">
        <v>15</v>
      </c>
      <c r="C3837" s="30" t="s">
        <v>46</v>
      </c>
      <c r="D3837" s="30" t="s">
        <v>47</v>
      </c>
      <c r="E3837" s="32" t="s">
        <v>187</v>
      </c>
      <c r="F3837" s="32" t="s">
        <v>54</v>
      </c>
      <c r="G3837" s="32" t="s">
        <v>50</v>
      </c>
      <c r="H3837" s="33">
        <v>157970</v>
      </c>
      <c r="I3837" s="34">
        <f>Table3[[#This Row],[Volume, kg.]]/1000</f>
        <v>157.97</v>
      </c>
      <c r="J3837" s="34">
        <v>0.23569999999999999</v>
      </c>
      <c r="K3837" s="34">
        <f t="shared" si="118"/>
        <v>37233.529000000002</v>
      </c>
      <c r="L3837" s="34">
        <v>2.2599999999999998</v>
      </c>
      <c r="M3837" s="34">
        <v>356676</v>
      </c>
      <c r="N3837" s="34">
        <f t="shared" si="119"/>
        <v>9.5884599066610097</v>
      </c>
    </row>
    <row r="3838" spans="1:14" x14ac:dyDescent="0.45">
      <c r="A3838" s="30">
        <v>2024</v>
      </c>
      <c r="B3838" s="30" t="s">
        <v>15</v>
      </c>
      <c r="C3838" s="30" t="s">
        <v>46</v>
      </c>
      <c r="D3838" s="30" t="s">
        <v>47</v>
      </c>
      <c r="E3838" s="32" t="s">
        <v>191</v>
      </c>
      <c r="F3838" s="32" t="s">
        <v>49</v>
      </c>
      <c r="G3838" s="32" t="s">
        <v>50</v>
      </c>
      <c r="H3838" s="33">
        <v>86950</v>
      </c>
      <c r="I3838" s="34">
        <f>Table3[[#This Row],[Volume, kg.]]/1000</f>
        <v>86.95</v>
      </c>
      <c r="J3838" s="34">
        <v>0.21989999999999998</v>
      </c>
      <c r="K3838" s="34">
        <f t="shared" si="118"/>
        <v>19120.305</v>
      </c>
      <c r="L3838" s="34">
        <v>2.19</v>
      </c>
      <c r="M3838" s="34">
        <v>190105</v>
      </c>
      <c r="N3838" s="34">
        <f t="shared" si="119"/>
        <v>9.9590723055934518</v>
      </c>
    </row>
    <row r="3839" spans="1:14" x14ac:dyDescent="0.45">
      <c r="A3839" s="30">
        <v>2024</v>
      </c>
      <c r="B3839" s="30" t="s">
        <v>15</v>
      </c>
      <c r="C3839" s="30" t="s">
        <v>46</v>
      </c>
      <c r="D3839" s="30" t="s">
        <v>47</v>
      </c>
      <c r="E3839" s="32" t="s">
        <v>291</v>
      </c>
      <c r="F3839" s="32" t="s">
        <v>57</v>
      </c>
      <c r="G3839" s="32" t="s">
        <v>50</v>
      </c>
      <c r="H3839" s="33">
        <v>169000</v>
      </c>
      <c r="I3839" s="34">
        <f>Table3[[#This Row],[Volume, kg.]]/1000</f>
        <v>169</v>
      </c>
      <c r="J3839" s="34">
        <v>0.22070000000000001</v>
      </c>
      <c r="K3839" s="34">
        <f t="shared" si="118"/>
        <v>37298.300000000003</v>
      </c>
      <c r="L3839" s="34">
        <v>2.21</v>
      </c>
      <c r="M3839" s="34">
        <v>373175.5</v>
      </c>
      <c r="N3839" s="34">
        <f t="shared" si="119"/>
        <v>10.013593112822836</v>
      </c>
    </row>
    <row r="3840" spans="1:14" x14ac:dyDescent="0.45">
      <c r="A3840" s="30">
        <v>2024</v>
      </c>
      <c r="B3840" s="30" t="s">
        <v>15</v>
      </c>
      <c r="C3840" s="30" t="s">
        <v>46</v>
      </c>
      <c r="D3840" s="30" t="s">
        <v>47</v>
      </c>
      <c r="E3840" s="32" t="s">
        <v>352</v>
      </c>
      <c r="F3840" s="32" t="s">
        <v>54</v>
      </c>
      <c r="G3840" s="32" t="s">
        <v>50</v>
      </c>
      <c r="H3840" s="33">
        <v>261740</v>
      </c>
      <c r="I3840" s="34">
        <f>Table3[[#This Row],[Volume, kg.]]/1000</f>
        <v>261.74</v>
      </c>
      <c r="J3840" s="34">
        <v>0.22489999999999999</v>
      </c>
      <c r="K3840" s="34">
        <f t="shared" si="118"/>
        <v>58865.325999999994</v>
      </c>
      <c r="L3840" s="34">
        <v>2.23</v>
      </c>
      <c r="M3840" s="34">
        <v>583144.5</v>
      </c>
      <c r="N3840" s="34">
        <f t="shared" si="119"/>
        <v>9.9155180080035574</v>
      </c>
    </row>
    <row r="3841" spans="1:14" x14ac:dyDescent="0.45">
      <c r="A3841" s="30">
        <v>2024</v>
      </c>
      <c r="B3841" s="30" t="s">
        <v>15</v>
      </c>
      <c r="C3841" s="30" t="s">
        <v>46</v>
      </c>
      <c r="D3841" s="30" t="s">
        <v>47</v>
      </c>
      <c r="E3841" s="32" t="s">
        <v>465</v>
      </c>
      <c r="F3841" s="32" t="s">
        <v>57</v>
      </c>
      <c r="G3841" s="32" t="s">
        <v>50</v>
      </c>
      <c r="H3841" s="33">
        <v>150150</v>
      </c>
      <c r="I3841" s="34">
        <f>Table3[[#This Row],[Volume, kg.]]/1000</f>
        <v>150.15</v>
      </c>
      <c r="J3841" s="34">
        <v>0.2286</v>
      </c>
      <c r="K3841" s="34">
        <f t="shared" si="118"/>
        <v>34324.29</v>
      </c>
      <c r="L3841" s="34">
        <v>2.2599999999999998</v>
      </c>
      <c r="M3841" s="34">
        <v>340011.5</v>
      </c>
      <c r="N3841" s="34">
        <f t="shared" si="119"/>
        <v>9.8862642169728776</v>
      </c>
    </row>
    <row r="3842" spans="1:14" x14ac:dyDescent="0.45">
      <c r="A3842" s="30">
        <v>2024</v>
      </c>
      <c r="B3842" s="30" t="s">
        <v>15</v>
      </c>
      <c r="C3842" s="30" t="s">
        <v>46</v>
      </c>
      <c r="D3842" s="30" t="s">
        <v>47</v>
      </c>
      <c r="E3842" s="32" t="s">
        <v>110</v>
      </c>
      <c r="F3842" s="32" t="s">
        <v>57</v>
      </c>
      <c r="G3842" s="32" t="s">
        <v>50</v>
      </c>
      <c r="H3842" s="33">
        <v>23110</v>
      </c>
      <c r="I3842" s="34">
        <f>Table3[[#This Row],[Volume, kg.]]/1000</f>
        <v>23.11</v>
      </c>
      <c r="J3842" s="34">
        <v>0.22489999999999999</v>
      </c>
      <c r="K3842" s="34">
        <f t="shared" si="118"/>
        <v>5197.4389999999994</v>
      </c>
      <c r="L3842" s="34">
        <v>2.2400000000000002</v>
      </c>
      <c r="M3842" s="34">
        <v>51703.5</v>
      </c>
      <c r="N3842" s="34">
        <f t="shared" si="119"/>
        <v>9.9599822143174759</v>
      </c>
    </row>
    <row r="3843" spans="1:14" x14ac:dyDescent="0.45">
      <c r="A3843" s="30">
        <v>2024</v>
      </c>
      <c r="B3843" s="30" t="s">
        <v>15</v>
      </c>
      <c r="C3843" s="30" t="s">
        <v>46</v>
      </c>
      <c r="D3843" s="30" t="s">
        <v>47</v>
      </c>
      <c r="E3843" s="32" t="s">
        <v>385</v>
      </c>
      <c r="F3843" s="32" t="s">
        <v>57</v>
      </c>
      <c r="G3843" s="32" t="s">
        <v>50</v>
      </c>
      <c r="H3843" s="33">
        <v>110400</v>
      </c>
      <c r="I3843" s="34">
        <f>Table3[[#This Row],[Volume, kg.]]/1000</f>
        <v>110.4</v>
      </c>
      <c r="J3843" s="34">
        <v>0.22899999999999998</v>
      </c>
      <c r="K3843" s="34">
        <f t="shared" ref="K3843:K3906" si="120">H3843*J3843</f>
        <v>25281.599999999999</v>
      </c>
      <c r="L3843" s="34">
        <v>2.2599999999999998</v>
      </c>
      <c r="M3843" s="34">
        <v>249815.5</v>
      </c>
      <c r="N3843" s="34">
        <f t="shared" si="119"/>
        <v>9.8689956331877724</v>
      </c>
    </row>
    <row r="3844" spans="1:14" x14ac:dyDescent="0.45">
      <c r="A3844" s="30">
        <v>2024</v>
      </c>
      <c r="B3844" s="30" t="s">
        <v>15</v>
      </c>
      <c r="C3844" s="30" t="s">
        <v>46</v>
      </c>
      <c r="D3844" s="30" t="s">
        <v>47</v>
      </c>
      <c r="E3844" s="32" t="s">
        <v>142</v>
      </c>
      <c r="F3844" s="32" t="s">
        <v>57</v>
      </c>
      <c r="G3844" s="32" t="s">
        <v>50</v>
      </c>
      <c r="H3844" s="33">
        <v>117460</v>
      </c>
      <c r="I3844" s="34">
        <f>Table3[[#This Row],[Volume, kg.]]/1000</f>
        <v>117.46</v>
      </c>
      <c r="J3844" s="34">
        <v>0.24420000000000003</v>
      </c>
      <c r="K3844" s="34">
        <f t="shared" si="120"/>
        <v>28683.732000000004</v>
      </c>
      <c r="L3844" s="34">
        <v>2.34</v>
      </c>
      <c r="M3844" s="34">
        <v>274274.5</v>
      </c>
      <c r="N3844" s="34">
        <f t="shared" ref="N3844:N3907" si="121">L3844/J3844</f>
        <v>9.5823095823095805</v>
      </c>
    </row>
    <row r="3845" spans="1:14" x14ac:dyDescent="0.45">
      <c r="A3845" s="30">
        <v>2024</v>
      </c>
      <c r="B3845" s="30" t="s">
        <v>15</v>
      </c>
      <c r="C3845" s="30" t="s">
        <v>46</v>
      </c>
      <c r="D3845" s="30" t="s">
        <v>47</v>
      </c>
      <c r="E3845" s="32" t="s">
        <v>86</v>
      </c>
      <c r="F3845" s="32" t="s">
        <v>49</v>
      </c>
      <c r="G3845" s="32" t="s">
        <v>50</v>
      </c>
      <c r="H3845" s="33">
        <v>340640</v>
      </c>
      <c r="I3845" s="34">
        <f>Table3[[#This Row],[Volume, kg.]]/1000</f>
        <v>340.64</v>
      </c>
      <c r="J3845" s="34">
        <v>0.21859999999999999</v>
      </c>
      <c r="K3845" s="34">
        <f t="shared" si="120"/>
        <v>74463.903999999995</v>
      </c>
      <c r="L3845" s="34">
        <v>2.2000000000000002</v>
      </c>
      <c r="M3845" s="34">
        <v>748106</v>
      </c>
      <c r="N3845" s="34">
        <f t="shared" si="121"/>
        <v>10.064043915827998</v>
      </c>
    </row>
    <row r="3846" spans="1:14" x14ac:dyDescent="0.45">
      <c r="A3846" s="30">
        <v>2024</v>
      </c>
      <c r="B3846" s="30" t="s">
        <v>15</v>
      </c>
      <c r="C3846" s="30" t="s">
        <v>46</v>
      </c>
      <c r="D3846" s="30" t="s">
        <v>47</v>
      </c>
      <c r="E3846" s="32" t="s">
        <v>523</v>
      </c>
      <c r="F3846" s="32" t="s">
        <v>49</v>
      </c>
      <c r="G3846" s="32" t="s">
        <v>50</v>
      </c>
      <c r="H3846" s="33">
        <v>34140</v>
      </c>
      <c r="I3846" s="34">
        <f>Table3[[#This Row],[Volume, kg.]]/1000</f>
        <v>34.14</v>
      </c>
      <c r="J3846" s="34">
        <v>0.21420000000000003</v>
      </c>
      <c r="K3846" s="34">
        <f t="shared" si="120"/>
        <v>7312.7880000000014</v>
      </c>
      <c r="L3846" s="34">
        <v>2.15</v>
      </c>
      <c r="M3846" s="34">
        <v>73255</v>
      </c>
      <c r="N3846" s="34">
        <f t="shared" si="121"/>
        <v>10.037348272642388</v>
      </c>
    </row>
    <row r="3847" spans="1:14" x14ac:dyDescent="0.45">
      <c r="A3847" s="30">
        <v>2024</v>
      </c>
      <c r="B3847" s="30" t="s">
        <v>15</v>
      </c>
      <c r="C3847" s="30" t="s">
        <v>46</v>
      </c>
      <c r="D3847" s="30" t="s">
        <v>47</v>
      </c>
      <c r="E3847" s="32" t="s">
        <v>451</v>
      </c>
      <c r="F3847" s="32" t="s">
        <v>54</v>
      </c>
      <c r="G3847" s="32" t="s">
        <v>50</v>
      </c>
      <c r="H3847" s="33">
        <v>37670</v>
      </c>
      <c r="I3847" s="34">
        <f>Table3[[#This Row],[Volume, kg.]]/1000</f>
        <v>37.67</v>
      </c>
      <c r="J3847" s="34">
        <v>0.23219999999999999</v>
      </c>
      <c r="K3847" s="34">
        <f t="shared" si="120"/>
        <v>8746.9740000000002</v>
      </c>
      <c r="L3847" s="34">
        <v>2.25</v>
      </c>
      <c r="M3847" s="34">
        <v>84845</v>
      </c>
      <c r="N3847" s="34">
        <f t="shared" si="121"/>
        <v>9.6899224806201563</v>
      </c>
    </row>
    <row r="3848" spans="1:14" x14ac:dyDescent="0.45">
      <c r="A3848" s="30">
        <v>2024</v>
      </c>
      <c r="B3848" s="30" t="s">
        <v>15</v>
      </c>
      <c r="C3848" s="30" t="s">
        <v>46</v>
      </c>
      <c r="D3848" s="30" t="s">
        <v>47</v>
      </c>
      <c r="E3848" s="32" t="s">
        <v>431</v>
      </c>
      <c r="F3848" s="32" t="s">
        <v>49</v>
      </c>
      <c r="G3848" s="32" t="s">
        <v>50</v>
      </c>
      <c r="H3848" s="33">
        <v>61680</v>
      </c>
      <c r="I3848" s="34">
        <f>Table3[[#This Row],[Volume, kg.]]/1000</f>
        <v>61.68</v>
      </c>
      <c r="J3848" s="34">
        <v>0.2112</v>
      </c>
      <c r="K3848" s="34">
        <f t="shared" si="120"/>
        <v>13026.816000000001</v>
      </c>
      <c r="L3848" s="34">
        <v>2.15</v>
      </c>
      <c r="M3848" s="34">
        <v>132636.5</v>
      </c>
      <c r="N3848" s="34">
        <f t="shared" si="121"/>
        <v>10.179924242424242</v>
      </c>
    </row>
    <row r="3849" spans="1:14" x14ac:dyDescent="0.45">
      <c r="A3849" s="30">
        <v>2024</v>
      </c>
      <c r="B3849" s="30" t="s">
        <v>15</v>
      </c>
      <c r="C3849" s="30" t="s">
        <v>46</v>
      </c>
      <c r="D3849" s="30" t="s">
        <v>47</v>
      </c>
      <c r="E3849" s="32" t="s">
        <v>421</v>
      </c>
      <c r="F3849" s="32" t="s">
        <v>49</v>
      </c>
      <c r="G3849" s="32" t="s">
        <v>50</v>
      </c>
      <c r="H3849" s="33">
        <v>22420</v>
      </c>
      <c r="I3849" s="34">
        <f>Table3[[#This Row],[Volume, kg.]]/1000</f>
        <v>22.42</v>
      </c>
      <c r="J3849" s="34">
        <v>0.24629999999999999</v>
      </c>
      <c r="K3849" s="34">
        <f t="shared" si="120"/>
        <v>5522.0459999999994</v>
      </c>
      <c r="L3849" s="34">
        <v>2.37</v>
      </c>
      <c r="M3849" s="34">
        <v>53050</v>
      </c>
      <c r="N3849" s="34">
        <f t="shared" si="121"/>
        <v>9.6224116930572485</v>
      </c>
    </row>
    <row r="3850" spans="1:14" x14ac:dyDescent="0.45">
      <c r="A3850" s="30">
        <v>2024</v>
      </c>
      <c r="B3850" s="30" t="s">
        <v>15</v>
      </c>
      <c r="C3850" s="30" t="s">
        <v>46</v>
      </c>
      <c r="D3850" s="30" t="s">
        <v>47</v>
      </c>
      <c r="E3850" s="32" t="s">
        <v>167</v>
      </c>
      <c r="F3850" s="32" t="s">
        <v>49</v>
      </c>
      <c r="G3850" s="32" t="s">
        <v>50</v>
      </c>
      <c r="H3850" s="33">
        <v>233430</v>
      </c>
      <c r="I3850" s="34">
        <f>Table3[[#This Row],[Volume, kg.]]/1000</f>
        <v>233.43</v>
      </c>
      <c r="J3850" s="34">
        <v>0.21109999999999998</v>
      </c>
      <c r="K3850" s="34">
        <f t="shared" si="120"/>
        <v>49277.072999999997</v>
      </c>
      <c r="L3850" s="34">
        <v>2.16</v>
      </c>
      <c r="M3850" s="34">
        <v>503175</v>
      </c>
      <c r="N3850" s="34">
        <f t="shared" si="121"/>
        <v>10.232117479867362</v>
      </c>
    </row>
    <row r="3851" spans="1:14" x14ac:dyDescent="0.45">
      <c r="A3851" s="30">
        <v>2024</v>
      </c>
      <c r="B3851" s="30" t="s">
        <v>15</v>
      </c>
      <c r="C3851" s="30" t="s">
        <v>46</v>
      </c>
      <c r="D3851" s="30" t="s">
        <v>47</v>
      </c>
      <c r="E3851" s="32" t="s">
        <v>329</v>
      </c>
      <c r="F3851" s="32" t="s">
        <v>49</v>
      </c>
      <c r="G3851" s="32" t="s">
        <v>50</v>
      </c>
      <c r="H3851" s="33">
        <v>11420</v>
      </c>
      <c r="I3851" s="34">
        <f>Table3[[#This Row],[Volume, kg.]]/1000</f>
        <v>11.42</v>
      </c>
      <c r="J3851" s="34">
        <v>0.20079999999999998</v>
      </c>
      <c r="K3851" s="34">
        <f t="shared" si="120"/>
        <v>2293.136</v>
      </c>
      <c r="L3851" s="34">
        <v>2.04</v>
      </c>
      <c r="M3851" s="34">
        <v>23258</v>
      </c>
      <c r="N3851" s="34">
        <f t="shared" si="121"/>
        <v>10.159362549800798</v>
      </c>
    </row>
    <row r="3852" spans="1:14" x14ac:dyDescent="0.45">
      <c r="A3852" s="30">
        <v>2024</v>
      </c>
      <c r="B3852" s="30" t="s">
        <v>15</v>
      </c>
      <c r="C3852" s="30" t="s">
        <v>46</v>
      </c>
      <c r="D3852" s="30" t="s">
        <v>47</v>
      </c>
      <c r="E3852" s="32" t="s">
        <v>544</v>
      </c>
      <c r="F3852" s="32" t="s">
        <v>57</v>
      </c>
      <c r="G3852" s="32" t="s">
        <v>50</v>
      </c>
      <c r="H3852" s="33">
        <v>7080</v>
      </c>
      <c r="I3852" s="34">
        <f>Table3[[#This Row],[Volume, kg.]]/1000</f>
        <v>7.08</v>
      </c>
      <c r="J3852" s="34">
        <v>0.27399999999999997</v>
      </c>
      <c r="K3852" s="34">
        <f t="shared" si="120"/>
        <v>1939.9199999999998</v>
      </c>
      <c r="L3852" s="34">
        <v>2.5</v>
      </c>
      <c r="M3852" s="34">
        <v>17700</v>
      </c>
      <c r="N3852" s="34">
        <f t="shared" si="121"/>
        <v>9.1240875912408779</v>
      </c>
    </row>
    <row r="3853" spans="1:14" x14ac:dyDescent="0.45">
      <c r="A3853" s="30">
        <v>2024</v>
      </c>
      <c r="B3853" s="30" t="s">
        <v>15</v>
      </c>
      <c r="C3853" s="30" t="s">
        <v>46</v>
      </c>
      <c r="D3853" s="30" t="s">
        <v>47</v>
      </c>
      <c r="E3853" s="32" t="s">
        <v>190</v>
      </c>
      <c r="F3853" s="32" t="s">
        <v>81</v>
      </c>
      <c r="G3853" s="32" t="s">
        <v>50</v>
      </c>
      <c r="H3853" s="33">
        <v>24530</v>
      </c>
      <c r="I3853" s="34">
        <f>Table3[[#This Row],[Volume, kg.]]/1000</f>
        <v>24.53</v>
      </c>
      <c r="J3853" s="34">
        <v>0.2266</v>
      </c>
      <c r="K3853" s="34">
        <f t="shared" si="120"/>
        <v>5558.4979999999996</v>
      </c>
      <c r="L3853" s="34">
        <v>2.25</v>
      </c>
      <c r="M3853" s="34">
        <v>55170</v>
      </c>
      <c r="N3853" s="34">
        <f t="shared" si="121"/>
        <v>9.9293909973521632</v>
      </c>
    </row>
    <row r="3854" spans="1:14" x14ac:dyDescent="0.45">
      <c r="A3854" s="30">
        <v>2024</v>
      </c>
      <c r="B3854" s="30" t="s">
        <v>15</v>
      </c>
      <c r="C3854" s="30" t="s">
        <v>46</v>
      </c>
      <c r="D3854" s="30" t="s">
        <v>47</v>
      </c>
      <c r="E3854" s="32" t="s">
        <v>498</v>
      </c>
      <c r="F3854" s="32" t="s">
        <v>49</v>
      </c>
      <c r="G3854" s="32" t="s">
        <v>50</v>
      </c>
      <c r="H3854" s="33">
        <v>13550</v>
      </c>
      <c r="I3854" s="34">
        <f>Table3[[#This Row],[Volume, kg.]]/1000</f>
        <v>13.55</v>
      </c>
      <c r="J3854" s="34">
        <v>0.19399999999999998</v>
      </c>
      <c r="K3854" s="34">
        <f t="shared" si="120"/>
        <v>2628.7</v>
      </c>
      <c r="L3854" s="34">
        <v>2</v>
      </c>
      <c r="M3854" s="34">
        <v>27100</v>
      </c>
      <c r="N3854" s="34">
        <f t="shared" si="121"/>
        <v>10.309278350515465</v>
      </c>
    </row>
    <row r="3855" spans="1:14" x14ac:dyDescent="0.45">
      <c r="A3855" s="30">
        <v>2024</v>
      </c>
      <c r="B3855" s="30" t="s">
        <v>15</v>
      </c>
      <c r="C3855" s="30" t="s">
        <v>46</v>
      </c>
      <c r="D3855" s="30" t="s">
        <v>47</v>
      </c>
      <c r="E3855" s="32" t="s">
        <v>319</v>
      </c>
      <c r="F3855" s="32" t="s">
        <v>81</v>
      </c>
      <c r="G3855" s="32" t="s">
        <v>50</v>
      </c>
      <c r="H3855" s="33">
        <v>90570</v>
      </c>
      <c r="I3855" s="34">
        <f>Table3[[#This Row],[Volume, kg.]]/1000</f>
        <v>90.57</v>
      </c>
      <c r="J3855" s="34">
        <v>0.2404</v>
      </c>
      <c r="K3855" s="34">
        <f t="shared" si="120"/>
        <v>21773.027999999998</v>
      </c>
      <c r="L3855" s="34">
        <v>2.31</v>
      </c>
      <c r="M3855" s="34">
        <v>208951</v>
      </c>
      <c r="N3855" s="34">
        <f t="shared" si="121"/>
        <v>9.6089850249584021</v>
      </c>
    </row>
    <row r="3856" spans="1:14" x14ac:dyDescent="0.45">
      <c r="A3856" s="30">
        <v>2024</v>
      </c>
      <c r="B3856" s="30" t="s">
        <v>15</v>
      </c>
      <c r="C3856" s="30" t="s">
        <v>46</v>
      </c>
      <c r="D3856" s="30" t="s">
        <v>47</v>
      </c>
      <c r="E3856" s="32" t="s">
        <v>77</v>
      </c>
      <c r="F3856" s="32" t="s">
        <v>49</v>
      </c>
      <c r="G3856" s="32" t="s">
        <v>50</v>
      </c>
      <c r="H3856" s="33">
        <v>33500</v>
      </c>
      <c r="I3856" s="34">
        <f>Table3[[#This Row],[Volume, kg.]]/1000</f>
        <v>33.5</v>
      </c>
      <c r="J3856" s="34">
        <v>0.21879999999999999</v>
      </c>
      <c r="K3856" s="34">
        <f t="shared" si="120"/>
        <v>7329.8</v>
      </c>
      <c r="L3856" s="34">
        <v>2.2000000000000002</v>
      </c>
      <c r="M3856" s="34">
        <v>73857</v>
      </c>
      <c r="N3856" s="34">
        <f t="shared" si="121"/>
        <v>10.054844606946984</v>
      </c>
    </row>
    <row r="3857" spans="1:14" x14ac:dyDescent="0.45">
      <c r="A3857" s="30">
        <v>2024</v>
      </c>
      <c r="B3857" s="30" t="s">
        <v>15</v>
      </c>
      <c r="C3857" s="30" t="s">
        <v>46</v>
      </c>
      <c r="D3857" s="30" t="s">
        <v>47</v>
      </c>
      <c r="E3857" s="32" t="s">
        <v>132</v>
      </c>
      <c r="F3857" s="32" t="s">
        <v>49</v>
      </c>
      <c r="G3857" s="32" t="s">
        <v>50</v>
      </c>
      <c r="H3857" s="33">
        <v>10780</v>
      </c>
      <c r="I3857" s="34">
        <f>Table3[[#This Row],[Volume, kg.]]/1000</f>
        <v>10.78</v>
      </c>
      <c r="J3857" s="34">
        <v>0.2162</v>
      </c>
      <c r="K3857" s="34">
        <f t="shared" si="120"/>
        <v>2330.636</v>
      </c>
      <c r="L3857" s="34">
        <v>2.1800000000000002</v>
      </c>
      <c r="M3857" s="34">
        <v>23474.5</v>
      </c>
      <c r="N3857" s="34">
        <f t="shared" si="121"/>
        <v>10.083256244218317</v>
      </c>
    </row>
    <row r="3858" spans="1:14" x14ac:dyDescent="0.45">
      <c r="A3858" s="30">
        <v>2024</v>
      </c>
      <c r="B3858" s="30" t="s">
        <v>15</v>
      </c>
      <c r="C3858" s="30" t="s">
        <v>46</v>
      </c>
      <c r="D3858" s="30" t="s">
        <v>47</v>
      </c>
      <c r="E3858" s="32" t="s">
        <v>466</v>
      </c>
      <c r="F3858" s="32" t="s">
        <v>57</v>
      </c>
      <c r="G3858" s="32" t="s">
        <v>50</v>
      </c>
      <c r="H3858" s="33">
        <v>87160</v>
      </c>
      <c r="I3858" s="34">
        <f>Table3[[#This Row],[Volume, kg.]]/1000</f>
        <v>87.16</v>
      </c>
      <c r="J3858" s="34">
        <v>0.22889999999999999</v>
      </c>
      <c r="K3858" s="34">
        <f t="shared" si="120"/>
        <v>19950.923999999999</v>
      </c>
      <c r="L3858" s="34">
        <v>2.25</v>
      </c>
      <c r="M3858" s="34">
        <v>196069.5</v>
      </c>
      <c r="N3858" s="34">
        <f t="shared" si="121"/>
        <v>9.8296199213630402</v>
      </c>
    </row>
    <row r="3859" spans="1:14" x14ac:dyDescent="0.45">
      <c r="A3859" s="30">
        <v>2024</v>
      </c>
      <c r="B3859" s="30" t="s">
        <v>15</v>
      </c>
      <c r="C3859" s="30" t="s">
        <v>46</v>
      </c>
      <c r="D3859" s="30" t="s">
        <v>47</v>
      </c>
      <c r="E3859" s="32" t="s">
        <v>263</v>
      </c>
      <c r="F3859" s="32" t="s">
        <v>81</v>
      </c>
      <c r="G3859" s="32" t="s">
        <v>50</v>
      </c>
      <c r="H3859" s="33">
        <v>153410</v>
      </c>
      <c r="I3859" s="34">
        <f>Table3[[#This Row],[Volume, kg.]]/1000</f>
        <v>153.41</v>
      </c>
      <c r="J3859" s="34">
        <v>0.2366</v>
      </c>
      <c r="K3859" s="34">
        <f t="shared" si="120"/>
        <v>36296.806000000004</v>
      </c>
      <c r="L3859" s="34">
        <v>2.2799999999999998</v>
      </c>
      <c r="M3859" s="34">
        <v>349943.5</v>
      </c>
      <c r="N3859" s="34">
        <f t="shared" si="121"/>
        <v>9.6365173288250201</v>
      </c>
    </row>
    <row r="3860" spans="1:14" x14ac:dyDescent="0.45">
      <c r="A3860" s="30">
        <v>2024</v>
      </c>
      <c r="B3860" s="30" t="s">
        <v>15</v>
      </c>
      <c r="C3860" s="30" t="s">
        <v>46</v>
      </c>
      <c r="D3860" s="30" t="s">
        <v>47</v>
      </c>
      <c r="E3860" s="32" t="s">
        <v>333</v>
      </c>
      <c r="F3860" s="32" t="s">
        <v>57</v>
      </c>
      <c r="G3860" s="32" t="s">
        <v>50</v>
      </c>
      <c r="H3860" s="33">
        <v>216150</v>
      </c>
      <c r="I3860" s="34">
        <f>Table3[[#This Row],[Volume, kg.]]/1000</f>
        <v>216.15</v>
      </c>
      <c r="J3860" s="34">
        <v>0.2427</v>
      </c>
      <c r="K3860" s="34">
        <f t="shared" si="120"/>
        <v>52459.605000000003</v>
      </c>
      <c r="L3860" s="34">
        <v>2.33</v>
      </c>
      <c r="M3860" s="34">
        <v>504013</v>
      </c>
      <c r="N3860" s="34">
        <f t="shared" si="121"/>
        <v>9.6003296250515042</v>
      </c>
    </row>
    <row r="3861" spans="1:14" x14ac:dyDescent="0.45">
      <c r="A3861" s="30">
        <v>2024</v>
      </c>
      <c r="B3861" s="30" t="s">
        <v>15</v>
      </c>
      <c r="C3861" s="30" t="s">
        <v>46</v>
      </c>
      <c r="D3861" s="30" t="s">
        <v>47</v>
      </c>
      <c r="E3861" s="32" t="s">
        <v>236</v>
      </c>
      <c r="F3861" s="32" t="s">
        <v>49</v>
      </c>
      <c r="G3861" s="32" t="s">
        <v>50</v>
      </c>
      <c r="H3861" s="33">
        <v>47800</v>
      </c>
      <c r="I3861" s="34">
        <f>Table3[[#This Row],[Volume, kg.]]/1000</f>
        <v>47.8</v>
      </c>
      <c r="J3861" s="34">
        <v>0.21890000000000001</v>
      </c>
      <c r="K3861" s="34">
        <f t="shared" si="120"/>
        <v>10463.42</v>
      </c>
      <c r="L3861" s="34">
        <v>2.2000000000000002</v>
      </c>
      <c r="M3861" s="34">
        <v>105342.5</v>
      </c>
      <c r="N3861" s="34">
        <f t="shared" si="121"/>
        <v>10.050251256281408</v>
      </c>
    </row>
    <row r="3862" spans="1:14" x14ac:dyDescent="0.45">
      <c r="A3862" s="30">
        <v>2024</v>
      </c>
      <c r="B3862" s="30" t="s">
        <v>15</v>
      </c>
      <c r="C3862" s="30" t="s">
        <v>46</v>
      </c>
      <c r="D3862" s="30" t="s">
        <v>47</v>
      </c>
      <c r="E3862" s="32" t="s">
        <v>111</v>
      </c>
      <c r="F3862" s="32" t="s">
        <v>60</v>
      </c>
      <c r="G3862" s="32" t="s">
        <v>50</v>
      </c>
      <c r="H3862" s="33">
        <v>16230</v>
      </c>
      <c r="I3862" s="34">
        <f>Table3[[#This Row],[Volume, kg.]]/1000</f>
        <v>16.23</v>
      </c>
      <c r="J3862" s="34">
        <v>0.24909999999999999</v>
      </c>
      <c r="K3862" s="34">
        <f t="shared" si="120"/>
        <v>4042.893</v>
      </c>
      <c r="L3862" s="34">
        <v>2.35</v>
      </c>
      <c r="M3862" s="34">
        <v>38140.5</v>
      </c>
      <c r="N3862" s="34">
        <f t="shared" si="121"/>
        <v>9.433962264150944</v>
      </c>
    </row>
    <row r="3863" spans="1:14" x14ac:dyDescent="0.45">
      <c r="A3863" s="30">
        <v>2024</v>
      </c>
      <c r="B3863" s="30" t="s">
        <v>15</v>
      </c>
      <c r="C3863" s="30" t="s">
        <v>46</v>
      </c>
      <c r="D3863" s="30" t="s">
        <v>47</v>
      </c>
      <c r="E3863" s="32" t="s">
        <v>59</v>
      </c>
      <c r="F3863" s="32" t="s">
        <v>60</v>
      </c>
      <c r="G3863" s="32" t="s">
        <v>50</v>
      </c>
      <c r="H3863" s="33">
        <v>61830</v>
      </c>
      <c r="I3863" s="34">
        <f>Table3[[#This Row],[Volume, kg.]]/1000</f>
        <v>61.83</v>
      </c>
      <c r="J3863" s="34">
        <v>0.23219999999999999</v>
      </c>
      <c r="K3863" s="34">
        <f t="shared" si="120"/>
        <v>14356.925999999999</v>
      </c>
      <c r="L3863" s="34">
        <v>2.31</v>
      </c>
      <c r="M3863" s="34">
        <v>143001.5</v>
      </c>
      <c r="N3863" s="34">
        <f t="shared" si="121"/>
        <v>9.9483204134366936</v>
      </c>
    </row>
    <row r="3864" spans="1:14" x14ac:dyDescent="0.45">
      <c r="A3864" s="30">
        <v>2024</v>
      </c>
      <c r="B3864" s="30" t="s">
        <v>15</v>
      </c>
      <c r="C3864" s="30" t="s">
        <v>46</v>
      </c>
      <c r="D3864" s="30" t="s">
        <v>47</v>
      </c>
      <c r="E3864" s="32" t="s">
        <v>313</v>
      </c>
      <c r="F3864" s="32" t="s">
        <v>60</v>
      </c>
      <c r="G3864" s="32" t="s">
        <v>50</v>
      </c>
      <c r="H3864" s="33">
        <v>107680</v>
      </c>
      <c r="I3864" s="34">
        <f>Table3[[#This Row],[Volume, kg.]]/1000</f>
        <v>107.68</v>
      </c>
      <c r="J3864" s="34">
        <v>0.2263</v>
      </c>
      <c r="K3864" s="34">
        <f t="shared" si="120"/>
        <v>24367.984</v>
      </c>
      <c r="L3864" s="34">
        <v>2.2400000000000002</v>
      </c>
      <c r="M3864" s="34">
        <v>241403</v>
      </c>
      <c r="N3864" s="34">
        <f t="shared" si="121"/>
        <v>9.8983650022094576</v>
      </c>
    </row>
    <row r="3865" spans="1:14" x14ac:dyDescent="0.45">
      <c r="A3865" s="30">
        <v>2024</v>
      </c>
      <c r="B3865" s="30" t="s">
        <v>15</v>
      </c>
      <c r="C3865" s="30" t="s">
        <v>46</v>
      </c>
      <c r="D3865" s="30" t="s">
        <v>47</v>
      </c>
      <c r="E3865" s="32" t="s">
        <v>438</v>
      </c>
      <c r="F3865" s="32" t="s">
        <v>57</v>
      </c>
      <c r="G3865" s="32" t="s">
        <v>50</v>
      </c>
      <c r="H3865" s="33">
        <v>17230</v>
      </c>
      <c r="I3865" s="34">
        <f>Table3[[#This Row],[Volume, kg.]]/1000</f>
        <v>17.23</v>
      </c>
      <c r="J3865" s="34">
        <v>0.17050000000000001</v>
      </c>
      <c r="K3865" s="34">
        <f t="shared" si="120"/>
        <v>2937.7150000000001</v>
      </c>
      <c r="L3865" s="34">
        <v>1.95</v>
      </c>
      <c r="M3865" s="34">
        <v>33598.5</v>
      </c>
      <c r="N3865" s="34">
        <f t="shared" si="121"/>
        <v>11.436950146627565</v>
      </c>
    </row>
    <row r="3866" spans="1:14" x14ac:dyDescent="0.45">
      <c r="A3866" s="30">
        <v>2024</v>
      </c>
      <c r="B3866" s="30" t="s">
        <v>15</v>
      </c>
      <c r="C3866" s="30" t="s">
        <v>46</v>
      </c>
      <c r="D3866" s="30" t="s">
        <v>47</v>
      </c>
      <c r="E3866" s="32" t="s">
        <v>288</v>
      </c>
      <c r="F3866" s="32" t="s">
        <v>49</v>
      </c>
      <c r="G3866" s="32" t="s">
        <v>50</v>
      </c>
      <c r="H3866" s="33">
        <v>155690</v>
      </c>
      <c r="I3866" s="34">
        <f>Table3[[#This Row],[Volume, kg.]]/1000</f>
        <v>155.69</v>
      </c>
      <c r="J3866" s="34">
        <v>0.2205</v>
      </c>
      <c r="K3866" s="34">
        <f t="shared" si="120"/>
        <v>34329.644999999997</v>
      </c>
      <c r="L3866" s="34">
        <v>2.2000000000000002</v>
      </c>
      <c r="M3866" s="34">
        <v>342738.5</v>
      </c>
      <c r="N3866" s="34">
        <f t="shared" si="121"/>
        <v>9.9773242630385504</v>
      </c>
    </row>
    <row r="3867" spans="1:14" x14ac:dyDescent="0.45">
      <c r="A3867" s="30">
        <v>2024</v>
      </c>
      <c r="B3867" s="30" t="s">
        <v>15</v>
      </c>
      <c r="C3867" s="30" t="s">
        <v>46</v>
      </c>
      <c r="D3867" s="30" t="s">
        <v>47</v>
      </c>
      <c r="E3867" s="32" t="s">
        <v>70</v>
      </c>
      <c r="F3867" s="32" t="s">
        <v>49</v>
      </c>
      <c r="G3867" s="32" t="s">
        <v>50</v>
      </c>
      <c r="H3867" s="33">
        <v>321510</v>
      </c>
      <c r="I3867" s="34">
        <f>Table3[[#This Row],[Volume, kg.]]/1000</f>
        <v>321.51</v>
      </c>
      <c r="J3867" s="34">
        <v>0.23449999999999999</v>
      </c>
      <c r="K3867" s="34">
        <f t="shared" si="120"/>
        <v>75394.095000000001</v>
      </c>
      <c r="L3867" s="34">
        <v>2.2599999999999998</v>
      </c>
      <c r="M3867" s="34">
        <v>726862.5</v>
      </c>
      <c r="N3867" s="34">
        <f t="shared" si="121"/>
        <v>9.637526652452026</v>
      </c>
    </row>
    <row r="3868" spans="1:14" x14ac:dyDescent="0.45">
      <c r="A3868" s="30">
        <v>2024</v>
      </c>
      <c r="B3868" s="30" t="s">
        <v>15</v>
      </c>
      <c r="C3868" s="30" t="s">
        <v>46</v>
      </c>
      <c r="D3868" s="30" t="s">
        <v>47</v>
      </c>
      <c r="E3868" s="32" t="s">
        <v>265</v>
      </c>
      <c r="F3868" s="32" t="s">
        <v>49</v>
      </c>
      <c r="G3868" s="32" t="s">
        <v>50</v>
      </c>
      <c r="H3868" s="33">
        <v>85590</v>
      </c>
      <c r="I3868" s="34">
        <f>Table3[[#This Row],[Volume, kg.]]/1000</f>
        <v>85.59</v>
      </c>
      <c r="J3868" s="34">
        <v>0.21539999999999998</v>
      </c>
      <c r="K3868" s="34">
        <f t="shared" si="120"/>
        <v>18436.085999999999</v>
      </c>
      <c r="L3868" s="34">
        <v>2.19</v>
      </c>
      <c r="M3868" s="34">
        <v>187094</v>
      </c>
      <c r="N3868" s="34">
        <f t="shared" si="121"/>
        <v>10.167130919220057</v>
      </c>
    </row>
    <row r="3869" spans="1:14" x14ac:dyDescent="0.45">
      <c r="A3869" s="30">
        <v>2024</v>
      </c>
      <c r="B3869" s="30" t="s">
        <v>15</v>
      </c>
      <c r="C3869" s="30" t="s">
        <v>46</v>
      </c>
      <c r="D3869" s="30" t="s">
        <v>47</v>
      </c>
      <c r="E3869" s="32" t="s">
        <v>467</v>
      </c>
      <c r="F3869" s="32" t="s">
        <v>57</v>
      </c>
      <c r="G3869" s="32" t="s">
        <v>50</v>
      </c>
      <c r="H3869" s="33">
        <v>58920</v>
      </c>
      <c r="I3869" s="34">
        <f>Table3[[#This Row],[Volume, kg.]]/1000</f>
        <v>58.92</v>
      </c>
      <c r="J3869" s="34">
        <v>0.24979999999999999</v>
      </c>
      <c r="K3869" s="34">
        <f t="shared" si="120"/>
        <v>14718.216</v>
      </c>
      <c r="L3869" s="34">
        <v>2.37</v>
      </c>
      <c r="M3869" s="34">
        <v>139615</v>
      </c>
      <c r="N3869" s="34">
        <f t="shared" si="121"/>
        <v>9.487590072057646</v>
      </c>
    </row>
    <row r="3870" spans="1:14" x14ac:dyDescent="0.45">
      <c r="A3870" s="30">
        <v>2024</v>
      </c>
      <c r="B3870" s="30" t="s">
        <v>15</v>
      </c>
      <c r="C3870" s="30" t="s">
        <v>46</v>
      </c>
      <c r="D3870" s="30" t="s">
        <v>47</v>
      </c>
      <c r="E3870" s="32" t="s">
        <v>192</v>
      </c>
      <c r="F3870" s="32" t="s">
        <v>49</v>
      </c>
      <c r="G3870" s="32" t="s">
        <v>50</v>
      </c>
      <c r="H3870" s="33">
        <v>16670</v>
      </c>
      <c r="I3870" s="34">
        <f>Table3[[#This Row],[Volume, kg.]]/1000</f>
        <v>16.670000000000002</v>
      </c>
      <c r="J3870" s="34">
        <v>0.2278</v>
      </c>
      <c r="K3870" s="34">
        <f t="shared" si="120"/>
        <v>3797.4259999999999</v>
      </c>
      <c r="L3870" s="34">
        <v>2.2599999999999998</v>
      </c>
      <c r="M3870" s="34">
        <v>37707</v>
      </c>
      <c r="N3870" s="34">
        <f t="shared" si="121"/>
        <v>9.920983318700614</v>
      </c>
    </row>
    <row r="3871" spans="1:14" x14ac:dyDescent="0.45">
      <c r="A3871" s="30">
        <v>2024</v>
      </c>
      <c r="B3871" s="30" t="s">
        <v>15</v>
      </c>
      <c r="C3871" s="30" t="s">
        <v>46</v>
      </c>
      <c r="D3871" s="30" t="s">
        <v>47</v>
      </c>
      <c r="E3871" s="32" t="s">
        <v>277</v>
      </c>
      <c r="F3871" s="32" t="s">
        <v>60</v>
      </c>
      <c r="G3871" s="32" t="s">
        <v>50</v>
      </c>
      <c r="H3871" s="33">
        <v>8950</v>
      </c>
      <c r="I3871" s="34">
        <f>Table3[[#This Row],[Volume, kg.]]/1000</f>
        <v>8.9499999999999993</v>
      </c>
      <c r="J3871" s="34">
        <v>0.251</v>
      </c>
      <c r="K3871" s="34">
        <f t="shared" si="120"/>
        <v>2246.4499999999998</v>
      </c>
      <c r="L3871" s="34">
        <v>2.35</v>
      </c>
      <c r="M3871" s="34">
        <v>21032.5</v>
      </c>
      <c r="N3871" s="34">
        <f t="shared" si="121"/>
        <v>9.3625498007968133</v>
      </c>
    </row>
    <row r="3872" spans="1:14" x14ac:dyDescent="0.45">
      <c r="A3872" s="30">
        <v>2024</v>
      </c>
      <c r="B3872" s="30" t="s">
        <v>15</v>
      </c>
      <c r="C3872" s="30" t="s">
        <v>46</v>
      </c>
      <c r="D3872" s="30" t="s">
        <v>47</v>
      </c>
      <c r="E3872" s="32" t="s">
        <v>324</v>
      </c>
      <c r="F3872" s="32" t="s">
        <v>81</v>
      </c>
      <c r="G3872" s="32" t="s">
        <v>50</v>
      </c>
      <c r="H3872" s="33">
        <v>74690</v>
      </c>
      <c r="I3872" s="34">
        <f>Table3[[#This Row],[Volume, kg.]]/1000</f>
        <v>74.69</v>
      </c>
      <c r="J3872" s="34">
        <v>0.22670000000000001</v>
      </c>
      <c r="K3872" s="34">
        <f t="shared" si="120"/>
        <v>16932.223000000002</v>
      </c>
      <c r="L3872" s="34">
        <v>2.2200000000000002</v>
      </c>
      <c r="M3872" s="34">
        <v>166013</v>
      </c>
      <c r="N3872" s="34">
        <f t="shared" si="121"/>
        <v>9.7926775474194976</v>
      </c>
    </row>
    <row r="3873" spans="1:14" x14ac:dyDescent="0.45">
      <c r="A3873" s="30">
        <v>2024</v>
      </c>
      <c r="B3873" s="30" t="s">
        <v>15</v>
      </c>
      <c r="C3873" s="30" t="s">
        <v>46</v>
      </c>
      <c r="D3873" s="30" t="s">
        <v>47</v>
      </c>
      <c r="E3873" s="32" t="s">
        <v>74</v>
      </c>
      <c r="F3873" s="32" t="s">
        <v>49</v>
      </c>
      <c r="G3873" s="32" t="s">
        <v>50</v>
      </c>
      <c r="H3873" s="33">
        <v>98070</v>
      </c>
      <c r="I3873" s="34">
        <f>Table3[[#This Row],[Volume, kg.]]/1000</f>
        <v>98.07</v>
      </c>
      <c r="J3873" s="34">
        <v>0.22120000000000001</v>
      </c>
      <c r="K3873" s="34">
        <f t="shared" si="120"/>
        <v>21693.084000000003</v>
      </c>
      <c r="L3873" s="34">
        <v>2.2200000000000002</v>
      </c>
      <c r="M3873" s="34">
        <v>218154</v>
      </c>
      <c r="N3873" s="34">
        <f t="shared" si="121"/>
        <v>10.036166365280289</v>
      </c>
    </row>
    <row r="3874" spans="1:14" x14ac:dyDescent="0.45">
      <c r="A3874" s="30">
        <v>2024</v>
      </c>
      <c r="B3874" s="30" t="s">
        <v>15</v>
      </c>
      <c r="C3874" s="30" t="s">
        <v>46</v>
      </c>
      <c r="D3874" s="30" t="s">
        <v>47</v>
      </c>
      <c r="E3874" s="32" t="s">
        <v>520</v>
      </c>
      <c r="F3874" s="32" t="s">
        <v>49</v>
      </c>
      <c r="G3874" s="32" t="s">
        <v>50</v>
      </c>
      <c r="H3874" s="33">
        <v>73040</v>
      </c>
      <c r="I3874" s="34">
        <f>Table3[[#This Row],[Volume, kg.]]/1000</f>
        <v>73.040000000000006</v>
      </c>
      <c r="J3874" s="34">
        <v>0.22889999999999999</v>
      </c>
      <c r="K3874" s="34">
        <f t="shared" si="120"/>
        <v>16718.856</v>
      </c>
      <c r="L3874" s="34">
        <v>2.2400000000000002</v>
      </c>
      <c r="M3874" s="34">
        <v>163969</v>
      </c>
      <c r="N3874" s="34">
        <f t="shared" si="121"/>
        <v>9.7859327217125394</v>
      </c>
    </row>
    <row r="3875" spans="1:14" x14ac:dyDescent="0.45">
      <c r="A3875" s="30">
        <v>2024</v>
      </c>
      <c r="B3875" s="30" t="s">
        <v>15</v>
      </c>
      <c r="C3875" s="30" t="s">
        <v>46</v>
      </c>
      <c r="D3875" s="30" t="s">
        <v>47</v>
      </c>
      <c r="E3875" s="32" t="s">
        <v>125</v>
      </c>
      <c r="F3875" s="32" t="s">
        <v>60</v>
      </c>
      <c r="G3875" s="32" t="s">
        <v>50</v>
      </c>
      <c r="H3875" s="33">
        <v>70370</v>
      </c>
      <c r="I3875" s="34">
        <f>Table3[[#This Row],[Volume, kg.]]/1000</f>
        <v>70.37</v>
      </c>
      <c r="J3875" s="34">
        <v>0.22600000000000001</v>
      </c>
      <c r="K3875" s="34">
        <f t="shared" si="120"/>
        <v>15903.62</v>
      </c>
      <c r="L3875" s="34">
        <v>2.23</v>
      </c>
      <c r="M3875" s="34">
        <v>157056.5</v>
      </c>
      <c r="N3875" s="34">
        <f t="shared" si="121"/>
        <v>9.8672566371681416</v>
      </c>
    </row>
    <row r="3876" spans="1:14" x14ac:dyDescent="0.45">
      <c r="A3876" s="30">
        <v>2024</v>
      </c>
      <c r="B3876" s="30" t="s">
        <v>15</v>
      </c>
      <c r="C3876" s="30" t="s">
        <v>46</v>
      </c>
      <c r="D3876" s="30" t="s">
        <v>47</v>
      </c>
      <c r="E3876" s="32" t="s">
        <v>390</v>
      </c>
      <c r="F3876" s="32" t="s">
        <v>60</v>
      </c>
      <c r="G3876" s="32" t="s">
        <v>50</v>
      </c>
      <c r="H3876" s="33">
        <v>52490</v>
      </c>
      <c r="I3876" s="34">
        <f>Table3[[#This Row],[Volume, kg.]]/1000</f>
        <v>52.49</v>
      </c>
      <c r="J3876" s="34">
        <v>0.2273</v>
      </c>
      <c r="K3876" s="34">
        <f t="shared" si="120"/>
        <v>11930.977000000001</v>
      </c>
      <c r="L3876" s="34">
        <v>2.23</v>
      </c>
      <c r="M3876" s="34">
        <v>117116.5</v>
      </c>
      <c r="N3876" s="34">
        <f t="shared" si="121"/>
        <v>9.8108227012758462</v>
      </c>
    </row>
    <row r="3877" spans="1:14" x14ac:dyDescent="0.45">
      <c r="A3877" s="30">
        <v>2024</v>
      </c>
      <c r="B3877" s="30" t="s">
        <v>15</v>
      </c>
      <c r="C3877" s="30" t="s">
        <v>46</v>
      </c>
      <c r="D3877" s="30" t="s">
        <v>47</v>
      </c>
      <c r="E3877" s="32" t="s">
        <v>144</v>
      </c>
      <c r="F3877" s="32" t="s">
        <v>49</v>
      </c>
      <c r="G3877" s="32" t="s">
        <v>50</v>
      </c>
      <c r="H3877" s="33">
        <v>149840</v>
      </c>
      <c r="I3877" s="34">
        <f>Table3[[#This Row],[Volume, kg.]]/1000</f>
        <v>149.84</v>
      </c>
      <c r="J3877" s="34">
        <v>0.218</v>
      </c>
      <c r="K3877" s="34">
        <f t="shared" si="120"/>
        <v>32665.119999999999</v>
      </c>
      <c r="L3877" s="34">
        <v>2.1800000000000002</v>
      </c>
      <c r="M3877" s="34">
        <v>326646.5</v>
      </c>
      <c r="N3877" s="34">
        <f t="shared" si="121"/>
        <v>10</v>
      </c>
    </row>
    <row r="3878" spans="1:14" x14ac:dyDescent="0.45">
      <c r="A3878" s="30">
        <v>2024</v>
      </c>
      <c r="B3878" s="30" t="s">
        <v>15</v>
      </c>
      <c r="C3878" s="30" t="s">
        <v>46</v>
      </c>
      <c r="D3878" s="30" t="s">
        <v>47</v>
      </c>
      <c r="E3878" s="32" t="s">
        <v>100</v>
      </c>
      <c r="F3878" s="32" t="s">
        <v>60</v>
      </c>
      <c r="G3878" s="32" t="s">
        <v>50</v>
      </c>
      <c r="H3878" s="33">
        <v>37520</v>
      </c>
      <c r="I3878" s="34">
        <f>Table3[[#This Row],[Volume, kg.]]/1000</f>
        <v>37.520000000000003</v>
      </c>
      <c r="J3878" s="34">
        <v>0.21210000000000001</v>
      </c>
      <c r="K3878" s="34">
        <f t="shared" si="120"/>
        <v>7957.9920000000002</v>
      </c>
      <c r="L3878" s="34">
        <v>2.2000000000000002</v>
      </c>
      <c r="M3878" s="34">
        <v>82658</v>
      </c>
      <c r="N3878" s="34">
        <f t="shared" si="121"/>
        <v>10.372465818010372</v>
      </c>
    </row>
    <row r="3879" spans="1:14" x14ac:dyDescent="0.45">
      <c r="A3879" s="30">
        <v>2024</v>
      </c>
      <c r="B3879" s="30" t="s">
        <v>15</v>
      </c>
      <c r="C3879" s="30" t="s">
        <v>46</v>
      </c>
      <c r="D3879" s="30" t="s">
        <v>47</v>
      </c>
      <c r="E3879" s="32" t="s">
        <v>269</v>
      </c>
      <c r="F3879" s="32" t="s">
        <v>60</v>
      </c>
      <c r="G3879" s="32" t="s">
        <v>50</v>
      </c>
      <c r="H3879" s="33">
        <v>34710</v>
      </c>
      <c r="I3879" s="34">
        <f>Table3[[#This Row],[Volume, kg.]]/1000</f>
        <v>34.71</v>
      </c>
      <c r="J3879" s="34">
        <v>0.2273</v>
      </c>
      <c r="K3879" s="34">
        <f t="shared" si="120"/>
        <v>7889.5829999999996</v>
      </c>
      <c r="L3879" s="34">
        <v>2.25</v>
      </c>
      <c r="M3879" s="34">
        <v>77940</v>
      </c>
      <c r="N3879" s="34">
        <f t="shared" si="121"/>
        <v>9.8988121425428943</v>
      </c>
    </row>
    <row r="3880" spans="1:14" x14ac:dyDescent="0.45">
      <c r="A3880" s="30">
        <v>2024</v>
      </c>
      <c r="B3880" s="30" t="s">
        <v>15</v>
      </c>
      <c r="C3880" s="30" t="s">
        <v>46</v>
      </c>
      <c r="D3880" s="30" t="s">
        <v>47</v>
      </c>
      <c r="E3880" s="32" t="s">
        <v>501</v>
      </c>
      <c r="F3880" s="32" t="s">
        <v>81</v>
      </c>
      <c r="G3880" s="32" t="s">
        <v>50</v>
      </c>
      <c r="H3880" s="33">
        <v>45190</v>
      </c>
      <c r="I3880" s="34">
        <f>Table3[[#This Row],[Volume, kg.]]/1000</f>
        <v>45.19</v>
      </c>
      <c r="J3880" s="34">
        <v>0.22719999999999999</v>
      </c>
      <c r="K3880" s="34">
        <f t="shared" si="120"/>
        <v>10267.168</v>
      </c>
      <c r="L3880" s="34">
        <v>2.23</v>
      </c>
      <c r="M3880" s="34">
        <v>100712.5</v>
      </c>
      <c r="N3880" s="34">
        <f t="shared" si="121"/>
        <v>9.8151408450704238</v>
      </c>
    </row>
    <row r="3881" spans="1:14" x14ac:dyDescent="0.45">
      <c r="A3881" s="30">
        <v>2024</v>
      </c>
      <c r="B3881" s="30" t="s">
        <v>15</v>
      </c>
      <c r="C3881" s="30" t="s">
        <v>46</v>
      </c>
      <c r="D3881" s="30" t="s">
        <v>47</v>
      </c>
      <c r="E3881" s="32" t="s">
        <v>469</v>
      </c>
      <c r="F3881" s="32" t="s">
        <v>57</v>
      </c>
      <c r="G3881" s="32" t="s">
        <v>50</v>
      </c>
      <c r="H3881" s="33">
        <v>23600</v>
      </c>
      <c r="I3881" s="34">
        <f>Table3[[#This Row],[Volume, kg.]]/1000</f>
        <v>23.6</v>
      </c>
      <c r="J3881" s="34">
        <v>0.2422</v>
      </c>
      <c r="K3881" s="34">
        <f t="shared" si="120"/>
        <v>5715.92</v>
      </c>
      <c r="L3881" s="34">
        <v>2.29</v>
      </c>
      <c r="M3881" s="34">
        <v>53998</v>
      </c>
      <c r="N3881" s="34">
        <f t="shared" si="121"/>
        <v>9.4549958711808433</v>
      </c>
    </row>
    <row r="3882" spans="1:14" x14ac:dyDescent="0.45">
      <c r="A3882" s="30">
        <v>2024</v>
      </c>
      <c r="B3882" s="30" t="s">
        <v>15</v>
      </c>
      <c r="C3882" s="30" t="s">
        <v>46</v>
      </c>
      <c r="D3882" s="30" t="s">
        <v>47</v>
      </c>
      <c r="E3882" s="32" t="s">
        <v>283</v>
      </c>
      <c r="F3882" s="32" t="s">
        <v>49</v>
      </c>
      <c r="G3882" s="32" t="s">
        <v>50</v>
      </c>
      <c r="H3882" s="33">
        <v>4490</v>
      </c>
      <c r="I3882" s="34">
        <f>Table3[[#This Row],[Volume, kg.]]/1000</f>
        <v>4.49</v>
      </c>
      <c r="J3882" s="34">
        <v>0.253</v>
      </c>
      <c r="K3882" s="34">
        <f t="shared" si="120"/>
        <v>1135.97</v>
      </c>
      <c r="L3882" s="34">
        <v>2.35</v>
      </c>
      <c r="M3882" s="34">
        <v>10551.5</v>
      </c>
      <c r="N3882" s="34">
        <f t="shared" si="121"/>
        <v>9.2885375494071152</v>
      </c>
    </row>
    <row r="3883" spans="1:14" x14ac:dyDescent="0.45">
      <c r="A3883" s="30">
        <v>2024</v>
      </c>
      <c r="B3883" s="30" t="s">
        <v>15</v>
      </c>
      <c r="C3883" s="30" t="s">
        <v>46</v>
      </c>
      <c r="D3883" s="30" t="s">
        <v>47</v>
      </c>
      <c r="E3883" s="32" t="s">
        <v>268</v>
      </c>
      <c r="F3883" s="32" t="s">
        <v>57</v>
      </c>
      <c r="G3883" s="32" t="s">
        <v>50</v>
      </c>
      <c r="H3883" s="33">
        <v>48580</v>
      </c>
      <c r="I3883" s="34">
        <f>Table3[[#This Row],[Volume, kg.]]/1000</f>
        <v>48.58</v>
      </c>
      <c r="J3883" s="34">
        <v>0.21379999999999999</v>
      </c>
      <c r="K3883" s="34">
        <f t="shared" si="120"/>
        <v>10386.403999999999</v>
      </c>
      <c r="L3883" s="34">
        <v>2.16</v>
      </c>
      <c r="M3883" s="34">
        <v>104997</v>
      </c>
      <c r="N3883" s="34">
        <f t="shared" si="121"/>
        <v>10.102899906454631</v>
      </c>
    </row>
    <row r="3884" spans="1:14" x14ac:dyDescent="0.45">
      <c r="A3884" s="30">
        <v>2024</v>
      </c>
      <c r="B3884" s="30" t="s">
        <v>15</v>
      </c>
      <c r="C3884" s="30" t="s">
        <v>46</v>
      </c>
      <c r="D3884" s="30" t="s">
        <v>47</v>
      </c>
      <c r="E3884" s="32" t="s">
        <v>147</v>
      </c>
      <c r="F3884" s="32" t="s">
        <v>57</v>
      </c>
      <c r="G3884" s="32" t="s">
        <v>50</v>
      </c>
      <c r="H3884" s="33">
        <v>81400</v>
      </c>
      <c r="I3884" s="34">
        <f>Table3[[#This Row],[Volume, kg.]]/1000</f>
        <v>81.400000000000006</v>
      </c>
      <c r="J3884" s="34">
        <v>0.2475</v>
      </c>
      <c r="K3884" s="34">
        <f t="shared" si="120"/>
        <v>20146.5</v>
      </c>
      <c r="L3884" s="34">
        <v>2.37</v>
      </c>
      <c r="M3884" s="34">
        <v>192913</v>
      </c>
      <c r="N3884" s="34">
        <f t="shared" si="121"/>
        <v>9.5757575757575761</v>
      </c>
    </row>
    <row r="3885" spans="1:14" x14ac:dyDescent="0.45">
      <c r="A3885" s="30">
        <v>2024</v>
      </c>
      <c r="B3885" s="30" t="s">
        <v>15</v>
      </c>
      <c r="C3885" s="30" t="s">
        <v>46</v>
      </c>
      <c r="D3885" s="30" t="s">
        <v>47</v>
      </c>
      <c r="E3885" s="32" t="s">
        <v>502</v>
      </c>
      <c r="F3885" s="32" t="s">
        <v>49</v>
      </c>
      <c r="G3885" s="32" t="s">
        <v>50</v>
      </c>
      <c r="H3885" s="33">
        <v>23880</v>
      </c>
      <c r="I3885" s="34">
        <f>Table3[[#This Row],[Volume, kg.]]/1000</f>
        <v>23.88</v>
      </c>
      <c r="J3885" s="34">
        <v>0.2195</v>
      </c>
      <c r="K3885" s="34">
        <f t="shared" si="120"/>
        <v>5241.66</v>
      </c>
      <c r="L3885" s="34">
        <v>2.16</v>
      </c>
      <c r="M3885" s="34">
        <v>51559.5</v>
      </c>
      <c r="N3885" s="34">
        <f t="shared" si="121"/>
        <v>9.8405466970387252</v>
      </c>
    </row>
    <row r="3886" spans="1:14" x14ac:dyDescent="0.45">
      <c r="A3886" s="30">
        <v>2024</v>
      </c>
      <c r="B3886" s="30" t="s">
        <v>15</v>
      </c>
      <c r="C3886" s="30" t="s">
        <v>46</v>
      </c>
      <c r="D3886" s="30" t="s">
        <v>47</v>
      </c>
      <c r="E3886" s="32" t="s">
        <v>210</v>
      </c>
      <c r="F3886" s="32" t="s">
        <v>60</v>
      </c>
      <c r="G3886" s="32" t="s">
        <v>50</v>
      </c>
      <c r="H3886" s="33">
        <v>110550</v>
      </c>
      <c r="I3886" s="34">
        <f>Table3[[#This Row],[Volume, kg.]]/1000</f>
        <v>110.55</v>
      </c>
      <c r="J3886" s="34">
        <v>0.2253</v>
      </c>
      <c r="K3886" s="34">
        <f t="shared" si="120"/>
        <v>24906.915000000001</v>
      </c>
      <c r="L3886" s="34">
        <v>2.2200000000000002</v>
      </c>
      <c r="M3886" s="34">
        <v>245685</v>
      </c>
      <c r="N3886" s="34">
        <f t="shared" si="121"/>
        <v>9.8535286284953401</v>
      </c>
    </row>
    <row r="3887" spans="1:14" x14ac:dyDescent="0.45">
      <c r="A3887" s="30">
        <v>2024</v>
      </c>
      <c r="B3887" s="30" t="s">
        <v>15</v>
      </c>
      <c r="C3887" s="30" t="s">
        <v>46</v>
      </c>
      <c r="D3887" s="30" t="s">
        <v>47</v>
      </c>
      <c r="E3887" s="32" t="s">
        <v>253</v>
      </c>
      <c r="F3887" s="32" t="s">
        <v>57</v>
      </c>
      <c r="G3887" s="32" t="s">
        <v>50</v>
      </c>
      <c r="H3887" s="33">
        <v>108130</v>
      </c>
      <c r="I3887" s="34">
        <f>Table3[[#This Row],[Volume, kg.]]/1000</f>
        <v>108.13</v>
      </c>
      <c r="J3887" s="34">
        <v>0.24299999999999999</v>
      </c>
      <c r="K3887" s="34">
        <f t="shared" si="120"/>
        <v>26275.59</v>
      </c>
      <c r="L3887" s="34">
        <v>2.33</v>
      </c>
      <c r="M3887" s="34">
        <v>252465.5</v>
      </c>
      <c r="N3887" s="34">
        <f t="shared" si="121"/>
        <v>9.5884773662551446</v>
      </c>
    </row>
    <row r="3888" spans="1:14" x14ac:dyDescent="0.45">
      <c r="A3888" s="30">
        <v>2024</v>
      </c>
      <c r="B3888" s="30" t="s">
        <v>15</v>
      </c>
      <c r="C3888" s="30" t="s">
        <v>46</v>
      </c>
      <c r="D3888" s="30" t="s">
        <v>47</v>
      </c>
      <c r="E3888" s="32" t="s">
        <v>667</v>
      </c>
      <c r="F3888" s="32" t="s">
        <v>60</v>
      </c>
      <c r="G3888" s="32" t="s">
        <v>50</v>
      </c>
      <c r="H3888" s="33">
        <v>83460</v>
      </c>
      <c r="I3888" s="34">
        <f>Table3[[#This Row],[Volume, kg.]]/1000</f>
        <v>83.46</v>
      </c>
      <c r="J3888" s="34">
        <v>0.2157</v>
      </c>
      <c r="K3888" s="34">
        <f t="shared" si="120"/>
        <v>18002.322</v>
      </c>
      <c r="L3888" s="34">
        <v>2.1800000000000002</v>
      </c>
      <c r="M3888" s="34">
        <v>181966.5</v>
      </c>
      <c r="N3888" s="34">
        <f t="shared" si="121"/>
        <v>10.106629578117756</v>
      </c>
    </row>
    <row r="3889" spans="1:14" x14ac:dyDescent="0.45">
      <c r="A3889" s="30">
        <v>2024</v>
      </c>
      <c r="B3889" s="30" t="s">
        <v>15</v>
      </c>
      <c r="C3889" s="30" t="s">
        <v>46</v>
      </c>
      <c r="D3889" s="30" t="s">
        <v>47</v>
      </c>
      <c r="E3889" s="32" t="s">
        <v>171</v>
      </c>
      <c r="F3889" s="32" t="s">
        <v>49</v>
      </c>
      <c r="G3889" s="32" t="s">
        <v>50</v>
      </c>
      <c r="H3889" s="33">
        <v>14430</v>
      </c>
      <c r="I3889" s="34">
        <f>Table3[[#This Row],[Volume, kg.]]/1000</f>
        <v>14.43</v>
      </c>
      <c r="J3889" s="34">
        <v>0.24309999999999998</v>
      </c>
      <c r="K3889" s="34">
        <f t="shared" si="120"/>
        <v>3507.9329999999995</v>
      </c>
      <c r="L3889" s="34">
        <v>2.2999999999999998</v>
      </c>
      <c r="M3889" s="34">
        <v>33144</v>
      </c>
      <c r="N3889" s="34">
        <f t="shared" si="121"/>
        <v>9.4611271081859325</v>
      </c>
    </row>
    <row r="3890" spans="1:14" x14ac:dyDescent="0.45">
      <c r="A3890" s="30">
        <v>2024</v>
      </c>
      <c r="B3890" s="30" t="s">
        <v>15</v>
      </c>
      <c r="C3890" s="30" t="s">
        <v>46</v>
      </c>
      <c r="D3890" s="30" t="s">
        <v>47</v>
      </c>
      <c r="E3890" s="32" t="s">
        <v>233</v>
      </c>
      <c r="F3890" s="32" t="s">
        <v>57</v>
      </c>
      <c r="G3890" s="32" t="s">
        <v>50</v>
      </c>
      <c r="H3890" s="33">
        <v>149240</v>
      </c>
      <c r="I3890" s="34">
        <f>Table3[[#This Row],[Volume, kg.]]/1000</f>
        <v>149.24</v>
      </c>
      <c r="J3890" s="34">
        <v>0.2382</v>
      </c>
      <c r="K3890" s="34">
        <f t="shared" si="120"/>
        <v>35548.968000000001</v>
      </c>
      <c r="L3890" s="34">
        <v>2.2999999999999998</v>
      </c>
      <c r="M3890" s="34">
        <v>342887</v>
      </c>
      <c r="N3890" s="34">
        <f t="shared" si="121"/>
        <v>9.6557514693534845</v>
      </c>
    </row>
    <row r="3891" spans="1:14" x14ac:dyDescent="0.45">
      <c r="A3891" s="30">
        <v>2024</v>
      </c>
      <c r="B3891" s="30" t="s">
        <v>15</v>
      </c>
      <c r="C3891" s="30" t="s">
        <v>46</v>
      </c>
      <c r="D3891" s="30" t="s">
        <v>47</v>
      </c>
      <c r="E3891" s="32" t="s">
        <v>56</v>
      </c>
      <c r="F3891" s="32" t="s">
        <v>57</v>
      </c>
      <c r="G3891" s="32" t="s">
        <v>50</v>
      </c>
      <c r="H3891" s="33">
        <v>36530</v>
      </c>
      <c r="I3891" s="34">
        <f>Table3[[#This Row],[Volume, kg.]]/1000</f>
        <v>36.53</v>
      </c>
      <c r="J3891" s="34">
        <v>0.21899999999999997</v>
      </c>
      <c r="K3891" s="34">
        <f t="shared" si="120"/>
        <v>8000.0699999999988</v>
      </c>
      <c r="L3891" s="34">
        <v>2.2000000000000002</v>
      </c>
      <c r="M3891" s="34">
        <v>80505.5</v>
      </c>
      <c r="N3891" s="34">
        <f t="shared" si="121"/>
        <v>10.045662100456623</v>
      </c>
    </row>
    <row r="3892" spans="1:14" x14ac:dyDescent="0.45">
      <c r="A3892" s="30">
        <v>2024</v>
      </c>
      <c r="B3892" s="30" t="s">
        <v>15</v>
      </c>
      <c r="C3892" s="30" t="s">
        <v>46</v>
      </c>
      <c r="D3892" s="30" t="s">
        <v>47</v>
      </c>
      <c r="E3892" s="32" t="s">
        <v>90</v>
      </c>
      <c r="F3892" s="32" t="s">
        <v>49</v>
      </c>
      <c r="G3892" s="32" t="s">
        <v>50</v>
      </c>
      <c r="H3892" s="33">
        <v>134930</v>
      </c>
      <c r="I3892" s="34">
        <f>Table3[[#This Row],[Volume, kg.]]/1000</f>
        <v>134.93</v>
      </c>
      <c r="J3892" s="34">
        <v>0.2291</v>
      </c>
      <c r="K3892" s="34">
        <f t="shared" si="120"/>
        <v>30912.463</v>
      </c>
      <c r="L3892" s="34">
        <v>2.27</v>
      </c>
      <c r="M3892" s="34">
        <v>305628</v>
      </c>
      <c r="N3892" s="34">
        <f t="shared" si="121"/>
        <v>9.9083369707551281</v>
      </c>
    </row>
    <row r="3893" spans="1:14" x14ac:dyDescent="0.45">
      <c r="A3893" s="30">
        <v>2024</v>
      </c>
      <c r="B3893" s="30" t="s">
        <v>15</v>
      </c>
      <c r="C3893" s="30" t="s">
        <v>46</v>
      </c>
      <c r="D3893" s="30" t="s">
        <v>47</v>
      </c>
      <c r="E3893" s="32" t="s">
        <v>275</v>
      </c>
      <c r="F3893" s="32" t="s">
        <v>54</v>
      </c>
      <c r="G3893" s="32" t="s">
        <v>50</v>
      </c>
      <c r="H3893" s="33">
        <v>152700</v>
      </c>
      <c r="I3893" s="34">
        <f>Table3[[#This Row],[Volume, kg.]]/1000</f>
        <v>152.69999999999999</v>
      </c>
      <c r="J3893" s="34">
        <v>0.21780000000000002</v>
      </c>
      <c r="K3893" s="34">
        <f t="shared" si="120"/>
        <v>33258.060000000005</v>
      </c>
      <c r="L3893" s="34">
        <v>2.21</v>
      </c>
      <c r="M3893" s="34">
        <v>337403.5</v>
      </c>
      <c r="N3893" s="34">
        <f t="shared" si="121"/>
        <v>10.146923783287418</v>
      </c>
    </row>
    <row r="3894" spans="1:14" x14ac:dyDescent="0.45">
      <c r="A3894" s="30">
        <v>2024</v>
      </c>
      <c r="B3894" s="30" t="s">
        <v>15</v>
      </c>
      <c r="C3894" s="30" t="s">
        <v>46</v>
      </c>
      <c r="D3894" s="30" t="s">
        <v>47</v>
      </c>
      <c r="E3894" s="32" t="s">
        <v>278</v>
      </c>
      <c r="F3894" s="32" t="s">
        <v>49</v>
      </c>
      <c r="G3894" s="32" t="s">
        <v>50</v>
      </c>
      <c r="H3894" s="33">
        <v>53420</v>
      </c>
      <c r="I3894" s="34">
        <f>Table3[[#This Row],[Volume, kg.]]/1000</f>
        <v>53.42</v>
      </c>
      <c r="J3894" s="34">
        <v>0.24879999999999999</v>
      </c>
      <c r="K3894" s="34">
        <f t="shared" si="120"/>
        <v>13290.895999999999</v>
      </c>
      <c r="L3894" s="34">
        <v>2.38</v>
      </c>
      <c r="M3894" s="34">
        <v>127335.5</v>
      </c>
      <c r="N3894" s="34">
        <f t="shared" si="121"/>
        <v>9.565916398713826</v>
      </c>
    </row>
    <row r="3895" spans="1:14" x14ac:dyDescent="0.45">
      <c r="A3895" s="30">
        <v>2024</v>
      </c>
      <c r="B3895" s="30" t="s">
        <v>15</v>
      </c>
      <c r="C3895" s="30" t="s">
        <v>46</v>
      </c>
      <c r="D3895" s="30" t="s">
        <v>47</v>
      </c>
      <c r="E3895" s="32" t="s">
        <v>88</v>
      </c>
      <c r="F3895" s="32" t="s">
        <v>49</v>
      </c>
      <c r="G3895" s="32" t="s">
        <v>50</v>
      </c>
      <c r="H3895" s="33">
        <v>21210</v>
      </c>
      <c r="I3895" s="34">
        <f>Table3[[#This Row],[Volume, kg.]]/1000</f>
        <v>21.21</v>
      </c>
      <c r="J3895" s="34">
        <v>0.21489999999999998</v>
      </c>
      <c r="K3895" s="34">
        <f t="shared" si="120"/>
        <v>4558.0289999999995</v>
      </c>
      <c r="L3895" s="34">
        <v>2.1800000000000002</v>
      </c>
      <c r="M3895" s="34">
        <v>46167.5</v>
      </c>
      <c r="N3895" s="34">
        <f t="shared" si="121"/>
        <v>10.144253140995813</v>
      </c>
    </row>
    <row r="3896" spans="1:14" x14ac:dyDescent="0.45">
      <c r="A3896" s="30">
        <v>2024</v>
      </c>
      <c r="B3896" s="30" t="s">
        <v>15</v>
      </c>
      <c r="C3896" s="30" t="s">
        <v>46</v>
      </c>
      <c r="D3896" s="30" t="s">
        <v>47</v>
      </c>
      <c r="E3896" s="32" t="s">
        <v>599</v>
      </c>
      <c r="F3896" s="32" t="s">
        <v>57</v>
      </c>
      <c r="G3896" s="32" t="s">
        <v>50</v>
      </c>
      <c r="H3896" s="33">
        <v>85810</v>
      </c>
      <c r="I3896" s="34">
        <f>Table3[[#This Row],[Volume, kg.]]/1000</f>
        <v>85.81</v>
      </c>
      <c r="J3896" s="34">
        <v>0.22769999999999999</v>
      </c>
      <c r="K3896" s="34">
        <f t="shared" si="120"/>
        <v>19538.936999999998</v>
      </c>
      <c r="L3896" s="34">
        <v>2.2799999999999998</v>
      </c>
      <c r="M3896" s="34">
        <v>195567</v>
      </c>
      <c r="N3896" s="34">
        <f t="shared" si="121"/>
        <v>10.013175230566535</v>
      </c>
    </row>
    <row r="3897" spans="1:14" x14ac:dyDescent="0.45">
      <c r="A3897" s="30">
        <v>2024</v>
      </c>
      <c r="B3897" s="30" t="s">
        <v>15</v>
      </c>
      <c r="C3897" s="30" t="s">
        <v>46</v>
      </c>
      <c r="D3897" s="30" t="s">
        <v>47</v>
      </c>
      <c r="E3897" s="32" t="s">
        <v>311</v>
      </c>
      <c r="F3897" s="32" t="s">
        <v>57</v>
      </c>
      <c r="G3897" s="32" t="s">
        <v>50</v>
      </c>
      <c r="H3897" s="33">
        <v>80910</v>
      </c>
      <c r="I3897" s="34">
        <f>Table3[[#This Row],[Volume, kg.]]/1000</f>
        <v>80.91</v>
      </c>
      <c r="J3897" s="34">
        <v>0.24679999999999999</v>
      </c>
      <c r="K3897" s="34">
        <f t="shared" si="120"/>
        <v>19968.588</v>
      </c>
      <c r="L3897" s="34">
        <v>2.33</v>
      </c>
      <c r="M3897" s="34">
        <v>188841</v>
      </c>
      <c r="N3897" s="34">
        <f t="shared" si="121"/>
        <v>9.4408427876823353</v>
      </c>
    </row>
    <row r="3898" spans="1:14" x14ac:dyDescent="0.45">
      <c r="A3898" s="30">
        <v>2024</v>
      </c>
      <c r="B3898" s="30" t="s">
        <v>15</v>
      </c>
      <c r="C3898" s="30" t="s">
        <v>46</v>
      </c>
      <c r="D3898" s="30" t="s">
        <v>47</v>
      </c>
      <c r="E3898" s="32" t="s">
        <v>361</v>
      </c>
      <c r="F3898" s="32" t="s">
        <v>57</v>
      </c>
      <c r="G3898" s="32" t="s">
        <v>50</v>
      </c>
      <c r="H3898" s="33">
        <v>39180</v>
      </c>
      <c r="I3898" s="34">
        <f>Table3[[#This Row],[Volume, kg.]]/1000</f>
        <v>39.18</v>
      </c>
      <c r="J3898" s="34">
        <v>0.24629999999999999</v>
      </c>
      <c r="K3898" s="34">
        <f t="shared" si="120"/>
        <v>9650.0339999999997</v>
      </c>
      <c r="L3898" s="34">
        <v>2.35</v>
      </c>
      <c r="M3898" s="34">
        <v>92257</v>
      </c>
      <c r="N3898" s="34">
        <f t="shared" si="121"/>
        <v>9.5412099066179454</v>
      </c>
    </row>
    <row r="3899" spans="1:14" x14ac:dyDescent="0.45">
      <c r="A3899" s="30">
        <v>2024</v>
      </c>
      <c r="B3899" s="30" t="s">
        <v>15</v>
      </c>
      <c r="C3899" s="30" t="s">
        <v>46</v>
      </c>
      <c r="D3899" s="30" t="s">
        <v>47</v>
      </c>
      <c r="E3899" s="32" t="s">
        <v>356</v>
      </c>
      <c r="F3899" s="32" t="s">
        <v>49</v>
      </c>
      <c r="G3899" s="32" t="s">
        <v>50</v>
      </c>
      <c r="H3899" s="33">
        <v>8410</v>
      </c>
      <c r="I3899" s="34">
        <f>Table3[[#This Row],[Volume, kg.]]/1000</f>
        <v>8.41</v>
      </c>
      <c r="J3899" s="34">
        <v>0.22570000000000001</v>
      </c>
      <c r="K3899" s="34">
        <f t="shared" si="120"/>
        <v>1898.1370000000002</v>
      </c>
      <c r="L3899" s="34">
        <v>2.23</v>
      </c>
      <c r="M3899" s="34">
        <v>18765.5</v>
      </c>
      <c r="N3899" s="34">
        <f t="shared" si="121"/>
        <v>9.8803721754541414</v>
      </c>
    </row>
    <row r="3900" spans="1:14" x14ac:dyDescent="0.45">
      <c r="A3900" s="30">
        <v>2024</v>
      </c>
      <c r="B3900" s="30" t="s">
        <v>15</v>
      </c>
      <c r="C3900" s="30" t="s">
        <v>46</v>
      </c>
      <c r="D3900" s="30" t="s">
        <v>47</v>
      </c>
      <c r="E3900" s="32" t="s">
        <v>637</v>
      </c>
      <c r="F3900" s="32" t="s">
        <v>60</v>
      </c>
      <c r="G3900" s="32" t="s">
        <v>50</v>
      </c>
      <c r="H3900" s="33">
        <v>56370</v>
      </c>
      <c r="I3900" s="34">
        <f>Table3[[#This Row],[Volume, kg.]]/1000</f>
        <v>56.37</v>
      </c>
      <c r="J3900" s="34">
        <v>0.22949999999999998</v>
      </c>
      <c r="K3900" s="34">
        <f t="shared" si="120"/>
        <v>12936.914999999999</v>
      </c>
      <c r="L3900" s="34">
        <v>2.2200000000000002</v>
      </c>
      <c r="M3900" s="34">
        <v>124936.5</v>
      </c>
      <c r="N3900" s="34">
        <f t="shared" si="121"/>
        <v>9.6732026143790861</v>
      </c>
    </row>
    <row r="3901" spans="1:14" x14ac:dyDescent="0.45">
      <c r="A3901" s="30">
        <v>2024</v>
      </c>
      <c r="B3901" s="30" t="s">
        <v>15</v>
      </c>
      <c r="C3901" s="30" t="s">
        <v>46</v>
      </c>
      <c r="D3901" s="30" t="s">
        <v>47</v>
      </c>
      <c r="E3901" s="32" t="s">
        <v>573</v>
      </c>
      <c r="F3901" s="32" t="s">
        <v>49</v>
      </c>
      <c r="G3901" s="32" t="s">
        <v>50</v>
      </c>
      <c r="H3901" s="33">
        <v>10450</v>
      </c>
      <c r="I3901" s="34">
        <f>Table3[[#This Row],[Volume, kg.]]/1000</f>
        <v>10.45</v>
      </c>
      <c r="J3901" s="34">
        <v>0.20800000000000002</v>
      </c>
      <c r="K3901" s="34">
        <f t="shared" si="120"/>
        <v>2173.6000000000004</v>
      </c>
      <c r="L3901" s="34">
        <v>2.15</v>
      </c>
      <c r="M3901" s="34">
        <v>22467.5</v>
      </c>
      <c r="N3901" s="34">
        <f t="shared" si="121"/>
        <v>10.33653846153846</v>
      </c>
    </row>
    <row r="3902" spans="1:14" x14ac:dyDescent="0.45">
      <c r="A3902" s="30">
        <v>2024</v>
      </c>
      <c r="B3902" s="30" t="s">
        <v>15</v>
      </c>
      <c r="C3902" s="30" t="s">
        <v>46</v>
      </c>
      <c r="D3902" s="30" t="s">
        <v>47</v>
      </c>
      <c r="E3902" s="32" t="s">
        <v>153</v>
      </c>
      <c r="F3902" s="32" t="s">
        <v>57</v>
      </c>
      <c r="G3902" s="32" t="s">
        <v>50</v>
      </c>
      <c r="H3902" s="33">
        <v>51910</v>
      </c>
      <c r="I3902" s="34">
        <f>Table3[[#This Row],[Volume, kg.]]/1000</f>
        <v>51.91</v>
      </c>
      <c r="J3902" s="34">
        <v>0.2208</v>
      </c>
      <c r="K3902" s="34">
        <f t="shared" si="120"/>
        <v>11461.727999999999</v>
      </c>
      <c r="L3902" s="34">
        <v>2.2000000000000002</v>
      </c>
      <c r="M3902" s="34">
        <v>114123.5</v>
      </c>
      <c r="N3902" s="34">
        <f t="shared" si="121"/>
        <v>9.9637681159420293</v>
      </c>
    </row>
    <row r="3903" spans="1:14" x14ac:dyDescent="0.45">
      <c r="A3903" s="30">
        <v>2024</v>
      </c>
      <c r="B3903" s="30" t="s">
        <v>15</v>
      </c>
      <c r="C3903" s="30" t="s">
        <v>46</v>
      </c>
      <c r="D3903" s="30" t="s">
        <v>47</v>
      </c>
      <c r="E3903" s="32" t="s">
        <v>545</v>
      </c>
      <c r="F3903" s="32" t="s">
        <v>54</v>
      </c>
      <c r="G3903" s="32" t="s">
        <v>50</v>
      </c>
      <c r="H3903" s="33">
        <v>111890</v>
      </c>
      <c r="I3903" s="34">
        <f>Table3[[#This Row],[Volume, kg.]]/1000</f>
        <v>111.89</v>
      </c>
      <c r="J3903" s="34">
        <v>0.2389</v>
      </c>
      <c r="K3903" s="34">
        <f t="shared" si="120"/>
        <v>26730.521000000001</v>
      </c>
      <c r="L3903" s="34">
        <v>2.33</v>
      </c>
      <c r="M3903" s="34">
        <v>260214</v>
      </c>
      <c r="N3903" s="34">
        <f t="shared" si="121"/>
        <v>9.7530347425701134</v>
      </c>
    </row>
    <row r="3904" spans="1:14" x14ac:dyDescent="0.45">
      <c r="A3904" s="30">
        <v>2024</v>
      </c>
      <c r="B3904" s="30" t="s">
        <v>15</v>
      </c>
      <c r="C3904" s="30" t="s">
        <v>46</v>
      </c>
      <c r="D3904" s="30" t="s">
        <v>47</v>
      </c>
      <c r="E3904" s="32" t="s">
        <v>346</v>
      </c>
      <c r="F3904" s="32" t="s">
        <v>49</v>
      </c>
      <c r="G3904" s="32" t="s">
        <v>50</v>
      </c>
      <c r="H3904" s="33">
        <v>48000</v>
      </c>
      <c r="I3904" s="34">
        <f>Table3[[#This Row],[Volume, kg.]]/1000</f>
        <v>48</v>
      </c>
      <c r="J3904" s="34">
        <v>0.23649999999999999</v>
      </c>
      <c r="K3904" s="34">
        <f t="shared" si="120"/>
        <v>11352</v>
      </c>
      <c r="L3904" s="34">
        <v>2.31</v>
      </c>
      <c r="M3904" s="34">
        <v>110820</v>
      </c>
      <c r="N3904" s="34">
        <f t="shared" si="121"/>
        <v>9.7674418604651176</v>
      </c>
    </row>
    <row r="3905" spans="1:14" x14ac:dyDescent="0.45">
      <c r="A3905" s="30">
        <v>2024</v>
      </c>
      <c r="B3905" s="30" t="s">
        <v>15</v>
      </c>
      <c r="C3905" s="30" t="s">
        <v>46</v>
      </c>
      <c r="D3905" s="30" t="s">
        <v>47</v>
      </c>
      <c r="E3905" s="32" t="s">
        <v>504</v>
      </c>
      <c r="F3905" s="32" t="s">
        <v>60</v>
      </c>
      <c r="G3905" s="32" t="s">
        <v>50</v>
      </c>
      <c r="H3905" s="33">
        <v>85470</v>
      </c>
      <c r="I3905" s="34">
        <f>Table3[[#This Row],[Volume, kg.]]/1000</f>
        <v>85.47</v>
      </c>
      <c r="J3905" s="34">
        <v>0.24179999999999999</v>
      </c>
      <c r="K3905" s="34">
        <f t="shared" si="120"/>
        <v>20666.646000000001</v>
      </c>
      <c r="L3905" s="34">
        <v>2.31</v>
      </c>
      <c r="M3905" s="34">
        <v>197645</v>
      </c>
      <c r="N3905" s="34">
        <f t="shared" si="121"/>
        <v>9.5533498759305218</v>
      </c>
    </row>
    <row r="3906" spans="1:14" x14ac:dyDescent="0.45">
      <c r="A3906" s="30">
        <v>2024</v>
      </c>
      <c r="B3906" s="30" t="s">
        <v>15</v>
      </c>
      <c r="C3906" s="30" t="s">
        <v>46</v>
      </c>
      <c r="D3906" s="30" t="s">
        <v>47</v>
      </c>
      <c r="E3906" s="32" t="s">
        <v>225</v>
      </c>
      <c r="F3906" s="32" t="s">
        <v>64</v>
      </c>
      <c r="G3906" s="32" t="s">
        <v>50</v>
      </c>
      <c r="H3906" s="33">
        <v>48380</v>
      </c>
      <c r="I3906" s="34">
        <f>Table3[[#This Row],[Volume, kg.]]/1000</f>
        <v>48.38</v>
      </c>
      <c r="J3906" s="34">
        <v>0.24210000000000001</v>
      </c>
      <c r="K3906" s="34">
        <f t="shared" si="120"/>
        <v>11712.798000000001</v>
      </c>
      <c r="L3906" s="34">
        <v>2.37</v>
      </c>
      <c r="M3906" s="34">
        <v>114698</v>
      </c>
      <c r="N3906" s="34">
        <f t="shared" si="121"/>
        <v>9.7893432465923169</v>
      </c>
    </row>
    <row r="3907" spans="1:14" x14ac:dyDescent="0.45">
      <c r="A3907" s="30">
        <v>2024</v>
      </c>
      <c r="B3907" s="30" t="s">
        <v>15</v>
      </c>
      <c r="C3907" s="30" t="s">
        <v>46</v>
      </c>
      <c r="D3907" s="30" t="s">
        <v>47</v>
      </c>
      <c r="E3907" s="32" t="s">
        <v>200</v>
      </c>
      <c r="F3907" s="32" t="s">
        <v>64</v>
      </c>
      <c r="G3907" s="32" t="s">
        <v>50</v>
      </c>
      <c r="H3907" s="33">
        <v>97000</v>
      </c>
      <c r="I3907" s="34">
        <f>Table3[[#This Row],[Volume, kg.]]/1000</f>
        <v>97</v>
      </c>
      <c r="J3907" s="34">
        <v>0.23899999999999999</v>
      </c>
      <c r="K3907" s="34">
        <f t="shared" ref="K3907:K3970" si="122">H3907*J3907</f>
        <v>23183</v>
      </c>
      <c r="L3907" s="34">
        <v>2.3199999999999998</v>
      </c>
      <c r="M3907" s="34">
        <v>225238</v>
      </c>
      <c r="N3907" s="34">
        <f t="shared" si="121"/>
        <v>9.7071129707112966</v>
      </c>
    </row>
    <row r="3908" spans="1:14" x14ac:dyDescent="0.45">
      <c r="A3908" s="30">
        <v>2024</v>
      </c>
      <c r="B3908" s="30" t="s">
        <v>15</v>
      </c>
      <c r="C3908" s="30" t="s">
        <v>46</v>
      </c>
      <c r="D3908" s="30" t="s">
        <v>47</v>
      </c>
      <c r="E3908" s="32" t="s">
        <v>304</v>
      </c>
      <c r="F3908" s="32" t="s">
        <v>64</v>
      </c>
      <c r="G3908" s="32" t="s">
        <v>50</v>
      </c>
      <c r="H3908" s="33">
        <v>27970</v>
      </c>
      <c r="I3908" s="34">
        <f>Table3[[#This Row],[Volume, kg.]]/1000</f>
        <v>27.97</v>
      </c>
      <c r="J3908" s="34">
        <v>0.21050000000000002</v>
      </c>
      <c r="K3908" s="34">
        <f t="shared" si="122"/>
        <v>5887.6850000000004</v>
      </c>
      <c r="L3908" s="34">
        <v>2.2000000000000002</v>
      </c>
      <c r="M3908" s="34">
        <v>61630.5</v>
      </c>
      <c r="N3908" s="34">
        <f t="shared" ref="N3908:N3971" si="123">L3908/J3908</f>
        <v>10.451306413301662</v>
      </c>
    </row>
    <row r="3909" spans="1:14" x14ac:dyDescent="0.45">
      <c r="A3909" s="30">
        <v>2024</v>
      </c>
      <c r="B3909" s="30" t="s">
        <v>15</v>
      </c>
      <c r="C3909" s="30" t="s">
        <v>46</v>
      </c>
      <c r="D3909" s="30" t="s">
        <v>47</v>
      </c>
      <c r="E3909" s="32" t="s">
        <v>306</v>
      </c>
      <c r="F3909" s="32" t="s">
        <v>60</v>
      </c>
      <c r="G3909" s="32" t="s">
        <v>50</v>
      </c>
      <c r="H3909" s="33">
        <v>10610</v>
      </c>
      <c r="I3909" s="34">
        <f>Table3[[#This Row],[Volume, kg.]]/1000</f>
        <v>10.61</v>
      </c>
      <c r="J3909" s="34">
        <v>0.2369</v>
      </c>
      <c r="K3909" s="34">
        <f t="shared" si="122"/>
        <v>2513.509</v>
      </c>
      <c r="L3909" s="34">
        <v>2.2799999999999998</v>
      </c>
      <c r="M3909" s="34">
        <v>24204.5</v>
      </c>
      <c r="N3909" s="34">
        <f t="shared" si="123"/>
        <v>9.62431405656395</v>
      </c>
    </row>
    <row r="3910" spans="1:14" x14ac:dyDescent="0.45">
      <c r="A3910" s="30">
        <v>2024</v>
      </c>
      <c r="B3910" s="30" t="s">
        <v>15</v>
      </c>
      <c r="C3910" s="30" t="s">
        <v>46</v>
      </c>
      <c r="D3910" s="30" t="s">
        <v>47</v>
      </c>
      <c r="E3910" s="32" t="s">
        <v>458</v>
      </c>
      <c r="F3910" s="32" t="s">
        <v>60</v>
      </c>
      <c r="G3910" s="32" t="s">
        <v>50</v>
      </c>
      <c r="H3910" s="33">
        <v>7030</v>
      </c>
      <c r="I3910" s="34">
        <f>Table3[[#This Row],[Volume, kg.]]/1000</f>
        <v>7.03</v>
      </c>
      <c r="J3910" s="34">
        <v>0.22600000000000001</v>
      </c>
      <c r="K3910" s="34">
        <f t="shared" si="122"/>
        <v>1588.78</v>
      </c>
      <c r="L3910" s="34">
        <v>2.25</v>
      </c>
      <c r="M3910" s="34">
        <v>15817.5</v>
      </c>
      <c r="N3910" s="34">
        <f t="shared" si="123"/>
        <v>9.9557522123893811</v>
      </c>
    </row>
    <row r="3911" spans="1:14" x14ac:dyDescent="0.45">
      <c r="A3911" s="30">
        <v>2024</v>
      </c>
      <c r="B3911" s="30" t="s">
        <v>15</v>
      </c>
      <c r="C3911" s="30" t="s">
        <v>46</v>
      </c>
      <c r="D3911" s="30" t="s">
        <v>47</v>
      </c>
      <c r="E3911" s="32" t="s">
        <v>197</v>
      </c>
      <c r="F3911" s="32" t="s">
        <v>57</v>
      </c>
      <c r="G3911" s="32" t="s">
        <v>50</v>
      </c>
      <c r="H3911" s="33">
        <v>256890</v>
      </c>
      <c r="I3911" s="34">
        <f>Table3[[#This Row],[Volume, kg.]]/1000</f>
        <v>256.89</v>
      </c>
      <c r="J3911" s="34">
        <v>0.24579999999999999</v>
      </c>
      <c r="K3911" s="34">
        <f t="shared" si="122"/>
        <v>63143.561999999998</v>
      </c>
      <c r="L3911" s="34">
        <v>2.33</v>
      </c>
      <c r="M3911" s="34">
        <v>598436</v>
      </c>
      <c r="N3911" s="34">
        <f t="shared" si="123"/>
        <v>9.4792514239218892</v>
      </c>
    </row>
    <row r="3912" spans="1:14" x14ac:dyDescent="0.45">
      <c r="A3912" s="30">
        <v>2024</v>
      </c>
      <c r="B3912" s="30" t="s">
        <v>15</v>
      </c>
      <c r="C3912" s="30" t="s">
        <v>46</v>
      </c>
      <c r="D3912" s="30" t="s">
        <v>47</v>
      </c>
      <c r="E3912" s="32" t="s">
        <v>177</v>
      </c>
      <c r="F3912" s="32" t="s">
        <v>49</v>
      </c>
      <c r="G3912" s="32" t="s">
        <v>50</v>
      </c>
      <c r="H3912" s="33">
        <v>143320</v>
      </c>
      <c r="I3912" s="34">
        <f>Table3[[#This Row],[Volume, kg.]]/1000</f>
        <v>143.32</v>
      </c>
      <c r="J3912" s="34">
        <v>0.21969999999999998</v>
      </c>
      <c r="K3912" s="34">
        <f t="shared" si="122"/>
        <v>31487.403999999999</v>
      </c>
      <c r="L3912" s="34">
        <v>2.1800000000000002</v>
      </c>
      <c r="M3912" s="34">
        <v>312047.5</v>
      </c>
      <c r="N3912" s="34">
        <f t="shared" si="123"/>
        <v>9.922621756941286</v>
      </c>
    </row>
    <row r="3913" spans="1:14" x14ac:dyDescent="0.45">
      <c r="A3913" s="30">
        <v>2024</v>
      </c>
      <c r="B3913" s="30" t="s">
        <v>15</v>
      </c>
      <c r="C3913" s="30" t="s">
        <v>46</v>
      </c>
      <c r="D3913" s="30" t="s">
        <v>47</v>
      </c>
      <c r="E3913" s="32" t="s">
        <v>206</v>
      </c>
      <c r="F3913" s="32" t="s">
        <v>81</v>
      </c>
      <c r="G3913" s="32" t="s">
        <v>50</v>
      </c>
      <c r="H3913" s="33">
        <v>205290</v>
      </c>
      <c r="I3913" s="34">
        <f>Table3[[#This Row],[Volume, kg.]]/1000</f>
        <v>205.29</v>
      </c>
      <c r="J3913" s="34">
        <v>0.23749999999999999</v>
      </c>
      <c r="K3913" s="34">
        <f t="shared" si="122"/>
        <v>48756.375</v>
      </c>
      <c r="L3913" s="34">
        <v>2.31</v>
      </c>
      <c r="M3913" s="34">
        <v>473657.5</v>
      </c>
      <c r="N3913" s="34">
        <f t="shared" si="123"/>
        <v>9.7263157894736842</v>
      </c>
    </row>
    <row r="3914" spans="1:14" x14ac:dyDescent="0.45">
      <c r="A3914" s="30">
        <v>2024</v>
      </c>
      <c r="B3914" s="30" t="s">
        <v>15</v>
      </c>
      <c r="C3914" s="30" t="s">
        <v>46</v>
      </c>
      <c r="D3914" s="30" t="s">
        <v>47</v>
      </c>
      <c r="E3914" s="32" t="s">
        <v>350</v>
      </c>
      <c r="F3914" s="32" t="s">
        <v>49</v>
      </c>
      <c r="G3914" s="32" t="s">
        <v>50</v>
      </c>
      <c r="H3914" s="33">
        <v>103430</v>
      </c>
      <c r="I3914" s="34">
        <f>Table3[[#This Row],[Volume, kg.]]/1000</f>
        <v>103.43</v>
      </c>
      <c r="J3914" s="34">
        <v>0.23180000000000001</v>
      </c>
      <c r="K3914" s="34">
        <f t="shared" si="122"/>
        <v>23975.074000000001</v>
      </c>
      <c r="L3914" s="34">
        <v>2.2799999999999998</v>
      </c>
      <c r="M3914" s="34">
        <v>235318.5</v>
      </c>
      <c r="N3914" s="34">
        <f t="shared" si="123"/>
        <v>9.8360655737704903</v>
      </c>
    </row>
    <row r="3915" spans="1:14" x14ac:dyDescent="0.45">
      <c r="A3915" s="30">
        <v>2024</v>
      </c>
      <c r="B3915" s="30" t="s">
        <v>15</v>
      </c>
      <c r="C3915" s="30" t="s">
        <v>46</v>
      </c>
      <c r="D3915" s="30" t="s">
        <v>47</v>
      </c>
      <c r="E3915" s="32" t="s">
        <v>610</v>
      </c>
      <c r="F3915" s="32" t="s">
        <v>238</v>
      </c>
      <c r="G3915" s="32" t="s">
        <v>50</v>
      </c>
      <c r="H3915" s="33">
        <v>50170</v>
      </c>
      <c r="I3915" s="34">
        <f>Table3[[#This Row],[Volume, kg.]]/1000</f>
        <v>50.17</v>
      </c>
      <c r="J3915" s="34">
        <v>0.21489999999999998</v>
      </c>
      <c r="K3915" s="34">
        <f t="shared" si="122"/>
        <v>10781.532999999999</v>
      </c>
      <c r="L3915" s="34">
        <v>2.19</v>
      </c>
      <c r="M3915" s="34">
        <v>109717</v>
      </c>
      <c r="N3915" s="34">
        <f t="shared" si="123"/>
        <v>10.190786412284785</v>
      </c>
    </row>
    <row r="3916" spans="1:14" x14ac:dyDescent="0.45">
      <c r="A3916" s="30">
        <v>2024</v>
      </c>
      <c r="B3916" s="30" t="s">
        <v>15</v>
      </c>
      <c r="C3916" s="30" t="s">
        <v>46</v>
      </c>
      <c r="D3916" s="30" t="s">
        <v>47</v>
      </c>
      <c r="E3916" s="32" t="s">
        <v>395</v>
      </c>
      <c r="F3916" s="32" t="s">
        <v>81</v>
      </c>
      <c r="G3916" s="32" t="s">
        <v>50</v>
      </c>
      <c r="H3916" s="33">
        <v>184240</v>
      </c>
      <c r="I3916" s="34">
        <f>Table3[[#This Row],[Volume, kg.]]/1000</f>
        <v>184.24</v>
      </c>
      <c r="J3916" s="34">
        <v>0.249</v>
      </c>
      <c r="K3916" s="34">
        <f t="shared" si="122"/>
        <v>45875.76</v>
      </c>
      <c r="L3916" s="34">
        <v>2.35</v>
      </c>
      <c r="M3916" s="34">
        <v>432501</v>
      </c>
      <c r="N3916" s="34">
        <f t="shared" si="123"/>
        <v>9.4377510040160644</v>
      </c>
    </row>
    <row r="3917" spans="1:14" x14ac:dyDescent="0.45">
      <c r="A3917" s="30">
        <v>2024</v>
      </c>
      <c r="B3917" s="30" t="s">
        <v>15</v>
      </c>
      <c r="C3917" s="30" t="s">
        <v>46</v>
      </c>
      <c r="D3917" s="30" t="s">
        <v>47</v>
      </c>
      <c r="E3917" s="32" t="s">
        <v>548</v>
      </c>
      <c r="F3917" s="32" t="s">
        <v>49</v>
      </c>
      <c r="G3917" s="32" t="s">
        <v>50</v>
      </c>
      <c r="H3917" s="33">
        <v>66950</v>
      </c>
      <c r="I3917" s="34">
        <f>Table3[[#This Row],[Volume, kg.]]/1000</f>
        <v>66.95</v>
      </c>
      <c r="J3917" s="34">
        <v>0.21199999999999999</v>
      </c>
      <c r="K3917" s="34">
        <f t="shared" si="122"/>
        <v>14193.4</v>
      </c>
      <c r="L3917" s="34">
        <v>2.2000000000000002</v>
      </c>
      <c r="M3917" s="34">
        <v>147426.5</v>
      </c>
      <c r="N3917" s="34">
        <f t="shared" si="123"/>
        <v>10.377358490566039</v>
      </c>
    </row>
    <row r="3918" spans="1:14" x14ac:dyDescent="0.45">
      <c r="A3918" s="30">
        <v>2024</v>
      </c>
      <c r="B3918" s="30" t="s">
        <v>15</v>
      </c>
      <c r="C3918" s="30" t="s">
        <v>46</v>
      </c>
      <c r="D3918" s="30" t="s">
        <v>47</v>
      </c>
      <c r="E3918" s="32" t="s">
        <v>342</v>
      </c>
      <c r="F3918" s="32" t="s">
        <v>81</v>
      </c>
      <c r="G3918" s="32" t="s">
        <v>50</v>
      </c>
      <c r="H3918" s="33">
        <v>63120</v>
      </c>
      <c r="I3918" s="34">
        <f>Table3[[#This Row],[Volume, kg.]]/1000</f>
        <v>63.12</v>
      </c>
      <c r="J3918" s="34">
        <v>0.23989999999999997</v>
      </c>
      <c r="K3918" s="34">
        <f t="shared" si="122"/>
        <v>15142.487999999998</v>
      </c>
      <c r="L3918" s="34">
        <v>2.3199999999999998</v>
      </c>
      <c r="M3918" s="34">
        <v>146482</v>
      </c>
      <c r="N3918" s="34">
        <f t="shared" si="123"/>
        <v>9.6706961233847437</v>
      </c>
    </row>
    <row r="3919" spans="1:14" x14ac:dyDescent="0.45">
      <c r="A3919" s="30">
        <v>2024</v>
      </c>
      <c r="B3919" s="30" t="s">
        <v>15</v>
      </c>
      <c r="C3919" s="30" t="s">
        <v>46</v>
      </c>
      <c r="D3919" s="30" t="s">
        <v>47</v>
      </c>
      <c r="E3919" s="32" t="s">
        <v>98</v>
      </c>
      <c r="F3919" s="32" t="s">
        <v>49</v>
      </c>
      <c r="G3919" s="32" t="s">
        <v>50</v>
      </c>
      <c r="H3919" s="33">
        <v>204700</v>
      </c>
      <c r="I3919" s="34">
        <f>Table3[[#This Row],[Volume, kg.]]/1000</f>
        <v>204.7</v>
      </c>
      <c r="J3919" s="34">
        <v>0.2147</v>
      </c>
      <c r="K3919" s="34">
        <f t="shared" si="122"/>
        <v>43949.090000000004</v>
      </c>
      <c r="L3919" s="34">
        <v>2.1800000000000002</v>
      </c>
      <c r="M3919" s="34">
        <v>445607</v>
      </c>
      <c r="N3919" s="34">
        <f t="shared" si="123"/>
        <v>10.153702841173731</v>
      </c>
    </row>
    <row r="3920" spans="1:14" x14ac:dyDescent="0.45">
      <c r="A3920" s="30">
        <v>2024</v>
      </c>
      <c r="B3920" s="30" t="s">
        <v>15</v>
      </c>
      <c r="C3920" s="30" t="s">
        <v>46</v>
      </c>
      <c r="D3920" s="30" t="s">
        <v>47</v>
      </c>
      <c r="E3920" s="32" t="s">
        <v>354</v>
      </c>
      <c r="F3920" s="32" t="s">
        <v>60</v>
      </c>
      <c r="G3920" s="32" t="s">
        <v>50</v>
      </c>
      <c r="H3920" s="33">
        <v>18080</v>
      </c>
      <c r="I3920" s="34">
        <f>Table3[[#This Row],[Volume, kg.]]/1000</f>
        <v>18.079999999999998</v>
      </c>
      <c r="J3920" s="34">
        <v>0.20309999999999997</v>
      </c>
      <c r="K3920" s="34">
        <f t="shared" si="122"/>
        <v>3672.0479999999998</v>
      </c>
      <c r="L3920" s="34">
        <v>2.0699999999999998</v>
      </c>
      <c r="M3920" s="34">
        <v>37457</v>
      </c>
      <c r="N3920" s="34">
        <f t="shared" si="123"/>
        <v>10.192023633677991</v>
      </c>
    </row>
    <row r="3921" spans="1:14" x14ac:dyDescent="0.45">
      <c r="A3921" s="30">
        <v>2024</v>
      </c>
      <c r="B3921" s="30" t="s">
        <v>15</v>
      </c>
      <c r="C3921" s="30" t="s">
        <v>46</v>
      </c>
      <c r="D3921" s="30" t="s">
        <v>47</v>
      </c>
      <c r="E3921" s="32" t="s">
        <v>129</v>
      </c>
      <c r="F3921" s="32" t="s">
        <v>57</v>
      </c>
      <c r="G3921" s="32" t="s">
        <v>50</v>
      </c>
      <c r="H3921" s="33">
        <v>50170</v>
      </c>
      <c r="I3921" s="34">
        <f>Table3[[#This Row],[Volume, kg.]]/1000</f>
        <v>50.17</v>
      </c>
      <c r="J3921" s="34">
        <v>0.23699999999999999</v>
      </c>
      <c r="K3921" s="34">
        <f t="shared" si="122"/>
        <v>11890.289999999999</v>
      </c>
      <c r="L3921" s="34">
        <v>2.2799999999999998</v>
      </c>
      <c r="M3921" s="34">
        <v>114557</v>
      </c>
      <c r="N3921" s="34">
        <f t="shared" si="123"/>
        <v>9.6202531645569618</v>
      </c>
    </row>
    <row r="3922" spans="1:14" x14ac:dyDescent="0.45">
      <c r="A3922" s="30">
        <v>2024</v>
      </c>
      <c r="B3922" s="30" t="s">
        <v>15</v>
      </c>
      <c r="C3922" s="30" t="s">
        <v>46</v>
      </c>
      <c r="D3922" s="30" t="s">
        <v>47</v>
      </c>
      <c r="E3922" s="32" t="s">
        <v>80</v>
      </c>
      <c r="F3922" s="32" t="s">
        <v>81</v>
      </c>
      <c r="G3922" s="32" t="s">
        <v>50</v>
      </c>
      <c r="H3922" s="33">
        <v>109830</v>
      </c>
      <c r="I3922" s="34">
        <f>Table3[[#This Row],[Volume, kg.]]/1000</f>
        <v>109.83</v>
      </c>
      <c r="J3922" s="34">
        <v>0.214</v>
      </c>
      <c r="K3922" s="34">
        <f t="shared" si="122"/>
        <v>23503.62</v>
      </c>
      <c r="L3922" s="34">
        <v>2.1800000000000002</v>
      </c>
      <c r="M3922" s="34">
        <v>239184.5</v>
      </c>
      <c r="N3922" s="34">
        <f t="shared" si="123"/>
        <v>10.186915887850468</v>
      </c>
    </row>
    <row r="3923" spans="1:14" x14ac:dyDescent="0.45">
      <c r="A3923" s="30">
        <v>2024</v>
      </c>
      <c r="B3923" s="30" t="s">
        <v>15</v>
      </c>
      <c r="C3923" s="30" t="s">
        <v>46</v>
      </c>
      <c r="D3923" s="30" t="s">
        <v>47</v>
      </c>
      <c r="E3923" s="32" t="s">
        <v>296</v>
      </c>
      <c r="F3923" s="32" t="s">
        <v>60</v>
      </c>
      <c r="G3923" s="32" t="s">
        <v>50</v>
      </c>
      <c r="H3923" s="33">
        <v>79600</v>
      </c>
      <c r="I3923" s="34">
        <f>Table3[[#This Row],[Volume, kg.]]/1000</f>
        <v>79.599999999999994</v>
      </c>
      <c r="J3923" s="34">
        <v>0.23280000000000001</v>
      </c>
      <c r="K3923" s="34">
        <f t="shared" si="122"/>
        <v>18530.88</v>
      </c>
      <c r="L3923" s="34">
        <v>2.27</v>
      </c>
      <c r="M3923" s="34">
        <v>180611.5</v>
      </c>
      <c r="N3923" s="34">
        <f t="shared" si="123"/>
        <v>9.7508591065292087</v>
      </c>
    </row>
    <row r="3924" spans="1:14" x14ac:dyDescent="0.45">
      <c r="A3924" s="30">
        <v>2024</v>
      </c>
      <c r="B3924" s="30" t="s">
        <v>15</v>
      </c>
      <c r="C3924" s="30" t="s">
        <v>46</v>
      </c>
      <c r="D3924" s="30" t="s">
        <v>47</v>
      </c>
      <c r="E3924" s="32" t="s">
        <v>194</v>
      </c>
      <c r="F3924" s="32" t="s">
        <v>49</v>
      </c>
      <c r="G3924" s="32" t="s">
        <v>50</v>
      </c>
      <c r="H3924" s="33">
        <v>12870</v>
      </c>
      <c r="I3924" s="34">
        <f>Table3[[#This Row],[Volume, kg.]]/1000</f>
        <v>12.87</v>
      </c>
      <c r="J3924" s="34">
        <v>0.27</v>
      </c>
      <c r="K3924" s="34">
        <f t="shared" si="122"/>
        <v>3474.9</v>
      </c>
      <c r="L3924" s="34">
        <v>2.5</v>
      </c>
      <c r="M3924" s="34">
        <v>32175</v>
      </c>
      <c r="N3924" s="34">
        <f t="shared" si="123"/>
        <v>9.2592592592592595</v>
      </c>
    </row>
    <row r="3925" spans="1:14" x14ac:dyDescent="0.45">
      <c r="A3925" s="30">
        <v>2024</v>
      </c>
      <c r="B3925" s="30" t="s">
        <v>15</v>
      </c>
      <c r="C3925" s="30" t="s">
        <v>46</v>
      </c>
      <c r="D3925" s="30" t="s">
        <v>47</v>
      </c>
      <c r="E3925" s="32" t="s">
        <v>572</v>
      </c>
      <c r="F3925" s="32" t="s">
        <v>64</v>
      </c>
      <c r="G3925" s="32" t="s">
        <v>50</v>
      </c>
      <c r="H3925" s="33">
        <v>10770</v>
      </c>
      <c r="I3925" s="34">
        <f>Table3[[#This Row],[Volume, kg.]]/1000</f>
        <v>10.77</v>
      </c>
      <c r="J3925" s="34">
        <v>0.24050000000000002</v>
      </c>
      <c r="K3925" s="34">
        <f t="shared" si="122"/>
        <v>2590.1850000000004</v>
      </c>
      <c r="L3925" s="34">
        <v>2.35</v>
      </c>
      <c r="M3925" s="34">
        <v>25309.5</v>
      </c>
      <c r="N3925" s="34">
        <f t="shared" si="123"/>
        <v>9.7713097713097703</v>
      </c>
    </row>
    <row r="3926" spans="1:14" x14ac:dyDescent="0.45">
      <c r="A3926" s="30">
        <v>2024</v>
      </c>
      <c r="B3926" s="30" t="s">
        <v>15</v>
      </c>
      <c r="C3926" s="30" t="s">
        <v>46</v>
      </c>
      <c r="D3926" s="30" t="s">
        <v>47</v>
      </c>
      <c r="E3926" s="32" t="s">
        <v>267</v>
      </c>
      <c r="F3926" s="32" t="s">
        <v>57</v>
      </c>
      <c r="G3926" s="32" t="s">
        <v>50</v>
      </c>
      <c r="H3926" s="33">
        <v>16180</v>
      </c>
      <c r="I3926" s="34">
        <f>Table3[[#This Row],[Volume, kg.]]/1000</f>
        <v>16.18</v>
      </c>
      <c r="J3926" s="34">
        <v>0.22600000000000001</v>
      </c>
      <c r="K3926" s="34">
        <f t="shared" si="122"/>
        <v>3656.6800000000003</v>
      </c>
      <c r="L3926" s="34">
        <v>2.2000000000000002</v>
      </c>
      <c r="M3926" s="34">
        <v>35653</v>
      </c>
      <c r="N3926" s="34">
        <f t="shared" si="123"/>
        <v>9.7345132743362832</v>
      </c>
    </row>
    <row r="3927" spans="1:14" x14ac:dyDescent="0.45">
      <c r="A3927" s="30">
        <v>2024</v>
      </c>
      <c r="B3927" s="30" t="s">
        <v>15</v>
      </c>
      <c r="C3927" s="30" t="s">
        <v>46</v>
      </c>
      <c r="D3927" s="30" t="s">
        <v>47</v>
      </c>
      <c r="E3927" s="32" t="s">
        <v>203</v>
      </c>
      <c r="F3927" s="32" t="s">
        <v>57</v>
      </c>
      <c r="G3927" s="32" t="s">
        <v>50</v>
      </c>
      <c r="H3927" s="33">
        <v>44180</v>
      </c>
      <c r="I3927" s="34">
        <f>Table3[[#This Row],[Volume, kg.]]/1000</f>
        <v>44.18</v>
      </c>
      <c r="J3927" s="34">
        <v>0.24660000000000001</v>
      </c>
      <c r="K3927" s="34">
        <f t="shared" si="122"/>
        <v>10894.788</v>
      </c>
      <c r="L3927" s="34">
        <v>2.33</v>
      </c>
      <c r="M3927" s="34">
        <v>102892.5</v>
      </c>
      <c r="N3927" s="34">
        <f t="shared" si="123"/>
        <v>9.4484995944849963</v>
      </c>
    </row>
    <row r="3928" spans="1:14" x14ac:dyDescent="0.45">
      <c r="A3928" s="30">
        <v>2024</v>
      </c>
      <c r="B3928" s="30" t="s">
        <v>15</v>
      </c>
      <c r="C3928" s="30" t="s">
        <v>46</v>
      </c>
      <c r="D3928" s="30" t="s">
        <v>47</v>
      </c>
      <c r="E3928" s="32" t="s">
        <v>58</v>
      </c>
      <c r="F3928" s="32" t="s">
        <v>49</v>
      </c>
      <c r="G3928" s="32" t="s">
        <v>50</v>
      </c>
      <c r="H3928" s="33">
        <v>63960</v>
      </c>
      <c r="I3928" s="34">
        <f>Table3[[#This Row],[Volume, kg.]]/1000</f>
        <v>63.96</v>
      </c>
      <c r="J3928" s="34">
        <v>0.22649999999999998</v>
      </c>
      <c r="K3928" s="34">
        <f t="shared" si="122"/>
        <v>14486.939999999999</v>
      </c>
      <c r="L3928" s="34">
        <v>2.2400000000000002</v>
      </c>
      <c r="M3928" s="34">
        <v>143386</v>
      </c>
      <c r="N3928" s="34">
        <f t="shared" si="123"/>
        <v>9.8896247240618127</v>
      </c>
    </row>
    <row r="3929" spans="1:14" x14ac:dyDescent="0.45">
      <c r="A3929" s="30">
        <v>2024</v>
      </c>
      <c r="B3929" s="30" t="s">
        <v>15</v>
      </c>
      <c r="C3929" s="30" t="s">
        <v>46</v>
      </c>
      <c r="D3929" s="30" t="s">
        <v>47</v>
      </c>
      <c r="E3929" s="32" t="s">
        <v>474</v>
      </c>
      <c r="F3929" s="32" t="s">
        <v>60</v>
      </c>
      <c r="G3929" s="32" t="s">
        <v>50</v>
      </c>
      <c r="H3929" s="33">
        <v>7770</v>
      </c>
      <c r="I3929" s="34">
        <f>Table3[[#This Row],[Volume, kg.]]/1000</f>
        <v>7.77</v>
      </c>
      <c r="J3929" s="34">
        <v>0.17100000000000001</v>
      </c>
      <c r="K3929" s="34">
        <f t="shared" si="122"/>
        <v>1328.67</v>
      </c>
      <c r="L3929" s="34">
        <v>1.95</v>
      </c>
      <c r="M3929" s="34">
        <v>15151.5</v>
      </c>
      <c r="N3929" s="34">
        <f t="shared" si="123"/>
        <v>11.403508771929824</v>
      </c>
    </row>
    <row r="3930" spans="1:14" x14ac:dyDescent="0.45">
      <c r="A3930" s="30">
        <v>2024</v>
      </c>
      <c r="B3930" s="30" t="s">
        <v>15</v>
      </c>
      <c r="C3930" s="30" t="s">
        <v>46</v>
      </c>
      <c r="D3930" s="30" t="s">
        <v>47</v>
      </c>
      <c r="E3930" s="32" t="s">
        <v>526</v>
      </c>
      <c r="F3930" s="32" t="s">
        <v>49</v>
      </c>
      <c r="G3930" s="32" t="s">
        <v>50</v>
      </c>
      <c r="H3930" s="33">
        <v>37620</v>
      </c>
      <c r="I3930" s="34">
        <f>Table3[[#This Row],[Volume, kg.]]/1000</f>
        <v>37.619999999999997</v>
      </c>
      <c r="J3930" s="34">
        <v>0.23870000000000002</v>
      </c>
      <c r="K3930" s="34">
        <f t="shared" si="122"/>
        <v>8979.8940000000002</v>
      </c>
      <c r="L3930" s="34">
        <v>2.34</v>
      </c>
      <c r="M3930" s="34">
        <v>88147.5</v>
      </c>
      <c r="N3930" s="34">
        <f t="shared" si="123"/>
        <v>9.8031001256807695</v>
      </c>
    </row>
    <row r="3931" spans="1:14" x14ac:dyDescent="0.45">
      <c r="A3931" s="30">
        <v>2024</v>
      </c>
      <c r="B3931" s="30" t="s">
        <v>15</v>
      </c>
      <c r="C3931" s="30" t="s">
        <v>46</v>
      </c>
      <c r="D3931" s="30" t="s">
        <v>47</v>
      </c>
      <c r="E3931" s="32" t="s">
        <v>668</v>
      </c>
      <c r="F3931" s="32" t="s">
        <v>60</v>
      </c>
      <c r="G3931" s="32" t="s">
        <v>50</v>
      </c>
      <c r="H3931" s="33">
        <v>98140</v>
      </c>
      <c r="I3931" s="34">
        <f>Table3[[#This Row],[Volume, kg.]]/1000</f>
        <v>98.14</v>
      </c>
      <c r="J3931" s="34">
        <v>0.22800000000000001</v>
      </c>
      <c r="K3931" s="34">
        <f t="shared" si="122"/>
        <v>22375.920000000002</v>
      </c>
      <c r="L3931" s="34">
        <v>2.25</v>
      </c>
      <c r="M3931" s="34">
        <v>220426</v>
      </c>
      <c r="N3931" s="34">
        <f t="shared" si="123"/>
        <v>9.8684210526315788</v>
      </c>
    </row>
    <row r="3932" spans="1:14" x14ac:dyDescent="0.45">
      <c r="A3932" s="30">
        <v>2024</v>
      </c>
      <c r="B3932" s="30" t="s">
        <v>15</v>
      </c>
      <c r="C3932" s="30" t="s">
        <v>46</v>
      </c>
      <c r="D3932" s="30" t="s">
        <v>47</v>
      </c>
      <c r="E3932" s="32" t="s">
        <v>335</v>
      </c>
      <c r="F3932" s="32" t="s">
        <v>54</v>
      </c>
      <c r="G3932" s="32" t="s">
        <v>50</v>
      </c>
      <c r="H3932" s="33">
        <v>113910</v>
      </c>
      <c r="I3932" s="34">
        <f>Table3[[#This Row],[Volume, kg.]]/1000</f>
        <v>113.91</v>
      </c>
      <c r="J3932" s="34">
        <v>0.21809999999999999</v>
      </c>
      <c r="K3932" s="34">
        <f t="shared" si="122"/>
        <v>24843.770999999997</v>
      </c>
      <c r="L3932" s="34">
        <v>2.1800000000000002</v>
      </c>
      <c r="M3932" s="34">
        <v>248860.5</v>
      </c>
      <c r="N3932" s="34">
        <f t="shared" si="123"/>
        <v>9.9954149472718949</v>
      </c>
    </row>
    <row r="3933" spans="1:14" x14ac:dyDescent="0.45">
      <c r="A3933" s="30">
        <v>2024</v>
      </c>
      <c r="B3933" s="30" t="s">
        <v>15</v>
      </c>
      <c r="C3933" s="30" t="s">
        <v>46</v>
      </c>
      <c r="D3933" s="30" t="s">
        <v>47</v>
      </c>
      <c r="E3933" s="32" t="s">
        <v>507</v>
      </c>
      <c r="F3933" s="32" t="s">
        <v>60</v>
      </c>
      <c r="G3933" s="32" t="s">
        <v>50</v>
      </c>
      <c r="H3933" s="33">
        <v>78120</v>
      </c>
      <c r="I3933" s="34">
        <f>Table3[[#This Row],[Volume, kg.]]/1000</f>
        <v>78.12</v>
      </c>
      <c r="J3933" s="34">
        <v>0.23</v>
      </c>
      <c r="K3933" s="34">
        <f t="shared" si="122"/>
        <v>17967.600000000002</v>
      </c>
      <c r="L3933" s="34">
        <v>2.27</v>
      </c>
      <c r="M3933" s="34">
        <v>177381.5</v>
      </c>
      <c r="N3933" s="34">
        <f t="shared" si="123"/>
        <v>9.8695652173913047</v>
      </c>
    </row>
    <row r="3934" spans="1:14" x14ac:dyDescent="0.45">
      <c r="A3934" s="30">
        <v>2024</v>
      </c>
      <c r="B3934" s="30" t="s">
        <v>15</v>
      </c>
      <c r="C3934" s="30" t="s">
        <v>46</v>
      </c>
      <c r="D3934" s="30" t="s">
        <v>47</v>
      </c>
      <c r="E3934" s="32" t="s">
        <v>214</v>
      </c>
      <c r="F3934" s="32" t="s">
        <v>64</v>
      </c>
      <c r="G3934" s="32" t="s">
        <v>50</v>
      </c>
      <c r="H3934" s="33">
        <v>52120</v>
      </c>
      <c r="I3934" s="34">
        <f>Table3[[#This Row],[Volume, kg.]]/1000</f>
        <v>52.12</v>
      </c>
      <c r="J3934" s="34">
        <v>0.21579999999999999</v>
      </c>
      <c r="K3934" s="34">
        <f t="shared" si="122"/>
        <v>11247.495999999999</v>
      </c>
      <c r="L3934" s="34">
        <v>2.17</v>
      </c>
      <c r="M3934" s="34">
        <v>113320</v>
      </c>
      <c r="N3934" s="34">
        <f t="shared" si="123"/>
        <v>10.055607043558851</v>
      </c>
    </row>
    <row r="3935" spans="1:14" x14ac:dyDescent="0.45">
      <c r="A3935" s="30">
        <v>2024</v>
      </c>
      <c r="B3935" s="30" t="s">
        <v>15</v>
      </c>
      <c r="C3935" s="30" t="s">
        <v>46</v>
      </c>
      <c r="D3935" s="30" t="s">
        <v>47</v>
      </c>
      <c r="E3935" s="32" t="s">
        <v>216</v>
      </c>
      <c r="F3935" s="32" t="s">
        <v>64</v>
      </c>
      <c r="G3935" s="32" t="s">
        <v>50</v>
      </c>
      <c r="H3935" s="33">
        <v>28980</v>
      </c>
      <c r="I3935" s="34">
        <f>Table3[[#This Row],[Volume, kg.]]/1000</f>
        <v>28.98</v>
      </c>
      <c r="J3935" s="34">
        <v>0.2394</v>
      </c>
      <c r="K3935" s="34">
        <f t="shared" si="122"/>
        <v>6937.8119999999999</v>
      </c>
      <c r="L3935" s="34">
        <v>2.33</v>
      </c>
      <c r="M3935" s="34">
        <v>67463.5</v>
      </c>
      <c r="N3935" s="34">
        <f t="shared" si="123"/>
        <v>9.7326649958228906</v>
      </c>
    </row>
    <row r="3936" spans="1:14" x14ac:dyDescent="0.45">
      <c r="A3936" s="30">
        <v>2024</v>
      </c>
      <c r="B3936" s="30" t="s">
        <v>15</v>
      </c>
      <c r="C3936" s="30" t="s">
        <v>46</v>
      </c>
      <c r="D3936" s="30" t="s">
        <v>47</v>
      </c>
      <c r="E3936" s="32" t="s">
        <v>669</v>
      </c>
      <c r="F3936" s="32" t="s">
        <v>81</v>
      </c>
      <c r="G3936" s="32" t="s">
        <v>50</v>
      </c>
      <c r="H3936" s="33">
        <v>9420</v>
      </c>
      <c r="I3936" s="34">
        <f>Table3[[#This Row],[Volume, kg.]]/1000</f>
        <v>9.42</v>
      </c>
      <c r="J3936" s="34">
        <v>0.26400000000000001</v>
      </c>
      <c r="K3936" s="34">
        <f t="shared" si="122"/>
        <v>2486.88</v>
      </c>
      <c r="L3936" s="34">
        <v>2.4</v>
      </c>
      <c r="M3936" s="34">
        <v>22608</v>
      </c>
      <c r="N3936" s="34">
        <f t="shared" si="123"/>
        <v>9.0909090909090899</v>
      </c>
    </row>
    <row r="3937" spans="1:14" x14ac:dyDescent="0.45">
      <c r="A3937" s="30">
        <v>2024</v>
      </c>
      <c r="B3937" s="30" t="s">
        <v>15</v>
      </c>
      <c r="C3937" s="30" t="s">
        <v>46</v>
      </c>
      <c r="D3937" s="30" t="s">
        <v>47</v>
      </c>
      <c r="E3937" s="32" t="s">
        <v>602</v>
      </c>
      <c r="F3937" s="32" t="s">
        <v>49</v>
      </c>
      <c r="G3937" s="32" t="s">
        <v>50</v>
      </c>
      <c r="H3937" s="33">
        <v>66040</v>
      </c>
      <c r="I3937" s="34">
        <f>Table3[[#This Row],[Volume, kg.]]/1000</f>
        <v>66.040000000000006</v>
      </c>
      <c r="J3937" s="34">
        <v>0.21710000000000002</v>
      </c>
      <c r="K3937" s="34">
        <f t="shared" si="122"/>
        <v>14337.284000000001</v>
      </c>
      <c r="L3937" s="34">
        <v>2.17</v>
      </c>
      <c r="M3937" s="34">
        <v>143109</v>
      </c>
      <c r="N3937" s="34">
        <f t="shared" si="123"/>
        <v>9.9953938277291563</v>
      </c>
    </row>
    <row r="3938" spans="1:14" x14ac:dyDescent="0.45">
      <c r="A3938" s="30">
        <v>2024</v>
      </c>
      <c r="B3938" s="30" t="s">
        <v>15</v>
      </c>
      <c r="C3938" s="30" t="s">
        <v>46</v>
      </c>
      <c r="D3938" s="30" t="s">
        <v>47</v>
      </c>
      <c r="E3938" s="32" t="s">
        <v>307</v>
      </c>
      <c r="F3938" s="32" t="s">
        <v>81</v>
      </c>
      <c r="G3938" s="32" t="s">
        <v>50</v>
      </c>
      <c r="H3938" s="33">
        <v>38400</v>
      </c>
      <c r="I3938" s="34">
        <f>Table3[[#This Row],[Volume, kg.]]/1000</f>
        <v>38.4</v>
      </c>
      <c r="J3938" s="34">
        <v>0.21379999999999999</v>
      </c>
      <c r="K3938" s="34">
        <f t="shared" si="122"/>
        <v>8209.92</v>
      </c>
      <c r="L3938" s="34">
        <v>2.16</v>
      </c>
      <c r="M3938" s="34">
        <v>82782</v>
      </c>
      <c r="N3938" s="34">
        <f t="shared" si="123"/>
        <v>10.102899906454631</v>
      </c>
    </row>
    <row r="3939" spans="1:14" x14ac:dyDescent="0.45">
      <c r="A3939" s="30">
        <v>2024</v>
      </c>
      <c r="B3939" s="30" t="s">
        <v>15</v>
      </c>
      <c r="C3939" s="30" t="s">
        <v>46</v>
      </c>
      <c r="D3939" s="30" t="s">
        <v>47</v>
      </c>
      <c r="E3939" s="32" t="s">
        <v>243</v>
      </c>
      <c r="F3939" s="32" t="s">
        <v>60</v>
      </c>
      <c r="G3939" s="32" t="s">
        <v>50</v>
      </c>
      <c r="H3939" s="33">
        <v>112930</v>
      </c>
      <c r="I3939" s="34">
        <f>Table3[[#This Row],[Volume, kg.]]/1000</f>
        <v>112.93</v>
      </c>
      <c r="J3939" s="34">
        <v>0.24239999999999998</v>
      </c>
      <c r="K3939" s="34">
        <f t="shared" si="122"/>
        <v>27374.231999999996</v>
      </c>
      <c r="L3939" s="34">
        <v>2.31</v>
      </c>
      <c r="M3939" s="34">
        <v>260591.5</v>
      </c>
      <c r="N3939" s="34">
        <f t="shared" si="123"/>
        <v>9.5297029702970306</v>
      </c>
    </row>
    <row r="3940" spans="1:14" x14ac:dyDescent="0.45">
      <c r="A3940" s="30">
        <v>2024</v>
      </c>
      <c r="B3940" s="30" t="s">
        <v>15</v>
      </c>
      <c r="C3940" s="30" t="s">
        <v>46</v>
      </c>
      <c r="D3940" s="30" t="s">
        <v>47</v>
      </c>
      <c r="E3940" s="32" t="s">
        <v>259</v>
      </c>
      <c r="F3940" s="32" t="s">
        <v>54</v>
      </c>
      <c r="G3940" s="32" t="s">
        <v>50</v>
      </c>
      <c r="H3940" s="33">
        <v>51540</v>
      </c>
      <c r="I3940" s="34">
        <f>Table3[[#This Row],[Volume, kg.]]/1000</f>
        <v>51.54</v>
      </c>
      <c r="J3940" s="34">
        <v>0.23300000000000001</v>
      </c>
      <c r="K3940" s="34">
        <f t="shared" si="122"/>
        <v>12008.820000000002</v>
      </c>
      <c r="L3940" s="34">
        <v>2.25</v>
      </c>
      <c r="M3940" s="34">
        <v>115914.5</v>
      </c>
      <c r="N3940" s="34">
        <f t="shared" si="123"/>
        <v>9.6566523605150216</v>
      </c>
    </row>
    <row r="3941" spans="1:14" x14ac:dyDescent="0.45">
      <c r="A3941" s="30">
        <v>2024</v>
      </c>
      <c r="B3941" s="30" t="s">
        <v>15</v>
      </c>
      <c r="C3941" s="30" t="s">
        <v>46</v>
      </c>
      <c r="D3941" s="30" t="s">
        <v>47</v>
      </c>
      <c r="E3941" s="32" t="s">
        <v>148</v>
      </c>
      <c r="F3941" s="32" t="s">
        <v>49</v>
      </c>
      <c r="G3941" s="32" t="s">
        <v>50</v>
      </c>
      <c r="H3941" s="33">
        <v>9780</v>
      </c>
      <c r="I3941" s="34">
        <f>Table3[[#This Row],[Volume, kg.]]/1000</f>
        <v>9.7799999999999994</v>
      </c>
      <c r="J3941" s="34">
        <v>0.22399999999999998</v>
      </c>
      <c r="K3941" s="34">
        <f t="shared" si="122"/>
        <v>2190.7199999999998</v>
      </c>
      <c r="L3941" s="34">
        <v>2.2000000000000002</v>
      </c>
      <c r="M3941" s="34">
        <v>21516</v>
      </c>
      <c r="N3941" s="34">
        <f t="shared" si="123"/>
        <v>9.821428571428573</v>
      </c>
    </row>
    <row r="3942" spans="1:14" x14ac:dyDescent="0.45">
      <c r="A3942" s="30">
        <v>2024</v>
      </c>
      <c r="B3942" s="30" t="s">
        <v>15</v>
      </c>
      <c r="C3942" s="30" t="s">
        <v>46</v>
      </c>
      <c r="D3942" s="30" t="s">
        <v>47</v>
      </c>
      <c r="E3942" s="32" t="s">
        <v>549</v>
      </c>
      <c r="F3942" s="32" t="s">
        <v>49</v>
      </c>
      <c r="G3942" s="32" t="s">
        <v>50</v>
      </c>
      <c r="H3942" s="33">
        <v>25520</v>
      </c>
      <c r="I3942" s="34">
        <f>Table3[[#This Row],[Volume, kg.]]/1000</f>
        <v>25.52</v>
      </c>
      <c r="J3942" s="34">
        <v>0.2349</v>
      </c>
      <c r="K3942" s="34">
        <f t="shared" si="122"/>
        <v>5994.6480000000001</v>
      </c>
      <c r="L3942" s="34">
        <v>2.33</v>
      </c>
      <c r="M3942" s="34">
        <v>59484.5</v>
      </c>
      <c r="N3942" s="34">
        <f t="shared" si="123"/>
        <v>9.9191145168156662</v>
      </c>
    </row>
    <row r="3943" spans="1:14" x14ac:dyDescent="0.45">
      <c r="A3943" s="30">
        <v>2024</v>
      </c>
      <c r="B3943" s="30" t="s">
        <v>15</v>
      </c>
      <c r="C3943" s="30" t="s">
        <v>46</v>
      </c>
      <c r="D3943" s="30" t="s">
        <v>47</v>
      </c>
      <c r="E3943" s="32" t="s">
        <v>204</v>
      </c>
      <c r="F3943" s="32" t="s">
        <v>49</v>
      </c>
      <c r="G3943" s="32" t="s">
        <v>50</v>
      </c>
      <c r="H3943" s="33">
        <v>255380</v>
      </c>
      <c r="I3943" s="34">
        <f>Table3[[#This Row],[Volume, kg.]]/1000</f>
        <v>255.38</v>
      </c>
      <c r="J3943" s="34">
        <v>0.22620000000000001</v>
      </c>
      <c r="K3943" s="34">
        <f t="shared" si="122"/>
        <v>57766.956000000006</v>
      </c>
      <c r="L3943" s="34">
        <v>2.25</v>
      </c>
      <c r="M3943" s="34">
        <v>575406.5</v>
      </c>
      <c r="N3943" s="34">
        <f t="shared" si="123"/>
        <v>9.9469496021220145</v>
      </c>
    </row>
    <row r="3944" spans="1:14" x14ac:dyDescent="0.45">
      <c r="A3944" s="30">
        <v>2024</v>
      </c>
      <c r="B3944" s="30" t="s">
        <v>15</v>
      </c>
      <c r="C3944" s="30" t="s">
        <v>46</v>
      </c>
      <c r="D3944" s="30" t="s">
        <v>47</v>
      </c>
      <c r="E3944" s="32" t="s">
        <v>403</v>
      </c>
      <c r="F3944" s="32" t="s">
        <v>60</v>
      </c>
      <c r="G3944" s="32" t="s">
        <v>50</v>
      </c>
      <c r="H3944" s="33">
        <v>11530</v>
      </c>
      <c r="I3944" s="34">
        <f>Table3[[#This Row],[Volume, kg.]]/1000</f>
        <v>11.53</v>
      </c>
      <c r="J3944" s="34">
        <v>0.2175</v>
      </c>
      <c r="K3944" s="34">
        <f t="shared" si="122"/>
        <v>2507.7750000000001</v>
      </c>
      <c r="L3944" s="34">
        <v>2.2000000000000002</v>
      </c>
      <c r="M3944" s="34">
        <v>25366</v>
      </c>
      <c r="N3944" s="34">
        <f t="shared" si="123"/>
        <v>10.114942528735632</v>
      </c>
    </row>
    <row r="3945" spans="1:14" x14ac:dyDescent="0.45">
      <c r="A3945" s="30">
        <v>2024</v>
      </c>
      <c r="B3945" s="30" t="s">
        <v>15</v>
      </c>
      <c r="C3945" s="30" t="s">
        <v>46</v>
      </c>
      <c r="D3945" s="30" t="s">
        <v>47</v>
      </c>
      <c r="E3945" s="32" t="s">
        <v>540</v>
      </c>
      <c r="F3945" s="32" t="s">
        <v>49</v>
      </c>
      <c r="G3945" s="32" t="s">
        <v>50</v>
      </c>
      <c r="H3945" s="33">
        <v>25210</v>
      </c>
      <c r="I3945" s="34">
        <f>Table3[[#This Row],[Volume, kg.]]/1000</f>
        <v>25.21</v>
      </c>
      <c r="J3945" s="34">
        <v>0.22140000000000001</v>
      </c>
      <c r="K3945" s="34">
        <f t="shared" si="122"/>
        <v>5581.4940000000006</v>
      </c>
      <c r="L3945" s="34">
        <v>2.23</v>
      </c>
      <c r="M3945" s="34">
        <v>56199</v>
      </c>
      <c r="N3945" s="34">
        <f t="shared" si="123"/>
        <v>10.07226738934056</v>
      </c>
    </row>
    <row r="3946" spans="1:14" x14ac:dyDescent="0.45">
      <c r="A3946" s="30">
        <v>2024</v>
      </c>
      <c r="B3946" s="30" t="s">
        <v>15</v>
      </c>
      <c r="C3946" s="30" t="s">
        <v>46</v>
      </c>
      <c r="D3946" s="30" t="s">
        <v>47</v>
      </c>
      <c r="E3946" s="32" t="s">
        <v>154</v>
      </c>
      <c r="F3946" s="32" t="s">
        <v>60</v>
      </c>
      <c r="G3946" s="32" t="s">
        <v>50</v>
      </c>
      <c r="H3946" s="33">
        <v>28460</v>
      </c>
      <c r="I3946" s="34">
        <f>Table3[[#This Row],[Volume, kg.]]/1000</f>
        <v>28.46</v>
      </c>
      <c r="J3946" s="34">
        <v>0.20190000000000002</v>
      </c>
      <c r="K3946" s="34">
        <f t="shared" si="122"/>
        <v>5746.0740000000005</v>
      </c>
      <c r="L3946" s="34">
        <v>2.12</v>
      </c>
      <c r="M3946" s="34">
        <v>60316.5</v>
      </c>
      <c r="N3946" s="34">
        <f t="shared" si="123"/>
        <v>10.500247647350173</v>
      </c>
    </row>
    <row r="3947" spans="1:14" x14ac:dyDescent="0.45">
      <c r="A3947" s="30">
        <v>2024</v>
      </c>
      <c r="B3947" s="30" t="s">
        <v>15</v>
      </c>
      <c r="C3947" s="30" t="s">
        <v>46</v>
      </c>
      <c r="D3947" s="30" t="s">
        <v>47</v>
      </c>
      <c r="E3947" s="32" t="s">
        <v>75</v>
      </c>
      <c r="F3947" s="32" t="s">
        <v>49</v>
      </c>
      <c r="G3947" s="32" t="s">
        <v>50</v>
      </c>
      <c r="H3947" s="33">
        <v>75550</v>
      </c>
      <c r="I3947" s="34">
        <f>Table3[[#This Row],[Volume, kg.]]/1000</f>
        <v>75.55</v>
      </c>
      <c r="J3947" s="34">
        <v>0.2223</v>
      </c>
      <c r="K3947" s="34">
        <f t="shared" si="122"/>
        <v>16794.764999999999</v>
      </c>
      <c r="L3947" s="34">
        <v>2.2200000000000002</v>
      </c>
      <c r="M3947" s="34">
        <v>167672.5</v>
      </c>
      <c r="N3947" s="34">
        <f t="shared" si="123"/>
        <v>9.9865047233468296</v>
      </c>
    </row>
    <row r="3948" spans="1:14" x14ac:dyDescent="0.45">
      <c r="A3948" s="30">
        <v>2024</v>
      </c>
      <c r="B3948" s="30" t="s">
        <v>15</v>
      </c>
      <c r="C3948" s="30" t="s">
        <v>46</v>
      </c>
      <c r="D3948" s="30" t="s">
        <v>47</v>
      </c>
      <c r="E3948" s="32" t="s">
        <v>97</v>
      </c>
      <c r="F3948" s="32" t="s">
        <v>49</v>
      </c>
      <c r="G3948" s="32" t="s">
        <v>50</v>
      </c>
      <c r="H3948" s="33">
        <v>111310</v>
      </c>
      <c r="I3948" s="34">
        <f>Table3[[#This Row],[Volume, kg.]]/1000</f>
        <v>111.31</v>
      </c>
      <c r="J3948" s="34">
        <v>0.2339</v>
      </c>
      <c r="K3948" s="34">
        <f t="shared" si="122"/>
        <v>26035.409</v>
      </c>
      <c r="L3948" s="34">
        <v>2.2999999999999998</v>
      </c>
      <c r="M3948" s="34">
        <v>255632</v>
      </c>
      <c r="N3948" s="34">
        <f t="shared" si="123"/>
        <v>9.83326207781103</v>
      </c>
    </row>
    <row r="3949" spans="1:14" x14ac:dyDescent="0.45">
      <c r="A3949" s="30">
        <v>2024</v>
      </c>
      <c r="B3949" s="30" t="s">
        <v>15</v>
      </c>
      <c r="C3949" s="30" t="s">
        <v>46</v>
      </c>
      <c r="D3949" s="30" t="s">
        <v>47</v>
      </c>
      <c r="E3949" s="32" t="s">
        <v>355</v>
      </c>
      <c r="F3949" s="32" t="s">
        <v>60</v>
      </c>
      <c r="G3949" s="32" t="s">
        <v>50</v>
      </c>
      <c r="H3949" s="33">
        <v>164770</v>
      </c>
      <c r="I3949" s="34">
        <f>Table3[[#This Row],[Volume, kg.]]/1000</f>
        <v>164.77</v>
      </c>
      <c r="J3949" s="34">
        <v>0.21030000000000001</v>
      </c>
      <c r="K3949" s="34">
        <f t="shared" si="122"/>
        <v>34651.131000000001</v>
      </c>
      <c r="L3949" s="34">
        <v>2.1800000000000002</v>
      </c>
      <c r="M3949" s="34">
        <v>358453</v>
      </c>
      <c r="N3949" s="34">
        <f t="shared" si="123"/>
        <v>10.366143604374702</v>
      </c>
    </row>
    <row r="3950" spans="1:14" x14ac:dyDescent="0.45">
      <c r="A3950" s="30">
        <v>2024</v>
      </c>
      <c r="B3950" s="30" t="s">
        <v>15</v>
      </c>
      <c r="C3950" s="30" t="s">
        <v>46</v>
      </c>
      <c r="D3950" s="30" t="s">
        <v>47</v>
      </c>
      <c r="E3950" s="32" t="s">
        <v>305</v>
      </c>
      <c r="F3950" s="32" t="s">
        <v>64</v>
      </c>
      <c r="G3950" s="32" t="s">
        <v>50</v>
      </c>
      <c r="H3950" s="33">
        <v>9930</v>
      </c>
      <c r="I3950" s="34">
        <f>Table3[[#This Row],[Volume, kg.]]/1000</f>
        <v>9.93</v>
      </c>
      <c r="J3950" s="34">
        <v>0.2205</v>
      </c>
      <c r="K3950" s="34">
        <f t="shared" si="122"/>
        <v>2189.5650000000001</v>
      </c>
      <c r="L3950" s="34">
        <v>2.25</v>
      </c>
      <c r="M3950" s="34">
        <v>22342.5</v>
      </c>
      <c r="N3950" s="34">
        <f t="shared" si="123"/>
        <v>10.204081632653061</v>
      </c>
    </row>
    <row r="3951" spans="1:14" x14ac:dyDescent="0.45">
      <c r="A3951" s="30">
        <v>2024</v>
      </c>
      <c r="B3951" s="30" t="s">
        <v>15</v>
      </c>
      <c r="C3951" s="30" t="s">
        <v>46</v>
      </c>
      <c r="D3951" s="30" t="s">
        <v>47</v>
      </c>
      <c r="E3951" s="32" t="s">
        <v>365</v>
      </c>
      <c r="F3951" s="32" t="s">
        <v>49</v>
      </c>
      <c r="G3951" s="32" t="s">
        <v>50</v>
      </c>
      <c r="H3951" s="33">
        <v>84950</v>
      </c>
      <c r="I3951" s="34">
        <f>Table3[[#This Row],[Volume, kg.]]/1000</f>
        <v>84.95</v>
      </c>
      <c r="J3951" s="34">
        <v>0.22570000000000001</v>
      </c>
      <c r="K3951" s="34">
        <f t="shared" si="122"/>
        <v>19173.215</v>
      </c>
      <c r="L3951" s="34">
        <v>2.25</v>
      </c>
      <c r="M3951" s="34">
        <v>190987</v>
      </c>
      <c r="N3951" s="34">
        <f t="shared" si="123"/>
        <v>9.9689853788214435</v>
      </c>
    </row>
    <row r="3952" spans="1:14" x14ac:dyDescent="0.45">
      <c r="A3952" s="30">
        <v>2024</v>
      </c>
      <c r="B3952" s="30" t="s">
        <v>15</v>
      </c>
      <c r="C3952" s="30" t="s">
        <v>46</v>
      </c>
      <c r="D3952" s="30" t="s">
        <v>47</v>
      </c>
      <c r="E3952" s="32" t="s">
        <v>639</v>
      </c>
      <c r="F3952" s="32" t="s">
        <v>60</v>
      </c>
      <c r="G3952" s="32" t="s">
        <v>50</v>
      </c>
      <c r="H3952" s="33">
        <v>10890</v>
      </c>
      <c r="I3952" s="34">
        <f>Table3[[#This Row],[Volume, kg.]]/1000</f>
        <v>10.89</v>
      </c>
      <c r="J3952" s="34">
        <v>0.22850000000000001</v>
      </c>
      <c r="K3952" s="34">
        <f t="shared" si="122"/>
        <v>2488.3650000000002</v>
      </c>
      <c r="L3952" s="34">
        <v>2.25</v>
      </c>
      <c r="M3952" s="34">
        <v>24526</v>
      </c>
      <c r="N3952" s="34">
        <f t="shared" si="123"/>
        <v>9.846827133479211</v>
      </c>
    </row>
    <row r="3953" spans="1:14" x14ac:dyDescent="0.45">
      <c r="A3953" s="30">
        <v>2024</v>
      </c>
      <c r="B3953" s="30" t="s">
        <v>15</v>
      </c>
      <c r="C3953" s="30" t="s">
        <v>46</v>
      </c>
      <c r="D3953" s="30" t="s">
        <v>47</v>
      </c>
      <c r="E3953" s="32" t="s">
        <v>96</v>
      </c>
      <c r="F3953" s="32" t="s">
        <v>49</v>
      </c>
      <c r="G3953" s="32" t="s">
        <v>50</v>
      </c>
      <c r="H3953" s="33">
        <v>92930</v>
      </c>
      <c r="I3953" s="34">
        <f>Table3[[#This Row],[Volume, kg.]]/1000</f>
        <v>92.93</v>
      </c>
      <c r="J3953" s="34">
        <v>0.2213</v>
      </c>
      <c r="K3953" s="34">
        <f t="shared" si="122"/>
        <v>20565.409</v>
      </c>
      <c r="L3953" s="34">
        <v>2.2000000000000002</v>
      </c>
      <c r="M3953" s="34">
        <v>204374</v>
      </c>
      <c r="N3953" s="34">
        <f t="shared" si="123"/>
        <v>9.9412562132851345</v>
      </c>
    </row>
    <row r="3954" spans="1:14" x14ac:dyDescent="0.45">
      <c r="A3954" s="30">
        <v>2024</v>
      </c>
      <c r="B3954" s="30" t="s">
        <v>15</v>
      </c>
      <c r="C3954" s="30" t="s">
        <v>46</v>
      </c>
      <c r="D3954" s="30" t="s">
        <v>47</v>
      </c>
      <c r="E3954" s="32" t="s">
        <v>369</v>
      </c>
      <c r="F3954" s="32" t="s">
        <v>57</v>
      </c>
      <c r="G3954" s="32" t="s">
        <v>50</v>
      </c>
      <c r="H3954" s="33">
        <v>10670</v>
      </c>
      <c r="I3954" s="34">
        <f>Table3[[#This Row],[Volume, kg.]]/1000</f>
        <v>10.67</v>
      </c>
      <c r="J3954" s="34">
        <v>0.17749999999999999</v>
      </c>
      <c r="K3954" s="34">
        <f t="shared" si="122"/>
        <v>1893.925</v>
      </c>
      <c r="L3954" s="34">
        <v>2</v>
      </c>
      <c r="M3954" s="34">
        <v>21340</v>
      </c>
      <c r="N3954" s="34">
        <f t="shared" si="123"/>
        <v>11.267605633802818</v>
      </c>
    </row>
    <row r="3955" spans="1:14" x14ac:dyDescent="0.45">
      <c r="A3955" s="30">
        <v>2024</v>
      </c>
      <c r="B3955" s="30" t="s">
        <v>15</v>
      </c>
      <c r="C3955" s="30" t="s">
        <v>46</v>
      </c>
      <c r="D3955" s="30" t="s">
        <v>47</v>
      </c>
      <c r="E3955" s="32" t="s">
        <v>518</v>
      </c>
      <c r="F3955" s="32" t="s">
        <v>49</v>
      </c>
      <c r="G3955" s="32" t="s">
        <v>50</v>
      </c>
      <c r="H3955" s="33">
        <v>82220</v>
      </c>
      <c r="I3955" s="34">
        <f>Table3[[#This Row],[Volume, kg.]]/1000</f>
        <v>82.22</v>
      </c>
      <c r="J3955" s="34">
        <v>0.2261</v>
      </c>
      <c r="K3955" s="34">
        <f t="shared" si="122"/>
        <v>18589.941999999999</v>
      </c>
      <c r="L3955" s="34">
        <v>2.2400000000000002</v>
      </c>
      <c r="M3955" s="34">
        <v>184195</v>
      </c>
      <c r="N3955" s="34">
        <f t="shared" si="123"/>
        <v>9.9071207430340564</v>
      </c>
    </row>
    <row r="3956" spans="1:14" x14ac:dyDescent="0.45">
      <c r="A3956" s="30">
        <v>2024</v>
      </c>
      <c r="B3956" s="30" t="s">
        <v>15</v>
      </c>
      <c r="C3956" s="30" t="s">
        <v>46</v>
      </c>
      <c r="D3956" s="30" t="s">
        <v>47</v>
      </c>
      <c r="E3956" s="32" t="s">
        <v>87</v>
      </c>
      <c r="F3956" s="32" t="s">
        <v>49</v>
      </c>
      <c r="G3956" s="32" t="s">
        <v>50</v>
      </c>
      <c r="H3956" s="33">
        <v>93520</v>
      </c>
      <c r="I3956" s="34">
        <f>Table3[[#This Row],[Volume, kg.]]/1000</f>
        <v>93.52</v>
      </c>
      <c r="J3956" s="34">
        <v>0.21350000000000002</v>
      </c>
      <c r="K3956" s="34">
        <f t="shared" si="122"/>
        <v>19966.52</v>
      </c>
      <c r="L3956" s="34">
        <v>2.19</v>
      </c>
      <c r="M3956" s="34">
        <v>204343</v>
      </c>
      <c r="N3956" s="34">
        <f t="shared" si="123"/>
        <v>10.257611241217797</v>
      </c>
    </row>
    <row r="3957" spans="1:14" x14ac:dyDescent="0.45">
      <c r="A3957" s="30">
        <v>2024</v>
      </c>
      <c r="B3957" s="30" t="s">
        <v>15</v>
      </c>
      <c r="C3957" s="30" t="s">
        <v>46</v>
      </c>
      <c r="D3957" s="30" t="s">
        <v>47</v>
      </c>
      <c r="E3957" s="32" t="s">
        <v>155</v>
      </c>
      <c r="F3957" s="32" t="s">
        <v>64</v>
      </c>
      <c r="G3957" s="32" t="s">
        <v>50</v>
      </c>
      <c r="H3957" s="33">
        <v>14680</v>
      </c>
      <c r="I3957" s="34">
        <f>Table3[[#This Row],[Volume, kg.]]/1000</f>
        <v>14.68</v>
      </c>
      <c r="J3957" s="34">
        <v>0.22030000000000002</v>
      </c>
      <c r="K3957" s="34">
        <f t="shared" si="122"/>
        <v>3234.0040000000004</v>
      </c>
      <c r="L3957" s="34">
        <v>2.2000000000000002</v>
      </c>
      <c r="M3957" s="34">
        <v>32316.5</v>
      </c>
      <c r="N3957" s="34">
        <f t="shared" si="123"/>
        <v>9.9863822060826148</v>
      </c>
    </row>
    <row r="3958" spans="1:14" x14ac:dyDescent="0.45">
      <c r="A3958" s="30">
        <v>2024</v>
      </c>
      <c r="B3958" s="30" t="s">
        <v>15</v>
      </c>
      <c r="C3958" s="30" t="s">
        <v>46</v>
      </c>
      <c r="D3958" s="30" t="s">
        <v>47</v>
      </c>
      <c r="E3958" s="32" t="s">
        <v>285</v>
      </c>
      <c r="F3958" s="32" t="s">
        <v>49</v>
      </c>
      <c r="G3958" s="32" t="s">
        <v>50</v>
      </c>
      <c r="H3958" s="33">
        <v>14480</v>
      </c>
      <c r="I3958" s="34">
        <f>Table3[[#This Row],[Volume, kg.]]/1000</f>
        <v>14.48</v>
      </c>
      <c r="J3958" s="34">
        <v>0.19600000000000001</v>
      </c>
      <c r="K3958" s="34">
        <f t="shared" si="122"/>
        <v>2838.08</v>
      </c>
      <c r="L3958" s="34">
        <v>2.1</v>
      </c>
      <c r="M3958" s="34">
        <v>30408</v>
      </c>
      <c r="N3958" s="34">
        <f t="shared" si="123"/>
        <v>10.714285714285714</v>
      </c>
    </row>
    <row r="3959" spans="1:14" x14ac:dyDescent="0.45">
      <c r="A3959" s="30">
        <v>2024</v>
      </c>
      <c r="B3959" s="30" t="s">
        <v>15</v>
      </c>
      <c r="C3959" s="30" t="s">
        <v>46</v>
      </c>
      <c r="D3959" s="30" t="s">
        <v>47</v>
      </c>
      <c r="E3959" s="32" t="s">
        <v>404</v>
      </c>
      <c r="F3959" s="32" t="s">
        <v>60</v>
      </c>
      <c r="G3959" s="32" t="s">
        <v>50</v>
      </c>
      <c r="H3959" s="33">
        <v>4860</v>
      </c>
      <c r="I3959" s="34">
        <f>Table3[[#This Row],[Volume, kg.]]/1000</f>
        <v>4.8600000000000003</v>
      </c>
      <c r="J3959" s="34">
        <v>0.222</v>
      </c>
      <c r="K3959" s="34">
        <f t="shared" si="122"/>
        <v>1078.92</v>
      </c>
      <c r="L3959" s="34">
        <v>2.25</v>
      </c>
      <c r="M3959" s="34">
        <v>10935</v>
      </c>
      <c r="N3959" s="34">
        <f t="shared" si="123"/>
        <v>10.135135135135135</v>
      </c>
    </row>
    <row r="3960" spans="1:14" x14ac:dyDescent="0.45">
      <c r="A3960" s="30">
        <v>2024</v>
      </c>
      <c r="B3960" s="30" t="s">
        <v>15</v>
      </c>
      <c r="C3960" s="30" t="s">
        <v>46</v>
      </c>
      <c r="D3960" s="30" t="s">
        <v>47</v>
      </c>
      <c r="E3960" s="32" t="s">
        <v>254</v>
      </c>
      <c r="F3960" s="32" t="s">
        <v>49</v>
      </c>
      <c r="G3960" s="32" t="s">
        <v>50</v>
      </c>
      <c r="H3960" s="33">
        <v>99320</v>
      </c>
      <c r="I3960" s="34">
        <f>Table3[[#This Row],[Volume, kg.]]/1000</f>
        <v>99.32</v>
      </c>
      <c r="J3960" s="34">
        <v>0.2059</v>
      </c>
      <c r="K3960" s="34">
        <f t="shared" si="122"/>
        <v>20449.988000000001</v>
      </c>
      <c r="L3960" s="34">
        <v>2.15</v>
      </c>
      <c r="M3960" s="34">
        <v>213140.5</v>
      </c>
      <c r="N3960" s="34">
        <f t="shared" si="123"/>
        <v>10.441962117532782</v>
      </c>
    </row>
    <row r="3961" spans="1:14" x14ac:dyDescent="0.45">
      <c r="A3961" s="30">
        <v>2024</v>
      </c>
      <c r="B3961" s="30" t="s">
        <v>15</v>
      </c>
      <c r="C3961" s="30" t="s">
        <v>46</v>
      </c>
      <c r="D3961" s="30" t="s">
        <v>47</v>
      </c>
      <c r="E3961" s="32" t="s">
        <v>508</v>
      </c>
      <c r="F3961" s="32" t="s">
        <v>60</v>
      </c>
      <c r="G3961" s="32" t="s">
        <v>50</v>
      </c>
      <c r="H3961" s="33">
        <v>42380</v>
      </c>
      <c r="I3961" s="34">
        <f>Table3[[#This Row],[Volume, kg.]]/1000</f>
        <v>42.38</v>
      </c>
      <c r="J3961" s="34">
        <v>0.27940000000000004</v>
      </c>
      <c r="K3961" s="34">
        <f t="shared" si="122"/>
        <v>11840.972000000002</v>
      </c>
      <c r="L3961" s="34">
        <v>2.52</v>
      </c>
      <c r="M3961" s="34">
        <v>106699</v>
      </c>
      <c r="N3961" s="34">
        <f t="shared" si="123"/>
        <v>9.019327129563349</v>
      </c>
    </row>
    <row r="3962" spans="1:14" x14ac:dyDescent="0.45">
      <c r="A3962" s="30">
        <v>2024</v>
      </c>
      <c r="B3962" s="30" t="s">
        <v>15</v>
      </c>
      <c r="C3962" s="30" t="s">
        <v>46</v>
      </c>
      <c r="D3962" s="30" t="s">
        <v>47</v>
      </c>
      <c r="E3962" s="32" t="s">
        <v>430</v>
      </c>
      <c r="F3962" s="32" t="s">
        <v>49</v>
      </c>
      <c r="G3962" s="32" t="s">
        <v>50</v>
      </c>
      <c r="H3962" s="33">
        <v>24690</v>
      </c>
      <c r="I3962" s="34">
        <f>Table3[[#This Row],[Volume, kg.]]/1000</f>
        <v>24.69</v>
      </c>
      <c r="J3962" s="34">
        <v>0.23039999999999999</v>
      </c>
      <c r="K3962" s="34">
        <f t="shared" si="122"/>
        <v>5688.576</v>
      </c>
      <c r="L3962" s="34">
        <v>2.2200000000000002</v>
      </c>
      <c r="M3962" s="34">
        <v>54835.5</v>
      </c>
      <c r="N3962" s="34">
        <f t="shared" si="123"/>
        <v>9.6354166666666679</v>
      </c>
    </row>
    <row r="3963" spans="1:14" x14ac:dyDescent="0.45">
      <c r="A3963" s="30">
        <v>2024</v>
      </c>
      <c r="B3963" s="30" t="s">
        <v>15</v>
      </c>
      <c r="C3963" s="30" t="s">
        <v>46</v>
      </c>
      <c r="D3963" s="30" t="s">
        <v>47</v>
      </c>
      <c r="E3963" s="32" t="s">
        <v>314</v>
      </c>
      <c r="F3963" s="32" t="s">
        <v>57</v>
      </c>
      <c r="G3963" s="32" t="s">
        <v>50</v>
      </c>
      <c r="H3963" s="33">
        <v>121510</v>
      </c>
      <c r="I3963" s="34">
        <f>Table3[[#This Row],[Volume, kg.]]/1000</f>
        <v>121.51</v>
      </c>
      <c r="J3963" s="34">
        <v>0.23569999999999999</v>
      </c>
      <c r="K3963" s="34">
        <f t="shared" si="122"/>
        <v>28639.906999999999</v>
      </c>
      <c r="L3963" s="34">
        <v>2.2999999999999998</v>
      </c>
      <c r="M3963" s="34">
        <v>278967.5</v>
      </c>
      <c r="N3963" s="34">
        <f t="shared" si="123"/>
        <v>9.7581671616461598</v>
      </c>
    </row>
    <row r="3964" spans="1:14" x14ac:dyDescent="0.45">
      <c r="A3964" s="30">
        <v>2024</v>
      </c>
      <c r="B3964" s="30" t="s">
        <v>15</v>
      </c>
      <c r="C3964" s="30" t="s">
        <v>46</v>
      </c>
      <c r="D3964" s="30" t="s">
        <v>47</v>
      </c>
      <c r="E3964" s="32" t="s">
        <v>215</v>
      </c>
      <c r="F3964" s="32" t="s">
        <v>57</v>
      </c>
      <c r="G3964" s="32" t="s">
        <v>50</v>
      </c>
      <c r="H3964" s="33">
        <v>7670</v>
      </c>
      <c r="I3964" s="34">
        <f>Table3[[#This Row],[Volume, kg.]]/1000</f>
        <v>7.67</v>
      </c>
      <c r="J3964" s="34">
        <v>0.23100000000000001</v>
      </c>
      <c r="K3964" s="34">
        <f t="shared" si="122"/>
        <v>1771.77</v>
      </c>
      <c r="L3964" s="34">
        <v>2.25</v>
      </c>
      <c r="M3964" s="34">
        <v>17257.5</v>
      </c>
      <c r="N3964" s="34">
        <f t="shared" si="123"/>
        <v>9.7402597402597397</v>
      </c>
    </row>
    <row r="3965" spans="1:14" x14ac:dyDescent="0.45">
      <c r="A3965" s="30">
        <v>2024</v>
      </c>
      <c r="B3965" s="30" t="s">
        <v>15</v>
      </c>
      <c r="C3965" s="30" t="s">
        <v>46</v>
      </c>
      <c r="D3965" s="30" t="s">
        <v>47</v>
      </c>
      <c r="E3965" s="32" t="s">
        <v>453</v>
      </c>
      <c r="F3965" s="32" t="s">
        <v>57</v>
      </c>
      <c r="G3965" s="32" t="s">
        <v>50</v>
      </c>
      <c r="H3965" s="33">
        <v>208130</v>
      </c>
      <c r="I3965" s="34">
        <f>Table3[[#This Row],[Volume, kg.]]/1000</f>
        <v>208.13</v>
      </c>
      <c r="J3965" s="34">
        <v>0.2402</v>
      </c>
      <c r="K3965" s="34">
        <f t="shared" si="122"/>
        <v>49992.826000000001</v>
      </c>
      <c r="L3965" s="34">
        <v>2.31</v>
      </c>
      <c r="M3965" s="34">
        <v>480695</v>
      </c>
      <c r="N3965" s="34">
        <f t="shared" si="123"/>
        <v>9.6169858451290597</v>
      </c>
    </row>
    <row r="3966" spans="1:14" x14ac:dyDescent="0.45">
      <c r="A3966" s="30">
        <v>2024</v>
      </c>
      <c r="B3966" s="30" t="s">
        <v>15</v>
      </c>
      <c r="C3966" s="30" t="s">
        <v>46</v>
      </c>
      <c r="D3966" s="30" t="s">
        <v>47</v>
      </c>
      <c r="E3966" s="32" t="s">
        <v>315</v>
      </c>
      <c r="F3966" s="32" t="s">
        <v>134</v>
      </c>
      <c r="G3966" s="32" t="s">
        <v>50</v>
      </c>
      <c r="H3966" s="33">
        <v>20450</v>
      </c>
      <c r="I3966" s="34">
        <f>Table3[[#This Row],[Volume, kg.]]/1000</f>
        <v>20.45</v>
      </c>
      <c r="J3966" s="34">
        <v>0.18469999999999998</v>
      </c>
      <c r="K3966" s="34">
        <f t="shared" si="122"/>
        <v>3777.1149999999993</v>
      </c>
      <c r="L3966" s="34">
        <v>2</v>
      </c>
      <c r="M3966" s="34">
        <v>40900</v>
      </c>
      <c r="N3966" s="34">
        <f t="shared" si="123"/>
        <v>10.828370330265297</v>
      </c>
    </row>
    <row r="3967" spans="1:14" x14ac:dyDescent="0.45">
      <c r="A3967" s="30">
        <v>2024</v>
      </c>
      <c r="B3967" s="30" t="s">
        <v>15</v>
      </c>
      <c r="C3967" s="30" t="s">
        <v>46</v>
      </c>
      <c r="D3967" s="30" t="s">
        <v>47</v>
      </c>
      <c r="E3967" s="32" t="s">
        <v>141</v>
      </c>
      <c r="F3967" s="32" t="s">
        <v>49</v>
      </c>
      <c r="G3967" s="32" t="s">
        <v>50</v>
      </c>
      <c r="H3967" s="33">
        <v>9460</v>
      </c>
      <c r="I3967" s="34">
        <f>Table3[[#This Row],[Volume, kg.]]/1000</f>
        <v>9.4600000000000009</v>
      </c>
      <c r="J3967" s="34">
        <v>0.22500000000000001</v>
      </c>
      <c r="K3967" s="34">
        <f t="shared" si="122"/>
        <v>2128.5</v>
      </c>
      <c r="L3967" s="34">
        <v>2.2000000000000002</v>
      </c>
      <c r="M3967" s="34">
        <v>20812</v>
      </c>
      <c r="N3967" s="34">
        <f t="shared" si="123"/>
        <v>9.7777777777777786</v>
      </c>
    </row>
    <row r="3968" spans="1:14" x14ac:dyDescent="0.45">
      <c r="A3968" s="30">
        <v>2024</v>
      </c>
      <c r="B3968" s="30" t="s">
        <v>15</v>
      </c>
      <c r="C3968" s="30" t="s">
        <v>46</v>
      </c>
      <c r="D3968" s="30" t="s">
        <v>47</v>
      </c>
      <c r="E3968" s="32" t="s">
        <v>227</v>
      </c>
      <c r="F3968" s="32" t="s">
        <v>57</v>
      </c>
      <c r="G3968" s="32" t="s">
        <v>50</v>
      </c>
      <c r="H3968" s="33">
        <v>39280</v>
      </c>
      <c r="I3968" s="34">
        <f>Table3[[#This Row],[Volume, kg.]]/1000</f>
        <v>39.28</v>
      </c>
      <c r="J3968" s="34">
        <v>0.23719999999999999</v>
      </c>
      <c r="K3968" s="34">
        <f t="shared" si="122"/>
        <v>9317.2160000000003</v>
      </c>
      <c r="L3968" s="34">
        <v>2.3199999999999998</v>
      </c>
      <c r="M3968" s="34">
        <v>90957.5</v>
      </c>
      <c r="N3968" s="34">
        <f t="shared" si="123"/>
        <v>9.7807757166947713</v>
      </c>
    </row>
    <row r="3969" spans="1:14" x14ac:dyDescent="0.45">
      <c r="A3969" s="30">
        <v>2024</v>
      </c>
      <c r="B3969" s="30" t="s">
        <v>15</v>
      </c>
      <c r="C3969" s="30" t="s">
        <v>46</v>
      </c>
      <c r="D3969" s="30" t="s">
        <v>47</v>
      </c>
      <c r="E3969" s="32" t="s">
        <v>509</v>
      </c>
      <c r="F3969" s="32" t="s">
        <v>49</v>
      </c>
      <c r="G3969" s="32" t="s">
        <v>50</v>
      </c>
      <c r="H3969" s="33">
        <v>70730</v>
      </c>
      <c r="I3969" s="34">
        <f>Table3[[#This Row],[Volume, kg.]]/1000</f>
        <v>70.73</v>
      </c>
      <c r="J3969" s="34">
        <v>0.2535</v>
      </c>
      <c r="K3969" s="34">
        <f t="shared" si="122"/>
        <v>17930.055</v>
      </c>
      <c r="L3969" s="34">
        <v>2.39</v>
      </c>
      <c r="M3969" s="34">
        <v>168754</v>
      </c>
      <c r="N3969" s="34">
        <f t="shared" si="123"/>
        <v>9.4280078895463522</v>
      </c>
    </row>
    <row r="3970" spans="1:14" x14ac:dyDescent="0.45">
      <c r="A3970" s="30">
        <v>2024</v>
      </c>
      <c r="B3970" s="30" t="s">
        <v>15</v>
      </c>
      <c r="C3970" s="30" t="s">
        <v>46</v>
      </c>
      <c r="D3970" s="30" t="s">
        <v>47</v>
      </c>
      <c r="E3970" s="32" t="s">
        <v>66</v>
      </c>
      <c r="F3970" s="32" t="s">
        <v>49</v>
      </c>
      <c r="G3970" s="32" t="s">
        <v>50</v>
      </c>
      <c r="H3970" s="33">
        <v>65040</v>
      </c>
      <c r="I3970" s="34">
        <f>Table3[[#This Row],[Volume, kg.]]/1000</f>
        <v>65.040000000000006</v>
      </c>
      <c r="J3970" s="34">
        <v>0.2225</v>
      </c>
      <c r="K3970" s="34">
        <f t="shared" si="122"/>
        <v>14471.4</v>
      </c>
      <c r="L3970" s="34">
        <v>2.2000000000000002</v>
      </c>
      <c r="M3970" s="34">
        <v>142799</v>
      </c>
      <c r="N3970" s="34">
        <f t="shared" si="123"/>
        <v>9.8876404494382033</v>
      </c>
    </row>
    <row r="3971" spans="1:14" x14ac:dyDescent="0.45">
      <c r="A3971" s="30">
        <v>2024</v>
      </c>
      <c r="B3971" s="30" t="s">
        <v>15</v>
      </c>
      <c r="C3971" s="30" t="s">
        <v>46</v>
      </c>
      <c r="D3971" s="30" t="s">
        <v>47</v>
      </c>
      <c r="E3971" s="32" t="s">
        <v>480</v>
      </c>
      <c r="F3971" s="32" t="s">
        <v>49</v>
      </c>
      <c r="G3971" s="32" t="s">
        <v>50</v>
      </c>
      <c r="H3971" s="33">
        <v>74650</v>
      </c>
      <c r="I3971" s="34">
        <f>Table3[[#This Row],[Volume, kg.]]/1000</f>
        <v>74.650000000000006</v>
      </c>
      <c r="J3971" s="34">
        <v>0.22159999999999999</v>
      </c>
      <c r="K3971" s="34">
        <f t="shared" ref="K3971:K4034" si="124">H3971*J3971</f>
        <v>16542.439999999999</v>
      </c>
      <c r="L3971" s="34">
        <v>2.2000000000000002</v>
      </c>
      <c r="M3971" s="34">
        <v>163925</v>
      </c>
      <c r="N3971" s="34">
        <f t="shared" si="123"/>
        <v>9.9277978339350188</v>
      </c>
    </row>
    <row r="3972" spans="1:14" x14ac:dyDescent="0.45">
      <c r="A3972" s="30">
        <v>2024</v>
      </c>
      <c r="B3972" s="30" t="s">
        <v>15</v>
      </c>
      <c r="C3972" s="30" t="s">
        <v>46</v>
      </c>
      <c r="D3972" s="30" t="s">
        <v>47</v>
      </c>
      <c r="E3972" s="32" t="s">
        <v>159</v>
      </c>
      <c r="F3972" s="32" t="s">
        <v>81</v>
      </c>
      <c r="G3972" s="32" t="s">
        <v>50</v>
      </c>
      <c r="H3972" s="33">
        <v>105260</v>
      </c>
      <c r="I3972" s="34">
        <f>Table3[[#This Row],[Volume, kg.]]/1000</f>
        <v>105.26</v>
      </c>
      <c r="J3972" s="34">
        <v>0.22399999999999998</v>
      </c>
      <c r="K3972" s="34">
        <f t="shared" si="124"/>
        <v>23578.239999999998</v>
      </c>
      <c r="L3972" s="34">
        <v>2.2400000000000002</v>
      </c>
      <c r="M3972" s="34">
        <v>235896.5</v>
      </c>
      <c r="N3972" s="34">
        <f t="shared" ref="N3972:N4035" si="125">L3972/J3972</f>
        <v>10.000000000000002</v>
      </c>
    </row>
    <row r="3973" spans="1:14" x14ac:dyDescent="0.45">
      <c r="A3973" s="30">
        <v>2024</v>
      </c>
      <c r="B3973" s="30" t="s">
        <v>15</v>
      </c>
      <c r="C3973" s="30" t="s">
        <v>46</v>
      </c>
      <c r="D3973" s="30" t="s">
        <v>47</v>
      </c>
      <c r="E3973" s="32" t="s">
        <v>228</v>
      </c>
      <c r="F3973" s="32" t="s">
        <v>64</v>
      </c>
      <c r="G3973" s="32" t="s">
        <v>50</v>
      </c>
      <c r="H3973" s="33">
        <v>21080</v>
      </c>
      <c r="I3973" s="34">
        <f>Table3[[#This Row],[Volume, kg.]]/1000</f>
        <v>21.08</v>
      </c>
      <c r="J3973" s="34">
        <v>0.2291</v>
      </c>
      <c r="K3973" s="34">
        <f t="shared" si="124"/>
        <v>4829.4279999999999</v>
      </c>
      <c r="L3973" s="34">
        <v>2.25</v>
      </c>
      <c r="M3973" s="34">
        <v>47430</v>
      </c>
      <c r="N3973" s="34">
        <f t="shared" si="125"/>
        <v>9.8210388476647754</v>
      </c>
    </row>
    <row r="3974" spans="1:14" x14ac:dyDescent="0.45">
      <c r="A3974" s="30">
        <v>2024</v>
      </c>
      <c r="B3974" s="30" t="s">
        <v>15</v>
      </c>
      <c r="C3974" s="30" t="s">
        <v>46</v>
      </c>
      <c r="D3974" s="30" t="s">
        <v>47</v>
      </c>
      <c r="E3974" s="32" t="s">
        <v>146</v>
      </c>
      <c r="F3974" s="32" t="s">
        <v>64</v>
      </c>
      <c r="G3974" s="32" t="s">
        <v>50</v>
      </c>
      <c r="H3974" s="33">
        <v>61820</v>
      </c>
      <c r="I3974" s="34">
        <f>Table3[[#This Row],[Volume, kg.]]/1000</f>
        <v>61.82</v>
      </c>
      <c r="J3974" s="34">
        <v>0.22920000000000001</v>
      </c>
      <c r="K3974" s="34">
        <f t="shared" si="124"/>
        <v>14169.144</v>
      </c>
      <c r="L3974" s="34">
        <v>2.29</v>
      </c>
      <c r="M3974" s="34">
        <v>141706</v>
      </c>
      <c r="N3974" s="34">
        <f t="shared" si="125"/>
        <v>9.991273996509598</v>
      </c>
    </row>
    <row r="3975" spans="1:14" x14ac:dyDescent="0.45">
      <c r="A3975" s="30">
        <v>2024</v>
      </c>
      <c r="B3975" s="30" t="s">
        <v>15</v>
      </c>
      <c r="C3975" s="30" t="s">
        <v>46</v>
      </c>
      <c r="D3975" s="30" t="s">
        <v>47</v>
      </c>
      <c r="E3975" s="32" t="s">
        <v>405</v>
      </c>
      <c r="F3975" s="32" t="s">
        <v>240</v>
      </c>
      <c r="G3975" s="32" t="s">
        <v>50</v>
      </c>
      <c r="H3975" s="33">
        <v>32270</v>
      </c>
      <c r="I3975" s="34">
        <f>Table3[[#This Row],[Volume, kg.]]/1000</f>
        <v>32.270000000000003</v>
      </c>
      <c r="J3975" s="34">
        <v>0.19570000000000001</v>
      </c>
      <c r="K3975" s="34">
        <f t="shared" si="124"/>
        <v>6315.2390000000005</v>
      </c>
      <c r="L3975" s="34">
        <v>2.0699999999999998</v>
      </c>
      <c r="M3975" s="34">
        <v>66798.5</v>
      </c>
      <c r="N3975" s="34">
        <f t="shared" si="125"/>
        <v>10.577414409810933</v>
      </c>
    </row>
    <row r="3976" spans="1:14" x14ac:dyDescent="0.45">
      <c r="A3976" s="30">
        <v>2024</v>
      </c>
      <c r="B3976" s="30" t="s">
        <v>15</v>
      </c>
      <c r="C3976" s="30" t="s">
        <v>46</v>
      </c>
      <c r="D3976" s="30" t="s">
        <v>47</v>
      </c>
      <c r="E3976" s="32" t="s">
        <v>347</v>
      </c>
      <c r="F3976" s="32" t="s">
        <v>49</v>
      </c>
      <c r="G3976" s="32" t="s">
        <v>50</v>
      </c>
      <c r="H3976" s="33">
        <v>4580</v>
      </c>
      <c r="I3976" s="34">
        <f>Table3[[#This Row],[Volume, kg.]]/1000</f>
        <v>4.58</v>
      </c>
      <c r="J3976" s="34">
        <v>0.253</v>
      </c>
      <c r="K3976" s="34">
        <f t="shared" si="124"/>
        <v>1158.74</v>
      </c>
      <c r="L3976" s="34">
        <v>2.35</v>
      </c>
      <c r="M3976" s="34">
        <v>10763</v>
      </c>
      <c r="N3976" s="34">
        <f t="shared" si="125"/>
        <v>9.2885375494071152</v>
      </c>
    </row>
    <row r="3977" spans="1:14" x14ac:dyDescent="0.45">
      <c r="A3977" s="30">
        <v>2024</v>
      </c>
      <c r="B3977" s="30" t="s">
        <v>15</v>
      </c>
      <c r="C3977" s="30" t="s">
        <v>46</v>
      </c>
      <c r="D3977" s="30" t="s">
        <v>47</v>
      </c>
      <c r="E3977" s="32" t="s">
        <v>161</v>
      </c>
      <c r="F3977" s="32" t="s">
        <v>57</v>
      </c>
      <c r="G3977" s="32" t="s">
        <v>50</v>
      </c>
      <c r="H3977" s="33">
        <v>37720</v>
      </c>
      <c r="I3977" s="34">
        <f>Table3[[#This Row],[Volume, kg.]]/1000</f>
        <v>37.72</v>
      </c>
      <c r="J3977" s="34">
        <v>0.21890000000000001</v>
      </c>
      <c r="K3977" s="34">
        <f t="shared" si="124"/>
        <v>8256.9080000000013</v>
      </c>
      <c r="L3977" s="34">
        <v>2.2400000000000002</v>
      </c>
      <c r="M3977" s="34">
        <v>84375</v>
      </c>
      <c r="N3977" s="34">
        <f t="shared" si="125"/>
        <v>10.232983097304706</v>
      </c>
    </row>
    <row r="3978" spans="1:14" x14ac:dyDescent="0.45">
      <c r="A3978" s="30">
        <v>2024</v>
      </c>
      <c r="B3978" s="30" t="s">
        <v>15</v>
      </c>
      <c r="C3978" s="30" t="s">
        <v>46</v>
      </c>
      <c r="D3978" s="30" t="s">
        <v>47</v>
      </c>
      <c r="E3978" s="32" t="s">
        <v>255</v>
      </c>
      <c r="F3978" s="32" t="s">
        <v>60</v>
      </c>
      <c r="G3978" s="32" t="s">
        <v>50</v>
      </c>
      <c r="H3978" s="33">
        <v>101390</v>
      </c>
      <c r="I3978" s="34">
        <f>Table3[[#This Row],[Volume, kg.]]/1000</f>
        <v>101.39</v>
      </c>
      <c r="J3978" s="34">
        <v>0.23780000000000001</v>
      </c>
      <c r="K3978" s="34">
        <f t="shared" si="124"/>
        <v>24110.542000000001</v>
      </c>
      <c r="L3978" s="34">
        <v>2.2999999999999998</v>
      </c>
      <c r="M3978" s="34">
        <v>233418</v>
      </c>
      <c r="N3978" s="34">
        <f t="shared" si="125"/>
        <v>9.671993271656854</v>
      </c>
    </row>
    <row r="3979" spans="1:14" x14ac:dyDescent="0.45">
      <c r="A3979" s="30">
        <v>2024</v>
      </c>
      <c r="B3979" s="30" t="s">
        <v>15</v>
      </c>
      <c r="C3979" s="30" t="s">
        <v>46</v>
      </c>
      <c r="D3979" s="30" t="s">
        <v>47</v>
      </c>
      <c r="E3979" s="32" t="s">
        <v>309</v>
      </c>
      <c r="F3979" s="32" t="s">
        <v>81</v>
      </c>
      <c r="G3979" s="32" t="s">
        <v>50</v>
      </c>
      <c r="H3979" s="33">
        <v>73040</v>
      </c>
      <c r="I3979" s="34">
        <f>Table3[[#This Row],[Volume, kg.]]/1000</f>
        <v>73.040000000000006</v>
      </c>
      <c r="J3979" s="34">
        <v>0.23280000000000001</v>
      </c>
      <c r="K3979" s="34">
        <f t="shared" si="124"/>
        <v>17003.712</v>
      </c>
      <c r="L3979" s="34">
        <v>2.23</v>
      </c>
      <c r="M3979" s="34">
        <v>163212.5</v>
      </c>
      <c r="N3979" s="34">
        <f t="shared" si="125"/>
        <v>9.5790378006872849</v>
      </c>
    </row>
    <row r="3980" spans="1:14" x14ac:dyDescent="0.45">
      <c r="A3980" s="30">
        <v>2024</v>
      </c>
      <c r="B3980" s="30" t="s">
        <v>15</v>
      </c>
      <c r="C3980" s="30" t="s">
        <v>46</v>
      </c>
      <c r="D3980" s="30" t="s">
        <v>47</v>
      </c>
      <c r="E3980" s="32" t="s">
        <v>510</v>
      </c>
      <c r="F3980" s="32" t="s">
        <v>49</v>
      </c>
      <c r="G3980" s="32" t="s">
        <v>50</v>
      </c>
      <c r="H3980" s="33">
        <v>87890</v>
      </c>
      <c r="I3980" s="34">
        <f>Table3[[#This Row],[Volume, kg.]]/1000</f>
        <v>87.89</v>
      </c>
      <c r="J3980" s="34">
        <v>0.22719999999999999</v>
      </c>
      <c r="K3980" s="34">
        <f t="shared" si="124"/>
        <v>19968.608</v>
      </c>
      <c r="L3980" s="34">
        <v>2.2200000000000002</v>
      </c>
      <c r="M3980" s="34">
        <v>194697.5</v>
      </c>
      <c r="N3980" s="34">
        <f t="shared" si="125"/>
        <v>9.7711267605633818</v>
      </c>
    </row>
    <row r="3981" spans="1:14" x14ac:dyDescent="0.45">
      <c r="A3981" s="30">
        <v>2024</v>
      </c>
      <c r="B3981" s="30" t="s">
        <v>15</v>
      </c>
      <c r="C3981" s="30" t="s">
        <v>46</v>
      </c>
      <c r="D3981" s="30" t="s">
        <v>47</v>
      </c>
      <c r="E3981" s="32" t="s">
        <v>136</v>
      </c>
      <c r="F3981" s="32" t="s">
        <v>49</v>
      </c>
      <c r="G3981" s="32" t="s">
        <v>50</v>
      </c>
      <c r="H3981" s="33">
        <v>98930</v>
      </c>
      <c r="I3981" s="34">
        <f>Table3[[#This Row],[Volume, kg.]]/1000</f>
        <v>98.93</v>
      </c>
      <c r="J3981" s="34">
        <v>0.2228</v>
      </c>
      <c r="K3981" s="34">
        <f t="shared" si="124"/>
        <v>22041.603999999999</v>
      </c>
      <c r="L3981" s="34">
        <v>2.21</v>
      </c>
      <c r="M3981" s="34">
        <v>218613.5</v>
      </c>
      <c r="N3981" s="34">
        <f t="shared" si="125"/>
        <v>9.9192100538599632</v>
      </c>
    </row>
    <row r="3982" spans="1:14" x14ac:dyDescent="0.45">
      <c r="A3982" s="30">
        <v>2024</v>
      </c>
      <c r="B3982" s="30" t="s">
        <v>15</v>
      </c>
      <c r="C3982" s="30" t="s">
        <v>46</v>
      </c>
      <c r="D3982" s="30" t="s">
        <v>47</v>
      </c>
      <c r="E3982" s="32" t="s">
        <v>575</v>
      </c>
      <c r="F3982" s="32" t="s">
        <v>64</v>
      </c>
      <c r="G3982" s="32" t="s">
        <v>50</v>
      </c>
      <c r="H3982" s="33">
        <v>13410</v>
      </c>
      <c r="I3982" s="34">
        <f>Table3[[#This Row],[Volume, kg.]]/1000</f>
        <v>13.41</v>
      </c>
      <c r="J3982" s="34">
        <v>0.22899999999999998</v>
      </c>
      <c r="K3982" s="34">
        <f t="shared" si="124"/>
        <v>3070.89</v>
      </c>
      <c r="L3982" s="34">
        <v>2.2000000000000002</v>
      </c>
      <c r="M3982" s="34">
        <v>29502</v>
      </c>
      <c r="N3982" s="34">
        <f t="shared" si="125"/>
        <v>9.6069868995633207</v>
      </c>
    </row>
    <row r="3983" spans="1:14" x14ac:dyDescent="0.45">
      <c r="A3983" s="30">
        <v>2024</v>
      </c>
      <c r="B3983" s="30" t="s">
        <v>15</v>
      </c>
      <c r="C3983" s="30" t="s">
        <v>46</v>
      </c>
      <c r="D3983" s="30" t="s">
        <v>47</v>
      </c>
      <c r="E3983" s="32" t="s">
        <v>316</v>
      </c>
      <c r="F3983" s="32" t="s">
        <v>57</v>
      </c>
      <c r="G3983" s="32" t="s">
        <v>50</v>
      </c>
      <c r="H3983" s="33">
        <v>76290</v>
      </c>
      <c r="I3983" s="34">
        <f>Table3[[#This Row],[Volume, kg.]]/1000</f>
        <v>76.290000000000006</v>
      </c>
      <c r="J3983" s="34">
        <v>0.23699999999999999</v>
      </c>
      <c r="K3983" s="34">
        <f t="shared" si="124"/>
        <v>18080.73</v>
      </c>
      <c r="L3983" s="34">
        <v>2.2799999999999998</v>
      </c>
      <c r="M3983" s="34">
        <v>173976</v>
      </c>
      <c r="N3983" s="34">
        <f t="shared" si="125"/>
        <v>9.6202531645569618</v>
      </c>
    </row>
    <row r="3984" spans="1:14" x14ac:dyDescent="0.45">
      <c r="A3984" s="30">
        <v>2024</v>
      </c>
      <c r="B3984" s="30" t="s">
        <v>15</v>
      </c>
      <c r="C3984" s="30" t="s">
        <v>46</v>
      </c>
      <c r="D3984" s="30" t="s">
        <v>47</v>
      </c>
      <c r="E3984" s="32" t="s">
        <v>91</v>
      </c>
      <c r="F3984" s="32" t="s">
        <v>60</v>
      </c>
      <c r="G3984" s="32" t="s">
        <v>50</v>
      </c>
      <c r="H3984" s="33">
        <v>60420</v>
      </c>
      <c r="I3984" s="34">
        <f>Table3[[#This Row],[Volume, kg.]]/1000</f>
        <v>60.42</v>
      </c>
      <c r="J3984" s="34">
        <v>0.20730000000000001</v>
      </c>
      <c r="K3984" s="34">
        <f t="shared" si="124"/>
        <v>12525.066000000001</v>
      </c>
      <c r="L3984" s="34">
        <v>2.19</v>
      </c>
      <c r="M3984" s="34">
        <v>132178</v>
      </c>
      <c r="N3984" s="34">
        <f t="shared" si="125"/>
        <v>10.564399421128797</v>
      </c>
    </row>
    <row r="3985" spans="1:14" x14ac:dyDescent="0.45">
      <c r="A3985" s="30">
        <v>2024</v>
      </c>
      <c r="B3985" s="30" t="s">
        <v>15</v>
      </c>
      <c r="C3985" s="30" t="s">
        <v>46</v>
      </c>
      <c r="D3985" s="30" t="s">
        <v>47</v>
      </c>
      <c r="E3985" s="32" t="s">
        <v>53</v>
      </c>
      <c r="F3985" s="32" t="s">
        <v>54</v>
      </c>
      <c r="G3985" s="32" t="s">
        <v>50</v>
      </c>
      <c r="H3985" s="33">
        <v>135890</v>
      </c>
      <c r="I3985" s="34">
        <f>Table3[[#This Row],[Volume, kg.]]/1000</f>
        <v>135.88999999999999</v>
      </c>
      <c r="J3985" s="34">
        <v>0.22500000000000001</v>
      </c>
      <c r="K3985" s="34">
        <f t="shared" si="124"/>
        <v>30575.25</v>
      </c>
      <c r="L3985" s="34">
        <v>2.23</v>
      </c>
      <c r="M3985" s="34">
        <v>303332.5</v>
      </c>
      <c r="N3985" s="34">
        <f t="shared" si="125"/>
        <v>9.9111111111111114</v>
      </c>
    </row>
    <row r="3986" spans="1:14" x14ac:dyDescent="0.45">
      <c r="A3986" s="30">
        <v>2024</v>
      </c>
      <c r="B3986" s="30" t="s">
        <v>15</v>
      </c>
      <c r="C3986" s="30" t="s">
        <v>46</v>
      </c>
      <c r="D3986" s="30" t="s">
        <v>47</v>
      </c>
      <c r="E3986" s="32" t="s">
        <v>120</v>
      </c>
      <c r="F3986" s="32" t="s">
        <v>49</v>
      </c>
      <c r="G3986" s="32" t="s">
        <v>50</v>
      </c>
      <c r="H3986" s="33">
        <v>81500</v>
      </c>
      <c r="I3986" s="34">
        <f>Table3[[#This Row],[Volume, kg.]]/1000</f>
        <v>81.5</v>
      </c>
      <c r="J3986" s="34">
        <v>0.22370000000000001</v>
      </c>
      <c r="K3986" s="34">
        <f t="shared" si="124"/>
        <v>18231.55</v>
      </c>
      <c r="L3986" s="34">
        <v>2.21</v>
      </c>
      <c r="M3986" s="34">
        <v>179799.5</v>
      </c>
      <c r="N3986" s="34">
        <f t="shared" si="125"/>
        <v>9.879302637460885</v>
      </c>
    </row>
    <row r="3987" spans="1:14" x14ac:dyDescent="0.45">
      <c r="A3987" s="30">
        <v>2024</v>
      </c>
      <c r="B3987" s="30" t="s">
        <v>15</v>
      </c>
      <c r="C3987" s="30" t="s">
        <v>46</v>
      </c>
      <c r="D3987" s="30" t="s">
        <v>47</v>
      </c>
      <c r="E3987" s="32" t="s">
        <v>151</v>
      </c>
      <c r="F3987" s="32" t="s">
        <v>60</v>
      </c>
      <c r="G3987" s="32" t="s">
        <v>50</v>
      </c>
      <c r="H3987" s="33">
        <v>78230</v>
      </c>
      <c r="I3987" s="34">
        <f>Table3[[#This Row],[Volume, kg.]]/1000</f>
        <v>78.23</v>
      </c>
      <c r="J3987" s="34">
        <v>0.2422</v>
      </c>
      <c r="K3987" s="34">
        <f t="shared" si="124"/>
        <v>18947.306</v>
      </c>
      <c r="L3987" s="34">
        <v>2.33</v>
      </c>
      <c r="M3987" s="34">
        <v>181982</v>
      </c>
      <c r="N3987" s="34">
        <f t="shared" si="125"/>
        <v>9.6201486374896774</v>
      </c>
    </row>
    <row r="3988" spans="1:14" x14ac:dyDescent="0.45">
      <c r="A3988" s="30">
        <v>2024</v>
      </c>
      <c r="B3988" s="30" t="s">
        <v>15</v>
      </c>
      <c r="C3988" s="30" t="s">
        <v>46</v>
      </c>
      <c r="D3988" s="30" t="s">
        <v>47</v>
      </c>
      <c r="E3988" s="32" t="s">
        <v>130</v>
      </c>
      <c r="F3988" s="32" t="s">
        <v>64</v>
      </c>
      <c r="G3988" s="32" t="s">
        <v>50</v>
      </c>
      <c r="H3988" s="33">
        <v>12250</v>
      </c>
      <c r="I3988" s="34">
        <f>Table3[[#This Row],[Volume, kg.]]/1000</f>
        <v>12.25</v>
      </c>
      <c r="J3988" s="34">
        <v>0.24249999999999999</v>
      </c>
      <c r="K3988" s="34">
        <f t="shared" si="124"/>
        <v>2970.625</v>
      </c>
      <c r="L3988" s="34">
        <v>2.2999999999999998</v>
      </c>
      <c r="M3988" s="34">
        <v>28175</v>
      </c>
      <c r="N3988" s="34">
        <f t="shared" si="125"/>
        <v>9.4845360824742269</v>
      </c>
    </row>
    <row r="3989" spans="1:14" x14ac:dyDescent="0.45">
      <c r="A3989" s="30">
        <v>2024</v>
      </c>
      <c r="B3989" s="30" t="s">
        <v>15</v>
      </c>
      <c r="C3989" s="30" t="s">
        <v>46</v>
      </c>
      <c r="D3989" s="30" t="s">
        <v>47</v>
      </c>
      <c r="E3989" s="32" t="s">
        <v>351</v>
      </c>
      <c r="F3989" s="32" t="s">
        <v>49</v>
      </c>
      <c r="G3989" s="32" t="s">
        <v>50</v>
      </c>
      <c r="H3989" s="33">
        <v>55510</v>
      </c>
      <c r="I3989" s="34">
        <f>Table3[[#This Row],[Volume, kg.]]/1000</f>
        <v>55.51</v>
      </c>
      <c r="J3989" s="34">
        <v>0.22469999999999998</v>
      </c>
      <c r="K3989" s="34">
        <f t="shared" si="124"/>
        <v>12473.097</v>
      </c>
      <c r="L3989" s="34">
        <v>2.23</v>
      </c>
      <c r="M3989" s="34">
        <v>124045.5</v>
      </c>
      <c r="N3989" s="34">
        <f t="shared" si="125"/>
        <v>9.9243435692033835</v>
      </c>
    </row>
    <row r="3990" spans="1:14" x14ac:dyDescent="0.45">
      <c r="A3990" s="30">
        <v>2024</v>
      </c>
      <c r="B3990" s="30" t="s">
        <v>15</v>
      </c>
      <c r="C3990" s="30" t="s">
        <v>46</v>
      </c>
      <c r="D3990" s="30" t="s">
        <v>47</v>
      </c>
      <c r="E3990" s="32" t="s">
        <v>133</v>
      </c>
      <c r="F3990" s="32" t="s">
        <v>134</v>
      </c>
      <c r="G3990" s="32" t="s">
        <v>50</v>
      </c>
      <c r="H3990" s="33">
        <v>13380</v>
      </c>
      <c r="I3990" s="34">
        <f>Table3[[#This Row],[Volume, kg.]]/1000</f>
        <v>13.38</v>
      </c>
      <c r="J3990" s="34">
        <v>0.22800000000000001</v>
      </c>
      <c r="K3990" s="34">
        <f t="shared" si="124"/>
        <v>3050.6400000000003</v>
      </c>
      <c r="L3990" s="34">
        <v>2.2999999999999998</v>
      </c>
      <c r="M3990" s="34">
        <v>30774</v>
      </c>
      <c r="N3990" s="34">
        <f t="shared" si="125"/>
        <v>10.087719298245613</v>
      </c>
    </row>
    <row r="3991" spans="1:14" x14ac:dyDescent="0.45">
      <c r="A3991" s="30">
        <v>2024</v>
      </c>
      <c r="B3991" s="30" t="s">
        <v>15</v>
      </c>
      <c r="C3991" s="30" t="s">
        <v>46</v>
      </c>
      <c r="D3991" s="30" t="s">
        <v>47</v>
      </c>
      <c r="E3991" s="32" t="s">
        <v>252</v>
      </c>
      <c r="F3991" s="32" t="s">
        <v>49</v>
      </c>
      <c r="G3991" s="32" t="s">
        <v>50</v>
      </c>
      <c r="H3991" s="33">
        <v>73400</v>
      </c>
      <c r="I3991" s="34">
        <f>Table3[[#This Row],[Volume, kg.]]/1000</f>
        <v>73.400000000000006</v>
      </c>
      <c r="J3991" s="34">
        <v>0.23190000000000002</v>
      </c>
      <c r="K3991" s="34">
        <f t="shared" si="124"/>
        <v>17021.460000000003</v>
      </c>
      <c r="L3991" s="34">
        <v>2.2799999999999998</v>
      </c>
      <c r="M3991" s="34">
        <v>167428</v>
      </c>
      <c r="N3991" s="34">
        <f t="shared" si="125"/>
        <v>9.8318240620957287</v>
      </c>
    </row>
    <row r="3992" spans="1:14" x14ac:dyDescent="0.45">
      <c r="A3992" s="30">
        <v>2024</v>
      </c>
      <c r="B3992" s="30" t="s">
        <v>15</v>
      </c>
      <c r="C3992" s="30" t="s">
        <v>46</v>
      </c>
      <c r="D3992" s="30" t="s">
        <v>47</v>
      </c>
      <c r="E3992" s="32" t="s">
        <v>95</v>
      </c>
      <c r="F3992" s="32" t="s">
        <v>49</v>
      </c>
      <c r="G3992" s="32" t="s">
        <v>50</v>
      </c>
      <c r="H3992" s="33">
        <v>37180</v>
      </c>
      <c r="I3992" s="34">
        <f>Table3[[#This Row],[Volume, kg.]]/1000</f>
        <v>37.18</v>
      </c>
      <c r="J3992" s="34">
        <v>0.2097</v>
      </c>
      <c r="K3992" s="34">
        <f t="shared" si="124"/>
        <v>7796.6459999999997</v>
      </c>
      <c r="L3992" s="34">
        <v>2.16</v>
      </c>
      <c r="M3992" s="34">
        <v>80184.5</v>
      </c>
      <c r="N3992" s="34">
        <f t="shared" si="125"/>
        <v>10.300429184549357</v>
      </c>
    </row>
    <row r="3993" spans="1:14" x14ac:dyDescent="0.45">
      <c r="A3993" s="30">
        <v>2024</v>
      </c>
      <c r="B3993" s="30" t="s">
        <v>15</v>
      </c>
      <c r="C3993" s="30" t="s">
        <v>46</v>
      </c>
      <c r="D3993" s="30" t="s">
        <v>47</v>
      </c>
      <c r="E3993" s="32" t="s">
        <v>205</v>
      </c>
      <c r="F3993" s="32" t="s">
        <v>49</v>
      </c>
      <c r="G3993" s="32" t="s">
        <v>50</v>
      </c>
      <c r="H3993" s="33">
        <v>133540</v>
      </c>
      <c r="I3993" s="34">
        <f>Table3[[#This Row],[Volume, kg.]]/1000</f>
        <v>133.54</v>
      </c>
      <c r="J3993" s="34">
        <v>0.217</v>
      </c>
      <c r="K3993" s="34">
        <f t="shared" si="124"/>
        <v>28978.18</v>
      </c>
      <c r="L3993" s="34">
        <v>2.19</v>
      </c>
      <c r="M3993" s="34">
        <v>292804</v>
      </c>
      <c r="N3993" s="34">
        <f t="shared" si="125"/>
        <v>10.092165898617511</v>
      </c>
    </row>
    <row r="3994" spans="1:14" x14ac:dyDescent="0.45">
      <c r="A3994" s="30">
        <v>2024</v>
      </c>
      <c r="B3994" s="30" t="s">
        <v>15</v>
      </c>
      <c r="C3994" s="30" t="s">
        <v>46</v>
      </c>
      <c r="D3994" s="30" t="s">
        <v>47</v>
      </c>
      <c r="E3994" s="32" t="s">
        <v>511</v>
      </c>
      <c r="F3994" s="32" t="s">
        <v>60</v>
      </c>
      <c r="G3994" s="32" t="s">
        <v>50</v>
      </c>
      <c r="H3994" s="33">
        <v>11490</v>
      </c>
      <c r="I3994" s="34">
        <f>Table3[[#This Row],[Volume, kg.]]/1000</f>
        <v>11.49</v>
      </c>
      <c r="J3994" s="34">
        <v>0.22600000000000001</v>
      </c>
      <c r="K3994" s="34">
        <f t="shared" si="124"/>
        <v>2596.7400000000002</v>
      </c>
      <c r="L3994" s="34">
        <v>2.25</v>
      </c>
      <c r="M3994" s="34">
        <v>25852.5</v>
      </c>
      <c r="N3994" s="34">
        <f t="shared" si="125"/>
        <v>9.9557522123893811</v>
      </c>
    </row>
    <row r="3995" spans="1:14" x14ac:dyDescent="0.45">
      <c r="A3995" s="30">
        <v>2024</v>
      </c>
      <c r="B3995" s="30" t="s">
        <v>15</v>
      </c>
      <c r="C3995" s="30" t="s">
        <v>46</v>
      </c>
      <c r="D3995" s="30" t="s">
        <v>47</v>
      </c>
      <c r="E3995" s="32" t="s">
        <v>412</v>
      </c>
      <c r="F3995" s="32" t="s">
        <v>57</v>
      </c>
      <c r="G3995" s="32" t="s">
        <v>50</v>
      </c>
      <c r="H3995" s="33">
        <v>19740</v>
      </c>
      <c r="I3995" s="34">
        <f>Table3[[#This Row],[Volume, kg.]]/1000</f>
        <v>19.739999999999998</v>
      </c>
      <c r="J3995" s="34">
        <v>0.21460000000000001</v>
      </c>
      <c r="K3995" s="34">
        <f t="shared" si="124"/>
        <v>4236.2040000000006</v>
      </c>
      <c r="L3995" s="34">
        <v>2.19</v>
      </c>
      <c r="M3995" s="34">
        <v>43168.5</v>
      </c>
      <c r="N3995" s="34">
        <f t="shared" si="125"/>
        <v>10.205032618825721</v>
      </c>
    </row>
    <row r="3996" spans="1:14" x14ac:dyDescent="0.45">
      <c r="A3996" s="30">
        <v>2024</v>
      </c>
      <c r="B3996" s="30" t="s">
        <v>15</v>
      </c>
      <c r="C3996" s="30" t="s">
        <v>46</v>
      </c>
      <c r="D3996" s="30" t="s">
        <v>47</v>
      </c>
      <c r="E3996" s="32" t="s">
        <v>413</v>
      </c>
      <c r="F3996" s="32" t="s">
        <v>49</v>
      </c>
      <c r="G3996" s="32" t="s">
        <v>50</v>
      </c>
      <c r="H3996" s="33">
        <v>222530</v>
      </c>
      <c r="I3996" s="34">
        <f>Table3[[#This Row],[Volume, kg.]]/1000</f>
        <v>222.53</v>
      </c>
      <c r="J3996" s="34">
        <v>0.25319999999999998</v>
      </c>
      <c r="K3996" s="34">
        <f t="shared" si="124"/>
        <v>56344.595999999998</v>
      </c>
      <c r="L3996" s="34">
        <v>2.37</v>
      </c>
      <c r="M3996" s="34">
        <v>527706</v>
      </c>
      <c r="N3996" s="34">
        <f t="shared" si="125"/>
        <v>9.3601895734597171</v>
      </c>
    </row>
    <row r="3997" spans="1:14" x14ac:dyDescent="0.45">
      <c r="A3997" s="30">
        <v>2024</v>
      </c>
      <c r="B3997" s="30" t="s">
        <v>15</v>
      </c>
      <c r="C3997" s="30" t="s">
        <v>46</v>
      </c>
      <c r="D3997" s="30" t="s">
        <v>47</v>
      </c>
      <c r="E3997" s="32" t="s">
        <v>488</v>
      </c>
      <c r="F3997" s="32" t="s">
        <v>57</v>
      </c>
      <c r="G3997" s="32" t="s">
        <v>50</v>
      </c>
      <c r="H3997" s="33">
        <v>115610</v>
      </c>
      <c r="I3997" s="34">
        <f>Table3[[#This Row],[Volume, kg.]]/1000</f>
        <v>115.61</v>
      </c>
      <c r="J3997" s="34">
        <v>0.23670000000000002</v>
      </c>
      <c r="K3997" s="34">
        <f t="shared" si="124"/>
        <v>27364.887000000002</v>
      </c>
      <c r="L3997" s="34">
        <v>2.29</v>
      </c>
      <c r="M3997" s="34">
        <v>264608.5</v>
      </c>
      <c r="N3997" s="34">
        <f t="shared" si="125"/>
        <v>9.6746937051119559</v>
      </c>
    </row>
    <row r="3998" spans="1:14" x14ac:dyDescent="0.45">
      <c r="A3998" s="30">
        <v>2024</v>
      </c>
      <c r="B3998" s="30" t="s">
        <v>15</v>
      </c>
      <c r="C3998" s="30" t="s">
        <v>46</v>
      </c>
      <c r="D3998" s="30" t="s">
        <v>47</v>
      </c>
      <c r="E3998" s="32" t="s">
        <v>489</v>
      </c>
      <c r="F3998" s="32" t="s">
        <v>81</v>
      </c>
      <c r="G3998" s="32" t="s">
        <v>50</v>
      </c>
      <c r="H3998" s="33">
        <v>65180</v>
      </c>
      <c r="I3998" s="34">
        <f>Table3[[#This Row],[Volume, kg.]]/1000</f>
        <v>65.180000000000007</v>
      </c>
      <c r="J3998" s="34">
        <v>0.23100000000000001</v>
      </c>
      <c r="K3998" s="34">
        <f t="shared" si="124"/>
        <v>15056.58</v>
      </c>
      <c r="L3998" s="34">
        <v>2.2599999999999998</v>
      </c>
      <c r="M3998" s="34">
        <v>147530</v>
      </c>
      <c r="N3998" s="34">
        <f t="shared" si="125"/>
        <v>9.7835497835497822</v>
      </c>
    </row>
    <row r="3999" spans="1:14" x14ac:dyDescent="0.45">
      <c r="A3999" s="30">
        <v>2024</v>
      </c>
      <c r="B3999" s="30" t="s">
        <v>15</v>
      </c>
      <c r="C3999" s="30" t="s">
        <v>46</v>
      </c>
      <c r="D3999" s="30" t="s">
        <v>47</v>
      </c>
      <c r="E3999" s="32" t="s">
        <v>513</v>
      </c>
      <c r="F3999" s="32" t="s">
        <v>57</v>
      </c>
      <c r="G3999" s="32" t="s">
        <v>50</v>
      </c>
      <c r="H3999" s="33">
        <v>20690</v>
      </c>
      <c r="I3999" s="34">
        <f>Table3[[#This Row],[Volume, kg.]]/1000</f>
        <v>20.69</v>
      </c>
      <c r="J3999" s="34">
        <v>0.222</v>
      </c>
      <c r="K3999" s="34">
        <f t="shared" si="124"/>
        <v>4593.18</v>
      </c>
      <c r="L3999" s="34">
        <v>2.17</v>
      </c>
      <c r="M3999" s="34">
        <v>44960</v>
      </c>
      <c r="N3999" s="34">
        <f t="shared" si="125"/>
        <v>9.7747747747747749</v>
      </c>
    </row>
    <row r="4000" spans="1:14" x14ac:dyDescent="0.45">
      <c r="A4000" s="30">
        <v>2024</v>
      </c>
      <c r="B4000" s="30" t="s">
        <v>15</v>
      </c>
      <c r="C4000" s="30" t="s">
        <v>46</v>
      </c>
      <c r="D4000" s="30" t="s">
        <v>47</v>
      </c>
      <c r="E4000" s="32" t="s">
        <v>517</v>
      </c>
      <c r="F4000" s="32" t="s">
        <v>57</v>
      </c>
      <c r="G4000" s="32" t="s">
        <v>50</v>
      </c>
      <c r="H4000" s="33">
        <v>108250</v>
      </c>
      <c r="I4000" s="34">
        <f>Table3[[#This Row],[Volume, kg.]]/1000</f>
        <v>108.25</v>
      </c>
      <c r="J4000" s="34">
        <v>0.22969999999999999</v>
      </c>
      <c r="K4000" s="34">
        <f t="shared" si="124"/>
        <v>24865.024999999998</v>
      </c>
      <c r="L4000" s="34">
        <v>2.2599999999999998</v>
      </c>
      <c r="M4000" s="34">
        <v>244224.5</v>
      </c>
      <c r="N4000" s="34">
        <f t="shared" si="125"/>
        <v>9.8389203308663475</v>
      </c>
    </row>
    <row r="4001" spans="1:14" x14ac:dyDescent="0.45">
      <c r="A4001" s="30">
        <v>2024</v>
      </c>
      <c r="B4001" s="30" t="s">
        <v>15</v>
      </c>
      <c r="C4001" s="30" t="s">
        <v>46</v>
      </c>
      <c r="D4001" s="30" t="s">
        <v>47</v>
      </c>
      <c r="E4001" s="32" t="s">
        <v>524</v>
      </c>
      <c r="F4001" s="32" t="s">
        <v>49</v>
      </c>
      <c r="G4001" s="32" t="s">
        <v>50</v>
      </c>
      <c r="H4001" s="33">
        <v>79290</v>
      </c>
      <c r="I4001" s="34">
        <f>Table3[[#This Row],[Volume, kg.]]/1000</f>
        <v>79.290000000000006</v>
      </c>
      <c r="J4001" s="34">
        <v>0.2339</v>
      </c>
      <c r="K4001" s="34">
        <f t="shared" si="124"/>
        <v>18545.931</v>
      </c>
      <c r="L4001" s="34">
        <v>2.2599999999999998</v>
      </c>
      <c r="M4001" s="34">
        <v>178953</v>
      </c>
      <c r="N4001" s="34">
        <f t="shared" si="125"/>
        <v>9.662248824283882</v>
      </c>
    </row>
    <row r="4002" spans="1:14" x14ac:dyDescent="0.45">
      <c r="A4002" s="30">
        <v>2024</v>
      </c>
      <c r="B4002" s="30" t="s">
        <v>15</v>
      </c>
      <c r="C4002" s="30" t="s">
        <v>46</v>
      </c>
      <c r="D4002" s="30" t="s">
        <v>47</v>
      </c>
      <c r="E4002" s="32" t="s">
        <v>530</v>
      </c>
      <c r="F4002" s="32" t="s">
        <v>49</v>
      </c>
      <c r="G4002" s="32" t="s">
        <v>50</v>
      </c>
      <c r="H4002" s="33">
        <v>73960</v>
      </c>
      <c r="I4002" s="34">
        <f>Table3[[#This Row],[Volume, kg.]]/1000</f>
        <v>73.959999999999994</v>
      </c>
      <c r="J4002" s="34">
        <v>0.22260000000000002</v>
      </c>
      <c r="K4002" s="34">
        <f t="shared" si="124"/>
        <v>16463.496000000003</v>
      </c>
      <c r="L4002" s="34">
        <v>2.2400000000000002</v>
      </c>
      <c r="M4002" s="34">
        <v>166002</v>
      </c>
      <c r="N4002" s="34">
        <f t="shared" si="125"/>
        <v>10.062893081761006</v>
      </c>
    </row>
    <row r="4003" spans="1:14" x14ac:dyDescent="0.45">
      <c r="A4003" s="30">
        <v>2024</v>
      </c>
      <c r="B4003" s="30" t="s">
        <v>15</v>
      </c>
      <c r="C4003" s="30" t="s">
        <v>46</v>
      </c>
      <c r="D4003" s="30" t="s">
        <v>47</v>
      </c>
      <c r="E4003" s="32" t="s">
        <v>603</v>
      </c>
      <c r="F4003" s="32" t="s">
        <v>49</v>
      </c>
      <c r="G4003" s="32" t="s">
        <v>50</v>
      </c>
      <c r="H4003" s="33">
        <v>123190</v>
      </c>
      <c r="I4003" s="34">
        <f>Table3[[#This Row],[Volume, kg.]]/1000</f>
        <v>123.19</v>
      </c>
      <c r="J4003" s="34">
        <v>0.23620000000000002</v>
      </c>
      <c r="K4003" s="34">
        <f t="shared" si="124"/>
        <v>29097.478000000003</v>
      </c>
      <c r="L4003" s="34">
        <v>2.2799999999999998</v>
      </c>
      <c r="M4003" s="34">
        <v>281018</v>
      </c>
      <c r="N4003" s="34">
        <f t="shared" si="125"/>
        <v>9.6528365791701933</v>
      </c>
    </row>
    <row r="4004" spans="1:14" x14ac:dyDescent="0.45">
      <c r="A4004" s="30">
        <v>2024</v>
      </c>
      <c r="B4004" s="30" t="s">
        <v>15</v>
      </c>
      <c r="C4004" s="30" t="s">
        <v>46</v>
      </c>
      <c r="D4004" s="30" t="s">
        <v>47</v>
      </c>
      <c r="E4004" s="32" t="s">
        <v>558</v>
      </c>
      <c r="F4004" s="32" t="s">
        <v>49</v>
      </c>
      <c r="G4004" s="32" t="s">
        <v>50</v>
      </c>
      <c r="H4004" s="33">
        <v>49590</v>
      </c>
      <c r="I4004" s="34">
        <f>Table3[[#This Row],[Volume, kg.]]/1000</f>
        <v>49.59</v>
      </c>
      <c r="J4004" s="34">
        <v>0.1893</v>
      </c>
      <c r="K4004" s="34">
        <f t="shared" si="124"/>
        <v>9387.3870000000006</v>
      </c>
      <c r="L4004" s="34">
        <v>2.0699999999999998</v>
      </c>
      <c r="M4004" s="34">
        <v>102798</v>
      </c>
      <c r="N4004" s="34">
        <f t="shared" si="125"/>
        <v>10.935023771790808</v>
      </c>
    </row>
    <row r="4005" spans="1:14" x14ac:dyDescent="0.45">
      <c r="A4005" s="30">
        <v>2024</v>
      </c>
      <c r="B4005" s="30" t="s">
        <v>15</v>
      </c>
      <c r="C4005" s="30" t="s">
        <v>46</v>
      </c>
      <c r="D4005" s="30" t="s">
        <v>47</v>
      </c>
      <c r="E4005" s="32" t="s">
        <v>674</v>
      </c>
      <c r="F4005" s="32" t="s">
        <v>675</v>
      </c>
      <c r="G4005" s="32" t="s">
        <v>108</v>
      </c>
      <c r="H4005" s="33">
        <v>8260</v>
      </c>
      <c r="I4005" s="34">
        <f>Table3[[#This Row],[Volume, kg.]]/1000</f>
        <v>8.26</v>
      </c>
      <c r="J4005" s="34">
        <v>0.1603</v>
      </c>
      <c r="K4005" s="34">
        <f t="shared" si="124"/>
        <v>1324.078</v>
      </c>
      <c r="L4005" s="34">
        <v>1.94</v>
      </c>
      <c r="M4005" s="34">
        <v>15997.5</v>
      </c>
      <c r="N4005" s="34">
        <f t="shared" si="125"/>
        <v>12.102308172177167</v>
      </c>
    </row>
    <row r="4006" spans="1:14" x14ac:dyDescent="0.45">
      <c r="A4006" s="30">
        <v>2024</v>
      </c>
      <c r="B4006" s="30" t="s">
        <v>15</v>
      </c>
      <c r="C4006" s="30" t="s">
        <v>46</v>
      </c>
      <c r="D4006" s="30" t="s">
        <v>47</v>
      </c>
      <c r="E4006" s="32" t="s">
        <v>586</v>
      </c>
      <c r="F4006" s="32" t="s">
        <v>64</v>
      </c>
      <c r="G4006" s="32" t="s">
        <v>50</v>
      </c>
      <c r="H4006" s="33">
        <v>42270</v>
      </c>
      <c r="I4006" s="34">
        <f>Table3[[#This Row],[Volume, kg.]]/1000</f>
        <v>42.27</v>
      </c>
      <c r="J4006" s="34">
        <v>0.19390000000000002</v>
      </c>
      <c r="K4006" s="34">
        <f t="shared" si="124"/>
        <v>8196.1530000000002</v>
      </c>
      <c r="L4006" s="34">
        <v>2.0499999999999998</v>
      </c>
      <c r="M4006" s="34">
        <v>86596.5</v>
      </c>
      <c r="N4006" s="34">
        <f t="shared" si="125"/>
        <v>10.572460030943784</v>
      </c>
    </row>
    <row r="4007" spans="1:14" x14ac:dyDescent="0.45">
      <c r="A4007" s="30">
        <v>2024</v>
      </c>
      <c r="B4007" s="30" t="s">
        <v>15</v>
      </c>
      <c r="C4007" s="30" t="s">
        <v>46</v>
      </c>
      <c r="D4007" s="30" t="s">
        <v>47</v>
      </c>
      <c r="E4007" s="32" t="s">
        <v>590</v>
      </c>
      <c r="F4007" s="32" t="s">
        <v>49</v>
      </c>
      <c r="G4007" s="32" t="s">
        <v>50</v>
      </c>
      <c r="H4007" s="33">
        <v>19320</v>
      </c>
      <c r="I4007" s="34">
        <f>Table3[[#This Row],[Volume, kg.]]/1000</f>
        <v>19.32</v>
      </c>
      <c r="J4007" s="34">
        <v>0.2</v>
      </c>
      <c r="K4007" s="34">
        <f t="shared" si="124"/>
        <v>3864</v>
      </c>
      <c r="L4007" s="34">
        <v>2.1</v>
      </c>
      <c r="M4007" s="34">
        <v>40550</v>
      </c>
      <c r="N4007" s="34">
        <f t="shared" si="125"/>
        <v>10.5</v>
      </c>
    </row>
    <row r="4008" spans="1:14" x14ac:dyDescent="0.45">
      <c r="A4008" s="30">
        <v>2024</v>
      </c>
      <c r="B4008" s="30" t="s">
        <v>15</v>
      </c>
      <c r="C4008" s="30" t="s">
        <v>46</v>
      </c>
      <c r="D4008" s="30" t="s">
        <v>47</v>
      </c>
      <c r="E4008" s="32" t="s">
        <v>593</v>
      </c>
      <c r="F4008" s="32" t="s">
        <v>49</v>
      </c>
      <c r="G4008" s="32" t="s">
        <v>50</v>
      </c>
      <c r="H4008" s="33">
        <v>240540</v>
      </c>
      <c r="I4008" s="34">
        <f>Table3[[#This Row],[Volume, kg.]]/1000</f>
        <v>240.54</v>
      </c>
      <c r="J4008" s="34">
        <v>0.24829999999999999</v>
      </c>
      <c r="K4008" s="34">
        <f t="shared" si="124"/>
        <v>59726.081999999995</v>
      </c>
      <c r="L4008" s="34">
        <v>2.35</v>
      </c>
      <c r="M4008" s="34">
        <v>565000.5</v>
      </c>
      <c r="N4008" s="34">
        <f t="shared" si="125"/>
        <v>9.4643576318968989</v>
      </c>
    </row>
    <row r="4009" spans="1:14" x14ac:dyDescent="0.45">
      <c r="A4009" s="30">
        <v>2024</v>
      </c>
      <c r="B4009" s="30" t="s">
        <v>15</v>
      </c>
      <c r="C4009" s="30" t="s">
        <v>46</v>
      </c>
      <c r="D4009" s="30" t="s">
        <v>47</v>
      </c>
      <c r="E4009" s="32" t="s">
        <v>594</v>
      </c>
      <c r="F4009" s="32" t="s">
        <v>223</v>
      </c>
      <c r="G4009" s="32" t="s">
        <v>50</v>
      </c>
      <c r="H4009" s="33">
        <v>31420</v>
      </c>
      <c r="I4009" s="34">
        <f>Table3[[#This Row],[Volume, kg.]]/1000</f>
        <v>31.42</v>
      </c>
      <c r="J4009" s="34">
        <v>0.22089999999999999</v>
      </c>
      <c r="K4009" s="34">
        <f t="shared" si="124"/>
        <v>6940.6779999999999</v>
      </c>
      <c r="L4009" s="34">
        <v>2.16</v>
      </c>
      <c r="M4009" s="34">
        <v>67715</v>
      </c>
      <c r="N4009" s="34">
        <f t="shared" si="125"/>
        <v>9.7781801720235411</v>
      </c>
    </row>
    <row r="4010" spans="1:14" x14ac:dyDescent="0.45">
      <c r="A4010" s="30">
        <v>2024</v>
      </c>
      <c r="B4010" s="30" t="s">
        <v>15</v>
      </c>
      <c r="C4010" s="30" t="s">
        <v>46</v>
      </c>
      <c r="D4010" s="30" t="s">
        <v>47</v>
      </c>
      <c r="E4010" s="32" t="s">
        <v>659</v>
      </c>
      <c r="F4010" s="32" t="s">
        <v>49</v>
      </c>
      <c r="G4010" s="32" t="s">
        <v>50</v>
      </c>
      <c r="H4010" s="33">
        <v>3930</v>
      </c>
      <c r="I4010" s="34">
        <f>Table3[[#This Row],[Volume, kg.]]/1000</f>
        <v>3.93</v>
      </c>
      <c r="J4010" s="34">
        <v>0.22750000000000001</v>
      </c>
      <c r="K4010" s="34">
        <f t="shared" si="124"/>
        <v>894.07500000000005</v>
      </c>
      <c r="L4010" s="34">
        <v>2.25</v>
      </c>
      <c r="M4010" s="34">
        <v>8842.5</v>
      </c>
      <c r="N4010" s="34">
        <f t="shared" si="125"/>
        <v>9.8901098901098905</v>
      </c>
    </row>
    <row r="4011" spans="1:14" x14ac:dyDescent="0.45">
      <c r="A4011" s="30">
        <v>2024</v>
      </c>
      <c r="B4011" s="30" t="s">
        <v>15</v>
      </c>
      <c r="C4011" s="30" t="s">
        <v>46</v>
      </c>
      <c r="D4011" s="30" t="s">
        <v>47</v>
      </c>
      <c r="E4011" s="32" t="s">
        <v>648</v>
      </c>
      <c r="F4011" s="32" t="s">
        <v>57</v>
      </c>
      <c r="G4011" s="32" t="s">
        <v>50</v>
      </c>
      <c r="H4011" s="33">
        <v>26070</v>
      </c>
      <c r="I4011" s="34">
        <f>Table3[[#This Row],[Volume, kg.]]/1000</f>
        <v>26.07</v>
      </c>
      <c r="J4011" s="34">
        <v>0.22579999999999997</v>
      </c>
      <c r="K4011" s="34">
        <f t="shared" si="124"/>
        <v>5886.6059999999989</v>
      </c>
      <c r="L4011" s="34">
        <v>2.23</v>
      </c>
      <c r="M4011" s="34">
        <v>58055.5</v>
      </c>
      <c r="N4011" s="34">
        <f t="shared" si="125"/>
        <v>9.8759964570416301</v>
      </c>
    </row>
    <row r="4012" spans="1:14" x14ac:dyDescent="0.45">
      <c r="A4012" s="30">
        <v>2024</v>
      </c>
      <c r="B4012" s="30" t="s">
        <v>15</v>
      </c>
      <c r="C4012" s="30" t="s">
        <v>46</v>
      </c>
      <c r="D4012" s="30" t="s">
        <v>47</v>
      </c>
      <c r="E4012" s="32" t="s">
        <v>650</v>
      </c>
      <c r="F4012" s="32" t="s">
        <v>238</v>
      </c>
      <c r="G4012" s="32" t="s">
        <v>50</v>
      </c>
      <c r="H4012" s="33">
        <v>12230</v>
      </c>
      <c r="I4012" s="34">
        <f>Table3[[#This Row],[Volume, kg.]]/1000</f>
        <v>12.23</v>
      </c>
      <c r="J4012" s="34">
        <v>0.24350000000000002</v>
      </c>
      <c r="K4012" s="34">
        <f t="shared" si="124"/>
        <v>2978.0050000000001</v>
      </c>
      <c r="L4012" s="34">
        <v>2.35</v>
      </c>
      <c r="M4012" s="34">
        <v>28740.5</v>
      </c>
      <c r="N4012" s="34">
        <f t="shared" si="125"/>
        <v>9.6509240246406574</v>
      </c>
    </row>
    <row r="4013" spans="1:14" x14ac:dyDescent="0.45">
      <c r="A4013" s="30">
        <v>2024</v>
      </c>
      <c r="B4013" s="30" t="s">
        <v>15</v>
      </c>
      <c r="C4013" s="30" t="s">
        <v>46</v>
      </c>
      <c r="D4013" s="30" t="s">
        <v>47</v>
      </c>
      <c r="E4013" s="32" t="s">
        <v>670</v>
      </c>
      <c r="F4013" s="32" t="s">
        <v>81</v>
      </c>
      <c r="G4013" s="32" t="s">
        <v>50</v>
      </c>
      <c r="H4013" s="33">
        <v>98140</v>
      </c>
      <c r="I4013" s="34">
        <f>Table3[[#This Row],[Volume, kg.]]/1000</f>
        <v>98.14</v>
      </c>
      <c r="J4013" s="34">
        <v>0.23250000000000001</v>
      </c>
      <c r="K4013" s="34">
        <f t="shared" si="124"/>
        <v>22817.550000000003</v>
      </c>
      <c r="L4013" s="34">
        <v>2.2599999999999998</v>
      </c>
      <c r="M4013" s="34">
        <v>221961</v>
      </c>
      <c r="N4013" s="34">
        <f t="shared" si="125"/>
        <v>9.7204301075268802</v>
      </c>
    </row>
    <row r="4014" spans="1:14" x14ac:dyDescent="0.45">
      <c r="A4014" s="30">
        <v>2024</v>
      </c>
      <c r="B4014" s="30" t="s">
        <v>15</v>
      </c>
      <c r="C4014" s="30" t="s">
        <v>46</v>
      </c>
      <c r="D4014" s="30" t="s">
        <v>47</v>
      </c>
      <c r="E4014" s="32" t="s">
        <v>662</v>
      </c>
      <c r="F4014" s="32" t="s">
        <v>57</v>
      </c>
      <c r="G4014" s="32" t="s">
        <v>50</v>
      </c>
      <c r="H4014" s="33">
        <v>34210</v>
      </c>
      <c r="I4014" s="34">
        <f>Table3[[#This Row],[Volume, kg.]]/1000</f>
        <v>34.21</v>
      </c>
      <c r="J4014" s="34">
        <v>0.24050000000000002</v>
      </c>
      <c r="K4014" s="34">
        <f t="shared" si="124"/>
        <v>8227.505000000001</v>
      </c>
      <c r="L4014" s="34">
        <v>2.3199999999999998</v>
      </c>
      <c r="M4014" s="34">
        <v>79233.5</v>
      </c>
      <c r="N4014" s="34">
        <f t="shared" si="125"/>
        <v>9.6465696465696453</v>
      </c>
    </row>
    <row r="4015" spans="1:14" x14ac:dyDescent="0.45">
      <c r="A4015" s="30">
        <v>2024</v>
      </c>
      <c r="B4015" s="30" t="s">
        <v>15</v>
      </c>
      <c r="C4015" s="30" t="s">
        <v>46</v>
      </c>
      <c r="D4015" s="30" t="s">
        <v>47</v>
      </c>
      <c r="E4015" s="32" t="s">
        <v>663</v>
      </c>
      <c r="F4015" s="32" t="s">
        <v>49</v>
      </c>
      <c r="G4015" s="32" t="s">
        <v>50</v>
      </c>
      <c r="H4015" s="33">
        <v>16670</v>
      </c>
      <c r="I4015" s="34">
        <f>Table3[[#This Row],[Volume, kg.]]/1000</f>
        <v>16.670000000000002</v>
      </c>
      <c r="J4015" s="34">
        <v>0.2145</v>
      </c>
      <c r="K4015" s="34">
        <f t="shared" si="124"/>
        <v>3575.7150000000001</v>
      </c>
      <c r="L4015" s="34">
        <v>2.15</v>
      </c>
      <c r="M4015" s="34">
        <v>35840.5</v>
      </c>
      <c r="N4015" s="34">
        <f t="shared" si="125"/>
        <v>10.023310023310023</v>
      </c>
    </row>
    <row r="4016" spans="1:14" x14ac:dyDescent="0.45">
      <c r="A4016" s="30">
        <v>2024</v>
      </c>
      <c r="B4016" s="30" t="s">
        <v>15</v>
      </c>
      <c r="C4016" s="30" t="s">
        <v>46</v>
      </c>
      <c r="D4016" s="30" t="s">
        <v>47</v>
      </c>
      <c r="E4016" s="32" t="s">
        <v>673</v>
      </c>
      <c r="F4016" s="32" t="s">
        <v>49</v>
      </c>
      <c r="G4016" s="32" t="s">
        <v>50</v>
      </c>
      <c r="H4016" s="33">
        <v>37340</v>
      </c>
      <c r="I4016" s="34">
        <f>Table3[[#This Row],[Volume, kg.]]/1000</f>
        <v>37.340000000000003</v>
      </c>
      <c r="J4016" s="34">
        <v>0.23010000000000003</v>
      </c>
      <c r="K4016" s="34">
        <f t="shared" si="124"/>
        <v>8591.9340000000011</v>
      </c>
      <c r="L4016" s="34">
        <v>2.2599999999999998</v>
      </c>
      <c r="M4016" s="34">
        <v>84515</v>
      </c>
      <c r="N4016" s="34">
        <f t="shared" si="125"/>
        <v>9.8218166014776163</v>
      </c>
    </row>
    <row r="4017" spans="1:14" x14ac:dyDescent="0.45">
      <c r="A4017" s="30">
        <v>2024</v>
      </c>
      <c r="B4017" s="30" t="s">
        <v>15</v>
      </c>
      <c r="C4017" s="30" t="s">
        <v>46</v>
      </c>
      <c r="D4017" s="30" t="s">
        <v>47</v>
      </c>
      <c r="E4017" s="32" t="s">
        <v>676</v>
      </c>
      <c r="F4017" s="32" t="s">
        <v>60</v>
      </c>
      <c r="G4017" s="32" t="s">
        <v>50</v>
      </c>
      <c r="H4017" s="33">
        <v>91110</v>
      </c>
      <c r="I4017" s="34">
        <f>Table3[[#This Row],[Volume, kg.]]/1000</f>
        <v>91.11</v>
      </c>
      <c r="J4017" s="34">
        <v>0.2465</v>
      </c>
      <c r="K4017" s="34">
        <f t="shared" si="124"/>
        <v>22458.614999999998</v>
      </c>
      <c r="L4017" s="34">
        <v>2.36</v>
      </c>
      <c r="M4017" s="34">
        <v>214860</v>
      </c>
      <c r="N4017" s="34">
        <f t="shared" si="125"/>
        <v>9.5740365111561854</v>
      </c>
    </row>
    <row r="4018" spans="1:14" x14ac:dyDescent="0.45">
      <c r="A4018" s="30">
        <v>2024</v>
      </c>
      <c r="B4018" s="30" t="s">
        <v>15</v>
      </c>
      <c r="C4018" s="30" t="s">
        <v>46</v>
      </c>
      <c r="D4018" s="30" t="s">
        <v>47</v>
      </c>
      <c r="E4018" s="32" t="s">
        <v>677</v>
      </c>
      <c r="F4018" s="32" t="s">
        <v>49</v>
      </c>
      <c r="G4018" s="32" t="s">
        <v>50</v>
      </c>
      <c r="H4018" s="33">
        <v>23110</v>
      </c>
      <c r="I4018" s="34">
        <f>Table3[[#This Row],[Volume, kg.]]/1000</f>
        <v>23.11</v>
      </c>
      <c r="J4018" s="34">
        <v>0.22399999999999998</v>
      </c>
      <c r="K4018" s="34">
        <f t="shared" si="124"/>
        <v>5176.6399999999994</v>
      </c>
      <c r="L4018" s="34">
        <v>2.2000000000000002</v>
      </c>
      <c r="M4018" s="34">
        <v>50881</v>
      </c>
      <c r="N4018" s="34">
        <f t="shared" si="125"/>
        <v>9.821428571428573</v>
      </c>
    </row>
    <row r="4019" spans="1:14" x14ac:dyDescent="0.45">
      <c r="A4019" s="30">
        <v>2024</v>
      </c>
      <c r="B4019" s="30" t="s">
        <v>15</v>
      </c>
      <c r="C4019" s="30" t="s">
        <v>46</v>
      </c>
      <c r="D4019" s="30" t="s">
        <v>47</v>
      </c>
      <c r="E4019" s="32" t="s">
        <v>678</v>
      </c>
      <c r="F4019" s="32" t="s">
        <v>60</v>
      </c>
      <c r="G4019" s="32" t="s">
        <v>50</v>
      </c>
      <c r="H4019" s="33">
        <v>85140</v>
      </c>
      <c r="I4019" s="34">
        <f>Table3[[#This Row],[Volume, kg.]]/1000</f>
        <v>85.14</v>
      </c>
      <c r="J4019" s="34">
        <v>0.22460000000000002</v>
      </c>
      <c r="K4019" s="34">
        <f t="shared" si="124"/>
        <v>19122.444000000003</v>
      </c>
      <c r="L4019" s="34">
        <v>2.2200000000000002</v>
      </c>
      <c r="M4019" s="34">
        <v>189012.5</v>
      </c>
      <c r="N4019" s="34">
        <f t="shared" si="125"/>
        <v>9.8842386464826362</v>
      </c>
    </row>
    <row r="4020" spans="1:14" x14ac:dyDescent="0.45">
      <c r="A4020" s="30">
        <v>2024</v>
      </c>
      <c r="B4020" s="30" t="s">
        <v>15</v>
      </c>
      <c r="C4020" s="30" t="s">
        <v>46</v>
      </c>
      <c r="D4020" s="30" t="s">
        <v>47</v>
      </c>
      <c r="E4020" s="32" t="s">
        <v>679</v>
      </c>
      <c r="F4020" s="32" t="s">
        <v>49</v>
      </c>
      <c r="G4020" s="32" t="s">
        <v>50</v>
      </c>
      <c r="H4020" s="33">
        <v>16950</v>
      </c>
      <c r="I4020" s="34">
        <f>Table3[[#This Row],[Volume, kg.]]/1000</f>
        <v>16.95</v>
      </c>
      <c r="J4020" s="34">
        <v>0.25069999999999998</v>
      </c>
      <c r="K4020" s="34">
        <f t="shared" si="124"/>
        <v>4249.3649999999998</v>
      </c>
      <c r="L4020" s="34">
        <v>2.37</v>
      </c>
      <c r="M4020" s="34">
        <v>40187</v>
      </c>
      <c r="N4020" s="34">
        <f t="shared" si="125"/>
        <v>9.4535301156761076</v>
      </c>
    </row>
    <row r="4021" spans="1:14" x14ac:dyDescent="0.45">
      <c r="A4021" s="30">
        <v>2024</v>
      </c>
      <c r="B4021" s="30" t="s">
        <v>16</v>
      </c>
      <c r="C4021" s="30" t="s">
        <v>46</v>
      </c>
      <c r="D4021" s="30" t="s">
        <v>102</v>
      </c>
      <c r="E4021" s="32" t="s">
        <v>188</v>
      </c>
      <c r="F4021" s="32" t="s">
        <v>189</v>
      </c>
      <c r="G4021" s="32" t="s">
        <v>128</v>
      </c>
      <c r="H4021" s="33">
        <v>28070</v>
      </c>
      <c r="I4021" s="34">
        <f>Table3[[#This Row],[Volume, kg.]]/1000</f>
        <v>28.07</v>
      </c>
      <c r="J4021" s="34">
        <v>0.24149999999999999</v>
      </c>
      <c r="K4021" s="34">
        <f t="shared" si="124"/>
        <v>6778.9049999999997</v>
      </c>
      <c r="L4021" s="34">
        <v>2.4500000000000002</v>
      </c>
      <c r="M4021" s="34">
        <v>68771.5</v>
      </c>
      <c r="N4021" s="34">
        <f t="shared" si="125"/>
        <v>10.144927536231885</v>
      </c>
    </row>
    <row r="4022" spans="1:14" x14ac:dyDescent="0.45">
      <c r="A4022" s="30">
        <v>2024</v>
      </c>
      <c r="B4022" s="30" t="s">
        <v>16</v>
      </c>
      <c r="C4022" s="30" t="s">
        <v>46</v>
      </c>
      <c r="D4022" s="30" t="s">
        <v>102</v>
      </c>
      <c r="E4022" s="32" t="s">
        <v>622</v>
      </c>
      <c r="F4022" s="32" t="s">
        <v>49</v>
      </c>
      <c r="G4022" s="32" t="s">
        <v>50</v>
      </c>
      <c r="H4022" s="33">
        <v>164460</v>
      </c>
      <c r="I4022" s="34">
        <f>Table3[[#This Row],[Volume, kg.]]/1000</f>
        <v>164.46</v>
      </c>
      <c r="J4022" s="34">
        <v>0.22589999999999999</v>
      </c>
      <c r="K4022" s="34">
        <f t="shared" si="124"/>
        <v>37151.513999999996</v>
      </c>
      <c r="L4022" s="34">
        <v>2.39</v>
      </c>
      <c r="M4022" s="34">
        <v>393589</v>
      </c>
      <c r="N4022" s="34">
        <f t="shared" si="125"/>
        <v>10.579902611775124</v>
      </c>
    </row>
    <row r="4023" spans="1:14" x14ac:dyDescent="0.45">
      <c r="A4023" s="30">
        <v>2024</v>
      </c>
      <c r="B4023" s="30" t="s">
        <v>16</v>
      </c>
      <c r="C4023" s="30" t="s">
        <v>46</v>
      </c>
      <c r="D4023" s="30" t="s">
        <v>47</v>
      </c>
      <c r="E4023" s="32" t="s">
        <v>181</v>
      </c>
      <c r="F4023" s="32" t="s">
        <v>57</v>
      </c>
      <c r="G4023" s="32" t="s">
        <v>50</v>
      </c>
      <c r="H4023" s="33">
        <v>14240</v>
      </c>
      <c r="I4023" s="34">
        <f>Table3[[#This Row],[Volume, kg.]]/1000</f>
        <v>14.24</v>
      </c>
      <c r="J4023" s="34">
        <v>0.26600000000000001</v>
      </c>
      <c r="K4023" s="34">
        <f t="shared" si="124"/>
        <v>3787.84</v>
      </c>
      <c r="L4023" s="34">
        <v>2.58</v>
      </c>
      <c r="M4023" s="34">
        <v>36683.5</v>
      </c>
      <c r="N4023" s="34">
        <f t="shared" si="125"/>
        <v>9.6992481203007515</v>
      </c>
    </row>
    <row r="4024" spans="1:14" x14ac:dyDescent="0.45">
      <c r="A4024" s="30">
        <v>2024</v>
      </c>
      <c r="B4024" s="30" t="s">
        <v>16</v>
      </c>
      <c r="C4024" s="30" t="s">
        <v>46</v>
      </c>
      <c r="D4024" s="30" t="s">
        <v>47</v>
      </c>
      <c r="E4024" s="32" t="s">
        <v>596</v>
      </c>
      <c r="F4024" s="32" t="s">
        <v>49</v>
      </c>
      <c r="G4024" s="32" t="s">
        <v>50</v>
      </c>
      <c r="H4024" s="33">
        <v>54100</v>
      </c>
      <c r="I4024" s="34">
        <f>Table3[[#This Row],[Volume, kg.]]/1000</f>
        <v>54.1</v>
      </c>
      <c r="J4024" s="34">
        <v>0.2697</v>
      </c>
      <c r="K4024" s="34">
        <f t="shared" si="124"/>
        <v>14590.77</v>
      </c>
      <c r="L4024" s="34">
        <v>2.6</v>
      </c>
      <c r="M4024" s="34">
        <v>140512.5</v>
      </c>
      <c r="N4024" s="34">
        <f t="shared" si="125"/>
        <v>9.6403411197627005</v>
      </c>
    </row>
    <row r="4025" spans="1:14" x14ac:dyDescent="0.45">
      <c r="A4025" s="30">
        <v>2024</v>
      </c>
      <c r="B4025" s="30" t="s">
        <v>16</v>
      </c>
      <c r="C4025" s="30" t="s">
        <v>46</v>
      </c>
      <c r="D4025" s="30" t="s">
        <v>47</v>
      </c>
      <c r="E4025" s="32" t="s">
        <v>232</v>
      </c>
      <c r="F4025" s="32" t="s">
        <v>49</v>
      </c>
      <c r="G4025" s="32" t="s">
        <v>50</v>
      </c>
      <c r="H4025" s="33">
        <v>115040</v>
      </c>
      <c r="I4025" s="34">
        <f>Table3[[#This Row],[Volume, kg.]]/1000</f>
        <v>115.04</v>
      </c>
      <c r="J4025" s="34">
        <v>0.26269999999999999</v>
      </c>
      <c r="K4025" s="34">
        <f t="shared" si="124"/>
        <v>30221.007999999998</v>
      </c>
      <c r="L4025" s="34">
        <v>2.46</v>
      </c>
      <c r="M4025" s="34">
        <v>282526.5</v>
      </c>
      <c r="N4025" s="34">
        <f t="shared" si="125"/>
        <v>9.364293871336125</v>
      </c>
    </row>
    <row r="4026" spans="1:14" x14ac:dyDescent="0.45">
      <c r="A4026" s="30">
        <v>2024</v>
      </c>
      <c r="B4026" s="30" t="s">
        <v>16</v>
      </c>
      <c r="C4026" s="30" t="s">
        <v>46</v>
      </c>
      <c r="D4026" s="30" t="s">
        <v>47</v>
      </c>
      <c r="E4026" s="32" t="s">
        <v>213</v>
      </c>
      <c r="F4026" s="32" t="s">
        <v>49</v>
      </c>
      <c r="G4026" s="32" t="s">
        <v>50</v>
      </c>
      <c r="H4026" s="33">
        <v>246180</v>
      </c>
      <c r="I4026" s="34">
        <f>Table3[[#This Row],[Volume, kg.]]/1000</f>
        <v>246.18</v>
      </c>
      <c r="J4026" s="34">
        <v>0.23499999999999999</v>
      </c>
      <c r="K4026" s="34">
        <f t="shared" si="124"/>
        <v>57852.299999999996</v>
      </c>
      <c r="L4026" s="34">
        <v>2.36</v>
      </c>
      <c r="M4026" s="34">
        <v>580255.5</v>
      </c>
      <c r="N4026" s="34">
        <f t="shared" si="125"/>
        <v>10.042553191489361</v>
      </c>
    </row>
    <row r="4027" spans="1:14" x14ac:dyDescent="0.45">
      <c r="A4027" s="30">
        <v>2024</v>
      </c>
      <c r="B4027" s="30" t="s">
        <v>16</v>
      </c>
      <c r="C4027" s="30" t="s">
        <v>46</v>
      </c>
      <c r="D4027" s="30" t="s">
        <v>47</v>
      </c>
      <c r="E4027" s="32" t="s">
        <v>69</v>
      </c>
      <c r="F4027" s="32" t="s">
        <v>49</v>
      </c>
      <c r="G4027" s="32" t="s">
        <v>50</v>
      </c>
      <c r="H4027" s="33">
        <v>226550</v>
      </c>
      <c r="I4027" s="34">
        <f>Table3[[#This Row],[Volume, kg.]]/1000</f>
        <v>226.55</v>
      </c>
      <c r="J4027" s="34">
        <v>0.23350000000000001</v>
      </c>
      <c r="K4027" s="34">
        <f t="shared" si="124"/>
        <v>52899.425000000003</v>
      </c>
      <c r="L4027" s="34">
        <v>2.38</v>
      </c>
      <c r="M4027" s="34">
        <v>539645.5</v>
      </c>
      <c r="N4027" s="34">
        <f t="shared" si="125"/>
        <v>10.192719486081369</v>
      </c>
    </row>
    <row r="4028" spans="1:14" x14ac:dyDescent="0.45">
      <c r="A4028" s="30">
        <v>2024</v>
      </c>
      <c r="B4028" s="30" t="s">
        <v>16</v>
      </c>
      <c r="C4028" s="30" t="s">
        <v>46</v>
      </c>
      <c r="D4028" s="30" t="s">
        <v>47</v>
      </c>
      <c r="E4028" s="32" t="s">
        <v>52</v>
      </c>
      <c r="F4028" s="32" t="s">
        <v>49</v>
      </c>
      <c r="G4028" s="32" t="s">
        <v>50</v>
      </c>
      <c r="H4028" s="33">
        <v>12490</v>
      </c>
      <c r="I4028" s="34">
        <f>Table3[[#This Row],[Volume, kg.]]/1000</f>
        <v>12.49</v>
      </c>
      <c r="J4028" s="34">
        <v>0.1993</v>
      </c>
      <c r="K4028" s="34">
        <f t="shared" si="124"/>
        <v>2489.2570000000001</v>
      </c>
      <c r="L4028" s="34">
        <v>2.08</v>
      </c>
      <c r="M4028" s="34">
        <v>25955</v>
      </c>
      <c r="N4028" s="34">
        <f t="shared" si="125"/>
        <v>10.436527847466131</v>
      </c>
    </row>
    <row r="4029" spans="1:14" x14ac:dyDescent="0.45">
      <c r="A4029" s="30">
        <v>2024</v>
      </c>
      <c r="B4029" s="30" t="s">
        <v>16</v>
      </c>
      <c r="C4029" s="30" t="s">
        <v>46</v>
      </c>
      <c r="D4029" s="30" t="s">
        <v>47</v>
      </c>
      <c r="E4029" s="32" t="s">
        <v>327</v>
      </c>
      <c r="F4029" s="32" t="s">
        <v>49</v>
      </c>
      <c r="G4029" s="32" t="s">
        <v>50</v>
      </c>
      <c r="H4029" s="33">
        <v>23870</v>
      </c>
      <c r="I4029" s="34">
        <f>Table3[[#This Row],[Volume, kg.]]/1000</f>
        <v>23.87</v>
      </c>
      <c r="J4029" s="34">
        <v>0.21299999999999999</v>
      </c>
      <c r="K4029" s="34">
        <f t="shared" si="124"/>
        <v>5084.3099999999995</v>
      </c>
      <c r="L4029" s="34">
        <v>2.23</v>
      </c>
      <c r="M4029" s="34">
        <v>53130.5</v>
      </c>
      <c r="N4029" s="34">
        <f t="shared" si="125"/>
        <v>10.469483568075118</v>
      </c>
    </row>
    <row r="4030" spans="1:14" x14ac:dyDescent="0.45">
      <c r="A4030" s="30">
        <v>2024</v>
      </c>
      <c r="B4030" s="30" t="s">
        <v>16</v>
      </c>
      <c r="C4030" s="30" t="s">
        <v>46</v>
      </c>
      <c r="D4030" s="30" t="s">
        <v>47</v>
      </c>
      <c r="E4030" s="32" t="s">
        <v>201</v>
      </c>
      <c r="F4030" s="32" t="s">
        <v>49</v>
      </c>
      <c r="G4030" s="32" t="s">
        <v>50</v>
      </c>
      <c r="H4030" s="33">
        <v>197850</v>
      </c>
      <c r="I4030" s="34">
        <f>Table3[[#This Row],[Volume, kg.]]/1000</f>
        <v>197.85</v>
      </c>
      <c r="J4030" s="34">
        <v>0.2359</v>
      </c>
      <c r="K4030" s="34">
        <f t="shared" si="124"/>
        <v>46672.815000000002</v>
      </c>
      <c r="L4030" s="34">
        <v>2.37</v>
      </c>
      <c r="M4030" s="34">
        <v>469781</v>
      </c>
      <c r="N4030" s="34">
        <f t="shared" si="125"/>
        <v>10.046629927935566</v>
      </c>
    </row>
    <row r="4031" spans="1:14" x14ac:dyDescent="0.45">
      <c r="A4031" s="30">
        <v>2024</v>
      </c>
      <c r="B4031" s="30" t="s">
        <v>16</v>
      </c>
      <c r="C4031" s="30" t="s">
        <v>46</v>
      </c>
      <c r="D4031" s="30" t="s">
        <v>47</v>
      </c>
      <c r="E4031" s="32" t="s">
        <v>381</v>
      </c>
      <c r="F4031" s="32" t="s">
        <v>49</v>
      </c>
      <c r="G4031" s="32" t="s">
        <v>50</v>
      </c>
      <c r="H4031" s="33">
        <v>11280</v>
      </c>
      <c r="I4031" s="34">
        <f>Table3[[#This Row],[Volume, kg.]]/1000</f>
        <v>11.28</v>
      </c>
      <c r="J4031" s="34">
        <v>0.22949999999999998</v>
      </c>
      <c r="K4031" s="34">
        <f t="shared" si="124"/>
        <v>2588.7599999999998</v>
      </c>
      <c r="L4031" s="34">
        <v>2.35</v>
      </c>
      <c r="M4031" s="34">
        <v>26508</v>
      </c>
      <c r="N4031" s="34">
        <f t="shared" si="125"/>
        <v>10.239651416122005</v>
      </c>
    </row>
    <row r="4032" spans="1:14" x14ac:dyDescent="0.45">
      <c r="A4032" s="30">
        <v>2024</v>
      </c>
      <c r="B4032" s="30" t="s">
        <v>16</v>
      </c>
      <c r="C4032" s="30" t="s">
        <v>46</v>
      </c>
      <c r="D4032" s="30" t="s">
        <v>47</v>
      </c>
      <c r="E4032" s="32" t="s">
        <v>382</v>
      </c>
      <c r="F4032" s="32" t="s">
        <v>60</v>
      </c>
      <c r="G4032" s="32" t="s">
        <v>50</v>
      </c>
      <c r="H4032" s="33">
        <v>6880</v>
      </c>
      <c r="I4032" s="34">
        <f>Table3[[#This Row],[Volume, kg.]]/1000</f>
        <v>6.88</v>
      </c>
      <c r="J4032" s="34">
        <v>0.22800000000000001</v>
      </c>
      <c r="K4032" s="34">
        <f t="shared" si="124"/>
        <v>1568.64</v>
      </c>
      <c r="L4032" s="34">
        <v>2.25</v>
      </c>
      <c r="M4032" s="34">
        <v>15480</v>
      </c>
      <c r="N4032" s="34">
        <f t="shared" si="125"/>
        <v>9.8684210526315788</v>
      </c>
    </row>
    <row r="4033" spans="1:14" x14ac:dyDescent="0.45">
      <c r="A4033" s="30">
        <v>2024</v>
      </c>
      <c r="B4033" s="30" t="s">
        <v>16</v>
      </c>
      <c r="C4033" s="30" t="s">
        <v>46</v>
      </c>
      <c r="D4033" s="30" t="s">
        <v>47</v>
      </c>
      <c r="E4033" s="32" t="s">
        <v>235</v>
      </c>
      <c r="F4033" s="32" t="s">
        <v>57</v>
      </c>
      <c r="G4033" s="32" t="s">
        <v>50</v>
      </c>
      <c r="H4033" s="33">
        <v>11030</v>
      </c>
      <c r="I4033" s="34">
        <f>Table3[[#This Row],[Volume, kg.]]/1000</f>
        <v>11.03</v>
      </c>
      <c r="J4033" s="34">
        <v>0.2455</v>
      </c>
      <c r="K4033" s="34">
        <f t="shared" si="124"/>
        <v>2707.8649999999998</v>
      </c>
      <c r="L4033" s="34">
        <v>2.5</v>
      </c>
      <c r="M4033" s="34">
        <v>27575</v>
      </c>
      <c r="N4033" s="34">
        <f t="shared" si="125"/>
        <v>10.183299389002038</v>
      </c>
    </row>
    <row r="4034" spans="1:14" x14ac:dyDescent="0.45">
      <c r="A4034" s="30">
        <v>2024</v>
      </c>
      <c r="B4034" s="30" t="s">
        <v>16</v>
      </c>
      <c r="C4034" s="30" t="s">
        <v>46</v>
      </c>
      <c r="D4034" s="30" t="s">
        <v>47</v>
      </c>
      <c r="E4034" s="32" t="s">
        <v>353</v>
      </c>
      <c r="F4034" s="32" t="s">
        <v>57</v>
      </c>
      <c r="G4034" s="32" t="s">
        <v>50</v>
      </c>
      <c r="H4034" s="33">
        <v>4280</v>
      </c>
      <c r="I4034" s="34">
        <f>Table3[[#This Row],[Volume, kg.]]/1000</f>
        <v>4.28</v>
      </c>
      <c r="J4034" s="34">
        <v>0.252</v>
      </c>
      <c r="K4034" s="34">
        <f t="shared" si="124"/>
        <v>1078.56</v>
      </c>
      <c r="L4034" s="34">
        <v>2.35</v>
      </c>
      <c r="M4034" s="34">
        <v>10058</v>
      </c>
      <c r="N4034" s="34">
        <f t="shared" si="125"/>
        <v>9.325396825396826</v>
      </c>
    </row>
    <row r="4035" spans="1:14" x14ac:dyDescent="0.45">
      <c r="A4035" s="30">
        <v>2024</v>
      </c>
      <c r="B4035" s="30" t="s">
        <v>16</v>
      </c>
      <c r="C4035" s="30" t="s">
        <v>46</v>
      </c>
      <c r="D4035" s="30" t="s">
        <v>47</v>
      </c>
      <c r="E4035" s="32" t="s">
        <v>149</v>
      </c>
      <c r="F4035" s="32" t="s">
        <v>49</v>
      </c>
      <c r="G4035" s="32" t="s">
        <v>50</v>
      </c>
      <c r="H4035" s="33">
        <v>123900</v>
      </c>
      <c r="I4035" s="34">
        <f>Table3[[#This Row],[Volume, kg.]]/1000</f>
        <v>123.9</v>
      </c>
      <c r="J4035" s="34">
        <v>0.25429999999999997</v>
      </c>
      <c r="K4035" s="34">
        <f t="shared" ref="K4035:K4098" si="126">H4035*J4035</f>
        <v>31507.769999999997</v>
      </c>
      <c r="L4035" s="34">
        <v>2.48</v>
      </c>
      <c r="M4035" s="34">
        <v>307373.5</v>
      </c>
      <c r="N4035" s="34">
        <f t="shared" si="125"/>
        <v>9.752261108926465</v>
      </c>
    </row>
    <row r="4036" spans="1:14" x14ac:dyDescent="0.45">
      <c r="A4036" s="30">
        <v>2024</v>
      </c>
      <c r="B4036" s="30" t="s">
        <v>16</v>
      </c>
      <c r="C4036" s="30" t="s">
        <v>46</v>
      </c>
      <c r="D4036" s="30" t="s">
        <v>47</v>
      </c>
      <c r="E4036" s="32" t="s">
        <v>246</v>
      </c>
      <c r="F4036" s="32" t="s">
        <v>49</v>
      </c>
      <c r="G4036" s="32" t="s">
        <v>50</v>
      </c>
      <c r="H4036" s="33">
        <v>3990</v>
      </c>
      <c r="I4036" s="34">
        <f>Table3[[#This Row],[Volume, kg.]]/1000</f>
        <v>3.99</v>
      </c>
      <c r="J4036" s="34">
        <v>0.24809999999999999</v>
      </c>
      <c r="K4036" s="34">
        <f t="shared" si="126"/>
        <v>989.91899999999998</v>
      </c>
      <c r="L4036" s="34">
        <v>2.4500000000000002</v>
      </c>
      <c r="M4036" s="34">
        <v>9775.5</v>
      </c>
      <c r="N4036" s="34">
        <f t="shared" ref="N4036:N4099" si="127">L4036/J4036</f>
        <v>9.8750503829101177</v>
      </c>
    </row>
    <row r="4037" spans="1:14" x14ac:dyDescent="0.45">
      <c r="A4037" s="30">
        <v>2024</v>
      </c>
      <c r="B4037" s="30" t="s">
        <v>16</v>
      </c>
      <c r="C4037" s="30" t="s">
        <v>46</v>
      </c>
      <c r="D4037" s="30" t="s">
        <v>47</v>
      </c>
      <c r="E4037" s="32" t="s">
        <v>383</v>
      </c>
      <c r="F4037" s="32" t="s">
        <v>49</v>
      </c>
      <c r="G4037" s="32" t="s">
        <v>50</v>
      </c>
      <c r="H4037" s="33">
        <v>5810</v>
      </c>
      <c r="I4037" s="34">
        <f>Table3[[#This Row],[Volume, kg.]]/1000</f>
        <v>5.81</v>
      </c>
      <c r="J4037" s="34">
        <v>0.25170000000000003</v>
      </c>
      <c r="K4037" s="34">
        <f t="shared" si="126"/>
        <v>1462.3770000000002</v>
      </c>
      <c r="L4037" s="34">
        <v>2.48</v>
      </c>
      <c r="M4037" s="34">
        <v>14397</v>
      </c>
      <c r="N4037" s="34">
        <f t="shared" si="127"/>
        <v>9.8529996027016278</v>
      </c>
    </row>
    <row r="4038" spans="1:14" x14ac:dyDescent="0.45">
      <c r="A4038" s="30">
        <v>2024</v>
      </c>
      <c r="B4038" s="30" t="s">
        <v>16</v>
      </c>
      <c r="C4038" s="30" t="s">
        <v>46</v>
      </c>
      <c r="D4038" s="30" t="s">
        <v>47</v>
      </c>
      <c r="E4038" s="32" t="s">
        <v>493</v>
      </c>
      <c r="F4038" s="32" t="s">
        <v>49</v>
      </c>
      <c r="G4038" s="32" t="s">
        <v>50</v>
      </c>
      <c r="H4038" s="33">
        <v>55070</v>
      </c>
      <c r="I4038" s="34">
        <f>Table3[[#This Row],[Volume, kg.]]/1000</f>
        <v>55.07</v>
      </c>
      <c r="J4038" s="34">
        <v>0.24160000000000001</v>
      </c>
      <c r="K4038" s="34">
        <f t="shared" si="126"/>
        <v>13304.912</v>
      </c>
      <c r="L4038" s="34">
        <v>2.38</v>
      </c>
      <c r="M4038" s="34">
        <v>131265</v>
      </c>
      <c r="N4038" s="34">
        <f t="shared" si="127"/>
        <v>9.8509933774834426</v>
      </c>
    </row>
    <row r="4039" spans="1:14" x14ac:dyDescent="0.45">
      <c r="A4039" s="30">
        <v>2024</v>
      </c>
      <c r="B4039" s="30" t="s">
        <v>16</v>
      </c>
      <c r="C4039" s="30" t="s">
        <v>46</v>
      </c>
      <c r="D4039" s="30" t="s">
        <v>47</v>
      </c>
      <c r="E4039" s="32" t="s">
        <v>208</v>
      </c>
      <c r="F4039" s="32" t="s">
        <v>49</v>
      </c>
      <c r="G4039" s="32" t="s">
        <v>50</v>
      </c>
      <c r="H4039" s="33">
        <v>161570</v>
      </c>
      <c r="I4039" s="34">
        <f>Table3[[#This Row],[Volume, kg.]]/1000</f>
        <v>161.57</v>
      </c>
      <c r="J4039" s="34">
        <v>0.24960000000000002</v>
      </c>
      <c r="K4039" s="34">
        <f t="shared" si="126"/>
        <v>40327.872000000003</v>
      </c>
      <c r="L4039" s="34">
        <v>2.4300000000000002</v>
      </c>
      <c r="M4039" s="34">
        <v>391871.5</v>
      </c>
      <c r="N4039" s="34">
        <f t="shared" si="127"/>
        <v>9.7355769230769234</v>
      </c>
    </row>
    <row r="4040" spans="1:14" x14ac:dyDescent="0.45">
      <c r="A4040" s="30">
        <v>2024</v>
      </c>
      <c r="B4040" s="30" t="s">
        <v>16</v>
      </c>
      <c r="C4040" s="30" t="s">
        <v>46</v>
      </c>
      <c r="D4040" s="30" t="s">
        <v>47</v>
      </c>
      <c r="E4040" s="32" t="s">
        <v>71</v>
      </c>
      <c r="F4040" s="32" t="s">
        <v>49</v>
      </c>
      <c r="G4040" s="32" t="s">
        <v>50</v>
      </c>
      <c r="H4040" s="33">
        <v>50290</v>
      </c>
      <c r="I4040" s="34">
        <f>Table3[[#This Row],[Volume, kg.]]/1000</f>
        <v>50.29</v>
      </c>
      <c r="J4040" s="34">
        <v>0.26019999999999999</v>
      </c>
      <c r="K4040" s="34">
        <f t="shared" si="126"/>
        <v>13085.457999999999</v>
      </c>
      <c r="L4040" s="34">
        <v>2.46</v>
      </c>
      <c r="M4040" s="34">
        <v>123717.5</v>
      </c>
      <c r="N4040" s="34">
        <f t="shared" si="127"/>
        <v>9.4542659492697929</v>
      </c>
    </row>
    <row r="4041" spans="1:14" x14ac:dyDescent="0.45">
      <c r="A4041" s="30">
        <v>2024</v>
      </c>
      <c r="B4041" s="30" t="s">
        <v>16</v>
      </c>
      <c r="C4041" s="30" t="s">
        <v>46</v>
      </c>
      <c r="D4041" s="30" t="s">
        <v>47</v>
      </c>
      <c r="E4041" s="32" t="s">
        <v>123</v>
      </c>
      <c r="F4041" s="32" t="s">
        <v>49</v>
      </c>
      <c r="G4041" s="32" t="s">
        <v>50</v>
      </c>
      <c r="H4041" s="33">
        <v>118290</v>
      </c>
      <c r="I4041" s="34">
        <f>Table3[[#This Row],[Volume, kg.]]/1000</f>
        <v>118.29</v>
      </c>
      <c r="J4041" s="34">
        <v>0.24829999999999999</v>
      </c>
      <c r="K4041" s="34">
        <f t="shared" si="126"/>
        <v>29371.406999999999</v>
      </c>
      <c r="L4041" s="34">
        <v>2.4500000000000002</v>
      </c>
      <c r="M4041" s="34">
        <v>289636.5</v>
      </c>
      <c r="N4041" s="34">
        <f t="shared" si="127"/>
        <v>9.8670962545308107</v>
      </c>
    </row>
    <row r="4042" spans="1:14" x14ac:dyDescent="0.45">
      <c r="A4042" s="30">
        <v>2024</v>
      </c>
      <c r="B4042" s="30" t="s">
        <v>16</v>
      </c>
      <c r="C4042" s="30" t="s">
        <v>46</v>
      </c>
      <c r="D4042" s="30" t="s">
        <v>47</v>
      </c>
      <c r="E4042" s="32" t="s">
        <v>99</v>
      </c>
      <c r="F4042" s="32" t="s">
        <v>49</v>
      </c>
      <c r="G4042" s="32" t="s">
        <v>50</v>
      </c>
      <c r="H4042" s="33">
        <v>158260</v>
      </c>
      <c r="I4042" s="34">
        <f>Table3[[#This Row],[Volume, kg.]]/1000</f>
        <v>158.26</v>
      </c>
      <c r="J4042" s="34">
        <v>0.2455</v>
      </c>
      <c r="K4042" s="34">
        <f t="shared" si="126"/>
        <v>38852.83</v>
      </c>
      <c r="L4042" s="34">
        <v>2.44</v>
      </c>
      <c r="M4042" s="34">
        <v>386661</v>
      </c>
      <c r="N4042" s="34">
        <f t="shared" si="127"/>
        <v>9.9389002036659875</v>
      </c>
    </row>
    <row r="4043" spans="1:14" x14ac:dyDescent="0.45">
      <c r="A4043" s="30">
        <v>2024</v>
      </c>
      <c r="B4043" s="30" t="s">
        <v>16</v>
      </c>
      <c r="C4043" s="30" t="s">
        <v>46</v>
      </c>
      <c r="D4043" s="30" t="s">
        <v>47</v>
      </c>
      <c r="E4043" s="32" t="s">
        <v>226</v>
      </c>
      <c r="F4043" s="32" t="s">
        <v>60</v>
      </c>
      <c r="G4043" s="32" t="s">
        <v>50</v>
      </c>
      <c r="H4043" s="33">
        <v>132010</v>
      </c>
      <c r="I4043" s="34">
        <f>Table3[[#This Row],[Volume, kg.]]/1000</f>
        <v>132.01</v>
      </c>
      <c r="J4043" s="34">
        <v>0.24739999999999998</v>
      </c>
      <c r="K4043" s="34">
        <f t="shared" si="126"/>
        <v>32659.273999999998</v>
      </c>
      <c r="L4043" s="34">
        <v>2.4300000000000002</v>
      </c>
      <c r="M4043" s="34">
        <v>321055.5</v>
      </c>
      <c r="N4043" s="34">
        <f t="shared" si="127"/>
        <v>9.8221503637833489</v>
      </c>
    </row>
    <row r="4044" spans="1:14" x14ac:dyDescent="0.45">
      <c r="A4044" s="30">
        <v>2024</v>
      </c>
      <c r="B4044" s="30" t="s">
        <v>16</v>
      </c>
      <c r="C4044" s="30" t="s">
        <v>46</v>
      </c>
      <c r="D4044" s="30" t="s">
        <v>47</v>
      </c>
      <c r="E4044" s="32" t="s">
        <v>219</v>
      </c>
      <c r="F4044" s="32" t="s">
        <v>57</v>
      </c>
      <c r="G4044" s="32" t="s">
        <v>50</v>
      </c>
      <c r="H4044" s="33">
        <v>13700</v>
      </c>
      <c r="I4044" s="34">
        <f>Table3[[#This Row],[Volume, kg.]]/1000</f>
        <v>13.7</v>
      </c>
      <c r="J4044" s="34">
        <v>0.21940000000000001</v>
      </c>
      <c r="K4044" s="34">
        <f t="shared" si="126"/>
        <v>3005.78</v>
      </c>
      <c r="L4044" s="34">
        <v>2.33</v>
      </c>
      <c r="M4044" s="34">
        <v>31987.5</v>
      </c>
      <c r="N4044" s="34">
        <f t="shared" si="127"/>
        <v>10.619872379216044</v>
      </c>
    </row>
    <row r="4045" spans="1:14" x14ac:dyDescent="0.45">
      <c r="A4045" s="30">
        <v>2024</v>
      </c>
      <c r="B4045" s="30" t="s">
        <v>16</v>
      </c>
      <c r="C4045" s="30" t="s">
        <v>46</v>
      </c>
      <c r="D4045" s="30" t="s">
        <v>47</v>
      </c>
      <c r="E4045" s="32" t="s">
        <v>182</v>
      </c>
      <c r="F4045" s="32" t="s">
        <v>81</v>
      </c>
      <c r="G4045" s="32" t="s">
        <v>50</v>
      </c>
      <c r="H4045" s="33">
        <v>144250</v>
      </c>
      <c r="I4045" s="34">
        <f>Table3[[#This Row],[Volume, kg.]]/1000</f>
        <v>144.25</v>
      </c>
      <c r="J4045" s="34">
        <v>0.2571</v>
      </c>
      <c r="K4045" s="34">
        <f t="shared" si="126"/>
        <v>37086.675000000003</v>
      </c>
      <c r="L4045" s="34">
        <v>2.4900000000000002</v>
      </c>
      <c r="M4045" s="34">
        <v>359783</v>
      </c>
      <c r="N4045" s="34">
        <f t="shared" si="127"/>
        <v>9.6849474912485416</v>
      </c>
    </row>
    <row r="4046" spans="1:14" x14ac:dyDescent="0.45">
      <c r="A4046" s="30">
        <v>2024</v>
      </c>
      <c r="B4046" s="30" t="s">
        <v>16</v>
      </c>
      <c r="C4046" s="30" t="s">
        <v>46</v>
      </c>
      <c r="D4046" s="30" t="s">
        <v>47</v>
      </c>
      <c r="E4046" s="32" t="s">
        <v>442</v>
      </c>
      <c r="F4046" s="32" t="s">
        <v>81</v>
      </c>
      <c r="G4046" s="32" t="s">
        <v>50</v>
      </c>
      <c r="H4046" s="33">
        <v>8160</v>
      </c>
      <c r="I4046" s="34">
        <f>Table3[[#This Row],[Volume, kg.]]/1000</f>
        <v>8.16</v>
      </c>
      <c r="J4046" s="34">
        <v>0.1865</v>
      </c>
      <c r="K4046" s="34">
        <f t="shared" si="126"/>
        <v>1521.84</v>
      </c>
      <c r="L4046" s="34">
        <v>2.15</v>
      </c>
      <c r="M4046" s="34">
        <v>17544</v>
      </c>
      <c r="N4046" s="34">
        <f t="shared" si="127"/>
        <v>11.528150134048257</v>
      </c>
    </row>
    <row r="4047" spans="1:14" x14ac:dyDescent="0.45">
      <c r="A4047" s="30">
        <v>2024</v>
      </c>
      <c r="B4047" s="30" t="s">
        <v>16</v>
      </c>
      <c r="C4047" s="30" t="s">
        <v>46</v>
      </c>
      <c r="D4047" s="30" t="s">
        <v>47</v>
      </c>
      <c r="E4047" s="32" t="s">
        <v>322</v>
      </c>
      <c r="F4047" s="32" t="s">
        <v>57</v>
      </c>
      <c r="G4047" s="32" t="s">
        <v>50</v>
      </c>
      <c r="H4047" s="33">
        <v>12230</v>
      </c>
      <c r="I4047" s="34">
        <f>Table3[[#This Row],[Volume, kg.]]/1000</f>
        <v>12.23</v>
      </c>
      <c r="J4047" s="34">
        <v>0.2447</v>
      </c>
      <c r="K4047" s="34">
        <f t="shared" si="126"/>
        <v>2992.681</v>
      </c>
      <c r="L4047" s="34">
        <v>2.33</v>
      </c>
      <c r="M4047" s="34">
        <v>28454.5</v>
      </c>
      <c r="N4047" s="34">
        <f t="shared" si="127"/>
        <v>9.521863506334288</v>
      </c>
    </row>
    <row r="4048" spans="1:14" x14ac:dyDescent="0.45">
      <c r="A4048" s="30">
        <v>2024</v>
      </c>
      <c r="B4048" s="30" t="s">
        <v>16</v>
      </c>
      <c r="C4048" s="30" t="s">
        <v>46</v>
      </c>
      <c r="D4048" s="30" t="s">
        <v>47</v>
      </c>
      <c r="E4048" s="32" t="s">
        <v>297</v>
      </c>
      <c r="F4048" s="32" t="s">
        <v>57</v>
      </c>
      <c r="G4048" s="32" t="s">
        <v>50</v>
      </c>
      <c r="H4048" s="33">
        <v>15940</v>
      </c>
      <c r="I4048" s="34">
        <f>Table3[[#This Row],[Volume, kg.]]/1000</f>
        <v>15.94</v>
      </c>
      <c r="J4048" s="34">
        <v>0.26100000000000001</v>
      </c>
      <c r="K4048" s="34">
        <f t="shared" si="126"/>
        <v>4160.34</v>
      </c>
      <c r="L4048" s="34">
        <v>2.57</v>
      </c>
      <c r="M4048" s="34">
        <v>41021.5</v>
      </c>
      <c r="N4048" s="34">
        <f t="shared" si="127"/>
        <v>9.8467432950191558</v>
      </c>
    </row>
    <row r="4049" spans="1:14" x14ac:dyDescent="0.45">
      <c r="A4049" s="30">
        <v>2024</v>
      </c>
      <c r="B4049" s="30" t="s">
        <v>16</v>
      </c>
      <c r="C4049" s="30" t="s">
        <v>46</v>
      </c>
      <c r="D4049" s="30" t="s">
        <v>47</v>
      </c>
      <c r="E4049" s="32" t="s">
        <v>82</v>
      </c>
      <c r="F4049" s="32" t="s">
        <v>57</v>
      </c>
      <c r="G4049" s="32" t="s">
        <v>50</v>
      </c>
      <c r="H4049" s="33">
        <v>7930</v>
      </c>
      <c r="I4049" s="34">
        <f>Table3[[#This Row],[Volume, kg.]]/1000</f>
        <v>7.93</v>
      </c>
      <c r="J4049" s="34">
        <v>0.19649999999999998</v>
      </c>
      <c r="K4049" s="34">
        <f t="shared" si="126"/>
        <v>1558.2449999999999</v>
      </c>
      <c r="L4049" s="34">
        <v>2.1</v>
      </c>
      <c r="M4049" s="34">
        <v>16653</v>
      </c>
      <c r="N4049" s="34">
        <f t="shared" si="127"/>
        <v>10.68702290076336</v>
      </c>
    </row>
    <row r="4050" spans="1:14" x14ac:dyDescent="0.45">
      <c r="A4050" s="30">
        <v>2024</v>
      </c>
      <c r="B4050" s="30" t="s">
        <v>16</v>
      </c>
      <c r="C4050" s="30" t="s">
        <v>46</v>
      </c>
      <c r="D4050" s="30" t="s">
        <v>47</v>
      </c>
      <c r="E4050" s="32" t="s">
        <v>65</v>
      </c>
      <c r="F4050" s="32" t="s">
        <v>49</v>
      </c>
      <c r="G4050" s="32" t="s">
        <v>50</v>
      </c>
      <c r="H4050" s="33">
        <v>89330</v>
      </c>
      <c r="I4050" s="34">
        <f>Table3[[#This Row],[Volume, kg.]]/1000</f>
        <v>89.33</v>
      </c>
      <c r="J4050" s="34">
        <v>0.21729999999999999</v>
      </c>
      <c r="K4050" s="34">
        <f t="shared" si="126"/>
        <v>19411.409</v>
      </c>
      <c r="L4050" s="34">
        <v>2.2400000000000002</v>
      </c>
      <c r="M4050" s="34">
        <v>200410</v>
      </c>
      <c r="N4050" s="34">
        <f t="shared" si="127"/>
        <v>10.308329498389325</v>
      </c>
    </row>
    <row r="4051" spans="1:14" x14ac:dyDescent="0.45">
      <c r="A4051" s="30">
        <v>2024</v>
      </c>
      <c r="B4051" s="30" t="s">
        <v>16</v>
      </c>
      <c r="C4051" s="30" t="s">
        <v>46</v>
      </c>
      <c r="D4051" s="30" t="s">
        <v>47</v>
      </c>
      <c r="E4051" s="32" t="s">
        <v>245</v>
      </c>
      <c r="F4051" s="32" t="s">
        <v>57</v>
      </c>
      <c r="G4051" s="32" t="s">
        <v>50</v>
      </c>
      <c r="H4051" s="33">
        <v>51340</v>
      </c>
      <c r="I4051" s="34">
        <f>Table3[[#This Row],[Volume, kg.]]/1000</f>
        <v>51.34</v>
      </c>
      <c r="J4051" s="34">
        <v>0.2535</v>
      </c>
      <c r="K4051" s="34">
        <f t="shared" si="126"/>
        <v>13014.69</v>
      </c>
      <c r="L4051" s="34">
        <v>2.42</v>
      </c>
      <c r="M4051" s="34">
        <v>124394</v>
      </c>
      <c r="N4051" s="34">
        <f t="shared" si="127"/>
        <v>9.5463510848126223</v>
      </c>
    </row>
    <row r="4052" spans="1:14" x14ac:dyDescent="0.45">
      <c r="A4052" s="30">
        <v>2024</v>
      </c>
      <c r="B4052" s="30" t="s">
        <v>16</v>
      </c>
      <c r="C4052" s="30" t="s">
        <v>46</v>
      </c>
      <c r="D4052" s="30" t="s">
        <v>47</v>
      </c>
      <c r="E4052" s="32" t="s">
        <v>303</v>
      </c>
      <c r="F4052" s="32" t="s">
        <v>57</v>
      </c>
      <c r="G4052" s="32" t="s">
        <v>50</v>
      </c>
      <c r="H4052" s="33">
        <v>62690</v>
      </c>
      <c r="I4052" s="34">
        <f>Table3[[#This Row],[Volume, kg.]]/1000</f>
        <v>62.69</v>
      </c>
      <c r="J4052" s="34">
        <v>0.25489999999999996</v>
      </c>
      <c r="K4052" s="34">
        <f t="shared" si="126"/>
        <v>15979.680999999997</v>
      </c>
      <c r="L4052" s="34">
        <v>2.4900000000000002</v>
      </c>
      <c r="M4052" s="34">
        <v>155813</v>
      </c>
      <c r="N4052" s="34">
        <f t="shared" si="127"/>
        <v>9.7685366810513958</v>
      </c>
    </row>
    <row r="4053" spans="1:14" x14ac:dyDescent="0.45">
      <c r="A4053" s="30">
        <v>2024</v>
      </c>
      <c r="B4053" s="30" t="s">
        <v>16</v>
      </c>
      <c r="C4053" s="30" t="s">
        <v>46</v>
      </c>
      <c r="D4053" s="30" t="s">
        <v>47</v>
      </c>
      <c r="E4053" s="32" t="s">
        <v>163</v>
      </c>
      <c r="F4053" s="32" t="s">
        <v>60</v>
      </c>
      <c r="G4053" s="32" t="s">
        <v>50</v>
      </c>
      <c r="H4053" s="33">
        <v>173850</v>
      </c>
      <c r="I4053" s="34">
        <f>Table3[[#This Row],[Volume, kg.]]/1000</f>
        <v>173.85</v>
      </c>
      <c r="J4053" s="34">
        <v>0.2437</v>
      </c>
      <c r="K4053" s="34">
        <f t="shared" si="126"/>
        <v>42367.245000000003</v>
      </c>
      <c r="L4053" s="34">
        <v>2.38</v>
      </c>
      <c r="M4053" s="34">
        <v>413373.5</v>
      </c>
      <c r="N4053" s="34">
        <f t="shared" si="127"/>
        <v>9.7661058678703316</v>
      </c>
    </row>
    <row r="4054" spans="1:14" x14ac:dyDescent="0.45">
      <c r="A4054" s="30">
        <v>2024</v>
      </c>
      <c r="B4054" s="30" t="s">
        <v>16</v>
      </c>
      <c r="C4054" s="30" t="s">
        <v>46</v>
      </c>
      <c r="D4054" s="30" t="s">
        <v>47</v>
      </c>
      <c r="E4054" s="32" t="s">
        <v>229</v>
      </c>
      <c r="F4054" s="32" t="s">
        <v>57</v>
      </c>
      <c r="G4054" s="32" t="s">
        <v>50</v>
      </c>
      <c r="H4054" s="33">
        <v>38790</v>
      </c>
      <c r="I4054" s="34">
        <f>Table3[[#This Row],[Volume, kg.]]/1000</f>
        <v>38.79</v>
      </c>
      <c r="J4054" s="34">
        <v>0.25420000000000004</v>
      </c>
      <c r="K4054" s="34">
        <f t="shared" si="126"/>
        <v>9860.4180000000015</v>
      </c>
      <c r="L4054" s="34">
        <v>2.5</v>
      </c>
      <c r="M4054" s="34">
        <v>96904.5</v>
      </c>
      <c r="N4054" s="34">
        <f t="shared" si="127"/>
        <v>9.8347757671125091</v>
      </c>
    </row>
    <row r="4055" spans="1:14" x14ac:dyDescent="0.45">
      <c r="A4055" s="30">
        <v>2024</v>
      </c>
      <c r="B4055" s="30" t="s">
        <v>16</v>
      </c>
      <c r="C4055" s="30" t="s">
        <v>46</v>
      </c>
      <c r="D4055" s="30" t="s">
        <v>47</v>
      </c>
      <c r="E4055" s="32" t="s">
        <v>172</v>
      </c>
      <c r="F4055" s="32" t="s">
        <v>57</v>
      </c>
      <c r="G4055" s="32" t="s">
        <v>50</v>
      </c>
      <c r="H4055" s="33">
        <v>6580</v>
      </c>
      <c r="I4055" s="34">
        <f>Table3[[#This Row],[Volume, kg.]]/1000</f>
        <v>6.58</v>
      </c>
      <c r="J4055" s="34">
        <v>0.26500000000000001</v>
      </c>
      <c r="K4055" s="34">
        <f t="shared" si="126"/>
        <v>1743.7</v>
      </c>
      <c r="L4055" s="34">
        <v>2.4500000000000002</v>
      </c>
      <c r="M4055" s="34">
        <v>16121</v>
      </c>
      <c r="N4055" s="34">
        <f t="shared" si="127"/>
        <v>9.2452830188679247</v>
      </c>
    </row>
    <row r="4056" spans="1:14" x14ac:dyDescent="0.45">
      <c r="A4056" s="30">
        <v>2024</v>
      </c>
      <c r="B4056" s="30" t="s">
        <v>16</v>
      </c>
      <c r="C4056" s="30" t="s">
        <v>46</v>
      </c>
      <c r="D4056" s="30" t="s">
        <v>47</v>
      </c>
      <c r="E4056" s="32" t="s">
        <v>655</v>
      </c>
      <c r="F4056" s="32" t="s">
        <v>49</v>
      </c>
      <c r="G4056" s="32" t="s">
        <v>50</v>
      </c>
      <c r="H4056" s="33">
        <v>168040</v>
      </c>
      <c r="I4056" s="34">
        <f>Table3[[#This Row],[Volume, kg.]]/1000</f>
        <v>168.04</v>
      </c>
      <c r="J4056" s="34">
        <v>0.25920000000000004</v>
      </c>
      <c r="K4056" s="34">
        <f t="shared" si="126"/>
        <v>43555.968000000008</v>
      </c>
      <c r="L4056" s="34">
        <v>2.48</v>
      </c>
      <c r="M4056" s="34">
        <v>416608.5</v>
      </c>
      <c r="N4056" s="34">
        <f t="shared" si="127"/>
        <v>9.5679012345679002</v>
      </c>
    </row>
    <row r="4057" spans="1:14" x14ac:dyDescent="0.45">
      <c r="A4057" s="30">
        <v>2024</v>
      </c>
      <c r="B4057" s="30" t="s">
        <v>16</v>
      </c>
      <c r="C4057" s="30" t="s">
        <v>46</v>
      </c>
      <c r="D4057" s="30" t="s">
        <v>47</v>
      </c>
      <c r="E4057" s="32" t="s">
        <v>170</v>
      </c>
      <c r="F4057" s="32" t="s">
        <v>49</v>
      </c>
      <c r="G4057" s="32" t="s">
        <v>50</v>
      </c>
      <c r="H4057" s="33">
        <v>62180</v>
      </c>
      <c r="I4057" s="34">
        <f>Table3[[#This Row],[Volume, kg.]]/1000</f>
        <v>62.18</v>
      </c>
      <c r="J4057" s="34">
        <v>0.24729999999999999</v>
      </c>
      <c r="K4057" s="34">
        <f t="shared" si="126"/>
        <v>15377.114</v>
      </c>
      <c r="L4057" s="34">
        <v>2.4700000000000002</v>
      </c>
      <c r="M4057" s="34">
        <v>153420.5</v>
      </c>
      <c r="N4057" s="34">
        <f t="shared" si="127"/>
        <v>9.9878689850384159</v>
      </c>
    </row>
    <row r="4058" spans="1:14" x14ac:dyDescent="0.45">
      <c r="A4058" s="30">
        <v>2024</v>
      </c>
      <c r="B4058" s="30" t="s">
        <v>16</v>
      </c>
      <c r="C4058" s="30" t="s">
        <v>46</v>
      </c>
      <c r="D4058" s="30" t="s">
        <v>47</v>
      </c>
      <c r="E4058" s="32" t="s">
        <v>320</v>
      </c>
      <c r="F4058" s="32" t="s">
        <v>49</v>
      </c>
      <c r="G4058" s="32" t="s">
        <v>50</v>
      </c>
      <c r="H4058" s="33">
        <v>98790</v>
      </c>
      <c r="I4058" s="34">
        <f>Table3[[#This Row],[Volume, kg.]]/1000</f>
        <v>98.79</v>
      </c>
      <c r="J4058" s="34">
        <v>0.26579999999999998</v>
      </c>
      <c r="K4058" s="34">
        <f t="shared" si="126"/>
        <v>26258.381999999998</v>
      </c>
      <c r="L4058" s="34">
        <v>2.54</v>
      </c>
      <c r="M4058" s="34">
        <v>250783.5</v>
      </c>
      <c r="N4058" s="34">
        <f t="shared" si="127"/>
        <v>9.5560571858540264</v>
      </c>
    </row>
    <row r="4059" spans="1:14" x14ac:dyDescent="0.45">
      <c r="A4059" s="30">
        <v>2024</v>
      </c>
      <c r="B4059" s="30" t="s">
        <v>16</v>
      </c>
      <c r="C4059" s="30" t="s">
        <v>46</v>
      </c>
      <c r="D4059" s="30" t="s">
        <v>47</v>
      </c>
      <c r="E4059" s="32" t="s">
        <v>301</v>
      </c>
      <c r="F4059" s="32" t="s">
        <v>60</v>
      </c>
      <c r="G4059" s="32" t="s">
        <v>50</v>
      </c>
      <c r="H4059" s="33">
        <v>306590</v>
      </c>
      <c r="I4059" s="34">
        <f>Table3[[#This Row],[Volume, kg.]]/1000</f>
        <v>306.58999999999997</v>
      </c>
      <c r="J4059" s="34">
        <v>0.26550000000000001</v>
      </c>
      <c r="K4059" s="34">
        <f t="shared" si="126"/>
        <v>81399.645000000004</v>
      </c>
      <c r="L4059" s="34">
        <v>2.5099999999999998</v>
      </c>
      <c r="M4059" s="34">
        <v>768034</v>
      </c>
      <c r="N4059" s="34">
        <f t="shared" si="127"/>
        <v>9.4538606403013166</v>
      </c>
    </row>
    <row r="4060" spans="1:14" x14ac:dyDescent="0.45">
      <c r="A4060" s="30">
        <v>2024</v>
      </c>
      <c r="B4060" s="30" t="s">
        <v>16</v>
      </c>
      <c r="C4060" s="30" t="s">
        <v>46</v>
      </c>
      <c r="D4060" s="30" t="s">
        <v>47</v>
      </c>
      <c r="E4060" s="32" t="s">
        <v>325</v>
      </c>
      <c r="F4060" s="32" t="s">
        <v>60</v>
      </c>
      <c r="G4060" s="32" t="s">
        <v>50</v>
      </c>
      <c r="H4060" s="33">
        <v>131470</v>
      </c>
      <c r="I4060" s="34">
        <f>Table3[[#This Row],[Volume, kg.]]/1000</f>
        <v>131.47</v>
      </c>
      <c r="J4060" s="34">
        <v>0.26649999999999996</v>
      </c>
      <c r="K4060" s="34">
        <f t="shared" si="126"/>
        <v>35036.754999999997</v>
      </c>
      <c r="L4060" s="34">
        <v>2.5099999999999998</v>
      </c>
      <c r="M4060" s="34">
        <v>330355</v>
      </c>
      <c r="N4060" s="34">
        <f t="shared" si="127"/>
        <v>9.4183864915572233</v>
      </c>
    </row>
    <row r="4061" spans="1:14" x14ac:dyDescent="0.45">
      <c r="A4061" s="30">
        <v>2024</v>
      </c>
      <c r="B4061" s="30" t="s">
        <v>16</v>
      </c>
      <c r="C4061" s="30" t="s">
        <v>46</v>
      </c>
      <c r="D4061" s="30" t="s">
        <v>47</v>
      </c>
      <c r="E4061" s="32" t="s">
        <v>51</v>
      </c>
      <c r="F4061" s="32" t="s">
        <v>49</v>
      </c>
      <c r="G4061" s="32" t="s">
        <v>50</v>
      </c>
      <c r="H4061" s="33">
        <v>37530</v>
      </c>
      <c r="I4061" s="34">
        <f>Table3[[#This Row],[Volume, kg.]]/1000</f>
        <v>37.53</v>
      </c>
      <c r="J4061" s="34">
        <v>0.24480000000000002</v>
      </c>
      <c r="K4061" s="34">
        <f t="shared" si="126"/>
        <v>9187.344000000001</v>
      </c>
      <c r="L4061" s="34">
        <v>2.36</v>
      </c>
      <c r="M4061" s="34">
        <v>88404.5</v>
      </c>
      <c r="N4061" s="34">
        <f t="shared" si="127"/>
        <v>9.640522875816993</v>
      </c>
    </row>
    <row r="4062" spans="1:14" x14ac:dyDescent="0.45">
      <c r="A4062" s="30">
        <v>2024</v>
      </c>
      <c r="B4062" s="30" t="s">
        <v>16</v>
      </c>
      <c r="C4062" s="30" t="s">
        <v>46</v>
      </c>
      <c r="D4062" s="30" t="s">
        <v>47</v>
      </c>
      <c r="E4062" s="32" t="s">
        <v>462</v>
      </c>
      <c r="F4062" s="32" t="s">
        <v>49</v>
      </c>
      <c r="G4062" s="32" t="s">
        <v>50</v>
      </c>
      <c r="H4062" s="33">
        <v>31760</v>
      </c>
      <c r="I4062" s="34">
        <f>Table3[[#This Row],[Volume, kg.]]/1000</f>
        <v>31.76</v>
      </c>
      <c r="J4062" s="34">
        <v>0.25329999999999997</v>
      </c>
      <c r="K4062" s="34">
        <f t="shared" si="126"/>
        <v>8044.8079999999991</v>
      </c>
      <c r="L4062" s="34">
        <v>2.52</v>
      </c>
      <c r="M4062" s="34">
        <v>80040.5</v>
      </c>
      <c r="N4062" s="34">
        <f t="shared" si="127"/>
        <v>9.9486774575602066</v>
      </c>
    </row>
    <row r="4063" spans="1:14" x14ac:dyDescent="0.45">
      <c r="A4063" s="30">
        <v>2024</v>
      </c>
      <c r="B4063" s="30" t="s">
        <v>16</v>
      </c>
      <c r="C4063" s="30" t="s">
        <v>46</v>
      </c>
      <c r="D4063" s="30" t="s">
        <v>47</v>
      </c>
      <c r="E4063" s="32" t="s">
        <v>179</v>
      </c>
      <c r="F4063" s="32" t="s">
        <v>60</v>
      </c>
      <c r="G4063" s="32" t="s">
        <v>50</v>
      </c>
      <c r="H4063" s="33">
        <v>182330</v>
      </c>
      <c r="I4063" s="34">
        <f>Table3[[#This Row],[Volume, kg.]]/1000</f>
        <v>182.33</v>
      </c>
      <c r="J4063" s="34">
        <v>0.2631</v>
      </c>
      <c r="K4063" s="34">
        <f t="shared" si="126"/>
        <v>47971.023000000001</v>
      </c>
      <c r="L4063" s="34">
        <v>2.5099999999999998</v>
      </c>
      <c r="M4063" s="34">
        <v>456947</v>
      </c>
      <c r="N4063" s="34">
        <f t="shared" si="127"/>
        <v>9.5400988217407825</v>
      </c>
    </row>
    <row r="4064" spans="1:14" x14ac:dyDescent="0.45">
      <c r="A4064" s="30">
        <v>2024</v>
      </c>
      <c r="B4064" s="30" t="s">
        <v>16</v>
      </c>
      <c r="C4064" s="30" t="s">
        <v>46</v>
      </c>
      <c r="D4064" s="30" t="s">
        <v>47</v>
      </c>
      <c r="E4064" s="32" t="s">
        <v>463</v>
      </c>
      <c r="F4064" s="32" t="s">
        <v>49</v>
      </c>
      <c r="G4064" s="32" t="s">
        <v>50</v>
      </c>
      <c r="H4064" s="33">
        <v>10360</v>
      </c>
      <c r="I4064" s="34">
        <f>Table3[[#This Row],[Volume, kg.]]/1000</f>
        <v>10.36</v>
      </c>
      <c r="J4064" s="34">
        <v>0.18960000000000002</v>
      </c>
      <c r="K4064" s="34">
        <f t="shared" si="126"/>
        <v>1964.2560000000001</v>
      </c>
      <c r="L4064" s="34">
        <v>2.19</v>
      </c>
      <c r="M4064" s="34">
        <v>22724.5</v>
      </c>
      <c r="N4064" s="34">
        <f t="shared" si="127"/>
        <v>11.550632911392404</v>
      </c>
    </row>
    <row r="4065" spans="1:14" x14ac:dyDescent="0.45">
      <c r="A4065" s="30">
        <v>2024</v>
      </c>
      <c r="B4065" s="30" t="s">
        <v>16</v>
      </c>
      <c r="C4065" s="30" t="s">
        <v>46</v>
      </c>
      <c r="D4065" s="30" t="s">
        <v>47</v>
      </c>
      <c r="E4065" s="32" t="s">
        <v>258</v>
      </c>
      <c r="F4065" s="32" t="s">
        <v>49</v>
      </c>
      <c r="G4065" s="32" t="s">
        <v>50</v>
      </c>
      <c r="H4065" s="33">
        <v>1240480</v>
      </c>
      <c r="I4065" s="34">
        <f>Table3[[#This Row],[Volume, kg.]]/1000</f>
        <v>1240.48</v>
      </c>
      <c r="J4065" s="34">
        <v>0.2364</v>
      </c>
      <c r="K4065" s="34">
        <f t="shared" si="126"/>
        <v>293249.47200000001</v>
      </c>
      <c r="L4065" s="34">
        <v>2.36</v>
      </c>
      <c r="M4065" s="34">
        <v>2929547.5</v>
      </c>
      <c r="N4065" s="34">
        <f t="shared" si="127"/>
        <v>9.9830795262267333</v>
      </c>
    </row>
    <row r="4066" spans="1:14" x14ac:dyDescent="0.45">
      <c r="A4066" s="30">
        <v>2024</v>
      </c>
      <c r="B4066" s="30" t="s">
        <v>16</v>
      </c>
      <c r="C4066" s="30" t="s">
        <v>46</v>
      </c>
      <c r="D4066" s="30" t="s">
        <v>47</v>
      </c>
      <c r="E4066" s="32" t="s">
        <v>375</v>
      </c>
      <c r="F4066" s="32" t="s">
        <v>49</v>
      </c>
      <c r="G4066" s="32" t="s">
        <v>50</v>
      </c>
      <c r="H4066" s="33">
        <v>1780</v>
      </c>
      <c r="I4066" s="34">
        <f>Table3[[#This Row],[Volume, kg.]]/1000</f>
        <v>1.78</v>
      </c>
      <c r="J4066" s="34">
        <v>0.27850000000000003</v>
      </c>
      <c r="K4066" s="34">
        <f t="shared" si="126"/>
        <v>495.73</v>
      </c>
      <c r="L4066" s="34">
        <v>2.65</v>
      </c>
      <c r="M4066" s="34">
        <v>4717</v>
      </c>
      <c r="N4066" s="34">
        <f t="shared" si="127"/>
        <v>9.515260323159783</v>
      </c>
    </row>
    <row r="4067" spans="1:14" x14ac:dyDescent="0.45">
      <c r="A4067" s="30">
        <v>2024</v>
      </c>
      <c r="B4067" s="30" t="s">
        <v>16</v>
      </c>
      <c r="C4067" s="30" t="s">
        <v>46</v>
      </c>
      <c r="D4067" s="30" t="s">
        <v>47</v>
      </c>
      <c r="E4067" s="32" t="s">
        <v>363</v>
      </c>
      <c r="F4067" s="32" t="s">
        <v>60</v>
      </c>
      <c r="G4067" s="32" t="s">
        <v>50</v>
      </c>
      <c r="H4067" s="33">
        <v>60750</v>
      </c>
      <c r="I4067" s="34">
        <f>Table3[[#This Row],[Volume, kg.]]/1000</f>
        <v>60.75</v>
      </c>
      <c r="J4067" s="34">
        <v>0.2581</v>
      </c>
      <c r="K4067" s="34">
        <f t="shared" si="126"/>
        <v>15679.574999999999</v>
      </c>
      <c r="L4067" s="34">
        <v>2.4700000000000002</v>
      </c>
      <c r="M4067" s="34">
        <v>150080.5</v>
      </c>
      <c r="N4067" s="34">
        <f t="shared" si="127"/>
        <v>9.5699341340565685</v>
      </c>
    </row>
    <row r="4068" spans="1:14" x14ac:dyDescent="0.45">
      <c r="A4068" s="30">
        <v>2024</v>
      </c>
      <c r="B4068" s="30" t="s">
        <v>16</v>
      </c>
      <c r="C4068" s="30" t="s">
        <v>46</v>
      </c>
      <c r="D4068" s="30" t="s">
        <v>47</v>
      </c>
      <c r="E4068" s="32" t="s">
        <v>166</v>
      </c>
      <c r="F4068" s="32" t="s">
        <v>49</v>
      </c>
      <c r="G4068" s="32" t="s">
        <v>50</v>
      </c>
      <c r="H4068" s="33">
        <v>75190</v>
      </c>
      <c r="I4068" s="34">
        <f>Table3[[#This Row],[Volume, kg.]]/1000</f>
        <v>75.19</v>
      </c>
      <c r="J4068" s="34">
        <v>0.22829999999999998</v>
      </c>
      <c r="K4068" s="34">
        <f t="shared" si="126"/>
        <v>17165.876999999997</v>
      </c>
      <c r="L4068" s="34">
        <v>2.38</v>
      </c>
      <c r="M4068" s="34">
        <v>179282</v>
      </c>
      <c r="N4068" s="34">
        <f t="shared" si="127"/>
        <v>10.424879544459046</v>
      </c>
    </row>
    <row r="4069" spans="1:14" x14ac:dyDescent="0.45">
      <c r="A4069" s="30">
        <v>2024</v>
      </c>
      <c r="B4069" s="30" t="s">
        <v>16</v>
      </c>
      <c r="C4069" s="30" t="s">
        <v>46</v>
      </c>
      <c r="D4069" s="30" t="s">
        <v>47</v>
      </c>
      <c r="E4069" s="32" t="s">
        <v>293</v>
      </c>
      <c r="F4069" s="32" t="s">
        <v>60</v>
      </c>
      <c r="G4069" s="32" t="s">
        <v>50</v>
      </c>
      <c r="H4069" s="33">
        <v>324690</v>
      </c>
      <c r="I4069" s="34">
        <f>Table3[[#This Row],[Volume, kg.]]/1000</f>
        <v>324.69</v>
      </c>
      <c r="J4069" s="34">
        <v>0.2596</v>
      </c>
      <c r="K4069" s="34">
        <f t="shared" si="126"/>
        <v>84289.524000000005</v>
      </c>
      <c r="L4069" s="34">
        <v>2.48</v>
      </c>
      <c r="M4069" s="34">
        <v>805638.5</v>
      </c>
      <c r="N4069" s="34">
        <f t="shared" si="127"/>
        <v>9.5531587057010778</v>
      </c>
    </row>
    <row r="4070" spans="1:14" x14ac:dyDescent="0.45">
      <c r="A4070" s="30">
        <v>2024</v>
      </c>
      <c r="B4070" s="30" t="s">
        <v>16</v>
      </c>
      <c r="C4070" s="30" t="s">
        <v>46</v>
      </c>
      <c r="D4070" s="30" t="s">
        <v>47</v>
      </c>
      <c r="E4070" s="32" t="s">
        <v>242</v>
      </c>
      <c r="F4070" s="32" t="s">
        <v>60</v>
      </c>
      <c r="G4070" s="32" t="s">
        <v>50</v>
      </c>
      <c r="H4070" s="33">
        <v>69160</v>
      </c>
      <c r="I4070" s="34">
        <f>Table3[[#This Row],[Volume, kg.]]/1000</f>
        <v>69.16</v>
      </c>
      <c r="J4070" s="34">
        <v>0.2611</v>
      </c>
      <c r="K4070" s="34">
        <f t="shared" si="126"/>
        <v>18057.675999999999</v>
      </c>
      <c r="L4070" s="34">
        <v>2.5</v>
      </c>
      <c r="M4070" s="34">
        <v>173070</v>
      </c>
      <c r="N4070" s="34">
        <f t="shared" si="127"/>
        <v>9.574875526618154</v>
      </c>
    </row>
    <row r="4071" spans="1:14" x14ac:dyDescent="0.45">
      <c r="A4071" s="30">
        <v>2024</v>
      </c>
      <c r="B4071" s="30" t="s">
        <v>16</v>
      </c>
      <c r="C4071" s="30" t="s">
        <v>46</v>
      </c>
      <c r="D4071" s="30" t="s">
        <v>47</v>
      </c>
      <c r="E4071" s="32" t="s">
        <v>244</v>
      </c>
      <c r="F4071" s="32" t="s">
        <v>60</v>
      </c>
      <c r="G4071" s="32" t="s">
        <v>50</v>
      </c>
      <c r="H4071" s="33">
        <v>112660</v>
      </c>
      <c r="I4071" s="34">
        <f>Table3[[#This Row],[Volume, kg.]]/1000</f>
        <v>112.66</v>
      </c>
      <c r="J4071" s="34">
        <v>0.25059999999999999</v>
      </c>
      <c r="K4071" s="34">
        <f t="shared" si="126"/>
        <v>28232.595999999998</v>
      </c>
      <c r="L4071" s="34">
        <v>2.4500000000000002</v>
      </c>
      <c r="M4071" s="34">
        <v>275578</v>
      </c>
      <c r="N4071" s="34">
        <f t="shared" si="127"/>
        <v>9.7765363128491636</v>
      </c>
    </row>
    <row r="4072" spans="1:14" x14ac:dyDescent="0.45">
      <c r="A4072" s="30">
        <v>2024</v>
      </c>
      <c r="B4072" s="30" t="s">
        <v>16</v>
      </c>
      <c r="C4072" s="30" t="s">
        <v>46</v>
      </c>
      <c r="D4072" s="30" t="s">
        <v>47</v>
      </c>
      <c r="E4072" s="32" t="s">
        <v>256</v>
      </c>
      <c r="F4072" s="32" t="s">
        <v>81</v>
      </c>
      <c r="G4072" s="32" t="s">
        <v>50</v>
      </c>
      <c r="H4072" s="33">
        <v>180060</v>
      </c>
      <c r="I4072" s="34">
        <f>Table3[[#This Row],[Volume, kg.]]/1000</f>
        <v>180.06</v>
      </c>
      <c r="J4072" s="34">
        <v>0.2457</v>
      </c>
      <c r="K4072" s="34">
        <f t="shared" si="126"/>
        <v>44240.741999999998</v>
      </c>
      <c r="L4072" s="34">
        <v>2.4300000000000002</v>
      </c>
      <c r="M4072" s="34">
        <v>438246</v>
      </c>
      <c r="N4072" s="34">
        <f t="shared" si="127"/>
        <v>9.8901098901098905</v>
      </c>
    </row>
    <row r="4073" spans="1:14" x14ac:dyDescent="0.45">
      <c r="A4073" s="30">
        <v>2024</v>
      </c>
      <c r="B4073" s="30" t="s">
        <v>16</v>
      </c>
      <c r="C4073" s="30" t="s">
        <v>46</v>
      </c>
      <c r="D4073" s="30" t="s">
        <v>47</v>
      </c>
      <c r="E4073" s="32" t="s">
        <v>597</v>
      </c>
      <c r="F4073" s="32" t="s">
        <v>49</v>
      </c>
      <c r="G4073" s="32" t="s">
        <v>50</v>
      </c>
      <c r="H4073" s="33">
        <v>5200</v>
      </c>
      <c r="I4073" s="34">
        <f>Table3[[#This Row],[Volume, kg.]]/1000</f>
        <v>5.2</v>
      </c>
      <c r="J4073" s="34">
        <v>0.23050000000000001</v>
      </c>
      <c r="K4073" s="34">
        <f t="shared" si="126"/>
        <v>1198.6000000000001</v>
      </c>
      <c r="L4073" s="34">
        <v>2.25</v>
      </c>
      <c r="M4073" s="34">
        <v>11700</v>
      </c>
      <c r="N4073" s="34">
        <f t="shared" si="127"/>
        <v>9.7613882863340553</v>
      </c>
    </row>
    <row r="4074" spans="1:14" x14ac:dyDescent="0.45">
      <c r="A4074" s="30">
        <v>2024</v>
      </c>
      <c r="B4074" s="30" t="s">
        <v>16</v>
      </c>
      <c r="C4074" s="30" t="s">
        <v>46</v>
      </c>
      <c r="D4074" s="30" t="s">
        <v>47</v>
      </c>
      <c r="E4074" s="32" t="s">
        <v>680</v>
      </c>
      <c r="F4074" s="32" t="s">
        <v>49</v>
      </c>
      <c r="G4074" s="32" t="s">
        <v>50</v>
      </c>
      <c r="H4074" s="33">
        <v>4440</v>
      </c>
      <c r="I4074" s="34">
        <f>Table3[[#This Row],[Volume, kg.]]/1000</f>
        <v>4.4400000000000004</v>
      </c>
      <c r="J4074" s="34">
        <v>0.26050000000000001</v>
      </c>
      <c r="K4074" s="34">
        <f t="shared" si="126"/>
        <v>1156.6200000000001</v>
      </c>
      <c r="L4074" s="34">
        <v>2.4500000000000002</v>
      </c>
      <c r="M4074" s="34">
        <v>10878</v>
      </c>
      <c r="N4074" s="34">
        <f t="shared" si="127"/>
        <v>9.4049904030710181</v>
      </c>
    </row>
    <row r="4075" spans="1:14" x14ac:dyDescent="0.45">
      <c r="A4075" s="30">
        <v>2024</v>
      </c>
      <c r="B4075" s="30" t="s">
        <v>16</v>
      </c>
      <c r="C4075" s="30" t="s">
        <v>46</v>
      </c>
      <c r="D4075" s="30" t="s">
        <v>47</v>
      </c>
      <c r="E4075" s="32" t="s">
        <v>380</v>
      </c>
      <c r="F4075" s="32" t="s">
        <v>49</v>
      </c>
      <c r="G4075" s="32" t="s">
        <v>50</v>
      </c>
      <c r="H4075" s="33">
        <v>12600</v>
      </c>
      <c r="I4075" s="34">
        <f>Table3[[#This Row],[Volume, kg.]]/1000</f>
        <v>12.6</v>
      </c>
      <c r="J4075" s="34">
        <v>0.2238</v>
      </c>
      <c r="K4075" s="34">
        <f t="shared" si="126"/>
        <v>2819.88</v>
      </c>
      <c r="L4075" s="34">
        <v>2.2599999999999998</v>
      </c>
      <c r="M4075" s="34">
        <v>28538</v>
      </c>
      <c r="N4075" s="34">
        <f t="shared" si="127"/>
        <v>10.098302055406613</v>
      </c>
    </row>
    <row r="4076" spans="1:14" x14ac:dyDescent="0.45">
      <c r="A4076" s="30">
        <v>2024</v>
      </c>
      <c r="B4076" s="30" t="s">
        <v>16</v>
      </c>
      <c r="C4076" s="30" t="s">
        <v>46</v>
      </c>
      <c r="D4076" s="30" t="s">
        <v>47</v>
      </c>
      <c r="E4076" s="32" t="s">
        <v>287</v>
      </c>
      <c r="F4076" s="32" t="s">
        <v>60</v>
      </c>
      <c r="G4076" s="32" t="s">
        <v>50</v>
      </c>
      <c r="H4076" s="33">
        <v>48870</v>
      </c>
      <c r="I4076" s="34">
        <f>Table3[[#This Row],[Volume, kg.]]/1000</f>
        <v>48.87</v>
      </c>
      <c r="J4076" s="34">
        <v>0.2311</v>
      </c>
      <c r="K4076" s="34">
        <f t="shared" si="126"/>
        <v>11293.857</v>
      </c>
      <c r="L4076" s="34">
        <v>2.36</v>
      </c>
      <c r="M4076" s="34">
        <v>115225.5</v>
      </c>
      <c r="N4076" s="34">
        <f t="shared" si="127"/>
        <v>10.212029424491561</v>
      </c>
    </row>
    <row r="4077" spans="1:14" x14ac:dyDescent="0.45">
      <c r="A4077" s="30">
        <v>2024</v>
      </c>
      <c r="B4077" s="30" t="s">
        <v>16</v>
      </c>
      <c r="C4077" s="30" t="s">
        <v>46</v>
      </c>
      <c r="D4077" s="30" t="s">
        <v>47</v>
      </c>
      <c r="E4077" s="32" t="s">
        <v>164</v>
      </c>
      <c r="F4077" s="32" t="s">
        <v>49</v>
      </c>
      <c r="G4077" s="32" t="s">
        <v>50</v>
      </c>
      <c r="H4077" s="33">
        <v>46250</v>
      </c>
      <c r="I4077" s="34">
        <f>Table3[[#This Row],[Volume, kg.]]/1000</f>
        <v>46.25</v>
      </c>
      <c r="J4077" s="34">
        <v>0.2414</v>
      </c>
      <c r="K4077" s="34">
        <f t="shared" si="126"/>
        <v>11164.75</v>
      </c>
      <c r="L4077" s="34">
        <v>2.41</v>
      </c>
      <c r="M4077" s="34">
        <v>111505.5</v>
      </c>
      <c r="N4077" s="34">
        <f t="shared" si="127"/>
        <v>9.9834299917149956</v>
      </c>
    </row>
    <row r="4078" spans="1:14" x14ac:dyDescent="0.45">
      <c r="A4078" s="30">
        <v>2024</v>
      </c>
      <c r="B4078" s="30" t="s">
        <v>16</v>
      </c>
      <c r="C4078" s="30" t="s">
        <v>46</v>
      </c>
      <c r="D4078" s="30" t="s">
        <v>47</v>
      </c>
      <c r="E4078" s="32" t="s">
        <v>220</v>
      </c>
      <c r="F4078" s="32" t="s">
        <v>49</v>
      </c>
      <c r="G4078" s="32" t="s">
        <v>50</v>
      </c>
      <c r="H4078" s="33">
        <v>10180</v>
      </c>
      <c r="I4078" s="34">
        <f>Table3[[#This Row],[Volume, kg.]]/1000</f>
        <v>10.18</v>
      </c>
      <c r="J4078" s="34">
        <v>0.2545</v>
      </c>
      <c r="K4078" s="34">
        <f t="shared" si="126"/>
        <v>2590.81</v>
      </c>
      <c r="L4078" s="34">
        <v>2.35</v>
      </c>
      <c r="M4078" s="34">
        <v>23923</v>
      </c>
      <c r="N4078" s="34">
        <f t="shared" si="127"/>
        <v>9.2337917485265226</v>
      </c>
    </row>
    <row r="4079" spans="1:14" x14ac:dyDescent="0.45">
      <c r="A4079" s="30">
        <v>2024</v>
      </c>
      <c r="B4079" s="30" t="s">
        <v>16</v>
      </c>
      <c r="C4079" s="30" t="s">
        <v>46</v>
      </c>
      <c r="D4079" s="30" t="s">
        <v>47</v>
      </c>
      <c r="E4079" s="32" t="s">
        <v>294</v>
      </c>
      <c r="F4079" s="32" t="s">
        <v>81</v>
      </c>
      <c r="G4079" s="32" t="s">
        <v>50</v>
      </c>
      <c r="H4079" s="33">
        <v>40550</v>
      </c>
      <c r="I4079" s="34">
        <f>Table3[[#This Row],[Volume, kg.]]/1000</f>
        <v>40.549999999999997</v>
      </c>
      <c r="J4079" s="34">
        <v>0.2429</v>
      </c>
      <c r="K4079" s="34">
        <f t="shared" si="126"/>
        <v>9849.5949999999993</v>
      </c>
      <c r="L4079" s="34">
        <v>2.36</v>
      </c>
      <c r="M4079" s="34">
        <v>95674.5</v>
      </c>
      <c r="N4079" s="34">
        <f t="shared" si="127"/>
        <v>9.7159324825030868</v>
      </c>
    </row>
    <row r="4080" spans="1:14" x14ac:dyDescent="0.45">
      <c r="A4080" s="30">
        <v>2024</v>
      </c>
      <c r="B4080" s="30" t="s">
        <v>16</v>
      </c>
      <c r="C4080" s="30" t="s">
        <v>46</v>
      </c>
      <c r="D4080" s="30" t="s">
        <v>47</v>
      </c>
      <c r="E4080" s="32" t="s">
        <v>358</v>
      </c>
      <c r="F4080" s="32" t="s">
        <v>60</v>
      </c>
      <c r="G4080" s="32" t="s">
        <v>50</v>
      </c>
      <c r="H4080" s="33">
        <v>289020</v>
      </c>
      <c r="I4080" s="34">
        <f>Table3[[#This Row],[Volume, kg.]]/1000</f>
        <v>289.02</v>
      </c>
      <c r="J4080" s="34">
        <v>0.24679999999999999</v>
      </c>
      <c r="K4080" s="34">
        <f t="shared" si="126"/>
        <v>71330.135999999999</v>
      </c>
      <c r="L4080" s="34">
        <v>2.42</v>
      </c>
      <c r="M4080" s="34">
        <v>700161.5</v>
      </c>
      <c r="N4080" s="34">
        <f t="shared" si="127"/>
        <v>9.8055105348460287</v>
      </c>
    </row>
    <row r="4081" spans="1:14" x14ac:dyDescent="0.45">
      <c r="A4081" s="30">
        <v>2024</v>
      </c>
      <c r="B4081" s="30" t="s">
        <v>16</v>
      </c>
      <c r="C4081" s="30" t="s">
        <v>46</v>
      </c>
      <c r="D4081" s="30" t="s">
        <v>47</v>
      </c>
      <c r="E4081" s="32" t="s">
        <v>464</v>
      </c>
      <c r="F4081" s="32" t="s">
        <v>57</v>
      </c>
      <c r="G4081" s="32" t="s">
        <v>50</v>
      </c>
      <c r="H4081" s="33">
        <v>65800</v>
      </c>
      <c r="I4081" s="34">
        <f>Table3[[#This Row],[Volume, kg.]]/1000</f>
        <v>65.8</v>
      </c>
      <c r="J4081" s="34">
        <v>0.24510000000000001</v>
      </c>
      <c r="K4081" s="34">
        <f t="shared" si="126"/>
        <v>16127.58</v>
      </c>
      <c r="L4081" s="34">
        <v>2.42</v>
      </c>
      <c r="M4081" s="34">
        <v>158931</v>
      </c>
      <c r="N4081" s="34">
        <f t="shared" si="127"/>
        <v>9.8735210118319046</v>
      </c>
    </row>
    <row r="4082" spans="1:14" x14ac:dyDescent="0.45">
      <c r="A4082" s="30">
        <v>2024</v>
      </c>
      <c r="B4082" s="30" t="s">
        <v>16</v>
      </c>
      <c r="C4082" s="30" t="s">
        <v>46</v>
      </c>
      <c r="D4082" s="30" t="s">
        <v>47</v>
      </c>
      <c r="E4082" s="32" t="s">
        <v>260</v>
      </c>
      <c r="F4082" s="32" t="s">
        <v>49</v>
      </c>
      <c r="G4082" s="32" t="s">
        <v>50</v>
      </c>
      <c r="H4082" s="33">
        <v>84070</v>
      </c>
      <c r="I4082" s="34">
        <f>Table3[[#This Row],[Volume, kg.]]/1000</f>
        <v>84.07</v>
      </c>
      <c r="J4082" s="34">
        <v>0.24199999999999999</v>
      </c>
      <c r="K4082" s="34">
        <f t="shared" si="126"/>
        <v>20344.939999999999</v>
      </c>
      <c r="L4082" s="34">
        <v>2.38</v>
      </c>
      <c r="M4082" s="34">
        <v>199858</v>
      </c>
      <c r="N4082" s="34">
        <f t="shared" si="127"/>
        <v>9.8347107438016526</v>
      </c>
    </row>
    <row r="4083" spans="1:14" x14ac:dyDescent="0.45">
      <c r="A4083" s="30">
        <v>2024</v>
      </c>
      <c r="B4083" s="30" t="s">
        <v>16</v>
      </c>
      <c r="C4083" s="30" t="s">
        <v>46</v>
      </c>
      <c r="D4083" s="30" t="s">
        <v>47</v>
      </c>
      <c r="E4083" s="32" t="s">
        <v>429</v>
      </c>
      <c r="F4083" s="32" t="s">
        <v>54</v>
      </c>
      <c r="G4083" s="32" t="s">
        <v>50</v>
      </c>
      <c r="H4083" s="33">
        <v>29850</v>
      </c>
      <c r="I4083" s="34">
        <f>Table3[[#This Row],[Volume, kg.]]/1000</f>
        <v>29.85</v>
      </c>
      <c r="J4083" s="34">
        <v>0.25230000000000002</v>
      </c>
      <c r="K4083" s="34">
        <f t="shared" si="126"/>
        <v>7531.1550000000007</v>
      </c>
      <c r="L4083" s="34">
        <v>2.4</v>
      </c>
      <c r="M4083" s="34">
        <v>71549.5</v>
      </c>
      <c r="N4083" s="34">
        <f t="shared" si="127"/>
        <v>9.5124851367419723</v>
      </c>
    </row>
    <row r="4084" spans="1:14" x14ac:dyDescent="0.45">
      <c r="A4084" s="30">
        <v>2024</v>
      </c>
      <c r="B4084" s="30" t="s">
        <v>16</v>
      </c>
      <c r="C4084" s="30" t="s">
        <v>46</v>
      </c>
      <c r="D4084" s="30" t="s">
        <v>47</v>
      </c>
      <c r="E4084" s="32" t="s">
        <v>187</v>
      </c>
      <c r="F4084" s="32" t="s">
        <v>54</v>
      </c>
      <c r="G4084" s="32" t="s">
        <v>50</v>
      </c>
      <c r="H4084" s="33">
        <v>21380</v>
      </c>
      <c r="I4084" s="34">
        <f>Table3[[#This Row],[Volume, kg.]]/1000</f>
        <v>21.38</v>
      </c>
      <c r="J4084" s="34">
        <v>0.254</v>
      </c>
      <c r="K4084" s="34">
        <f t="shared" si="126"/>
        <v>5430.52</v>
      </c>
      <c r="L4084" s="34">
        <v>2.35</v>
      </c>
      <c r="M4084" s="34">
        <v>50243</v>
      </c>
      <c r="N4084" s="34">
        <f t="shared" si="127"/>
        <v>9.2519685039370074</v>
      </c>
    </row>
    <row r="4085" spans="1:14" x14ac:dyDescent="0.45">
      <c r="A4085" s="30">
        <v>2024</v>
      </c>
      <c r="B4085" s="30" t="s">
        <v>16</v>
      </c>
      <c r="C4085" s="30" t="s">
        <v>46</v>
      </c>
      <c r="D4085" s="30" t="s">
        <v>47</v>
      </c>
      <c r="E4085" s="32" t="s">
        <v>191</v>
      </c>
      <c r="F4085" s="32" t="s">
        <v>49</v>
      </c>
      <c r="G4085" s="32" t="s">
        <v>50</v>
      </c>
      <c r="H4085" s="33">
        <v>73310</v>
      </c>
      <c r="I4085" s="34">
        <f>Table3[[#This Row],[Volume, kg.]]/1000</f>
        <v>73.31</v>
      </c>
      <c r="J4085" s="34">
        <v>0.21660000000000001</v>
      </c>
      <c r="K4085" s="34">
        <f t="shared" si="126"/>
        <v>15878.946000000002</v>
      </c>
      <c r="L4085" s="34">
        <v>2.29</v>
      </c>
      <c r="M4085" s="34">
        <v>167887.5</v>
      </c>
      <c r="N4085" s="34">
        <f t="shared" si="127"/>
        <v>10.572483841181901</v>
      </c>
    </row>
    <row r="4086" spans="1:14" x14ac:dyDescent="0.45">
      <c r="A4086" s="30">
        <v>2024</v>
      </c>
      <c r="B4086" s="30" t="s">
        <v>16</v>
      </c>
      <c r="C4086" s="30" t="s">
        <v>46</v>
      </c>
      <c r="D4086" s="30" t="s">
        <v>47</v>
      </c>
      <c r="E4086" s="32" t="s">
        <v>291</v>
      </c>
      <c r="F4086" s="32" t="s">
        <v>57</v>
      </c>
      <c r="G4086" s="32" t="s">
        <v>50</v>
      </c>
      <c r="H4086" s="33">
        <v>42810</v>
      </c>
      <c r="I4086" s="34">
        <f>Table3[[#This Row],[Volume, kg.]]/1000</f>
        <v>42.81</v>
      </c>
      <c r="J4086" s="34">
        <v>0.2238</v>
      </c>
      <c r="K4086" s="34">
        <f t="shared" si="126"/>
        <v>9580.8780000000006</v>
      </c>
      <c r="L4086" s="34">
        <v>2.35</v>
      </c>
      <c r="M4086" s="34">
        <v>100419</v>
      </c>
      <c r="N4086" s="34">
        <f t="shared" si="127"/>
        <v>10.500446827524575</v>
      </c>
    </row>
    <row r="4087" spans="1:14" x14ac:dyDescent="0.45">
      <c r="A4087" s="30">
        <v>2024</v>
      </c>
      <c r="B4087" s="30" t="s">
        <v>16</v>
      </c>
      <c r="C4087" s="30" t="s">
        <v>46</v>
      </c>
      <c r="D4087" s="30" t="s">
        <v>47</v>
      </c>
      <c r="E4087" s="32" t="s">
        <v>352</v>
      </c>
      <c r="F4087" s="32" t="s">
        <v>54</v>
      </c>
      <c r="G4087" s="32" t="s">
        <v>50</v>
      </c>
      <c r="H4087" s="33">
        <v>176230</v>
      </c>
      <c r="I4087" s="34">
        <f>Table3[[#This Row],[Volume, kg.]]/1000</f>
        <v>176.23</v>
      </c>
      <c r="J4087" s="34">
        <v>0.23879999999999998</v>
      </c>
      <c r="K4087" s="34">
        <f t="shared" si="126"/>
        <v>42083.723999999995</v>
      </c>
      <c r="L4087" s="34">
        <v>2.38</v>
      </c>
      <c r="M4087" s="34">
        <v>418592.5</v>
      </c>
      <c r="N4087" s="34">
        <f t="shared" si="127"/>
        <v>9.966499162479062</v>
      </c>
    </row>
    <row r="4088" spans="1:14" x14ac:dyDescent="0.45">
      <c r="A4088" s="30">
        <v>2024</v>
      </c>
      <c r="B4088" s="30" t="s">
        <v>16</v>
      </c>
      <c r="C4088" s="30" t="s">
        <v>46</v>
      </c>
      <c r="D4088" s="30" t="s">
        <v>47</v>
      </c>
      <c r="E4088" s="32" t="s">
        <v>465</v>
      </c>
      <c r="F4088" s="32" t="s">
        <v>57</v>
      </c>
      <c r="G4088" s="32" t="s">
        <v>50</v>
      </c>
      <c r="H4088" s="33">
        <v>103360</v>
      </c>
      <c r="I4088" s="34">
        <f>Table3[[#This Row],[Volume, kg.]]/1000</f>
        <v>103.36</v>
      </c>
      <c r="J4088" s="34">
        <v>0.26050000000000001</v>
      </c>
      <c r="K4088" s="34">
        <f t="shared" si="126"/>
        <v>26925.280000000002</v>
      </c>
      <c r="L4088" s="34">
        <v>2.48</v>
      </c>
      <c r="M4088" s="34">
        <v>256777</v>
      </c>
      <c r="N4088" s="34">
        <f t="shared" si="127"/>
        <v>9.5201535508637232</v>
      </c>
    </row>
    <row r="4089" spans="1:14" x14ac:dyDescent="0.45">
      <c r="A4089" s="30">
        <v>2024</v>
      </c>
      <c r="B4089" s="30" t="s">
        <v>16</v>
      </c>
      <c r="C4089" s="30" t="s">
        <v>46</v>
      </c>
      <c r="D4089" s="30" t="s">
        <v>47</v>
      </c>
      <c r="E4089" s="32" t="s">
        <v>110</v>
      </c>
      <c r="F4089" s="32" t="s">
        <v>57</v>
      </c>
      <c r="G4089" s="32" t="s">
        <v>50</v>
      </c>
      <c r="H4089" s="33">
        <v>28710</v>
      </c>
      <c r="I4089" s="34">
        <f>Table3[[#This Row],[Volume, kg.]]/1000</f>
        <v>28.71</v>
      </c>
      <c r="J4089" s="34">
        <v>0.24440000000000001</v>
      </c>
      <c r="K4089" s="34">
        <f t="shared" si="126"/>
        <v>7016.7240000000002</v>
      </c>
      <c r="L4089" s="34">
        <v>2.37</v>
      </c>
      <c r="M4089" s="34">
        <v>67948.5</v>
      </c>
      <c r="N4089" s="34">
        <f t="shared" si="127"/>
        <v>9.6972176759410811</v>
      </c>
    </row>
    <row r="4090" spans="1:14" x14ac:dyDescent="0.45">
      <c r="A4090" s="30">
        <v>2024</v>
      </c>
      <c r="B4090" s="30" t="s">
        <v>16</v>
      </c>
      <c r="C4090" s="30" t="s">
        <v>46</v>
      </c>
      <c r="D4090" s="30" t="s">
        <v>47</v>
      </c>
      <c r="E4090" s="32" t="s">
        <v>385</v>
      </c>
      <c r="F4090" s="32" t="s">
        <v>57</v>
      </c>
      <c r="G4090" s="32" t="s">
        <v>50</v>
      </c>
      <c r="H4090" s="33">
        <v>45310</v>
      </c>
      <c r="I4090" s="34">
        <f>Table3[[#This Row],[Volume, kg.]]/1000</f>
        <v>45.31</v>
      </c>
      <c r="J4090" s="34">
        <v>0.25769999999999998</v>
      </c>
      <c r="K4090" s="34">
        <f t="shared" si="126"/>
        <v>11676.386999999999</v>
      </c>
      <c r="L4090" s="34">
        <v>2.5</v>
      </c>
      <c r="M4090" s="34">
        <v>113106.5</v>
      </c>
      <c r="N4090" s="34">
        <f t="shared" si="127"/>
        <v>9.7012029491656975</v>
      </c>
    </row>
    <row r="4091" spans="1:14" x14ac:dyDescent="0.45">
      <c r="A4091" s="30">
        <v>2024</v>
      </c>
      <c r="B4091" s="30" t="s">
        <v>16</v>
      </c>
      <c r="C4091" s="30" t="s">
        <v>46</v>
      </c>
      <c r="D4091" s="30" t="s">
        <v>47</v>
      </c>
      <c r="E4091" s="32" t="s">
        <v>142</v>
      </c>
      <c r="F4091" s="32" t="s">
        <v>57</v>
      </c>
      <c r="G4091" s="32" t="s">
        <v>50</v>
      </c>
      <c r="H4091" s="33">
        <v>86510</v>
      </c>
      <c r="I4091" s="34">
        <f>Table3[[#This Row],[Volume, kg.]]/1000</f>
        <v>86.51</v>
      </c>
      <c r="J4091" s="34">
        <v>0.24179999999999999</v>
      </c>
      <c r="K4091" s="34">
        <f t="shared" si="126"/>
        <v>20918.117999999999</v>
      </c>
      <c r="L4091" s="34">
        <v>2.41</v>
      </c>
      <c r="M4091" s="34">
        <v>208832.5</v>
      </c>
      <c r="N4091" s="34">
        <f t="shared" si="127"/>
        <v>9.9669148056244836</v>
      </c>
    </row>
    <row r="4092" spans="1:14" x14ac:dyDescent="0.45">
      <c r="A4092" s="30">
        <v>2024</v>
      </c>
      <c r="B4092" s="30" t="s">
        <v>16</v>
      </c>
      <c r="C4092" s="30" t="s">
        <v>46</v>
      </c>
      <c r="D4092" s="30" t="s">
        <v>47</v>
      </c>
      <c r="E4092" s="32" t="s">
        <v>86</v>
      </c>
      <c r="F4092" s="32" t="s">
        <v>49</v>
      </c>
      <c r="G4092" s="32" t="s">
        <v>50</v>
      </c>
      <c r="H4092" s="33">
        <v>197890</v>
      </c>
      <c r="I4092" s="34">
        <f>Table3[[#This Row],[Volume, kg.]]/1000</f>
        <v>197.89</v>
      </c>
      <c r="J4092" s="34">
        <v>0.23850000000000002</v>
      </c>
      <c r="K4092" s="34">
        <f t="shared" si="126"/>
        <v>47196.765000000007</v>
      </c>
      <c r="L4092" s="34">
        <v>2.38</v>
      </c>
      <c r="M4092" s="34">
        <v>470383.5</v>
      </c>
      <c r="N4092" s="34">
        <f t="shared" si="127"/>
        <v>9.9790356394129969</v>
      </c>
    </row>
    <row r="4093" spans="1:14" x14ac:dyDescent="0.45">
      <c r="A4093" s="30">
        <v>2024</v>
      </c>
      <c r="B4093" s="30" t="s">
        <v>16</v>
      </c>
      <c r="C4093" s="30" t="s">
        <v>46</v>
      </c>
      <c r="D4093" s="30" t="s">
        <v>47</v>
      </c>
      <c r="E4093" s="32" t="s">
        <v>523</v>
      </c>
      <c r="F4093" s="32" t="s">
        <v>49</v>
      </c>
      <c r="G4093" s="32" t="s">
        <v>50</v>
      </c>
      <c r="H4093" s="33">
        <v>9440</v>
      </c>
      <c r="I4093" s="34">
        <f>Table3[[#This Row],[Volume, kg.]]/1000</f>
        <v>9.44</v>
      </c>
      <c r="J4093" s="34">
        <v>0.18100000000000002</v>
      </c>
      <c r="K4093" s="34">
        <f t="shared" si="126"/>
        <v>1708.64</v>
      </c>
      <c r="L4093" s="34">
        <v>2</v>
      </c>
      <c r="M4093" s="34">
        <v>18880</v>
      </c>
      <c r="N4093" s="34">
        <f t="shared" si="127"/>
        <v>11.049723756906076</v>
      </c>
    </row>
    <row r="4094" spans="1:14" x14ac:dyDescent="0.45">
      <c r="A4094" s="30">
        <v>2024</v>
      </c>
      <c r="B4094" s="30" t="s">
        <v>16</v>
      </c>
      <c r="C4094" s="30" t="s">
        <v>46</v>
      </c>
      <c r="D4094" s="30" t="s">
        <v>47</v>
      </c>
      <c r="E4094" s="32" t="s">
        <v>451</v>
      </c>
      <c r="F4094" s="32" t="s">
        <v>54</v>
      </c>
      <c r="G4094" s="32" t="s">
        <v>50</v>
      </c>
      <c r="H4094" s="33">
        <v>18600</v>
      </c>
      <c r="I4094" s="34">
        <f>Table3[[#This Row],[Volume, kg.]]/1000</f>
        <v>18.600000000000001</v>
      </c>
      <c r="J4094" s="34">
        <v>0.21489999999999998</v>
      </c>
      <c r="K4094" s="34">
        <f t="shared" si="126"/>
        <v>3997.1399999999994</v>
      </c>
      <c r="L4094" s="34">
        <v>2.19</v>
      </c>
      <c r="M4094" s="34">
        <v>40686.5</v>
      </c>
      <c r="N4094" s="34">
        <f t="shared" si="127"/>
        <v>10.190786412284785</v>
      </c>
    </row>
    <row r="4095" spans="1:14" x14ac:dyDescent="0.45">
      <c r="A4095" s="30">
        <v>2024</v>
      </c>
      <c r="B4095" s="30" t="s">
        <v>16</v>
      </c>
      <c r="C4095" s="30" t="s">
        <v>46</v>
      </c>
      <c r="D4095" s="30" t="s">
        <v>47</v>
      </c>
      <c r="E4095" s="32" t="s">
        <v>431</v>
      </c>
      <c r="F4095" s="32" t="s">
        <v>49</v>
      </c>
      <c r="G4095" s="32" t="s">
        <v>50</v>
      </c>
      <c r="H4095" s="33">
        <v>47270</v>
      </c>
      <c r="I4095" s="34">
        <f>Table3[[#This Row],[Volume, kg.]]/1000</f>
        <v>47.27</v>
      </c>
      <c r="J4095" s="34">
        <v>0.23860000000000001</v>
      </c>
      <c r="K4095" s="34">
        <f t="shared" si="126"/>
        <v>11278.622000000001</v>
      </c>
      <c r="L4095" s="34">
        <v>2.36</v>
      </c>
      <c r="M4095" s="34">
        <v>111778</v>
      </c>
      <c r="N4095" s="34">
        <f t="shared" si="127"/>
        <v>9.8910310142497888</v>
      </c>
    </row>
    <row r="4096" spans="1:14" x14ac:dyDescent="0.45">
      <c r="A4096" s="30">
        <v>2024</v>
      </c>
      <c r="B4096" s="30" t="s">
        <v>16</v>
      </c>
      <c r="C4096" s="30" t="s">
        <v>46</v>
      </c>
      <c r="D4096" s="30" t="s">
        <v>47</v>
      </c>
      <c r="E4096" s="32" t="s">
        <v>167</v>
      </c>
      <c r="F4096" s="32" t="s">
        <v>49</v>
      </c>
      <c r="G4096" s="32" t="s">
        <v>50</v>
      </c>
      <c r="H4096" s="33">
        <v>301380</v>
      </c>
      <c r="I4096" s="34">
        <f>Table3[[#This Row],[Volume, kg.]]/1000</f>
        <v>301.38</v>
      </c>
      <c r="J4096" s="34">
        <v>0.23809999999999998</v>
      </c>
      <c r="K4096" s="34">
        <f t="shared" si="126"/>
        <v>71758.577999999994</v>
      </c>
      <c r="L4096" s="34">
        <v>2.38</v>
      </c>
      <c r="M4096" s="34">
        <v>717941.5</v>
      </c>
      <c r="N4096" s="34">
        <f t="shared" si="127"/>
        <v>9.9958000839983203</v>
      </c>
    </row>
    <row r="4097" spans="1:14" x14ac:dyDescent="0.45">
      <c r="A4097" s="30">
        <v>2024</v>
      </c>
      <c r="B4097" s="30" t="s">
        <v>16</v>
      </c>
      <c r="C4097" s="30" t="s">
        <v>46</v>
      </c>
      <c r="D4097" s="30" t="s">
        <v>47</v>
      </c>
      <c r="E4097" s="32" t="s">
        <v>329</v>
      </c>
      <c r="F4097" s="32" t="s">
        <v>49</v>
      </c>
      <c r="G4097" s="32" t="s">
        <v>50</v>
      </c>
      <c r="H4097" s="33">
        <v>21050</v>
      </c>
      <c r="I4097" s="34">
        <f>Table3[[#This Row],[Volume, kg.]]/1000</f>
        <v>21.05</v>
      </c>
      <c r="J4097" s="34">
        <v>0.21909999999999999</v>
      </c>
      <c r="K4097" s="34">
        <f t="shared" si="126"/>
        <v>4612.0549999999994</v>
      </c>
      <c r="L4097" s="34">
        <v>2.2000000000000002</v>
      </c>
      <c r="M4097" s="34">
        <v>46249.5</v>
      </c>
      <c r="N4097" s="34">
        <f t="shared" si="127"/>
        <v>10.041077133728892</v>
      </c>
    </row>
    <row r="4098" spans="1:14" x14ac:dyDescent="0.45">
      <c r="A4098" s="30">
        <v>2024</v>
      </c>
      <c r="B4098" s="30" t="s">
        <v>16</v>
      </c>
      <c r="C4098" s="30" t="s">
        <v>46</v>
      </c>
      <c r="D4098" s="30" t="s">
        <v>47</v>
      </c>
      <c r="E4098" s="32" t="s">
        <v>544</v>
      </c>
      <c r="F4098" s="32" t="s">
        <v>57</v>
      </c>
      <c r="G4098" s="32" t="s">
        <v>50</v>
      </c>
      <c r="H4098" s="33">
        <v>48640</v>
      </c>
      <c r="I4098" s="34">
        <f>Table3[[#This Row],[Volume, kg.]]/1000</f>
        <v>48.64</v>
      </c>
      <c r="J4098" s="34">
        <v>0.2205</v>
      </c>
      <c r="K4098" s="34">
        <f t="shared" si="126"/>
        <v>10725.12</v>
      </c>
      <c r="L4098" s="34">
        <v>2.2200000000000002</v>
      </c>
      <c r="M4098" s="34">
        <v>108161.5</v>
      </c>
      <c r="N4098" s="34">
        <f t="shared" si="127"/>
        <v>10.068027210884354</v>
      </c>
    </row>
    <row r="4099" spans="1:14" x14ac:dyDescent="0.45">
      <c r="A4099" s="30">
        <v>2024</v>
      </c>
      <c r="B4099" s="30" t="s">
        <v>16</v>
      </c>
      <c r="C4099" s="30" t="s">
        <v>46</v>
      </c>
      <c r="D4099" s="30" t="s">
        <v>47</v>
      </c>
      <c r="E4099" s="32" t="s">
        <v>190</v>
      </c>
      <c r="F4099" s="32" t="s">
        <v>81</v>
      </c>
      <c r="G4099" s="32" t="s">
        <v>50</v>
      </c>
      <c r="H4099" s="33">
        <v>62400</v>
      </c>
      <c r="I4099" s="34">
        <f>Table3[[#This Row],[Volume, kg.]]/1000</f>
        <v>62.4</v>
      </c>
      <c r="J4099" s="34">
        <v>0.2281</v>
      </c>
      <c r="K4099" s="34">
        <f t="shared" ref="K4099:K4162" si="128">H4099*J4099</f>
        <v>14233.44</v>
      </c>
      <c r="L4099" s="34">
        <v>2.2799999999999998</v>
      </c>
      <c r="M4099" s="34">
        <v>142247</v>
      </c>
      <c r="N4099" s="34">
        <f t="shared" si="127"/>
        <v>9.9956159579131949</v>
      </c>
    </row>
    <row r="4100" spans="1:14" x14ac:dyDescent="0.45">
      <c r="A4100" s="30">
        <v>2024</v>
      </c>
      <c r="B4100" s="30" t="s">
        <v>16</v>
      </c>
      <c r="C4100" s="30" t="s">
        <v>46</v>
      </c>
      <c r="D4100" s="30" t="s">
        <v>47</v>
      </c>
      <c r="E4100" s="32" t="s">
        <v>77</v>
      </c>
      <c r="F4100" s="32" t="s">
        <v>49</v>
      </c>
      <c r="G4100" s="32" t="s">
        <v>50</v>
      </c>
      <c r="H4100" s="33">
        <v>5330</v>
      </c>
      <c r="I4100" s="34">
        <f>Table3[[#This Row],[Volume, kg.]]/1000</f>
        <v>5.33</v>
      </c>
      <c r="J4100" s="34">
        <v>0.23699999999999999</v>
      </c>
      <c r="K4100" s="34">
        <f t="shared" si="128"/>
        <v>1263.21</v>
      </c>
      <c r="L4100" s="34">
        <v>2.4500000000000002</v>
      </c>
      <c r="M4100" s="34">
        <v>13058.5</v>
      </c>
      <c r="N4100" s="34">
        <f t="shared" ref="N4100:N4163" si="129">L4100/J4100</f>
        <v>10.337552742616035</v>
      </c>
    </row>
    <row r="4101" spans="1:14" x14ac:dyDescent="0.45">
      <c r="A4101" s="30">
        <v>2024</v>
      </c>
      <c r="B4101" s="30" t="s">
        <v>16</v>
      </c>
      <c r="C4101" s="30" t="s">
        <v>46</v>
      </c>
      <c r="D4101" s="30" t="s">
        <v>47</v>
      </c>
      <c r="E4101" s="32" t="s">
        <v>466</v>
      </c>
      <c r="F4101" s="32" t="s">
        <v>57</v>
      </c>
      <c r="G4101" s="32" t="s">
        <v>50</v>
      </c>
      <c r="H4101" s="33">
        <v>11730</v>
      </c>
      <c r="I4101" s="34">
        <f>Table3[[#This Row],[Volume, kg.]]/1000</f>
        <v>11.73</v>
      </c>
      <c r="J4101" s="34">
        <v>0.25429999999999997</v>
      </c>
      <c r="K4101" s="34">
        <f t="shared" si="128"/>
        <v>2982.9389999999999</v>
      </c>
      <c r="L4101" s="34">
        <v>2.36</v>
      </c>
      <c r="M4101" s="34">
        <v>27717</v>
      </c>
      <c r="N4101" s="34">
        <f t="shared" si="129"/>
        <v>9.2803775068816368</v>
      </c>
    </row>
    <row r="4102" spans="1:14" x14ac:dyDescent="0.45">
      <c r="A4102" s="30">
        <v>2024</v>
      </c>
      <c r="B4102" s="30" t="s">
        <v>16</v>
      </c>
      <c r="C4102" s="30" t="s">
        <v>46</v>
      </c>
      <c r="D4102" s="30" t="s">
        <v>47</v>
      </c>
      <c r="E4102" s="32" t="s">
        <v>386</v>
      </c>
      <c r="F4102" s="32" t="s">
        <v>49</v>
      </c>
      <c r="G4102" s="32" t="s">
        <v>50</v>
      </c>
      <c r="H4102" s="33">
        <v>8040</v>
      </c>
      <c r="I4102" s="34">
        <f>Table3[[#This Row],[Volume, kg.]]/1000</f>
        <v>8.0399999999999991</v>
      </c>
      <c r="J4102" s="34">
        <v>0.23350000000000001</v>
      </c>
      <c r="K4102" s="34">
        <f t="shared" si="128"/>
        <v>1877.3400000000001</v>
      </c>
      <c r="L4102" s="34">
        <v>2.25</v>
      </c>
      <c r="M4102" s="34">
        <v>18090</v>
      </c>
      <c r="N4102" s="34">
        <f t="shared" si="129"/>
        <v>9.6359743040685224</v>
      </c>
    </row>
    <row r="4103" spans="1:14" x14ac:dyDescent="0.45">
      <c r="A4103" s="30">
        <v>2024</v>
      </c>
      <c r="B4103" s="30" t="s">
        <v>16</v>
      </c>
      <c r="C4103" s="30" t="s">
        <v>46</v>
      </c>
      <c r="D4103" s="30" t="s">
        <v>47</v>
      </c>
      <c r="E4103" s="32" t="s">
        <v>241</v>
      </c>
      <c r="F4103" s="32" t="s">
        <v>57</v>
      </c>
      <c r="G4103" s="32" t="s">
        <v>50</v>
      </c>
      <c r="H4103" s="33">
        <v>44380</v>
      </c>
      <c r="I4103" s="34">
        <f>Table3[[#This Row],[Volume, kg.]]/1000</f>
        <v>44.38</v>
      </c>
      <c r="J4103" s="34">
        <v>0.2298</v>
      </c>
      <c r="K4103" s="34">
        <f t="shared" si="128"/>
        <v>10198.523999999999</v>
      </c>
      <c r="L4103" s="34">
        <v>2.33</v>
      </c>
      <c r="M4103" s="34">
        <v>103548</v>
      </c>
      <c r="N4103" s="34">
        <f t="shared" si="129"/>
        <v>10.139251523063534</v>
      </c>
    </row>
    <row r="4104" spans="1:14" x14ac:dyDescent="0.45">
      <c r="A4104" s="30">
        <v>2024</v>
      </c>
      <c r="B4104" s="30" t="s">
        <v>16</v>
      </c>
      <c r="C4104" s="30" t="s">
        <v>46</v>
      </c>
      <c r="D4104" s="30" t="s">
        <v>47</v>
      </c>
      <c r="E4104" s="32" t="s">
        <v>263</v>
      </c>
      <c r="F4104" s="32" t="s">
        <v>81</v>
      </c>
      <c r="G4104" s="32" t="s">
        <v>50</v>
      </c>
      <c r="H4104" s="33">
        <v>129540</v>
      </c>
      <c r="I4104" s="34">
        <f>Table3[[#This Row],[Volume, kg.]]/1000</f>
        <v>129.54</v>
      </c>
      <c r="J4104" s="34">
        <v>0.2366</v>
      </c>
      <c r="K4104" s="34">
        <f t="shared" si="128"/>
        <v>30649.164000000001</v>
      </c>
      <c r="L4104" s="34">
        <v>2.37</v>
      </c>
      <c r="M4104" s="34">
        <v>307182</v>
      </c>
      <c r="N4104" s="34">
        <f t="shared" si="129"/>
        <v>10.016906170752325</v>
      </c>
    </row>
    <row r="4105" spans="1:14" x14ac:dyDescent="0.45">
      <c r="A4105" s="30">
        <v>2024</v>
      </c>
      <c r="B4105" s="30" t="s">
        <v>16</v>
      </c>
      <c r="C4105" s="30" t="s">
        <v>46</v>
      </c>
      <c r="D4105" s="30" t="s">
        <v>47</v>
      </c>
      <c r="E4105" s="32" t="s">
        <v>449</v>
      </c>
      <c r="F4105" s="32" t="s">
        <v>49</v>
      </c>
      <c r="G4105" s="32" t="s">
        <v>50</v>
      </c>
      <c r="H4105" s="33">
        <v>7960</v>
      </c>
      <c r="I4105" s="34">
        <f>Table3[[#This Row],[Volume, kg.]]/1000</f>
        <v>7.96</v>
      </c>
      <c r="J4105" s="34">
        <v>0.23250000000000001</v>
      </c>
      <c r="K4105" s="34">
        <f t="shared" si="128"/>
        <v>1850.7</v>
      </c>
      <c r="L4105" s="34">
        <v>2.35</v>
      </c>
      <c r="M4105" s="34">
        <v>18706</v>
      </c>
      <c r="N4105" s="34">
        <f t="shared" si="129"/>
        <v>10.10752688172043</v>
      </c>
    </row>
    <row r="4106" spans="1:14" x14ac:dyDescent="0.45">
      <c r="A4106" s="30">
        <v>2024</v>
      </c>
      <c r="B4106" s="30" t="s">
        <v>16</v>
      </c>
      <c r="C4106" s="30" t="s">
        <v>46</v>
      </c>
      <c r="D4106" s="30" t="s">
        <v>47</v>
      </c>
      <c r="E4106" s="32" t="s">
        <v>333</v>
      </c>
      <c r="F4106" s="32" t="s">
        <v>57</v>
      </c>
      <c r="G4106" s="32" t="s">
        <v>50</v>
      </c>
      <c r="H4106" s="33">
        <v>129520</v>
      </c>
      <c r="I4106" s="34">
        <f>Table3[[#This Row],[Volume, kg.]]/1000</f>
        <v>129.52000000000001</v>
      </c>
      <c r="J4106" s="34">
        <v>0.2482</v>
      </c>
      <c r="K4106" s="34">
        <f t="shared" si="128"/>
        <v>32146.864000000001</v>
      </c>
      <c r="L4106" s="34">
        <v>2.42</v>
      </c>
      <c r="M4106" s="34">
        <v>312962</v>
      </c>
      <c r="N4106" s="34">
        <f t="shared" si="129"/>
        <v>9.7502014504431909</v>
      </c>
    </row>
    <row r="4107" spans="1:14" x14ac:dyDescent="0.45">
      <c r="A4107" s="30">
        <v>2024</v>
      </c>
      <c r="B4107" s="30" t="s">
        <v>16</v>
      </c>
      <c r="C4107" s="30" t="s">
        <v>46</v>
      </c>
      <c r="D4107" s="30" t="s">
        <v>47</v>
      </c>
      <c r="E4107" s="32" t="s">
        <v>236</v>
      </c>
      <c r="F4107" s="32" t="s">
        <v>49</v>
      </c>
      <c r="G4107" s="32" t="s">
        <v>50</v>
      </c>
      <c r="H4107" s="33">
        <v>133810</v>
      </c>
      <c r="I4107" s="34">
        <f>Table3[[#This Row],[Volume, kg.]]/1000</f>
        <v>133.81</v>
      </c>
      <c r="J4107" s="34">
        <v>0.21989999999999998</v>
      </c>
      <c r="K4107" s="34">
        <f t="shared" si="128"/>
        <v>29424.819</v>
      </c>
      <c r="L4107" s="34">
        <v>2.31</v>
      </c>
      <c r="M4107" s="34">
        <v>308450.5</v>
      </c>
      <c r="N4107" s="34">
        <f t="shared" si="129"/>
        <v>10.504774897680765</v>
      </c>
    </row>
    <row r="4108" spans="1:14" x14ac:dyDescent="0.45">
      <c r="A4108" s="30">
        <v>2024</v>
      </c>
      <c r="B4108" s="30" t="s">
        <v>16</v>
      </c>
      <c r="C4108" s="30" t="s">
        <v>46</v>
      </c>
      <c r="D4108" s="30" t="s">
        <v>47</v>
      </c>
      <c r="E4108" s="32" t="s">
        <v>111</v>
      </c>
      <c r="F4108" s="32" t="s">
        <v>60</v>
      </c>
      <c r="G4108" s="32" t="s">
        <v>50</v>
      </c>
      <c r="H4108" s="33">
        <v>61930</v>
      </c>
      <c r="I4108" s="34">
        <f>Table3[[#This Row],[Volume, kg.]]/1000</f>
        <v>61.93</v>
      </c>
      <c r="J4108" s="34">
        <v>0.23050000000000001</v>
      </c>
      <c r="K4108" s="34">
        <f t="shared" si="128"/>
        <v>14274.865</v>
      </c>
      <c r="L4108" s="34">
        <v>2.38</v>
      </c>
      <c r="M4108" s="34">
        <v>147669</v>
      </c>
      <c r="N4108" s="34">
        <f t="shared" si="129"/>
        <v>10.325379609544468</v>
      </c>
    </row>
    <row r="4109" spans="1:14" x14ac:dyDescent="0.45">
      <c r="A4109" s="30">
        <v>2024</v>
      </c>
      <c r="B4109" s="30" t="s">
        <v>16</v>
      </c>
      <c r="C4109" s="30" t="s">
        <v>46</v>
      </c>
      <c r="D4109" s="30" t="s">
        <v>47</v>
      </c>
      <c r="E4109" s="32" t="s">
        <v>527</v>
      </c>
      <c r="F4109" s="32" t="s">
        <v>60</v>
      </c>
      <c r="G4109" s="32" t="s">
        <v>50</v>
      </c>
      <c r="H4109" s="33">
        <v>119520</v>
      </c>
      <c r="I4109" s="34">
        <f>Table3[[#This Row],[Volume, kg.]]/1000</f>
        <v>119.52</v>
      </c>
      <c r="J4109" s="34">
        <v>0.24929999999999999</v>
      </c>
      <c r="K4109" s="34">
        <f t="shared" si="128"/>
        <v>29796.335999999999</v>
      </c>
      <c r="L4109" s="34">
        <v>2.44</v>
      </c>
      <c r="M4109" s="34">
        <v>291042</v>
      </c>
      <c r="N4109" s="34">
        <f t="shared" si="129"/>
        <v>9.7874047332531084</v>
      </c>
    </row>
    <row r="4110" spans="1:14" x14ac:dyDescent="0.45">
      <c r="A4110" s="30">
        <v>2024</v>
      </c>
      <c r="B4110" s="30" t="s">
        <v>16</v>
      </c>
      <c r="C4110" s="30" t="s">
        <v>46</v>
      </c>
      <c r="D4110" s="30" t="s">
        <v>47</v>
      </c>
      <c r="E4110" s="32" t="s">
        <v>313</v>
      </c>
      <c r="F4110" s="32" t="s">
        <v>60</v>
      </c>
      <c r="G4110" s="32" t="s">
        <v>50</v>
      </c>
      <c r="H4110" s="33">
        <v>12430</v>
      </c>
      <c r="I4110" s="34">
        <f>Table3[[#This Row],[Volume, kg.]]/1000</f>
        <v>12.43</v>
      </c>
      <c r="J4110" s="34">
        <v>0.2482</v>
      </c>
      <c r="K4110" s="34">
        <f t="shared" si="128"/>
        <v>3085.1260000000002</v>
      </c>
      <c r="L4110" s="34">
        <v>2.46</v>
      </c>
      <c r="M4110" s="34">
        <v>30523.5</v>
      </c>
      <c r="N4110" s="34">
        <f t="shared" si="129"/>
        <v>9.9113618049959715</v>
      </c>
    </row>
    <row r="4111" spans="1:14" x14ac:dyDescent="0.45">
      <c r="A4111" s="30">
        <v>2024</v>
      </c>
      <c r="B4111" s="30" t="s">
        <v>16</v>
      </c>
      <c r="C4111" s="30" t="s">
        <v>46</v>
      </c>
      <c r="D4111" s="30" t="s">
        <v>47</v>
      </c>
      <c r="E4111" s="32" t="s">
        <v>288</v>
      </c>
      <c r="F4111" s="32" t="s">
        <v>49</v>
      </c>
      <c r="G4111" s="32" t="s">
        <v>50</v>
      </c>
      <c r="H4111" s="33">
        <v>230790</v>
      </c>
      <c r="I4111" s="34">
        <f>Table3[[#This Row],[Volume, kg.]]/1000</f>
        <v>230.79</v>
      </c>
      <c r="J4111" s="34">
        <v>0.23910000000000001</v>
      </c>
      <c r="K4111" s="34">
        <f t="shared" si="128"/>
        <v>55181.889000000003</v>
      </c>
      <c r="L4111" s="34">
        <v>2.36</v>
      </c>
      <c r="M4111" s="34">
        <v>545375</v>
      </c>
      <c r="N4111" s="34">
        <f t="shared" si="129"/>
        <v>9.8703471350899203</v>
      </c>
    </row>
    <row r="4112" spans="1:14" x14ac:dyDescent="0.45">
      <c r="A4112" s="30">
        <v>2024</v>
      </c>
      <c r="B4112" s="30" t="s">
        <v>16</v>
      </c>
      <c r="C4112" s="30" t="s">
        <v>46</v>
      </c>
      <c r="D4112" s="30" t="s">
        <v>47</v>
      </c>
      <c r="E4112" s="32" t="s">
        <v>70</v>
      </c>
      <c r="F4112" s="32" t="s">
        <v>49</v>
      </c>
      <c r="G4112" s="32" t="s">
        <v>50</v>
      </c>
      <c r="H4112" s="33">
        <v>305400</v>
      </c>
      <c r="I4112" s="34">
        <f>Table3[[#This Row],[Volume, kg.]]/1000</f>
        <v>305.39999999999998</v>
      </c>
      <c r="J4112" s="34">
        <v>0.24379999999999999</v>
      </c>
      <c r="K4112" s="34">
        <f t="shared" si="128"/>
        <v>74456.51999999999</v>
      </c>
      <c r="L4112" s="34">
        <v>2.4</v>
      </c>
      <c r="M4112" s="34">
        <v>733364</v>
      </c>
      <c r="N4112" s="34">
        <f t="shared" si="129"/>
        <v>9.844134536505333</v>
      </c>
    </row>
    <row r="4113" spans="1:14" x14ac:dyDescent="0.45">
      <c r="A4113" s="30">
        <v>2024</v>
      </c>
      <c r="B4113" s="30" t="s">
        <v>16</v>
      </c>
      <c r="C4113" s="30" t="s">
        <v>46</v>
      </c>
      <c r="D4113" s="30" t="s">
        <v>47</v>
      </c>
      <c r="E4113" s="32" t="s">
        <v>265</v>
      </c>
      <c r="F4113" s="32" t="s">
        <v>49</v>
      </c>
      <c r="G4113" s="32" t="s">
        <v>50</v>
      </c>
      <c r="H4113" s="33">
        <v>97980</v>
      </c>
      <c r="I4113" s="34">
        <f>Table3[[#This Row],[Volume, kg.]]/1000</f>
        <v>97.98</v>
      </c>
      <c r="J4113" s="34">
        <v>0.21780000000000002</v>
      </c>
      <c r="K4113" s="34">
        <f t="shared" si="128"/>
        <v>21340.044000000002</v>
      </c>
      <c r="L4113" s="34">
        <v>2.25</v>
      </c>
      <c r="M4113" s="34">
        <v>220231.5</v>
      </c>
      <c r="N4113" s="34">
        <f t="shared" si="129"/>
        <v>10.330578512396693</v>
      </c>
    </row>
    <row r="4114" spans="1:14" x14ac:dyDescent="0.45">
      <c r="A4114" s="30">
        <v>2024</v>
      </c>
      <c r="B4114" s="30" t="s">
        <v>16</v>
      </c>
      <c r="C4114" s="30" t="s">
        <v>46</v>
      </c>
      <c r="D4114" s="30" t="s">
        <v>47</v>
      </c>
      <c r="E4114" s="32" t="s">
        <v>467</v>
      </c>
      <c r="F4114" s="32" t="s">
        <v>57</v>
      </c>
      <c r="G4114" s="32" t="s">
        <v>50</v>
      </c>
      <c r="H4114" s="33">
        <v>189080</v>
      </c>
      <c r="I4114" s="34">
        <f>Table3[[#This Row],[Volume, kg.]]/1000</f>
        <v>189.08</v>
      </c>
      <c r="J4114" s="34">
        <v>0.2596</v>
      </c>
      <c r="K4114" s="34">
        <f t="shared" si="128"/>
        <v>49085.167999999998</v>
      </c>
      <c r="L4114" s="34">
        <v>2.5</v>
      </c>
      <c r="M4114" s="34">
        <v>472081</v>
      </c>
      <c r="N4114" s="34">
        <f t="shared" si="129"/>
        <v>9.63020030816641</v>
      </c>
    </row>
    <row r="4115" spans="1:14" x14ac:dyDescent="0.45">
      <c r="A4115" s="30">
        <v>2024</v>
      </c>
      <c r="B4115" s="30" t="s">
        <v>16</v>
      </c>
      <c r="C4115" s="30" t="s">
        <v>46</v>
      </c>
      <c r="D4115" s="30" t="s">
        <v>47</v>
      </c>
      <c r="E4115" s="32" t="s">
        <v>192</v>
      </c>
      <c r="F4115" s="32" t="s">
        <v>49</v>
      </c>
      <c r="G4115" s="32" t="s">
        <v>50</v>
      </c>
      <c r="H4115" s="33">
        <v>5630</v>
      </c>
      <c r="I4115" s="34">
        <f>Table3[[#This Row],[Volume, kg.]]/1000</f>
        <v>5.63</v>
      </c>
      <c r="J4115" s="34">
        <v>0.253</v>
      </c>
      <c r="K4115" s="34">
        <f t="shared" si="128"/>
        <v>1424.39</v>
      </c>
      <c r="L4115" s="34">
        <v>2.5</v>
      </c>
      <c r="M4115" s="34">
        <v>14075</v>
      </c>
      <c r="N4115" s="34">
        <f t="shared" si="129"/>
        <v>9.8814229249011856</v>
      </c>
    </row>
    <row r="4116" spans="1:14" x14ac:dyDescent="0.45">
      <c r="A4116" s="30">
        <v>2024</v>
      </c>
      <c r="B4116" s="30" t="s">
        <v>16</v>
      </c>
      <c r="C4116" s="30" t="s">
        <v>46</v>
      </c>
      <c r="D4116" s="30" t="s">
        <v>47</v>
      </c>
      <c r="E4116" s="32" t="s">
        <v>277</v>
      </c>
      <c r="F4116" s="32" t="s">
        <v>60</v>
      </c>
      <c r="G4116" s="32" t="s">
        <v>50</v>
      </c>
      <c r="H4116" s="33">
        <v>36030</v>
      </c>
      <c r="I4116" s="34">
        <f>Table3[[#This Row],[Volume, kg.]]/1000</f>
        <v>36.03</v>
      </c>
      <c r="J4116" s="34">
        <v>0.24739999999999998</v>
      </c>
      <c r="K4116" s="34">
        <f t="shared" si="128"/>
        <v>8913.8220000000001</v>
      </c>
      <c r="L4116" s="34">
        <v>2.48</v>
      </c>
      <c r="M4116" s="34">
        <v>89200.5</v>
      </c>
      <c r="N4116" s="34">
        <f t="shared" si="129"/>
        <v>10.024252223120454</v>
      </c>
    </row>
    <row r="4117" spans="1:14" x14ac:dyDescent="0.45">
      <c r="A4117" s="30">
        <v>2024</v>
      </c>
      <c r="B4117" s="30" t="s">
        <v>16</v>
      </c>
      <c r="C4117" s="30" t="s">
        <v>46</v>
      </c>
      <c r="D4117" s="30" t="s">
        <v>47</v>
      </c>
      <c r="E4117" s="32" t="s">
        <v>324</v>
      </c>
      <c r="F4117" s="32" t="s">
        <v>81</v>
      </c>
      <c r="G4117" s="32" t="s">
        <v>50</v>
      </c>
      <c r="H4117" s="33">
        <v>135810</v>
      </c>
      <c r="I4117" s="34">
        <f>Table3[[#This Row],[Volume, kg.]]/1000</f>
        <v>135.81</v>
      </c>
      <c r="J4117" s="34">
        <v>0.2462</v>
      </c>
      <c r="K4117" s="34">
        <f t="shared" si="128"/>
        <v>33436.421999999999</v>
      </c>
      <c r="L4117" s="34">
        <v>2.4300000000000002</v>
      </c>
      <c r="M4117" s="34">
        <v>329598</v>
      </c>
      <c r="N4117" s="34">
        <f t="shared" si="129"/>
        <v>9.8700243704305457</v>
      </c>
    </row>
    <row r="4118" spans="1:14" x14ac:dyDescent="0.45">
      <c r="A4118" s="30">
        <v>2024</v>
      </c>
      <c r="B4118" s="30" t="s">
        <v>16</v>
      </c>
      <c r="C4118" s="30" t="s">
        <v>46</v>
      </c>
      <c r="D4118" s="30" t="s">
        <v>47</v>
      </c>
      <c r="E4118" s="32" t="s">
        <v>74</v>
      </c>
      <c r="F4118" s="32" t="s">
        <v>49</v>
      </c>
      <c r="G4118" s="32" t="s">
        <v>50</v>
      </c>
      <c r="H4118" s="33">
        <v>83430</v>
      </c>
      <c r="I4118" s="34">
        <f>Table3[[#This Row],[Volume, kg.]]/1000</f>
        <v>83.43</v>
      </c>
      <c r="J4118" s="34">
        <v>0.2354</v>
      </c>
      <c r="K4118" s="34">
        <f t="shared" si="128"/>
        <v>19639.421999999999</v>
      </c>
      <c r="L4118" s="34">
        <v>2.33</v>
      </c>
      <c r="M4118" s="34">
        <v>194321.5</v>
      </c>
      <c r="N4118" s="34">
        <f t="shared" si="129"/>
        <v>9.8980458793542905</v>
      </c>
    </row>
    <row r="4119" spans="1:14" x14ac:dyDescent="0.45">
      <c r="A4119" s="30">
        <v>2024</v>
      </c>
      <c r="B4119" s="30" t="s">
        <v>16</v>
      </c>
      <c r="C4119" s="30" t="s">
        <v>46</v>
      </c>
      <c r="D4119" s="30" t="s">
        <v>47</v>
      </c>
      <c r="E4119" s="32" t="s">
        <v>125</v>
      </c>
      <c r="F4119" s="32" t="s">
        <v>60</v>
      </c>
      <c r="G4119" s="32" t="s">
        <v>50</v>
      </c>
      <c r="H4119" s="33">
        <v>68840</v>
      </c>
      <c r="I4119" s="34">
        <f>Table3[[#This Row],[Volume, kg.]]/1000</f>
        <v>68.84</v>
      </c>
      <c r="J4119" s="34">
        <v>0.249</v>
      </c>
      <c r="K4119" s="34">
        <f t="shared" si="128"/>
        <v>17141.16</v>
      </c>
      <c r="L4119" s="34">
        <v>2.4300000000000002</v>
      </c>
      <c r="M4119" s="34">
        <v>167422</v>
      </c>
      <c r="N4119" s="34">
        <f t="shared" si="129"/>
        <v>9.7590361445783138</v>
      </c>
    </row>
    <row r="4120" spans="1:14" x14ac:dyDescent="0.45">
      <c r="A4120" s="30">
        <v>2024</v>
      </c>
      <c r="B4120" s="30" t="s">
        <v>16</v>
      </c>
      <c r="C4120" s="30" t="s">
        <v>46</v>
      </c>
      <c r="D4120" s="30" t="s">
        <v>47</v>
      </c>
      <c r="E4120" s="32" t="s">
        <v>390</v>
      </c>
      <c r="F4120" s="32" t="s">
        <v>60</v>
      </c>
      <c r="G4120" s="32" t="s">
        <v>50</v>
      </c>
      <c r="H4120" s="33">
        <v>40600</v>
      </c>
      <c r="I4120" s="34">
        <f>Table3[[#This Row],[Volume, kg.]]/1000</f>
        <v>40.6</v>
      </c>
      <c r="J4120" s="34">
        <v>0.20559999999999998</v>
      </c>
      <c r="K4120" s="34">
        <f t="shared" si="128"/>
        <v>8347.3599999999988</v>
      </c>
      <c r="L4120" s="34">
        <v>2.25</v>
      </c>
      <c r="M4120" s="34">
        <v>91328.5</v>
      </c>
      <c r="N4120" s="34">
        <f t="shared" si="129"/>
        <v>10.943579766536967</v>
      </c>
    </row>
    <row r="4121" spans="1:14" x14ac:dyDescent="0.45">
      <c r="A4121" s="30">
        <v>2024</v>
      </c>
      <c r="B4121" s="30" t="s">
        <v>16</v>
      </c>
      <c r="C4121" s="30" t="s">
        <v>46</v>
      </c>
      <c r="D4121" s="30" t="s">
        <v>47</v>
      </c>
      <c r="E4121" s="32" t="s">
        <v>144</v>
      </c>
      <c r="F4121" s="32" t="s">
        <v>49</v>
      </c>
      <c r="G4121" s="32" t="s">
        <v>50</v>
      </c>
      <c r="H4121" s="33">
        <v>211290</v>
      </c>
      <c r="I4121" s="34">
        <f>Table3[[#This Row],[Volume, kg.]]/1000</f>
        <v>211.29</v>
      </c>
      <c r="J4121" s="34">
        <v>0.24350000000000002</v>
      </c>
      <c r="K4121" s="34">
        <f t="shared" si="128"/>
        <v>51449.115000000005</v>
      </c>
      <c r="L4121" s="34">
        <v>2.39</v>
      </c>
      <c r="M4121" s="34">
        <v>505257.5</v>
      </c>
      <c r="N4121" s="34">
        <f t="shared" si="129"/>
        <v>9.8151950718685832</v>
      </c>
    </row>
    <row r="4122" spans="1:14" x14ac:dyDescent="0.45">
      <c r="A4122" s="30">
        <v>2024</v>
      </c>
      <c r="B4122" s="30" t="s">
        <v>16</v>
      </c>
      <c r="C4122" s="30" t="s">
        <v>46</v>
      </c>
      <c r="D4122" s="30" t="s">
        <v>47</v>
      </c>
      <c r="E4122" s="32" t="s">
        <v>570</v>
      </c>
      <c r="F4122" s="32" t="s">
        <v>49</v>
      </c>
      <c r="G4122" s="32" t="s">
        <v>50</v>
      </c>
      <c r="H4122" s="33">
        <v>41340</v>
      </c>
      <c r="I4122" s="34">
        <f>Table3[[#This Row],[Volume, kg.]]/1000</f>
        <v>41.34</v>
      </c>
      <c r="J4122" s="34">
        <v>0.23010000000000003</v>
      </c>
      <c r="K4122" s="34">
        <f t="shared" si="128"/>
        <v>9512.3340000000007</v>
      </c>
      <c r="L4122" s="34">
        <v>2.41</v>
      </c>
      <c r="M4122" s="34">
        <v>99485</v>
      </c>
      <c r="N4122" s="34">
        <f t="shared" si="129"/>
        <v>10.473707083876574</v>
      </c>
    </row>
    <row r="4123" spans="1:14" x14ac:dyDescent="0.45">
      <c r="A4123" s="30">
        <v>2024</v>
      </c>
      <c r="B4123" s="30" t="s">
        <v>16</v>
      </c>
      <c r="C4123" s="30" t="s">
        <v>46</v>
      </c>
      <c r="D4123" s="30" t="s">
        <v>47</v>
      </c>
      <c r="E4123" s="32" t="s">
        <v>76</v>
      </c>
      <c r="F4123" s="32" t="s">
        <v>60</v>
      </c>
      <c r="G4123" s="32" t="s">
        <v>50</v>
      </c>
      <c r="H4123" s="33">
        <v>8950</v>
      </c>
      <c r="I4123" s="34">
        <f>Table3[[#This Row],[Volume, kg.]]/1000</f>
        <v>8.9499999999999993</v>
      </c>
      <c r="J4123" s="34">
        <v>0.26700000000000002</v>
      </c>
      <c r="K4123" s="34">
        <f t="shared" si="128"/>
        <v>2389.65</v>
      </c>
      <c r="L4123" s="34">
        <v>2.5499999999999998</v>
      </c>
      <c r="M4123" s="34">
        <v>22822.5</v>
      </c>
      <c r="N4123" s="34">
        <f t="shared" si="129"/>
        <v>9.5505617977528079</v>
      </c>
    </row>
    <row r="4124" spans="1:14" x14ac:dyDescent="0.45">
      <c r="A4124" s="30">
        <v>2024</v>
      </c>
      <c r="B4124" s="30" t="s">
        <v>16</v>
      </c>
      <c r="C4124" s="30" t="s">
        <v>46</v>
      </c>
      <c r="D4124" s="30" t="s">
        <v>47</v>
      </c>
      <c r="E4124" s="32" t="s">
        <v>100</v>
      </c>
      <c r="F4124" s="32" t="s">
        <v>60</v>
      </c>
      <c r="G4124" s="32" t="s">
        <v>50</v>
      </c>
      <c r="H4124" s="33">
        <v>55610</v>
      </c>
      <c r="I4124" s="34">
        <f>Table3[[#This Row],[Volume, kg.]]/1000</f>
        <v>55.61</v>
      </c>
      <c r="J4124" s="34">
        <v>0.20469999999999999</v>
      </c>
      <c r="K4124" s="34">
        <f t="shared" si="128"/>
        <v>11383.367</v>
      </c>
      <c r="L4124" s="34">
        <v>2.25</v>
      </c>
      <c r="M4124" s="34">
        <v>125192.5</v>
      </c>
      <c r="N4124" s="34">
        <f t="shared" si="129"/>
        <v>10.991695163654128</v>
      </c>
    </row>
    <row r="4125" spans="1:14" x14ac:dyDescent="0.45">
      <c r="A4125" s="30">
        <v>2024</v>
      </c>
      <c r="B4125" s="30" t="s">
        <v>16</v>
      </c>
      <c r="C4125" s="30" t="s">
        <v>46</v>
      </c>
      <c r="D4125" s="30" t="s">
        <v>47</v>
      </c>
      <c r="E4125" s="32" t="s">
        <v>269</v>
      </c>
      <c r="F4125" s="32" t="s">
        <v>60</v>
      </c>
      <c r="G4125" s="32" t="s">
        <v>50</v>
      </c>
      <c r="H4125" s="33">
        <v>26900</v>
      </c>
      <c r="I4125" s="34">
        <f>Table3[[#This Row],[Volume, kg.]]/1000</f>
        <v>26.9</v>
      </c>
      <c r="J4125" s="34">
        <v>0.24739999999999998</v>
      </c>
      <c r="K4125" s="34">
        <f t="shared" si="128"/>
        <v>6655.0599999999995</v>
      </c>
      <c r="L4125" s="34">
        <v>2.4700000000000002</v>
      </c>
      <c r="M4125" s="34">
        <v>66333</v>
      </c>
      <c r="N4125" s="34">
        <f t="shared" si="129"/>
        <v>9.9838318512530329</v>
      </c>
    </row>
    <row r="4126" spans="1:14" x14ac:dyDescent="0.45">
      <c r="A4126" s="30">
        <v>2024</v>
      </c>
      <c r="B4126" s="30" t="s">
        <v>16</v>
      </c>
      <c r="C4126" s="30" t="s">
        <v>46</v>
      </c>
      <c r="D4126" s="30" t="s">
        <v>47</v>
      </c>
      <c r="E4126" s="32" t="s">
        <v>501</v>
      </c>
      <c r="F4126" s="32" t="s">
        <v>81</v>
      </c>
      <c r="G4126" s="32" t="s">
        <v>50</v>
      </c>
      <c r="H4126" s="33">
        <v>77380</v>
      </c>
      <c r="I4126" s="34">
        <f>Table3[[#This Row],[Volume, kg.]]/1000</f>
        <v>77.38</v>
      </c>
      <c r="J4126" s="34">
        <v>0.25650000000000001</v>
      </c>
      <c r="K4126" s="34">
        <f t="shared" si="128"/>
        <v>19847.97</v>
      </c>
      <c r="L4126" s="34">
        <v>2.52</v>
      </c>
      <c r="M4126" s="34">
        <v>194951</v>
      </c>
      <c r="N4126" s="34">
        <f t="shared" si="129"/>
        <v>9.8245614035087723</v>
      </c>
    </row>
    <row r="4127" spans="1:14" x14ac:dyDescent="0.45">
      <c r="A4127" s="30">
        <v>2024</v>
      </c>
      <c r="B4127" s="30" t="s">
        <v>16</v>
      </c>
      <c r="C4127" s="30" t="s">
        <v>46</v>
      </c>
      <c r="D4127" s="30" t="s">
        <v>47</v>
      </c>
      <c r="E4127" s="32" t="s">
        <v>469</v>
      </c>
      <c r="F4127" s="32" t="s">
        <v>57</v>
      </c>
      <c r="G4127" s="32" t="s">
        <v>50</v>
      </c>
      <c r="H4127" s="33">
        <v>7710</v>
      </c>
      <c r="I4127" s="34">
        <f>Table3[[#This Row],[Volume, kg.]]/1000</f>
        <v>7.71</v>
      </c>
      <c r="J4127" s="34">
        <v>0.28710000000000002</v>
      </c>
      <c r="K4127" s="34">
        <f t="shared" si="128"/>
        <v>2213.5410000000002</v>
      </c>
      <c r="L4127" s="34">
        <v>2.66</v>
      </c>
      <c r="M4127" s="34">
        <v>20527.5</v>
      </c>
      <c r="N4127" s="34">
        <f t="shared" si="129"/>
        <v>9.2650644374782303</v>
      </c>
    </row>
    <row r="4128" spans="1:14" x14ac:dyDescent="0.45">
      <c r="A4128" s="30">
        <v>2024</v>
      </c>
      <c r="B4128" s="30" t="s">
        <v>16</v>
      </c>
      <c r="C4128" s="30" t="s">
        <v>46</v>
      </c>
      <c r="D4128" s="30" t="s">
        <v>47</v>
      </c>
      <c r="E4128" s="32" t="s">
        <v>283</v>
      </c>
      <c r="F4128" s="32" t="s">
        <v>49</v>
      </c>
      <c r="G4128" s="32" t="s">
        <v>50</v>
      </c>
      <c r="H4128" s="33">
        <v>43370</v>
      </c>
      <c r="I4128" s="34">
        <f>Table3[[#This Row],[Volume, kg.]]/1000</f>
        <v>43.37</v>
      </c>
      <c r="J4128" s="34">
        <v>0.21579999999999999</v>
      </c>
      <c r="K4128" s="34">
        <f t="shared" si="128"/>
        <v>9359.2459999999992</v>
      </c>
      <c r="L4128" s="34">
        <v>2.31</v>
      </c>
      <c r="M4128" s="34">
        <v>99999.5</v>
      </c>
      <c r="N4128" s="34">
        <f t="shared" si="129"/>
        <v>10.704355885078778</v>
      </c>
    </row>
    <row r="4129" spans="1:14" x14ac:dyDescent="0.45">
      <c r="A4129" s="30">
        <v>2024</v>
      </c>
      <c r="B4129" s="30" t="s">
        <v>16</v>
      </c>
      <c r="C4129" s="30" t="s">
        <v>46</v>
      </c>
      <c r="D4129" s="30" t="s">
        <v>47</v>
      </c>
      <c r="E4129" s="32" t="s">
        <v>268</v>
      </c>
      <c r="F4129" s="32" t="s">
        <v>57</v>
      </c>
      <c r="G4129" s="32" t="s">
        <v>50</v>
      </c>
      <c r="H4129" s="33">
        <v>10640</v>
      </c>
      <c r="I4129" s="34">
        <f>Table3[[#This Row],[Volume, kg.]]/1000</f>
        <v>10.64</v>
      </c>
      <c r="J4129" s="34">
        <v>0.20600000000000002</v>
      </c>
      <c r="K4129" s="34">
        <f t="shared" si="128"/>
        <v>2191.84</v>
      </c>
      <c r="L4129" s="34">
        <v>2.2999999999999998</v>
      </c>
      <c r="M4129" s="34">
        <v>24472</v>
      </c>
      <c r="N4129" s="34">
        <f t="shared" si="129"/>
        <v>11.165048543689318</v>
      </c>
    </row>
    <row r="4130" spans="1:14" x14ac:dyDescent="0.45">
      <c r="A4130" s="30">
        <v>2024</v>
      </c>
      <c r="B4130" s="30" t="s">
        <v>16</v>
      </c>
      <c r="C4130" s="30" t="s">
        <v>46</v>
      </c>
      <c r="D4130" s="30" t="s">
        <v>47</v>
      </c>
      <c r="E4130" s="32" t="s">
        <v>299</v>
      </c>
      <c r="F4130" s="32" t="s">
        <v>49</v>
      </c>
      <c r="G4130" s="32" t="s">
        <v>50</v>
      </c>
      <c r="H4130" s="33">
        <v>4080</v>
      </c>
      <c r="I4130" s="34">
        <f>Table3[[#This Row],[Volume, kg.]]/1000</f>
        <v>4.08</v>
      </c>
      <c r="J4130" s="34">
        <v>0.27100000000000002</v>
      </c>
      <c r="K4130" s="34">
        <f t="shared" si="128"/>
        <v>1105.68</v>
      </c>
      <c r="L4130" s="34">
        <v>2.5</v>
      </c>
      <c r="M4130" s="34">
        <v>10200</v>
      </c>
      <c r="N4130" s="34">
        <f t="shared" si="129"/>
        <v>9.2250922509225077</v>
      </c>
    </row>
    <row r="4131" spans="1:14" x14ac:dyDescent="0.45">
      <c r="A4131" s="30">
        <v>2024</v>
      </c>
      <c r="B4131" s="30" t="s">
        <v>16</v>
      </c>
      <c r="C4131" s="30" t="s">
        <v>46</v>
      </c>
      <c r="D4131" s="30" t="s">
        <v>47</v>
      </c>
      <c r="E4131" s="32" t="s">
        <v>147</v>
      </c>
      <c r="F4131" s="32" t="s">
        <v>57</v>
      </c>
      <c r="G4131" s="32" t="s">
        <v>50</v>
      </c>
      <c r="H4131" s="33">
        <v>122040</v>
      </c>
      <c r="I4131" s="34">
        <f>Table3[[#This Row],[Volume, kg.]]/1000</f>
        <v>122.04</v>
      </c>
      <c r="J4131" s="34">
        <v>0.26250000000000001</v>
      </c>
      <c r="K4131" s="34">
        <f t="shared" si="128"/>
        <v>32035.5</v>
      </c>
      <c r="L4131" s="34">
        <v>2.5099999999999998</v>
      </c>
      <c r="M4131" s="34">
        <v>306563</v>
      </c>
      <c r="N4131" s="34">
        <f t="shared" si="129"/>
        <v>9.5619047619047599</v>
      </c>
    </row>
    <row r="4132" spans="1:14" x14ac:dyDescent="0.45">
      <c r="A4132" s="30">
        <v>2024</v>
      </c>
      <c r="B4132" s="30" t="s">
        <v>16</v>
      </c>
      <c r="C4132" s="30" t="s">
        <v>46</v>
      </c>
      <c r="D4132" s="30" t="s">
        <v>47</v>
      </c>
      <c r="E4132" s="32" t="s">
        <v>502</v>
      </c>
      <c r="F4132" s="32" t="s">
        <v>49</v>
      </c>
      <c r="G4132" s="32" t="s">
        <v>50</v>
      </c>
      <c r="H4132" s="33">
        <v>54670</v>
      </c>
      <c r="I4132" s="34">
        <f>Table3[[#This Row],[Volume, kg.]]/1000</f>
        <v>54.67</v>
      </c>
      <c r="J4132" s="34">
        <v>0.25079999999999997</v>
      </c>
      <c r="K4132" s="34">
        <f t="shared" si="128"/>
        <v>13711.235999999999</v>
      </c>
      <c r="L4132" s="34">
        <v>2.4</v>
      </c>
      <c r="M4132" s="34">
        <v>131339.5</v>
      </c>
      <c r="N4132" s="34">
        <f t="shared" si="129"/>
        <v>9.5693779904306222</v>
      </c>
    </row>
    <row r="4133" spans="1:14" x14ac:dyDescent="0.45">
      <c r="A4133" s="30">
        <v>2024</v>
      </c>
      <c r="B4133" s="30" t="s">
        <v>16</v>
      </c>
      <c r="C4133" s="30" t="s">
        <v>46</v>
      </c>
      <c r="D4133" s="30" t="s">
        <v>47</v>
      </c>
      <c r="E4133" s="32" t="s">
        <v>210</v>
      </c>
      <c r="F4133" s="32" t="s">
        <v>60</v>
      </c>
      <c r="G4133" s="32" t="s">
        <v>50</v>
      </c>
      <c r="H4133" s="33">
        <v>7880</v>
      </c>
      <c r="I4133" s="34">
        <f>Table3[[#This Row],[Volume, kg.]]/1000</f>
        <v>7.88</v>
      </c>
      <c r="J4133" s="34">
        <v>0.245</v>
      </c>
      <c r="K4133" s="34">
        <f t="shared" si="128"/>
        <v>1930.6</v>
      </c>
      <c r="L4133" s="34">
        <v>2.4</v>
      </c>
      <c r="M4133" s="34">
        <v>18912</v>
      </c>
      <c r="N4133" s="34">
        <f t="shared" si="129"/>
        <v>9.795918367346939</v>
      </c>
    </row>
    <row r="4134" spans="1:14" x14ac:dyDescent="0.45">
      <c r="A4134" s="30">
        <v>2024</v>
      </c>
      <c r="B4134" s="30" t="s">
        <v>16</v>
      </c>
      <c r="C4134" s="30" t="s">
        <v>46</v>
      </c>
      <c r="D4134" s="30" t="s">
        <v>47</v>
      </c>
      <c r="E4134" s="32" t="s">
        <v>253</v>
      </c>
      <c r="F4134" s="32" t="s">
        <v>57</v>
      </c>
      <c r="G4134" s="32" t="s">
        <v>50</v>
      </c>
      <c r="H4134" s="33">
        <v>68760</v>
      </c>
      <c r="I4134" s="34">
        <f>Table3[[#This Row],[Volume, kg.]]/1000</f>
        <v>68.760000000000005</v>
      </c>
      <c r="J4134" s="34">
        <v>0.27129999999999999</v>
      </c>
      <c r="K4134" s="34">
        <f t="shared" si="128"/>
        <v>18654.588</v>
      </c>
      <c r="L4134" s="34">
        <v>2.5499999999999998</v>
      </c>
      <c r="M4134" s="34">
        <v>175063.5</v>
      </c>
      <c r="N4134" s="34">
        <f t="shared" si="129"/>
        <v>9.3991890895687433</v>
      </c>
    </row>
    <row r="4135" spans="1:14" x14ac:dyDescent="0.45">
      <c r="A4135" s="30">
        <v>2024</v>
      </c>
      <c r="B4135" s="30" t="s">
        <v>16</v>
      </c>
      <c r="C4135" s="30" t="s">
        <v>46</v>
      </c>
      <c r="D4135" s="30" t="s">
        <v>47</v>
      </c>
      <c r="E4135" s="32" t="s">
        <v>667</v>
      </c>
      <c r="F4135" s="32" t="s">
        <v>60</v>
      </c>
      <c r="G4135" s="32" t="s">
        <v>50</v>
      </c>
      <c r="H4135" s="33">
        <v>69430</v>
      </c>
      <c r="I4135" s="34">
        <f>Table3[[#This Row],[Volume, kg.]]/1000</f>
        <v>69.430000000000007</v>
      </c>
      <c r="J4135" s="34">
        <v>0.25690000000000002</v>
      </c>
      <c r="K4135" s="34">
        <f t="shared" si="128"/>
        <v>17836.567000000003</v>
      </c>
      <c r="L4135" s="34">
        <v>2.4700000000000002</v>
      </c>
      <c r="M4135" s="34">
        <v>171624</v>
      </c>
      <c r="N4135" s="34">
        <f t="shared" si="129"/>
        <v>9.6146360451537571</v>
      </c>
    </row>
    <row r="4136" spans="1:14" x14ac:dyDescent="0.45">
      <c r="A4136" s="30">
        <v>2024</v>
      </c>
      <c r="B4136" s="30" t="s">
        <v>16</v>
      </c>
      <c r="C4136" s="30" t="s">
        <v>46</v>
      </c>
      <c r="D4136" s="30" t="s">
        <v>47</v>
      </c>
      <c r="E4136" s="32" t="s">
        <v>171</v>
      </c>
      <c r="F4136" s="32" t="s">
        <v>49</v>
      </c>
      <c r="G4136" s="32" t="s">
        <v>50</v>
      </c>
      <c r="H4136" s="33">
        <v>26540</v>
      </c>
      <c r="I4136" s="34">
        <f>Table3[[#This Row],[Volume, kg.]]/1000</f>
        <v>26.54</v>
      </c>
      <c r="J4136" s="34">
        <v>0.22420000000000001</v>
      </c>
      <c r="K4136" s="34">
        <f t="shared" si="128"/>
        <v>5950.268</v>
      </c>
      <c r="L4136" s="34">
        <v>2.2999999999999998</v>
      </c>
      <c r="M4136" s="34">
        <v>61042</v>
      </c>
      <c r="N4136" s="34">
        <f t="shared" si="129"/>
        <v>10.258697591436217</v>
      </c>
    </row>
    <row r="4137" spans="1:14" x14ac:dyDescent="0.45">
      <c r="A4137" s="30">
        <v>2024</v>
      </c>
      <c r="B4137" s="30" t="s">
        <v>16</v>
      </c>
      <c r="C4137" s="30" t="s">
        <v>46</v>
      </c>
      <c r="D4137" s="30" t="s">
        <v>47</v>
      </c>
      <c r="E4137" s="32" t="s">
        <v>233</v>
      </c>
      <c r="F4137" s="32" t="s">
        <v>57</v>
      </c>
      <c r="G4137" s="32" t="s">
        <v>50</v>
      </c>
      <c r="H4137" s="33">
        <v>162790</v>
      </c>
      <c r="I4137" s="34">
        <f>Table3[[#This Row],[Volume, kg.]]/1000</f>
        <v>162.79</v>
      </c>
      <c r="J4137" s="34">
        <v>0.25950000000000001</v>
      </c>
      <c r="K4137" s="34">
        <f t="shared" si="128"/>
        <v>42244.005000000005</v>
      </c>
      <c r="L4137" s="34">
        <v>2.4900000000000002</v>
      </c>
      <c r="M4137" s="34">
        <v>405175.5</v>
      </c>
      <c r="N4137" s="34">
        <f t="shared" si="129"/>
        <v>9.5953757225433538</v>
      </c>
    </row>
    <row r="4138" spans="1:14" x14ac:dyDescent="0.45">
      <c r="A4138" s="30">
        <v>2024</v>
      </c>
      <c r="B4138" s="30" t="s">
        <v>16</v>
      </c>
      <c r="C4138" s="30" t="s">
        <v>46</v>
      </c>
      <c r="D4138" s="30" t="s">
        <v>47</v>
      </c>
      <c r="E4138" s="32" t="s">
        <v>56</v>
      </c>
      <c r="F4138" s="32" t="s">
        <v>57</v>
      </c>
      <c r="G4138" s="32" t="s">
        <v>50</v>
      </c>
      <c r="H4138" s="33">
        <v>21760</v>
      </c>
      <c r="I4138" s="34">
        <f>Table3[[#This Row],[Volume, kg.]]/1000</f>
        <v>21.76</v>
      </c>
      <c r="J4138" s="34">
        <v>0.23719999999999999</v>
      </c>
      <c r="K4138" s="34">
        <f t="shared" si="128"/>
        <v>5161.4719999999998</v>
      </c>
      <c r="L4138" s="34">
        <v>2.4300000000000002</v>
      </c>
      <c r="M4138" s="34">
        <v>52880</v>
      </c>
      <c r="N4138" s="34">
        <f t="shared" si="129"/>
        <v>10.24451939291737</v>
      </c>
    </row>
    <row r="4139" spans="1:14" x14ac:dyDescent="0.45">
      <c r="A4139" s="30">
        <v>2024</v>
      </c>
      <c r="B4139" s="30" t="s">
        <v>16</v>
      </c>
      <c r="C4139" s="30" t="s">
        <v>46</v>
      </c>
      <c r="D4139" s="30" t="s">
        <v>47</v>
      </c>
      <c r="E4139" s="32" t="s">
        <v>90</v>
      </c>
      <c r="F4139" s="32" t="s">
        <v>49</v>
      </c>
      <c r="G4139" s="32" t="s">
        <v>50</v>
      </c>
      <c r="H4139" s="33">
        <v>84310</v>
      </c>
      <c r="I4139" s="34">
        <f>Table3[[#This Row],[Volume, kg.]]/1000</f>
        <v>84.31</v>
      </c>
      <c r="J4139" s="34">
        <v>0.2452</v>
      </c>
      <c r="K4139" s="34">
        <f t="shared" si="128"/>
        <v>20672.812000000002</v>
      </c>
      <c r="L4139" s="34">
        <v>2.44</v>
      </c>
      <c r="M4139" s="34">
        <v>205499.5</v>
      </c>
      <c r="N4139" s="34">
        <f t="shared" si="129"/>
        <v>9.9510603588907021</v>
      </c>
    </row>
    <row r="4140" spans="1:14" x14ac:dyDescent="0.45">
      <c r="A4140" s="30">
        <v>2024</v>
      </c>
      <c r="B4140" s="30" t="s">
        <v>16</v>
      </c>
      <c r="C4140" s="30" t="s">
        <v>46</v>
      </c>
      <c r="D4140" s="30" t="s">
        <v>47</v>
      </c>
      <c r="E4140" s="32" t="s">
        <v>275</v>
      </c>
      <c r="F4140" s="32" t="s">
        <v>54</v>
      </c>
      <c r="G4140" s="32" t="s">
        <v>50</v>
      </c>
      <c r="H4140" s="33">
        <v>80300</v>
      </c>
      <c r="I4140" s="34">
        <f>Table3[[#This Row],[Volume, kg.]]/1000</f>
        <v>80.3</v>
      </c>
      <c r="J4140" s="34">
        <v>0.24909999999999999</v>
      </c>
      <c r="K4140" s="34">
        <f t="shared" si="128"/>
        <v>20002.73</v>
      </c>
      <c r="L4140" s="34">
        <v>2.44</v>
      </c>
      <c r="M4140" s="34">
        <v>196320</v>
      </c>
      <c r="N4140" s="34">
        <f t="shared" si="129"/>
        <v>9.7952629466077887</v>
      </c>
    </row>
    <row r="4141" spans="1:14" x14ac:dyDescent="0.45">
      <c r="A4141" s="30">
        <v>2024</v>
      </c>
      <c r="B4141" s="30" t="s">
        <v>16</v>
      </c>
      <c r="C4141" s="30" t="s">
        <v>46</v>
      </c>
      <c r="D4141" s="30" t="s">
        <v>47</v>
      </c>
      <c r="E4141" s="32" t="s">
        <v>599</v>
      </c>
      <c r="F4141" s="32" t="s">
        <v>57</v>
      </c>
      <c r="G4141" s="32" t="s">
        <v>50</v>
      </c>
      <c r="H4141" s="33">
        <v>111250</v>
      </c>
      <c r="I4141" s="34">
        <f>Table3[[#This Row],[Volume, kg.]]/1000</f>
        <v>111.25</v>
      </c>
      <c r="J4141" s="34">
        <v>0.26429999999999998</v>
      </c>
      <c r="K4141" s="34">
        <f t="shared" si="128"/>
        <v>29403.374999999996</v>
      </c>
      <c r="L4141" s="34">
        <v>2.56</v>
      </c>
      <c r="M4141" s="34">
        <v>284503.5</v>
      </c>
      <c r="N4141" s="34">
        <f t="shared" si="129"/>
        <v>9.6859629209231937</v>
      </c>
    </row>
    <row r="4142" spans="1:14" x14ac:dyDescent="0.45">
      <c r="A4142" s="30">
        <v>2024</v>
      </c>
      <c r="B4142" s="30" t="s">
        <v>16</v>
      </c>
      <c r="C4142" s="30" t="s">
        <v>46</v>
      </c>
      <c r="D4142" s="30" t="s">
        <v>47</v>
      </c>
      <c r="E4142" s="32" t="s">
        <v>311</v>
      </c>
      <c r="F4142" s="32" t="s">
        <v>57</v>
      </c>
      <c r="G4142" s="32" t="s">
        <v>50</v>
      </c>
      <c r="H4142" s="33">
        <v>118420</v>
      </c>
      <c r="I4142" s="34">
        <f>Table3[[#This Row],[Volume, kg.]]/1000</f>
        <v>118.42</v>
      </c>
      <c r="J4142" s="34">
        <v>0.26879999999999998</v>
      </c>
      <c r="K4142" s="34">
        <f t="shared" si="128"/>
        <v>31831.295999999998</v>
      </c>
      <c r="L4142" s="34">
        <v>2.54</v>
      </c>
      <c r="M4142" s="34">
        <v>300817</v>
      </c>
      <c r="N4142" s="34">
        <f t="shared" si="129"/>
        <v>9.4494047619047628</v>
      </c>
    </row>
    <row r="4143" spans="1:14" x14ac:dyDescent="0.45">
      <c r="A4143" s="30">
        <v>2024</v>
      </c>
      <c r="B4143" s="30" t="s">
        <v>16</v>
      </c>
      <c r="C4143" s="30" t="s">
        <v>46</v>
      </c>
      <c r="D4143" s="30" t="s">
        <v>47</v>
      </c>
      <c r="E4143" s="32" t="s">
        <v>361</v>
      </c>
      <c r="F4143" s="32" t="s">
        <v>57</v>
      </c>
      <c r="G4143" s="32" t="s">
        <v>50</v>
      </c>
      <c r="H4143" s="33">
        <v>5640</v>
      </c>
      <c r="I4143" s="34">
        <f>Table3[[#This Row],[Volume, kg.]]/1000</f>
        <v>5.64</v>
      </c>
      <c r="J4143" s="34">
        <v>0.26150000000000001</v>
      </c>
      <c r="K4143" s="34">
        <f t="shared" si="128"/>
        <v>1474.8600000000001</v>
      </c>
      <c r="L4143" s="34">
        <v>2.5499999999999998</v>
      </c>
      <c r="M4143" s="34">
        <v>14382</v>
      </c>
      <c r="N4143" s="34">
        <f t="shared" si="129"/>
        <v>9.7514340344168247</v>
      </c>
    </row>
    <row r="4144" spans="1:14" x14ac:dyDescent="0.45">
      <c r="A4144" s="30">
        <v>2024</v>
      </c>
      <c r="B4144" s="30" t="s">
        <v>16</v>
      </c>
      <c r="C4144" s="30" t="s">
        <v>46</v>
      </c>
      <c r="D4144" s="30" t="s">
        <v>47</v>
      </c>
      <c r="E4144" s="32" t="s">
        <v>681</v>
      </c>
      <c r="F4144" s="32" t="s">
        <v>49</v>
      </c>
      <c r="G4144" s="32" t="s">
        <v>50</v>
      </c>
      <c r="H4144" s="33">
        <v>12550</v>
      </c>
      <c r="I4144" s="34">
        <f>Table3[[#This Row],[Volume, kg.]]/1000</f>
        <v>12.55</v>
      </c>
      <c r="J4144" s="34">
        <v>0.26550000000000001</v>
      </c>
      <c r="K4144" s="34">
        <f t="shared" si="128"/>
        <v>3332.0250000000001</v>
      </c>
      <c r="L4144" s="34">
        <v>2.5</v>
      </c>
      <c r="M4144" s="34">
        <v>31375</v>
      </c>
      <c r="N4144" s="34">
        <f t="shared" si="129"/>
        <v>9.4161958568738218</v>
      </c>
    </row>
    <row r="4145" spans="1:14" x14ac:dyDescent="0.45">
      <c r="A4145" s="30">
        <v>2024</v>
      </c>
      <c r="B4145" s="30" t="s">
        <v>16</v>
      </c>
      <c r="C4145" s="30" t="s">
        <v>46</v>
      </c>
      <c r="D4145" s="30" t="s">
        <v>47</v>
      </c>
      <c r="E4145" s="32" t="s">
        <v>637</v>
      </c>
      <c r="F4145" s="32" t="s">
        <v>60</v>
      </c>
      <c r="G4145" s="32" t="s">
        <v>50</v>
      </c>
      <c r="H4145" s="33">
        <v>7590</v>
      </c>
      <c r="I4145" s="34">
        <f>Table3[[#This Row],[Volume, kg.]]/1000</f>
        <v>7.59</v>
      </c>
      <c r="J4145" s="34">
        <v>0.26600000000000001</v>
      </c>
      <c r="K4145" s="34">
        <f t="shared" si="128"/>
        <v>2018.94</v>
      </c>
      <c r="L4145" s="34">
        <v>2.4500000000000002</v>
      </c>
      <c r="M4145" s="34">
        <v>18595.5</v>
      </c>
      <c r="N4145" s="34">
        <f t="shared" si="129"/>
        <v>9.2105263157894743</v>
      </c>
    </row>
    <row r="4146" spans="1:14" x14ac:dyDescent="0.45">
      <c r="A4146" s="30">
        <v>2024</v>
      </c>
      <c r="B4146" s="30" t="s">
        <v>16</v>
      </c>
      <c r="C4146" s="30" t="s">
        <v>46</v>
      </c>
      <c r="D4146" s="30" t="s">
        <v>47</v>
      </c>
      <c r="E4146" s="32" t="s">
        <v>153</v>
      </c>
      <c r="F4146" s="32" t="s">
        <v>57</v>
      </c>
      <c r="G4146" s="32" t="s">
        <v>50</v>
      </c>
      <c r="H4146" s="33">
        <v>5780</v>
      </c>
      <c r="I4146" s="34">
        <f>Table3[[#This Row],[Volume, kg.]]/1000</f>
        <v>5.78</v>
      </c>
      <c r="J4146" s="34">
        <v>0.26350000000000001</v>
      </c>
      <c r="K4146" s="34">
        <f t="shared" si="128"/>
        <v>1523.03</v>
      </c>
      <c r="L4146" s="34">
        <v>2.5499999999999998</v>
      </c>
      <c r="M4146" s="34">
        <v>14739</v>
      </c>
      <c r="N4146" s="34">
        <f t="shared" si="129"/>
        <v>9.6774193548387082</v>
      </c>
    </row>
    <row r="4147" spans="1:14" x14ac:dyDescent="0.45">
      <c r="A4147" s="30">
        <v>2024</v>
      </c>
      <c r="B4147" s="30" t="s">
        <v>16</v>
      </c>
      <c r="C4147" s="30" t="s">
        <v>46</v>
      </c>
      <c r="D4147" s="30" t="s">
        <v>47</v>
      </c>
      <c r="E4147" s="32" t="s">
        <v>346</v>
      </c>
      <c r="F4147" s="32" t="s">
        <v>49</v>
      </c>
      <c r="G4147" s="32" t="s">
        <v>50</v>
      </c>
      <c r="H4147" s="33">
        <v>151600</v>
      </c>
      <c r="I4147" s="34">
        <f>Table3[[#This Row],[Volume, kg.]]/1000</f>
        <v>151.6</v>
      </c>
      <c r="J4147" s="34">
        <v>0.25190000000000001</v>
      </c>
      <c r="K4147" s="34">
        <f t="shared" si="128"/>
        <v>38188.04</v>
      </c>
      <c r="L4147" s="34">
        <v>2.4500000000000002</v>
      </c>
      <c r="M4147" s="34">
        <v>370942</v>
      </c>
      <c r="N4147" s="34">
        <f t="shared" si="129"/>
        <v>9.7260817784835254</v>
      </c>
    </row>
    <row r="4148" spans="1:14" x14ac:dyDescent="0.45">
      <c r="A4148" s="30">
        <v>2024</v>
      </c>
      <c r="B4148" s="30" t="s">
        <v>16</v>
      </c>
      <c r="C4148" s="30" t="s">
        <v>46</v>
      </c>
      <c r="D4148" s="30" t="s">
        <v>47</v>
      </c>
      <c r="E4148" s="32" t="s">
        <v>504</v>
      </c>
      <c r="F4148" s="32" t="s">
        <v>60</v>
      </c>
      <c r="G4148" s="32" t="s">
        <v>50</v>
      </c>
      <c r="H4148" s="33">
        <v>21200</v>
      </c>
      <c r="I4148" s="34">
        <f>Table3[[#This Row],[Volume, kg.]]/1000</f>
        <v>21.2</v>
      </c>
      <c r="J4148" s="34">
        <v>0.2641</v>
      </c>
      <c r="K4148" s="34">
        <f t="shared" si="128"/>
        <v>5598.92</v>
      </c>
      <c r="L4148" s="34">
        <v>2.56</v>
      </c>
      <c r="M4148" s="34">
        <v>54253</v>
      </c>
      <c r="N4148" s="34">
        <f t="shared" si="129"/>
        <v>9.6932979931843999</v>
      </c>
    </row>
    <row r="4149" spans="1:14" x14ac:dyDescent="0.45">
      <c r="A4149" s="30">
        <v>2024</v>
      </c>
      <c r="B4149" s="30" t="s">
        <v>16</v>
      </c>
      <c r="C4149" s="30" t="s">
        <v>46</v>
      </c>
      <c r="D4149" s="30" t="s">
        <v>47</v>
      </c>
      <c r="E4149" s="32" t="s">
        <v>225</v>
      </c>
      <c r="F4149" s="32" t="s">
        <v>64</v>
      </c>
      <c r="G4149" s="32" t="s">
        <v>50</v>
      </c>
      <c r="H4149" s="33">
        <v>15080</v>
      </c>
      <c r="I4149" s="34">
        <f>Table3[[#This Row],[Volume, kg.]]/1000</f>
        <v>15.08</v>
      </c>
      <c r="J4149" s="34">
        <v>0.218</v>
      </c>
      <c r="K4149" s="34">
        <f t="shared" si="128"/>
        <v>3287.44</v>
      </c>
      <c r="L4149" s="34">
        <v>2.35</v>
      </c>
      <c r="M4149" s="34">
        <v>35438</v>
      </c>
      <c r="N4149" s="34">
        <f t="shared" si="129"/>
        <v>10.779816513761469</v>
      </c>
    </row>
    <row r="4150" spans="1:14" x14ac:dyDescent="0.45">
      <c r="A4150" s="30">
        <v>2024</v>
      </c>
      <c r="B4150" s="30" t="s">
        <v>16</v>
      </c>
      <c r="C4150" s="30" t="s">
        <v>46</v>
      </c>
      <c r="D4150" s="30" t="s">
        <v>47</v>
      </c>
      <c r="E4150" s="32" t="s">
        <v>200</v>
      </c>
      <c r="F4150" s="32" t="s">
        <v>64</v>
      </c>
      <c r="G4150" s="32" t="s">
        <v>50</v>
      </c>
      <c r="H4150" s="33">
        <v>43910</v>
      </c>
      <c r="I4150" s="34">
        <f>Table3[[#This Row],[Volume, kg.]]/1000</f>
        <v>43.91</v>
      </c>
      <c r="J4150" s="34">
        <v>0.22750000000000001</v>
      </c>
      <c r="K4150" s="34">
        <f t="shared" si="128"/>
        <v>9989.5249999999996</v>
      </c>
      <c r="L4150" s="34">
        <v>2.33</v>
      </c>
      <c r="M4150" s="34">
        <v>102093.5</v>
      </c>
      <c r="N4150" s="34">
        <f t="shared" si="129"/>
        <v>10.241758241758241</v>
      </c>
    </row>
    <row r="4151" spans="1:14" x14ac:dyDescent="0.45">
      <c r="A4151" s="30">
        <v>2024</v>
      </c>
      <c r="B4151" s="30" t="s">
        <v>16</v>
      </c>
      <c r="C4151" s="30" t="s">
        <v>46</v>
      </c>
      <c r="D4151" s="30" t="s">
        <v>47</v>
      </c>
      <c r="E4151" s="32" t="s">
        <v>306</v>
      </c>
      <c r="F4151" s="32" t="s">
        <v>60</v>
      </c>
      <c r="G4151" s="32" t="s">
        <v>50</v>
      </c>
      <c r="H4151" s="33">
        <v>10620</v>
      </c>
      <c r="I4151" s="34">
        <f>Table3[[#This Row],[Volume, kg.]]/1000</f>
        <v>10.62</v>
      </c>
      <c r="J4151" s="34">
        <v>0.2681</v>
      </c>
      <c r="K4151" s="34">
        <f t="shared" si="128"/>
        <v>2847.2220000000002</v>
      </c>
      <c r="L4151" s="34">
        <v>2.57</v>
      </c>
      <c r="M4151" s="34">
        <v>27252</v>
      </c>
      <c r="N4151" s="34">
        <f t="shared" si="129"/>
        <v>9.5859753823200293</v>
      </c>
    </row>
    <row r="4152" spans="1:14" x14ac:dyDescent="0.45">
      <c r="A4152" s="30">
        <v>2024</v>
      </c>
      <c r="B4152" s="30" t="s">
        <v>16</v>
      </c>
      <c r="C4152" s="30" t="s">
        <v>46</v>
      </c>
      <c r="D4152" s="30" t="s">
        <v>47</v>
      </c>
      <c r="E4152" s="32" t="s">
        <v>458</v>
      </c>
      <c r="F4152" s="32" t="s">
        <v>60</v>
      </c>
      <c r="G4152" s="32" t="s">
        <v>50</v>
      </c>
      <c r="H4152" s="33">
        <v>21340</v>
      </c>
      <c r="I4152" s="34">
        <f>Table3[[#This Row],[Volume, kg.]]/1000</f>
        <v>21.34</v>
      </c>
      <c r="J4152" s="34">
        <v>0.26719999999999999</v>
      </c>
      <c r="K4152" s="34">
        <f t="shared" si="128"/>
        <v>5702.0479999999998</v>
      </c>
      <c r="L4152" s="34">
        <v>2.57</v>
      </c>
      <c r="M4152" s="34">
        <v>54818.5</v>
      </c>
      <c r="N4152" s="34">
        <f t="shared" si="129"/>
        <v>9.6182634730538918</v>
      </c>
    </row>
    <row r="4153" spans="1:14" x14ac:dyDescent="0.45">
      <c r="A4153" s="30">
        <v>2024</v>
      </c>
      <c r="B4153" s="30" t="s">
        <v>16</v>
      </c>
      <c r="C4153" s="30" t="s">
        <v>46</v>
      </c>
      <c r="D4153" s="30" t="s">
        <v>47</v>
      </c>
      <c r="E4153" s="32" t="s">
        <v>197</v>
      </c>
      <c r="F4153" s="32" t="s">
        <v>57</v>
      </c>
      <c r="G4153" s="32" t="s">
        <v>50</v>
      </c>
      <c r="H4153" s="33">
        <v>234560</v>
      </c>
      <c r="I4153" s="34">
        <f>Table3[[#This Row],[Volume, kg.]]/1000</f>
        <v>234.56</v>
      </c>
      <c r="J4153" s="34">
        <v>0.25920000000000004</v>
      </c>
      <c r="K4153" s="34">
        <f t="shared" si="128"/>
        <v>60797.952000000012</v>
      </c>
      <c r="L4153" s="34">
        <v>2.4900000000000002</v>
      </c>
      <c r="M4153" s="34">
        <v>583870.5</v>
      </c>
      <c r="N4153" s="34">
        <f t="shared" si="129"/>
        <v>9.606481481481481</v>
      </c>
    </row>
    <row r="4154" spans="1:14" x14ac:dyDescent="0.45">
      <c r="A4154" s="30">
        <v>2024</v>
      </c>
      <c r="B4154" s="30" t="s">
        <v>16</v>
      </c>
      <c r="C4154" s="30" t="s">
        <v>46</v>
      </c>
      <c r="D4154" s="30" t="s">
        <v>47</v>
      </c>
      <c r="E4154" s="32" t="s">
        <v>177</v>
      </c>
      <c r="F4154" s="32" t="s">
        <v>49</v>
      </c>
      <c r="G4154" s="32" t="s">
        <v>50</v>
      </c>
      <c r="H4154" s="33">
        <v>10980</v>
      </c>
      <c r="I4154" s="34">
        <f>Table3[[#This Row],[Volume, kg.]]/1000</f>
        <v>10.98</v>
      </c>
      <c r="J4154" s="34">
        <v>0.23129999999999998</v>
      </c>
      <c r="K4154" s="34">
        <f t="shared" si="128"/>
        <v>2539.674</v>
      </c>
      <c r="L4154" s="34">
        <v>2.4</v>
      </c>
      <c r="M4154" s="34">
        <v>26352</v>
      </c>
      <c r="N4154" s="34">
        <f t="shared" si="129"/>
        <v>10.376134889753567</v>
      </c>
    </row>
    <row r="4155" spans="1:14" x14ac:dyDescent="0.45">
      <c r="A4155" s="30">
        <v>2024</v>
      </c>
      <c r="B4155" s="30" t="s">
        <v>16</v>
      </c>
      <c r="C4155" s="30" t="s">
        <v>46</v>
      </c>
      <c r="D4155" s="30" t="s">
        <v>47</v>
      </c>
      <c r="E4155" s="32" t="s">
        <v>206</v>
      </c>
      <c r="F4155" s="32" t="s">
        <v>81</v>
      </c>
      <c r="G4155" s="32" t="s">
        <v>50</v>
      </c>
      <c r="H4155" s="33">
        <v>147960</v>
      </c>
      <c r="I4155" s="34">
        <f>Table3[[#This Row],[Volume, kg.]]/1000</f>
        <v>147.96</v>
      </c>
      <c r="J4155" s="34">
        <v>0.23730000000000001</v>
      </c>
      <c r="K4155" s="34">
        <f t="shared" si="128"/>
        <v>35110.908000000003</v>
      </c>
      <c r="L4155" s="34">
        <v>2.4</v>
      </c>
      <c r="M4155" s="34">
        <v>355239</v>
      </c>
      <c r="N4155" s="34">
        <f t="shared" si="129"/>
        <v>10.113780025284449</v>
      </c>
    </row>
    <row r="4156" spans="1:14" x14ac:dyDescent="0.45">
      <c r="A4156" s="30">
        <v>2024</v>
      </c>
      <c r="B4156" s="30" t="s">
        <v>16</v>
      </c>
      <c r="C4156" s="30" t="s">
        <v>46</v>
      </c>
      <c r="D4156" s="30" t="s">
        <v>47</v>
      </c>
      <c r="E4156" s="32" t="s">
        <v>350</v>
      </c>
      <c r="F4156" s="32" t="s">
        <v>49</v>
      </c>
      <c r="G4156" s="32" t="s">
        <v>50</v>
      </c>
      <c r="H4156" s="33">
        <v>82390</v>
      </c>
      <c r="I4156" s="34">
        <f>Table3[[#This Row],[Volume, kg.]]/1000</f>
        <v>82.39</v>
      </c>
      <c r="J4156" s="34">
        <v>0.253</v>
      </c>
      <c r="K4156" s="34">
        <f t="shared" si="128"/>
        <v>20844.670000000002</v>
      </c>
      <c r="L4156" s="34">
        <v>2.48</v>
      </c>
      <c r="M4156" s="34">
        <v>203973.5</v>
      </c>
      <c r="N4156" s="34">
        <f t="shared" si="129"/>
        <v>9.8023715415019765</v>
      </c>
    </row>
    <row r="4157" spans="1:14" x14ac:dyDescent="0.45">
      <c r="A4157" s="30">
        <v>2024</v>
      </c>
      <c r="B4157" s="30" t="s">
        <v>16</v>
      </c>
      <c r="C4157" s="30" t="s">
        <v>46</v>
      </c>
      <c r="D4157" s="30" t="s">
        <v>47</v>
      </c>
      <c r="E4157" s="32" t="s">
        <v>506</v>
      </c>
      <c r="F4157" s="32" t="s">
        <v>57</v>
      </c>
      <c r="G4157" s="32" t="s">
        <v>50</v>
      </c>
      <c r="H4157" s="33">
        <v>16020</v>
      </c>
      <c r="I4157" s="34">
        <f>Table3[[#This Row],[Volume, kg.]]/1000</f>
        <v>16.02</v>
      </c>
      <c r="J4157" s="34">
        <v>0.22390000000000002</v>
      </c>
      <c r="K4157" s="34">
        <f t="shared" si="128"/>
        <v>3586.8780000000002</v>
      </c>
      <c r="L4157" s="34">
        <v>2.38</v>
      </c>
      <c r="M4157" s="34">
        <v>38095</v>
      </c>
      <c r="N4157" s="34">
        <f t="shared" si="129"/>
        <v>10.62974542206342</v>
      </c>
    </row>
    <row r="4158" spans="1:14" x14ac:dyDescent="0.45">
      <c r="A4158" s="30">
        <v>2024</v>
      </c>
      <c r="B4158" s="30" t="s">
        <v>16</v>
      </c>
      <c r="C4158" s="30" t="s">
        <v>46</v>
      </c>
      <c r="D4158" s="30" t="s">
        <v>47</v>
      </c>
      <c r="E4158" s="32" t="s">
        <v>395</v>
      </c>
      <c r="F4158" s="32" t="s">
        <v>81</v>
      </c>
      <c r="G4158" s="32" t="s">
        <v>50</v>
      </c>
      <c r="H4158" s="33">
        <v>10760</v>
      </c>
      <c r="I4158" s="34">
        <f>Table3[[#This Row],[Volume, kg.]]/1000</f>
        <v>10.76</v>
      </c>
      <c r="J4158" s="34">
        <v>0.24249999999999999</v>
      </c>
      <c r="K4158" s="34">
        <f t="shared" si="128"/>
        <v>2609.2999999999997</v>
      </c>
      <c r="L4158" s="34">
        <v>2.35</v>
      </c>
      <c r="M4158" s="34">
        <v>25286</v>
      </c>
      <c r="N4158" s="34">
        <f t="shared" si="129"/>
        <v>9.6907216494845372</v>
      </c>
    </row>
    <row r="4159" spans="1:14" x14ac:dyDescent="0.45">
      <c r="A4159" s="30">
        <v>2024</v>
      </c>
      <c r="B4159" s="30" t="s">
        <v>16</v>
      </c>
      <c r="C4159" s="30" t="s">
        <v>46</v>
      </c>
      <c r="D4159" s="30" t="s">
        <v>47</v>
      </c>
      <c r="E4159" s="32" t="s">
        <v>312</v>
      </c>
      <c r="F4159" s="32" t="s">
        <v>60</v>
      </c>
      <c r="G4159" s="32" t="s">
        <v>50</v>
      </c>
      <c r="H4159" s="33">
        <v>47460</v>
      </c>
      <c r="I4159" s="34">
        <f>Table3[[#This Row],[Volume, kg.]]/1000</f>
        <v>47.46</v>
      </c>
      <c r="J4159" s="34">
        <v>0.2366</v>
      </c>
      <c r="K4159" s="34">
        <f t="shared" si="128"/>
        <v>11229.036</v>
      </c>
      <c r="L4159" s="34">
        <v>2.39</v>
      </c>
      <c r="M4159" s="34">
        <v>113237.5</v>
      </c>
      <c r="N4159" s="34">
        <f t="shared" si="129"/>
        <v>10.101437024513947</v>
      </c>
    </row>
    <row r="4160" spans="1:14" x14ac:dyDescent="0.45">
      <c r="A4160" s="30">
        <v>2024</v>
      </c>
      <c r="B4160" s="30" t="s">
        <v>16</v>
      </c>
      <c r="C4160" s="30" t="s">
        <v>46</v>
      </c>
      <c r="D4160" s="30" t="s">
        <v>47</v>
      </c>
      <c r="E4160" s="32" t="s">
        <v>548</v>
      </c>
      <c r="F4160" s="32" t="s">
        <v>49</v>
      </c>
      <c r="G4160" s="32" t="s">
        <v>50</v>
      </c>
      <c r="H4160" s="33">
        <v>41460</v>
      </c>
      <c r="I4160" s="34">
        <f>Table3[[#This Row],[Volume, kg.]]/1000</f>
        <v>41.46</v>
      </c>
      <c r="J4160" s="34">
        <v>0.24530000000000002</v>
      </c>
      <c r="K4160" s="34">
        <f t="shared" si="128"/>
        <v>10170.138000000001</v>
      </c>
      <c r="L4160" s="34">
        <v>2.35</v>
      </c>
      <c r="M4160" s="34">
        <v>97392.5</v>
      </c>
      <c r="N4160" s="34">
        <f t="shared" si="129"/>
        <v>9.5801059926620464</v>
      </c>
    </row>
    <row r="4161" spans="1:14" x14ac:dyDescent="0.45">
      <c r="A4161" s="30">
        <v>2024</v>
      </c>
      <c r="B4161" s="30" t="s">
        <v>16</v>
      </c>
      <c r="C4161" s="30" t="s">
        <v>46</v>
      </c>
      <c r="D4161" s="30" t="s">
        <v>47</v>
      </c>
      <c r="E4161" s="32" t="s">
        <v>98</v>
      </c>
      <c r="F4161" s="32" t="s">
        <v>49</v>
      </c>
      <c r="G4161" s="32" t="s">
        <v>50</v>
      </c>
      <c r="H4161" s="33">
        <v>83270</v>
      </c>
      <c r="I4161" s="34">
        <f>Table3[[#This Row],[Volume, kg.]]/1000</f>
        <v>83.27</v>
      </c>
      <c r="J4161" s="34">
        <v>0.23980000000000001</v>
      </c>
      <c r="K4161" s="34">
        <f t="shared" si="128"/>
        <v>19968.146000000001</v>
      </c>
      <c r="L4161" s="34">
        <v>2.39</v>
      </c>
      <c r="M4161" s="34">
        <v>199149</v>
      </c>
      <c r="N4161" s="34">
        <f t="shared" si="129"/>
        <v>9.9666388657214338</v>
      </c>
    </row>
    <row r="4162" spans="1:14" x14ac:dyDescent="0.45">
      <c r="A4162" s="30">
        <v>2024</v>
      </c>
      <c r="B4162" s="30" t="s">
        <v>16</v>
      </c>
      <c r="C4162" s="30" t="s">
        <v>46</v>
      </c>
      <c r="D4162" s="30" t="s">
        <v>47</v>
      </c>
      <c r="E4162" s="32" t="s">
        <v>354</v>
      </c>
      <c r="F4162" s="32" t="s">
        <v>60</v>
      </c>
      <c r="G4162" s="32" t="s">
        <v>50</v>
      </c>
      <c r="H4162" s="33">
        <v>29090</v>
      </c>
      <c r="I4162" s="34">
        <f>Table3[[#This Row],[Volume, kg.]]/1000</f>
        <v>29.09</v>
      </c>
      <c r="J4162" s="34">
        <v>0.2477</v>
      </c>
      <c r="K4162" s="34">
        <f t="shared" si="128"/>
        <v>7205.5929999999998</v>
      </c>
      <c r="L4162" s="34">
        <v>2.36</v>
      </c>
      <c r="M4162" s="34">
        <v>68540.5</v>
      </c>
      <c r="N4162" s="34">
        <f t="shared" si="129"/>
        <v>9.5276544206701654</v>
      </c>
    </row>
    <row r="4163" spans="1:14" x14ac:dyDescent="0.45">
      <c r="A4163" s="30">
        <v>2024</v>
      </c>
      <c r="B4163" s="30" t="s">
        <v>16</v>
      </c>
      <c r="C4163" s="30" t="s">
        <v>46</v>
      </c>
      <c r="D4163" s="30" t="s">
        <v>47</v>
      </c>
      <c r="E4163" s="32" t="s">
        <v>129</v>
      </c>
      <c r="F4163" s="32" t="s">
        <v>57</v>
      </c>
      <c r="G4163" s="32" t="s">
        <v>50</v>
      </c>
      <c r="H4163" s="33">
        <v>40750</v>
      </c>
      <c r="I4163" s="34">
        <f>Table3[[#This Row],[Volume, kg.]]/1000</f>
        <v>40.75</v>
      </c>
      <c r="J4163" s="34">
        <v>0.2389</v>
      </c>
      <c r="K4163" s="34">
        <f t="shared" ref="K4163:K4226" si="130">H4163*J4163</f>
        <v>9735.1749999999993</v>
      </c>
      <c r="L4163" s="34">
        <v>2.39</v>
      </c>
      <c r="M4163" s="34">
        <v>97257</v>
      </c>
      <c r="N4163" s="34">
        <f t="shared" si="129"/>
        <v>10.004185851820846</v>
      </c>
    </row>
    <row r="4164" spans="1:14" x14ac:dyDescent="0.45">
      <c r="A4164" s="30">
        <v>2024</v>
      </c>
      <c r="B4164" s="30" t="s">
        <v>16</v>
      </c>
      <c r="C4164" s="30" t="s">
        <v>46</v>
      </c>
      <c r="D4164" s="30" t="s">
        <v>47</v>
      </c>
      <c r="E4164" s="32" t="s">
        <v>80</v>
      </c>
      <c r="F4164" s="32" t="s">
        <v>81</v>
      </c>
      <c r="G4164" s="32" t="s">
        <v>50</v>
      </c>
      <c r="H4164" s="33">
        <v>90600</v>
      </c>
      <c r="I4164" s="34">
        <f>Table3[[#This Row],[Volume, kg.]]/1000</f>
        <v>90.6</v>
      </c>
      <c r="J4164" s="34">
        <v>0.23989999999999997</v>
      </c>
      <c r="K4164" s="34">
        <f t="shared" si="130"/>
        <v>21734.94</v>
      </c>
      <c r="L4164" s="34">
        <v>2.39</v>
      </c>
      <c r="M4164" s="34">
        <v>216327.5</v>
      </c>
      <c r="N4164" s="34">
        <f t="shared" ref="N4164:N4227" si="131">L4164/J4164</f>
        <v>9.9624843684868711</v>
      </c>
    </row>
    <row r="4165" spans="1:14" x14ac:dyDescent="0.45">
      <c r="A4165" s="30">
        <v>2024</v>
      </c>
      <c r="B4165" s="30" t="s">
        <v>16</v>
      </c>
      <c r="C4165" s="30" t="s">
        <v>46</v>
      </c>
      <c r="D4165" s="30" t="s">
        <v>47</v>
      </c>
      <c r="E4165" s="32" t="s">
        <v>473</v>
      </c>
      <c r="F4165" s="32" t="s">
        <v>57</v>
      </c>
      <c r="G4165" s="32" t="s">
        <v>50</v>
      </c>
      <c r="H4165" s="33">
        <v>70520</v>
      </c>
      <c r="I4165" s="34">
        <f>Table3[[#This Row],[Volume, kg.]]/1000</f>
        <v>70.52</v>
      </c>
      <c r="J4165" s="34">
        <v>0.252</v>
      </c>
      <c r="K4165" s="34">
        <f t="shared" si="130"/>
        <v>17771.04</v>
      </c>
      <c r="L4165" s="34">
        <v>2.4</v>
      </c>
      <c r="M4165" s="34">
        <v>168969.5</v>
      </c>
      <c r="N4165" s="34">
        <f t="shared" si="131"/>
        <v>9.5238095238095237</v>
      </c>
    </row>
    <row r="4166" spans="1:14" x14ac:dyDescent="0.45">
      <c r="A4166" s="30">
        <v>2024</v>
      </c>
      <c r="B4166" s="30" t="s">
        <v>16</v>
      </c>
      <c r="C4166" s="30" t="s">
        <v>46</v>
      </c>
      <c r="D4166" s="30" t="s">
        <v>47</v>
      </c>
      <c r="E4166" s="32" t="s">
        <v>296</v>
      </c>
      <c r="F4166" s="32" t="s">
        <v>60</v>
      </c>
      <c r="G4166" s="32" t="s">
        <v>50</v>
      </c>
      <c r="H4166" s="33">
        <v>64260</v>
      </c>
      <c r="I4166" s="34">
        <f>Table3[[#This Row],[Volume, kg.]]/1000</f>
        <v>64.260000000000005</v>
      </c>
      <c r="J4166" s="34">
        <v>0.25780000000000003</v>
      </c>
      <c r="K4166" s="34">
        <f t="shared" si="130"/>
        <v>16566.228000000003</v>
      </c>
      <c r="L4166" s="34">
        <v>2.52</v>
      </c>
      <c r="M4166" s="34">
        <v>162193.5</v>
      </c>
      <c r="N4166" s="34">
        <f t="shared" si="131"/>
        <v>9.7750193948797506</v>
      </c>
    </row>
    <row r="4167" spans="1:14" x14ac:dyDescent="0.45">
      <c r="A4167" s="30">
        <v>2024</v>
      </c>
      <c r="B4167" s="30" t="s">
        <v>16</v>
      </c>
      <c r="C4167" s="30" t="s">
        <v>46</v>
      </c>
      <c r="D4167" s="30" t="s">
        <v>47</v>
      </c>
      <c r="E4167" s="32" t="s">
        <v>267</v>
      </c>
      <c r="F4167" s="32" t="s">
        <v>57</v>
      </c>
      <c r="G4167" s="32" t="s">
        <v>50</v>
      </c>
      <c r="H4167" s="33">
        <v>11840</v>
      </c>
      <c r="I4167" s="34">
        <f>Table3[[#This Row],[Volume, kg.]]/1000</f>
        <v>11.84</v>
      </c>
      <c r="J4167" s="34">
        <v>0.2545</v>
      </c>
      <c r="K4167" s="34">
        <f t="shared" si="130"/>
        <v>3013.28</v>
      </c>
      <c r="L4167" s="34">
        <v>2.4700000000000002</v>
      </c>
      <c r="M4167" s="34">
        <v>29290</v>
      </c>
      <c r="N4167" s="34">
        <f t="shared" si="131"/>
        <v>9.7053045186640485</v>
      </c>
    </row>
    <row r="4168" spans="1:14" x14ac:dyDescent="0.45">
      <c r="A4168" s="30">
        <v>2024</v>
      </c>
      <c r="B4168" s="30" t="s">
        <v>16</v>
      </c>
      <c r="C4168" s="30" t="s">
        <v>46</v>
      </c>
      <c r="D4168" s="30" t="s">
        <v>47</v>
      </c>
      <c r="E4168" s="32" t="s">
        <v>203</v>
      </c>
      <c r="F4168" s="32" t="s">
        <v>57</v>
      </c>
      <c r="G4168" s="32" t="s">
        <v>50</v>
      </c>
      <c r="H4168" s="33">
        <v>30250</v>
      </c>
      <c r="I4168" s="34">
        <f>Table3[[#This Row],[Volume, kg.]]/1000</f>
        <v>30.25</v>
      </c>
      <c r="J4168" s="34">
        <v>0.25480000000000003</v>
      </c>
      <c r="K4168" s="34">
        <f t="shared" si="130"/>
        <v>7707.7000000000007</v>
      </c>
      <c r="L4168" s="34">
        <v>2.42</v>
      </c>
      <c r="M4168" s="34">
        <v>73140</v>
      </c>
      <c r="N4168" s="34">
        <f t="shared" si="131"/>
        <v>9.4976452119309247</v>
      </c>
    </row>
    <row r="4169" spans="1:14" x14ac:dyDescent="0.45">
      <c r="A4169" s="30">
        <v>2024</v>
      </c>
      <c r="B4169" s="30" t="s">
        <v>16</v>
      </c>
      <c r="C4169" s="30" t="s">
        <v>46</v>
      </c>
      <c r="D4169" s="30" t="s">
        <v>47</v>
      </c>
      <c r="E4169" s="32" t="s">
        <v>137</v>
      </c>
      <c r="F4169" s="32" t="s">
        <v>49</v>
      </c>
      <c r="G4169" s="32" t="s">
        <v>50</v>
      </c>
      <c r="H4169" s="33">
        <v>7310</v>
      </c>
      <c r="I4169" s="34">
        <f>Table3[[#This Row],[Volume, kg.]]/1000</f>
        <v>7.31</v>
      </c>
      <c r="J4169" s="34">
        <v>0.24199999999999999</v>
      </c>
      <c r="K4169" s="34">
        <f t="shared" si="130"/>
        <v>1769.02</v>
      </c>
      <c r="L4169" s="34">
        <v>2.2999999999999998</v>
      </c>
      <c r="M4169" s="34">
        <v>16813</v>
      </c>
      <c r="N4169" s="34">
        <f t="shared" si="131"/>
        <v>9.5041322314049577</v>
      </c>
    </row>
    <row r="4170" spans="1:14" x14ac:dyDescent="0.45">
      <c r="A4170" s="30">
        <v>2024</v>
      </c>
      <c r="B4170" s="30" t="s">
        <v>16</v>
      </c>
      <c r="C4170" s="30" t="s">
        <v>46</v>
      </c>
      <c r="D4170" s="30" t="s">
        <v>47</v>
      </c>
      <c r="E4170" s="32" t="s">
        <v>58</v>
      </c>
      <c r="F4170" s="32" t="s">
        <v>49</v>
      </c>
      <c r="G4170" s="32" t="s">
        <v>50</v>
      </c>
      <c r="H4170" s="33">
        <v>47400</v>
      </c>
      <c r="I4170" s="34">
        <f>Table3[[#This Row],[Volume, kg.]]/1000</f>
        <v>47.4</v>
      </c>
      <c r="J4170" s="34">
        <v>0.23120000000000002</v>
      </c>
      <c r="K4170" s="34">
        <f t="shared" si="130"/>
        <v>10958.880000000001</v>
      </c>
      <c r="L4170" s="34">
        <v>2.38</v>
      </c>
      <c r="M4170" s="34">
        <v>112740.5</v>
      </c>
      <c r="N4170" s="34">
        <f t="shared" si="131"/>
        <v>10.294117647058822</v>
      </c>
    </row>
    <row r="4171" spans="1:14" x14ac:dyDescent="0.45">
      <c r="A4171" s="30">
        <v>2024</v>
      </c>
      <c r="B4171" s="30" t="s">
        <v>16</v>
      </c>
      <c r="C4171" s="30" t="s">
        <v>46</v>
      </c>
      <c r="D4171" s="30" t="s">
        <v>47</v>
      </c>
      <c r="E4171" s="32" t="s">
        <v>526</v>
      </c>
      <c r="F4171" s="32" t="s">
        <v>49</v>
      </c>
      <c r="G4171" s="32" t="s">
        <v>50</v>
      </c>
      <c r="H4171" s="33">
        <v>119720</v>
      </c>
      <c r="I4171" s="34">
        <f>Table3[[#This Row],[Volume, kg.]]/1000</f>
        <v>119.72</v>
      </c>
      <c r="J4171" s="34">
        <v>0.24420000000000003</v>
      </c>
      <c r="K4171" s="34">
        <f t="shared" si="130"/>
        <v>29235.624000000003</v>
      </c>
      <c r="L4171" s="34">
        <v>2.41</v>
      </c>
      <c r="M4171" s="34">
        <v>288557</v>
      </c>
      <c r="N4171" s="34">
        <f t="shared" si="131"/>
        <v>9.8689598689598679</v>
      </c>
    </row>
    <row r="4172" spans="1:14" x14ac:dyDescent="0.45">
      <c r="A4172" s="30">
        <v>2024</v>
      </c>
      <c r="B4172" s="30" t="s">
        <v>16</v>
      </c>
      <c r="C4172" s="30" t="s">
        <v>46</v>
      </c>
      <c r="D4172" s="30" t="s">
        <v>47</v>
      </c>
      <c r="E4172" s="32" t="s">
        <v>668</v>
      </c>
      <c r="F4172" s="32" t="s">
        <v>60</v>
      </c>
      <c r="G4172" s="32" t="s">
        <v>50</v>
      </c>
      <c r="H4172" s="33">
        <v>64060</v>
      </c>
      <c r="I4172" s="34">
        <f>Table3[[#This Row],[Volume, kg.]]/1000</f>
        <v>64.06</v>
      </c>
      <c r="J4172" s="34">
        <v>0.2407</v>
      </c>
      <c r="K4172" s="34">
        <f t="shared" si="130"/>
        <v>15419.242</v>
      </c>
      <c r="L4172" s="34">
        <v>2.36</v>
      </c>
      <c r="M4172" s="34">
        <v>151345.5</v>
      </c>
      <c r="N4172" s="34">
        <f t="shared" si="131"/>
        <v>9.8047361861238045</v>
      </c>
    </row>
    <row r="4173" spans="1:14" x14ac:dyDescent="0.45">
      <c r="A4173" s="30">
        <v>2024</v>
      </c>
      <c r="B4173" s="30" t="s">
        <v>16</v>
      </c>
      <c r="C4173" s="30" t="s">
        <v>46</v>
      </c>
      <c r="D4173" s="30" t="s">
        <v>47</v>
      </c>
      <c r="E4173" s="32" t="s">
        <v>335</v>
      </c>
      <c r="F4173" s="32" t="s">
        <v>54</v>
      </c>
      <c r="G4173" s="32" t="s">
        <v>50</v>
      </c>
      <c r="H4173" s="33">
        <v>406580</v>
      </c>
      <c r="I4173" s="34">
        <f>Table3[[#This Row],[Volume, kg.]]/1000</f>
        <v>406.58</v>
      </c>
      <c r="J4173" s="34">
        <v>0.23079999999999998</v>
      </c>
      <c r="K4173" s="34">
        <f t="shared" si="130"/>
        <v>93838.66399999999</v>
      </c>
      <c r="L4173" s="34">
        <v>2.34</v>
      </c>
      <c r="M4173" s="34">
        <v>949714</v>
      </c>
      <c r="N4173" s="34">
        <f t="shared" si="131"/>
        <v>10.138648180242635</v>
      </c>
    </row>
    <row r="4174" spans="1:14" x14ac:dyDescent="0.45">
      <c r="A4174" s="30">
        <v>2024</v>
      </c>
      <c r="B4174" s="30" t="s">
        <v>16</v>
      </c>
      <c r="C4174" s="30" t="s">
        <v>46</v>
      </c>
      <c r="D4174" s="30" t="s">
        <v>47</v>
      </c>
      <c r="E4174" s="32" t="s">
        <v>476</v>
      </c>
      <c r="F4174" s="32" t="s">
        <v>49</v>
      </c>
      <c r="G4174" s="32" t="s">
        <v>50</v>
      </c>
      <c r="H4174" s="33">
        <v>13530</v>
      </c>
      <c r="I4174" s="34">
        <f>Table3[[#This Row],[Volume, kg.]]/1000</f>
        <v>13.53</v>
      </c>
      <c r="J4174" s="34">
        <v>0.22059999999999999</v>
      </c>
      <c r="K4174" s="34">
        <f t="shared" si="130"/>
        <v>2984.7179999999998</v>
      </c>
      <c r="L4174" s="34">
        <v>2.36</v>
      </c>
      <c r="M4174" s="34">
        <v>31943.5</v>
      </c>
      <c r="N4174" s="34">
        <f t="shared" si="131"/>
        <v>10.698096101541251</v>
      </c>
    </row>
    <row r="4175" spans="1:14" x14ac:dyDescent="0.45">
      <c r="A4175" s="30">
        <v>2024</v>
      </c>
      <c r="B4175" s="30" t="s">
        <v>16</v>
      </c>
      <c r="C4175" s="30" t="s">
        <v>46</v>
      </c>
      <c r="D4175" s="30" t="s">
        <v>47</v>
      </c>
      <c r="E4175" s="32" t="s">
        <v>401</v>
      </c>
      <c r="F4175" s="32" t="s">
        <v>57</v>
      </c>
      <c r="G4175" s="32" t="s">
        <v>50</v>
      </c>
      <c r="H4175" s="33">
        <v>6310</v>
      </c>
      <c r="I4175" s="34">
        <f>Table3[[#This Row],[Volume, kg.]]/1000</f>
        <v>6.31</v>
      </c>
      <c r="J4175" s="34">
        <v>0.24299999999999999</v>
      </c>
      <c r="K4175" s="34">
        <f t="shared" si="130"/>
        <v>1533.33</v>
      </c>
      <c r="L4175" s="34">
        <v>2.4</v>
      </c>
      <c r="M4175" s="34">
        <v>15144</v>
      </c>
      <c r="N4175" s="34">
        <f t="shared" si="131"/>
        <v>9.8765432098765427</v>
      </c>
    </row>
    <row r="4176" spans="1:14" x14ac:dyDescent="0.45">
      <c r="A4176" s="30">
        <v>2024</v>
      </c>
      <c r="B4176" s="30" t="s">
        <v>16</v>
      </c>
      <c r="C4176" s="30" t="s">
        <v>46</v>
      </c>
      <c r="D4176" s="30" t="s">
        <v>47</v>
      </c>
      <c r="E4176" s="32" t="s">
        <v>507</v>
      </c>
      <c r="F4176" s="32" t="s">
        <v>60</v>
      </c>
      <c r="G4176" s="32" t="s">
        <v>50</v>
      </c>
      <c r="H4176" s="33">
        <v>83910</v>
      </c>
      <c r="I4176" s="34">
        <f>Table3[[#This Row],[Volume, kg.]]/1000</f>
        <v>83.91</v>
      </c>
      <c r="J4176" s="34">
        <v>0.23530000000000001</v>
      </c>
      <c r="K4176" s="34">
        <f t="shared" si="130"/>
        <v>19744.023000000001</v>
      </c>
      <c r="L4176" s="34">
        <v>2.34</v>
      </c>
      <c r="M4176" s="34">
        <v>196144</v>
      </c>
      <c r="N4176" s="34">
        <f t="shared" si="131"/>
        <v>9.9447513812154682</v>
      </c>
    </row>
    <row r="4177" spans="1:14" x14ac:dyDescent="0.45">
      <c r="A4177" s="30">
        <v>2024</v>
      </c>
      <c r="B4177" s="30" t="s">
        <v>16</v>
      </c>
      <c r="C4177" s="30" t="s">
        <v>46</v>
      </c>
      <c r="D4177" s="30" t="s">
        <v>47</v>
      </c>
      <c r="E4177" s="32" t="s">
        <v>318</v>
      </c>
      <c r="F4177" s="32" t="s">
        <v>60</v>
      </c>
      <c r="G4177" s="32" t="s">
        <v>50</v>
      </c>
      <c r="H4177" s="33">
        <v>51300</v>
      </c>
      <c r="I4177" s="34">
        <f>Table3[[#This Row],[Volume, kg.]]/1000</f>
        <v>51.3</v>
      </c>
      <c r="J4177" s="34">
        <v>0.21929999999999999</v>
      </c>
      <c r="K4177" s="34">
        <f t="shared" si="130"/>
        <v>11250.09</v>
      </c>
      <c r="L4177" s="34">
        <v>2.27</v>
      </c>
      <c r="M4177" s="34">
        <v>116561.5</v>
      </c>
      <c r="N4177" s="34">
        <f t="shared" si="131"/>
        <v>10.351117191062471</v>
      </c>
    </row>
    <row r="4178" spans="1:14" x14ac:dyDescent="0.45">
      <c r="A4178" s="30">
        <v>2024</v>
      </c>
      <c r="B4178" s="30" t="s">
        <v>16</v>
      </c>
      <c r="C4178" s="30" t="s">
        <v>46</v>
      </c>
      <c r="D4178" s="30" t="s">
        <v>47</v>
      </c>
      <c r="E4178" s="32" t="s">
        <v>216</v>
      </c>
      <c r="F4178" s="32" t="s">
        <v>64</v>
      </c>
      <c r="G4178" s="32" t="s">
        <v>50</v>
      </c>
      <c r="H4178" s="33">
        <v>13790</v>
      </c>
      <c r="I4178" s="34">
        <f>Table3[[#This Row],[Volume, kg.]]/1000</f>
        <v>13.79</v>
      </c>
      <c r="J4178" s="34">
        <v>0.22289999999999999</v>
      </c>
      <c r="K4178" s="34">
        <f t="shared" si="130"/>
        <v>3073.7909999999997</v>
      </c>
      <c r="L4178" s="34">
        <v>2.38</v>
      </c>
      <c r="M4178" s="34">
        <v>32826.5</v>
      </c>
      <c r="N4178" s="34">
        <f t="shared" si="131"/>
        <v>10.677433826828175</v>
      </c>
    </row>
    <row r="4179" spans="1:14" x14ac:dyDescent="0.45">
      <c r="A4179" s="30">
        <v>2024</v>
      </c>
      <c r="B4179" s="30" t="s">
        <v>16</v>
      </c>
      <c r="C4179" s="30" t="s">
        <v>46</v>
      </c>
      <c r="D4179" s="30" t="s">
        <v>47</v>
      </c>
      <c r="E4179" s="32" t="s">
        <v>669</v>
      </c>
      <c r="F4179" s="32" t="s">
        <v>81</v>
      </c>
      <c r="G4179" s="32" t="s">
        <v>50</v>
      </c>
      <c r="H4179" s="33">
        <v>10790</v>
      </c>
      <c r="I4179" s="34">
        <f>Table3[[#This Row],[Volume, kg.]]/1000</f>
        <v>10.79</v>
      </c>
      <c r="J4179" s="34">
        <v>0.21600000000000003</v>
      </c>
      <c r="K4179" s="34">
        <f t="shared" si="130"/>
        <v>2330.6400000000003</v>
      </c>
      <c r="L4179" s="34">
        <v>2.35</v>
      </c>
      <c r="M4179" s="34">
        <v>25356.5</v>
      </c>
      <c r="N4179" s="34">
        <f t="shared" si="131"/>
        <v>10.879629629629628</v>
      </c>
    </row>
    <row r="4180" spans="1:14" x14ac:dyDescent="0.45">
      <c r="A4180" s="30">
        <v>2024</v>
      </c>
      <c r="B4180" s="30" t="s">
        <v>16</v>
      </c>
      <c r="C4180" s="30" t="s">
        <v>46</v>
      </c>
      <c r="D4180" s="30" t="s">
        <v>47</v>
      </c>
      <c r="E4180" s="32" t="s">
        <v>280</v>
      </c>
      <c r="F4180" s="32" t="s">
        <v>281</v>
      </c>
      <c r="G4180" s="32" t="s">
        <v>50</v>
      </c>
      <c r="H4180" s="33">
        <v>113220</v>
      </c>
      <c r="I4180" s="34">
        <f>Table3[[#This Row],[Volume, kg.]]/1000</f>
        <v>113.22</v>
      </c>
      <c r="J4180" s="34">
        <v>0.2379</v>
      </c>
      <c r="K4180" s="34">
        <f t="shared" si="130"/>
        <v>26935.038</v>
      </c>
      <c r="L4180" s="34">
        <v>2.4300000000000002</v>
      </c>
      <c r="M4180" s="34">
        <v>274873</v>
      </c>
      <c r="N4180" s="34">
        <f t="shared" si="131"/>
        <v>10.214375788146281</v>
      </c>
    </row>
    <row r="4181" spans="1:14" x14ac:dyDescent="0.45">
      <c r="A4181" s="30">
        <v>2024</v>
      </c>
      <c r="B4181" s="30" t="s">
        <v>16</v>
      </c>
      <c r="C4181" s="30" t="s">
        <v>46</v>
      </c>
      <c r="D4181" s="30" t="s">
        <v>47</v>
      </c>
      <c r="E4181" s="32" t="s">
        <v>602</v>
      </c>
      <c r="F4181" s="32" t="s">
        <v>49</v>
      </c>
      <c r="G4181" s="32" t="s">
        <v>50</v>
      </c>
      <c r="H4181" s="33">
        <v>100280</v>
      </c>
      <c r="I4181" s="34">
        <f>Table3[[#This Row],[Volume, kg.]]/1000</f>
        <v>100.28</v>
      </c>
      <c r="J4181" s="34">
        <v>0.23199999999999998</v>
      </c>
      <c r="K4181" s="34">
        <f t="shared" si="130"/>
        <v>23264.959999999999</v>
      </c>
      <c r="L4181" s="34">
        <v>2.33</v>
      </c>
      <c r="M4181" s="34">
        <v>233920.5</v>
      </c>
      <c r="N4181" s="34">
        <f t="shared" si="131"/>
        <v>10.043103448275863</v>
      </c>
    </row>
    <row r="4182" spans="1:14" x14ac:dyDescent="0.45">
      <c r="A4182" s="30">
        <v>2024</v>
      </c>
      <c r="B4182" s="30" t="s">
        <v>16</v>
      </c>
      <c r="C4182" s="30" t="s">
        <v>46</v>
      </c>
      <c r="D4182" s="30" t="s">
        <v>47</v>
      </c>
      <c r="E4182" s="32" t="s">
        <v>307</v>
      </c>
      <c r="F4182" s="32" t="s">
        <v>81</v>
      </c>
      <c r="G4182" s="32" t="s">
        <v>50</v>
      </c>
      <c r="H4182" s="33">
        <v>6340</v>
      </c>
      <c r="I4182" s="34">
        <f>Table3[[#This Row],[Volume, kg.]]/1000</f>
        <v>6.34</v>
      </c>
      <c r="J4182" s="34">
        <v>0.26</v>
      </c>
      <c r="K4182" s="34">
        <f t="shared" si="130"/>
        <v>1648.4</v>
      </c>
      <c r="L4182" s="34">
        <v>2.5</v>
      </c>
      <c r="M4182" s="34">
        <v>15850</v>
      </c>
      <c r="N4182" s="34">
        <f t="shared" si="131"/>
        <v>9.615384615384615</v>
      </c>
    </row>
    <row r="4183" spans="1:14" x14ac:dyDescent="0.45">
      <c r="A4183" s="30">
        <v>2024</v>
      </c>
      <c r="B4183" s="30" t="s">
        <v>16</v>
      </c>
      <c r="C4183" s="30" t="s">
        <v>46</v>
      </c>
      <c r="D4183" s="30" t="s">
        <v>47</v>
      </c>
      <c r="E4183" s="32" t="s">
        <v>243</v>
      </c>
      <c r="F4183" s="32" t="s">
        <v>60</v>
      </c>
      <c r="G4183" s="32" t="s">
        <v>50</v>
      </c>
      <c r="H4183" s="33">
        <v>76400</v>
      </c>
      <c r="I4183" s="34">
        <f>Table3[[#This Row],[Volume, kg.]]/1000</f>
        <v>76.400000000000006</v>
      </c>
      <c r="J4183" s="34">
        <v>0.2596</v>
      </c>
      <c r="K4183" s="34">
        <f t="shared" si="130"/>
        <v>19833.439999999999</v>
      </c>
      <c r="L4183" s="34">
        <v>2.4700000000000002</v>
      </c>
      <c r="M4183" s="34">
        <v>188336</v>
      </c>
      <c r="N4183" s="34">
        <f t="shared" si="131"/>
        <v>9.5146379044684135</v>
      </c>
    </row>
    <row r="4184" spans="1:14" x14ac:dyDescent="0.45">
      <c r="A4184" s="30">
        <v>2024</v>
      </c>
      <c r="B4184" s="30" t="s">
        <v>16</v>
      </c>
      <c r="C4184" s="30" t="s">
        <v>46</v>
      </c>
      <c r="D4184" s="30" t="s">
        <v>47</v>
      </c>
      <c r="E4184" s="32" t="s">
        <v>259</v>
      </c>
      <c r="F4184" s="32" t="s">
        <v>54</v>
      </c>
      <c r="G4184" s="32" t="s">
        <v>50</v>
      </c>
      <c r="H4184" s="33">
        <v>41710</v>
      </c>
      <c r="I4184" s="34">
        <f>Table3[[#This Row],[Volume, kg.]]/1000</f>
        <v>41.71</v>
      </c>
      <c r="J4184" s="34">
        <v>0.2666</v>
      </c>
      <c r="K4184" s="34">
        <f t="shared" si="130"/>
        <v>11119.886</v>
      </c>
      <c r="L4184" s="34">
        <v>2.58</v>
      </c>
      <c r="M4184" s="34">
        <v>107518</v>
      </c>
      <c r="N4184" s="34">
        <f t="shared" si="131"/>
        <v>9.67741935483871</v>
      </c>
    </row>
    <row r="4185" spans="1:14" x14ac:dyDescent="0.45">
      <c r="A4185" s="30">
        <v>2024</v>
      </c>
      <c r="B4185" s="30" t="s">
        <v>16</v>
      </c>
      <c r="C4185" s="30" t="s">
        <v>46</v>
      </c>
      <c r="D4185" s="30" t="s">
        <v>47</v>
      </c>
      <c r="E4185" s="32" t="s">
        <v>148</v>
      </c>
      <c r="F4185" s="32" t="s">
        <v>49</v>
      </c>
      <c r="G4185" s="32" t="s">
        <v>50</v>
      </c>
      <c r="H4185" s="33">
        <v>13370</v>
      </c>
      <c r="I4185" s="34">
        <f>Table3[[#This Row],[Volume, kg.]]/1000</f>
        <v>13.37</v>
      </c>
      <c r="J4185" s="34">
        <v>0.19600000000000001</v>
      </c>
      <c r="K4185" s="34">
        <f t="shared" si="130"/>
        <v>2620.52</v>
      </c>
      <c r="L4185" s="34">
        <v>2.1</v>
      </c>
      <c r="M4185" s="34">
        <v>28077</v>
      </c>
      <c r="N4185" s="34">
        <f t="shared" si="131"/>
        <v>10.714285714285714</v>
      </c>
    </row>
    <row r="4186" spans="1:14" x14ac:dyDescent="0.45">
      <c r="A4186" s="30">
        <v>2024</v>
      </c>
      <c r="B4186" s="30" t="s">
        <v>16</v>
      </c>
      <c r="C4186" s="30" t="s">
        <v>46</v>
      </c>
      <c r="D4186" s="30" t="s">
        <v>47</v>
      </c>
      <c r="E4186" s="32" t="s">
        <v>477</v>
      </c>
      <c r="F4186" s="32" t="s">
        <v>54</v>
      </c>
      <c r="G4186" s="32" t="s">
        <v>50</v>
      </c>
      <c r="H4186" s="33">
        <v>5650</v>
      </c>
      <c r="I4186" s="34">
        <f>Table3[[#This Row],[Volume, kg.]]/1000</f>
        <v>5.65</v>
      </c>
      <c r="J4186" s="34">
        <v>0.24050000000000002</v>
      </c>
      <c r="K4186" s="34">
        <f t="shared" si="130"/>
        <v>1358.825</v>
      </c>
      <c r="L4186" s="34">
        <v>2.4</v>
      </c>
      <c r="M4186" s="34">
        <v>13560</v>
      </c>
      <c r="N4186" s="34">
        <f t="shared" si="131"/>
        <v>9.979209979209978</v>
      </c>
    </row>
    <row r="4187" spans="1:14" x14ac:dyDescent="0.45">
      <c r="A4187" s="30">
        <v>2024</v>
      </c>
      <c r="B4187" s="30" t="s">
        <v>16</v>
      </c>
      <c r="C4187" s="30" t="s">
        <v>46</v>
      </c>
      <c r="D4187" s="30" t="s">
        <v>47</v>
      </c>
      <c r="E4187" s="32" t="s">
        <v>204</v>
      </c>
      <c r="F4187" s="32" t="s">
        <v>49</v>
      </c>
      <c r="G4187" s="32" t="s">
        <v>50</v>
      </c>
      <c r="H4187" s="33">
        <v>228960</v>
      </c>
      <c r="I4187" s="34">
        <f>Table3[[#This Row],[Volume, kg.]]/1000</f>
        <v>228.96</v>
      </c>
      <c r="J4187" s="34">
        <v>0.24879999999999999</v>
      </c>
      <c r="K4187" s="34">
        <f t="shared" si="130"/>
        <v>56965.248</v>
      </c>
      <c r="L4187" s="34">
        <v>2.4500000000000002</v>
      </c>
      <c r="M4187" s="34">
        <v>559892</v>
      </c>
      <c r="N4187" s="34">
        <f t="shared" si="131"/>
        <v>9.8472668810289399</v>
      </c>
    </row>
    <row r="4188" spans="1:14" x14ac:dyDescent="0.45">
      <c r="A4188" s="30">
        <v>2024</v>
      </c>
      <c r="B4188" s="30" t="s">
        <v>16</v>
      </c>
      <c r="C4188" s="30" t="s">
        <v>46</v>
      </c>
      <c r="D4188" s="30" t="s">
        <v>47</v>
      </c>
      <c r="E4188" s="32" t="s">
        <v>540</v>
      </c>
      <c r="F4188" s="32" t="s">
        <v>49</v>
      </c>
      <c r="G4188" s="32" t="s">
        <v>50</v>
      </c>
      <c r="H4188" s="33">
        <v>33570</v>
      </c>
      <c r="I4188" s="34">
        <f>Table3[[#This Row],[Volume, kg.]]/1000</f>
        <v>33.57</v>
      </c>
      <c r="J4188" s="34">
        <v>0.25829999999999997</v>
      </c>
      <c r="K4188" s="34">
        <f t="shared" si="130"/>
        <v>8671.1309999999994</v>
      </c>
      <c r="L4188" s="34">
        <v>2.41</v>
      </c>
      <c r="M4188" s="34">
        <v>80966.5</v>
      </c>
      <c r="N4188" s="34">
        <f t="shared" si="131"/>
        <v>9.3302361595044534</v>
      </c>
    </row>
    <row r="4189" spans="1:14" x14ac:dyDescent="0.45">
      <c r="A4189" s="30">
        <v>2024</v>
      </c>
      <c r="B4189" s="30" t="s">
        <v>16</v>
      </c>
      <c r="C4189" s="30" t="s">
        <v>46</v>
      </c>
      <c r="D4189" s="30" t="s">
        <v>102</v>
      </c>
      <c r="E4189" s="32" t="s">
        <v>378</v>
      </c>
      <c r="F4189" s="32" t="s">
        <v>81</v>
      </c>
      <c r="G4189" s="32" t="s">
        <v>50</v>
      </c>
      <c r="H4189" s="33">
        <v>41940</v>
      </c>
      <c r="I4189" s="34">
        <f>Table3[[#This Row],[Volume, kg.]]/1000</f>
        <v>41.94</v>
      </c>
      <c r="J4189" s="34">
        <v>0.2341</v>
      </c>
      <c r="K4189" s="34">
        <f t="shared" si="130"/>
        <v>9818.1540000000005</v>
      </c>
      <c r="L4189" s="34">
        <v>2.4300000000000002</v>
      </c>
      <c r="M4189" s="34">
        <v>101722</v>
      </c>
      <c r="N4189" s="34">
        <f t="shared" si="131"/>
        <v>10.38017941050833</v>
      </c>
    </row>
    <row r="4190" spans="1:14" x14ac:dyDescent="0.45">
      <c r="A4190" s="30">
        <v>2024</v>
      </c>
      <c r="B4190" s="30" t="s">
        <v>16</v>
      </c>
      <c r="C4190" s="30" t="s">
        <v>46</v>
      </c>
      <c r="D4190" s="30" t="s">
        <v>47</v>
      </c>
      <c r="E4190" s="32" t="s">
        <v>75</v>
      </c>
      <c r="F4190" s="32" t="s">
        <v>49</v>
      </c>
      <c r="G4190" s="32" t="s">
        <v>50</v>
      </c>
      <c r="H4190" s="33">
        <v>77550</v>
      </c>
      <c r="I4190" s="34">
        <f>Table3[[#This Row],[Volume, kg.]]/1000</f>
        <v>77.55</v>
      </c>
      <c r="J4190" s="34">
        <v>0.2445</v>
      </c>
      <c r="K4190" s="34">
        <f t="shared" si="130"/>
        <v>18960.974999999999</v>
      </c>
      <c r="L4190" s="34">
        <v>2.4300000000000002</v>
      </c>
      <c r="M4190" s="34">
        <v>188631.5</v>
      </c>
      <c r="N4190" s="34">
        <f t="shared" si="131"/>
        <v>9.9386503067484675</v>
      </c>
    </row>
    <row r="4191" spans="1:14" x14ac:dyDescent="0.45">
      <c r="A4191" s="30">
        <v>2024</v>
      </c>
      <c r="B4191" s="30" t="s">
        <v>16</v>
      </c>
      <c r="C4191" s="30" t="s">
        <v>46</v>
      </c>
      <c r="D4191" s="30" t="s">
        <v>47</v>
      </c>
      <c r="E4191" s="32" t="s">
        <v>97</v>
      </c>
      <c r="F4191" s="32" t="s">
        <v>49</v>
      </c>
      <c r="G4191" s="32" t="s">
        <v>50</v>
      </c>
      <c r="H4191" s="33">
        <v>141540</v>
      </c>
      <c r="I4191" s="34">
        <f>Table3[[#This Row],[Volume, kg.]]/1000</f>
        <v>141.54</v>
      </c>
      <c r="J4191" s="34">
        <v>0.24309999999999998</v>
      </c>
      <c r="K4191" s="34">
        <f t="shared" si="130"/>
        <v>34408.373999999996</v>
      </c>
      <c r="L4191" s="34">
        <v>2.42</v>
      </c>
      <c r="M4191" s="34">
        <v>343011.5</v>
      </c>
      <c r="N4191" s="34">
        <f t="shared" si="131"/>
        <v>9.9547511312217196</v>
      </c>
    </row>
    <row r="4192" spans="1:14" x14ac:dyDescent="0.45">
      <c r="A4192" s="30">
        <v>2024</v>
      </c>
      <c r="B4192" s="30" t="s">
        <v>16</v>
      </c>
      <c r="C4192" s="30" t="s">
        <v>46</v>
      </c>
      <c r="D4192" s="30" t="s">
        <v>47</v>
      </c>
      <c r="E4192" s="32" t="s">
        <v>355</v>
      </c>
      <c r="F4192" s="32" t="s">
        <v>60</v>
      </c>
      <c r="G4192" s="32" t="s">
        <v>50</v>
      </c>
      <c r="H4192" s="33">
        <v>108220</v>
      </c>
      <c r="I4192" s="34">
        <f>Table3[[#This Row],[Volume, kg.]]/1000</f>
        <v>108.22</v>
      </c>
      <c r="J4192" s="34">
        <v>0.23710000000000001</v>
      </c>
      <c r="K4192" s="34">
        <f t="shared" si="130"/>
        <v>25658.962</v>
      </c>
      <c r="L4192" s="34">
        <v>2.39</v>
      </c>
      <c r="M4192" s="34">
        <v>259112</v>
      </c>
      <c r="N4192" s="34">
        <f t="shared" si="131"/>
        <v>10.080134964150147</v>
      </c>
    </row>
    <row r="4193" spans="1:14" x14ac:dyDescent="0.45">
      <c r="A4193" s="30">
        <v>2024</v>
      </c>
      <c r="B4193" s="30" t="s">
        <v>16</v>
      </c>
      <c r="C4193" s="30" t="s">
        <v>46</v>
      </c>
      <c r="D4193" s="30" t="s">
        <v>47</v>
      </c>
      <c r="E4193" s="32" t="s">
        <v>96</v>
      </c>
      <c r="F4193" s="32" t="s">
        <v>49</v>
      </c>
      <c r="G4193" s="32" t="s">
        <v>50</v>
      </c>
      <c r="H4193" s="33">
        <v>95090</v>
      </c>
      <c r="I4193" s="34">
        <f>Table3[[#This Row],[Volume, kg.]]/1000</f>
        <v>95.09</v>
      </c>
      <c r="J4193" s="34">
        <v>0.23350000000000001</v>
      </c>
      <c r="K4193" s="34">
        <f t="shared" si="130"/>
        <v>22203.515000000003</v>
      </c>
      <c r="L4193" s="34">
        <v>2.37</v>
      </c>
      <c r="M4193" s="34">
        <v>225509</v>
      </c>
      <c r="N4193" s="34">
        <f t="shared" si="131"/>
        <v>10.149892933618844</v>
      </c>
    </row>
    <row r="4194" spans="1:14" x14ac:dyDescent="0.45">
      <c r="A4194" s="30">
        <v>2024</v>
      </c>
      <c r="B4194" s="30" t="s">
        <v>16</v>
      </c>
      <c r="C4194" s="30" t="s">
        <v>46</v>
      </c>
      <c r="D4194" s="30" t="s">
        <v>47</v>
      </c>
      <c r="E4194" s="32" t="s">
        <v>369</v>
      </c>
      <c r="F4194" s="32" t="s">
        <v>57</v>
      </c>
      <c r="G4194" s="32" t="s">
        <v>50</v>
      </c>
      <c r="H4194" s="33">
        <v>6640</v>
      </c>
      <c r="I4194" s="34">
        <f>Table3[[#This Row],[Volume, kg.]]/1000</f>
        <v>6.64</v>
      </c>
      <c r="J4194" s="34">
        <v>0.2495</v>
      </c>
      <c r="K4194" s="34">
        <f t="shared" si="130"/>
        <v>1656.68</v>
      </c>
      <c r="L4194" s="34">
        <v>2.5</v>
      </c>
      <c r="M4194" s="34">
        <v>16600</v>
      </c>
      <c r="N4194" s="34">
        <f t="shared" si="131"/>
        <v>10.020040080160321</v>
      </c>
    </row>
    <row r="4195" spans="1:14" x14ac:dyDescent="0.45">
      <c r="A4195" s="30">
        <v>2024</v>
      </c>
      <c r="B4195" s="30" t="s">
        <v>16</v>
      </c>
      <c r="C4195" s="30" t="s">
        <v>46</v>
      </c>
      <c r="D4195" s="30" t="s">
        <v>47</v>
      </c>
      <c r="E4195" s="32" t="s">
        <v>518</v>
      </c>
      <c r="F4195" s="32" t="s">
        <v>49</v>
      </c>
      <c r="G4195" s="32" t="s">
        <v>50</v>
      </c>
      <c r="H4195" s="33">
        <v>70440</v>
      </c>
      <c r="I4195" s="34">
        <f>Table3[[#This Row],[Volume, kg.]]/1000</f>
        <v>70.44</v>
      </c>
      <c r="J4195" s="34">
        <v>0.23190000000000002</v>
      </c>
      <c r="K4195" s="34">
        <f t="shared" si="130"/>
        <v>16335.036000000002</v>
      </c>
      <c r="L4195" s="34">
        <v>2.42</v>
      </c>
      <c r="M4195" s="34">
        <v>170192</v>
      </c>
      <c r="N4195" s="34">
        <f t="shared" si="131"/>
        <v>10.435532557136696</v>
      </c>
    </row>
    <row r="4196" spans="1:14" x14ac:dyDescent="0.45">
      <c r="A4196" s="30">
        <v>2024</v>
      </c>
      <c r="B4196" s="30" t="s">
        <v>16</v>
      </c>
      <c r="C4196" s="30" t="s">
        <v>46</v>
      </c>
      <c r="D4196" s="30" t="s">
        <v>47</v>
      </c>
      <c r="E4196" s="32" t="s">
        <v>87</v>
      </c>
      <c r="F4196" s="32" t="s">
        <v>49</v>
      </c>
      <c r="G4196" s="32" t="s">
        <v>50</v>
      </c>
      <c r="H4196" s="33">
        <v>21900</v>
      </c>
      <c r="I4196" s="34">
        <f>Table3[[#This Row],[Volume, kg.]]/1000</f>
        <v>21.9</v>
      </c>
      <c r="J4196" s="34">
        <v>0.23449999999999999</v>
      </c>
      <c r="K4196" s="34">
        <f t="shared" si="130"/>
        <v>5135.5499999999993</v>
      </c>
      <c r="L4196" s="34">
        <v>2.35</v>
      </c>
      <c r="M4196" s="34">
        <v>51543</v>
      </c>
      <c r="N4196" s="34">
        <f t="shared" si="131"/>
        <v>10.021321961620471</v>
      </c>
    </row>
    <row r="4197" spans="1:14" x14ac:dyDescent="0.45">
      <c r="A4197" s="30">
        <v>2024</v>
      </c>
      <c r="B4197" s="30" t="s">
        <v>16</v>
      </c>
      <c r="C4197" s="30" t="s">
        <v>46</v>
      </c>
      <c r="D4197" s="30" t="s">
        <v>47</v>
      </c>
      <c r="E4197" s="32" t="s">
        <v>155</v>
      </c>
      <c r="F4197" s="32" t="s">
        <v>64</v>
      </c>
      <c r="G4197" s="32" t="s">
        <v>50</v>
      </c>
      <c r="H4197" s="33">
        <v>25250</v>
      </c>
      <c r="I4197" s="34">
        <f>Table3[[#This Row],[Volume, kg.]]/1000</f>
        <v>25.25</v>
      </c>
      <c r="J4197" s="34">
        <v>0.2102</v>
      </c>
      <c r="K4197" s="34">
        <f t="shared" si="130"/>
        <v>5307.55</v>
      </c>
      <c r="L4197" s="34">
        <v>2.2999999999999998</v>
      </c>
      <c r="M4197" s="34">
        <v>58064.5</v>
      </c>
      <c r="N4197" s="34">
        <f t="shared" si="131"/>
        <v>10.941960038058991</v>
      </c>
    </row>
    <row r="4198" spans="1:14" x14ac:dyDescent="0.45">
      <c r="A4198" s="30">
        <v>2024</v>
      </c>
      <c r="B4198" s="30" t="s">
        <v>16</v>
      </c>
      <c r="C4198" s="30" t="s">
        <v>46</v>
      </c>
      <c r="D4198" s="30" t="s">
        <v>47</v>
      </c>
      <c r="E4198" s="32" t="s">
        <v>285</v>
      </c>
      <c r="F4198" s="32" t="s">
        <v>49</v>
      </c>
      <c r="G4198" s="32" t="s">
        <v>50</v>
      </c>
      <c r="H4198" s="33">
        <v>49050</v>
      </c>
      <c r="I4198" s="34">
        <f>Table3[[#This Row],[Volume, kg.]]/1000</f>
        <v>49.05</v>
      </c>
      <c r="J4198" s="34">
        <v>0.2465</v>
      </c>
      <c r="K4198" s="34">
        <f t="shared" si="130"/>
        <v>12090.825000000001</v>
      </c>
      <c r="L4198" s="34">
        <v>2.4</v>
      </c>
      <c r="M4198" s="34">
        <v>117890</v>
      </c>
      <c r="N4198" s="34">
        <f t="shared" si="131"/>
        <v>9.7363083164300193</v>
      </c>
    </row>
    <row r="4199" spans="1:14" x14ac:dyDescent="0.45">
      <c r="A4199" s="30">
        <v>2024</v>
      </c>
      <c r="B4199" s="30" t="s">
        <v>16</v>
      </c>
      <c r="C4199" s="30" t="s">
        <v>46</v>
      </c>
      <c r="D4199" s="30" t="s">
        <v>47</v>
      </c>
      <c r="E4199" s="32" t="s">
        <v>404</v>
      </c>
      <c r="F4199" s="32" t="s">
        <v>60</v>
      </c>
      <c r="G4199" s="32" t="s">
        <v>50</v>
      </c>
      <c r="H4199" s="33">
        <v>7080</v>
      </c>
      <c r="I4199" s="34">
        <f>Table3[[#This Row],[Volume, kg.]]/1000</f>
        <v>7.08</v>
      </c>
      <c r="J4199" s="34">
        <v>0.249</v>
      </c>
      <c r="K4199" s="34">
        <f t="shared" si="130"/>
        <v>1762.92</v>
      </c>
      <c r="L4199" s="34">
        <v>2.35</v>
      </c>
      <c r="M4199" s="34">
        <v>16638</v>
      </c>
      <c r="N4199" s="34">
        <f t="shared" si="131"/>
        <v>9.4377510040160644</v>
      </c>
    </row>
    <row r="4200" spans="1:14" x14ac:dyDescent="0.45">
      <c r="A4200" s="30">
        <v>2024</v>
      </c>
      <c r="B4200" s="30" t="s">
        <v>16</v>
      </c>
      <c r="C4200" s="30" t="s">
        <v>46</v>
      </c>
      <c r="D4200" s="30" t="s">
        <v>47</v>
      </c>
      <c r="E4200" s="32" t="s">
        <v>254</v>
      </c>
      <c r="F4200" s="32" t="s">
        <v>49</v>
      </c>
      <c r="G4200" s="32" t="s">
        <v>50</v>
      </c>
      <c r="H4200" s="33">
        <v>51950</v>
      </c>
      <c r="I4200" s="34">
        <f>Table3[[#This Row],[Volume, kg.]]/1000</f>
        <v>51.95</v>
      </c>
      <c r="J4200" s="34">
        <v>0.23519999999999999</v>
      </c>
      <c r="K4200" s="34">
        <f t="shared" si="130"/>
        <v>12218.64</v>
      </c>
      <c r="L4200" s="34">
        <v>2.39</v>
      </c>
      <c r="M4200" s="34">
        <v>124008.5</v>
      </c>
      <c r="N4200" s="34">
        <f t="shared" si="131"/>
        <v>10.161564625850341</v>
      </c>
    </row>
    <row r="4201" spans="1:14" x14ac:dyDescent="0.45">
      <c r="A4201" s="30">
        <v>2024</v>
      </c>
      <c r="B4201" s="30" t="s">
        <v>16</v>
      </c>
      <c r="C4201" s="30" t="s">
        <v>46</v>
      </c>
      <c r="D4201" s="30" t="s">
        <v>47</v>
      </c>
      <c r="E4201" s="32" t="s">
        <v>508</v>
      </c>
      <c r="F4201" s="32" t="s">
        <v>60</v>
      </c>
      <c r="G4201" s="32" t="s">
        <v>50</v>
      </c>
      <c r="H4201" s="33">
        <v>40500</v>
      </c>
      <c r="I4201" s="34">
        <f>Table3[[#This Row],[Volume, kg.]]/1000</f>
        <v>40.5</v>
      </c>
      <c r="J4201" s="34">
        <v>0.2505</v>
      </c>
      <c r="K4201" s="34">
        <f t="shared" si="130"/>
        <v>10145.25</v>
      </c>
      <c r="L4201" s="34">
        <v>2.5</v>
      </c>
      <c r="M4201" s="34">
        <v>101250</v>
      </c>
      <c r="N4201" s="34">
        <f t="shared" si="131"/>
        <v>9.9800399201596814</v>
      </c>
    </row>
    <row r="4202" spans="1:14" x14ac:dyDescent="0.45">
      <c r="A4202" s="30">
        <v>2024</v>
      </c>
      <c r="B4202" s="30" t="s">
        <v>16</v>
      </c>
      <c r="C4202" s="30" t="s">
        <v>46</v>
      </c>
      <c r="D4202" s="30" t="s">
        <v>47</v>
      </c>
      <c r="E4202" s="32" t="s">
        <v>314</v>
      </c>
      <c r="F4202" s="32" t="s">
        <v>57</v>
      </c>
      <c r="G4202" s="32" t="s">
        <v>50</v>
      </c>
      <c r="H4202" s="33">
        <v>96700</v>
      </c>
      <c r="I4202" s="34">
        <f>Table3[[#This Row],[Volume, kg.]]/1000</f>
        <v>96.7</v>
      </c>
      <c r="J4202" s="34">
        <v>0.2339</v>
      </c>
      <c r="K4202" s="34">
        <f t="shared" si="130"/>
        <v>22618.13</v>
      </c>
      <c r="L4202" s="34">
        <v>2.35</v>
      </c>
      <c r="M4202" s="34">
        <v>227209</v>
      </c>
      <c r="N4202" s="34">
        <f t="shared" si="131"/>
        <v>10.047028644719965</v>
      </c>
    </row>
    <row r="4203" spans="1:14" x14ac:dyDescent="0.45">
      <c r="A4203" s="30">
        <v>2024</v>
      </c>
      <c r="B4203" s="30" t="s">
        <v>16</v>
      </c>
      <c r="C4203" s="30" t="s">
        <v>46</v>
      </c>
      <c r="D4203" s="30" t="s">
        <v>47</v>
      </c>
      <c r="E4203" s="32" t="s">
        <v>453</v>
      </c>
      <c r="F4203" s="32" t="s">
        <v>57</v>
      </c>
      <c r="G4203" s="32" t="s">
        <v>50</v>
      </c>
      <c r="H4203" s="33">
        <v>98700</v>
      </c>
      <c r="I4203" s="34">
        <f>Table3[[#This Row],[Volume, kg.]]/1000</f>
        <v>98.7</v>
      </c>
      <c r="J4203" s="34">
        <v>0.26629999999999998</v>
      </c>
      <c r="K4203" s="34">
        <f t="shared" si="130"/>
        <v>26283.809999999998</v>
      </c>
      <c r="L4203" s="34">
        <v>2.5299999999999998</v>
      </c>
      <c r="M4203" s="34">
        <v>249223.5</v>
      </c>
      <c r="N4203" s="34">
        <f t="shared" si="131"/>
        <v>9.50056327450244</v>
      </c>
    </row>
    <row r="4204" spans="1:14" x14ac:dyDescent="0.45">
      <c r="A4204" s="30">
        <v>2024</v>
      </c>
      <c r="B4204" s="30" t="s">
        <v>16</v>
      </c>
      <c r="C4204" s="30" t="s">
        <v>46</v>
      </c>
      <c r="D4204" s="30" t="s">
        <v>47</v>
      </c>
      <c r="E4204" s="32" t="s">
        <v>227</v>
      </c>
      <c r="F4204" s="32" t="s">
        <v>57</v>
      </c>
      <c r="G4204" s="32" t="s">
        <v>50</v>
      </c>
      <c r="H4204" s="33">
        <v>60160</v>
      </c>
      <c r="I4204" s="34">
        <f>Table3[[#This Row],[Volume, kg.]]/1000</f>
        <v>60.16</v>
      </c>
      <c r="J4204" s="34">
        <v>0.24079999999999999</v>
      </c>
      <c r="K4204" s="34">
        <f t="shared" si="130"/>
        <v>14486.527999999998</v>
      </c>
      <c r="L4204" s="34">
        <v>2.4</v>
      </c>
      <c r="M4204" s="34">
        <v>144663.5</v>
      </c>
      <c r="N4204" s="34">
        <f t="shared" si="131"/>
        <v>9.9667774086378742</v>
      </c>
    </row>
    <row r="4205" spans="1:14" x14ac:dyDescent="0.45">
      <c r="A4205" s="30">
        <v>2024</v>
      </c>
      <c r="B4205" s="30" t="s">
        <v>16</v>
      </c>
      <c r="C4205" s="30" t="s">
        <v>46</v>
      </c>
      <c r="D4205" s="30" t="s">
        <v>47</v>
      </c>
      <c r="E4205" s="32" t="s">
        <v>509</v>
      </c>
      <c r="F4205" s="32" t="s">
        <v>49</v>
      </c>
      <c r="G4205" s="32" t="s">
        <v>50</v>
      </c>
      <c r="H4205" s="33">
        <v>46950</v>
      </c>
      <c r="I4205" s="34">
        <f>Table3[[#This Row],[Volume, kg.]]/1000</f>
        <v>46.95</v>
      </c>
      <c r="J4205" s="34">
        <v>0.25269999999999998</v>
      </c>
      <c r="K4205" s="34">
        <f t="shared" si="130"/>
        <v>11864.264999999999</v>
      </c>
      <c r="L4205" s="34">
        <v>2.38</v>
      </c>
      <c r="M4205" s="34">
        <v>111953.5</v>
      </c>
      <c r="N4205" s="34">
        <f t="shared" si="131"/>
        <v>9.418282548476455</v>
      </c>
    </row>
    <row r="4206" spans="1:14" x14ac:dyDescent="0.45">
      <c r="A4206" s="30">
        <v>2024</v>
      </c>
      <c r="B4206" s="30" t="s">
        <v>16</v>
      </c>
      <c r="C4206" s="30" t="s">
        <v>46</v>
      </c>
      <c r="D4206" s="30" t="s">
        <v>47</v>
      </c>
      <c r="E4206" s="32" t="s">
        <v>66</v>
      </c>
      <c r="F4206" s="32" t="s">
        <v>49</v>
      </c>
      <c r="G4206" s="32" t="s">
        <v>50</v>
      </c>
      <c r="H4206" s="33">
        <v>49390</v>
      </c>
      <c r="I4206" s="34">
        <f>Table3[[#This Row],[Volume, kg.]]/1000</f>
        <v>49.39</v>
      </c>
      <c r="J4206" s="34">
        <v>0.22030000000000002</v>
      </c>
      <c r="K4206" s="34">
        <f t="shared" si="130"/>
        <v>10880.617000000002</v>
      </c>
      <c r="L4206" s="34">
        <v>2.2999999999999998</v>
      </c>
      <c r="M4206" s="34">
        <v>113548</v>
      </c>
      <c r="N4206" s="34">
        <f t="shared" si="131"/>
        <v>10.440308669995458</v>
      </c>
    </row>
    <row r="4207" spans="1:14" x14ac:dyDescent="0.45">
      <c r="A4207" s="30">
        <v>2024</v>
      </c>
      <c r="B4207" s="30" t="s">
        <v>16</v>
      </c>
      <c r="C4207" s="30" t="s">
        <v>46</v>
      </c>
      <c r="D4207" s="30" t="s">
        <v>47</v>
      </c>
      <c r="E4207" s="32" t="s">
        <v>159</v>
      </c>
      <c r="F4207" s="32" t="s">
        <v>81</v>
      </c>
      <c r="G4207" s="32" t="s">
        <v>50</v>
      </c>
      <c r="H4207" s="33">
        <v>53270</v>
      </c>
      <c r="I4207" s="34">
        <f>Table3[[#This Row],[Volume, kg.]]/1000</f>
        <v>53.27</v>
      </c>
      <c r="J4207" s="34">
        <v>0.22390000000000002</v>
      </c>
      <c r="K4207" s="34">
        <f t="shared" si="130"/>
        <v>11927.153</v>
      </c>
      <c r="L4207" s="34">
        <v>2.27</v>
      </c>
      <c r="M4207" s="34">
        <v>121112.5</v>
      </c>
      <c r="N4207" s="34">
        <f t="shared" si="131"/>
        <v>10.13845466726217</v>
      </c>
    </row>
    <row r="4208" spans="1:14" x14ac:dyDescent="0.45">
      <c r="A4208" s="30">
        <v>2024</v>
      </c>
      <c r="B4208" s="30" t="s">
        <v>16</v>
      </c>
      <c r="C4208" s="30" t="s">
        <v>46</v>
      </c>
      <c r="D4208" s="30" t="s">
        <v>47</v>
      </c>
      <c r="E4208" s="32" t="s">
        <v>61</v>
      </c>
      <c r="F4208" s="32" t="s">
        <v>57</v>
      </c>
      <c r="G4208" s="32" t="s">
        <v>50</v>
      </c>
      <c r="H4208" s="33">
        <v>7360</v>
      </c>
      <c r="I4208" s="34">
        <f>Table3[[#This Row],[Volume, kg.]]/1000</f>
        <v>7.36</v>
      </c>
      <c r="J4208" s="34">
        <v>0.26300000000000001</v>
      </c>
      <c r="K4208" s="34">
        <f t="shared" si="130"/>
        <v>1935.68</v>
      </c>
      <c r="L4208" s="34">
        <v>2.5</v>
      </c>
      <c r="M4208" s="34">
        <v>18400</v>
      </c>
      <c r="N4208" s="34">
        <f t="shared" si="131"/>
        <v>9.5057034220532319</v>
      </c>
    </row>
    <row r="4209" spans="1:14" x14ac:dyDescent="0.45">
      <c r="A4209" s="30">
        <v>2024</v>
      </c>
      <c r="B4209" s="30" t="s">
        <v>16</v>
      </c>
      <c r="C4209" s="30" t="s">
        <v>46</v>
      </c>
      <c r="D4209" s="30" t="s">
        <v>47</v>
      </c>
      <c r="E4209" s="32" t="s">
        <v>101</v>
      </c>
      <c r="F4209" s="32" t="s">
        <v>64</v>
      </c>
      <c r="G4209" s="32" t="s">
        <v>50</v>
      </c>
      <c r="H4209" s="33">
        <v>23230</v>
      </c>
      <c r="I4209" s="34">
        <f>Table3[[#This Row],[Volume, kg.]]/1000</f>
        <v>23.23</v>
      </c>
      <c r="J4209" s="34">
        <v>0.2636</v>
      </c>
      <c r="K4209" s="34">
        <f t="shared" si="130"/>
        <v>6123.4279999999999</v>
      </c>
      <c r="L4209" s="34">
        <v>2.57</v>
      </c>
      <c r="M4209" s="34">
        <v>59806</v>
      </c>
      <c r="N4209" s="34">
        <f t="shared" si="131"/>
        <v>9.7496206373292864</v>
      </c>
    </row>
    <row r="4210" spans="1:14" x14ac:dyDescent="0.45">
      <c r="A4210" s="30">
        <v>2024</v>
      </c>
      <c r="B4210" s="30" t="s">
        <v>16</v>
      </c>
      <c r="C4210" s="30" t="s">
        <v>46</v>
      </c>
      <c r="D4210" s="30" t="s">
        <v>47</v>
      </c>
      <c r="E4210" s="32" t="s">
        <v>146</v>
      </c>
      <c r="F4210" s="32" t="s">
        <v>64</v>
      </c>
      <c r="G4210" s="32" t="s">
        <v>50</v>
      </c>
      <c r="H4210" s="33">
        <v>23000</v>
      </c>
      <c r="I4210" s="34">
        <f>Table3[[#This Row],[Volume, kg.]]/1000</f>
        <v>23</v>
      </c>
      <c r="J4210" s="34">
        <v>0.23480000000000001</v>
      </c>
      <c r="K4210" s="34">
        <f t="shared" si="130"/>
        <v>5400.4000000000005</v>
      </c>
      <c r="L4210" s="34">
        <v>2.42</v>
      </c>
      <c r="M4210" s="34">
        <v>55721</v>
      </c>
      <c r="N4210" s="34">
        <f t="shared" si="131"/>
        <v>10.306643952299829</v>
      </c>
    </row>
    <row r="4211" spans="1:14" x14ac:dyDescent="0.45">
      <c r="A4211" s="30">
        <v>2024</v>
      </c>
      <c r="B4211" s="30" t="s">
        <v>16</v>
      </c>
      <c r="C4211" s="30" t="s">
        <v>46</v>
      </c>
      <c r="D4211" s="30" t="s">
        <v>47</v>
      </c>
      <c r="E4211" s="32" t="s">
        <v>255</v>
      </c>
      <c r="F4211" s="32" t="s">
        <v>60</v>
      </c>
      <c r="G4211" s="32" t="s">
        <v>50</v>
      </c>
      <c r="H4211" s="33">
        <v>62710</v>
      </c>
      <c r="I4211" s="34">
        <f>Table3[[#This Row],[Volume, kg.]]/1000</f>
        <v>62.71</v>
      </c>
      <c r="J4211" s="34">
        <v>0.2495</v>
      </c>
      <c r="K4211" s="34">
        <f t="shared" si="130"/>
        <v>15646.145</v>
      </c>
      <c r="L4211" s="34">
        <v>2.41</v>
      </c>
      <c r="M4211" s="34">
        <v>151296</v>
      </c>
      <c r="N4211" s="34">
        <f t="shared" si="131"/>
        <v>9.6593186372745503</v>
      </c>
    </row>
    <row r="4212" spans="1:14" x14ac:dyDescent="0.45">
      <c r="A4212" s="30">
        <v>2024</v>
      </c>
      <c r="B4212" s="30" t="s">
        <v>16</v>
      </c>
      <c r="C4212" s="30" t="s">
        <v>46</v>
      </c>
      <c r="D4212" s="30" t="s">
        <v>47</v>
      </c>
      <c r="E4212" s="32" t="s">
        <v>309</v>
      </c>
      <c r="F4212" s="32" t="s">
        <v>81</v>
      </c>
      <c r="G4212" s="32" t="s">
        <v>50</v>
      </c>
      <c r="H4212" s="33">
        <v>26740</v>
      </c>
      <c r="I4212" s="34">
        <f>Table3[[#This Row],[Volume, kg.]]/1000</f>
        <v>26.74</v>
      </c>
      <c r="J4212" s="34">
        <v>0.20379999999999998</v>
      </c>
      <c r="K4212" s="34">
        <f t="shared" si="130"/>
        <v>5449.6119999999992</v>
      </c>
      <c r="L4212" s="34">
        <v>2.15</v>
      </c>
      <c r="M4212" s="34">
        <v>57393</v>
      </c>
      <c r="N4212" s="34">
        <f t="shared" si="131"/>
        <v>10.549558390579</v>
      </c>
    </row>
    <row r="4213" spans="1:14" x14ac:dyDescent="0.45">
      <c r="A4213" s="30">
        <v>2024</v>
      </c>
      <c r="B4213" s="30" t="s">
        <v>16</v>
      </c>
      <c r="C4213" s="30" t="s">
        <v>46</v>
      </c>
      <c r="D4213" s="30" t="s">
        <v>47</v>
      </c>
      <c r="E4213" s="32" t="s">
        <v>510</v>
      </c>
      <c r="F4213" s="32" t="s">
        <v>49</v>
      </c>
      <c r="G4213" s="32" t="s">
        <v>50</v>
      </c>
      <c r="H4213" s="33">
        <v>43330</v>
      </c>
      <c r="I4213" s="34">
        <f>Table3[[#This Row],[Volume, kg.]]/1000</f>
        <v>43.33</v>
      </c>
      <c r="J4213" s="34">
        <v>0.2394</v>
      </c>
      <c r="K4213" s="34">
        <f t="shared" si="130"/>
        <v>10373.201999999999</v>
      </c>
      <c r="L4213" s="34">
        <v>2.33</v>
      </c>
      <c r="M4213" s="34">
        <v>101042</v>
      </c>
      <c r="N4213" s="34">
        <f t="shared" si="131"/>
        <v>9.7326649958228906</v>
      </c>
    </row>
    <row r="4214" spans="1:14" x14ac:dyDescent="0.45">
      <c r="A4214" s="30">
        <v>2024</v>
      </c>
      <c r="B4214" s="30" t="s">
        <v>16</v>
      </c>
      <c r="C4214" s="30" t="s">
        <v>46</v>
      </c>
      <c r="D4214" s="30" t="s">
        <v>47</v>
      </c>
      <c r="E4214" s="32" t="s">
        <v>136</v>
      </c>
      <c r="F4214" s="32" t="s">
        <v>49</v>
      </c>
      <c r="G4214" s="32" t="s">
        <v>50</v>
      </c>
      <c r="H4214" s="33">
        <v>63600</v>
      </c>
      <c r="I4214" s="34">
        <f>Table3[[#This Row],[Volume, kg.]]/1000</f>
        <v>63.6</v>
      </c>
      <c r="J4214" s="34">
        <v>0.24840000000000001</v>
      </c>
      <c r="K4214" s="34">
        <f t="shared" si="130"/>
        <v>15798.24</v>
      </c>
      <c r="L4214" s="34">
        <v>2.42</v>
      </c>
      <c r="M4214" s="34">
        <v>153692</v>
      </c>
      <c r="N4214" s="34">
        <f t="shared" si="131"/>
        <v>9.7423510466988716</v>
      </c>
    </row>
    <row r="4215" spans="1:14" x14ac:dyDescent="0.45">
      <c r="A4215" s="30">
        <v>2024</v>
      </c>
      <c r="B4215" s="30" t="s">
        <v>16</v>
      </c>
      <c r="C4215" s="30" t="s">
        <v>46</v>
      </c>
      <c r="D4215" s="30" t="s">
        <v>47</v>
      </c>
      <c r="E4215" s="32" t="s">
        <v>53</v>
      </c>
      <c r="F4215" s="32" t="s">
        <v>54</v>
      </c>
      <c r="G4215" s="32" t="s">
        <v>50</v>
      </c>
      <c r="H4215" s="33">
        <v>81510</v>
      </c>
      <c r="I4215" s="34">
        <f>Table3[[#This Row],[Volume, kg.]]/1000</f>
        <v>81.510000000000005</v>
      </c>
      <c r="J4215" s="34">
        <v>0.24719999999999998</v>
      </c>
      <c r="K4215" s="34">
        <f t="shared" si="130"/>
        <v>20149.271999999997</v>
      </c>
      <c r="L4215" s="34">
        <v>2.44</v>
      </c>
      <c r="M4215" s="34">
        <v>198916.5</v>
      </c>
      <c r="N4215" s="34">
        <f t="shared" si="131"/>
        <v>9.8705501618122984</v>
      </c>
    </row>
    <row r="4216" spans="1:14" x14ac:dyDescent="0.45">
      <c r="A4216" s="30">
        <v>2024</v>
      </c>
      <c r="B4216" s="30" t="s">
        <v>16</v>
      </c>
      <c r="C4216" s="30" t="s">
        <v>46</v>
      </c>
      <c r="D4216" s="30" t="s">
        <v>47</v>
      </c>
      <c r="E4216" s="32" t="s">
        <v>120</v>
      </c>
      <c r="F4216" s="32" t="s">
        <v>49</v>
      </c>
      <c r="G4216" s="32" t="s">
        <v>50</v>
      </c>
      <c r="H4216" s="33">
        <v>36340</v>
      </c>
      <c r="I4216" s="34">
        <f>Table3[[#This Row],[Volume, kg.]]/1000</f>
        <v>36.340000000000003</v>
      </c>
      <c r="J4216" s="34">
        <v>0.2495</v>
      </c>
      <c r="K4216" s="34">
        <f t="shared" si="130"/>
        <v>9066.83</v>
      </c>
      <c r="L4216" s="34">
        <v>2.42</v>
      </c>
      <c r="M4216" s="34">
        <v>88099.5</v>
      </c>
      <c r="N4216" s="34">
        <f t="shared" si="131"/>
        <v>9.6993987975951903</v>
      </c>
    </row>
    <row r="4217" spans="1:14" x14ac:dyDescent="0.45">
      <c r="A4217" s="30">
        <v>2024</v>
      </c>
      <c r="B4217" s="30" t="s">
        <v>16</v>
      </c>
      <c r="C4217" s="30" t="s">
        <v>46</v>
      </c>
      <c r="D4217" s="30" t="s">
        <v>47</v>
      </c>
      <c r="E4217" s="32" t="s">
        <v>151</v>
      </c>
      <c r="F4217" s="32" t="s">
        <v>60</v>
      </c>
      <c r="G4217" s="32" t="s">
        <v>50</v>
      </c>
      <c r="H4217" s="33">
        <v>84840</v>
      </c>
      <c r="I4217" s="34">
        <f>Table3[[#This Row],[Volume, kg.]]/1000</f>
        <v>84.84</v>
      </c>
      <c r="J4217" s="34">
        <v>0.2407</v>
      </c>
      <c r="K4217" s="34">
        <f t="shared" si="130"/>
        <v>20420.988000000001</v>
      </c>
      <c r="L4217" s="34">
        <v>2.4</v>
      </c>
      <c r="M4217" s="34">
        <v>203647</v>
      </c>
      <c r="N4217" s="34">
        <f t="shared" si="131"/>
        <v>9.9709181553801418</v>
      </c>
    </row>
    <row r="4218" spans="1:14" x14ac:dyDescent="0.45">
      <c r="A4218" s="30">
        <v>2024</v>
      </c>
      <c r="B4218" s="30" t="s">
        <v>16</v>
      </c>
      <c r="C4218" s="30" t="s">
        <v>46</v>
      </c>
      <c r="D4218" s="30" t="s">
        <v>47</v>
      </c>
      <c r="E4218" s="32" t="s">
        <v>130</v>
      </c>
      <c r="F4218" s="32" t="s">
        <v>64</v>
      </c>
      <c r="G4218" s="32" t="s">
        <v>50</v>
      </c>
      <c r="H4218" s="33">
        <v>44430</v>
      </c>
      <c r="I4218" s="34">
        <f>Table3[[#This Row],[Volume, kg.]]/1000</f>
        <v>44.43</v>
      </c>
      <c r="J4218" s="34">
        <v>0.24609999999999999</v>
      </c>
      <c r="K4218" s="34">
        <f t="shared" si="130"/>
        <v>10934.223</v>
      </c>
      <c r="L4218" s="34">
        <v>2.48</v>
      </c>
      <c r="M4218" s="34">
        <v>110256</v>
      </c>
      <c r="N4218" s="34">
        <f t="shared" si="131"/>
        <v>10.077204388459975</v>
      </c>
    </row>
    <row r="4219" spans="1:14" x14ac:dyDescent="0.45">
      <c r="A4219" s="30">
        <v>2024</v>
      </c>
      <c r="B4219" s="30" t="s">
        <v>16</v>
      </c>
      <c r="C4219" s="30" t="s">
        <v>46</v>
      </c>
      <c r="D4219" s="30" t="s">
        <v>47</v>
      </c>
      <c r="E4219" s="32" t="s">
        <v>422</v>
      </c>
      <c r="F4219" s="32" t="s">
        <v>134</v>
      </c>
      <c r="G4219" s="32" t="s">
        <v>50</v>
      </c>
      <c r="H4219" s="33">
        <v>10430</v>
      </c>
      <c r="I4219" s="34">
        <f>Table3[[#This Row],[Volume, kg.]]/1000</f>
        <v>10.43</v>
      </c>
      <c r="J4219" s="34">
        <v>0.215</v>
      </c>
      <c r="K4219" s="34">
        <f t="shared" si="130"/>
        <v>2242.4499999999998</v>
      </c>
      <c r="L4219" s="34">
        <v>2.35</v>
      </c>
      <c r="M4219" s="34">
        <v>24510.5</v>
      </c>
      <c r="N4219" s="34">
        <f t="shared" si="131"/>
        <v>10.930232558139535</v>
      </c>
    </row>
    <row r="4220" spans="1:14" x14ac:dyDescent="0.45">
      <c r="A4220" s="30">
        <v>2024</v>
      </c>
      <c r="B4220" s="30" t="s">
        <v>16</v>
      </c>
      <c r="C4220" s="30" t="s">
        <v>46</v>
      </c>
      <c r="D4220" s="30" t="s">
        <v>47</v>
      </c>
      <c r="E4220" s="32" t="s">
        <v>351</v>
      </c>
      <c r="F4220" s="32" t="s">
        <v>49</v>
      </c>
      <c r="G4220" s="32" t="s">
        <v>50</v>
      </c>
      <c r="H4220" s="33">
        <v>87280</v>
      </c>
      <c r="I4220" s="34">
        <f>Table3[[#This Row],[Volume, kg.]]/1000</f>
        <v>87.28</v>
      </c>
      <c r="J4220" s="34">
        <v>0.2266</v>
      </c>
      <c r="K4220" s="34">
        <f t="shared" si="130"/>
        <v>19777.648000000001</v>
      </c>
      <c r="L4220" s="34">
        <v>2.29</v>
      </c>
      <c r="M4220" s="34">
        <v>200073.5</v>
      </c>
      <c r="N4220" s="34">
        <f t="shared" si="131"/>
        <v>10.105913503971756</v>
      </c>
    </row>
    <row r="4221" spans="1:14" x14ac:dyDescent="0.45">
      <c r="A4221" s="30">
        <v>2024</v>
      </c>
      <c r="B4221" s="30" t="s">
        <v>16</v>
      </c>
      <c r="C4221" s="30" t="s">
        <v>46</v>
      </c>
      <c r="D4221" s="30" t="s">
        <v>47</v>
      </c>
      <c r="E4221" s="32" t="s">
        <v>133</v>
      </c>
      <c r="F4221" s="32" t="s">
        <v>134</v>
      </c>
      <c r="G4221" s="32" t="s">
        <v>50</v>
      </c>
      <c r="H4221" s="33">
        <v>102410</v>
      </c>
      <c r="I4221" s="34">
        <f>Table3[[#This Row],[Volume, kg.]]/1000</f>
        <v>102.41</v>
      </c>
      <c r="J4221" s="34">
        <v>0.22320000000000001</v>
      </c>
      <c r="K4221" s="34">
        <f t="shared" si="130"/>
        <v>22857.912</v>
      </c>
      <c r="L4221" s="34">
        <v>2.36</v>
      </c>
      <c r="M4221" s="34">
        <v>241642.5</v>
      </c>
      <c r="N4221" s="34">
        <f t="shared" si="131"/>
        <v>10.573476702508959</v>
      </c>
    </row>
    <row r="4222" spans="1:14" x14ac:dyDescent="0.45">
      <c r="A4222" s="30">
        <v>2024</v>
      </c>
      <c r="B4222" s="30" t="s">
        <v>16</v>
      </c>
      <c r="C4222" s="30" t="s">
        <v>46</v>
      </c>
      <c r="D4222" s="30" t="s">
        <v>47</v>
      </c>
      <c r="E4222" s="32" t="s">
        <v>682</v>
      </c>
      <c r="F4222" s="32" t="s">
        <v>223</v>
      </c>
      <c r="G4222" s="32" t="s">
        <v>50</v>
      </c>
      <c r="H4222" s="33">
        <v>18850</v>
      </c>
      <c r="I4222" s="34">
        <f>Table3[[#This Row],[Volume, kg.]]/1000</f>
        <v>18.850000000000001</v>
      </c>
      <c r="J4222" s="34">
        <v>0.2286</v>
      </c>
      <c r="K4222" s="34">
        <f t="shared" si="130"/>
        <v>4309.1099999999997</v>
      </c>
      <c r="L4222" s="34">
        <v>2.4</v>
      </c>
      <c r="M4222" s="34">
        <v>45240</v>
      </c>
      <c r="N4222" s="34">
        <f t="shared" si="131"/>
        <v>10.498687664041995</v>
      </c>
    </row>
    <row r="4223" spans="1:14" x14ac:dyDescent="0.45">
      <c r="A4223" s="30">
        <v>2024</v>
      </c>
      <c r="B4223" s="30" t="s">
        <v>16</v>
      </c>
      <c r="C4223" s="30" t="s">
        <v>46</v>
      </c>
      <c r="D4223" s="30" t="s">
        <v>47</v>
      </c>
      <c r="E4223" s="32" t="s">
        <v>78</v>
      </c>
      <c r="F4223" s="32" t="s">
        <v>49</v>
      </c>
      <c r="G4223" s="32" t="s">
        <v>50</v>
      </c>
      <c r="H4223" s="33">
        <v>11860</v>
      </c>
      <c r="I4223" s="34">
        <f>Table3[[#This Row],[Volume, kg.]]/1000</f>
        <v>11.86</v>
      </c>
      <c r="J4223" s="34">
        <v>0.22460000000000002</v>
      </c>
      <c r="K4223" s="34">
        <f t="shared" si="130"/>
        <v>2663.7560000000003</v>
      </c>
      <c r="L4223" s="34">
        <v>2.2200000000000002</v>
      </c>
      <c r="M4223" s="34">
        <v>26361.5</v>
      </c>
      <c r="N4223" s="34">
        <f t="shared" si="131"/>
        <v>9.8842386464826362</v>
      </c>
    </row>
    <row r="4224" spans="1:14" x14ac:dyDescent="0.45">
      <c r="A4224" s="30">
        <v>2024</v>
      </c>
      <c r="B4224" s="30" t="s">
        <v>16</v>
      </c>
      <c r="C4224" s="30" t="s">
        <v>46</v>
      </c>
      <c r="D4224" s="30" t="s">
        <v>47</v>
      </c>
      <c r="E4224" s="32" t="s">
        <v>252</v>
      </c>
      <c r="F4224" s="32" t="s">
        <v>49</v>
      </c>
      <c r="G4224" s="32" t="s">
        <v>50</v>
      </c>
      <c r="H4224" s="33">
        <v>46070</v>
      </c>
      <c r="I4224" s="34">
        <f>Table3[[#This Row],[Volume, kg.]]/1000</f>
        <v>46.07</v>
      </c>
      <c r="J4224" s="34">
        <v>0.25079999999999997</v>
      </c>
      <c r="K4224" s="34">
        <f t="shared" si="130"/>
        <v>11554.355999999998</v>
      </c>
      <c r="L4224" s="34">
        <v>2.4500000000000002</v>
      </c>
      <c r="M4224" s="34">
        <v>112896.5</v>
      </c>
      <c r="N4224" s="34">
        <f t="shared" si="131"/>
        <v>9.7687400318979289</v>
      </c>
    </row>
    <row r="4225" spans="1:14" x14ac:dyDescent="0.45">
      <c r="A4225" s="30">
        <v>2024</v>
      </c>
      <c r="B4225" s="30" t="s">
        <v>16</v>
      </c>
      <c r="C4225" s="30" t="s">
        <v>46</v>
      </c>
      <c r="D4225" s="30" t="s">
        <v>47</v>
      </c>
      <c r="E4225" s="32" t="s">
        <v>95</v>
      </c>
      <c r="F4225" s="32" t="s">
        <v>49</v>
      </c>
      <c r="G4225" s="32" t="s">
        <v>50</v>
      </c>
      <c r="H4225" s="33">
        <v>3590</v>
      </c>
      <c r="I4225" s="34">
        <f>Table3[[#This Row],[Volume, kg.]]/1000</f>
        <v>3.59</v>
      </c>
      <c r="J4225" s="34">
        <v>0.23550000000000001</v>
      </c>
      <c r="K4225" s="34">
        <f t="shared" si="130"/>
        <v>845.44500000000005</v>
      </c>
      <c r="L4225" s="34">
        <v>2.4500000000000002</v>
      </c>
      <c r="M4225" s="34">
        <v>8795.5</v>
      </c>
      <c r="N4225" s="34">
        <f t="shared" si="131"/>
        <v>10.40339702760085</v>
      </c>
    </row>
    <row r="4226" spans="1:14" x14ac:dyDescent="0.45">
      <c r="A4226" s="30">
        <v>2024</v>
      </c>
      <c r="B4226" s="30" t="s">
        <v>16</v>
      </c>
      <c r="C4226" s="30" t="s">
        <v>46</v>
      </c>
      <c r="D4226" s="30" t="s">
        <v>47</v>
      </c>
      <c r="E4226" s="32" t="s">
        <v>205</v>
      </c>
      <c r="F4226" s="32" t="s">
        <v>49</v>
      </c>
      <c r="G4226" s="32" t="s">
        <v>50</v>
      </c>
      <c r="H4226" s="33">
        <v>67030</v>
      </c>
      <c r="I4226" s="34">
        <f>Table3[[#This Row],[Volume, kg.]]/1000</f>
        <v>67.03</v>
      </c>
      <c r="J4226" s="34">
        <v>0.21160000000000001</v>
      </c>
      <c r="K4226" s="34">
        <f t="shared" si="130"/>
        <v>14183.548000000001</v>
      </c>
      <c r="L4226" s="34">
        <v>2.1800000000000002</v>
      </c>
      <c r="M4226" s="34">
        <v>145968.5</v>
      </c>
      <c r="N4226" s="34">
        <f t="shared" si="131"/>
        <v>10.302457466918716</v>
      </c>
    </row>
    <row r="4227" spans="1:14" x14ac:dyDescent="0.45">
      <c r="A4227" s="30">
        <v>2024</v>
      </c>
      <c r="B4227" s="30" t="s">
        <v>16</v>
      </c>
      <c r="C4227" s="30" t="s">
        <v>46</v>
      </c>
      <c r="D4227" s="30" t="s">
        <v>47</v>
      </c>
      <c r="E4227" s="32" t="s">
        <v>412</v>
      </c>
      <c r="F4227" s="32" t="s">
        <v>57</v>
      </c>
      <c r="G4227" s="32" t="s">
        <v>50</v>
      </c>
      <c r="H4227" s="33">
        <v>45710</v>
      </c>
      <c r="I4227" s="34">
        <f>Table3[[#This Row],[Volume, kg.]]/1000</f>
        <v>45.71</v>
      </c>
      <c r="J4227" s="34">
        <v>0.25390000000000001</v>
      </c>
      <c r="K4227" s="34">
        <f t="shared" ref="K4227:K4290" si="132">H4227*J4227</f>
        <v>11605.769</v>
      </c>
      <c r="L4227" s="34">
        <v>2.4700000000000002</v>
      </c>
      <c r="M4227" s="34">
        <v>112713.5</v>
      </c>
      <c r="N4227" s="34">
        <f t="shared" si="131"/>
        <v>9.7282394643560455</v>
      </c>
    </row>
    <row r="4228" spans="1:14" x14ac:dyDescent="0.45">
      <c r="A4228" s="30">
        <v>2024</v>
      </c>
      <c r="B4228" s="30" t="s">
        <v>16</v>
      </c>
      <c r="C4228" s="30" t="s">
        <v>46</v>
      </c>
      <c r="D4228" s="30" t="s">
        <v>47</v>
      </c>
      <c r="E4228" s="32" t="s">
        <v>413</v>
      </c>
      <c r="F4228" s="32" t="s">
        <v>49</v>
      </c>
      <c r="G4228" s="32" t="s">
        <v>50</v>
      </c>
      <c r="H4228" s="33">
        <v>195090</v>
      </c>
      <c r="I4228" s="34">
        <f>Table3[[#This Row],[Volume, kg.]]/1000</f>
        <v>195.09</v>
      </c>
      <c r="J4228" s="34">
        <v>0.2596</v>
      </c>
      <c r="K4228" s="34">
        <f t="shared" si="132"/>
        <v>50645.364000000001</v>
      </c>
      <c r="L4228" s="34">
        <v>2.5</v>
      </c>
      <c r="M4228" s="34">
        <v>488272</v>
      </c>
      <c r="N4228" s="34">
        <f t="shared" ref="N4228:N4291" si="133">L4228/J4228</f>
        <v>9.63020030816641</v>
      </c>
    </row>
    <row r="4229" spans="1:14" x14ac:dyDescent="0.45">
      <c r="A4229" s="30">
        <v>2024</v>
      </c>
      <c r="B4229" s="30" t="s">
        <v>16</v>
      </c>
      <c r="C4229" s="30" t="s">
        <v>46</v>
      </c>
      <c r="D4229" s="30" t="s">
        <v>47</v>
      </c>
      <c r="E4229" s="32" t="s">
        <v>488</v>
      </c>
      <c r="F4229" s="32" t="s">
        <v>57</v>
      </c>
      <c r="G4229" s="32" t="s">
        <v>50</v>
      </c>
      <c r="H4229" s="33">
        <v>92590</v>
      </c>
      <c r="I4229" s="34">
        <f>Table3[[#This Row],[Volume, kg.]]/1000</f>
        <v>92.59</v>
      </c>
      <c r="J4229" s="34">
        <v>0.25329999999999997</v>
      </c>
      <c r="K4229" s="34">
        <f t="shared" si="132"/>
        <v>23453.046999999999</v>
      </c>
      <c r="L4229" s="34">
        <v>2.4300000000000002</v>
      </c>
      <c r="M4229" s="34">
        <v>225312</v>
      </c>
      <c r="N4229" s="34">
        <f t="shared" si="133"/>
        <v>9.5933675483616287</v>
      </c>
    </row>
    <row r="4230" spans="1:14" x14ac:dyDescent="0.45">
      <c r="A4230" s="30">
        <v>2024</v>
      </c>
      <c r="B4230" s="30" t="s">
        <v>16</v>
      </c>
      <c r="C4230" s="30" t="s">
        <v>46</v>
      </c>
      <c r="D4230" s="30" t="s">
        <v>47</v>
      </c>
      <c r="E4230" s="32" t="s">
        <v>489</v>
      </c>
      <c r="F4230" s="32" t="s">
        <v>81</v>
      </c>
      <c r="G4230" s="32" t="s">
        <v>50</v>
      </c>
      <c r="H4230" s="33">
        <v>17180</v>
      </c>
      <c r="I4230" s="34">
        <f>Table3[[#This Row],[Volume, kg.]]/1000</f>
        <v>17.18</v>
      </c>
      <c r="J4230" s="34">
        <v>0.2351</v>
      </c>
      <c r="K4230" s="34">
        <f t="shared" si="132"/>
        <v>4039.018</v>
      </c>
      <c r="L4230" s="34">
        <v>2.2999999999999998</v>
      </c>
      <c r="M4230" s="34">
        <v>39432</v>
      </c>
      <c r="N4230" s="34">
        <f t="shared" si="133"/>
        <v>9.783071033602722</v>
      </c>
    </row>
    <row r="4231" spans="1:14" x14ac:dyDescent="0.45">
      <c r="A4231" s="30">
        <v>2024</v>
      </c>
      <c r="B4231" s="30" t="s">
        <v>16</v>
      </c>
      <c r="C4231" s="30" t="s">
        <v>46</v>
      </c>
      <c r="D4231" s="30" t="s">
        <v>47</v>
      </c>
      <c r="E4231" s="32" t="s">
        <v>517</v>
      </c>
      <c r="F4231" s="32" t="s">
        <v>57</v>
      </c>
      <c r="G4231" s="32" t="s">
        <v>50</v>
      </c>
      <c r="H4231" s="33">
        <v>69580</v>
      </c>
      <c r="I4231" s="34">
        <f>Table3[[#This Row],[Volume, kg.]]/1000</f>
        <v>69.58</v>
      </c>
      <c r="J4231" s="34">
        <v>0.23370000000000002</v>
      </c>
      <c r="K4231" s="34">
        <f t="shared" si="132"/>
        <v>16260.846000000001</v>
      </c>
      <c r="L4231" s="34">
        <v>2.36</v>
      </c>
      <c r="M4231" s="34">
        <v>164122</v>
      </c>
      <c r="N4231" s="34">
        <f t="shared" si="133"/>
        <v>10.09841677364142</v>
      </c>
    </row>
    <row r="4232" spans="1:14" x14ac:dyDescent="0.45">
      <c r="A4232" s="30">
        <v>2024</v>
      </c>
      <c r="B4232" s="30" t="s">
        <v>16</v>
      </c>
      <c r="C4232" s="30" t="s">
        <v>46</v>
      </c>
      <c r="D4232" s="30" t="s">
        <v>47</v>
      </c>
      <c r="E4232" s="32" t="s">
        <v>530</v>
      </c>
      <c r="F4232" s="32" t="s">
        <v>49</v>
      </c>
      <c r="G4232" s="32" t="s">
        <v>50</v>
      </c>
      <c r="H4232" s="33">
        <v>96690</v>
      </c>
      <c r="I4232" s="34">
        <f>Table3[[#This Row],[Volume, kg.]]/1000</f>
        <v>96.69</v>
      </c>
      <c r="J4232" s="34">
        <v>0.25590000000000002</v>
      </c>
      <c r="K4232" s="34">
        <f t="shared" si="132"/>
        <v>24742.971000000001</v>
      </c>
      <c r="L4232" s="34">
        <v>2.4700000000000002</v>
      </c>
      <c r="M4232" s="34">
        <v>238871.5</v>
      </c>
      <c r="N4232" s="34">
        <f t="shared" si="133"/>
        <v>9.6522078937084803</v>
      </c>
    </row>
    <row r="4233" spans="1:14" x14ac:dyDescent="0.45">
      <c r="A4233" s="30">
        <v>2024</v>
      </c>
      <c r="B4233" s="30" t="s">
        <v>16</v>
      </c>
      <c r="C4233" s="30" t="s">
        <v>46</v>
      </c>
      <c r="D4233" s="30" t="s">
        <v>47</v>
      </c>
      <c r="E4233" s="32" t="s">
        <v>533</v>
      </c>
      <c r="F4233" s="32" t="s">
        <v>60</v>
      </c>
      <c r="G4233" s="32" t="s">
        <v>50</v>
      </c>
      <c r="H4233" s="33">
        <v>19140</v>
      </c>
      <c r="I4233" s="34">
        <f>Table3[[#This Row],[Volume, kg.]]/1000</f>
        <v>19.14</v>
      </c>
      <c r="J4233" s="34">
        <v>0.27</v>
      </c>
      <c r="K4233" s="34">
        <f t="shared" si="132"/>
        <v>5167.8</v>
      </c>
      <c r="L4233" s="34">
        <v>2.5</v>
      </c>
      <c r="M4233" s="34">
        <v>47850</v>
      </c>
      <c r="N4233" s="34">
        <f t="shared" si="133"/>
        <v>9.2592592592592595</v>
      </c>
    </row>
    <row r="4234" spans="1:14" x14ac:dyDescent="0.45">
      <c r="A4234" s="30">
        <v>2024</v>
      </c>
      <c r="B4234" s="30" t="s">
        <v>16</v>
      </c>
      <c r="C4234" s="30" t="s">
        <v>46</v>
      </c>
      <c r="D4234" s="30" t="s">
        <v>47</v>
      </c>
      <c r="E4234" s="32" t="s">
        <v>603</v>
      </c>
      <c r="F4234" s="32" t="s">
        <v>49</v>
      </c>
      <c r="G4234" s="32" t="s">
        <v>50</v>
      </c>
      <c r="H4234" s="33">
        <v>124060</v>
      </c>
      <c r="I4234" s="34">
        <f>Table3[[#This Row],[Volume, kg.]]/1000</f>
        <v>124.06</v>
      </c>
      <c r="J4234" s="34">
        <v>0.2382</v>
      </c>
      <c r="K4234" s="34">
        <f t="shared" si="132"/>
        <v>29551.092000000001</v>
      </c>
      <c r="L4234" s="34">
        <v>2.37</v>
      </c>
      <c r="M4234" s="34">
        <v>294047.5</v>
      </c>
      <c r="N4234" s="34">
        <f t="shared" si="133"/>
        <v>9.9496221662468525</v>
      </c>
    </row>
    <row r="4235" spans="1:14" x14ac:dyDescent="0.45">
      <c r="A4235" s="30">
        <v>2024</v>
      </c>
      <c r="B4235" s="30" t="s">
        <v>16</v>
      </c>
      <c r="C4235" s="30" t="s">
        <v>46</v>
      </c>
      <c r="D4235" s="30" t="s">
        <v>47</v>
      </c>
      <c r="E4235" s="32" t="s">
        <v>558</v>
      </c>
      <c r="F4235" s="32" t="s">
        <v>49</v>
      </c>
      <c r="G4235" s="32" t="s">
        <v>50</v>
      </c>
      <c r="H4235" s="33">
        <v>20550</v>
      </c>
      <c r="I4235" s="34">
        <f>Table3[[#This Row],[Volume, kg.]]/1000</f>
        <v>20.55</v>
      </c>
      <c r="J4235" s="34">
        <v>0.2414</v>
      </c>
      <c r="K4235" s="34">
        <f t="shared" si="132"/>
        <v>4960.7700000000004</v>
      </c>
      <c r="L4235" s="34">
        <v>2.4</v>
      </c>
      <c r="M4235" s="34">
        <v>49289</v>
      </c>
      <c r="N4235" s="34">
        <f t="shared" si="133"/>
        <v>9.9420049710024845</v>
      </c>
    </row>
    <row r="4236" spans="1:14" x14ac:dyDescent="0.45">
      <c r="A4236" s="30">
        <v>2024</v>
      </c>
      <c r="B4236" s="30" t="s">
        <v>16</v>
      </c>
      <c r="C4236" s="30" t="s">
        <v>46</v>
      </c>
      <c r="D4236" s="30" t="s">
        <v>47</v>
      </c>
      <c r="E4236" s="32" t="s">
        <v>683</v>
      </c>
      <c r="F4236" s="32" t="s">
        <v>49</v>
      </c>
      <c r="G4236" s="32" t="s">
        <v>50</v>
      </c>
      <c r="H4236" s="33">
        <v>12380</v>
      </c>
      <c r="I4236" s="34">
        <f>Table3[[#This Row],[Volume, kg.]]/1000</f>
        <v>12.38</v>
      </c>
      <c r="J4236" s="34">
        <v>0.19600000000000001</v>
      </c>
      <c r="K4236" s="34">
        <f t="shared" si="132"/>
        <v>2426.48</v>
      </c>
      <c r="L4236" s="34">
        <v>2.25</v>
      </c>
      <c r="M4236" s="34">
        <v>27855</v>
      </c>
      <c r="N4236" s="34">
        <f t="shared" si="133"/>
        <v>11.479591836734693</v>
      </c>
    </row>
    <row r="4237" spans="1:14" x14ac:dyDescent="0.45">
      <c r="A4237" s="30">
        <v>2024</v>
      </c>
      <c r="B4237" s="30" t="s">
        <v>16</v>
      </c>
      <c r="C4237" s="30" t="s">
        <v>46</v>
      </c>
      <c r="D4237" s="30" t="s">
        <v>47</v>
      </c>
      <c r="E4237" s="32" t="s">
        <v>590</v>
      </c>
      <c r="F4237" s="32" t="s">
        <v>49</v>
      </c>
      <c r="G4237" s="32" t="s">
        <v>50</v>
      </c>
      <c r="H4237" s="33">
        <v>14480</v>
      </c>
      <c r="I4237" s="34">
        <f>Table3[[#This Row],[Volume, kg.]]/1000</f>
        <v>14.48</v>
      </c>
      <c r="J4237" s="34">
        <v>0.24960000000000002</v>
      </c>
      <c r="K4237" s="34">
        <f t="shared" si="132"/>
        <v>3614.2080000000001</v>
      </c>
      <c r="L4237" s="34">
        <v>2.5</v>
      </c>
      <c r="M4237" s="34">
        <v>36200</v>
      </c>
      <c r="N4237" s="34">
        <f t="shared" si="133"/>
        <v>10.016025641025641</v>
      </c>
    </row>
    <row r="4238" spans="1:14" x14ac:dyDescent="0.45">
      <c r="A4238" s="30">
        <v>2024</v>
      </c>
      <c r="B4238" s="30" t="s">
        <v>16</v>
      </c>
      <c r="C4238" s="30" t="s">
        <v>46</v>
      </c>
      <c r="D4238" s="30" t="s">
        <v>47</v>
      </c>
      <c r="E4238" s="32" t="s">
        <v>593</v>
      </c>
      <c r="F4238" s="32" t="s">
        <v>49</v>
      </c>
      <c r="G4238" s="32" t="s">
        <v>50</v>
      </c>
      <c r="H4238" s="33">
        <v>112510</v>
      </c>
      <c r="I4238" s="34">
        <f>Table3[[#This Row],[Volume, kg.]]/1000</f>
        <v>112.51</v>
      </c>
      <c r="J4238" s="34">
        <v>0.25390000000000001</v>
      </c>
      <c r="K4238" s="34">
        <f t="shared" si="132"/>
        <v>28566.289000000001</v>
      </c>
      <c r="L4238" s="34">
        <v>2.46</v>
      </c>
      <c r="M4238" s="34">
        <v>276991.5</v>
      </c>
      <c r="N4238" s="34">
        <f t="shared" si="133"/>
        <v>9.68885387948011</v>
      </c>
    </row>
    <row r="4239" spans="1:14" x14ac:dyDescent="0.45">
      <c r="A4239" s="30">
        <v>2024</v>
      </c>
      <c r="B4239" s="30" t="s">
        <v>16</v>
      </c>
      <c r="C4239" s="30" t="s">
        <v>46</v>
      </c>
      <c r="D4239" s="30" t="s">
        <v>47</v>
      </c>
      <c r="E4239" s="32" t="s">
        <v>606</v>
      </c>
      <c r="F4239" s="32" t="s">
        <v>49</v>
      </c>
      <c r="G4239" s="32" t="s">
        <v>50</v>
      </c>
      <c r="H4239" s="33">
        <v>29420</v>
      </c>
      <c r="I4239" s="34">
        <f>Table3[[#This Row],[Volume, kg.]]/1000</f>
        <v>29.42</v>
      </c>
      <c r="J4239" s="34">
        <v>0.1822</v>
      </c>
      <c r="K4239" s="34">
        <f t="shared" si="132"/>
        <v>5360.3239999999996</v>
      </c>
      <c r="L4239" s="34">
        <v>2.14</v>
      </c>
      <c r="M4239" s="34">
        <v>62860</v>
      </c>
      <c r="N4239" s="34">
        <f t="shared" si="133"/>
        <v>11.745334796926455</v>
      </c>
    </row>
    <row r="4240" spans="1:14" x14ac:dyDescent="0.45">
      <c r="A4240" s="30">
        <v>2024</v>
      </c>
      <c r="B4240" s="30" t="s">
        <v>16</v>
      </c>
      <c r="C4240" s="30" t="s">
        <v>46</v>
      </c>
      <c r="D4240" s="30" t="s">
        <v>47</v>
      </c>
      <c r="E4240" s="32" t="s">
        <v>647</v>
      </c>
      <c r="F4240" s="32" t="s">
        <v>49</v>
      </c>
      <c r="G4240" s="32" t="s">
        <v>50</v>
      </c>
      <c r="H4240" s="33">
        <v>18960</v>
      </c>
      <c r="I4240" s="34">
        <f>Table3[[#This Row],[Volume, kg.]]/1000</f>
        <v>18.96</v>
      </c>
      <c r="J4240" s="34">
        <v>0.23139999999999999</v>
      </c>
      <c r="K4240" s="34">
        <f t="shared" si="132"/>
        <v>4387.3440000000001</v>
      </c>
      <c r="L4240" s="34">
        <v>2.4</v>
      </c>
      <c r="M4240" s="34">
        <v>45490</v>
      </c>
      <c r="N4240" s="34">
        <f t="shared" si="133"/>
        <v>10.371650821089023</v>
      </c>
    </row>
    <row r="4241" spans="1:14" x14ac:dyDescent="0.45">
      <c r="A4241" s="30">
        <v>2024</v>
      </c>
      <c r="B4241" s="30" t="s">
        <v>16</v>
      </c>
      <c r="C4241" s="30" t="s">
        <v>46</v>
      </c>
      <c r="D4241" s="30" t="s">
        <v>47</v>
      </c>
      <c r="E4241" s="32" t="s">
        <v>648</v>
      </c>
      <c r="F4241" s="32" t="s">
        <v>57</v>
      </c>
      <c r="G4241" s="32" t="s">
        <v>50</v>
      </c>
      <c r="H4241" s="33">
        <v>47990</v>
      </c>
      <c r="I4241" s="34">
        <f>Table3[[#This Row],[Volume, kg.]]/1000</f>
        <v>47.99</v>
      </c>
      <c r="J4241" s="34">
        <v>0.24420000000000003</v>
      </c>
      <c r="K4241" s="34">
        <f t="shared" si="132"/>
        <v>11719.158000000001</v>
      </c>
      <c r="L4241" s="34">
        <v>2.4</v>
      </c>
      <c r="M4241" s="34">
        <v>115248.5</v>
      </c>
      <c r="N4241" s="34">
        <f t="shared" si="133"/>
        <v>9.8280098280098258</v>
      </c>
    </row>
    <row r="4242" spans="1:14" x14ac:dyDescent="0.45">
      <c r="A4242" s="30">
        <v>2024</v>
      </c>
      <c r="B4242" s="30" t="s">
        <v>16</v>
      </c>
      <c r="C4242" s="30" t="s">
        <v>46</v>
      </c>
      <c r="D4242" s="30" t="s">
        <v>47</v>
      </c>
      <c r="E4242" s="32" t="s">
        <v>670</v>
      </c>
      <c r="F4242" s="32" t="s">
        <v>81</v>
      </c>
      <c r="G4242" s="32" t="s">
        <v>50</v>
      </c>
      <c r="H4242" s="33">
        <v>87180</v>
      </c>
      <c r="I4242" s="34">
        <f>Table3[[#This Row],[Volume, kg.]]/1000</f>
        <v>87.18</v>
      </c>
      <c r="J4242" s="34">
        <v>0.2324</v>
      </c>
      <c r="K4242" s="34">
        <f t="shared" si="132"/>
        <v>20260.631999999998</v>
      </c>
      <c r="L4242" s="34">
        <v>2.3199999999999998</v>
      </c>
      <c r="M4242" s="34">
        <v>202689</v>
      </c>
      <c r="N4242" s="34">
        <f t="shared" si="133"/>
        <v>9.9827882960413081</v>
      </c>
    </row>
    <row r="4243" spans="1:14" x14ac:dyDescent="0.45">
      <c r="A4243" s="30">
        <v>2024</v>
      </c>
      <c r="B4243" s="30" t="s">
        <v>16</v>
      </c>
      <c r="C4243" s="30" t="s">
        <v>46</v>
      </c>
      <c r="D4243" s="30" t="s">
        <v>47</v>
      </c>
      <c r="E4243" s="32" t="s">
        <v>673</v>
      </c>
      <c r="F4243" s="32" t="s">
        <v>49</v>
      </c>
      <c r="G4243" s="32" t="s">
        <v>50</v>
      </c>
      <c r="H4243" s="33">
        <v>60820</v>
      </c>
      <c r="I4243" s="34">
        <f>Table3[[#This Row],[Volume, kg.]]/1000</f>
        <v>60.82</v>
      </c>
      <c r="J4243" s="34">
        <v>0.2447</v>
      </c>
      <c r="K4243" s="34">
        <f t="shared" si="132"/>
        <v>14882.654</v>
      </c>
      <c r="L4243" s="34">
        <v>2.41</v>
      </c>
      <c r="M4243" s="34">
        <v>146751.5</v>
      </c>
      <c r="N4243" s="34">
        <f t="shared" si="133"/>
        <v>9.8487944421740909</v>
      </c>
    </row>
    <row r="4244" spans="1:14" x14ac:dyDescent="0.45">
      <c r="A4244" s="30">
        <v>2024</v>
      </c>
      <c r="B4244" s="30" t="s">
        <v>16</v>
      </c>
      <c r="C4244" s="30" t="s">
        <v>46</v>
      </c>
      <c r="D4244" s="30" t="s">
        <v>47</v>
      </c>
      <c r="E4244" s="32" t="s">
        <v>676</v>
      </c>
      <c r="F4244" s="32" t="s">
        <v>60</v>
      </c>
      <c r="G4244" s="32" t="s">
        <v>50</v>
      </c>
      <c r="H4244" s="33">
        <v>141460</v>
      </c>
      <c r="I4244" s="34">
        <f>Table3[[#This Row],[Volume, kg.]]/1000</f>
        <v>141.46</v>
      </c>
      <c r="J4244" s="34">
        <v>0.2666</v>
      </c>
      <c r="K4244" s="34">
        <f t="shared" si="132"/>
        <v>37713.235999999997</v>
      </c>
      <c r="L4244" s="34">
        <v>2.52</v>
      </c>
      <c r="M4244" s="34">
        <v>356549.5</v>
      </c>
      <c r="N4244" s="34">
        <f t="shared" si="133"/>
        <v>9.4523630907726925</v>
      </c>
    </row>
    <row r="4245" spans="1:14" x14ac:dyDescent="0.45">
      <c r="A4245" s="30">
        <v>2024</v>
      </c>
      <c r="B4245" s="30" t="s">
        <v>16</v>
      </c>
      <c r="C4245" s="30" t="s">
        <v>46</v>
      </c>
      <c r="D4245" s="30" t="s">
        <v>47</v>
      </c>
      <c r="E4245" s="32" t="s">
        <v>678</v>
      </c>
      <c r="F4245" s="32" t="s">
        <v>60</v>
      </c>
      <c r="G4245" s="32" t="s">
        <v>50</v>
      </c>
      <c r="H4245" s="33">
        <v>156020</v>
      </c>
      <c r="I4245" s="34">
        <f>Table3[[#This Row],[Volume, kg.]]/1000</f>
        <v>156.02000000000001</v>
      </c>
      <c r="J4245" s="34">
        <v>0.2384</v>
      </c>
      <c r="K4245" s="34">
        <f t="shared" si="132"/>
        <v>37195.167999999998</v>
      </c>
      <c r="L4245" s="34">
        <v>2.38</v>
      </c>
      <c r="M4245" s="34">
        <v>371413.5</v>
      </c>
      <c r="N4245" s="34">
        <f t="shared" si="133"/>
        <v>9.9832214765100673</v>
      </c>
    </row>
    <row r="4246" spans="1:14" x14ac:dyDescent="0.45">
      <c r="A4246" s="30">
        <v>2024</v>
      </c>
      <c r="B4246" s="30" t="s">
        <v>16</v>
      </c>
      <c r="C4246" s="30" t="s">
        <v>46</v>
      </c>
      <c r="D4246" s="30" t="s">
        <v>47</v>
      </c>
      <c r="E4246" s="32" t="s">
        <v>679</v>
      </c>
      <c r="F4246" s="32" t="s">
        <v>49</v>
      </c>
      <c r="G4246" s="32" t="s">
        <v>50</v>
      </c>
      <c r="H4246" s="33">
        <v>4180</v>
      </c>
      <c r="I4246" s="34">
        <f>Table3[[#This Row],[Volume, kg.]]/1000</f>
        <v>4.18</v>
      </c>
      <c r="J4246" s="34">
        <v>0.28439999999999999</v>
      </c>
      <c r="K4246" s="34">
        <f t="shared" si="132"/>
        <v>1188.7919999999999</v>
      </c>
      <c r="L4246" s="34">
        <v>2.58</v>
      </c>
      <c r="M4246" s="34">
        <v>10772.5</v>
      </c>
      <c r="N4246" s="34">
        <f t="shared" si="133"/>
        <v>9.0717299578059087</v>
      </c>
    </row>
    <row r="4247" spans="1:14" x14ac:dyDescent="0.45">
      <c r="A4247" s="30">
        <v>2024</v>
      </c>
      <c r="B4247" s="30" t="s">
        <v>16</v>
      </c>
      <c r="C4247" s="30" t="s">
        <v>46</v>
      </c>
      <c r="D4247" s="30" t="s">
        <v>47</v>
      </c>
      <c r="E4247" s="32" t="s">
        <v>684</v>
      </c>
      <c r="F4247" s="32" t="s">
        <v>685</v>
      </c>
      <c r="G4247" s="32" t="s">
        <v>341</v>
      </c>
      <c r="H4247" s="33">
        <v>10970</v>
      </c>
      <c r="I4247" s="34">
        <f>Table3[[#This Row],[Volume, kg.]]/1000</f>
        <v>10.97</v>
      </c>
      <c r="J4247" s="34">
        <v>0.26750000000000002</v>
      </c>
      <c r="K4247" s="34">
        <f t="shared" si="132"/>
        <v>2934.4750000000004</v>
      </c>
      <c r="L4247" s="34">
        <v>2.4500000000000002</v>
      </c>
      <c r="M4247" s="34">
        <v>26876.5</v>
      </c>
      <c r="N4247" s="34">
        <f t="shared" si="133"/>
        <v>9.1588785046728969</v>
      </c>
    </row>
    <row r="4248" spans="1:14" x14ac:dyDescent="0.45">
      <c r="A4248" s="30">
        <v>2024</v>
      </c>
      <c r="B4248" s="30" t="s">
        <v>16</v>
      </c>
      <c r="C4248" s="30" t="s">
        <v>46</v>
      </c>
      <c r="D4248" s="30" t="s">
        <v>47</v>
      </c>
      <c r="E4248" s="32" t="s">
        <v>686</v>
      </c>
      <c r="F4248" s="32" t="s">
        <v>49</v>
      </c>
      <c r="G4248" s="32" t="s">
        <v>50</v>
      </c>
      <c r="H4248" s="33">
        <v>26940</v>
      </c>
      <c r="I4248" s="34">
        <f>Table3[[#This Row],[Volume, kg.]]/1000</f>
        <v>26.94</v>
      </c>
      <c r="J4248" s="34">
        <v>0.222</v>
      </c>
      <c r="K4248" s="34">
        <f t="shared" si="132"/>
        <v>5980.68</v>
      </c>
      <c r="L4248" s="34">
        <v>2.37</v>
      </c>
      <c r="M4248" s="34">
        <v>63801</v>
      </c>
      <c r="N4248" s="34">
        <f t="shared" si="133"/>
        <v>10.675675675675675</v>
      </c>
    </row>
    <row r="4249" spans="1:14" x14ac:dyDescent="0.45">
      <c r="A4249" s="30">
        <v>2024</v>
      </c>
      <c r="B4249" s="30" t="s">
        <v>16</v>
      </c>
      <c r="C4249" s="30" t="s">
        <v>46</v>
      </c>
      <c r="D4249" s="30" t="s">
        <v>47</v>
      </c>
      <c r="E4249" s="32" t="s">
        <v>687</v>
      </c>
      <c r="F4249" s="32" t="s">
        <v>49</v>
      </c>
      <c r="G4249" s="32" t="s">
        <v>50</v>
      </c>
      <c r="H4249" s="33">
        <v>9440</v>
      </c>
      <c r="I4249" s="34">
        <f>Table3[[#This Row],[Volume, kg.]]/1000</f>
        <v>9.44</v>
      </c>
      <c r="J4249" s="34">
        <v>0.28300000000000003</v>
      </c>
      <c r="K4249" s="34">
        <f t="shared" si="132"/>
        <v>2671.5200000000004</v>
      </c>
      <c r="L4249" s="34">
        <v>2.5</v>
      </c>
      <c r="M4249" s="34">
        <v>23600</v>
      </c>
      <c r="N4249" s="34">
        <f t="shared" si="133"/>
        <v>8.8339222614840978</v>
      </c>
    </row>
    <row r="4250" spans="1:14" x14ac:dyDescent="0.45">
      <c r="A4250" s="30">
        <v>2024</v>
      </c>
      <c r="B4250" s="30" t="s">
        <v>16</v>
      </c>
      <c r="C4250" s="30" t="s">
        <v>46</v>
      </c>
      <c r="D4250" s="30" t="s">
        <v>47</v>
      </c>
      <c r="E4250" s="32" t="s">
        <v>688</v>
      </c>
      <c r="F4250" s="32" t="s">
        <v>60</v>
      </c>
      <c r="G4250" s="32" t="s">
        <v>50</v>
      </c>
      <c r="H4250" s="33">
        <v>6490</v>
      </c>
      <c r="I4250" s="34">
        <f>Table3[[#This Row],[Volume, kg.]]/1000</f>
        <v>6.49</v>
      </c>
      <c r="J4250" s="34">
        <v>0.27250000000000002</v>
      </c>
      <c r="K4250" s="34">
        <f t="shared" si="132"/>
        <v>1768.5250000000001</v>
      </c>
      <c r="L4250" s="34">
        <v>2.4500000000000002</v>
      </c>
      <c r="M4250" s="34">
        <v>15900.5</v>
      </c>
      <c r="N4250" s="34">
        <f t="shared" si="133"/>
        <v>8.9908256880733948</v>
      </c>
    </row>
    <row r="4251" spans="1:14" x14ac:dyDescent="0.45">
      <c r="A4251" s="30">
        <v>2024</v>
      </c>
      <c r="B4251" s="30" t="s">
        <v>17</v>
      </c>
      <c r="C4251" s="30" t="s">
        <v>46</v>
      </c>
      <c r="D4251" s="30" t="s">
        <v>102</v>
      </c>
      <c r="E4251" s="32" t="s">
        <v>188</v>
      </c>
      <c r="F4251" s="32" t="s">
        <v>189</v>
      </c>
      <c r="G4251" s="32" t="s">
        <v>128</v>
      </c>
      <c r="H4251" s="33">
        <v>341990</v>
      </c>
      <c r="I4251" s="34">
        <f>Table3[[#This Row],[Volume, kg.]]/1000</f>
        <v>341.99</v>
      </c>
      <c r="J4251" s="34">
        <v>0.24600000000000002</v>
      </c>
      <c r="K4251" s="34">
        <f t="shared" si="132"/>
        <v>84129.540000000008</v>
      </c>
      <c r="L4251" s="34">
        <v>2.56</v>
      </c>
      <c r="M4251" s="34">
        <v>876403.5</v>
      </c>
      <c r="N4251" s="34">
        <f t="shared" si="133"/>
        <v>10.40650406504065</v>
      </c>
    </row>
    <row r="4252" spans="1:14" x14ac:dyDescent="0.45">
      <c r="A4252" s="30">
        <v>2024</v>
      </c>
      <c r="B4252" s="30" t="s">
        <v>17</v>
      </c>
      <c r="C4252" s="30" t="s">
        <v>46</v>
      </c>
      <c r="D4252" s="30" t="s">
        <v>102</v>
      </c>
      <c r="E4252" s="32" t="s">
        <v>336</v>
      </c>
      <c r="F4252" s="32" t="s">
        <v>114</v>
      </c>
      <c r="G4252" s="32" t="s">
        <v>108</v>
      </c>
      <c r="H4252" s="33">
        <v>180160</v>
      </c>
      <c r="I4252" s="34">
        <f>Table3[[#This Row],[Volume, kg.]]/1000</f>
        <v>180.16</v>
      </c>
      <c r="J4252" s="34">
        <v>0.25440000000000002</v>
      </c>
      <c r="K4252" s="34">
        <f t="shared" si="132"/>
        <v>45832.704000000005</v>
      </c>
      <c r="L4252" s="34">
        <v>2.57</v>
      </c>
      <c r="M4252" s="34">
        <v>463532</v>
      </c>
      <c r="N4252" s="34">
        <f t="shared" si="133"/>
        <v>10.102201257861633</v>
      </c>
    </row>
    <row r="4253" spans="1:14" x14ac:dyDescent="0.45">
      <c r="A4253" s="30">
        <v>2024</v>
      </c>
      <c r="B4253" s="30" t="s">
        <v>17</v>
      </c>
      <c r="C4253" s="30" t="s">
        <v>46</v>
      </c>
      <c r="D4253" s="30" t="s">
        <v>102</v>
      </c>
      <c r="E4253" s="32" t="s">
        <v>622</v>
      </c>
      <c r="F4253" s="32" t="s">
        <v>238</v>
      </c>
      <c r="G4253" s="32" t="s">
        <v>50</v>
      </c>
      <c r="H4253" s="33">
        <v>678900</v>
      </c>
      <c r="I4253" s="34">
        <f>Table3[[#This Row],[Volume, kg.]]/1000</f>
        <v>678.9</v>
      </c>
      <c r="J4253" s="34">
        <v>0.2316</v>
      </c>
      <c r="K4253" s="34">
        <f t="shared" si="132"/>
        <v>157233.24</v>
      </c>
      <c r="L4253" s="34">
        <v>2.4700000000000002</v>
      </c>
      <c r="M4253" s="34">
        <v>1675592</v>
      </c>
      <c r="N4253" s="34">
        <f t="shared" si="133"/>
        <v>10.664939550949914</v>
      </c>
    </row>
    <row r="4254" spans="1:14" x14ac:dyDescent="0.45">
      <c r="A4254" s="30">
        <v>2024</v>
      </c>
      <c r="B4254" s="30" t="s">
        <v>17</v>
      </c>
      <c r="C4254" s="30" t="s">
        <v>46</v>
      </c>
      <c r="D4254" s="30" t="s">
        <v>47</v>
      </c>
      <c r="E4254" s="32" t="s">
        <v>181</v>
      </c>
      <c r="F4254" s="32" t="s">
        <v>57</v>
      </c>
      <c r="G4254" s="32" t="s">
        <v>50</v>
      </c>
      <c r="H4254" s="33">
        <v>66910</v>
      </c>
      <c r="I4254" s="34">
        <f>Table3[[#This Row],[Volume, kg.]]/1000</f>
        <v>66.91</v>
      </c>
      <c r="J4254" s="34">
        <v>0.26550000000000001</v>
      </c>
      <c r="K4254" s="34">
        <f t="shared" si="132"/>
        <v>17764.605</v>
      </c>
      <c r="L4254" s="34">
        <v>2.4300000000000002</v>
      </c>
      <c r="M4254" s="34">
        <v>162648.5</v>
      </c>
      <c r="N4254" s="34">
        <f t="shared" si="133"/>
        <v>9.1525423728813564</v>
      </c>
    </row>
    <row r="4255" spans="1:14" x14ac:dyDescent="0.45">
      <c r="A4255" s="30">
        <v>2024</v>
      </c>
      <c r="B4255" s="30" t="s">
        <v>17</v>
      </c>
      <c r="C4255" s="30" t="s">
        <v>46</v>
      </c>
      <c r="D4255" s="30" t="s">
        <v>47</v>
      </c>
      <c r="E4255" s="32" t="s">
        <v>232</v>
      </c>
      <c r="F4255" s="32" t="s">
        <v>49</v>
      </c>
      <c r="G4255" s="32" t="s">
        <v>50</v>
      </c>
      <c r="H4255" s="33">
        <v>43900</v>
      </c>
      <c r="I4255" s="34">
        <f>Table3[[#This Row],[Volume, kg.]]/1000</f>
        <v>43.9</v>
      </c>
      <c r="J4255" s="34">
        <v>0.27329999999999999</v>
      </c>
      <c r="K4255" s="34">
        <f t="shared" si="132"/>
        <v>11997.869999999999</v>
      </c>
      <c r="L4255" s="34">
        <v>2.44</v>
      </c>
      <c r="M4255" s="34">
        <v>107166</v>
      </c>
      <c r="N4255" s="34">
        <f t="shared" si="133"/>
        <v>8.9279180387852186</v>
      </c>
    </row>
    <row r="4256" spans="1:14" x14ac:dyDescent="0.45">
      <c r="A4256" s="30">
        <v>2024</v>
      </c>
      <c r="B4256" s="30" t="s">
        <v>17</v>
      </c>
      <c r="C4256" s="30" t="s">
        <v>46</v>
      </c>
      <c r="D4256" s="30" t="s">
        <v>47</v>
      </c>
      <c r="E4256" s="32" t="s">
        <v>213</v>
      </c>
      <c r="F4256" s="32" t="s">
        <v>49</v>
      </c>
      <c r="G4256" s="32" t="s">
        <v>50</v>
      </c>
      <c r="H4256" s="33">
        <v>214620</v>
      </c>
      <c r="I4256" s="34">
        <f>Table3[[#This Row],[Volume, kg.]]/1000</f>
        <v>214.62</v>
      </c>
      <c r="J4256" s="34">
        <v>0.24160000000000001</v>
      </c>
      <c r="K4256" s="34">
        <f t="shared" si="132"/>
        <v>51852.192000000003</v>
      </c>
      <c r="L4256" s="34">
        <v>2.3199999999999998</v>
      </c>
      <c r="M4256" s="34">
        <v>497502</v>
      </c>
      <c r="N4256" s="34">
        <f t="shared" si="133"/>
        <v>9.6026490066225154</v>
      </c>
    </row>
    <row r="4257" spans="1:14" x14ac:dyDescent="0.45">
      <c r="A4257" s="30">
        <v>2024</v>
      </c>
      <c r="B4257" s="30" t="s">
        <v>17</v>
      </c>
      <c r="C4257" s="30" t="s">
        <v>46</v>
      </c>
      <c r="D4257" s="30" t="s">
        <v>47</v>
      </c>
      <c r="E4257" s="32" t="s">
        <v>69</v>
      </c>
      <c r="F4257" s="32" t="s">
        <v>49</v>
      </c>
      <c r="G4257" s="32" t="s">
        <v>50</v>
      </c>
      <c r="H4257" s="33">
        <v>260080</v>
      </c>
      <c r="I4257" s="34">
        <f>Table3[[#This Row],[Volume, kg.]]/1000</f>
        <v>260.08</v>
      </c>
      <c r="J4257" s="34">
        <v>0.24510000000000001</v>
      </c>
      <c r="K4257" s="34">
        <f t="shared" si="132"/>
        <v>63745.608</v>
      </c>
      <c r="L4257" s="34">
        <v>2.3199999999999998</v>
      </c>
      <c r="M4257" s="34">
        <v>603364.5</v>
      </c>
      <c r="N4257" s="34">
        <f t="shared" si="133"/>
        <v>9.4655242758057927</v>
      </c>
    </row>
    <row r="4258" spans="1:14" x14ac:dyDescent="0.45">
      <c r="A4258" s="30">
        <v>2024</v>
      </c>
      <c r="B4258" s="30" t="s">
        <v>17</v>
      </c>
      <c r="C4258" s="30" t="s">
        <v>46</v>
      </c>
      <c r="D4258" s="30" t="s">
        <v>47</v>
      </c>
      <c r="E4258" s="32" t="s">
        <v>202</v>
      </c>
      <c r="F4258" s="32" t="s">
        <v>57</v>
      </c>
      <c r="G4258" s="32" t="s">
        <v>50</v>
      </c>
      <c r="H4258" s="33">
        <v>51290</v>
      </c>
      <c r="I4258" s="34">
        <f>Table3[[#This Row],[Volume, kg.]]/1000</f>
        <v>51.29</v>
      </c>
      <c r="J4258" s="34">
        <v>0.25769999999999998</v>
      </c>
      <c r="K4258" s="34">
        <f t="shared" si="132"/>
        <v>13217.432999999999</v>
      </c>
      <c r="L4258" s="34">
        <v>2.42</v>
      </c>
      <c r="M4258" s="34">
        <v>123924</v>
      </c>
      <c r="N4258" s="34">
        <f t="shared" si="133"/>
        <v>9.3907644547923947</v>
      </c>
    </row>
    <row r="4259" spans="1:14" x14ac:dyDescent="0.45">
      <c r="A4259" s="30">
        <v>2024</v>
      </c>
      <c r="B4259" s="30" t="s">
        <v>17</v>
      </c>
      <c r="C4259" s="30" t="s">
        <v>46</v>
      </c>
      <c r="D4259" s="30" t="s">
        <v>47</v>
      </c>
      <c r="E4259" s="32" t="s">
        <v>326</v>
      </c>
      <c r="F4259" s="32" t="s">
        <v>57</v>
      </c>
      <c r="G4259" s="32" t="s">
        <v>50</v>
      </c>
      <c r="H4259" s="33">
        <v>37430</v>
      </c>
      <c r="I4259" s="34">
        <f>Table3[[#This Row],[Volume, kg.]]/1000</f>
        <v>37.43</v>
      </c>
      <c r="J4259" s="34">
        <v>0.23370000000000002</v>
      </c>
      <c r="K4259" s="34">
        <f t="shared" si="132"/>
        <v>8747.3910000000014</v>
      </c>
      <c r="L4259" s="34">
        <v>2.27</v>
      </c>
      <c r="M4259" s="34">
        <v>85089</v>
      </c>
      <c r="N4259" s="34">
        <f t="shared" si="133"/>
        <v>9.7133076593923828</v>
      </c>
    </row>
    <row r="4260" spans="1:14" x14ac:dyDescent="0.45">
      <c r="A4260" s="30">
        <v>2024</v>
      </c>
      <c r="B4260" s="30" t="s">
        <v>17</v>
      </c>
      <c r="C4260" s="30" t="s">
        <v>46</v>
      </c>
      <c r="D4260" s="30" t="s">
        <v>47</v>
      </c>
      <c r="E4260" s="32" t="s">
        <v>327</v>
      </c>
      <c r="F4260" s="32" t="s">
        <v>49</v>
      </c>
      <c r="G4260" s="32" t="s">
        <v>50</v>
      </c>
      <c r="H4260" s="33">
        <v>30110</v>
      </c>
      <c r="I4260" s="34">
        <f>Table3[[#This Row],[Volume, kg.]]/1000</f>
        <v>30.11</v>
      </c>
      <c r="J4260" s="34">
        <v>0.2114</v>
      </c>
      <c r="K4260" s="34">
        <f t="shared" si="132"/>
        <v>6365.2539999999999</v>
      </c>
      <c r="L4260" s="34">
        <v>2.09</v>
      </c>
      <c r="M4260" s="34">
        <v>62974.5</v>
      </c>
      <c r="N4260" s="34">
        <f t="shared" si="133"/>
        <v>9.8864711447492901</v>
      </c>
    </row>
    <row r="4261" spans="1:14" x14ac:dyDescent="0.45">
      <c r="A4261" s="30">
        <v>2024</v>
      </c>
      <c r="B4261" s="30" t="s">
        <v>17</v>
      </c>
      <c r="C4261" s="30" t="s">
        <v>46</v>
      </c>
      <c r="D4261" s="30" t="s">
        <v>47</v>
      </c>
      <c r="E4261" s="32" t="s">
        <v>201</v>
      </c>
      <c r="F4261" s="32" t="s">
        <v>49</v>
      </c>
      <c r="G4261" s="32" t="s">
        <v>50</v>
      </c>
      <c r="H4261" s="33">
        <v>49500</v>
      </c>
      <c r="I4261" s="34">
        <f>Table3[[#This Row],[Volume, kg.]]/1000</f>
        <v>49.5</v>
      </c>
      <c r="J4261" s="34">
        <v>0.26329999999999998</v>
      </c>
      <c r="K4261" s="34">
        <f t="shared" si="132"/>
        <v>13033.349999999999</v>
      </c>
      <c r="L4261" s="34">
        <v>2.41</v>
      </c>
      <c r="M4261" s="34">
        <v>119418.5</v>
      </c>
      <c r="N4261" s="34">
        <f t="shared" si="133"/>
        <v>9.1530573490315241</v>
      </c>
    </row>
    <row r="4262" spans="1:14" x14ac:dyDescent="0.45">
      <c r="A4262" s="30">
        <v>2024</v>
      </c>
      <c r="B4262" s="30" t="s">
        <v>17</v>
      </c>
      <c r="C4262" s="30" t="s">
        <v>46</v>
      </c>
      <c r="D4262" s="30" t="s">
        <v>47</v>
      </c>
      <c r="E4262" s="32" t="s">
        <v>382</v>
      </c>
      <c r="F4262" s="32" t="s">
        <v>60</v>
      </c>
      <c r="G4262" s="32" t="s">
        <v>50</v>
      </c>
      <c r="H4262" s="33">
        <v>60560</v>
      </c>
      <c r="I4262" s="34">
        <f>Table3[[#This Row],[Volume, kg.]]/1000</f>
        <v>60.56</v>
      </c>
      <c r="J4262" s="34">
        <v>0.25719999999999998</v>
      </c>
      <c r="K4262" s="34">
        <f t="shared" si="132"/>
        <v>15576.031999999999</v>
      </c>
      <c r="L4262" s="34">
        <v>2.39</v>
      </c>
      <c r="M4262" s="34">
        <v>144800.5</v>
      </c>
      <c r="N4262" s="34">
        <f t="shared" si="133"/>
        <v>9.2923794712286174</v>
      </c>
    </row>
    <row r="4263" spans="1:14" x14ac:dyDescent="0.45">
      <c r="A4263" s="30">
        <v>2024</v>
      </c>
      <c r="B4263" s="30" t="s">
        <v>17</v>
      </c>
      <c r="C4263" s="30" t="s">
        <v>46</v>
      </c>
      <c r="D4263" s="30" t="s">
        <v>47</v>
      </c>
      <c r="E4263" s="32" t="s">
        <v>178</v>
      </c>
      <c r="F4263" s="32" t="s">
        <v>49</v>
      </c>
      <c r="G4263" s="32" t="s">
        <v>50</v>
      </c>
      <c r="H4263" s="33">
        <v>3560</v>
      </c>
      <c r="I4263" s="34">
        <f>Table3[[#This Row],[Volume, kg.]]/1000</f>
        <v>3.56</v>
      </c>
      <c r="J4263" s="34">
        <v>0.27600000000000002</v>
      </c>
      <c r="K4263" s="34">
        <f t="shared" si="132"/>
        <v>982.56000000000006</v>
      </c>
      <c r="L4263" s="34">
        <v>2.5499999999999998</v>
      </c>
      <c r="M4263" s="34">
        <v>9078</v>
      </c>
      <c r="N4263" s="34">
        <f t="shared" si="133"/>
        <v>9.2391304347826075</v>
      </c>
    </row>
    <row r="4264" spans="1:14" x14ac:dyDescent="0.45">
      <c r="A4264" s="30">
        <v>2024</v>
      </c>
      <c r="B4264" s="30" t="s">
        <v>17</v>
      </c>
      <c r="C4264" s="30" t="s">
        <v>46</v>
      </c>
      <c r="D4264" s="30" t="s">
        <v>47</v>
      </c>
      <c r="E4264" s="32" t="s">
        <v>235</v>
      </c>
      <c r="F4264" s="32" t="s">
        <v>57</v>
      </c>
      <c r="G4264" s="32" t="s">
        <v>50</v>
      </c>
      <c r="H4264" s="33">
        <v>13030</v>
      </c>
      <c r="I4264" s="34">
        <f>Table3[[#This Row],[Volume, kg.]]/1000</f>
        <v>13.03</v>
      </c>
      <c r="J4264" s="34">
        <v>0.25409999999999999</v>
      </c>
      <c r="K4264" s="34">
        <f t="shared" si="132"/>
        <v>3310.9229999999998</v>
      </c>
      <c r="L4264" s="34">
        <v>2.4700000000000002</v>
      </c>
      <c r="M4264" s="34">
        <v>32203</v>
      </c>
      <c r="N4264" s="34">
        <f t="shared" si="133"/>
        <v>9.7205824478551754</v>
      </c>
    </row>
    <row r="4265" spans="1:14" x14ac:dyDescent="0.45">
      <c r="A4265" s="30">
        <v>2024</v>
      </c>
      <c r="B4265" s="30" t="s">
        <v>17</v>
      </c>
      <c r="C4265" s="30" t="s">
        <v>46</v>
      </c>
      <c r="D4265" s="30" t="s">
        <v>47</v>
      </c>
      <c r="E4265" s="32" t="s">
        <v>353</v>
      </c>
      <c r="F4265" s="32" t="s">
        <v>57</v>
      </c>
      <c r="G4265" s="32" t="s">
        <v>50</v>
      </c>
      <c r="H4265" s="33">
        <v>10170</v>
      </c>
      <c r="I4265" s="34">
        <f>Table3[[#This Row],[Volume, kg.]]/1000</f>
        <v>10.17</v>
      </c>
      <c r="J4265" s="34">
        <v>0.21249999999999999</v>
      </c>
      <c r="K4265" s="34">
        <f t="shared" si="132"/>
        <v>2161.125</v>
      </c>
      <c r="L4265" s="34">
        <v>2.15</v>
      </c>
      <c r="M4265" s="34">
        <v>21865.5</v>
      </c>
      <c r="N4265" s="34">
        <f t="shared" si="133"/>
        <v>10.117647058823529</v>
      </c>
    </row>
    <row r="4266" spans="1:14" x14ac:dyDescent="0.45">
      <c r="A4266" s="30">
        <v>2024</v>
      </c>
      <c r="B4266" s="30" t="s">
        <v>17</v>
      </c>
      <c r="C4266" s="30" t="s">
        <v>46</v>
      </c>
      <c r="D4266" s="30" t="s">
        <v>47</v>
      </c>
      <c r="E4266" s="32" t="s">
        <v>149</v>
      </c>
      <c r="F4266" s="32" t="s">
        <v>49</v>
      </c>
      <c r="G4266" s="32" t="s">
        <v>50</v>
      </c>
      <c r="H4266" s="33">
        <v>104310</v>
      </c>
      <c r="I4266" s="34">
        <f>Table3[[#This Row],[Volume, kg.]]/1000</f>
        <v>104.31</v>
      </c>
      <c r="J4266" s="34">
        <v>0.26539999999999997</v>
      </c>
      <c r="K4266" s="34">
        <f t="shared" si="132"/>
        <v>27683.873999999996</v>
      </c>
      <c r="L4266" s="34">
        <v>2.41</v>
      </c>
      <c r="M4266" s="34">
        <v>251836</v>
      </c>
      <c r="N4266" s="34">
        <f t="shared" si="133"/>
        <v>9.0806330067822163</v>
      </c>
    </row>
    <row r="4267" spans="1:14" x14ac:dyDescent="0.45">
      <c r="A4267" s="30">
        <v>2024</v>
      </c>
      <c r="B4267" s="30" t="s">
        <v>17</v>
      </c>
      <c r="C4267" s="30" t="s">
        <v>46</v>
      </c>
      <c r="D4267" s="30" t="s">
        <v>47</v>
      </c>
      <c r="E4267" s="32" t="s">
        <v>383</v>
      </c>
      <c r="F4267" s="32" t="s">
        <v>49</v>
      </c>
      <c r="G4267" s="32" t="s">
        <v>50</v>
      </c>
      <c r="H4267" s="33">
        <v>5480</v>
      </c>
      <c r="I4267" s="34">
        <f>Table3[[#This Row],[Volume, kg.]]/1000</f>
        <v>5.48</v>
      </c>
      <c r="J4267" s="34">
        <v>0.253</v>
      </c>
      <c r="K4267" s="34">
        <f t="shared" si="132"/>
        <v>1386.44</v>
      </c>
      <c r="L4267" s="34">
        <v>2.4</v>
      </c>
      <c r="M4267" s="34">
        <v>13152</v>
      </c>
      <c r="N4267" s="34">
        <f t="shared" si="133"/>
        <v>9.4861660079051386</v>
      </c>
    </row>
    <row r="4268" spans="1:14" x14ac:dyDescent="0.45">
      <c r="A4268" s="30">
        <v>2024</v>
      </c>
      <c r="B4268" s="30" t="s">
        <v>17</v>
      </c>
      <c r="C4268" s="30" t="s">
        <v>46</v>
      </c>
      <c r="D4268" s="30" t="s">
        <v>47</v>
      </c>
      <c r="E4268" s="32" t="s">
        <v>493</v>
      </c>
      <c r="F4268" s="32" t="s">
        <v>49</v>
      </c>
      <c r="G4268" s="32" t="s">
        <v>50</v>
      </c>
      <c r="H4268" s="33">
        <v>10380</v>
      </c>
      <c r="I4268" s="34">
        <f>Table3[[#This Row],[Volume, kg.]]/1000</f>
        <v>10.38</v>
      </c>
      <c r="J4268" s="34">
        <v>0.26550000000000001</v>
      </c>
      <c r="K4268" s="34">
        <f t="shared" si="132"/>
        <v>2755.8900000000003</v>
      </c>
      <c r="L4268" s="34">
        <v>2.4</v>
      </c>
      <c r="M4268" s="34">
        <v>24912</v>
      </c>
      <c r="N4268" s="34">
        <f t="shared" si="133"/>
        <v>9.0395480225988685</v>
      </c>
    </row>
    <row r="4269" spans="1:14" x14ac:dyDescent="0.45">
      <c r="A4269" s="30">
        <v>2024</v>
      </c>
      <c r="B4269" s="30" t="s">
        <v>17</v>
      </c>
      <c r="C4269" s="30" t="s">
        <v>46</v>
      </c>
      <c r="D4269" s="30" t="s">
        <v>47</v>
      </c>
      <c r="E4269" s="32" t="s">
        <v>208</v>
      </c>
      <c r="F4269" s="32" t="s">
        <v>49</v>
      </c>
      <c r="G4269" s="32" t="s">
        <v>50</v>
      </c>
      <c r="H4269" s="33">
        <v>57910</v>
      </c>
      <c r="I4269" s="34">
        <f>Table3[[#This Row],[Volume, kg.]]/1000</f>
        <v>57.91</v>
      </c>
      <c r="J4269" s="34">
        <v>0.27489999999999998</v>
      </c>
      <c r="K4269" s="34">
        <f t="shared" si="132"/>
        <v>15919.458999999999</v>
      </c>
      <c r="L4269" s="34">
        <v>2.46</v>
      </c>
      <c r="M4269" s="34">
        <v>142237</v>
      </c>
      <c r="N4269" s="34">
        <f t="shared" si="133"/>
        <v>8.9487086213168432</v>
      </c>
    </row>
    <row r="4270" spans="1:14" x14ac:dyDescent="0.45">
      <c r="A4270" s="30">
        <v>2024</v>
      </c>
      <c r="B4270" s="30" t="s">
        <v>17</v>
      </c>
      <c r="C4270" s="30" t="s">
        <v>46</v>
      </c>
      <c r="D4270" s="30" t="s">
        <v>47</v>
      </c>
      <c r="E4270" s="32" t="s">
        <v>99</v>
      </c>
      <c r="F4270" s="32" t="s">
        <v>49</v>
      </c>
      <c r="G4270" s="32" t="s">
        <v>50</v>
      </c>
      <c r="H4270" s="33">
        <v>109070</v>
      </c>
      <c r="I4270" s="34">
        <f>Table3[[#This Row],[Volume, kg.]]/1000</f>
        <v>109.07</v>
      </c>
      <c r="J4270" s="34">
        <v>0.25440000000000002</v>
      </c>
      <c r="K4270" s="34">
        <f t="shared" si="132"/>
        <v>27747.408000000003</v>
      </c>
      <c r="L4270" s="34">
        <v>2.36</v>
      </c>
      <c r="M4270" s="34">
        <v>257575</v>
      </c>
      <c r="N4270" s="34">
        <f t="shared" si="133"/>
        <v>9.2767295597484267</v>
      </c>
    </row>
    <row r="4271" spans="1:14" x14ac:dyDescent="0.45">
      <c r="A4271" s="30">
        <v>2024</v>
      </c>
      <c r="B4271" s="30" t="s">
        <v>17</v>
      </c>
      <c r="C4271" s="30" t="s">
        <v>46</v>
      </c>
      <c r="D4271" s="30" t="s">
        <v>47</v>
      </c>
      <c r="E4271" s="32" t="s">
        <v>165</v>
      </c>
      <c r="F4271" s="32" t="s">
        <v>57</v>
      </c>
      <c r="G4271" s="32" t="s">
        <v>50</v>
      </c>
      <c r="H4271" s="33">
        <v>24400</v>
      </c>
      <c r="I4271" s="34">
        <f>Table3[[#This Row],[Volume, kg.]]/1000</f>
        <v>24.4</v>
      </c>
      <c r="J4271" s="34">
        <v>0.25750000000000001</v>
      </c>
      <c r="K4271" s="34">
        <f t="shared" si="132"/>
        <v>6283</v>
      </c>
      <c r="L4271" s="34">
        <v>2.4500000000000002</v>
      </c>
      <c r="M4271" s="34">
        <v>59705</v>
      </c>
      <c r="N4271" s="34">
        <f t="shared" si="133"/>
        <v>9.5145631067961176</v>
      </c>
    </row>
    <row r="4272" spans="1:14" x14ac:dyDescent="0.45">
      <c r="A4272" s="30">
        <v>2024</v>
      </c>
      <c r="B4272" s="30" t="s">
        <v>17</v>
      </c>
      <c r="C4272" s="30" t="s">
        <v>46</v>
      </c>
      <c r="D4272" s="30" t="s">
        <v>47</v>
      </c>
      <c r="E4272" s="32" t="s">
        <v>226</v>
      </c>
      <c r="F4272" s="32" t="s">
        <v>60</v>
      </c>
      <c r="G4272" s="32" t="s">
        <v>50</v>
      </c>
      <c r="H4272" s="33">
        <v>78260</v>
      </c>
      <c r="I4272" s="34">
        <f>Table3[[#This Row],[Volume, kg.]]/1000</f>
        <v>78.260000000000005</v>
      </c>
      <c r="J4272" s="34">
        <v>0.27449999999999997</v>
      </c>
      <c r="K4272" s="34">
        <f t="shared" si="132"/>
        <v>21482.37</v>
      </c>
      <c r="L4272" s="34">
        <v>2.4900000000000002</v>
      </c>
      <c r="M4272" s="34">
        <v>195033</v>
      </c>
      <c r="N4272" s="34">
        <f t="shared" si="133"/>
        <v>9.0710382513661223</v>
      </c>
    </row>
    <row r="4273" spans="1:14" x14ac:dyDescent="0.45">
      <c r="A4273" s="30">
        <v>2024</v>
      </c>
      <c r="B4273" s="30" t="s">
        <v>17</v>
      </c>
      <c r="C4273" s="30" t="s">
        <v>46</v>
      </c>
      <c r="D4273" s="30" t="s">
        <v>47</v>
      </c>
      <c r="E4273" s="32" t="s">
        <v>182</v>
      </c>
      <c r="F4273" s="32" t="s">
        <v>81</v>
      </c>
      <c r="G4273" s="32" t="s">
        <v>50</v>
      </c>
      <c r="H4273" s="33">
        <v>168400</v>
      </c>
      <c r="I4273" s="34">
        <f>Table3[[#This Row],[Volume, kg.]]/1000</f>
        <v>168.4</v>
      </c>
      <c r="J4273" s="34">
        <v>0.26390000000000002</v>
      </c>
      <c r="K4273" s="34">
        <f t="shared" si="132"/>
        <v>44440.76</v>
      </c>
      <c r="L4273" s="34">
        <v>2.4500000000000002</v>
      </c>
      <c r="M4273" s="34">
        <v>412878.5</v>
      </c>
      <c r="N4273" s="34">
        <f t="shared" si="133"/>
        <v>9.2838196286472154</v>
      </c>
    </row>
    <row r="4274" spans="1:14" x14ac:dyDescent="0.45">
      <c r="A4274" s="30">
        <v>2024</v>
      </c>
      <c r="B4274" s="30" t="s">
        <v>17</v>
      </c>
      <c r="C4274" s="30" t="s">
        <v>46</v>
      </c>
      <c r="D4274" s="30" t="s">
        <v>47</v>
      </c>
      <c r="E4274" s="32" t="s">
        <v>442</v>
      </c>
      <c r="F4274" s="32" t="s">
        <v>81</v>
      </c>
      <c r="G4274" s="32" t="s">
        <v>50</v>
      </c>
      <c r="H4274" s="33">
        <v>4860</v>
      </c>
      <c r="I4274" s="34">
        <f>Table3[[#This Row],[Volume, kg.]]/1000</f>
        <v>4.8600000000000003</v>
      </c>
      <c r="J4274" s="34">
        <v>0.24850000000000003</v>
      </c>
      <c r="K4274" s="34">
        <f t="shared" si="132"/>
        <v>1207.71</v>
      </c>
      <c r="L4274" s="34">
        <v>2.35</v>
      </c>
      <c r="M4274" s="34">
        <v>11421</v>
      </c>
      <c r="N4274" s="34">
        <f t="shared" si="133"/>
        <v>9.4567404426559349</v>
      </c>
    </row>
    <row r="4275" spans="1:14" x14ac:dyDescent="0.45">
      <c r="A4275" s="30">
        <v>2024</v>
      </c>
      <c r="B4275" s="30" t="s">
        <v>17</v>
      </c>
      <c r="C4275" s="30" t="s">
        <v>46</v>
      </c>
      <c r="D4275" s="30" t="s">
        <v>47</v>
      </c>
      <c r="E4275" s="32" t="s">
        <v>195</v>
      </c>
      <c r="F4275" s="32" t="s">
        <v>57</v>
      </c>
      <c r="G4275" s="32" t="s">
        <v>50</v>
      </c>
      <c r="H4275" s="33">
        <v>6680</v>
      </c>
      <c r="I4275" s="34">
        <f>Table3[[#This Row],[Volume, kg.]]/1000</f>
        <v>6.68</v>
      </c>
      <c r="J4275" s="34">
        <v>0.26200000000000001</v>
      </c>
      <c r="K4275" s="34">
        <f t="shared" si="132"/>
        <v>1750.16</v>
      </c>
      <c r="L4275" s="34">
        <v>2.5</v>
      </c>
      <c r="M4275" s="34">
        <v>16700</v>
      </c>
      <c r="N4275" s="34">
        <f t="shared" si="133"/>
        <v>9.5419847328244263</v>
      </c>
    </row>
    <row r="4276" spans="1:14" x14ac:dyDescent="0.45">
      <c r="A4276" s="30">
        <v>2024</v>
      </c>
      <c r="B4276" s="30" t="s">
        <v>17</v>
      </c>
      <c r="C4276" s="30" t="s">
        <v>46</v>
      </c>
      <c r="D4276" s="30" t="s">
        <v>47</v>
      </c>
      <c r="E4276" s="32" t="s">
        <v>82</v>
      </c>
      <c r="F4276" s="32" t="s">
        <v>57</v>
      </c>
      <c r="G4276" s="32" t="s">
        <v>50</v>
      </c>
      <c r="H4276" s="33">
        <v>6800</v>
      </c>
      <c r="I4276" s="34">
        <f>Table3[[#This Row],[Volume, kg.]]/1000</f>
        <v>6.8</v>
      </c>
      <c r="J4276" s="34">
        <v>0.251</v>
      </c>
      <c r="K4276" s="34">
        <f t="shared" si="132"/>
        <v>1706.8</v>
      </c>
      <c r="L4276" s="34">
        <v>2.4500000000000002</v>
      </c>
      <c r="M4276" s="34">
        <v>16660</v>
      </c>
      <c r="N4276" s="34">
        <f t="shared" si="133"/>
        <v>9.760956175298805</v>
      </c>
    </row>
    <row r="4277" spans="1:14" x14ac:dyDescent="0.45">
      <c r="A4277" s="30">
        <v>2024</v>
      </c>
      <c r="B4277" s="30" t="s">
        <v>17</v>
      </c>
      <c r="C4277" s="30" t="s">
        <v>46</v>
      </c>
      <c r="D4277" s="30" t="s">
        <v>47</v>
      </c>
      <c r="E4277" s="32" t="s">
        <v>65</v>
      </c>
      <c r="F4277" s="32" t="s">
        <v>49</v>
      </c>
      <c r="G4277" s="32" t="s">
        <v>50</v>
      </c>
      <c r="H4277" s="33">
        <v>47110</v>
      </c>
      <c r="I4277" s="34">
        <f>Table3[[#This Row],[Volume, kg.]]/1000</f>
        <v>47.11</v>
      </c>
      <c r="J4277" s="34">
        <v>0.24359999999999998</v>
      </c>
      <c r="K4277" s="34">
        <f t="shared" si="132"/>
        <v>11475.995999999999</v>
      </c>
      <c r="L4277" s="34">
        <v>2.31</v>
      </c>
      <c r="M4277" s="34">
        <v>109018.5</v>
      </c>
      <c r="N4277" s="34">
        <f t="shared" si="133"/>
        <v>9.4827586206896566</v>
      </c>
    </row>
    <row r="4278" spans="1:14" x14ac:dyDescent="0.45">
      <c r="A4278" s="30">
        <v>2024</v>
      </c>
      <c r="B4278" s="30" t="s">
        <v>17</v>
      </c>
      <c r="C4278" s="30" t="s">
        <v>46</v>
      </c>
      <c r="D4278" s="30" t="s">
        <v>47</v>
      </c>
      <c r="E4278" s="32" t="s">
        <v>245</v>
      </c>
      <c r="F4278" s="32" t="s">
        <v>57</v>
      </c>
      <c r="G4278" s="32" t="s">
        <v>50</v>
      </c>
      <c r="H4278" s="33">
        <v>45610</v>
      </c>
      <c r="I4278" s="34">
        <f>Table3[[#This Row],[Volume, kg.]]/1000</f>
        <v>45.61</v>
      </c>
      <c r="J4278" s="34">
        <v>0.24660000000000001</v>
      </c>
      <c r="K4278" s="34">
        <f t="shared" si="132"/>
        <v>11247.426000000001</v>
      </c>
      <c r="L4278" s="34">
        <v>2.2999999999999998</v>
      </c>
      <c r="M4278" s="34">
        <v>105128</v>
      </c>
      <c r="N4278" s="34">
        <f t="shared" si="133"/>
        <v>9.3268450932684495</v>
      </c>
    </row>
    <row r="4279" spans="1:14" x14ac:dyDescent="0.45">
      <c r="A4279" s="30">
        <v>2024</v>
      </c>
      <c r="B4279" s="30" t="s">
        <v>17</v>
      </c>
      <c r="C4279" s="30" t="s">
        <v>46</v>
      </c>
      <c r="D4279" s="30" t="s">
        <v>47</v>
      </c>
      <c r="E4279" s="32" t="s">
        <v>303</v>
      </c>
      <c r="F4279" s="32" t="s">
        <v>57</v>
      </c>
      <c r="G4279" s="32" t="s">
        <v>50</v>
      </c>
      <c r="H4279" s="33">
        <v>29690</v>
      </c>
      <c r="I4279" s="34">
        <f>Table3[[#This Row],[Volume, kg.]]/1000</f>
        <v>29.69</v>
      </c>
      <c r="J4279" s="34">
        <v>0.25329999999999997</v>
      </c>
      <c r="K4279" s="34">
        <f t="shared" si="132"/>
        <v>7520.476999999999</v>
      </c>
      <c r="L4279" s="34">
        <v>2.33</v>
      </c>
      <c r="M4279" s="34">
        <v>69153.5</v>
      </c>
      <c r="N4279" s="34">
        <f t="shared" si="133"/>
        <v>9.1985787603632065</v>
      </c>
    </row>
    <row r="4280" spans="1:14" x14ac:dyDescent="0.45">
      <c r="A4280" s="30">
        <v>2024</v>
      </c>
      <c r="B4280" s="30" t="s">
        <v>17</v>
      </c>
      <c r="C4280" s="30" t="s">
        <v>46</v>
      </c>
      <c r="D4280" s="30" t="s">
        <v>47</v>
      </c>
      <c r="E4280" s="32" t="s">
        <v>163</v>
      </c>
      <c r="F4280" s="32" t="s">
        <v>60</v>
      </c>
      <c r="G4280" s="32" t="s">
        <v>50</v>
      </c>
      <c r="H4280" s="33">
        <v>159210</v>
      </c>
      <c r="I4280" s="34">
        <f>Table3[[#This Row],[Volume, kg.]]/1000</f>
        <v>159.21</v>
      </c>
      <c r="J4280" s="34">
        <v>0.25780000000000003</v>
      </c>
      <c r="K4280" s="34">
        <f t="shared" si="132"/>
        <v>41044.338000000003</v>
      </c>
      <c r="L4280" s="34">
        <v>2.37</v>
      </c>
      <c r="M4280" s="34">
        <v>377713.5</v>
      </c>
      <c r="N4280" s="34">
        <f t="shared" si="133"/>
        <v>9.1931730023273843</v>
      </c>
    </row>
    <row r="4281" spans="1:14" x14ac:dyDescent="0.45">
      <c r="A4281" s="30">
        <v>2024</v>
      </c>
      <c r="B4281" s="30" t="s">
        <v>17</v>
      </c>
      <c r="C4281" s="30" t="s">
        <v>46</v>
      </c>
      <c r="D4281" s="30" t="s">
        <v>47</v>
      </c>
      <c r="E4281" s="32" t="s">
        <v>229</v>
      </c>
      <c r="F4281" s="32" t="s">
        <v>57</v>
      </c>
      <c r="G4281" s="32" t="s">
        <v>50</v>
      </c>
      <c r="H4281" s="33">
        <v>14660</v>
      </c>
      <c r="I4281" s="34">
        <f>Table3[[#This Row],[Volume, kg.]]/1000</f>
        <v>14.66</v>
      </c>
      <c r="J4281" s="34">
        <v>0.24710000000000001</v>
      </c>
      <c r="K4281" s="34">
        <f t="shared" si="132"/>
        <v>3622.4860000000003</v>
      </c>
      <c r="L4281" s="34">
        <v>2.4</v>
      </c>
      <c r="M4281" s="34">
        <v>35248</v>
      </c>
      <c r="N4281" s="34">
        <f t="shared" si="133"/>
        <v>9.7126669364629699</v>
      </c>
    </row>
    <row r="4282" spans="1:14" x14ac:dyDescent="0.45">
      <c r="A4282" s="30">
        <v>2024</v>
      </c>
      <c r="B4282" s="30" t="s">
        <v>17</v>
      </c>
      <c r="C4282" s="30" t="s">
        <v>46</v>
      </c>
      <c r="D4282" s="30" t="s">
        <v>47</v>
      </c>
      <c r="E4282" s="32" t="s">
        <v>172</v>
      </c>
      <c r="F4282" s="32" t="s">
        <v>57</v>
      </c>
      <c r="G4282" s="32" t="s">
        <v>50</v>
      </c>
      <c r="H4282" s="33">
        <v>17340</v>
      </c>
      <c r="I4282" s="34">
        <f>Table3[[#This Row],[Volume, kg.]]/1000</f>
        <v>17.34</v>
      </c>
      <c r="J4282" s="34">
        <v>0.25569999999999998</v>
      </c>
      <c r="K4282" s="34">
        <f t="shared" si="132"/>
        <v>4433.8379999999997</v>
      </c>
      <c r="L4282" s="34">
        <v>2.4700000000000002</v>
      </c>
      <c r="M4282" s="34">
        <v>42819</v>
      </c>
      <c r="N4282" s="34">
        <f t="shared" si="133"/>
        <v>9.6597575283535413</v>
      </c>
    </row>
    <row r="4283" spans="1:14" x14ac:dyDescent="0.45">
      <c r="A4283" s="30">
        <v>2024</v>
      </c>
      <c r="B4283" s="30" t="s">
        <v>17</v>
      </c>
      <c r="C4283" s="30" t="s">
        <v>46</v>
      </c>
      <c r="D4283" s="30" t="s">
        <v>47</v>
      </c>
      <c r="E4283" s="32" t="s">
        <v>170</v>
      </c>
      <c r="F4283" s="32" t="s">
        <v>49</v>
      </c>
      <c r="G4283" s="32" t="s">
        <v>50</v>
      </c>
      <c r="H4283" s="33">
        <v>11100</v>
      </c>
      <c r="I4283" s="34">
        <f>Table3[[#This Row],[Volume, kg.]]/1000</f>
        <v>11.1</v>
      </c>
      <c r="J4283" s="34">
        <v>0.23100000000000001</v>
      </c>
      <c r="K4283" s="34">
        <f t="shared" si="132"/>
        <v>2564.1</v>
      </c>
      <c r="L4283" s="34">
        <v>2.25</v>
      </c>
      <c r="M4283" s="34">
        <v>24975</v>
      </c>
      <c r="N4283" s="34">
        <f t="shared" si="133"/>
        <v>9.7402597402597397</v>
      </c>
    </row>
    <row r="4284" spans="1:14" x14ac:dyDescent="0.45">
      <c r="A4284" s="30">
        <v>2024</v>
      </c>
      <c r="B4284" s="30" t="s">
        <v>17</v>
      </c>
      <c r="C4284" s="30" t="s">
        <v>46</v>
      </c>
      <c r="D4284" s="30" t="s">
        <v>47</v>
      </c>
      <c r="E4284" s="32" t="s">
        <v>320</v>
      </c>
      <c r="F4284" s="32" t="s">
        <v>49</v>
      </c>
      <c r="G4284" s="32" t="s">
        <v>50</v>
      </c>
      <c r="H4284" s="33">
        <v>43680</v>
      </c>
      <c r="I4284" s="34">
        <f>Table3[[#This Row],[Volume, kg.]]/1000</f>
        <v>43.68</v>
      </c>
      <c r="J4284" s="34">
        <v>0.23530000000000001</v>
      </c>
      <c r="K4284" s="34">
        <f t="shared" si="132"/>
        <v>10277.904</v>
      </c>
      <c r="L4284" s="34">
        <v>2.2799999999999998</v>
      </c>
      <c r="M4284" s="34">
        <v>99443.5</v>
      </c>
      <c r="N4284" s="34">
        <f t="shared" si="133"/>
        <v>9.6897577560560979</v>
      </c>
    </row>
    <row r="4285" spans="1:14" x14ac:dyDescent="0.45">
      <c r="A4285" s="30">
        <v>2024</v>
      </c>
      <c r="B4285" s="30" t="s">
        <v>17</v>
      </c>
      <c r="C4285" s="30" t="s">
        <v>46</v>
      </c>
      <c r="D4285" s="30" t="s">
        <v>47</v>
      </c>
      <c r="E4285" s="32" t="s">
        <v>301</v>
      </c>
      <c r="F4285" s="32" t="s">
        <v>60</v>
      </c>
      <c r="G4285" s="32" t="s">
        <v>50</v>
      </c>
      <c r="H4285" s="33">
        <v>192090</v>
      </c>
      <c r="I4285" s="34">
        <f>Table3[[#This Row],[Volume, kg.]]/1000</f>
        <v>192.09</v>
      </c>
      <c r="J4285" s="34">
        <v>0.28489999999999999</v>
      </c>
      <c r="K4285" s="34">
        <f t="shared" si="132"/>
        <v>54726.440999999999</v>
      </c>
      <c r="L4285" s="34">
        <v>2.5</v>
      </c>
      <c r="M4285" s="34">
        <v>479734.5</v>
      </c>
      <c r="N4285" s="34">
        <f t="shared" si="133"/>
        <v>8.7750087750087751</v>
      </c>
    </row>
    <row r="4286" spans="1:14" x14ac:dyDescent="0.45">
      <c r="A4286" s="30">
        <v>2024</v>
      </c>
      <c r="B4286" s="30" t="s">
        <v>17</v>
      </c>
      <c r="C4286" s="30" t="s">
        <v>46</v>
      </c>
      <c r="D4286" s="30" t="s">
        <v>47</v>
      </c>
      <c r="E4286" s="32" t="s">
        <v>461</v>
      </c>
      <c r="F4286" s="32" t="s">
        <v>54</v>
      </c>
      <c r="G4286" s="32" t="s">
        <v>50</v>
      </c>
      <c r="H4286" s="33">
        <v>51340</v>
      </c>
      <c r="I4286" s="34">
        <f>Table3[[#This Row],[Volume, kg.]]/1000</f>
        <v>51.34</v>
      </c>
      <c r="J4286" s="34">
        <v>0.2492</v>
      </c>
      <c r="K4286" s="34">
        <f t="shared" si="132"/>
        <v>12793.928</v>
      </c>
      <c r="L4286" s="34">
        <v>2.33</v>
      </c>
      <c r="M4286" s="34">
        <v>119407</v>
      </c>
      <c r="N4286" s="34">
        <f t="shared" si="133"/>
        <v>9.3499197431781695</v>
      </c>
    </row>
    <row r="4287" spans="1:14" x14ac:dyDescent="0.45">
      <c r="A4287" s="30">
        <v>2024</v>
      </c>
      <c r="B4287" s="30" t="s">
        <v>17</v>
      </c>
      <c r="C4287" s="30" t="s">
        <v>46</v>
      </c>
      <c r="D4287" s="30" t="s">
        <v>47</v>
      </c>
      <c r="E4287" s="32" t="s">
        <v>174</v>
      </c>
      <c r="F4287" s="32" t="s">
        <v>57</v>
      </c>
      <c r="G4287" s="32" t="s">
        <v>50</v>
      </c>
      <c r="H4287" s="33">
        <v>21690</v>
      </c>
      <c r="I4287" s="34">
        <f>Table3[[#This Row],[Volume, kg.]]/1000</f>
        <v>21.69</v>
      </c>
      <c r="J4287" s="34">
        <v>0.20430000000000001</v>
      </c>
      <c r="K4287" s="34">
        <f t="shared" si="132"/>
        <v>4431.2669999999998</v>
      </c>
      <c r="L4287" s="34">
        <v>2.0699999999999998</v>
      </c>
      <c r="M4287" s="34">
        <v>44904</v>
      </c>
      <c r="N4287" s="34">
        <f t="shared" si="133"/>
        <v>10.132158590308368</v>
      </c>
    </row>
    <row r="4288" spans="1:14" x14ac:dyDescent="0.45">
      <c r="A4288" s="30">
        <v>2024</v>
      </c>
      <c r="B4288" s="30" t="s">
        <v>17</v>
      </c>
      <c r="C4288" s="30" t="s">
        <v>46</v>
      </c>
      <c r="D4288" s="30" t="s">
        <v>47</v>
      </c>
      <c r="E4288" s="32" t="s">
        <v>325</v>
      </c>
      <c r="F4288" s="32" t="s">
        <v>60</v>
      </c>
      <c r="G4288" s="32" t="s">
        <v>50</v>
      </c>
      <c r="H4288" s="33">
        <v>64520</v>
      </c>
      <c r="I4288" s="34">
        <f>Table3[[#This Row],[Volume, kg.]]/1000</f>
        <v>64.52</v>
      </c>
      <c r="J4288" s="34">
        <v>0.2802</v>
      </c>
      <c r="K4288" s="34">
        <f t="shared" si="132"/>
        <v>18078.504000000001</v>
      </c>
      <c r="L4288" s="34">
        <v>2.5299999999999998</v>
      </c>
      <c r="M4288" s="34">
        <v>163361</v>
      </c>
      <c r="N4288" s="34">
        <f t="shared" si="133"/>
        <v>9.0292648108493925</v>
      </c>
    </row>
    <row r="4289" spans="1:14" x14ac:dyDescent="0.45">
      <c r="A4289" s="30">
        <v>2024</v>
      </c>
      <c r="B4289" s="30" t="s">
        <v>17</v>
      </c>
      <c r="C4289" s="30" t="s">
        <v>46</v>
      </c>
      <c r="D4289" s="30" t="s">
        <v>47</v>
      </c>
      <c r="E4289" s="32" t="s">
        <v>51</v>
      </c>
      <c r="F4289" s="32" t="s">
        <v>49</v>
      </c>
      <c r="G4289" s="32" t="s">
        <v>50</v>
      </c>
      <c r="H4289" s="33">
        <v>16150</v>
      </c>
      <c r="I4289" s="34">
        <f>Table3[[#This Row],[Volume, kg.]]/1000</f>
        <v>16.149999999999999</v>
      </c>
      <c r="J4289" s="34">
        <v>0.245</v>
      </c>
      <c r="K4289" s="34">
        <f t="shared" si="132"/>
        <v>3956.75</v>
      </c>
      <c r="L4289" s="34">
        <v>2.35</v>
      </c>
      <c r="M4289" s="34">
        <v>37900</v>
      </c>
      <c r="N4289" s="34">
        <f t="shared" si="133"/>
        <v>9.591836734693878</v>
      </c>
    </row>
    <row r="4290" spans="1:14" x14ac:dyDescent="0.45">
      <c r="A4290" s="30">
        <v>2024</v>
      </c>
      <c r="B4290" s="30" t="s">
        <v>17</v>
      </c>
      <c r="C4290" s="30" t="s">
        <v>46</v>
      </c>
      <c r="D4290" s="30" t="s">
        <v>47</v>
      </c>
      <c r="E4290" s="32" t="s">
        <v>179</v>
      </c>
      <c r="F4290" s="32" t="s">
        <v>60</v>
      </c>
      <c r="G4290" s="32" t="s">
        <v>50</v>
      </c>
      <c r="H4290" s="33">
        <v>106450</v>
      </c>
      <c r="I4290" s="34">
        <f>Table3[[#This Row],[Volume, kg.]]/1000</f>
        <v>106.45</v>
      </c>
      <c r="J4290" s="34">
        <v>0.27060000000000001</v>
      </c>
      <c r="K4290" s="34">
        <f t="shared" si="132"/>
        <v>28805.37</v>
      </c>
      <c r="L4290" s="34">
        <v>2.46</v>
      </c>
      <c r="M4290" s="34">
        <v>261745.5</v>
      </c>
      <c r="N4290" s="34">
        <f t="shared" si="133"/>
        <v>9.0909090909090899</v>
      </c>
    </row>
    <row r="4291" spans="1:14" x14ac:dyDescent="0.45">
      <c r="A4291" s="30">
        <v>2024</v>
      </c>
      <c r="B4291" s="30" t="s">
        <v>17</v>
      </c>
      <c r="C4291" s="30" t="s">
        <v>46</v>
      </c>
      <c r="D4291" s="30" t="s">
        <v>47</v>
      </c>
      <c r="E4291" s="32" t="s">
        <v>258</v>
      </c>
      <c r="F4291" s="32" t="s">
        <v>49</v>
      </c>
      <c r="G4291" s="32" t="s">
        <v>50</v>
      </c>
      <c r="H4291" s="33">
        <v>958710</v>
      </c>
      <c r="I4291" s="34">
        <f>Table3[[#This Row],[Volume, kg.]]/1000</f>
        <v>958.71</v>
      </c>
      <c r="J4291" s="34">
        <v>0.24440000000000001</v>
      </c>
      <c r="K4291" s="34">
        <f t="shared" ref="K4291:K4354" si="134">H4291*J4291</f>
        <v>234308.72400000002</v>
      </c>
      <c r="L4291" s="34">
        <v>2.31</v>
      </c>
      <c r="M4291" s="34">
        <v>2212389.5</v>
      </c>
      <c r="N4291" s="34">
        <f t="shared" si="133"/>
        <v>9.4517184942716863</v>
      </c>
    </row>
    <row r="4292" spans="1:14" x14ac:dyDescent="0.45">
      <c r="A4292" s="30">
        <v>2024</v>
      </c>
      <c r="B4292" s="30" t="s">
        <v>17</v>
      </c>
      <c r="C4292" s="30" t="s">
        <v>46</v>
      </c>
      <c r="D4292" s="30" t="s">
        <v>47</v>
      </c>
      <c r="E4292" s="32" t="s">
        <v>363</v>
      </c>
      <c r="F4292" s="32" t="s">
        <v>60</v>
      </c>
      <c r="G4292" s="32" t="s">
        <v>50</v>
      </c>
      <c r="H4292" s="33">
        <v>107920</v>
      </c>
      <c r="I4292" s="34">
        <f>Table3[[#This Row],[Volume, kg.]]/1000</f>
        <v>107.92</v>
      </c>
      <c r="J4292" s="34">
        <v>0.2646</v>
      </c>
      <c r="K4292" s="34">
        <f t="shared" si="134"/>
        <v>28555.632000000001</v>
      </c>
      <c r="L4292" s="34">
        <v>2.41</v>
      </c>
      <c r="M4292" s="34">
        <v>260097.5</v>
      </c>
      <c r="N4292" s="34">
        <f t="shared" ref="N4292:N4355" si="135">L4292/J4292</f>
        <v>9.1080876795162506</v>
      </c>
    </row>
    <row r="4293" spans="1:14" x14ac:dyDescent="0.45">
      <c r="A4293" s="30">
        <v>2024</v>
      </c>
      <c r="B4293" s="30" t="s">
        <v>17</v>
      </c>
      <c r="C4293" s="30" t="s">
        <v>46</v>
      </c>
      <c r="D4293" s="30" t="s">
        <v>47</v>
      </c>
      <c r="E4293" s="32" t="s">
        <v>166</v>
      </c>
      <c r="F4293" s="32" t="s">
        <v>49</v>
      </c>
      <c r="G4293" s="32" t="s">
        <v>50</v>
      </c>
      <c r="H4293" s="33">
        <v>40660</v>
      </c>
      <c r="I4293" s="34">
        <f>Table3[[#This Row],[Volume, kg.]]/1000</f>
        <v>40.659999999999997</v>
      </c>
      <c r="J4293" s="34">
        <v>0.24510000000000001</v>
      </c>
      <c r="K4293" s="34">
        <f t="shared" si="134"/>
        <v>9965.7659999999996</v>
      </c>
      <c r="L4293" s="34">
        <v>2.31</v>
      </c>
      <c r="M4293" s="34">
        <v>93730</v>
      </c>
      <c r="N4293" s="34">
        <f t="shared" si="135"/>
        <v>9.4247246022031828</v>
      </c>
    </row>
    <row r="4294" spans="1:14" x14ac:dyDescent="0.45">
      <c r="A4294" s="30">
        <v>2024</v>
      </c>
      <c r="B4294" s="30" t="s">
        <v>17</v>
      </c>
      <c r="C4294" s="30" t="s">
        <v>46</v>
      </c>
      <c r="D4294" s="30" t="s">
        <v>47</v>
      </c>
      <c r="E4294" s="32" t="s">
        <v>293</v>
      </c>
      <c r="F4294" s="32" t="s">
        <v>60</v>
      </c>
      <c r="G4294" s="32" t="s">
        <v>50</v>
      </c>
      <c r="H4294" s="33">
        <v>157540</v>
      </c>
      <c r="I4294" s="34">
        <f>Table3[[#This Row],[Volume, kg.]]/1000</f>
        <v>157.54</v>
      </c>
      <c r="J4294" s="34">
        <v>0.2742</v>
      </c>
      <c r="K4294" s="34">
        <f t="shared" si="134"/>
        <v>43197.468000000001</v>
      </c>
      <c r="L4294" s="34">
        <v>2.4500000000000002</v>
      </c>
      <c r="M4294" s="34">
        <v>386064.5</v>
      </c>
      <c r="N4294" s="34">
        <f t="shared" si="135"/>
        <v>8.9350838803792865</v>
      </c>
    </row>
    <row r="4295" spans="1:14" x14ac:dyDescent="0.45">
      <c r="A4295" s="30">
        <v>2024</v>
      </c>
      <c r="B4295" s="30" t="s">
        <v>17</v>
      </c>
      <c r="C4295" s="30" t="s">
        <v>46</v>
      </c>
      <c r="D4295" s="30" t="s">
        <v>47</v>
      </c>
      <c r="E4295" s="32" t="s">
        <v>242</v>
      </c>
      <c r="F4295" s="32" t="s">
        <v>60</v>
      </c>
      <c r="G4295" s="32" t="s">
        <v>50</v>
      </c>
      <c r="H4295" s="33">
        <v>34850</v>
      </c>
      <c r="I4295" s="34">
        <f>Table3[[#This Row],[Volume, kg.]]/1000</f>
        <v>34.85</v>
      </c>
      <c r="J4295" s="34">
        <v>0.28239999999999998</v>
      </c>
      <c r="K4295" s="34">
        <f t="shared" si="134"/>
        <v>9841.64</v>
      </c>
      <c r="L4295" s="34">
        <v>2.4700000000000002</v>
      </c>
      <c r="M4295" s="34">
        <v>86067</v>
      </c>
      <c r="N4295" s="34">
        <f t="shared" si="135"/>
        <v>8.7464589235127495</v>
      </c>
    </row>
    <row r="4296" spans="1:14" x14ac:dyDescent="0.45">
      <c r="A4296" s="30">
        <v>2024</v>
      </c>
      <c r="B4296" s="30" t="s">
        <v>17</v>
      </c>
      <c r="C4296" s="30" t="s">
        <v>46</v>
      </c>
      <c r="D4296" s="30" t="s">
        <v>47</v>
      </c>
      <c r="E4296" s="32" t="s">
        <v>384</v>
      </c>
      <c r="F4296" s="32" t="s">
        <v>60</v>
      </c>
      <c r="G4296" s="32" t="s">
        <v>50</v>
      </c>
      <c r="H4296" s="33">
        <v>3470</v>
      </c>
      <c r="I4296" s="34">
        <f>Table3[[#This Row],[Volume, kg.]]/1000</f>
        <v>3.47</v>
      </c>
      <c r="J4296" s="34">
        <v>0.23399999999999999</v>
      </c>
      <c r="K4296" s="34">
        <f t="shared" si="134"/>
        <v>811.9799999999999</v>
      </c>
      <c r="L4296" s="34">
        <v>2.35</v>
      </c>
      <c r="M4296" s="34">
        <v>8154.5</v>
      </c>
      <c r="N4296" s="34">
        <f t="shared" si="135"/>
        <v>10.042735042735044</v>
      </c>
    </row>
    <row r="4297" spans="1:14" x14ac:dyDescent="0.45">
      <c r="A4297" s="30">
        <v>2024</v>
      </c>
      <c r="B4297" s="30" t="s">
        <v>17</v>
      </c>
      <c r="C4297" s="30" t="s">
        <v>46</v>
      </c>
      <c r="D4297" s="30" t="s">
        <v>47</v>
      </c>
      <c r="E4297" s="32" t="s">
        <v>244</v>
      </c>
      <c r="F4297" s="32" t="s">
        <v>60</v>
      </c>
      <c r="G4297" s="32" t="s">
        <v>50</v>
      </c>
      <c r="H4297" s="33">
        <v>95520</v>
      </c>
      <c r="I4297" s="34">
        <f>Table3[[#This Row],[Volume, kg.]]/1000</f>
        <v>95.52</v>
      </c>
      <c r="J4297" s="34">
        <v>0.25409999999999999</v>
      </c>
      <c r="K4297" s="34">
        <f t="shared" si="134"/>
        <v>24271.631999999998</v>
      </c>
      <c r="L4297" s="34">
        <v>2.35</v>
      </c>
      <c r="M4297" s="34">
        <v>224392</v>
      </c>
      <c r="N4297" s="34">
        <f t="shared" si="135"/>
        <v>9.2483274301456131</v>
      </c>
    </row>
    <row r="4298" spans="1:14" x14ac:dyDescent="0.45">
      <c r="A4298" s="30">
        <v>2024</v>
      </c>
      <c r="B4298" s="30" t="s">
        <v>17</v>
      </c>
      <c r="C4298" s="30" t="s">
        <v>46</v>
      </c>
      <c r="D4298" s="30" t="s">
        <v>47</v>
      </c>
      <c r="E4298" s="32" t="s">
        <v>256</v>
      </c>
      <c r="F4298" s="32" t="s">
        <v>81</v>
      </c>
      <c r="G4298" s="32" t="s">
        <v>50</v>
      </c>
      <c r="H4298" s="33">
        <v>58440</v>
      </c>
      <c r="I4298" s="34">
        <f>Table3[[#This Row],[Volume, kg.]]/1000</f>
        <v>58.44</v>
      </c>
      <c r="J4298" s="34">
        <v>0.2414</v>
      </c>
      <c r="K4298" s="34">
        <f t="shared" si="134"/>
        <v>14107.416000000001</v>
      </c>
      <c r="L4298" s="34">
        <v>2.34</v>
      </c>
      <c r="M4298" s="34">
        <v>136466.5</v>
      </c>
      <c r="N4298" s="34">
        <f t="shared" si="135"/>
        <v>9.6934548467274233</v>
      </c>
    </row>
    <row r="4299" spans="1:14" x14ac:dyDescent="0.45">
      <c r="A4299" s="30">
        <v>2024</v>
      </c>
      <c r="B4299" s="30" t="s">
        <v>17</v>
      </c>
      <c r="C4299" s="30" t="s">
        <v>46</v>
      </c>
      <c r="D4299" s="30" t="s">
        <v>47</v>
      </c>
      <c r="E4299" s="32" t="s">
        <v>287</v>
      </c>
      <c r="F4299" s="32" t="s">
        <v>60</v>
      </c>
      <c r="G4299" s="32" t="s">
        <v>50</v>
      </c>
      <c r="H4299" s="33">
        <v>44420</v>
      </c>
      <c r="I4299" s="34">
        <f>Table3[[#This Row],[Volume, kg.]]/1000</f>
        <v>44.42</v>
      </c>
      <c r="J4299" s="34">
        <v>0.245</v>
      </c>
      <c r="K4299" s="34">
        <f t="shared" si="134"/>
        <v>10882.9</v>
      </c>
      <c r="L4299" s="34">
        <v>2.34</v>
      </c>
      <c r="M4299" s="34">
        <v>104143.5</v>
      </c>
      <c r="N4299" s="34">
        <f t="shared" si="135"/>
        <v>9.5510204081632644</v>
      </c>
    </row>
    <row r="4300" spans="1:14" x14ac:dyDescent="0.45">
      <c r="A4300" s="30">
        <v>2024</v>
      </c>
      <c r="B4300" s="30" t="s">
        <v>17</v>
      </c>
      <c r="C4300" s="30" t="s">
        <v>46</v>
      </c>
      <c r="D4300" s="30" t="s">
        <v>47</v>
      </c>
      <c r="E4300" s="32" t="s">
        <v>164</v>
      </c>
      <c r="F4300" s="32" t="s">
        <v>49</v>
      </c>
      <c r="G4300" s="32" t="s">
        <v>50</v>
      </c>
      <c r="H4300" s="33">
        <v>70950</v>
      </c>
      <c r="I4300" s="34">
        <f>Table3[[#This Row],[Volume, kg.]]/1000</f>
        <v>70.95</v>
      </c>
      <c r="J4300" s="34">
        <v>0.2412</v>
      </c>
      <c r="K4300" s="34">
        <f t="shared" si="134"/>
        <v>17113.14</v>
      </c>
      <c r="L4300" s="34">
        <v>2.2799999999999998</v>
      </c>
      <c r="M4300" s="34">
        <v>161910.5</v>
      </c>
      <c r="N4300" s="34">
        <f t="shared" si="135"/>
        <v>9.4527363184079594</v>
      </c>
    </row>
    <row r="4301" spans="1:14" x14ac:dyDescent="0.45">
      <c r="A4301" s="30">
        <v>2024</v>
      </c>
      <c r="B4301" s="30" t="s">
        <v>17</v>
      </c>
      <c r="C4301" s="30" t="s">
        <v>46</v>
      </c>
      <c r="D4301" s="30" t="s">
        <v>47</v>
      </c>
      <c r="E4301" s="32" t="s">
        <v>220</v>
      </c>
      <c r="F4301" s="32" t="s">
        <v>49</v>
      </c>
      <c r="G4301" s="32" t="s">
        <v>50</v>
      </c>
      <c r="H4301" s="33">
        <v>51750</v>
      </c>
      <c r="I4301" s="34">
        <f>Table3[[#This Row],[Volume, kg.]]/1000</f>
        <v>51.75</v>
      </c>
      <c r="J4301" s="34">
        <v>0.24260000000000001</v>
      </c>
      <c r="K4301" s="34">
        <f t="shared" si="134"/>
        <v>12554.550000000001</v>
      </c>
      <c r="L4301" s="34">
        <v>2.29</v>
      </c>
      <c r="M4301" s="34">
        <v>118436</v>
      </c>
      <c r="N4301" s="34">
        <f t="shared" si="135"/>
        <v>9.4394064303380052</v>
      </c>
    </row>
    <row r="4302" spans="1:14" x14ac:dyDescent="0.45">
      <c r="A4302" s="30">
        <v>2024</v>
      </c>
      <c r="B4302" s="30" t="s">
        <v>17</v>
      </c>
      <c r="C4302" s="30" t="s">
        <v>46</v>
      </c>
      <c r="D4302" s="30" t="s">
        <v>47</v>
      </c>
      <c r="E4302" s="32" t="s">
        <v>294</v>
      </c>
      <c r="F4302" s="32" t="s">
        <v>81</v>
      </c>
      <c r="G4302" s="32" t="s">
        <v>50</v>
      </c>
      <c r="H4302" s="33">
        <v>36830</v>
      </c>
      <c r="I4302" s="34">
        <f>Table3[[#This Row],[Volume, kg.]]/1000</f>
        <v>36.83</v>
      </c>
      <c r="J4302" s="34">
        <v>0.25869999999999999</v>
      </c>
      <c r="K4302" s="34">
        <f t="shared" si="134"/>
        <v>9527.9210000000003</v>
      </c>
      <c r="L4302" s="34">
        <v>2.36</v>
      </c>
      <c r="M4302" s="34">
        <v>86895</v>
      </c>
      <c r="N4302" s="34">
        <f t="shared" si="135"/>
        <v>9.122535755701584</v>
      </c>
    </row>
    <row r="4303" spans="1:14" x14ac:dyDescent="0.45">
      <c r="A4303" s="30">
        <v>2024</v>
      </c>
      <c r="B4303" s="30" t="s">
        <v>17</v>
      </c>
      <c r="C4303" s="30" t="s">
        <v>46</v>
      </c>
      <c r="D4303" s="30" t="s">
        <v>47</v>
      </c>
      <c r="E4303" s="32" t="s">
        <v>358</v>
      </c>
      <c r="F4303" s="32" t="s">
        <v>60</v>
      </c>
      <c r="G4303" s="32" t="s">
        <v>50</v>
      </c>
      <c r="H4303" s="33">
        <v>158990</v>
      </c>
      <c r="I4303" s="34">
        <f>Table3[[#This Row],[Volume, kg.]]/1000</f>
        <v>158.99</v>
      </c>
      <c r="J4303" s="34">
        <v>0.26350000000000001</v>
      </c>
      <c r="K4303" s="34">
        <f t="shared" si="134"/>
        <v>41893.865000000005</v>
      </c>
      <c r="L4303" s="34">
        <v>2.4</v>
      </c>
      <c r="M4303" s="34">
        <v>381460</v>
      </c>
      <c r="N4303" s="34">
        <f t="shared" si="135"/>
        <v>9.1081593927893731</v>
      </c>
    </row>
    <row r="4304" spans="1:14" x14ac:dyDescent="0.45">
      <c r="A4304" s="30">
        <v>2024</v>
      </c>
      <c r="B4304" s="30" t="s">
        <v>17</v>
      </c>
      <c r="C4304" s="30" t="s">
        <v>46</v>
      </c>
      <c r="D4304" s="30" t="s">
        <v>47</v>
      </c>
      <c r="E4304" s="32" t="s">
        <v>464</v>
      </c>
      <c r="F4304" s="32" t="s">
        <v>57</v>
      </c>
      <c r="G4304" s="32" t="s">
        <v>50</v>
      </c>
      <c r="H4304" s="33">
        <v>30960</v>
      </c>
      <c r="I4304" s="34">
        <f>Table3[[#This Row],[Volume, kg.]]/1000</f>
        <v>30.96</v>
      </c>
      <c r="J4304" s="34">
        <v>0.2762</v>
      </c>
      <c r="K4304" s="34">
        <f t="shared" si="134"/>
        <v>8551.152</v>
      </c>
      <c r="L4304" s="34">
        <v>2.4700000000000002</v>
      </c>
      <c r="M4304" s="34">
        <v>76588.5</v>
      </c>
      <c r="N4304" s="34">
        <f t="shared" si="135"/>
        <v>8.942795076031862</v>
      </c>
    </row>
    <row r="4305" spans="1:14" x14ac:dyDescent="0.45">
      <c r="A4305" s="30">
        <v>2024</v>
      </c>
      <c r="B4305" s="30" t="s">
        <v>17</v>
      </c>
      <c r="C4305" s="30" t="s">
        <v>46</v>
      </c>
      <c r="D4305" s="30" t="s">
        <v>47</v>
      </c>
      <c r="E4305" s="32" t="s">
        <v>260</v>
      </c>
      <c r="F4305" s="32" t="s">
        <v>49</v>
      </c>
      <c r="G4305" s="32" t="s">
        <v>50</v>
      </c>
      <c r="H4305" s="33">
        <v>51100</v>
      </c>
      <c r="I4305" s="34">
        <f>Table3[[#This Row],[Volume, kg.]]/1000</f>
        <v>51.1</v>
      </c>
      <c r="J4305" s="34">
        <v>0.24359999999999998</v>
      </c>
      <c r="K4305" s="34">
        <f t="shared" si="134"/>
        <v>12447.96</v>
      </c>
      <c r="L4305" s="34">
        <v>2.2799999999999998</v>
      </c>
      <c r="M4305" s="34">
        <v>116372.5</v>
      </c>
      <c r="N4305" s="34">
        <f t="shared" si="135"/>
        <v>9.3596059113300498</v>
      </c>
    </row>
    <row r="4306" spans="1:14" x14ac:dyDescent="0.45">
      <c r="A4306" s="30">
        <v>2024</v>
      </c>
      <c r="B4306" s="30" t="s">
        <v>17</v>
      </c>
      <c r="C4306" s="30" t="s">
        <v>46</v>
      </c>
      <c r="D4306" s="30" t="s">
        <v>47</v>
      </c>
      <c r="E4306" s="32" t="s">
        <v>689</v>
      </c>
      <c r="F4306" s="32" t="s">
        <v>49</v>
      </c>
      <c r="G4306" s="32" t="s">
        <v>50</v>
      </c>
      <c r="H4306" s="33">
        <v>25210</v>
      </c>
      <c r="I4306" s="34">
        <f>Table3[[#This Row],[Volume, kg.]]/1000</f>
        <v>25.21</v>
      </c>
      <c r="J4306" s="34">
        <v>0.21309999999999998</v>
      </c>
      <c r="K4306" s="34">
        <f t="shared" si="134"/>
        <v>5372.2509999999993</v>
      </c>
      <c r="L4306" s="34">
        <v>2.14</v>
      </c>
      <c r="M4306" s="34">
        <v>54037</v>
      </c>
      <c r="N4306" s="34">
        <f t="shared" si="135"/>
        <v>10.042233693101831</v>
      </c>
    </row>
    <row r="4307" spans="1:14" x14ac:dyDescent="0.45">
      <c r="A4307" s="30">
        <v>2024</v>
      </c>
      <c r="B4307" s="30" t="s">
        <v>17</v>
      </c>
      <c r="C4307" s="30" t="s">
        <v>46</v>
      </c>
      <c r="D4307" s="30" t="s">
        <v>47</v>
      </c>
      <c r="E4307" s="32" t="s">
        <v>429</v>
      </c>
      <c r="F4307" s="32" t="s">
        <v>54</v>
      </c>
      <c r="G4307" s="32" t="s">
        <v>50</v>
      </c>
      <c r="H4307" s="33">
        <v>4790</v>
      </c>
      <c r="I4307" s="34">
        <f>Table3[[#This Row],[Volume, kg.]]/1000</f>
        <v>4.79</v>
      </c>
      <c r="J4307" s="34">
        <v>0.27250000000000002</v>
      </c>
      <c r="K4307" s="34">
        <f t="shared" si="134"/>
        <v>1305.2750000000001</v>
      </c>
      <c r="L4307" s="34">
        <v>2.4500000000000002</v>
      </c>
      <c r="M4307" s="34">
        <v>11735.5</v>
      </c>
      <c r="N4307" s="34">
        <f t="shared" si="135"/>
        <v>8.9908256880733948</v>
      </c>
    </row>
    <row r="4308" spans="1:14" x14ac:dyDescent="0.45">
      <c r="A4308" s="30">
        <v>2024</v>
      </c>
      <c r="B4308" s="30" t="s">
        <v>17</v>
      </c>
      <c r="C4308" s="30" t="s">
        <v>46</v>
      </c>
      <c r="D4308" s="30" t="s">
        <v>47</v>
      </c>
      <c r="E4308" s="32" t="s">
        <v>187</v>
      </c>
      <c r="F4308" s="32" t="s">
        <v>54</v>
      </c>
      <c r="G4308" s="32" t="s">
        <v>50</v>
      </c>
      <c r="H4308" s="33">
        <v>360710</v>
      </c>
      <c r="I4308" s="34">
        <f>Table3[[#This Row],[Volume, kg.]]/1000</f>
        <v>360.71</v>
      </c>
      <c r="J4308" s="34">
        <v>0.26850000000000002</v>
      </c>
      <c r="K4308" s="34">
        <f t="shared" si="134"/>
        <v>96850.635000000009</v>
      </c>
      <c r="L4308" s="34">
        <v>2.4300000000000002</v>
      </c>
      <c r="M4308" s="34">
        <v>877910.5</v>
      </c>
      <c r="N4308" s="34">
        <f t="shared" si="135"/>
        <v>9.050279329608939</v>
      </c>
    </row>
    <row r="4309" spans="1:14" x14ac:dyDescent="0.45">
      <c r="A4309" s="30">
        <v>2024</v>
      </c>
      <c r="B4309" s="30" t="s">
        <v>17</v>
      </c>
      <c r="C4309" s="30" t="s">
        <v>46</v>
      </c>
      <c r="D4309" s="30" t="s">
        <v>47</v>
      </c>
      <c r="E4309" s="32" t="s">
        <v>191</v>
      </c>
      <c r="F4309" s="32" t="s">
        <v>49</v>
      </c>
      <c r="G4309" s="32" t="s">
        <v>50</v>
      </c>
      <c r="H4309" s="33">
        <v>34930</v>
      </c>
      <c r="I4309" s="34">
        <f>Table3[[#This Row],[Volume, kg.]]/1000</f>
        <v>34.93</v>
      </c>
      <c r="J4309" s="34">
        <v>0.25290000000000001</v>
      </c>
      <c r="K4309" s="34">
        <f t="shared" si="134"/>
        <v>8833.7970000000005</v>
      </c>
      <c r="L4309" s="34">
        <v>2.37</v>
      </c>
      <c r="M4309" s="34">
        <v>82836</v>
      </c>
      <c r="N4309" s="34">
        <f t="shared" si="135"/>
        <v>9.3712930011862401</v>
      </c>
    </row>
    <row r="4310" spans="1:14" x14ac:dyDescent="0.45">
      <c r="A4310" s="30">
        <v>2024</v>
      </c>
      <c r="B4310" s="30" t="s">
        <v>17</v>
      </c>
      <c r="C4310" s="30" t="s">
        <v>46</v>
      </c>
      <c r="D4310" s="30" t="s">
        <v>47</v>
      </c>
      <c r="E4310" s="32" t="s">
        <v>291</v>
      </c>
      <c r="F4310" s="32" t="s">
        <v>57</v>
      </c>
      <c r="G4310" s="32" t="s">
        <v>50</v>
      </c>
      <c r="H4310" s="33">
        <v>35950</v>
      </c>
      <c r="I4310" s="34">
        <f>Table3[[#This Row],[Volume, kg.]]/1000</f>
        <v>35.950000000000003</v>
      </c>
      <c r="J4310" s="34">
        <v>0.26800000000000002</v>
      </c>
      <c r="K4310" s="34">
        <f t="shared" si="134"/>
        <v>9634.6</v>
      </c>
      <c r="L4310" s="34">
        <v>2.4500000000000002</v>
      </c>
      <c r="M4310" s="34">
        <v>88077.5</v>
      </c>
      <c r="N4310" s="34">
        <f t="shared" si="135"/>
        <v>9.1417910447761201</v>
      </c>
    </row>
    <row r="4311" spans="1:14" x14ac:dyDescent="0.45">
      <c r="A4311" s="30">
        <v>2024</v>
      </c>
      <c r="B4311" s="30" t="s">
        <v>17</v>
      </c>
      <c r="C4311" s="30" t="s">
        <v>46</v>
      </c>
      <c r="D4311" s="30" t="s">
        <v>47</v>
      </c>
      <c r="E4311" s="32" t="s">
        <v>352</v>
      </c>
      <c r="F4311" s="32" t="s">
        <v>54</v>
      </c>
      <c r="G4311" s="32" t="s">
        <v>50</v>
      </c>
      <c r="H4311" s="33">
        <v>143890</v>
      </c>
      <c r="I4311" s="34">
        <f>Table3[[#This Row],[Volume, kg.]]/1000</f>
        <v>143.88999999999999</v>
      </c>
      <c r="J4311" s="34">
        <v>0.22989999999999999</v>
      </c>
      <c r="K4311" s="34">
        <f t="shared" si="134"/>
        <v>33080.311000000002</v>
      </c>
      <c r="L4311" s="34">
        <v>2.23</v>
      </c>
      <c r="M4311" s="34">
        <v>320887.5</v>
      </c>
      <c r="N4311" s="34">
        <f t="shared" si="135"/>
        <v>9.6998695084819495</v>
      </c>
    </row>
    <row r="4312" spans="1:14" x14ac:dyDescent="0.45">
      <c r="A4312" s="30">
        <v>2024</v>
      </c>
      <c r="B4312" s="30" t="s">
        <v>17</v>
      </c>
      <c r="C4312" s="30" t="s">
        <v>46</v>
      </c>
      <c r="D4312" s="30" t="s">
        <v>47</v>
      </c>
      <c r="E4312" s="32" t="s">
        <v>465</v>
      </c>
      <c r="F4312" s="32" t="s">
        <v>57</v>
      </c>
      <c r="G4312" s="32" t="s">
        <v>50</v>
      </c>
      <c r="H4312" s="33">
        <v>136680</v>
      </c>
      <c r="I4312" s="34">
        <f>Table3[[#This Row],[Volume, kg.]]/1000</f>
        <v>136.68</v>
      </c>
      <c r="J4312" s="34">
        <v>0.2742</v>
      </c>
      <c r="K4312" s="34">
        <f t="shared" si="134"/>
        <v>37477.656000000003</v>
      </c>
      <c r="L4312" s="34">
        <v>2.46</v>
      </c>
      <c r="M4312" s="34">
        <v>336354.5</v>
      </c>
      <c r="N4312" s="34">
        <f t="shared" si="135"/>
        <v>8.9715536105032818</v>
      </c>
    </row>
    <row r="4313" spans="1:14" x14ac:dyDescent="0.45">
      <c r="A4313" s="30">
        <v>2024</v>
      </c>
      <c r="B4313" s="30" t="s">
        <v>17</v>
      </c>
      <c r="C4313" s="30" t="s">
        <v>46</v>
      </c>
      <c r="D4313" s="30" t="s">
        <v>47</v>
      </c>
      <c r="E4313" s="32" t="s">
        <v>110</v>
      </c>
      <c r="F4313" s="32" t="s">
        <v>57</v>
      </c>
      <c r="G4313" s="32" t="s">
        <v>50</v>
      </c>
      <c r="H4313" s="33">
        <v>80910</v>
      </c>
      <c r="I4313" s="34">
        <f>Table3[[#This Row],[Volume, kg.]]/1000</f>
        <v>80.91</v>
      </c>
      <c r="J4313" s="34">
        <v>0.26860000000000001</v>
      </c>
      <c r="K4313" s="34">
        <f t="shared" si="134"/>
        <v>21732.425999999999</v>
      </c>
      <c r="L4313" s="34">
        <v>2.48</v>
      </c>
      <c r="M4313" s="34">
        <v>200797.5</v>
      </c>
      <c r="N4313" s="34">
        <f t="shared" si="135"/>
        <v>9.2330603127326878</v>
      </c>
    </row>
    <row r="4314" spans="1:14" x14ac:dyDescent="0.45">
      <c r="A4314" s="30">
        <v>2024</v>
      </c>
      <c r="B4314" s="30" t="s">
        <v>17</v>
      </c>
      <c r="C4314" s="30" t="s">
        <v>46</v>
      </c>
      <c r="D4314" s="30" t="s">
        <v>47</v>
      </c>
      <c r="E4314" s="32" t="s">
        <v>385</v>
      </c>
      <c r="F4314" s="32" t="s">
        <v>57</v>
      </c>
      <c r="G4314" s="32" t="s">
        <v>50</v>
      </c>
      <c r="H4314" s="33">
        <v>27690</v>
      </c>
      <c r="I4314" s="34">
        <f>Table3[[#This Row],[Volume, kg.]]/1000</f>
        <v>27.69</v>
      </c>
      <c r="J4314" s="34">
        <v>0.27850000000000003</v>
      </c>
      <c r="K4314" s="34">
        <f t="shared" si="134"/>
        <v>7711.6650000000009</v>
      </c>
      <c r="L4314" s="34">
        <v>2.4700000000000002</v>
      </c>
      <c r="M4314" s="34">
        <v>68444</v>
      </c>
      <c r="N4314" s="34">
        <f t="shared" si="135"/>
        <v>8.8689407540394978</v>
      </c>
    </row>
    <row r="4315" spans="1:14" x14ac:dyDescent="0.45">
      <c r="A4315" s="30">
        <v>2024</v>
      </c>
      <c r="B4315" s="30" t="s">
        <v>17</v>
      </c>
      <c r="C4315" s="30" t="s">
        <v>46</v>
      </c>
      <c r="D4315" s="30" t="s">
        <v>47</v>
      </c>
      <c r="E4315" s="32" t="s">
        <v>142</v>
      </c>
      <c r="F4315" s="32" t="s">
        <v>57</v>
      </c>
      <c r="G4315" s="32" t="s">
        <v>50</v>
      </c>
      <c r="H4315" s="33">
        <v>85780</v>
      </c>
      <c r="I4315" s="34">
        <f>Table3[[#This Row],[Volume, kg.]]/1000</f>
        <v>85.78</v>
      </c>
      <c r="J4315" s="34">
        <v>0.26269999999999999</v>
      </c>
      <c r="K4315" s="34">
        <f t="shared" si="134"/>
        <v>22534.405999999999</v>
      </c>
      <c r="L4315" s="34">
        <v>2.4500000000000002</v>
      </c>
      <c r="M4315" s="34">
        <v>210281.5</v>
      </c>
      <c r="N4315" s="34">
        <f t="shared" si="135"/>
        <v>9.3262276360867915</v>
      </c>
    </row>
    <row r="4316" spans="1:14" x14ac:dyDescent="0.45">
      <c r="A4316" s="30">
        <v>2024</v>
      </c>
      <c r="B4316" s="30" t="s">
        <v>17</v>
      </c>
      <c r="C4316" s="30" t="s">
        <v>46</v>
      </c>
      <c r="D4316" s="30" t="s">
        <v>47</v>
      </c>
      <c r="E4316" s="32" t="s">
        <v>160</v>
      </c>
      <c r="F4316" s="32" t="s">
        <v>49</v>
      </c>
      <c r="G4316" s="32" t="s">
        <v>50</v>
      </c>
      <c r="H4316" s="33">
        <v>7620</v>
      </c>
      <c r="I4316" s="34">
        <f>Table3[[#This Row],[Volume, kg.]]/1000</f>
        <v>7.62</v>
      </c>
      <c r="J4316" s="34">
        <v>0.245</v>
      </c>
      <c r="K4316" s="34">
        <f t="shared" si="134"/>
        <v>1866.8999999999999</v>
      </c>
      <c r="L4316" s="34">
        <v>2.35</v>
      </c>
      <c r="M4316" s="34">
        <v>17907</v>
      </c>
      <c r="N4316" s="34">
        <f t="shared" si="135"/>
        <v>9.591836734693878</v>
      </c>
    </row>
    <row r="4317" spans="1:14" x14ac:dyDescent="0.45">
      <c r="A4317" s="30">
        <v>2024</v>
      </c>
      <c r="B4317" s="30" t="s">
        <v>17</v>
      </c>
      <c r="C4317" s="30" t="s">
        <v>46</v>
      </c>
      <c r="D4317" s="30" t="s">
        <v>47</v>
      </c>
      <c r="E4317" s="32" t="s">
        <v>86</v>
      </c>
      <c r="F4317" s="32" t="s">
        <v>49</v>
      </c>
      <c r="G4317" s="32" t="s">
        <v>50</v>
      </c>
      <c r="H4317" s="33">
        <v>228130</v>
      </c>
      <c r="I4317" s="34">
        <f>Table3[[#This Row],[Volume, kg.]]/1000</f>
        <v>228.13</v>
      </c>
      <c r="J4317" s="34">
        <v>0.2457</v>
      </c>
      <c r="K4317" s="34">
        <f t="shared" si="134"/>
        <v>56051.540999999997</v>
      </c>
      <c r="L4317" s="34">
        <v>2.31</v>
      </c>
      <c r="M4317" s="34">
        <v>526564</v>
      </c>
      <c r="N4317" s="34">
        <f t="shared" si="135"/>
        <v>9.4017094017094021</v>
      </c>
    </row>
    <row r="4318" spans="1:14" x14ac:dyDescent="0.45">
      <c r="A4318" s="30">
        <v>2024</v>
      </c>
      <c r="B4318" s="30" t="s">
        <v>17</v>
      </c>
      <c r="C4318" s="30" t="s">
        <v>46</v>
      </c>
      <c r="D4318" s="30" t="s">
        <v>47</v>
      </c>
      <c r="E4318" s="32" t="s">
        <v>431</v>
      </c>
      <c r="F4318" s="32" t="s">
        <v>49</v>
      </c>
      <c r="G4318" s="32" t="s">
        <v>50</v>
      </c>
      <c r="H4318" s="33">
        <v>73450</v>
      </c>
      <c r="I4318" s="34">
        <f>Table3[[#This Row],[Volume, kg.]]/1000</f>
        <v>73.45</v>
      </c>
      <c r="J4318" s="34">
        <v>0.24559999999999998</v>
      </c>
      <c r="K4318" s="34">
        <f t="shared" si="134"/>
        <v>18039.32</v>
      </c>
      <c r="L4318" s="34">
        <v>2.34</v>
      </c>
      <c r="M4318" s="34">
        <v>172081.5</v>
      </c>
      <c r="N4318" s="34">
        <f t="shared" si="135"/>
        <v>9.5276872964169375</v>
      </c>
    </row>
    <row r="4319" spans="1:14" x14ac:dyDescent="0.45">
      <c r="A4319" s="30">
        <v>2024</v>
      </c>
      <c r="B4319" s="30" t="s">
        <v>17</v>
      </c>
      <c r="C4319" s="30" t="s">
        <v>46</v>
      </c>
      <c r="D4319" s="30" t="s">
        <v>47</v>
      </c>
      <c r="E4319" s="32" t="s">
        <v>167</v>
      </c>
      <c r="F4319" s="32" t="s">
        <v>49</v>
      </c>
      <c r="G4319" s="32" t="s">
        <v>50</v>
      </c>
      <c r="H4319" s="33">
        <v>200170</v>
      </c>
      <c r="I4319" s="34">
        <f>Table3[[#This Row],[Volume, kg.]]/1000</f>
        <v>200.17</v>
      </c>
      <c r="J4319" s="34">
        <v>0.25459999999999999</v>
      </c>
      <c r="K4319" s="34">
        <f t="shared" si="134"/>
        <v>50963.281999999999</v>
      </c>
      <c r="L4319" s="34">
        <v>2.37</v>
      </c>
      <c r="M4319" s="34">
        <v>475184.5</v>
      </c>
      <c r="N4319" s="34">
        <f t="shared" si="135"/>
        <v>9.308719560094266</v>
      </c>
    </row>
    <row r="4320" spans="1:14" x14ac:dyDescent="0.45">
      <c r="A4320" s="30">
        <v>2024</v>
      </c>
      <c r="B4320" s="30" t="s">
        <v>17</v>
      </c>
      <c r="C4320" s="30" t="s">
        <v>46</v>
      </c>
      <c r="D4320" s="30" t="s">
        <v>47</v>
      </c>
      <c r="E4320" s="32" t="s">
        <v>132</v>
      </c>
      <c r="F4320" s="32" t="s">
        <v>49</v>
      </c>
      <c r="G4320" s="32" t="s">
        <v>50</v>
      </c>
      <c r="H4320" s="33">
        <v>39540</v>
      </c>
      <c r="I4320" s="34">
        <f>Table3[[#This Row],[Volume, kg.]]/1000</f>
        <v>39.54</v>
      </c>
      <c r="J4320" s="34">
        <v>0.2525</v>
      </c>
      <c r="K4320" s="34">
        <f t="shared" si="134"/>
        <v>9983.85</v>
      </c>
      <c r="L4320" s="34">
        <v>2.33</v>
      </c>
      <c r="M4320" s="34">
        <v>92164</v>
      </c>
      <c r="N4320" s="34">
        <f t="shared" si="135"/>
        <v>9.227722772277227</v>
      </c>
    </row>
    <row r="4321" spans="1:14" x14ac:dyDescent="0.45">
      <c r="A4321" s="30">
        <v>2024</v>
      </c>
      <c r="B4321" s="30" t="s">
        <v>17</v>
      </c>
      <c r="C4321" s="30" t="s">
        <v>46</v>
      </c>
      <c r="D4321" s="30" t="s">
        <v>47</v>
      </c>
      <c r="E4321" s="32" t="s">
        <v>176</v>
      </c>
      <c r="F4321" s="32" t="s">
        <v>49</v>
      </c>
      <c r="G4321" s="32" t="s">
        <v>50</v>
      </c>
      <c r="H4321" s="33">
        <v>8540</v>
      </c>
      <c r="I4321" s="34">
        <f>Table3[[#This Row],[Volume, kg.]]/1000</f>
        <v>8.5399999999999991</v>
      </c>
      <c r="J4321" s="34">
        <v>0.27229999999999999</v>
      </c>
      <c r="K4321" s="34">
        <f t="shared" si="134"/>
        <v>2325.442</v>
      </c>
      <c r="L4321" s="34">
        <v>2.4700000000000002</v>
      </c>
      <c r="M4321" s="34">
        <v>21099</v>
      </c>
      <c r="N4321" s="34">
        <f t="shared" si="135"/>
        <v>9.070877708409844</v>
      </c>
    </row>
    <row r="4322" spans="1:14" x14ac:dyDescent="0.45">
      <c r="A4322" s="30">
        <v>2024</v>
      </c>
      <c r="B4322" s="30" t="s">
        <v>17</v>
      </c>
      <c r="C4322" s="30" t="s">
        <v>46</v>
      </c>
      <c r="D4322" s="30" t="s">
        <v>47</v>
      </c>
      <c r="E4322" s="32" t="s">
        <v>241</v>
      </c>
      <c r="F4322" s="32" t="s">
        <v>57</v>
      </c>
      <c r="G4322" s="32" t="s">
        <v>50</v>
      </c>
      <c r="H4322" s="33">
        <v>103870</v>
      </c>
      <c r="I4322" s="34">
        <f>Table3[[#This Row],[Volume, kg.]]/1000</f>
        <v>103.87</v>
      </c>
      <c r="J4322" s="34">
        <v>0.22739999999999999</v>
      </c>
      <c r="K4322" s="34">
        <f t="shared" si="134"/>
        <v>23620.038</v>
      </c>
      <c r="L4322" s="34">
        <v>2.23</v>
      </c>
      <c r="M4322" s="34">
        <v>231354</v>
      </c>
      <c r="N4322" s="34">
        <f t="shared" si="135"/>
        <v>9.8065083553210197</v>
      </c>
    </row>
    <row r="4323" spans="1:14" x14ac:dyDescent="0.45">
      <c r="A4323" s="30">
        <v>2024</v>
      </c>
      <c r="B4323" s="30" t="s">
        <v>17</v>
      </c>
      <c r="C4323" s="30" t="s">
        <v>46</v>
      </c>
      <c r="D4323" s="30" t="s">
        <v>47</v>
      </c>
      <c r="E4323" s="32" t="s">
        <v>263</v>
      </c>
      <c r="F4323" s="32" t="s">
        <v>81</v>
      </c>
      <c r="G4323" s="32" t="s">
        <v>50</v>
      </c>
      <c r="H4323" s="33">
        <v>74180</v>
      </c>
      <c r="I4323" s="34">
        <f>Table3[[#This Row],[Volume, kg.]]/1000</f>
        <v>74.180000000000007</v>
      </c>
      <c r="J4323" s="34">
        <v>0.2412</v>
      </c>
      <c r="K4323" s="34">
        <f t="shared" si="134"/>
        <v>17892.216</v>
      </c>
      <c r="L4323" s="34">
        <v>2.31</v>
      </c>
      <c r="M4323" s="34">
        <v>171477.5</v>
      </c>
      <c r="N4323" s="34">
        <f t="shared" si="135"/>
        <v>9.5771144278606961</v>
      </c>
    </row>
    <row r="4324" spans="1:14" x14ac:dyDescent="0.45">
      <c r="A4324" s="30">
        <v>2024</v>
      </c>
      <c r="B4324" s="30" t="s">
        <v>17</v>
      </c>
      <c r="C4324" s="30" t="s">
        <v>46</v>
      </c>
      <c r="D4324" s="30" t="s">
        <v>47</v>
      </c>
      <c r="E4324" s="32" t="s">
        <v>449</v>
      </c>
      <c r="F4324" s="32" t="s">
        <v>49</v>
      </c>
      <c r="G4324" s="32" t="s">
        <v>50</v>
      </c>
      <c r="H4324" s="33">
        <v>8890</v>
      </c>
      <c r="I4324" s="34">
        <f>Table3[[#This Row],[Volume, kg.]]/1000</f>
        <v>8.89</v>
      </c>
      <c r="J4324" s="34">
        <v>0.2238</v>
      </c>
      <c r="K4324" s="34">
        <f t="shared" si="134"/>
        <v>1989.5819999999999</v>
      </c>
      <c r="L4324" s="34">
        <v>2.21</v>
      </c>
      <c r="M4324" s="34">
        <v>19663</v>
      </c>
      <c r="N4324" s="34">
        <f t="shared" si="135"/>
        <v>9.8748882931188557</v>
      </c>
    </row>
    <row r="4325" spans="1:14" x14ac:dyDescent="0.45">
      <c r="A4325" s="30">
        <v>2024</v>
      </c>
      <c r="B4325" s="30" t="s">
        <v>17</v>
      </c>
      <c r="C4325" s="30" t="s">
        <v>46</v>
      </c>
      <c r="D4325" s="30" t="s">
        <v>47</v>
      </c>
      <c r="E4325" s="32" t="s">
        <v>333</v>
      </c>
      <c r="F4325" s="32" t="s">
        <v>57</v>
      </c>
      <c r="G4325" s="32" t="s">
        <v>50</v>
      </c>
      <c r="H4325" s="33">
        <v>30030</v>
      </c>
      <c r="I4325" s="34">
        <f>Table3[[#This Row],[Volume, kg.]]/1000</f>
        <v>30.03</v>
      </c>
      <c r="J4325" s="34">
        <v>0.27479999999999999</v>
      </c>
      <c r="K4325" s="34">
        <f t="shared" si="134"/>
        <v>8252.2439999999988</v>
      </c>
      <c r="L4325" s="34">
        <v>2.4700000000000002</v>
      </c>
      <c r="M4325" s="34">
        <v>74264</v>
      </c>
      <c r="N4325" s="34">
        <f t="shared" si="135"/>
        <v>8.9883551673944702</v>
      </c>
    </row>
    <row r="4326" spans="1:14" x14ac:dyDescent="0.45">
      <c r="A4326" s="30">
        <v>2024</v>
      </c>
      <c r="B4326" s="30" t="s">
        <v>17</v>
      </c>
      <c r="C4326" s="30" t="s">
        <v>46</v>
      </c>
      <c r="D4326" s="30" t="s">
        <v>47</v>
      </c>
      <c r="E4326" s="32" t="s">
        <v>236</v>
      </c>
      <c r="F4326" s="32" t="s">
        <v>49</v>
      </c>
      <c r="G4326" s="32" t="s">
        <v>50</v>
      </c>
      <c r="H4326" s="33">
        <v>44170</v>
      </c>
      <c r="I4326" s="34">
        <f>Table3[[#This Row],[Volume, kg.]]/1000</f>
        <v>44.17</v>
      </c>
      <c r="J4326" s="34">
        <v>0.25069999999999998</v>
      </c>
      <c r="K4326" s="34">
        <f t="shared" si="134"/>
        <v>11073.419</v>
      </c>
      <c r="L4326" s="34">
        <v>2.36</v>
      </c>
      <c r="M4326" s="34">
        <v>104250</v>
      </c>
      <c r="N4326" s="34">
        <f t="shared" si="135"/>
        <v>9.4136418029517355</v>
      </c>
    </row>
    <row r="4327" spans="1:14" x14ac:dyDescent="0.45">
      <c r="A4327" s="30">
        <v>2024</v>
      </c>
      <c r="B4327" s="30" t="s">
        <v>17</v>
      </c>
      <c r="C4327" s="30" t="s">
        <v>46</v>
      </c>
      <c r="D4327" s="30" t="s">
        <v>47</v>
      </c>
      <c r="E4327" s="32" t="s">
        <v>111</v>
      </c>
      <c r="F4327" s="32" t="s">
        <v>60</v>
      </c>
      <c r="G4327" s="32" t="s">
        <v>50</v>
      </c>
      <c r="H4327" s="33">
        <v>48650</v>
      </c>
      <c r="I4327" s="34">
        <f>Table3[[#This Row],[Volume, kg.]]/1000</f>
        <v>48.65</v>
      </c>
      <c r="J4327" s="34">
        <v>0.25</v>
      </c>
      <c r="K4327" s="34">
        <f t="shared" si="134"/>
        <v>12162.5</v>
      </c>
      <c r="L4327" s="34">
        <v>2.3199999999999998</v>
      </c>
      <c r="M4327" s="34">
        <v>112889</v>
      </c>
      <c r="N4327" s="34">
        <f t="shared" si="135"/>
        <v>9.2799999999999994</v>
      </c>
    </row>
    <row r="4328" spans="1:14" x14ac:dyDescent="0.45">
      <c r="A4328" s="30">
        <v>2024</v>
      </c>
      <c r="B4328" s="30" t="s">
        <v>17</v>
      </c>
      <c r="C4328" s="30" t="s">
        <v>46</v>
      </c>
      <c r="D4328" s="30" t="s">
        <v>47</v>
      </c>
      <c r="E4328" s="32" t="s">
        <v>527</v>
      </c>
      <c r="F4328" s="32" t="s">
        <v>60</v>
      </c>
      <c r="G4328" s="32" t="s">
        <v>50</v>
      </c>
      <c r="H4328" s="33">
        <v>52290</v>
      </c>
      <c r="I4328" s="34">
        <f>Table3[[#This Row],[Volume, kg.]]/1000</f>
        <v>52.29</v>
      </c>
      <c r="J4328" s="34">
        <v>0.25780000000000003</v>
      </c>
      <c r="K4328" s="34">
        <f t="shared" si="134"/>
        <v>13480.362000000001</v>
      </c>
      <c r="L4328" s="34">
        <v>2.37</v>
      </c>
      <c r="M4328" s="34">
        <v>124126</v>
      </c>
      <c r="N4328" s="34">
        <f t="shared" si="135"/>
        <v>9.1931730023273843</v>
      </c>
    </row>
    <row r="4329" spans="1:14" x14ac:dyDescent="0.45">
      <c r="A4329" s="30">
        <v>2024</v>
      </c>
      <c r="B4329" s="30" t="s">
        <v>17</v>
      </c>
      <c r="C4329" s="30" t="s">
        <v>46</v>
      </c>
      <c r="D4329" s="30" t="s">
        <v>47</v>
      </c>
      <c r="E4329" s="32" t="s">
        <v>499</v>
      </c>
      <c r="F4329" s="32" t="s">
        <v>81</v>
      </c>
      <c r="G4329" s="32" t="s">
        <v>50</v>
      </c>
      <c r="H4329" s="33">
        <v>30640</v>
      </c>
      <c r="I4329" s="34">
        <f>Table3[[#This Row],[Volume, kg.]]/1000</f>
        <v>30.64</v>
      </c>
      <c r="J4329" s="34">
        <v>0.2631</v>
      </c>
      <c r="K4329" s="34">
        <f t="shared" si="134"/>
        <v>8061.384</v>
      </c>
      <c r="L4329" s="34">
        <v>2.48</v>
      </c>
      <c r="M4329" s="34">
        <v>75933</v>
      </c>
      <c r="N4329" s="34">
        <f t="shared" si="135"/>
        <v>9.4260737362219693</v>
      </c>
    </row>
    <row r="4330" spans="1:14" x14ac:dyDescent="0.45">
      <c r="A4330" s="30">
        <v>2024</v>
      </c>
      <c r="B4330" s="30" t="s">
        <v>17</v>
      </c>
      <c r="C4330" s="30" t="s">
        <v>46</v>
      </c>
      <c r="D4330" s="30" t="s">
        <v>47</v>
      </c>
      <c r="E4330" s="32" t="s">
        <v>59</v>
      </c>
      <c r="F4330" s="32" t="s">
        <v>60</v>
      </c>
      <c r="G4330" s="32" t="s">
        <v>50</v>
      </c>
      <c r="H4330" s="33">
        <v>8920</v>
      </c>
      <c r="I4330" s="34">
        <f>Table3[[#This Row],[Volume, kg.]]/1000</f>
        <v>8.92</v>
      </c>
      <c r="J4330" s="34">
        <v>0.27250000000000002</v>
      </c>
      <c r="K4330" s="34">
        <f t="shared" si="134"/>
        <v>2430.7000000000003</v>
      </c>
      <c r="L4330" s="34">
        <v>2.4</v>
      </c>
      <c r="M4330" s="34">
        <v>21408</v>
      </c>
      <c r="N4330" s="34">
        <f t="shared" si="135"/>
        <v>8.8073394495412831</v>
      </c>
    </row>
    <row r="4331" spans="1:14" x14ac:dyDescent="0.45">
      <c r="A4331" s="30">
        <v>2024</v>
      </c>
      <c r="B4331" s="30" t="s">
        <v>17</v>
      </c>
      <c r="C4331" s="30" t="s">
        <v>46</v>
      </c>
      <c r="D4331" s="30" t="s">
        <v>47</v>
      </c>
      <c r="E4331" s="32" t="s">
        <v>313</v>
      </c>
      <c r="F4331" s="32" t="s">
        <v>60</v>
      </c>
      <c r="G4331" s="32" t="s">
        <v>50</v>
      </c>
      <c r="H4331" s="33">
        <v>55650</v>
      </c>
      <c r="I4331" s="34">
        <f>Table3[[#This Row],[Volume, kg.]]/1000</f>
        <v>55.65</v>
      </c>
      <c r="J4331" s="34">
        <v>0.26700000000000002</v>
      </c>
      <c r="K4331" s="34">
        <f t="shared" si="134"/>
        <v>14858.550000000001</v>
      </c>
      <c r="L4331" s="34">
        <v>2.48</v>
      </c>
      <c r="M4331" s="34">
        <v>137843</v>
      </c>
      <c r="N4331" s="34">
        <f t="shared" si="135"/>
        <v>9.2883895131086138</v>
      </c>
    </row>
    <row r="4332" spans="1:14" x14ac:dyDescent="0.45">
      <c r="A4332" s="30">
        <v>2024</v>
      </c>
      <c r="B4332" s="30" t="s">
        <v>17</v>
      </c>
      <c r="C4332" s="30" t="s">
        <v>46</v>
      </c>
      <c r="D4332" s="30" t="s">
        <v>47</v>
      </c>
      <c r="E4332" s="32" t="s">
        <v>288</v>
      </c>
      <c r="F4332" s="32" t="s">
        <v>49</v>
      </c>
      <c r="G4332" s="32" t="s">
        <v>50</v>
      </c>
      <c r="H4332" s="33">
        <v>52220</v>
      </c>
      <c r="I4332" s="34">
        <f>Table3[[#This Row],[Volume, kg.]]/1000</f>
        <v>52.22</v>
      </c>
      <c r="J4332" s="34">
        <v>0.21309999999999998</v>
      </c>
      <c r="K4332" s="34">
        <f t="shared" si="134"/>
        <v>11128.081999999999</v>
      </c>
      <c r="L4332" s="34">
        <v>2.23</v>
      </c>
      <c r="M4332" s="34">
        <v>116492.5</v>
      </c>
      <c r="N4332" s="34">
        <f t="shared" si="135"/>
        <v>10.464570624120132</v>
      </c>
    </row>
    <row r="4333" spans="1:14" x14ac:dyDescent="0.45">
      <c r="A4333" s="30">
        <v>2024</v>
      </c>
      <c r="B4333" s="30" t="s">
        <v>17</v>
      </c>
      <c r="C4333" s="30" t="s">
        <v>46</v>
      </c>
      <c r="D4333" s="30" t="s">
        <v>47</v>
      </c>
      <c r="E4333" s="32" t="s">
        <v>70</v>
      </c>
      <c r="F4333" s="32" t="s">
        <v>49</v>
      </c>
      <c r="G4333" s="32" t="s">
        <v>50</v>
      </c>
      <c r="H4333" s="33">
        <v>412200</v>
      </c>
      <c r="I4333" s="34">
        <f>Table3[[#This Row],[Volume, kg.]]/1000</f>
        <v>412.2</v>
      </c>
      <c r="J4333" s="34">
        <v>0.2586</v>
      </c>
      <c r="K4333" s="34">
        <f t="shared" si="134"/>
        <v>106594.92</v>
      </c>
      <c r="L4333" s="34">
        <v>2.37</v>
      </c>
      <c r="M4333" s="34">
        <v>975225.5</v>
      </c>
      <c r="N4333" s="34">
        <f t="shared" si="135"/>
        <v>9.1647331786542932</v>
      </c>
    </row>
    <row r="4334" spans="1:14" x14ac:dyDescent="0.45">
      <c r="A4334" s="30">
        <v>2024</v>
      </c>
      <c r="B4334" s="30" t="s">
        <v>17</v>
      </c>
      <c r="C4334" s="30" t="s">
        <v>46</v>
      </c>
      <c r="D4334" s="30" t="s">
        <v>47</v>
      </c>
      <c r="E4334" s="32" t="s">
        <v>576</v>
      </c>
      <c r="F4334" s="32" t="s">
        <v>60</v>
      </c>
      <c r="G4334" s="32" t="s">
        <v>50</v>
      </c>
      <c r="H4334" s="33">
        <v>11470</v>
      </c>
      <c r="I4334" s="34">
        <f>Table3[[#This Row],[Volume, kg.]]/1000</f>
        <v>11.47</v>
      </c>
      <c r="J4334" s="34">
        <v>0.26649999999999996</v>
      </c>
      <c r="K4334" s="34">
        <f t="shared" si="134"/>
        <v>3056.7549999999997</v>
      </c>
      <c r="L4334" s="34">
        <v>2.4</v>
      </c>
      <c r="M4334" s="34">
        <v>27528</v>
      </c>
      <c r="N4334" s="34">
        <f t="shared" si="135"/>
        <v>9.0056285178236415</v>
      </c>
    </row>
    <row r="4335" spans="1:14" x14ac:dyDescent="0.45">
      <c r="A4335" s="30">
        <v>2024</v>
      </c>
      <c r="B4335" s="30" t="s">
        <v>17</v>
      </c>
      <c r="C4335" s="30" t="s">
        <v>46</v>
      </c>
      <c r="D4335" s="30" t="s">
        <v>47</v>
      </c>
      <c r="E4335" s="32" t="s">
        <v>265</v>
      </c>
      <c r="F4335" s="32" t="s">
        <v>49</v>
      </c>
      <c r="G4335" s="32" t="s">
        <v>50</v>
      </c>
      <c r="H4335" s="33">
        <v>51510</v>
      </c>
      <c r="I4335" s="34">
        <f>Table3[[#This Row],[Volume, kg.]]/1000</f>
        <v>51.51</v>
      </c>
      <c r="J4335" s="34">
        <v>0.18960000000000002</v>
      </c>
      <c r="K4335" s="34">
        <f t="shared" si="134"/>
        <v>9766.2960000000003</v>
      </c>
      <c r="L4335" s="34">
        <v>2.04</v>
      </c>
      <c r="M4335" s="34">
        <v>104919.5</v>
      </c>
      <c r="N4335" s="34">
        <f t="shared" si="135"/>
        <v>10.759493670886075</v>
      </c>
    </row>
    <row r="4336" spans="1:14" x14ac:dyDescent="0.45">
      <c r="A4336" s="30">
        <v>2024</v>
      </c>
      <c r="B4336" s="30" t="s">
        <v>17</v>
      </c>
      <c r="C4336" s="30" t="s">
        <v>46</v>
      </c>
      <c r="D4336" s="30" t="s">
        <v>47</v>
      </c>
      <c r="E4336" s="32" t="s">
        <v>467</v>
      </c>
      <c r="F4336" s="32" t="s">
        <v>57</v>
      </c>
      <c r="G4336" s="32" t="s">
        <v>50</v>
      </c>
      <c r="H4336" s="33">
        <v>77930</v>
      </c>
      <c r="I4336" s="34">
        <f>Table3[[#This Row],[Volume, kg.]]/1000</f>
        <v>77.930000000000007</v>
      </c>
      <c r="J4336" s="34">
        <v>0.27679999999999999</v>
      </c>
      <c r="K4336" s="34">
        <f t="shared" si="134"/>
        <v>21571.023999999998</v>
      </c>
      <c r="L4336" s="34">
        <v>2.48</v>
      </c>
      <c r="M4336" s="34">
        <v>192957.5</v>
      </c>
      <c r="N4336" s="34">
        <f t="shared" si="135"/>
        <v>8.9595375722543356</v>
      </c>
    </row>
    <row r="4337" spans="1:14" x14ac:dyDescent="0.45">
      <c r="A4337" s="30">
        <v>2024</v>
      </c>
      <c r="B4337" s="30" t="s">
        <v>17</v>
      </c>
      <c r="C4337" s="30" t="s">
        <v>46</v>
      </c>
      <c r="D4337" s="30" t="s">
        <v>47</v>
      </c>
      <c r="E4337" s="32" t="s">
        <v>192</v>
      </c>
      <c r="F4337" s="32" t="s">
        <v>49</v>
      </c>
      <c r="G4337" s="32" t="s">
        <v>50</v>
      </c>
      <c r="H4337" s="33">
        <v>5570</v>
      </c>
      <c r="I4337" s="34">
        <f>Table3[[#This Row],[Volume, kg.]]/1000</f>
        <v>5.57</v>
      </c>
      <c r="J4337" s="34">
        <v>0.2263</v>
      </c>
      <c r="K4337" s="34">
        <f t="shared" si="134"/>
        <v>1260.491</v>
      </c>
      <c r="L4337" s="34">
        <v>2.2000000000000002</v>
      </c>
      <c r="M4337" s="34">
        <v>12254</v>
      </c>
      <c r="N4337" s="34">
        <f t="shared" si="135"/>
        <v>9.7216084843128598</v>
      </c>
    </row>
    <row r="4338" spans="1:14" x14ac:dyDescent="0.45">
      <c r="A4338" s="30">
        <v>2024</v>
      </c>
      <c r="B4338" s="30" t="s">
        <v>17</v>
      </c>
      <c r="C4338" s="30" t="s">
        <v>46</v>
      </c>
      <c r="D4338" s="30" t="s">
        <v>47</v>
      </c>
      <c r="E4338" s="32" t="s">
        <v>277</v>
      </c>
      <c r="F4338" s="32" t="s">
        <v>60</v>
      </c>
      <c r="G4338" s="32" t="s">
        <v>50</v>
      </c>
      <c r="H4338" s="33">
        <v>33000</v>
      </c>
      <c r="I4338" s="34">
        <f>Table3[[#This Row],[Volume, kg.]]/1000</f>
        <v>33</v>
      </c>
      <c r="J4338" s="34">
        <v>0.26629999999999998</v>
      </c>
      <c r="K4338" s="34">
        <f t="shared" si="134"/>
        <v>8787.9</v>
      </c>
      <c r="L4338" s="34">
        <v>2.4900000000000002</v>
      </c>
      <c r="M4338" s="34">
        <v>82097</v>
      </c>
      <c r="N4338" s="34">
        <f t="shared" si="135"/>
        <v>9.3503567405182135</v>
      </c>
    </row>
    <row r="4339" spans="1:14" x14ac:dyDescent="0.45">
      <c r="A4339" s="30">
        <v>2024</v>
      </c>
      <c r="B4339" s="30" t="s">
        <v>17</v>
      </c>
      <c r="C4339" s="30" t="s">
        <v>46</v>
      </c>
      <c r="D4339" s="30" t="s">
        <v>47</v>
      </c>
      <c r="E4339" s="32" t="s">
        <v>324</v>
      </c>
      <c r="F4339" s="32" t="s">
        <v>81</v>
      </c>
      <c r="G4339" s="32" t="s">
        <v>50</v>
      </c>
      <c r="H4339" s="33">
        <v>120360</v>
      </c>
      <c r="I4339" s="34">
        <f>Table3[[#This Row],[Volume, kg.]]/1000</f>
        <v>120.36</v>
      </c>
      <c r="J4339" s="34">
        <v>0.2581</v>
      </c>
      <c r="K4339" s="34">
        <f t="shared" si="134"/>
        <v>31064.916000000001</v>
      </c>
      <c r="L4339" s="34">
        <v>2.39</v>
      </c>
      <c r="M4339" s="34">
        <v>287985</v>
      </c>
      <c r="N4339" s="34">
        <f t="shared" si="135"/>
        <v>9.2599767531964368</v>
      </c>
    </row>
    <row r="4340" spans="1:14" x14ac:dyDescent="0.45">
      <c r="A4340" s="30">
        <v>2024</v>
      </c>
      <c r="B4340" s="30" t="s">
        <v>17</v>
      </c>
      <c r="C4340" s="30" t="s">
        <v>46</v>
      </c>
      <c r="D4340" s="30" t="s">
        <v>47</v>
      </c>
      <c r="E4340" s="32" t="s">
        <v>74</v>
      </c>
      <c r="F4340" s="32" t="s">
        <v>49</v>
      </c>
      <c r="G4340" s="32" t="s">
        <v>50</v>
      </c>
      <c r="H4340" s="33">
        <v>84800</v>
      </c>
      <c r="I4340" s="34">
        <f>Table3[[#This Row],[Volume, kg.]]/1000</f>
        <v>84.8</v>
      </c>
      <c r="J4340" s="34">
        <v>0.25329999999999997</v>
      </c>
      <c r="K4340" s="34">
        <f t="shared" si="134"/>
        <v>21479.839999999997</v>
      </c>
      <c r="L4340" s="34">
        <v>2.34</v>
      </c>
      <c r="M4340" s="34">
        <v>198702.5</v>
      </c>
      <c r="N4340" s="34">
        <f t="shared" si="135"/>
        <v>9.2380576391630491</v>
      </c>
    </row>
    <row r="4341" spans="1:14" x14ac:dyDescent="0.45">
      <c r="A4341" s="30">
        <v>2024</v>
      </c>
      <c r="B4341" s="30" t="s">
        <v>17</v>
      </c>
      <c r="C4341" s="30" t="s">
        <v>46</v>
      </c>
      <c r="D4341" s="30" t="s">
        <v>47</v>
      </c>
      <c r="E4341" s="32" t="s">
        <v>390</v>
      </c>
      <c r="F4341" s="32" t="s">
        <v>60</v>
      </c>
      <c r="G4341" s="32" t="s">
        <v>50</v>
      </c>
      <c r="H4341" s="33">
        <v>92510</v>
      </c>
      <c r="I4341" s="34">
        <f>Table3[[#This Row],[Volume, kg.]]/1000</f>
        <v>92.51</v>
      </c>
      <c r="J4341" s="34">
        <v>0.22089999999999999</v>
      </c>
      <c r="K4341" s="34">
        <f t="shared" si="134"/>
        <v>20435.458999999999</v>
      </c>
      <c r="L4341" s="34">
        <v>2.1800000000000002</v>
      </c>
      <c r="M4341" s="34">
        <v>201235</v>
      </c>
      <c r="N4341" s="34">
        <f t="shared" si="135"/>
        <v>9.868718877320056</v>
      </c>
    </row>
    <row r="4342" spans="1:14" x14ac:dyDescent="0.45">
      <c r="A4342" s="30">
        <v>2024</v>
      </c>
      <c r="B4342" s="30" t="s">
        <v>17</v>
      </c>
      <c r="C4342" s="30" t="s">
        <v>46</v>
      </c>
      <c r="D4342" s="30" t="s">
        <v>47</v>
      </c>
      <c r="E4342" s="32" t="s">
        <v>144</v>
      </c>
      <c r="F4342" s="32" t="s">
        <v>49</v>
      </c>
      <c r="G4342" s="32" t="s">
        <v>50</v>
      </c>
      <c r="H4342" s="33">
        <v>118470</v>
      </c>
      <c r="I4342" s="34">
        <f>Table3[[#This Row],[Volume, kg.]]/1000</f>
        <v>118.47</v>
      </c>
      <c r="J4342" s="34">
        <v>0.23670000000000002</v>
      </c>
      <c r="K4342" s="34">
        <f t="shared" si="134"/>
        <v>28041.849000000002</v>
      </c>
      <c r="L4342" s="34">
        <v>2.2599999999999998</v>
      </c>
      <c r="M4342" s="34">
        <v>268084.5</v>
      </c>
      <c r="N4342" s="34">
        <f t="shared" si="135"/>
        <v>9.5479509928179116</v>
      </c>
    </row>
    <row r="4343" spans="1:14" x14ac:dyDescent="0.45">
      <c r="A4343" s="30">
        <v>2024</v>
      </c>
      <c r="B4343" s="30" t="s">
        <v>17</v>
      </c>
      <c r="C4343" s="30" t="s">
        <v>46</v>
      </c>
      <c r="D4343" s="30" t="s">
        <v>47</v>
      </c>
      <c r="E4343" s="32" t="s">
        <v>570</v>
      </c>
      <c r="F4343" s="32" t="s">
        <v>49</v>
      </c>
      <c r="G4343" s="32" t="s">
        <v>50</v>
      </c>
      <c r="H4343" s="33">
        <v>55790</v>
      </c>
      <c r="I4343" s="34">
        <f>Table3[[#This Row],[Volume, kg.]]/1000</f>
        <v>55.79</v>
      </c>
      <c r="J4343" s="34">
        <v>0.27010000000000001</v>
      </c>
      <c r="K4343" s="34">
        <f t="shared" si="134"/>
        <v>15068.879000000001</v>
      </c>
      <c r="L4343" s="34">
        <v>2.41</v>
      </c>
      <c r="M4343" s="34">
        <v>134677.5</v>
      </c>
      <c r="N4343" s="34">
        <f t="shared" si="135"/>
        <v>8.9226212513883745</v>
      </c>
    </row>
    <row r="4344" spans="1:14" x14ac:dyDescent="0.45">
      <c r="A4344" s="30">
        <v>2024</v>
      </c>
      <c r="B4344" s="30" t="s">
        <v>17</v>
      </c>
      <c r="C4344" s="30" t="s">
        <v>46</v>
      </c>
      <c r="D4344" s="30" t="s">
        <v>47</v>
      </c>
      <c r="E4344" s="32" t="s">
        <v>76</v>
      </c>
      <c r="F4344" s="32" t="s">
        <v>60</v>
      </c>
      <c r="G4344" s="32" t="s">
        <v>50</v>
      </c>
      <c r="H4344" s="33">
        <v>13660</v>
      </c>
      <c r="I4344" s="34">
        <f>Table3[[#This Row],[Volume, kg.]]/1000</f>
        <v>13.66</v>
      </c>
      <c r="J4344" s="34">
        <v>0.25120000000000003</v>
      </c>
      <c r="K4344" s="34">
        <f t="shared" si="134"/>
        <v>3431.3920000000003</v>
      </c>
      <c r="L4344" s="34">
        <v>2.2999999999999998</v>
      </c>
      <c r="M4344" s="34">
        <v>31418</v>
      </c>
      <c r="N4344" s="34">
        <f t="shared" si="135"/>
        <v>9.1560509554140115</v>
      </c>
    </row>
    <row r="4345" spans="1:14" x14ac:dyDescent="0.45">
      <c r="A4345" s="30">
        <v>2024</v>
      </c>
      <c r="B4345" s="30" t="s">
        <v>17</v>
      </c>
      <c r="C4345" s="30" t="s">
        <v>46</v>
      </c>
      <c r="D4345" s="30" t="s">
        <v>47</v>
      </c>
      <c r="E4345" s="32" t="s">
        <v>100</v>
      </c>
      <c r="F4345" s="32" t="s">
        <v>60</v>
      </c>
      <c r="G4345" s="32" t="s">
        <v>50</v>
      </c>
      <c r="H4345" s="33">
        <v>44390</v>
      </c>
      <c r="I4345" s="34">
        <f>Table3[[#This Row],[Volume, kg.]]/1000</f>
        <v>44.39</v>
      </c>
      <c r="J4345" s="34">
        <v>0.24989999999999998</v>
      </c>
      <c r="K4345" s="34">
        <f t="shared" si="134"/>
        <v>11093.061</v>
      </c>
      <c r="L4345" s="34">
        <v>2.31</v>
      </c>
      <c r="M4345" s="34">
        <v>102562.5</v>
      </c>
      <c r="N4345" s="34">
        <f t="shared" si="135"/>
        <v>9.2436974789915975</v>
      </c>
    </row>
    <row r="4346" spans="1:14" x14ac:dyDescent="0.45">
      <c r="A4346" s="30">
        <v>2024</v>
      </c>
      <c r="B4346" s="30" t="s">
        <v>17</v>
      </c>
      <c r="C4346" s="30" t="s">
        <v>46</v>
      </c>
      <c r="D4346" s="30" t="s">
        <v>47</v>
      </c>
      <c r="E4346" s="32" t="s">
        <v>501</v>
      </c>
      <c r="F4346" s="32" t="s">
        <v>81</v>
      </c>
      <c r="G4346" s="32" t="s">
        <v>50</v>
      </c>
      <c r="H4346" s="33">
        <v>38950</v>
      </c>
      <c r="I4346" s="34">
        <f>Table3[[#This Row],[Volume, kg.]]/1000</f>
        <v>38.950000000000003</v>
      </c>
      <c r="J4346" s="34">
        <v>0.25120000000000003</v>
      </c>
      <c r="K4346" s="34">
        <f t="shared" si="134"/>
        <v>9784.2400000000016</v>
      </c>
      <c r="L4346" s="34">
        <v>2.34</v>
      </c>
      <c r="M4346" s="34">
        <v>91207.5</v>
      </c>
      <c r="N4346" s="34">
        <f t="shared" si="135"/>
        <v>9.3152866242038197</v>
      </c>
    </row>
    <row r="4347" spans="1:14" x14ac:dyDescent="0.45">
      <c r="A4347" s="30">
        <v>2024</v>
      </c>
      <c r="B4347" s="30" t="s">
        <v>17</v>
      </c>
      <c r="C4347" s="30" t="s">
        <v>46</v>
      </c>
      <c r="D4347" s="30" t="s">
        <v>47</v>
      </c>
      <c r="E4347" s="32" t="s">
        <v>283</v>
      </c>
      <c r="F4347" s="32" t="s">
        <v>49</v>
      </c>
      <c r="G4347" s="32" t="s">
        <v>50</v>
      </c>
      <c r="H4347" s="33">
        <v>12460</v>
      </c>
      <c r="I4347" s="34">
        <f>Table3[[#This Row],[Volume, kg.]]/1000</f>
        <v>12.46</v>
      </c>
      <c r="J4347" s="34">
        <v>0.2225</v>
      </c>
      <c r="K4347" s="34">
        <f t="shared" si="134"/>
        <v>2772.35</v>
      </c>
      <c r="L4347" s="34">
        <v>2.25</v>
      </c>
      <c r="M4347" s="34">
        <v>28035</v>
      </c>
      <c r="N4347" s="34">
        <f t="shared" si="135"/>
        <v>10.112359550561798</v>
      </c>
    </row>
    <row r="4348" spans="1:14" x14ac:dyDescent="0.45">
      <c r="A4348" s="30">
        <v>2024</v>
      </c>
      <c r="B4348" s="30" t="s">
        <v>17</v>
      </c>
      <c r="C4348" s="30" t="s">
        <v>46</v>
      </c>
      <c r="D4348" s="30" t="s">
        <v>47</v>
      </c>
      <c r="E4348" s="32" t="s">
        <v>268</v>
      </c>
      <c r="F4348" s="32" t="s">
        <v>57</v>
      </c>
      <c r="G4348" s="32" t="s">
        <v>50</v>
      </c>
      <c r="H4348" s="33">
        <v>13080</v>
      </c>
      <c r="I4348" s="34">
        <f>Table3[[#This Row],[Volume, kg.]]/1000</f>
        <v>13.08</v>
      </c>
      <c r="J4348" s="34">
        <v>0.23949999999999999</v>
      </c>
      <c r="K4348" s="34">
        <f t="shared" si="134"/>
        <v>3132.66</v>
      </c>
      <c r="L4348" s="34">
        <v>2.35</v>
      </c>
      <c r="M4348" s="34">
        <v>30738</v>
      </c>
      <c r="N4348" s="34">
        <f t="shared" si="135"/>
        <v>9.8121085594989577</v>
      </c>
    </row>
    <row r="4349" spans="1:14" x14ac:dyDescent="0.45">
      <c r="A4349" s="30">
        <v>2024</v>
      </c>
      <c r="B4349" s="30" t="s">
        <v>17</v>
      </c>
      <c r="C4349" s="30" t="s">
        <v>46</v>
      </c>
      <c r="D4349" s="30" t="s">
        <v>47</v>
      </c>
      <c r="E4349" s="32" t="s">
        <v>147</v>
      </c>
      <c r="F4349" s="32" t="s">
        <v>57</v>
      </c>
      <c r="G4349" s="32" t="s">
        <v>50</v>
      </c>
      <c r="H4349" s="33">
        <v>134810</v>
      </c>
      <c r="I4349" s="34">
        <f>Table3[[#This Row],[Volume, kg.]]/1000</f>
        <v>134.81</v>
      </c>
      <c r="J4349" s="34">
        <v>0.27110000000000001</v>
      </c>
      <c r="K4349" s="34">
        <f t="shared" si="134"/>
        <v>36546.991000000002</v>
      </c>
      <c r="L4349" s="34">
        <v>2.4700000000000002</v>
      </c>
      <c r="M4349" s="34">
        <v>333008.5</v>
      </c>
      <c r="N4349" s="34">
        <f t="shared" si="135"/>
        <v>9.1110291405385464</v>
      </c>
    </row>
    <row r="4350" spans="1:14" x14ac:dyDescent="0.45">
      <c r="A4350" s="30">
        <v>2024</v>
      </c>
      <c r="B4350" s="30" t="s">
        <v>17</v>
      </c>
      <c r="C4350" s="30" t="s">
        <v>46</v>
      </c>
      <c r="D4350" s="30" t="s">
        <v>47</v>
      </c>
      <c r="E4350" s="32" t="s">
        <v>502</v>
      </c>
      <c r="F4350" s="32" t="s">
        <v>49</v>
      </c>
      <c r="G4350" s="32" t="s">
        <v>50</v>
      </c>
      <c r="H4350" s="33">
        <v>17570</v>
      </c>
      <c r="I4350" s="34">
        <f>Table3[[#This Row],[Volume, kg.]]/1000</f>
        <v>17.57</v>
      </c>
      <c r="J4350" s="34">
        <v>0.26329999999999998</v>
      </c>
      <c r="K4350" s="34">
        <f t="shared" si="134"/>
        <v>4626.1809999999996</v>
      </c>
      <c r="L4350" s="34">
        <v>2.4300000000000002</v>
      </c>
      <c r="M4350" s="34">
        <v>42778.5</v>
      </c>
      <c r="N4350" s="34">
        <f t="shared" si="135"/>
        <v>9.2290163311811639</v>
      </c>
    </row>
    <row r="4351" spans="1:14" x14ac:dyDescent="0.45">
      <c r="A4351" s="30">
        <v>2024</v>
      </c>
      <c r="B4351" s="30" t="s">
        <v>17</v>
      </c>
      <c r="C4351" s="30" t="s">
        <v>46</v>
      </c>
      <c r="D4351" s="30" t="s">
        <v>47</v>
      </c>
      <c r="E4351" s="32" t="s">
        <v>122</v>
      </c>
      <c r="F4351" s="32" t="s">
        <v>49</v>
      </c>
      <c r="G4351" s="32" t="s">
        <v>50</v>
      </c>
      <c r="H4351" s="33">
        <v>34610</v>
      </c>
      <c r="I4351" s="34">
        <f>Table3[[#This Row],[Volume, kg.]]/1000</f>
        <v>34.61</v>
      </c>
      <c r="J4351" s="34">
        <v>0.26190000000000002</v>
      </c>
      <c r="K4351" s="34">
        <f t="shared" si="134"/>
        <v>9064.3590000000004</v>
      </c>
      <c r="L4351" s="34">
        <v>2.5</v>
      </c>
      <c r="M4351" s="34">
        <v>86513</v>
      </c>
      <c r="N4351" s="34">
        <f t="shared" si="135"/>
        <v>9.5456281023291325</v>
      </c>
    </row>
    <row r="4352" spans="1:14" x14ac:dyDescent="0.45">
      <c r="A4352" s="30">
        <v>2024</v>
      </c>
      <c r="B4352" s="30" t="s">
        <v>17</v>
      </c>
      <c r="C4352" s="30" t="s">
        <v>46</v>
      </c>
      <c r="D4352" s="30" t="s">
        <v>47</v>
      </c>
      <c r="E4352" s="32" t="s">
        <v>210</v>
      </c>
      <c r="F4352" s="32" t="s">
        <v>60</v>
      </c>
      <c r="G4352" s="32" t="s">
        <v>50</v>
      </c>
      <c r="H4352" s="33">
        <v>19250</v>
      </c>
      <c r="I4352" s="34">
        <f>Table3[[#This Row],[Volume, kg.]]/1000</f>
        <v>19.25</v>
      </c>
      <c r="J4352" s="34">
        <v>0.25340000000000001</v>
      </c>
      <c r="K4352" s="34">
        <f t="shared" si="134"/>
        <v>4877.95</v>
      </c>
      <c r="L4352" s="34">
        <v>2.42</v>
      </c>
      <c r="M4352" s="34">
        <v>46665.5</v>
      </c>
      <c r="N4352" s="34">
        <f t="shared" si="135"/>
        <v>9.5501183898973938</v>
      </c>
    </row>
    <row r="4353" spans="1:14" x14ac:dyDescent="0.45">
      <c r="A4353" s="30">
        <v>2024</v>
      </c>
      <c r="B4353" s="30" t="s">
        <v>17</v>
      </c>
      <c r="C4353" s="30" t="s">
        <v>46</v>
      </c>
      <c r="D4353" s="30" t="s">
        <v>47</v>
      </c>
      <c r="E4353" s="32" t="s">
        <v>253</v>
      </c>
      <c r="F4353" s="32" t="s">
        <v>57</v>
      </c>
      <c r="G4353" s="32" t="s">
        <v>50</v>
      </c>
      <c r="H4353" s="33">
        <v>53670</v>
      </c>
      <c r="I4353" s="34">
        <f>Table3[[#This Row],[Volume, kg.]]/1000</f>
        <v>53.67</v>
      </c>
      <c r="J4353" s="34">
        <v>0.26069999999999999</v>
      </c>
      <c r="K4353" s="34">
        <f t="shared" si="134"/>
        <v>13991.768999999998</v>
      </c>
      <c r="L4353" s="34">
        <v>2.4300000000000002</v>
      </c>
      <c r="M4353" s="34">
        <v>130220.5</v>
      </c>
      <c r="N4353" s="34">
        <f t="shared" si="135"/>
        <v>9.3210586881472963</v>
      </c>
    </row>
    <row r="4354" spans="1:14" x14ac:dyDescent="0.45">
      <c r="A4354" s="30">
        <v>2024</v>
      </c>
      <c r="B4354" s="30" t="s">
        <v>17</v>
      </c>
      <c r="C4354" s="30" t="s">
        <v>46</v>
      </c>
      <c r="D4354" s="30" t="s">
        <v>47</v>
      </c>
      <c r="E4354" s="32" t="s">
        <v>667</v>
      </c>
      <c r="F4354" s="32" t="s">
        <v>60</v>
      </c>
      <c r="G4354" s="32" t="s">
        <v>50</v>
      </c>
      <c r="H4354" s="33">
        <v>178610</v>
      </c>
      <c r="I4354" s="34">
        <f>Table3[[#This Row],[Volume, kg.]]/1000</f>
        <v>178.61</v>
      </c>
      <c r="J4354" s="34">
        <v>0.25269999999999998</v>
      </c>
      <c r="K4354" s="34">
        <f t="shared" si="134"/>
        <v>45134.746999999996</v>
      </c>
      <c r="L4354" s="34">
        <v>2.34</v>
      </c>
      <c r="M4354" s="34">
        <v>418467.5</v>
      </c>
      <c r="N4354" s="34">
        <f t="shared" si="135"/>
        <v>9.2599920854768509</v>
      </c>
    </row>
    <row r="4355" spans="1:14" x14ac:dyDescent="0.45">
      <c r="A4355" s="30">
        <v>2024</v>
      </c>
      <c r="B4355" s="30" t="s">
        <v>17</v>
      </c>
      <c r="C4355" s="30" t="s">
        <v>46</v>
      </c>
      <c r="D4355" s="30" t="s">
        <v>47</v>
      </c>
      <c r="E4355" s="32" t="s">
        <v>171</v>
      </c>
      <c r="F4355" s="32" t="s">
        <v>49</v>
      </c>
      <c r="G4355" s="32" t="s">
        <v>50</v>
      </c>
      <c r="H4355" s="33">
        <v>40280</v>
      </c>
      <c r="I4355" s="34">
        <f>Table3[[#This Row],[Volume, kg.]]/1000</f>
        <v>40.28</v>
      </c>
      <c r="J4355" s="34">
        <v>0.255</v>
      </c>
      <c r="K4355" s="34">
        <f t="shared" ref="K4355:K4418" si="136">H4355*J4355</f>
        <v>10271.4</v>
      </c>
      <c r="L4355" s="34">
        <v>2.41</v>
      </c>
      <c r="M4355" s="34">
        <v>97164.5</v>
      </c>
      <c r="N4355" s="34">
        <f t="shared" si="135"/>
        <v>9.4509803921568629</v>
      </c>
    </row>
    <row r="4356" spans="1:14" x14ac:dyDescent="0.45">
      <c r="A4356" s="30">
        <v>2024</v>
      </c>
      <c r="B4356" s="30" t="s">
        <v>17</v>
      </c>
      <c r="C4356" s="30" t="s">
        <v>46</v>
      </c>
      <c r="D4356" s="30" t="s">
        <v>47</v>
      </c>
      <c r="E4356" s="32" t="s">
        <v>233</v>
      </c>
      <c r="F4356" s="32" t="s">
        <v>57</v>
      </c>
      <c r="G4356" s="32" t="s">
        <v>50</v>
      </c>
      <c r="H4356" s="33">
        <v>56770</v>
      </c>
      <c r="I4356" s="34">
        <f>Table3[[#This Row],[Volume, kg.]]/1000</f>
        <v>56.77</v>
      </c>
      <c r="J4356" s="34">
        <v>0.2802</v>
      </c>
      <c r="K4356" s="34">
        <f t="shared" si="136"/>
        <v>15906.954</v>
      </c>
      <c r="L4356" s="34">
        <v>2.4900000000000002</v>
      </c>
      <c r="M4356" s="34">
        <v>141617.5</v>
      </c>
      <c r="N4356" s="34">
        <f t="shared" ref="N4356:N4419" si="137">L4356/J4356</f>
        <v>8.8865096359743045</v>
      </c>
    </row>
    <row r="4357" spans="1:14" x14ac:dyDescent="0.45">
      <c r="A4357" s="30">
        <v>2024</v>
      </c>
      <c r="B4357" s="30" t="s">
        <v>17</v>
      </c>
      <c r="C4357" s="30" t="s">
        <v>46</v>
      </c>
      <c r="D4357" s="30" t="s">
        <v>47</v>
      </c>
      <c r="E4357" s="32" t="s">
        <v>56</v>
      </c>
      <c r="F4357" s="32" t="s">
        <v>57</v>
      </c>
      <c r="G4357" s="32" t="s">
        <v>50</v>
      </c>
      <c r="H4357" s="33">
        <v>86930</v>
      </c>
      <c r="I4357" s="34">
        <f>Table3[[#This Row],[Volume, kg.]]/1000</f>
        <v>86.93</v>
      </c>
      <c r="J4357" s="34">
        <v>0.25920000000000004</v>
      </c>
      <c r="K4357" s="34">
        <f t="shared" si="136"/>
        <v>22532.256000000005</v>
      </c>
      <c r="L4357" s="34">
        <v>2.46</v>
      </c>
      <c r="M4357" s="34">
        <v>213649.5</v>
      </c>
      <c r="N4357" s="34">
        <f t="shared" si="137"/>
        <v>9.4907407407407387</v>
      </c>
    </row>
    <row r="4358" spans="1:14" x14ac:dyDescent="0.45">
      <c r="A4358" s="30">
        <v>2024</v>
      </c>
      <c r="B4358" s="30" t="s">
        <v>17</v>
      </c>
      <c r="C4358" s="30" t="s">
        <v>46</v>
      </c>
      <c r="D4358" s="30" t="s">
        <v>47</v>
      </c>
      <c r="E4358" s="32" t="s">
        <v>90</v>
      </c>
      <c r="F4358" s="32" t="s">
        <v>49</v>
      </c>
      <c r="G4358" s="32" t="s">
        <v>50</v>
      </c>
      <c r="H4358" s="33">
        <v>26100</v>
      </c>
      <c r="I4358" s="34">
        <f>Table3[[#This Row],[Volume, kg.]]/1000</f>
        <v>26.1</v>
      </c>
      <c r="J4358" s="34">
        <v>0.27179999999999999</v>
      </c>
      <c r="K4358" s="34">
        <f t="shared" si="136"/>
        <v>7093.98</v>
      </c>
      <c r="L4358" s="34">
        <v>2.48</v>
      </c>
      <c r="M4358" s="34">
        <v>64710</v>
      </c>
      <c r="N4358" s="34">
        <f t="shared" si="137"/>
        <v>9.1243561442236949</v>
      </c>
    </row>
    <row r="4359" spans="1:14" x14ac:dyDescent="0.45">
      <c r="A4359" s="30">
        <v>2024</v>
      </c>
      <c r="B4359" s="30" t="s">
        <v>17</v>
      </c>
      <c r="C4359" s="30" t="s">
        <v>46</v>
      </c>
      <c r="D4359" s="30" t="s">
        <v>47</v>
      </c>
      <c r="E4359" s="32" t="s">
        <v>275</v>
      </c>
      <c r="F4359" s="32" t="s">
        <v>54</v>
      </c>
      <c r="G4359" s="32" t="s">
        <v>50</v>
      </c>
      <c r="H4359" s="33">
        <v>136320</v>
      </c>
      <c r="I4359" s="34">
        <f>Table3[[#This Row],[Volume, kg.]]/1000</f>
        <v>136.32</v>
      </c>
      <c r="J4359" s="34">
        <v>0.26300000000000001</v>
      </c>
      <c r="K4359" s="34">
        <f t="shared" si="136"/>
        <v>35852.160000000003</v>
      </c>
      <c r="L4359" s="34">
        <v>2.41</v>
      </c>
      <c r="M4359" s="34">
        <v>328294.5</v>
      </c>
      <c r="N4359" s="34">
        <f t="shared" si="137"/>
        <v>9.163498098859316</v>
      </c>
    </row>
    <row r="4360" spans="1:14" x14ac:dyDescent="0.45">
      <c r="A4360" s="30">
        <v>2024</v>
      </c>
      <c r="B4360" s="30" t="s">
        <v>17</v>
      </c>
      <c r="C4360" s="30" t="s">
        <v>46</v>
      </c>
      <c r="D4360" s="30" t="s">
        <v>47</v>
      </c>
      <c r="E4360" s="32" t="s">
        <v>362</v>
      </c>
      <c r="F4360" s="32" t="s">
        <v>49</v>
      </c>
      <c r="G4360" s="32" t="s">
        <v>50</v>
      </c>
      <c r="H4360" s="33">
        <v>13370</v>
      </c>
      <c r="I4360" s="34">
        <f>Table3[[#This Row],[Volume, kg.]]/1000</f>
        <v>13.37</v>
      </c>
      <c r="J4360" s="34">
        <v>0.2306</v>
      </c>
      <c r="K4360" s="34">
        <f t="shared" si="136"/>
        <v>3083.1219999999998</v>
      </c>
      <c r="L4360" s="34">
        <v>2.2599999999999998</v>
      </c>
      <c r="M4360" s="34">
        <v>30261.5</v>
      </c>
      <c r="N4360" s="34">
        <f t="shared" si="137"/>
        <v>9.8005203816131825</v>
      </c>
    </row>
    <row r="4361" spans="1:14" x14ac:dyDescent="0.45">
      <c r="A4361" s="30">
        <v>2024</v>
      </c>
      <c r="B4361" s="30" t="s">
        <v>17</v>
      </c>
      <c r="C4361" s="30" t="s">
        <v>46</v>
      </c>
      <c r="D4361" s="30" t="s">
        <v>47</v>
      </c>
      <c r="E4361" s="32" t="s">
        <v>88</v>
      </c>
      <c r="F4361" s="32" t="s">
        <v>49</v>
      </c>
      <c r="G4361" s="32" t="s">
        <v>50</v>
      </c>
      <c r="H4361" s="33">
        <v>17920</v>
      </c>
      <c r="I4361" s="34">
        <f>Table3[[#This Row],[Volume, kg.]]/1000</f>
        <v>17.920000000000002</v>
      </c>
      <c r="J4361" s="34">
        <v>0.27</v>
      </c>
      <c r="K4361" s="34">
        <f t="shared" si="136"/>
        <v>4838.4000000000005</v>
      </c>
      <c r="L4361" s="34">
        <v>2.5</v>
      </c>
      <c r="M4361" s="34">
        <v>44800</v>
      </c>
      <c r="N4361" s="34">
        <f t="shared" si="137"/>
        <v>9.2592592592592595</v>
      </c>
    </row>
    <row r="4362" spans="1:14" x14ac:dyDescent="0.45">
      <c r="A4362" s="30">
        <v>2024</v>
      </c>
      <c r="B4362" s="30" t="s">
        <v>17</v>
      </c>
      <c r="C4362" s="30" t="s">
        <v>46</v>
      </c>
      <c r="D4362" s="30" t="s">
        <v>47</v>
      </c>
      <c r="E4362" s="32" t="s">
        <v>599</v>
      </c>
      <c r="F4362" s="32" t="s">
        <v>57</v>
      </c>
      <c r="G4362" s="32" t="s">
        <v>50</v>
      </c>
      <c r="H4362" s="33">
        <v>14420</v>
      </c>
      <c r="I4362" s="34">
        <f>Table3[[#This Row],[Volume, kg.]]/1000</f>
        <v>14.42</v>
      </c>
      <c r="J4362" s="34">
        <v>0.26899999999999996</v>
      </c>
      <c r="K4362" s="34">
        <f t="shared" si="136"/>
        <v>3878.9799999999996</v>
      </c>
      <c r="L4362" s="34">
        <v>2.5499999999999998</v>
      </c>
      <c r="M4362" s="34">
        <v>36771</v>
      </c>
      <c r="N4362" s="34">
        <f t="shared" si="137"/>
        <v>9.4795539033457263</v>
      </c>
    </row>
    <row r="4363" spans="1:14" x14ac:dyDescent="0.45">
      <c r="A4363" s="30">
        <v>2024</v>
      </c>
      <c r="B4363" s="30" t="s">
        <v>17</v>
      </c>
      <c r="C4363" s="30" t="s">
        <v>46</v>
      </c>
      <c r="D4363" s="30" t="s">
        <v>47</v>
      </c>
      <c r="E4363" s="32" t="s">
        <v>311</v>
      </c>
      <c r="F4363" s="32" t="s">
        <v>57</v>
      </c>
      <c r="G4363" s="32" t="s">
        <v>50</v>
      </c>
      <c r="H4363" s="33">
        <v>91180</v>
      </c>
      <c r="I4363" s="34">
        <f>Table3[[#This Row],[Volume, kg.]]/1000</f>
        <v>91.18</v>
      </c>
      <c r="J4363" s="34">
        <v>0.28100000000000003</v>
      </c>
      <c r="K4363" s="34">
        <f t="shared" si="136"/>
        <v>25621.58</v>
      </c>
      <c r="L4363" s="34">
        <v>2.54</v>
      </c>
      <c r="M4363" s="34">
        <v>231417</v>
      </c>
      <c r="N4363" s="34">
        <f t="shared" si="137"/>
        <v>9.0391459074733085</v>
      </c>
    </row>
    <row r="4364" spans="1:14" x14ac:dyDescent="0.45">
      <c r="A4364" s="30">
        <v>2024</v>
      </c>
      <c r="B4364" s="30" t="s">
        <v>17</v>
      </c>
      <c r="C4364" s="30" t="s">
        <v>46</v>
      </c>
      <c r="D4364" s="30" t="s">
        <v>47</v>
      </c>
      <c r="E4364" s="32" t="s">
        <v>361</v>
      </c>
      <c r="F4364" s="32" t="s">
        <v>57</v>
      </c>
      <c r="G4364" s="32" t="s">
        <v>50</v>
      </c>
      <c r="H4364" s="33">
        <v>31380</v>
      </c>
      <c r="I4364" s="34">
        <f>Table3[[#This Row],[Volume, kg.]]/1000</f>
        <v>31.38</v>
      </c>
      <c r="J4364" s="34">
        <v>0.26890000000000003</v>
      </c>
      <c r="K4364" s="34">
        <f t="shared" si="136"/>
        <v>8438.0820000000003</v>
      </c>
      <c r="L4364" s="34">
        <v>2.4500000000000002</v>
      </c>
      <c r="M4364" s="34">
        <v>76881</v>
      </c>
      <c r="N4364" s="34">
        <f t="shared" si="137"/>
        <v>9.111193752324283</v>
      </c>
    </row>
    <row r="4365" spans="1:14" x14ac:dyDescent="0.45">
      <c r="A4365" s="30">
        <v>2024</v>
      </c>
      <c r="B4365" s="30" t="s">
        <v>17</v>
      </c>
      <c r="C4365" s="30" t="s">
        <v>46</v>
      </c>
      <c r="D4365" s="30" t="s">
        <v>47</v>
      </c>
      <c r="E4365" s="32" t="s">
        <v>690</v>
      </c>
      <c r="F4365" s="32" t="s">
        <v>240</v>
      </c>
      <c r="G4365" s="32" t="s">
        <v>50</v>
      </c>
      <c r="H4365" s="33">
        <v>7200</v>
      </c>
      <c r="I4365" s="34">
        <f>Table3[[#This Row],[Volume, kg.]]/1000</f>
        <v>7.2</v>
      </c>
      <c r="J4365" s="34">
        <v>0.222</v>
      </c>
      <c r="K4365" s="34">
        <f t="shared" si="136"/>
        <v>1598.4</v>
      </c>
      <c r="L4365" s="34">
        <v>2.2000000000000002</v>
      </c>
      <c r="M4365" s="34">
        <v>15840</v>
      </c>
      <c r="N4365" s="34">
        <f t="shared" si="137"/>
        <v>9.9099099099099099</v>
      </c>
    </row>
    <row r="4366" spans="1:14" x14ac:dyDescent="0.45">
      <c r="A4366" s="30">
        <v>2024</v>
      </c>
      <c r="B4366" s="30" t="s">
        <v>17</v>
      </c>
      <c r="C4366" s="30" t="s">
        <v>46</v>
      </c>
      <c r="D4366" s="30" t="s">
        <v>47</v>
      </c>
      <c r="E4366" s="32" t="s">
        <v>637</v>
      </c>
      <c r="F4366" s="32" t="s">
        <v>60</v>
      </c>
      <c r="G4366" s="32" t="s">
        <v>50</v>
      </c>
      <c r="H4366" s="33">
        <v>17220</v>
      </c>
      <c r="I4366" s="34">
        <f>Table3[[#This Row],[Volume, kg.]]/1000</f>
        <v>17.22</v>
      </c>
      <c r="J4366" s="34">
        <v>0.2762</v>
      </c>
      <c r="K4366" s="34">
        <f t="shared" si="136"/>
        <v>4756.1639999999998</v>
      </c>
      <c r="L4366" s="34">
        <v>2.48</v>
      </c>
      <c r="M4366" s="34">
        <v>42648</v>
      </c>
      <c r="N4366" s="34">
        <f t="shared" si="137"/>
        <v>8.9790007241129608</v>
      </c>
    </row>
    <row r="4367" spans="1:14" x14ac:dyDescent="0.45">
      <c r="A4367" s="30">
        <v>2024</v>
      </c>
      <c r="B4367" s="30" t="s">
        <v>17</v>
      </c>
      <c r="C4367" s="30" t="s">
        <v>46</v>
      </c>
      <c r="D4367" s="30" t="s">
        <v>47</v>
      </c>
      <c r="E4367" s="32" t="s">
        <v>153</v>
      </c>
      <c r="F4367" s="32" t="s">
        <v>57</v>
      </c>
      <c r="G4367" s="32" t="s">
        <v>50</v>
      </c>
      <c r="H4367" s="33">
        <v>17480</v>
      </c>
      <c r="I4367" s="34">
        <f>Table3[[#This Row],[Volume, kg.]]/1000</f>
        <v>17.48</v>
      </c>
      <c r="J4367" s="34">
        <v>0.24460000000000001</v>
      </c>
      <c r="K4367" s="34">
        <f t="shared" si="136"/>
        <v>4275.6080000000002</v>
      </c>
      <c r="L4367" s="34">
        <v>2.35</v>
      </c>
      <c r="M4367" s="34">
        <v>40997.5</v>
      </c>
      <c r="N4367" s="34">
        <f t="shared" si="137"/>
        <v>9.6075224856909234</v>
      </c>
    </row>
    <row r="4368" spans="1:14" x14ac:dyDescent="0.45">
      <c r="A4368" s="30">
        <v>2024</v>
      </c>
      <c r="B4368" s="30" t="s">
        <v>17</v>
      </c>
      <c r="C4368" s="30" t="s">
        <v>46</v>
      </c>
      <c r="D4368" s="30" t="s">
        <v>47</v>
      </c>
      <c r="E4368" s="32" t="s">
        <v>346</v>
      </c>
      <c r="F4368" s="32" t="s">
        <v>49</v>
      </c>
      <c r="G4368" s="32" t="s">
        <v>50</v>
      </c>
      <c r="H4368" s="33">
        <v>6700</v>
      </c>
      <c r="I4368" s="34">
        <f>Table3[[#This Row],[Volume, kg.]]/1000</f>
        <v>6.7</v>
      </c>
      <c r="J4368" s="34">
        <v>0.20550000000000002</v>
      </c>
      <c r="K4368" s="34">
        <f t="shared" si="136"/>
        <v>1376.8500000000001</v>
      </c>
      <c r="L4368" s="34">
        <v>2.1</v>
      </c>
      <c r="M4368" s="34">
        <v>14070</v>
      </c>
      <c r="N4368" s="34">
        <f t="shared" si="137"/>
        <v>10.21897810218978</v>
      </c>
    </row>
    <row r="4369" spans="1:14" x14ac:dyDescent="0.45">
      <c r="A4369" s="30">
        <v>2024</v>
      </c>
      <c r="B4369" s="30" t="s">
        <v>17</v>
      </c>
      <c r="C4369" s="30" t="s">
        <v>46</v>
      </c>
      <c r="D4369" s="30" t="s">
        <v>47</v>
      </c>
      <c r="E4369" s="32" t="s">
        <v>225</v>
      </c>
      <c r="F4369" s="32" t="s">
        <v>64</v>
      </c>
      <c r="G4369" s="32" t="s">
        <v>50</v>
      </c>
      <c r="H4369" s="33">
        <v>11760</v>
      </c>
      <c r="I4369" s="34">
        <f>Table3[[#This Row],[Volume, kg.]]/1000</f>
        <v>11.76</v>
      </c>
      <c r="J4369" s="34">
        <v>0.19550000000000001</v>
      </c>
      <c r="K4369" s="34">
        <f t="shared" si="136"/>
        <v>2299.08</v>
      </c>
      <c r="L4369" s="34">
        <v>2.1</v>
      </c>
      <c r="M4369" s="34">
        <v>24696</v>
      </c>
      <c r="N4369" s="34">
        <f t="shared" si="137"/>
        <v>10.741687979539641</v>
      </c>
    </row>
    <row r="4370" spans="1:14" x14ac:dyDescent="0.45">
      <c r="A4370" s="30">
        <v>2024</v>
      </c>
      <c r="B4370" s="30" t="s">
        <v>17</v>
      </c>
      <c r="C4370" s="30" t="s">
        <v>46</v>
      </c>
      <c r="D4370" s="30" t="s">
        <v>47</v>
      </c>
      <c r="E4370" s="32" t="s">
        <v>306</v>
      </c>
      <c r="F4370" s="32" t="s">
        <v>60</v>
      </c>
      <c r="G4370" s="32" t="s">
        <v>50</v>
      </c>
      <c r="H4370" s="33">
        <v>10690</v>
      </c>
      <c r="I4370" s="34">
        <f>Table3[[#This Row],[Volume, kg.]]/1000</f>
        <v>10.69</v>
      </c>
      <c r="J4370" s="34">
        <v>0.26479999999999998</v>
      </c>
      <c r="K4370" s="34">
        <f t="shared" si="136"/>
        <v>2830.712</v>
      </c>
      <c r="L4370" s="34">
        <v>2.39</v>
      </c>
      <c r="M4370" s="34">
        <v>25578.5</v>
      </c>
      <c r="N4370" s="34">
        <f t="shared" si="137"/>
        <v>9.0256797583081578</v>
      </c>
    </row>
    <row r="4371" spans="1:14" x14ac:dyDescent="0.45">
      <c r="A4371" s="30">
        <v>2024</v>
      </c>
      <c r="B4371" s="30" t="s">
        <v>17</v>
      </c>
      <c r="C4371" s="30" t="s">
        <v>46</v>
      </c>
      <c r="D4371" s="30" t="s">
        <v>47</v>
      </c>
      <c r="E4371" s="32" t="s">
        <v>458</v>
      </c>
      <c r="F4371" s="32" t="s">
        <v>60</v>
      </c>
      <c r="G4371" s="32" t="s">
        <v>50</v>
      </c>
      <c r="H4371" s="33">
        <v>9900</v>
      </c>
      <c r="I4371" s="34">
        <f>Table3[[#This Row],[Volume, kg.]]/1000</f>
        <v>9.9</v>
      </c>
      <c r="J4371" s="34">
        <v>0.26940000000000003</v>
      </c>
      <c r="K4371" s="34">
        <f t="shared" si="136"/>
        <v>2667.0600000000004</v>
      </c>
      <c r="L4371" s="34">
        <v>2.44</v>
      </c>
      <c r="M4371" s="34">
        <v>24179</v>
      </c>
      <c r="N4371" s="34">
        <f t="shared" si="137"/>
        <v>9.0571640682999242</v>
      </c>
    </row>
    <row r="4372" spans="1:14" x14ac:dyDescent="0.45">
      <c r="A4372" s="30">
        <v>2024</v>
      </c>
      <c r="B4372" s="30" t="s">
        <v>17</v>
      </c>
      <c r="C4372" s="30" t="s">
        <v>46</v>
      </c>
      <c r="D4372" s="30" t="s">
        <v>47</v>
      </c>
      <c r="E4372" s="32" t="s">
        <v>197</v>
      </c>
      <c r="F4372" s="32" t="s">
        <v>57</v>
      </c>
      <c r="G4372" s="32" t="s">
        <v>50</v>
      </c>
      <c r="H4372" s="33">
        <v>226410</v>
      </c>
      <c r="I4372" s="34">
        <f>Table3[[#This Row],[Volume, kg.]]/1000</f>
        <v>226.41</v>
      </c>
      <c r="J4372" s="34">
        <v>0.26750000000000002</v>
      </c>
      <c r="K4372" s="34">
        <f t="shared" si="136"/>
        <v>60564.675000000003</v>
      </c>
      <c r="L4372" s="34">
        <v>2.4500000000000002</v>
      </c>
      <c r="M4372" s="34">
        <v>554911</v>
      </c>
      <c r="N4372" s="34">
        <f t="shared" si="137"/>
        <v>9.1588785046728969</v>
      </c>
    </row>
    <row r="4373" spans="1:14" x14ac:dyDescent="0.45">
      <c r="A4373" s="30">
        <v>2024</v>
      </c>
      <c r="B4373" s="30" t="s">
        <v>17</v>
      </c>
      <c r="C4373" s="30" t="s">
        <v>46</v>
      </c>
      <c r="D4373" s="30" t="s">
        <v>47</v>
      </c>
      <c r="E4373" s="32" t="s">
        <v>177</v>
      </c>
      <c r="F4373" s="32" t="s">
        <v>49</v>
      </c>
      <c r="G4373" s="32" t="s">
        <v>50</v>
      </c>
      <c r="H4373" s="33">
        <v>77470</v>
      </c>
      <c r="I4373" s="34">
        <f>Table3[[#This Row],[Volume, kg.]]/1000</f>
        <v>77.47</v>
      </c>
      <c r="J4373" s="34">
        <v>0.2492</v>
      </c>
      <c r="K4373" s="34">
        <f t="shared" si="136"/>
        <v>19305.524000000001</v>
      </c>
      <c r="L4373" s="34">
        <v>2.34</v>
      </c>
      <c r="M4373" s="34">
        <v>181114.5</v>
      </c>
      <c r="N4373" s="34">
        <f t="shared" si="137"/>
        <v>9.3900481540930976</v>
      </c>
    </row>
    <row r="4374" spans="1:14" x14ac:dyDescent="0.45">
      <c r="A4374" s="30">
        <v>2024</v>
      </c>
      <c r="B4374" s="30" t="s">
        <v>17</v>
      </c>
      <c r="C4374" s="30" t="s">
        <v>46</v>
      </c>
      <c r="D4374" s="30" t="s">
        <v>47</v>
      </c>
      <c r="E4374" s="32" t="s">
        <v>272</v>
      </c>
      <c r="F4374" s="32" t="s">
        <v>60</v>
      </c>
      <c r="G4374" s="32" t="s">
        <v>50</v>
      </c>
      <c r="H4374" s="33">
        <v>57370</v>
      </c>
      <c r="I4374" s="34">
        <f>Table3[[#This Row],[Volume, kg.]]/1000</f>
        <v>57.37</v>
      </c>
      <c r="J4374" s="34">
        <v>0.2505</v>
      </c>
      <c r="K4374" s="34">
        <f t="shared" si="136"/>
        <v>14371.184999999999</v>
      </c>
      <c r="L4374" s="34">
        <v>2.44</v>
      </c>
      <c r="M4374" s="34">
        <v>140088</v>
      </c>
      <c r="N4374" s="34">
        <f t="shared" si="137"/>
        <v>9.7405189620758481</v>
      </c>
    </row>
    <row r="4375" spans="1:14" x14ac:dyDescent="0.45">
      <c r="A4375" s="30">
        <v>2024</v>
      </c>
      <c r="B4375" s="30" t="s">
        <v>17</v>
      </c>
      <c r="C4375" s="30" t="s">
        <v>46</v>
      </c>
      <c r="D4375" s="30" t="s">
        <v>47</v>
      </c>
      <c r="E4375" s="32" t="s">
        <v>610</v>
      </c>
      <c r="F4375" s="32" t="s">
        <v>238</v>
      </c>
      <c r="G4375" s="32" t="s">
        <v>50</v>
      </c>
      <c r="H4375" s="33">
        <v>41630</v>
      </c>
      <c r="I4375" s="34">
        <f>Table3[[#This Row],[Volume, kg.]]/1000</f>
        <v>41.63</v>
      </c>
      <c r="J4375" s="34">
        <v>0.23710000000000001</v>
      </c>
      <c r="K4375" s="34">
        <f t="shared" si="136"/>
        <v>9870.473</v>
      </c>
      <c r="L4375" s="34">
        <v>2.25</v>
      </c>
      <c r="M4375" s="34">
        <v>93474</v>
      </c>
      <c r="N4375" s="34">
        <f t="shared" si="137"/>
        <v>9.4896668072543235</v>
      </c>
    </row>
    <row r="4376" spans="1:14" x14ac:dyDescent="0.45">
      <c r="A4376" s="30">
        <v>2024</v>
      </c>
      <c r="B4376" s="30" t="s">
        <v>17</v>
      </c>
      <c r="C4376" s="30" t="s">
        <v>46</v>
      </c>
      <c r="D4376" s="30" t="s">
        <v>47</v>
      </c>
      <c r="E4376" s="32" t="s">
        <v>548</v>
      </c>
      <c r="F4376" s="32" t="s">
        <v>49</v>
      </c>
      <c r="G4376" s="32" t="s">
        <v>50</v>
      </c>
      <c r="H4376" s="33">
        <v>11890</v>
      </c>
      <c r="I4376" s="34">
        <f>Table3[[#This Row],[Volume, kg.]]/1000</f>
        <v>11.89</v>
      </c>
      <c r="J4376" s="34">
        <v>0.249</v>
      </c>
      <c r="K4376" s="34">
        <f t="shared" si="136"/>
        <v>2960.61</v>
      </c>
      <c r="L4376" s="34">
        <v>2.35</v>
      </c>
      <c r="M4376" s="34">
        <v>27941.5</v>
      </c>
      <c r="N4376" s="34">
        <f t="shared" si="137"/>
        <v>9.4377510040160644</v>
      </c>
    </row>
    <row r="4377" spans="1:14" x14ac:dyDescent="0.45">
      <c r="A4377" s="30">
        <v>2024</v>
      </c>
      <c r="B4377" s="30" t="s">
        <v>17</v>
      </c>
      <c r="C4377" s="30" t="s">
        <v>46</v>
      </c>
      <c r="D4377" s="30" t="s">
        <v>47</v>
      </c>
      <c r="E4377" s="32" t="s">
        <v>98</v>
      </c>
      <c r="F4377" s="32" t="s">
        <v>49</v>
      </c>
      <c r="G4377" s="32" t="s">
        <v>50</v>
      </c>
      <c r="H4377" s="33">
        <v>58810</v>
      </c>
      <c r="I4377" s="34">
        <f>Table3[[#This Row],[Volume, kg.]]/1000</f>
        <v>58.81</v>
      </c>
      <c r="J4377" s="34">
        <v>0.25309999999999999</v>
      </c>
      <c r="K4377" s="34">
        <f t="shared" si="136"/>
        <v>14884.811</v>
      </c>
      <c r="L4377" s="34">
        <v>2.38</v>
      </c>
      <c r="M4377" s="34">
        <v>139932</v>
      </c>
      <c r="N4377" s="34">
        <f t="shared" si="137"/>
        <v>9.403397866455947</v>
      </c>
    </row>
    <row r="4378" spans="1:14" x14ac:dyDescent="0.45">
      <c r="A4378" s="30">
        <v>2024</v>
      </c>
      <c r="B4378" s="30" t="s">
        <v>17</v>
      </c>
      <c r="C4378" s="30" t="s">
        <v>46</v>
      </c>
      <c r="D4378" s="30" t="s">
        <v>47</v>
      </c>
      <c r="E4378" s="32" t="s">
        <v>129</v>
      </c>
      <c r="F4378" s="32" t="s">
        <v>57</v>
      </c>
      <c r="G4378" s="32" t="s">
        <v>50</v>
      </c>
      <c r="H4378" s="33">
        <v>38340</v>
      </c>
      <c r="I4378" s="34">
        <f>Table3[[#This Row],[Volume, kg.]]/1000</f>
        <v>38.340000000000003</v>
      </c>
      <c r="J4378" s="34">
        <v>0.25670000000000004</v>
      </c>
      <c r="K4378" s="34">
        <f t="shared" si="136"/>
        <v>9841.8780000000006</v>
      </c>
      <c r="L4378" s="34">
        <v>2.37</v>
      </c>
      <c r="M4378" s="34">
        <v>90743.5</v>
      </c>
      <c r="N4378" s="34">
        <f t="shared" si="137"/>
        <v>9.2325671990650555</v>
      </c>
    </row>
    <row r="4379" spans="1:14" x14ac:dyDescent="0.45">
      <c r="A4379" s="30">
        <v>2024</v>
      </c>
      <c r="B4379" s="30" t="s">
        <v>17</v>
      </c>
      <c r="C4379" s="30" t="s">
        <v>46</v>
      </c>
      <c r="D4379" s="30" t="s">
        <v>47</v>
      </c>
      <c r="E4379" s="32" t="s">
        <v>80</v>
      </c>
      <c r="F4379" s="32" t="s">
        <v>81</v>
      </c>
      <c r="G4379" s="32" t="s">
        <v>50</v>
      </c>
      <c r="H4379" s="33">
        <v>12430</v>
      </c>
      <c r="I4379" s="34">
        <f>Table3[[#This Row],[Volume, kg.]]/1000</f>
        <v>12.43</v>
      </c>
      <c r="J4379" s="34">
        <v>0.22899999999999998</v>
      </c>
      <c r="K4379" s="34">
        <f t="shared" si="136"/>
        <v>2846.47</v>
      </c>
      <c r="L4379" s="34">
        <v>2.2000000000000002</v>
      </c>
      <c r="M4379" s="34">
        <v>27346</v>
      </c>
      <c r="N4379" s="34">
        <f t="shared" si="137"/>
        <v>9.6069868995633207</v>
      </c>
    </row>
    <row r="4380" spans="1:14" x14ac:dyDescent="0.45">
      <c r="A4380" s="30">
        <v>2024</v>
      </c>
      <c r="B4380" s="30" t="s">
        <v>17</v>
      </c>
      <c r="C4380" s="30" t="s">
        <v>46</v>
      </c>
      <c r="D4380" s="30" t="s">
        <v>47</v>
      </c>
      <c r="E4380" s="32" t="s">
        <v>296</v>
      </c>
      <c r="F4380" s="32" t="s">
        <v>60</v>
      </c>
      <c r="G4380" s="32" t="s">
        <v>50</v>
      </c>
      <c r="H4380" s="33">
        <v>131530</v>
      </c>
      <c r="I4380" s="34">
        <f>Table3[[#This Row],[Volume, kg.]]/1000</f>
        <v>131.53</v>
      </c>
      <c r="J4380" s="34">
        <v>0.2757</v>
      </c>
      <c r="K4380" s="34">
        <f t="shared" si="136"/>
        <v>36262.821000000004</v>
      </c>
      <c r="L4380" s="34">
        <v>2.4900000000000002</v>
      </c>
      <c r="M4380" s="34">
        <v>327667</v>
      </c>
      <c r="N4380" s="34">
        <f t="shared" si="137"/>
        <v>9.0315560391730152</v>
      </c>
    </row>
    <row r="4381" spans="1:14" x14ac:dyDescent="0.45">
      <c r="A4381" s="30">
        <v>2024</v>
      </c>
      <c r="B4381" s="30" t="s">
        <v>17</v>
      </c>
      <c r="C4381" s="30" t="s">
        <v>46</v>
      </c>
      <c r="D4381" s="30" t="s">
        <v>47</v>
      </c>
      <c r="E4381" s="32" t="s">
        <v>194</v>
      </c>
      <c r="F4381" s="32" t="s">
        <v>49</v>
      </c>
      <c r="G4381" s="32" t="s">
        <v>50</v>
      </c>
      <c r="H4381" s="33">
        <v>112490</v>
      </c>
      <c r="I4381" s="34">
        <f>Table3[[#This Row],[Volume, kg.]]/1000</f>
        <v>112.49</v>
      </c>
      <c r="J4381" s="34">
        <v>0.23989999999999997</v>
      </c>
      <c r="K4381" s="34">
        <f t="shared" si="136"/>
        <v>26986.350999999999</v>
      </c>
      <c r="L4381" s="34">
        <v>2.2599999999999998</v>
      </c>
      <c r="M4381" s="34">
        <v>254125.5</v>
      </c>
      <c r="N4381" s="34">
        <f t="shared" si="137"/>
        <v>9.4205919132972067</v>
      </c>
    </row>
    <row r="4382" spans="1:14" x14ac:dyDescent="0.45">
      <c r="A4382" s="30">
        <v>2024</v>
      </c>
      <c r="B4382" s="30" t="s">
        <v>17</v>
      </c>
      <c r="C4382" s="30" t="s">
        <v>46</v>
      </c>
      <c r="D4382" s="30" t="s">
        <v>102</v>
      </c>
      <c r="E4382" s="32" t="s">
        <v>396</v>
      </c>
      <c r="F4382" s="32" t="s">
        <v>397</v>
      </c>
      <c r="G4382" s="32" t="s">
        <v>105</v>
      </c>
      <c r="H4382" s="33">
        <v>877550</v>
      </c>
      <c r="I4382" s="34">
        <f>Table3[[#This Row],[Volume, kg.]]/1000</f>
        <v>877.55</v>
      </c>
      <c r="J4382" s="34">
        <v>0.2218</v>
      </c>
      <c r="K4382" s="34">
        <f t="shared" si="136"/>
        <v>194640.59</v>
      </c>
      <c r="L4382" s="34">
        <v>2.4500000000000002</v>
      </c>
      <c r="M4382" s="34">
        <v>2146291</v>
      </c>
      <c r="N4382" s="34">
        <f t="shared" si="137"/>
        <v>11.045987376014429</v>
      </c>
    </row>
    <row r="4383" spans="1:14" x14ac:dyDescent="0.45">
      <c r="A4383" s="30">
        <v>2024</v>
      </c>
      <c r="B4383" s="30" t="s">
        <v>17</v>
      </c>
      <c r="C4383" s="30" t="s">
        <v>46</v>
      </c>
      <c r="D4383" s="30" t="s">
        <v>47</v>
      </c>
      <c r="E4383" s="32" t="s">
        <v>267</v>
      </c>
      <c r="F4383" s="32" t="s">
        <v>57</v>
      </c>
      <c r="G4383" s="32" t="s">
        <v>50</v>
      </c>
      <c r="H4383" s="33">
        <v>10570</v>
      </c>
      <c r="I4383" s="34">
        <f>Table3[[#This Row],[Volume, kg.]]/1000</f>
        <v>10.57</v>
      </c>
      <c r="J4383" s="34">
        <v>0.249</v>
      </c>
      <c r="K4383" s="34">
        <f t="shared" si="136"/>
        <v>2631.93</v>
      </c>
      <c r="L4383" s="34">
        <v>2.3199999999999998</v>
      </c>
      <c r="M4383" s="34">
        <v>24558</v>
      </c>
      <c r="N4383" s="34">
        <f t="shared" si="137"/>
        <v>9.3172690763052195</v>
      </c>
    </row>
    <row r="4384" spans="1:14" x14ac:dyDescent="0.45">
      <c r="A4384" s="30">
        <v>2024</v>
      </c>
      <c r="B4384" s="30" t="s">
        <v>17</v>
      </c>
      <c r="C4384" s="30" t="s">
        <v>46</v>
      </c>
      <c r="D4384" s="30" t="s">
        <v>47</v>
      </c>
      <c r="E4384" s="32" t="s">
        <v>203</v>
      </c>
      <c r="F4384" s="32" t="s">
        <v>57</v>
      </c>
      <c r="G4384" s="32" t="s">
        <v>50</v>
      </c>
      <c r="H4384" s="33">
        <v>71720</v>
      </c>
      <c r="I4384" s="34">
        <f>Table3[[#This Row],[Volume, kg.]]/1000</f>
        <v>71.72</v>
      </c>
      <c r="J4384" s="34">
        <v>0.26619999999999999</v>
      </c>
      <c r="K4384" s="34">
        <f t="shared" si="136"/>
        <v>19091.863999999998</v>
      </c>
      <c r="L4384" s="34">
        <v>2.4300000000000002</v>
      </c>
      <c r="M4384" s="34">
        <v>174429.5</v>
      </c>
      <c r="N4384" s="34">
        <f t="shared" si="137"/>
        <v>9.1284748309541701</v>
      </c>
    </row>
    <row r="4385" spans="1:14" x14ac:dyDescent="0.45">
      <c r="A4385" s="30">
        <v>2024</v>
      </c>
      <c r="B4385" s="30" t="s">
        <v>17</v>
      </c>
      <c r="C4385" s="30" t="s">
        <v>46</v>
      </c>
      <c r="D4385" s="30" t="s">
        <v>47</v>
      </c>
      <c r="E4385" s="32" t="s">
        <v>274</v>
      </c>
      <c r="F4385" s="32" t="s">
        <v>49</v>
      </c>
      <c r="G4385" s="32" t="s">
        <v>50</v>
      </c>
      <c r="H4385" s="33">
        <v>5440</v>
      </c>
      <c r="I4385" s="34">
        <f>Table3[[#This Row],[Volume, kg.]]/1000</f>
        <v>5.44</v>
      </c>
      <c r="J4385" s="34">
        <v>0.25969999999999999</v>
      </c>
      <c r="K4385" s="34">
        <f t="shared" si="136"/>
        <v>1412.768</v>
      </c>
      <c r="L4385" s="34">
        <v>2.5</v>
      </c>
      <c r="M4385" s="34">
        <v>13600</v>
      </c>
      <c r="N4385" s="34">
        <f t="shared" si="137"/>
        <v>9.6264921062764728</v>
      </c>
    </row>
    <row r="4386" spans="1:14" x14ac:dyDescent="0.45">
      <c r="A4386" s="30">
        <v>2024</v>
      </c>
      <c r="B4386" s="30" t="s">
        <v>17</v>
      </c>
      <c r="C4386" s="30" t="s">
        <v>46</v>
      </c>
      <c r="D4386" s="30" t="s">
        <v>47</v>
      </c>
      <c r="E4386" s="32" t="s">
        <v>58</v>
      </c>
      <c r="F4386" s="32" t="s">
        <v>49</v>
      </c>
      <c r="G4386" s="32" t="s">
        <v>50</v>
      </c>
      <c r="H4386" s="33">
        <v>28680</v>
      </c>
      <c r="I4386" s="34">
        <f>Table3[[#This Row],[Volume, kg.]]/1000</f>
        <v>28.68</v>
      </c>
      <c r="J4386" s="34">
        <v>0.23420000000000002</v>
      </c>
      <c r="K4386" s="34">
        <f t="shared" si="136"/>
        <v>6716.8560000000007</v>
      </c>
      <c r="L4386" s="34">
        <v>2.2400000000000002</v>
      </c>
      <c r="M4386" s="34">
        <v>64305</v>
      </c>
      <c r="N4386" s="34">
        <f t="shared" si="137"/>
        <v>9.5644748078565325</v>
      </c>
    </row>
    <row r="4387" spans="1:14" x14ac:dyDescent="0.45">
      <c r="A4387" s="30">
        <v>2024</v>
      </c>
      <c r="B4387" s="30" t="s">
        <v>17</v>
      </c>
      <c r="C4387" s="30" t="s">
        <v>46</v>
      </c>
      <c r="D4387" s="30" t="s">
        <v>102</v>
      </c>
      <c r="E4387" s="32" t="s">
        <v>691</v>
      </c>
      <c r="F4387" s="32" t="s">
        <v>657</v>
      </c>
      <c r="G4387" s="32" t="s">
        <v>119</v>
      </c>
      <c r="H4387" s="33">
        <v>397200</v>
      </c>
      <c r="I4387" s="34">
        <f>Table3[[#This Row],[Volume, kg.]]/1000</f>
        <v>397.2</v>
      </c>
      <c r="J4387" s="34">
        <v>0.249</v>
      </c>
      <c r="K4387" s="34">
        <f t="shared" si="136"/>
        <v>98902.8</v>
      </c>
      <c r="L4387" s="34">
        <v>2.54</v>
      </c>
      <c r="M4387" s="34">
        <v>1010083</v>
      </c>
      <c r="N4387" s="34">
        <f t="shared" si="137"/>
        <v>10.200803212851406</v>
      </c>
    </row>
    <row r="4388" spans="1:14" x14ac:dyDescent="0.45">
      <c r="A4388" s="30">
        <v>2024</v>
      </c>
      <c r="B4388" s="30" t="s">
        <v>17</v>
      </c>
      <c r="C4388" s="30" t="s">
        <v>46</v>
      </c>
      <c r="D4388" s="30" t="s">
        <v>47</v>
      </c>
      <c r="E4388" s="32" t="s">
        <v>526</v>
      </c>
      <c r="F4388" s="32" t="s">
        <v>49</v>
      </c>
      <c r="G4388" s="32" t="s">
        <v>50</v>
      </c>
      <c r="H4388" s="33">
        <v>7490</v>
      </c>
      <c r="I4388" s="34">
        <f>Table3[[#This Row],[Volume, kg.]]/1000</f>
        <v>7.49</v>
      </c>
      <c r="J4388" s="34">
        <v>0.19649999999999998</v>
      </c>
      <c r="K4388" s="34">
        <f t="shared" si="136"/>
        <v>1471.7849999999999</v>
      </c>
      <c r="L4388" s="34">
        <v>2.0499999999999998</v>
      </c>
      <c r="M4388" s="34">
        <v>15354.5</v>
      </c>
      <c r="N4388" s="34">
        <f t="shared" si="137"/>
        <v>10.432569974554708</v>
      </c>
    </row>
    <row r="4389" spans="1:14" x14ac:dyDescent="0.45">
      <c r="A4389" s="30">
        <v>2024</v>
      </c>
      <c r="B4389" s="30" t="s">
        <v>17</v>
      </c>
      <c r="C4389" s="30" t="s">
        <v>46</v>
      </c>
      <c r="D4389" s="30" t="s">
        <v>47</v>
      </c>
      <c r="E4389" s="32" t="s">
        <v>335</v>
      </c>
      <c r="F4389" s="32" t="s">
        <v>54</v>
      </c>
      <c r="G4389" s="32" t="s">
        <v>50</v>
      </c>
      <c r="H4389" s="33">
        <v>169230</v>
      </c>
      <c r="I4389" s="34">
        <f>Table3[[#This Row],[Volume, kg.]]/1000</f>
        <v>169.23</v>
      </c>
      <c r="J4389" s="34">
        <v>0.2291</v>
      </c>
      <c r="K4389" s="34">
        <f t="shared" si="136"/>
        <v>38770.593000000001</v>
      </c>
      <c r="L4389" s="34">
        <v>2.25</v>
      </c>
      <c r="M4389" s="34">
        <v>381532.5</v>
      </c>
      <c r="N4389" s="34">
        <f t="shared" si="137"/>
        <v>9.8210388476647754</v>
      </c>
    </row>
    <row r="4390" spans="1:14" x14ac:dyDescent="0.45">
      <c r="A4390" s="30">
        <v>2024</v>
      </c>
      <c r="B4390" s="30" t="s">
        <v>17</v>
      </c>
      <c r="C4390" s="30" t="s">
        <v>46</v>
      </c>
      <c r="D4390" s="30" t="s">
        <v>47</v>
      </c>
      <c r="E4390" s="32" t="s">
        <v>401</v>
      </c>
      <c r="F4390" s="32" t="s">
        <v>57</v>
      </c>
      <c r="G4390" s="32" t="s">
        <v>50</v>
      </c>
      <c r="H4390" s="33">
        <v>47270</v>
      </c>
      <c r="I4390" s="34">
        <f>Table3[[#This Row],[Volume, kg.]]/1000</f>
        <v>47.27</v>
      </c>
      <c r="J4390" s="34">
        <v>0.26140000000000002</v>
      </c>
      <c r="K4390" s="34">
        <f t="shared" si="136"/>
        <v>12356.378000000001</v>
      </c>
      <c r="L4390" s="34">
        <v>2.39</v>
      </c>
      <c r="M4390" s="34">
        <v>112941.5</v>
      </c>
      <c r="N4390" s="34">
        <f t="shared" si="137"/>
        <v>9.1430757459831664</v>
      </c>
    </row>
    <row r="4391" spans="1:14" x14ac:dyDescent="0.45">
      <c r="A4391" s="30">
        <v>2024</v>
      </c>
      <c r="B4391" s="30" t="s">
        <v>17</v>
      </c>
      <c r="C4391" s="30" t="s">
        <v>46</v>
      </c>
      <c r="D4391" s="30" t="s">
        <v>47</v>
      </c>
      <c r="E4391" s="32" t="s">
        <v>402</v>
      </c>
      <c r="F4391" s="32" t="s">
        <v>60</v>
      </c>
      <c r="G4391" s="32" t="s">
        <v>50</v>
      </c>
      <c r="H4391" s="33">
        <v>36640</v>
      </c>
      <c r="I4391" s="34">
        <f>Table3[[#This Row],[Volume, kg.]]/1000</f>
        <v>36.64</v>
      </c>
      <c r="J4391" s="34">
        <v>0.25769999999999998</v>
      </c>
      <c r="K4391" s="34">
        <f t="shared" si="136"/>
        <v>9442.1279999999988</v>
      </c>
      <c r="L4391" s="34">
        <v>2.38</v>
      </c>
      <c r="M4391" s="34">
        <v>87306.5</v>
      </c>
      <c r="N4391" s="34">
        <f t="shared" si="137"/>
        <v>9.2355452076057425</v>
      </c>
    </row>
    <row r="4392" spans="1:14" x14ac:dyDescent="0.45">
      <c r="A4392" s="30">
        <v>2024</v>
      </c>
      <c r="B4392" s="30" t="s">
        <v>17</v>
      </c>
      <c r="C4392" s="30" t="s">
        <v>46</v>
      </c>
      <c r="D4392" s="30" t="s">
        <v>47</v>
      </c>
      <c r="E4392" s="32" t="s">
        <v>318</v>
      </c>
      <c r="F4392" s="32" t="s">
        <v>60</v>
      </c>
      <c r="G4392" s="32" t="s">
        <v>50</v>
      </c>
      <c r="H4392" s="33">
        <v>34450</v>
      </c>
      <c r="I4392" s="34">
        <f>Table3[[#This Row],[Volume, kg.]]/1000</f>
        <v>34.450000000000003</v>
      </c>
      <c r="J4392" s="34">
        <v>0.25329999999999997</v>
      </c>
      <c r="K4392" s="34">
        <f t="shared" si="136"/>
        <v>8726.1849999999995</v>
      </c>
      <c r="L4392" s="34">
        <v>2.3199999999999998</v>
      </c>
      <c r="M4392" s="34">
        <v>79777.5</v>
      </c>
      <c r="N4392" s="34">
        <f t="shared" si="137"/>
        <v>9.159099881563364</v>
      </c>
    </row>
    <row r="4393" spans="1:14" x14ac:dyDescent="0.45">
      <c r="A4393" s="30">
        <v>2024</v>
      </c>
      <c r="B4393" s="30" t="s">
        <v>17</v>
      </c>
      <c r="C4393" s="30" t="s">
        <v>46</v>
      </c>
      <c r="D4393" s="30" t="s">
        <v>47</v>
      </c>
      <c r="E4393" s="32" t="s">
        <v>600</v>
      </c>
      <c r="F4393" s="32" t="s">
        <v>64</v>
      </c>
      <c r="G4393" s="32" t="s">
        <v>50</v>
      </c>
      <c r="H4393" s="33">
        <v>10330</v>
      </c>
      <c r="I4393" s="34">
        <f>Table3[[#This Row],[Volume, kg.]]/1000</f>
        <v>10.33</v>
      </c>
      <c r="J4393" s="34">
        <v>0.20250000000000001</v>
      </c>
      <c r="K4393" s="34">
        <f t="shared" si="136"/>
        <v>2091.8250000000003</v>
      </c>
      <c r="L4393" s="34">
        <v>2.1</v>
      </c>
      <c r="M4393" s="34">
        <v>21693</v>
      </c>
      <c r="N4393" s="34">
        <f t="shared" si="137"/>
        <v>10.37037037037037</v>
      </c>
    </row>
    <row r="4394" spans="1:14" x14ac:dyDescent="0.45">
      <c r="A4394" s="30">
        <v>2024</v>
      </c>
      <c r="B4394" s="30" t="s">
        <v>17</v>
      </c>
      <c r="C4394" s="30" t="s">
        <v>46</v>
      </c>
      <c r="D4394" s="30" t="s">
        <v>47</v>
      </c>
      <c r="E4394" s="32" t="s">
        <v>601</v>
      </c>
      <c r="F4394" s="32" t="s">
        <v>60</v>
      </c>
      <c r="G4394" s="32" t="s">
        <v>50</v>
      </c>
      <c r="H4394" s="33">
        <v>15730</v>
      </c>
      <c r="I4394" s="34">
        <f>Table3[[#This Row],[Volume, kg.]]/1000</f>
        <v>15.73</v>
      </c>
      <c r="J4394" s="34">
        <v>0.17730000000000001</v>
      </c>
      <c r="K4394" s="34">
        <f t="shared" si="136"/>
        <v>2788.9290000000001</v>
      </c>
      <c r="L4394" s="34">
        <v>2.0299999999999998</v>
      </c>
      <c r="M4394" s="34">
        <v>32003</v>
      </c>
      <c r="N4394" s="34">
        <f t="shared" si="137"/>
        <v>11.449520586576423</v>
      </c>
    </row>
    <row r="4395" spans="1:14" x14ac:dyDescent="0.45">
      <c r="A4395" s="30">
        <v>2024</v>
      </c>
      <c r="B4395" s="30" t="s">
        <v>17</v>
      </c>
      <c r="C4395" s="30" t="s">
        <v>46</v>
      </c>
      <c r="D4395" s="30" t="s">
        <v>47</v>
      </c>
      <c r="E4395" s="32" t="s">
        <v>602</v>
      </c>
      <c r="F4395" s="32" t="s">
        <v>49</v>
      </c>
      <c r="G4395" s="32" t="s">
        <v>50</v>
      </c>
      <c r="H4395" s="33">
        <v>24910</v>
      </c>
      <c r="I4395" s="34">
        <f>Table3[[#This Row],[Volume, kg.]]/1000</f>
        <v>24.91</v>
      </c>
      <c r="J4395" s="34">
        <v>0.21789999999999998</v>
      </c>
      <c r="K4395" s="34">
        <f t="shared" si="136"/>
        <v>5427.8889999999992</v>
      </c>
      <c r="L4395" s="34">
        <v>2.2000000000000002</v>
      </c>
      <c r="M4395" s="34">
        <v>54802</v>
      </c>
      <c r="N4395" s="34">
        <f t="shared" si="137"/>
        <v>10.096374483708125</v>
      </c>
    </row>
    <row r="4396" spans="1:14" x14ac:dyDescent="0.45">
      <c r="A4396" s="30">
        <v>2024</v>
      </c>
      <c r="B4396" s="30" t="s">
        <v>17</v>
      </c>
      <c r="C4396" s="30" t="s">
        <v>46</v>
      </c>
      <c r="D4396" s="30" t="s">
        <v>47</v>
      </c>
      <c r="E4396" s="32" t="s">
        <v>611</v>
      </c>
      <c r="F4396" s="32" t="s">
        <v>60</v>
      </c>
      <c r="G4396" s="32" t="s">
        <v>50</v>
      </c>
      <c r="H4396" s="33">
        <v>6400</v>
      </c>
      <c r="I4396" s="34">
        <f>Table3[[#This Row],[Volume, kg.]]/1000</f>
        <v>6.4</v>
      </c>
      <c r="J4396" s="34">
        <v>0.30649999999999999</v>
      </c>
      <c r="K4396" s="34">
        <f t="shared" si="136"/>
        <v>1961.6</v>
      </c>
      <c r="L4396" s="34">
        <v>2.7</v>
      </c>
      <c r="M4396" s="34">
        <v>17280</v>
      </c>
      <c r="N4396" s="34">
        <f t="shared" si="137"/>
        <v>8.8091353996737372</v>
      </c>
    </row>
    <row r="4397" spans="1:14" x14ac:dyDescent="0.45">
      <c r="A4397" s="30">
        <v>2024</v>
      </c>
      <c r="B4397" s="30" t="s">
        <v>17</v>
      </c>
      <c r="C4397" s="30" t="s">
        <v>46</v>
      </c>
      <c r="D4397" s="30" t="s">
        <v>47</v>
      </c>
      <c r="E4397" s="32" t="s">
        <v>549</v>
      </c>
      <c r="F4397" s="32" t="s">
        <v>49</v>
      </c>
      <c r="G4397" s="32" t="s">
        <v>50</v>
      </c>
      <c r="H4397" s="33">
        <v>33890</v>
      </c>
      <c r="I4397" s="34">
        <f>Table3[[#This Row],[Volume, kg.]]/1000</f>
        <v>33.89</v>
      </c>
      <c r="J4397" s="34">
        <v>0.2339</v>
      </c>
      <c r="K4397" s="34">
        <f t="shared" si="136"/>
        <v>7926.8710000000001</v>
      </c>
      <c r="L4397" s="34">
        <v>2.21</v>
      </c>
      <c r="M4397" s="34">
        <v>74930</v>
      </c>
      <c r="N4397" s="34">
        <f t="shared" si="137"/>
        <v>9.4484822573749465</v>
      </c>
    </row>
    <row r="4398" spans="1:14" x14ac:dyDescent="0.45">
      <c r="A4398" s="30">
        <v>2024</v>
      </c>
      <c r="B4398" s="30" t="s">
        <v>17</v>
      </c>
      <c r="C4398" s="30" t="s">
        <v>46</v>
      </c>
      <c r="D4398" s="30" t="s">
        <v>47</v>
      </c>
      <c r="E4398" s="32" t="s">
        <v>477</v>
      </c>
      <c r="F4398" s="32" t="s">
        <v>54</v>
      </c>
      <c r="G4398" s="32" t="s">
        <v>50</v>
      </c>
      <c r="H4398" s="33">
        <v>13610</v>
      </c>
      <c r="I4398" s="34">
        <f>Table3[[#This Row],[Volume, kg.]]/1000</f>
        <v>13.61</v>
      </c>
      <c r="J4398" s="34">
        <v>0.19260000000000002</v>
      </c>
      <c r="K4398" s="34">
        <f t="shared" si="136"/>
        <v>2621.2860000000005</v>
      </c>
      <c r="L4398" s="34">
        <v>2.1</v>
      </c>
      <c r="M4398" s="34">
        <v>28627.5</v>
      </c>
      <c r="N4398" s="34">
        <f t="shared" si="137"/>
        <v>10.903426791277258</v>
      </c>
    </row>
    <row r="4399" spans="1:14" x14ac:dyDescent="0.45">
      <c r="A4399" s="30">
        <v>2024</v>
      </c>
      <c r="B4399" s="30" t="s">
        <v>17</v>
      </c>
      <c r="C4399" s="30" t="s">
        <v>46</v>
      </c>
      <c r="D4399" s="30" t="s">
        <v>47</v>
      </c>
      <c r="E4399" s="32" t="s">
        <v>204</v>
      </c>
      <c r="F4399" s="32" t="s">
        <v>49</v>
      </c>
      <c r="G4399" s="32" t="s">
        <v>50</v>
      </c>
      <c r="H4399" s="33">
        <v>121980</v>
      </c>
      <c r="I4399" s="34">
        <f>Table3[[#This Row],[Volume, kg.]]/1000</f>
        <v>121.98</v>
      </c>
      <c r="J4399" s="34">
        <v>0.26869999999999999</v>
      </c>
      <c r="K4399" s="34">
        <f t="shared" si="136"/>
        <v>32776.025999999998</v>
      </c>
      <c r="L4399" s="34">
        <v>2.42</v>
      </c>
      <c r="M4399" s="34">
        <v>295602</v>
      </c>
      <c r="N4399" s="34">
        <f t="shared" si="137"/>
        <v>9.0063267584666917</v>
      </c>
    </row>
    <row r="4400" spans="1:14" x14ac:dyDescent="0.45">
      <c r="A4400" s="30">
        <v>2024</v>
      </c>
      <c r="B4400" s="30" t="s">
        <v>17</v>
      </c>
      <c r="C4400" s="30" t="s">
        <v>46</v>
      </c>
      <c r="D4400" s="30" t="s">
        <v>47</v>
      </c>
      <c r="E4400" s="32" t="s">
        <v>540</v>
      </c>
      <c r="F4400" s="32" t="s">
        <v>49</v>
      </c>
      <c r="G4400" s="32" t="s">
        <v>50</v>
      </c>
      <c r="H4400" s="33">
        <v>29800</v>
      </c>
      <c r="I4400" s="34">
        <f>Table3[[#This Row],[Volume, kg.]]/1000</f>
        <v>29.8</v>
      </c>
      <c r="J4400" s="34">
        <v>0.2329</v>
      </c>
      <c r="K4400" s="34">
        <f t="shared" si="136"/>
        <v>6940.42</v>
      </c>
      <c r="L4400" s="34">
        <v>2.2400000000000002</v>
      </c>
      <c r="M4400" s="34">
        <v>66607</v>
      </c>
      <c r="N4400" s="34">
        <f t="shared" si="137"/>
        <v>9.6178617432374427</v>
      </c>
    </row>
    <row r="4401" spans="1:14" x14ac:dyDescent="0.45">
      <c r="A4401" s="30">
        <v>2024</v>
      </c>
      <c r="B4401" s="30" t="s">
        <v>17</v>
      </c>
      <c r="C4401" s="30" t="s">
        <v>46</v>
      </c>
      <c r="D4401" s="30" t="s">
        <v>47</v>
      </c>
      <c r="E4401" s="32" t="s">
        <v>211</v>
      </c>
      <c r="F4401" s="32" t="s">
        <v>57</v>
      </c>
      <c r="G4401" s="32" t="s">
        <v>50</v>
      </c>
      <c r="H4401" s="33">
        <v>55240</v>
      </c>
      <c r="I4401" s="34">
        <f>Table3[[#This Row],[Volume, kg.]]/1000</f>
        <v>55.24</v>
      </c>
      <c r="J4401" s="34">
        <v>0.26039999999999996</v>
      </c>
      <c r="K4401" s="34">
        <f t="shared" si="136"/>
        <v>14384.495999999997</v>
      </c>
      <c r="L4401" s="34">
        <v>2.38</v>
      </c>
      <c r="M4401" s="34">
        <v>131560</v>
      </c>
      <c r="N4401" s="34">
        <f t="shared" si="137"/>
        <v>9.1397849462365599</v>
      </c>
    </row>
    <row r="4402" spans="1:14" x14ac:dyDescent="0.45">
      <c r="A4402" s="30">
        <v>2024</v>
      </c>
      <c r="B4402" s="30" t="s">
        <v>17</v>
      </c>
      <c r="C4402" s="30" t="s">
        <v>46</v>
      </c>
      <c r="D4402" s="30" t="s">
        <v>47</v>
      </c>
      <c r="E4402" s="32" t="s">
        <v>75</v>
      </c>
      <c r="F4402" s="32" t="s">
        <v>49</v>
      </c>
      <c r="G4402" s="32" t="s">
        <v>50</v>
      </c>
      <c r="H4402" s="33">
        <v>32060</v>
      </c>
      <c r="I4402" s="34">
        <f>Table3[[#This Row],[Volume, kg.]]/1000</f>
        <v>32.06</v>
      </c>
      <c r="J4402" s="34">
        <v>0.2495</v>
      </c>
      <c r="K4402" s="34">
        <f t="shared" si="136"/>
        <v>7998.97</v>
      </c>
      <c r="L4402" s="34">
        <v>2.2999999999999998</v>
      </c>
      <c r="M4402" s="34">
        <v>73738</v>
      </c>
      <c r="N4402" s="34">
        <f t="shared" si="137"/>
        <v>9.2184368737474944</v>
      </c>
    </row>
    <row r="4403" spans="1:14" x14ac:dyDescent="0.45">
      <c r="A4403" s="30">
        <v>2024</v>
      </c>
      <c r="B4403" s="30" t="s">
        <v>17</v>
      </c>
      <c r="C4403" s="30" t="s">
        <v>46</v>
      </c>
      <c r="D4403" s="30" t="s">
        <v>47</v>
      </c>
      <c r="E4403" s="32" t="s">
        <v>97</v>
      </c>
      <c r="F4403" s="32" t="s">
        <v>49</v>
      </c>
      <c r="G4403" s="32" t="s">
        <v>50</v>
      </c>
      <c r="H4403" s="33">
        <v>86740</v>
      </c>
      <c r="I4403" s="34">
        <f>Table3[[#This Row],[Volume, kg.]]/1000</f>
        <v>86.74</v>
      </c>
      <c r="J4403" s="34">
        <v>0.25390000000000001</v>
      </c>
      <c r="K4403" s="34">
        <f t="shared" si="136"/>
        <v>22023.286</v>
      </c>
      <c r="L4403" s="34">
        <v>2.38</v>
      </c>
      <c r="M4403" s="34">
        <v>206793</v>
      </c>
      <c r="N4403" s="34">
        <f t="shared" si="137"/>
        <v>9.3737692004726263</v>
      </c>
    </row>
    <row r="4404" spans="1:14" x14ac:dyDescent="0.45">
      <c r="A4404" s="30">
        <v>2024</v>
      </c>
      <c r="B4404" s="30" t="s">
        <v>17</v>
      </c>
      <c r="C4404" s="30" t="s">
        <v>46</v>
      </c>
      <c r="D4404" s="30" t="s">
        <v>47</v>
      </c>
      <c r="E4404" s="32" t="s">
        <v>355</v>
      </c>
      <c r="F4404" s="32" t="s">
        <v>60</v>
      </c>
      <c r="G4404" s="32" t="s">
        <v>50</v>
      </c>
      <c r="H4404" s="33">
        <v>183250</v>
      </c>
      <c r="I4404" s="34">
        <f>Table3[[#This Row],[Volume, kg.]]/1000</f>
        <v>183.25</v>
      </c>
      <c r="J4404" s="34">
        <v>0.25790000000000002</v>
      </c>
      <c r="K4404" s="34">
        <f t="shared" si="136"/>
        <v>47260.175000000003</v>
      </c>
      <c r="L4404" s="34">
        <v>2.42</v>
      </c>
      <c r="M4404" s="34">
        <v>443467.5</v>
      </c>
      <c r="N4404" s="34">
        <f t="shared" si="137"/>
        <v>9.383481969755719</v>
      </c>
    </row>
    <row r="4405" spans="1:14" x14ac:dyDescent="0.45">
      <c r="A4405" s="30">
        <v>2024</v>
      </c>
      <c r="B4405" s="30" t="s">
        <v>17</v>
      </c>
      <c r="C4405" s="30" t="s">
        <v>46</v>
      </c>
      <c r="D4405" s="30" t="s">
        <v>47</v>
      </c>
      <c r="E4405" s="32" t="s">
        <v>247</v>
      </c>
      <c r="F4405" s="32" t="s">
        <v>134</v>
      </c>
      <c r="G4405" s="32" t="s">
        <v>50</v>
      </c>
      <c r="H4405" s="33">
        <v>22980</v>
      </c>
      <c r="I4405" s="34">
        <f>Table3[[#This Row],[Volume, kg.]]/1000</f>
        <v>22.98</v>
      </c>
      <c r="J4405" s="34">
        <v>0.24640000000000001</v>
      </c>
      <c r="K4405" s="34">
        <f t="shared" si="136"/>
        <v>5662.2719999999999</v>
      </c>
      <c r="L4405" s="34">
        <v>2.35</v>
      </c>
      <c r="M4405" s="34">
        <v>53935</v>
      </c>
      <c r="N4405" s="34">
        <f t="shared" si="137"/>
        <v>9.5373376623376629</v>
      </c>
    </row>
    <row r="4406" spans="1:14" x14ac:dyDescent="0.45">
      <c r="A4406" s="30">
        <v>2024</v>
      </c>
      <c r="B4406" s="30" t="s">
        <v>17</v>
      </c>
      <c r="C4406" s="30" t="s">
        <v>46</v>
      </c>
      <c r="D4406" s="30" t="s">
        <v>47</v>
      </c>
      <c r="E4406" s="32" t="s">
        <v>96</v>
      </c>
      <c r="F4406" s="32" t="s">
        <v>49</v>
      </c>
      <c r="G4406" s="32" t="s">
        <v>50</v>
      </c>
      <c r="H4406" s="33">
        <v>97700</v>
      </c>
      <c r="I4406" s="34">
        <f>Table3[[#This Row],[Volume, kg.]]/1000</f>
        <v>97.7</v>
      </c>
      <c r="J4406" s="34">
        <v>0.25800000000000001</v>
      </c>
      <c r="K4406" s="34">
        <f t="shared" si="136"/>
        <v>25206.600000000002</v>
      </c>
      <c r="L4406" s="34">
        <v>2.37</v>
      </c>
      <c r="M4406" s="34">
        <v>231155</v>
      </c>
      <c r="N4406" s="34">
        <f t="shared" si="137"/>
        <v>9.1860465116279073</v>
      </c>
    </row>
    <row r="4407" spans="1:14" x14ac:dyDescent="0.45">
      <c r="A4407" s="30">
        <v>2024</v>
      </c>
      <c r="B4407" s="30" t="s">
        <v>17</v>
      </c>
      <c r="C4407" s="30" t="s">
        <v>46</v>
      </c>
      <c r="D4407" s="30" t="s">
        <v>47</v>
      </c>
      <c r="E4407" s="32" t="s">
        <v>369</v>
      </c>
      <c r="F4407" s="32" t="s">
        <v>57</v>
      </c>
      <c r="G4407" s="32" t="s">
        <v>50</v>
      </c>
      <c r="H4407" s="33">
        <v>21860</v>
      </c>
      <c r="I4407" s="34">
        <f>Table3[[#This Row],[Volume, kg.]]/1000</f>
        <v>21.86</v>
      </c>
      <c r="J4407" s="34">
        <v>0.25030000000000002</v>
      </c>
      <c r="K4407" s="34">
        <f t="shared" si="136"/>
        <v>5471.5580000000009</v>
      </c>
      <c r="L4407" s="34">
        <v>2.2999999999999998</v>
      </c>
      <c r="M4407" s="34">
        <v>50278</v>
      </c>
      <c r="N4407" s="34">
        <f t="shared" si="137"/>
        <v>9.1889732321214534</v>
      </c>
    </row>
    <row r="4408" spans="1:14" x14ac:dyDescent="0.45">
      <c r="A4408" s="30">
        <v>2024</v>
      </c>
      <c r="B4408" s="30" t="s">
        <v>17</v>
      </c>
      <c r="C4408" s="30" t="s">
        <v>46</v>
      </c>
      <c r="D4408" s="30" t="s">
        <v>47</v>
      </c>
      <c r="E4408" s="32" t="s">
        <v>518</v>
      </c>
      <c r="F4408" s="32" t="s">
        <v>49</v>
      </c>
      <c r="G4408" s="32" t="s">
        <v>50</v>
      </c>
      <c r="H4408" s="33">
        <v>54870</v>
      </c>
      <c r="I4408" s="34">
        <f>Table3[[#This Row],[Volume, kg.]]/1000</f>
        <v>54.87</v>
      </c>
      <c r="J4408" s="34">
        <v>0.24460000000000001</v>
      </c>
      <c r="K4408" s="34">
        <f t="shared" si="136"/>
        <v>13421.202000000001</v>
      </c>
      <c r="L4408" s="34">
        <v>2.33</v>
      </c>
      <c r="M4408" s="34">
        <v>127868</v>
      </c>
      <c r="N4408" s="34">
        <f t="shared" si="137"/>
        <v>9.5257563368765332</v>
      </c>
    </row>
    <row r="4409" spans="1:14" x14ac:dyDescent="0.45">
      <c r="A4409" s="30">
        <v>2024</v>
      </c>
      <c r="B4409" s="30" t="s">
        <v>17</v>
      </c>
      <c r="C4409" s="30" t="s">
        <v>46</v>
      </c>
      <c r="D4409" s="30" t="s">
        <v>47</v>
      </c>
      <c r="E4409" s="32" t="s">
        <v>87</v>
      </c>
      <c r="F4409" s="32" t="s">
        <v>49</v>
      </c>
      <c r="G4409" s="32" t="s">
        <v>50</v>
      </c>
      <c r="H4409" s="33">
        <v>21490</v>
      </c>
      <c r="I4409" s="34">
        <f>Table3[[#This Row],[Volume, kg.]]/1000</f>
        <v>21.49</v>
      </c>
      <c r="J4409" s="34">
        <v>0.25850000000000001</v>
      </c>
      <c r="K4409" s="34">
        <f t="shared" si="136"/>
        <v>5555.165</v>
      </c>
      <c r="L4409" s="34">
        <v>2.39</v>
      </c>
      <c r="M4409" s="34">
        <v>51459</v>
      </c>
      <c r="N4409" s="34">
        <f t="shared" si="137"/>
        <v>9.2456479690522251</v>
      </c>
    </row>
    <row r="4410" spans="1:14" x14ac:dyDescent="0.45">
      <c r="A4410" s="30">
        <v>2024</v>
      </c>
      <c r="B4410" s="30" t="s">
        <v>17</v>
      </c>
      <c r="C4410" s="30" t="s">
        <v>46</v>
      </c>
      <c r="D4410" s="30" t="s">
        <v>47</v>
      </c>
      <c r="E4410" s="32" t="s">
        <v>285</v>
      </c>
      <c r="F4410" s="32" t="s">
        <v>49</v>
      </c>
      <c r="G4410" s="32" t="s">
        <v>50</v>
      </c>
      <c r="H4410" s="33">
        <v>132470</v>
      </c>
      <c r="I4410" s="34">
        <f>Table3[[#This Row],[Volume, kg.]]/1000</f>
        <v>132.47</v>
      </c>
      <c r="J4410" s="34">
        <v>0.25619999999999998</v>
      </c>
      <c r="K4410" s="34">
        <f t="shared" si="136"/>
        <v>33938.813999999998</v>
      </c>
      <c r="L4410" s="34">
        <v>2.36</v>
      </c>
      <c r="M4410" s="34">
        <v>312796</v>
      </c>
      <c r="N4410" s="34">
        <f t="shared" si="137"/>
        <v>9.2115534738485554</v>
      </c>
    </row>
    <row r="4411" spans="1:14" x14ac:dyDescent="0.45">
      <c r="A4411" s="30">
        <v>2024</v>
      </c>
      <c r="B4411" s="30" t="s">
        <v>17</v>
      </c>
      <c r="C4411" s="30" t="s">
        <v>46</v>
      </c>
      <c r="D4411" s="30" t="s">
        <v>47</v>
      </c>
      <c r="E4411" s="32" t="s">
        <v>404</v>
      </c>
      <c r="F4411" s="32" t="s">
        <v>60</v>
      </c>
      <c r="G4411" s="32" t="s">
        <v>50</v>
      </c>
      <c r="H4411" s="33">
        <v>17350</v>
      </c>
      <c r="I4411" s="34">
        <f>Table3[[#This Row],[Volume, kg.]]/1000</f>
        <v>17.350000000000001</v>
      </c>
      <c r="J4411" s="34">
        <v>0.25519999999999998</v>
      </c>
      <c r="K4411" s="34">
        <f t="shared" si="136"/>
        <v>4427.7199999999993</v>
      </c>
      <c r="L4411" s="34">
        <v>2.48</v>
      </c>
      <c r="M4411" s="34">
        <v>42985</v>
      </c>
      <c r="N4411" s="34">
        <f t="shared" si="137"/>
        <v>9.7178683385579951</v>
      </c>
    </row>
    <row r="4412" spans="1:14" x14ac:dyDescent="0.45">
      <c r="A4412" s="30">
        <v>2024</v>
      </c>
      <c r="B4412" s="30" t="s">
        <v>17</v>
      </c>
      <c r="C4412" s="30" t="s">
        <v>46</v>
      </c>
      <c r="D4412" s="30" t="s">
        <v>47</v>
      </c>
      <c r="E4412" s="32" t="s">
        <v>254</v>
      </c>
      <c r="F4412" s="32" t="s">
        <v>49</v>
      </c>
      <c r="G4412" s="32" t="s">
        <v>50</v>
      </c>
      <c r="H4412" s="33">
        <v>27680</v>
      </c>
      <c r="I4412" s="34">
        <f>Table3[[#This Row],[Volume, kg.]]/1000</f>
        <v>27.68</v>
      </c>
      <c r="J4412" s="34">
        <v>0.23350000000000001</v>
      </c>
      <c r="K4412" s="34">
        <f t="shared" si="136"/>
        <v>6463.2800000000007</v>
      </c>
      <c r="L4412" s="34">
        <v>2.2599999999999998</v>
      </c>
      <c r="M4412" s="34">
        <v>62630</v>
      </c>
      <c r="N4412" s="34">
        <f t="shared" si="137"/>
        <v>9.6788008565310477</v>
      </c>
    </row>
    <row r="4413" spans="1:14" x14ac:dyDescent="0.45">
      <c r="A4413" s="30">
        <v>2024</v>
      </c>
      <c r="B4413" s="30" t="s">
        <v>17</v>
      </c>
      <c r="C4413" s="30" t="s">
        <v>46</v>
      </c>
      <c r="D4413" s="30" t="s">
        <v>47</v>
      </c>
      <c r="E4413" s="32" t="s">
        <v>508</v>
      </c>
      <c r="F4413" s="32" t="s">
        <v>60</v>
      </c>
      <c r="G4413" s="32" t="s">
        <v>50</v>
      </c>
      <c r="H4413" s="33">
        <v>23430</v>
      </c>
      <c r="I4413" s="34">
        <f>Table3[[#This Row],[Volume, kg.]]/1000</f>
        <v>23.43</v>
      </c>
      <c r="J4413" s="34">
        <v>0.22399999999999998</v>
      </c>
      <c r="K4413" s="34">
        <f t="shared" si="136"/>
        <v>5248.32</v>
      </c>
      <c r="L4413" s="34">
        <v>2.25</v>
      </c>
      <c r="M4413" s="34">
        <v>52717.5</v>
      </c>
      <c r="N4413" s="34">
        <f t="shared" si="137"/>
        <v>10.044642857142858</v>
      </c>
    </row>
    <row r="4414" spans="1:14" x14ac:dyDescent="0.45">
      <c r="A4414" s="30">
        <v>2024</v>
      </c>
      <c r="B4414" s="30" t="s">
        <v>17</v>
      </c>
      <c r="C4414" s="30" t="s">
        <v>46</v>
      </c>
      <c r="D4414" s="30" t="s">
        <v>47</v>
      </c>
      <c r="E4414" s="32" t="s">
        <v>430</v>
      </c>
      <c r="F4414" s="32" t="s">
        <v>49</v>
      </c>
      <c r="G4414" s="32" t="s">
        <v>50</v>
      </c>
      <c r="H4414" s="33">
        <v>9330</v>
      </c>
      <c r="I4414" s="34">
        <f>Table3[[#This Row],[Volume, kg.]]/1000</f>
        <v>9.33</v>
      </c>
      <c r="J4414" s="34">
        <v>0.23250000000000001</v>
      </c>
      <c r="K4414" s="34">
        <f t="shared" si="136"/>
        <v>2169.2249999999999</v>
      </c>
      <c r="L4414" s="34">
        <v>2.2999999999999998</v>
      </c>
      <c r="M4414" s="34">
        <v>21459</v>
      </c>
      <c r="N4414" s="34">
        <f t="shared" si="137"/>
        <v>9.8924731182795682</v>
      </c>
    </row>
    <row r="4415" spans="1:14" x14ac:dyDescent="0.45">
      <c r="A4415" s="30">
        <v>2024</v>
      </c>
      <c r="B4415" s="30" t="s">
        <v>17</v>
      </c>
      <c r="C4415" s="30" t="s">
        <v>46</v>
      </c>
      <c r="D4415" s="30" t="s">
        <v>47</v>
      </c>
      <c r="E4415" s="32" t="s">
        <v>199</v>
      </c>
      <c r="F4415" s="32" t="s">
        <v>60</v>
      </c>
      <c r="G4415" s="32" t="s">
        <v>50</v>
      </c>
      <c r="H4415" s="33">
        <v>9290</v>
      </c>
      <c r="I4415" s="34">
        <f>Table3[[#This Row],[Volume, kg.]]/1000</f>
        <v>9.2899999999999991</v>
      </c>
      <c r="J4415" s="34">
        <v>0.27550000000000002</v>
      </c>
      <c r="K4415" s="34">
        <f t="shared" si="136"/>
        <v>2559.3950000000004</v>
      </c>
      <c r="L4415" s="34">
        <v>2.4500000000000002</v>
      </c>
      <c r="M4415" s="34">
        <v>22760.5</v>
      </c>
      <c r="N4415" s="34">
        <f t="shared" si="137"/>
        <v>8.8929219600725951</v>
      </c>
    </row>
    <row r="4416" spans="1:14" x14ac:dyDescent="0.45">
      <c r="A4416" s="30">
        <v>2024</v>
      </c>
      <c r="B4416" s="30" t="s">
        <v>17</v>
      </c>
      <c r="C4416" s="30" t="s">
        <v>46</v>
      </c>
      <c r="D4416" s="30" t="s">
        <v>47</v>
      </c>
      <c r="E4416" s="32" t="s">
        <v>314</v>
      </c>
      <c r="F4416" s="32" t="s">
        <v>57</v>
      </c>
      <c r="G4416" s="32" t="s">
        <v>50</v>
      </c>
      <c r="H4416" s="33">
        <v>12810</v>
      </c>
      <c r="I4416" s="34">
        <f>Table3[[#This Row],[Volume, kg.]]/1000</f>
        <v>12.81</v>
      </c>
      <c r="J4416" s="34">
        <v>0.27449999999999997</v>
      </c>
      <c r="K4416" s="34">
        <f t="shared" si="136"/>
        <v>3516.3449999999993</v>
      </c>
      <c r="L4416" s="34">
        <v>2.4700000000000002</v>
      </c>
      <c r="M4416" s="34">
        <v>31584</v>
      </c>
      <c r="N4416" s="34">
        <f t="shared" si="137"/>
        <v>8.9981785063752291</v>
      </c>
    </row>
    <row r="4417" spans="1:14" x14ac:dyDescent="0.45">
      <c r="A4417" s="30">
        <v>2024</v>
      </c>
      <c r="B4417" s="30" t="s">
        <v>17</v>
      </c>
      <c r="C4417" s="30" t="s">
        <v>46</v>
      </c>
      <c r="D4417" s="30" t="s">
        <v>47</v>
      </c>
      <c r="E4417" s="32" t="s">
        <v>453</v>
      </c>
      <c r="F4417" s="32" t="s">
        <v>57</v>
      </c>
      <c r="G4417" s="32" t="s">
        <v>50</v>
      </c>
      <c r="H4417" s="33">
        <v>15710</v>
      </c>
      <c r="I4417" s="34">
        <f>Table3[[#This Row],[Volume, kg.]]/1000</f>
        <v>15.71</v>
      </c>
      <c r="J4417" s="34">
        <v>0.26940000000000003</v>
      </c>
      <c r="K4417" s="34">
        <f t="shared" si="136"/>
        <v>4232.2740000000003</v>
      </c>
      <c r="L4417" s="34">
        <v>2.46</v>
      </c>
      <c r="M4417" s="34">
        <v>38631</v>
      </c>
      <c r="N4417" s="34">
        <f t="shared" si="137"/>
        <v>9.1314031180400885</v>
      </c>
    </row>
    <row r="4418" spans="1:14" x14ac:dyDescent="0.45">
      <c r="A4418" s="30">
        <v>2024</v>
      </c>
      <c r="B4418" s="30" t="s">
        <v>17</v>
      </c>
      <c r="C4418" s="30" t="s">
        <v>46</v>
      </c>
      <c r="D4418" s="30" t="s">
        <v>47</v>
      </c>
      <c r="E4418" s="32" t="s">
        <v>227</v>
      </c>
      <c r="F4418" s="32" t="s">
        <v>57</v>
      </c>
      <c r="G4418" s="32" t="s">
        <v>50</v>
      </c>
      <c r="H4418" s="33">
        <v>74570</v>
      </c>
      <c r="I4418" s="34">
        <f>Table3[[#This Row],[Volume, kg.]]/1000</f>
        <v>74.569999999999993</v>
      </c>
      <c r="J4418" s="34">
        <v>0.25690000000000002</v>
      </c>
      <c r="K4418" s="34">
        <f t="shared" si="136"/>
        <v>19157.033000000003</v>
      </c>
      <c r="L4418" s="34">
        <v>2.44</v>
      </c>
      <c r="M4418" s="34">
        <v>181933</v>
      </c>
      <c r="N4418" s="34">
        <f t="shared" si="137"/>
        <v>9.4978590891397427</v>
      </c>
    </row>
    <row r="4419" spans="1:14" x14ac:dyDescent="0.45">
      <c r="A4419" s="30">
        <v>2024</v>
      </c>
      <c r="B4419" s="30" t="s">
        <v>17</v>
      </c>
      <c r="C4419" s="30" t="s">
        <v>46</v>
      </c>
      <c r="D4419" s="30" t="s">
        <v>47</v>
      </c>
      <c r="E4419" s="32" t="s">
        <v>509</v>
      </c>
      <c r="F4419" s="32" t="s">
        <v>49</v>
      </c>
      <c r="G4419" s="32" t="s">
        <v>50</v>
      </c>
      <c r="H4419" s="33">
        <v>15520</v>
      </c>
      <c r="I4419" s="34">
        <f>Table3[[#This Row],[Volume, kg.]]/1000</f>
        <v>15.52</v>
      </c>
      <c r="J4419" s="34">
        <v>0.21850000000000003</v>
      </c>
      <c r="K4419" s="34">
        <f t="shared" ref="K4419:K4482" si="138">H4419*J4419</f>
        <v>3391.1200000000003</v>
      </c>
      <c r="L4419" s="34">
        <v>2.2000000000000002</v>
      </c>
      <c r="M4419" s="34">
        <v>34144</v>
      </c>
      <c r="N4419" s="34">
        <f t="shared" si="137"/>
        <v>10.068649885583524</v>
      </c>
    </row>
    <row r="4420" spans="1:14" x14ac:dyDescent="0.45">
      <c r="A4420" s="30">
        <v>2024</v>
      </c>
      <c r="B4420" s="30" t="s">
        <v>17</v>
      </c>
      <c r="C4420" s="30" t="s">
        <v>46</v>
      </c>
      <c r="D4420" s="30" t="s">
        <v>47</v>
      </c>
      <c r="E4420" s="32" t="s">
        <v>66</v>
      </c>
      <c r="F4420" s="32" t="s">
        <v>49</v>
      </c>
      <c r="G4420" s="32" t="s">
        <v>50</v>
      </c>
      <c r="H4420" s="33">
        <v>11900</v>
      </c>
      <c r="I4420" s="34">
        <f>Table3[[#This Row],[Volume, kg.]]/1000</f>
        <v>11.9</v>
      </c>
      <c r="J4420" s="34">
        <v>0.26700000000000002</v>
      </c>
      <c r="K4420" s="34">
        <f t="shared" si="138"/>
        <v>3177.3</v>
      </c>
      <c r="L4420" s="34">
        <v>2.5499999999999998</v>
      </c>
      <c r="M4420" s="34">
        <v>30345</v>
      </c>
      <c r="N4420" s="34">
        <f t="shared" ref="N4420:N4483" si="139">L4420/J4420</f>
        <v>9.5505617977528079</v>
      </c>
    </row>
    <row r="4421" spans="1:14" x14ac:dyDescent="0.45">
      <c r="A4421" s="30">
        <v>2024</v>
      </c>
      <c r="B4421" s="30" t="s">
        <v>17</v>
      </c>
      <c r="C4421" s="30" t="s">
        <v>46</v>
      </c>
      <c r="D4421" s="30" t="s">
        <v>47</v>
      </c>
      <c r="E4421" s="32" t="s">
        <v>159</v>
      </c>
      <c r="F4421" s="32" t="s">
        <v>81</v>
      </c>
      <c r="G4421" s="32" t="s">
        <v>50</v>
      </c>
      <c r="H4421" s="33">
        <v>100400</v>
      </c>
      <c r="I4421" s="34">
        <f>Table3[[#This Row],[Volume, kg.]]/1000</f>
        <v>100.4</v>
      </c>
      <c r="J4421" s="34">
        <v>0.24530000000000002</v>
      </c>
      <c r="K4421" s="34">
        <f t="shared" si="138"/>
        <v>24628.120000000003</v>
      </c>
      <c r="L4421" s="34">
        <v>2.31</v>
      </c>
      <c r="M4421" s="34">
        <v>232053.5</v>
      </c>
      <c r="N4421" s="34">
        <f t="shared" si="139"/>
        <v>9.4170403587443943</v>
      </c>
    </row>
    <row r="4422" spans="1:14" x14ac:dyDescent="0.45">
      <c r="A4422" s="30">
        <v>2024</v>
      </c>
      <c r="B4422" s="30" t="s">
        <v>17</v>
      </c>
      <c r="C4422" s="30" t="s">
        <v>46</v>
      </c>
      <c r="D4422" s="30" t="s">
        <v>47</v>
      </c>
      <c r="E4422" s="32" t="s">
        <v>83</v>
      </c>
      <c r="F4422" s="32" t="s">
        <v>64</v>
      </c>
      <c r="G4422" s="32" t="s">
        <v>50</v>
      </c>
      <c r="H4422" s="33">
        <v>12400</v>
      </c>
      <c r="I4422" s="34">
        <f>Table3[[#This Row],[Volume, kg.]]/1000</f>
        <v>12.4</v>
      </c>
      <c r="J4422" s="34">
        <v>0.214</v>
      </c>
      <c r="K4422" s="34">
        <f t="shared" si="138"/>
        <v>2653.6</v>
      </c>
      <c r="L4422" s="34">
        <v>2.15</v>
      </c>
      <c r="M4422" s="34">
        <v>26660</v>
      </c>
      <c r="N4422" s="34">
        <f t="shared" si="139"/>
        <v>10.046728971962617</v>
      </c>
    </row>
    <row r="4423" spans="1:14" x14ac:dyDescent="0.45">
      <c r="A4423" s="30">
        <v>2024</v>
      </c>
      <c r="B4423" s="30" t="s">
        <v>17</v>
      </c>
      <c r="C4423" s="30" t="s">
        <v>46</v>
      </c>
      <c r="D4423" s="30" t="s">
        <v>47</v>
      </c>
      <c r="E4423" s="32" t="s">
        <v>209</v>
      </c>
      <c r="F4423" s="32" t="s">
        <v>49</v>
      </c>
      <c r="G4423" s="32" t="s">
        <v>50</v>
      </c>
      <c r="H4423" s="33">
        <v>19170</v>
      </c>
      <c r="I4423" s="34">
        <f>Table3[[#This Row],[Volume, kg.]]/1000</f>
        <v>19.170000000000002</v>
      </c>
      <c r="J4423" s="34">
        <v>0.25929999999999997</v>
      </c>
      <c r="K4423" s="34">
        <f t="shared" si="138"/>
        <v>4970.7809999999999</v>
      </c>
      <c r="L4423" s="34">
        <v>2.39</v>
      </c>
      <c r="M4423" s="34">
        <v>45889.5</v>
      </c>
      <c r="N4423" s="34">
        <f t="shared" si="139"/>
        <v>9.2171230235248753</v>
      </c>
    </row>
    <row r="4424" spans="1:14" x14ac:dyDescent="0.45">
      <c r="A4424" s="30">
        <v>2024</v>
      </c>
      <c r="B4424" s="30" t="s">
        <v>17</v>
      </c>
      <c r="C4424" s="30" t="s">
        <v>46</v>
      </c>
      <c r="D4424" s="30" t="s">
        <v>47</v>
      </c>
      <c r="E4424" s="32" t="s">
        <v>405</v>
      </c>
      <c r="F4424" s="32" t="s">
        <v>240</v>
      </c>
      <c r="G4424" s="32" t="s">
        <v>50</v>
      </c>
      <c r="H4424" s="33">
        <v>41740</v>
      </c>
      <c r="I4424" s="34">
        <f>Table3[[#This Row],[Volume, kg.]]/1000</f>
        <v>41.74</v>
      </c>
      <c r="J4424" s="34">
        <v>0.20879999999999999</v>
      </c>
      <c r="K4424" s="34">
        <f t="shared" si="138"/>
        <v>8715.3119999999999</v>
      </c>
      <c r="L4424" s="34">
        <v>2.12</v>
      </c>
      <c r="M4424" s="34">
        <v>88311</v>
      </c>
      <c r="N4424" s="34">
        <f t="shared" si="139"/>
        <v>10.153256704980844</v>
      </c>
    </row>
    <row r="4425" spans="1:14" x14ac:dyDescent="0.45">
      <c r="A4425" s="30">
        <v>2024</v>
      </c>
      <c r="B4425" s="30" t="s">
        <v>17</v>
      </c>
      <c r="C4425" s="30" t="s">
        <v>46</v>
      </c>
      <c r="D4425" s="30" t="s">
        <v>47</v>
      </c>
      <c r="E4425" s="32" t="s">
        <v>309</v>
      </c>
      <c r="F4425" s="32" t="s">
        <v>81</v>
      </c>
      <c r="G4425" s="32" t="s">
        <v>50</v>
      </c>
      <c r="H4425" s="33">
        <v>62920</v>
      </c>
      <c r="I4425" s="34">
        <f>Table3[[#This Row],[Volume, kg.]]/1000</f>
        <v>62.92</v>
      </c>
      <c r="J4425" s="34">
        <v>0.2457</v>
      </c>
      <c r="K4425" s="34">
        <f t="shared" si="138"/>
        <v>15459.444</v>
      </c>
      <c r="L4425" s="34">
        <v>2.29</v>
      </c>
      <c r="M4425" s="34">
        <v>143857</v>
      </c>
      <c r="N4425" s="34">
        <f t="shared" si="139"/>
        <v>9.3203093203093204</v>
      </c>
    </row>
    <row r="4426" spans="1:14" x14ac:dyDescent="0.45">
      <c r="A4426" s="30">
        <v>2024</v>
      </c>
      <c r="B4426" s="30" t="s">
        <v>17</v>
      </c>
      <c r="C4426" s="30" t="s">
        <v>46</v>
      </c>
      <c r="D4426" s="30" t="s">
        <v>47</v>
      </c>
      <c r="E4426" s="32" t="s">
        <v>510</v>
      </c>
      <c r="F4426" s="32" t="s">
        <v>49</v>
      </c>
      <c r="G4426" s="32" t="s">
        <v>50</v>
      </c>
      <c r="H4426" s="33">
        <v>11670</v>
      </c>
      <c r="I4426" s="34">
        <f>Table3[[#This Row],[Volume, kg.]]/1000</f>
        <v>11.67</v>
      </c>
      <c r="J4426" s="34">
        <v>0.26050000000000001</v>
      </c>
      <c r="K4426" s="34">
        <f t="shared" si="138"/>
        <v>3040.0350000000003</v>
      </c>
      <c r="L4426" s="34">
        <v>2.4</v>
      </c>
      <c r="M4426" s="34">
        <v>28008</v>
      </c>
      <c r="N4426" s="34">
        <f t="shared" si="139"/>
        <v>9.2130518234165066</v>
      </c>
    </row>
    <row r="4427" spans="1:14" x14ac:dyDescent="0.45">
      <c r="A4427" s="30">
        <v>2024</v>
      </c>
      <c r="B4427" s="30" t="s">
        <v>17</v>
      </c>
      <c r="C4427" s="30" t="s">
        <v>46</v>
      </c>
      <c r="D4427" s="30" t="s">
        <v>47</v>
      </c>
      <c r="E4427" s="32" t="s">
        <v>136</v>
      </c>
      <c r="F4427" s="32" t="s">
        <v>49</v>
      </c>
      <c r="G4427" s="32" t="s">
        <v>50</v>
      </c>
      <c r="H4427" s="33">
        <v>71430</v>
      </c>
      <c r="I4427" s="34">
        <f>Table3[[#This Row],[Volume, kg.]]/1000</f>
        <v>71.430000000000007</v>
      </c>
      <c r="J4427" s="34">
        <v>0.26400000000000001</v>
      </c>
      <c r="K4427" s="34">
        <f t="shared" si="138"/>
        <v>18857.52</v>
      </c>
      <c r="L4427" s="34">
        <v>2.41</v>
      </c>
      <c r="M4427" s="34">
        <v>172481</v>
      </c>
      <c r="N4427" s="34">
        <f t="shared" si="139"/>
        <v>9.1287878787878789</v>
      </c>
    </row>
    <row r="4428" spans="1:14" x14ac:dyDescent="0.45">
      <c r="A4428" s="30">
        <v>2024</v>
      </c>
      <c r="B4428" s="30" t="s">
        <v>17</v>
      </c>
      <c r="C4428" s="30" t="s">
        <v>46</v>
      </c>
      <c r="D4428" s="30" t="s">
        <v>47</v>
      </c>
      <c r="E4428" s="32" t="s">
        <v>91</v>
      </c>
      <c r="F4428" s="32" t="s">
        <v>60</v>
      </c>
      <c r="G4428" s="32" t="s">
        <v>50</v>
      </c>
      <c r="H4428" s="33">
        <v>107670</v>
      </c>
      <c r="I4428" s="34">
        <f>Table3[[#This Row],[Volume, kg.]]/1000</f>
        <v>107.67</v>
      </c>
      <c r="J4428" s="34">
        <v>0.2422</v>
      </c>
      <c r="K4428" s="34">
        <f t="shared" si="138"/>
        <v>26077.673999999999</v>
      </c>
      <c r="L4428" s="34">
        <v>2.35</v>
      </c>
      <c r="M4428" s="34">
        <v>253140</v>
      </c>
      <c r="N4428" s="34">
        <f t="shared" si="139"/>
        <v>9.7027250206440954</v>
      </c>
    </row>
    <row r="4429" spans="1:14" x14ac:dyDescent="0.45">
      <c r="A4429" s="30">
        <v>2024</v>
      </c>
      <c r="B4429" s="30" t="s">
        <v>17</v>
      </c>
      <c r="C4429" s="30" t="s">
        <v>46</v>
      </c>
      <c r="D4429" s="30" t="s">
        <v>47</v>
      </c>
      <c r="E4429" s="32" t="s">
        <v>53</v>
      </c>
      <c r="F4429" s="32" t="s">
        <v>54</v>
      </c>
      <c r="G4429" s="32" t="s">
        <v>50</v>
      </c>
      <c r="H4429" s="33">
        <v>171540</v>
      </c>
      <c r="I4429" s="34">
        <f>Table3[[#This Row],[Volume, kg.]]/1000</f>
        <v>171.54</v>
      </c>
      <c r="J4429" s="34">
        <v>0.24960000000000002</v>
      </c>
      <c r="K4429" s="34">
        <f t="shared" si="138"/>
        <v>42816.384000000005</v>
      </c>
      <c r="L4429" s="34">
        <v>2.37</v>
      </c>
      <c r="M4429" s="34">
        <v>407213.5</v>
      </c>
      <c r="N4429" s="34">
        <f t="shared" si="139"/>
        <v>9.4951923076923084</v>
      </c>
    </row>
    <row r="4430" spans="1:14" x14ac:dyDescent="0.45">
      <c r="A4430" s="30">
        <v>2024</v>
      </c>
      <c r="B4430" s="30" t="s">
        <v>17</v>
      </c>
      <c r="C4430" s="30" t="s">
        <v>46</v>
      </c>
      <c r="D4430" s="30" t="s">
        <v>47</v>
      </c>
      <c r="E4430" s="32" t="s">
        <v>120</v>
      </c>
      <c r="F4430" s="32" t="s">
        <v>49</v>
      </c>
      <c r="G4430" s="32" t="s">
        <v>50</v>
      </c>
      <c r="H4430" s="33">
        <v>75680</v>
      </c>
      <c r="I4430" s="34">
        <f>Table3[[#This Row],[Volume, kg.]]/1000</f>
        <v>75.680000000000007</v>
      </c>
      <c r="J4430" s="34">
        <v>0.23699999999999999</v>
      </c>
      <c r="K4430" s="34">
        <f t="shared" si="138"/>
        <v>17936.16</v>
      </c>
      <c r="L4430" s="34">
        <v>2.27</v>
      </c>
      <c r="M4430" s="34">
        <v>171826.5</v>
      </c>
      <c r="N4430" s="34">
        <f t="shared" si="139"/>
        <v>9.5780590717299585</v>
      </c>
    </row>
    <row r="4431" spans="1:14" x14ac:dyDescent="0.45">
      <c r="A4431" s="30">
        <v>2024</v>
      </c>
      <c r="B4431" s="30" t="s">
        <v>17</v>
      </c>
      <c r="C4431" s="30" t="s">
        <v>46</v>
      </c>
      <c r="D4431" s="30" t="s">
        <v>47</v>
      </c>
      <c r="E4431" s="32" t="s">
        <v>151</v>
      </c>
      <c r="F4431" s="32" t="s">
        <v>60</v>
      </c>
      <c r="G4431" s="32" t="s">
        <v>50</v>
      </c>
      <c r="H4431" s="33">
        <v>49650</v>
      </c>
      <c r="I4431" s="34">
        <f>Table3[[#This Row],[Volume, kg.]]/1000</f>
        <v>49.65</v>
      </c>
      <c r="J4431" s="34">
        <v>0.26200000000000001</v>
      </c>
      <c r="K4431" s="34">
        <f t="shared" si="138"/>
        <v>13008.300000000001</v>
      </c>
      <c r="L4431" s="34">
        <v>2.4</v>
      </c>
      <c r="M4431" s="34">
        <v>119193</v>
      </c>
      <c r="N4431" s="34">
        <f t="shared" si="139"/>
        <v>9.1603053435114496</v>
      </c>
    </row>
    <row r="4432" spans="1:14" x14ac:dyDescent="0.45">
      <c r="A4432" s="30">
        <v>2024</v>
      </c>
      <c r="B4432" s="30" t="s">
        <v>17</v>
      </c>
      <c r="C4432" s="30" t="s">
        <v>46</v>
      </c>
      <c r="D4432" s="30" t="s">
        <v>102</v>
      </c>
      <c r="E4432" s="32" t="s">
        <v>658</v>
      </c>
      <c r="F4432" s="32" t="s">
        <v>64</v>
      </c>
      <c r="G4432" s="32" t="s">
        <v>50</v>
      </c>
      <c r="H4432" s="33">
        <v>48150</v>
      </c>
      <c r="I4432" s="34">
        <f>Table3[[#This Row],[Volume, kg.]]/1000</f>
        <v>48.15</v>
      </c>
      <c r="J4432" s="34">
        <v>0.23010000000000003</v>
      </c>
      <c r="K4432" s="34">
        <f t="shared" si="138"/>
        <v>11079.315000000001</v>
      </c>
      <c r="L4432" s="34">
        <v>2.48</v>
      </c>
      <c r="M4432" s="34">
        <v>119544</v>
      </c>
      <c r="N4432" s="34">
        <f t="shared" si="139"/>
        <v>10.77792264232942</v>
      </c>
    </row>
    <row r="4433" spans="1:14" x14ac:dyDescent="0.45">
      <c r="A4433" s="30">
        <v>2024</v>
      </c>
      <c r="B4433" s="30" t="s">
        <v>17</v>
      </c>
      <c r="C4433" s="30" t="s">
        <v>46</v>
      </c>
      <c r="D4433" s="30" t="s">
        <v>47</v>
      </c>
      <c r="E4433" s="32" t="s">
        <v>351</v>
      </c>
      <c r="F4433" s="32" t="s">
        <v>49</v>
      </c>
      <c r="G4433" s="32" t="s">
        <v>50</v>
      </c>
      <c r="H4433" s="33">
        <v>33230</v>
      </c>
      <c r="I4433" s="34">
        <f>Table3[[#This Row],[Volume, kg.]]/1000</f>
        <v>33.229999999999997</v>
      </c>
      <c r="J4433" s="34">
        <v>0.22309999999999999</v>
      </c>
      <c r="K4433" s="34">
        <f t="shared" si="138"/>
        <v>7413.6129999999994</v>
      </c>
      <c r="L4433" s="34">
        <v>2.23</v>
      </c>
      <c r="M4433" s="34">
        <v>74232.5</v>
      </c>
      <c r="N4433" s="34">
        <f t="shared" si="139"/>
        <v>9.9955177050649944</v>
      </c>
    </row>
    <row r="4434" spans="1:14" x14ac:dyDescent="0.45">
      <c r="A4434" s="30">
        <v>2024</v>
      </c>
      <c r="B4434" s="30" t="s">
        <v>17</v>
      </c>
      <c r="C4434" s="30" t="s">
        <v>46</v>
      </c>
      <c r="D4434" s="30" t="s">
        <v>47</v>
      </c>
      <c r="E4434" s="32" t="s">
        <v>133</v>
      </c>
      <c r="F4434" s="32" t="s">
        <v>134</v>
      </c>
      <c r="G4434" s="32" t="s">
        <v>50</v>
      </c>
      <c r="H4434" s="33">
        <v>19850</v>
      </c>
      <c r="I4434" s="34">
        <f>Table3[[#This Row],[Volume, kg.]]/1000</f>
        <v>19.850000000000001</v>
      </c>
      <c r="J4434" s="34">
        <v>0.24539999999999998</v>
      </c>
      <c r="K4434" s="34">
        <f t="shared" si="138"/>
        <v>4871.1899999999996</v>
      </c>
      <c r="L4434" s="34">
        <v>2.37</v>
      </c>
      <c r="M4434" s="34">
        <v>47091.5</v>
      </c>
      <c r="N4434" s="34">
        <f t="shared" si="139"/>
        <v>9.657701711491443</v>
      </c>
    </row>
    <row r="4435" spans="1:14" x14ac:dyDescent="0.45">
      <c r="A4435" s="30">
        <v>2024</v>
      </c>
      <c r="B4435" s="30" t="s">
        <v>17</v>
      </c>
      <c r="C4435" s="30" t="s">
        <v>46</v>
      </c>
      <c r="D4435" s="30" t="s">
        <v>47</v>
      </c>
      <c r="E4435" s="32" t="s">
        <v>78</v>
      </c>
      <c r="F4435" s="32" t="s">
        <v>49</v>
      </c>
      <c r="G4435" s="32" t="s">
        <v>50</v>
      </c>
      <c r="H4435" s="33">
        <v>27530</v>
      </c>
      <c r="I4435" s="34">
        <f>Table3[[#This Row],[Volume, kg.]]/1000</f>
        <v>27.53</v>
      </c>
      <c r="J4435" s="34">
        <v>0.2477</v>
      </c>
      <c r="K4435" s="34">
        <f t="shared" si="138"/>
        <v>6819.1810000000005</v>
      </c>
      <c r="L4435" s="34">
        <v>2.2799999999999998</v>
      </c>
      <c r="M4435" s="34">
        <v>62752</v>
      </c>
      <c r="N4435" s="34">
        <f t="shared" si="139"/>
        <v>9.2046830843762599</v>
      </c>
    </row>
    <row r="4436" spans="1:14" x14ac:dyDescent="0.45">
      <c r="A4436" s="30">
        <v>2024</v>
      </c>
      <c r="B4436" s="30" t="s">
        <v>17</v>
      </c>
      <c r="C4436" s="30" t="s">
        <v>46</v>
      </c>
      <c r="D4436" s="30" t="s">
        <v>47</v>
      </c>
      <c r="E4436" s="32" t="s">
        <v>252</v>
      </c>
      <c r="F4436" s="32" t="s">
        <v>49</v>
      </c>
      <c r="G4436" s="32" t="s">
        <v>50</v>
      </c>
      <c r="H4436" s="33">
        <v>44850</v>
      </c>
      <c r="I4436" s="34">
        <f>Table3[[#This Row],[Volume, kg.]]/1000</f>
        <v>44.85</v>
      </c>
      <c r="J4436" s="34">
        <v>0.25790000000000002</v>
      </c>
      <c r="K4436" s="34">
        <f t="shared" si="138"/>
        <v>11566.815000000001</v>
      </c>
      <c r="L4436" s="34">
        <v>2.4</v>
      </c>
      <c r="M4436" s="34">
        <v>107825</v>
      </c>
      <c r="N4436" s="34">
        <f t="shared" si="139"/>
        <v>9.3059325319891428</v>
      </c>
    </row>
    <row r="4437" spans="1:14" x14ac:dyDescent="0.45">
      <c r="A4437" s="30">
        <v>2024</v>
      </c>
      <c r="B4437" s="30" t="s">
        <v>17</v>
      </c>
      <c r="C4437" s="30" t="s">
        <v>46</v>
      </c>
      <c r="D4437" s="30" t="s">
        <v>47</v>
      </c>
      <c r="E4437" s="32" t="s">
        <v>95</v>
      </c>
      <c r="F4437" s="32" t="s">
        <v>49</v>
      </c>
      <c r="G4437" s="32" t="s">
        <v>50</v>
      </c>
      <c r="H4437" s="33">
        <v>25560</v>
      </c>
      <c r="I4437" s="34">
        <f>Table3[[#This Row],[Volume, kg.]]/1000</f>
        <v>25.56</v>
      </c>
      <c r="J4437" s="34">
        <v>0.25030000000000002</v>
      </c>
      <c r="K4437" s="34">
        <f t="shared" si="138"/>
        <v>6397.6680000000006</v>
      </c>
      <c r="L4437" s="34">
        <v>2.4</v>
      </c>
      <c r="M4437" s="34">
        <v>61363.5</v>
      </c>
      <c r="N4437" s="34">
        <f t="shared" si="139"/>
        <v>9.5884938074310817</v>
      </c>
    </row>
    <row r="4438" spans="1:14" x14ac:dyDescent="0.45">
      <c r="A4438" s="30">
        <v>2024</v>
      </c>
      <c r="B4438" s="30" t="s">
        <v>17</v>
      </c>
      <c r="C4438" s="30" t="s">
        <v>46</v>
      </c>
      <c r="D4438" s="30" t="s">
        <v>47</v>
      </c>
      <c r="E4438" s="32" t="s">
        <v>205</v>
      </c>
      <c r="F4438" s="32" t="s">
        <v>49</v>
      </c>
      <c r="G4438" s="32" t="s">
        <v>50</v>
      </c>
      <c r="H4438" s="33">
        <v>42290</v>
      </c>
      <c r="I4438" s="34">
        <f>Table3[[#This Row],[Volume, kg.]]/1000</f>
        <v>42.29</v>
      </c>
      <c r="J4438" s="34">
        <v>0.24</v>
      </c>
      <c r="K4438" s="34">
        <f t="shared" si="138"/>
        <v>10149.6</v>
      </c>
      <c r="L4438" s="34">
        <v>2.33</v>
      </c>
      <c r="M4438" s="34">
        <v>98435</v>
      </c>
      <c r="N4438" s="34">
        <f t="shared" si="139"/>
        <v>9.7083333333333339</v>
      </c>
    </row>
    <row r="4439" spans="1:14" x14ac:dyDescent="0.45">
      <c r="A4439" s="30">
        <v>2024</v>
      </c>
      <c r="B4439" s="30" t="s">
        <v>17</v>
      </c>
      <c r="C4439" s="30" t="s">
        <v>46</v>
      </c>
      <c r="D4439" s="30" t="s">
        <v>47</v>
      </c>
      <c r="E4439" s="32" t="s">
        <v>413</v>
      </c>
      <c r="F4439" s="32" t="s">
        <v>49</v>
      </c>
      <c r="G4439" s="32" t="s">
        <v>50</v>
      </c>
      <c r="H4439" s="33">
        <v>129480</v>
      </c>
      <c r="I4439" s="34">
        <f>Table3[[#This Row],[Volume, kg.]]/1000</f>
        <v>129.47999999999999</v>
      </c>
      <c r="J4439" s="34">
        <v>0.26750000000000002</v>
      </c>
      <c r="K4439" s="34">
        <f t="shared" si="138"/>
        <v>34635.9</v>
      </c>
      <c r="L4439" s="34">
        <v>2.42</v>
      </c>
      <c r="M4439" s="34">
        <v>313626.5</v>
      </c>
      <c r="N4439" s="34">
        <f t="shared" si="139"/>
        <v>9.0467289719626152</v>
      </c>
    </row>
    <row r="4440" spans="1:14" x14ac:dyDescent="0.45">
      <c r="A4440" s="30">
        <v>2024</v>
      </c>
      <c r="B4440" s="30" t="s">
        <v>17</v>
      </c>
      <c r="C4440" s="30" t="s">
        <v>46</v>
      </c>
      <c r="D4440" s="30" t="s">
        <v>47</v>
      </c>
      <c r="E4440" s="32" t="s">
        <v>417</v>
      </c>
      <c r="F4440" s="32" t="s">
        <v>49</v>
      </c>
      <c r="G4440" s="32" t="s">
        <v>50</v>
      </c>
      <c r="H4440" s="33">
        <v>18520</v>
      </c>
      <c r="I4440" s="34">
        <f>Table3[[#This Row],[Volume, kg.]]/1000</f>
        <v>18.52</v>
      </c>
      <c r="J4440" s="34">
        <v>0.29160000000000003</v>
      </c>
      <c r="K4440" s="34">
        <f t="shared" si="138"/>
        <v>5400.4320000000007</v>
      </c>
      <c r="L4440" s="34">
        <v>2.65</v>
      </c>
      <c r="M4440" s="34">
        <v>49044.5</v>
      </c>
      <c r="N4440" s="34">
        <f t="shared" si="139"/>
        <v>9.0877914951989016</v>
      </c>
    </row>
    <row r="4441" spans="1:14" x14ac:dyDescent="0.45">
      <c r="A4441" s="30">
        <v>2024</v>
      </c>
      <c r="B4441" s="30" t="s">
        <v>17</v>
      </c>
      <c r="C4441" s="30" t="s">
        <v>46</v>
      </c>
      <c r="D4441" s="30" t="s">
        <v>47</v>
      </c>
      <c r="E4441" s="32" t="s">
        <v>483</v>
      </c>
      <c r="F4441" s="32" t="s">
        <v>238</v>
      </c>
      <c r="G4441" s="32" t="s">
        <v>50</v>
      </c>
      <c r="H4441" s="33">
        <v>54830</v>
      </c>
      <c r="I4441" s="34">
        <f>Table3[[#This Row],[Volume, kg.]]/1000</f>
        <v>54.83</v>
      </c>
      <c r="J4441" s="34">
        <v>0.21359999999999998</v>
      </c>
      <c r="K4441" s="34">
        <f t="shared" si="138"/>
        <v>11711.687999999998</v>
      </c>
      <c r="L4441" s="34">
        <v>2.21</v>
      </c>
      <c r="M4441" s="34">
        <v>121362.5</v>
      </c>
      <c r="N4441" s="34">
        <f t="shared" si="139"/>
        <v>10.346441947565543</v>
      </c>
    </row>
    <row r="4442" spans="1:14" x14ac:dyDescent="0.45">
      <c r="A4442" s="30">
        <v>2024</v>
      </c>
      <c r="B4442" s="30" t="s">
        <v>17</v>
      </c>
      <c r="C4442" s="30" t="s">
        <v>46</v>
      </c>
      <c r="D4442" s="30" t="s">
        <v>47</v>
      </c>
      <c r="E4442" s="32" t="s">
        <v>488</v>
      </c>
      <c r="F4442" s="32" t="s">
        <v>57</v>
      </c>
      <c r="G4442" s="32" t="s">
        <v>50</v>
      </c>
      <c r="H4442" s="33">
        <v>66290</v>
      </c>
      <c r="I4442" s="34">
        <f>Table3[[#This Row],[Volume, kg.]]/1000</f>
        <v>66.290000000000006</v>
      </c>
      <c r="J4442" s="34">
        <v>0.2641</v>
      </c>
      <c r="K4442" s="34">
        <f t="shared" si="138"/>
        <v>17507.188999999998</v>
      </c>
      <c r="L4442" s="34">
        <v>2.42</v>
      </c>
      <c r="M4442" s="34">
        <v>160315.5</v>
      </c>
      <c r="N4442" s="34">
        <f t="shared" si="139"/>
        <v>9.1631957591821269</v>
      </c>
    </row>
    <row r="4443" spans="1:14" x14ac:dyDescent="0.45">
      <c r="A4443" s="30">
        <v>2024</v>
      </c>
      <c r="B4443" s="30" t="s">
        <v>17</v>
      </c>
      <c r="C4443" s="30" t="s">
        <v>46</v>
      </c>
      <c r="D4443" s="30" t="s">
        <v>47</v>
      </c>
      <c r="E4443" s="32" t="s">
        <v>489</v>
      </c>
      <c r="F4443" s="32" t="s">
        <v>81</v>
      </c>
      <c r="G4443" s="32" t="s">
        <v>50</v>
      </c>
      <c r="H4443" s="33">
        <v>23930</v>
      </c>
      <c r="I4443" s="34">
        <f>Table3[[#This Row],[Volume, kg.]]/1000</f>
        <v>23.93</v>
      </c>
      <c r="J4443" s="34">
        <v>0.21559999999999999</v>
      </c>
      <c r="K4443" s="34">
        <f t="shared" si="138"/>
        <v>5159.308</v>
      </c>
      <c r="L4443" s="34">
        <v>2.13</v>
      </c>
      <c r="M4443" s="34">
        <v>50941.5</v>
      </c>
      <c r="N4443" s="34">
        <f t="shared" si="139"/>
        <v>9.879406307977737</v>
      </c>
    </row>
    <row r="4444" spans="1:14" x14ac:dyDescent="0.45">
      <c r="A4444" s="30">
        <v>2024</v>
      </c>
      <c r="B4444" s="30" t="s">
        <v>17</v>
      </c>
      <c r="C4444" s="30" t="s">
        <v>46</v>
      </c>
      <c r="D4444" s="30" t="s">
        <v>47</v>
      </c>
      <c r="E4444" s="32" t="s">
        <v>513</v>
      </c>
      <c r="F4444" s="32" t="s">
        <v>57</v>
      </c>
      <c r="G4444" s="32" t="s">
        <v>50</v>
      </c>
      <c r="H4444" s="33">
        <v>25330</v>
      </c>
      <c r="I4444" s="34">
        <f>Table3[[#This Row],[Volume, kg.]]/1000</f>
        <v>25.33</v>
      </c>
      <c r="J4444" s="34">
        <v>0.28399999999999997</v>
      </c>
      <c r="K4444" s="34">
        <f t="shared" si="138"/>
        <v>7193.7199999999993</v>
      </c>
      <c r="L4444" s="34">
        <v>2.46</v>
      </c>
      <c r="M4444" s="34">
        <v>62364</v>
      </c>
      <c r="N4444" s="34">
        <f t="shared" si="139"/>
        <v>8.6619718309859159</v>
      </c>
    </row>
    <row r="4445" spans="1:14" x14ac:dyDescent="0.45">
      <c r="A4445" s="30">
        <v>2024</v>
      </c>
      <c r="B4445" s="30" t="s">
        <v>17</v>
      </c>
      <c r="C4445" s="30" t="s">
        <v>46</v>
      </c>
      <c r="D4445" s="30" t="s">
        <v>47</v>
      </c>
      <c r="E4445" s="32" t="s">
        <v>517</v>
      </c>
      <c r="F4445" s="32" t="s">
        <v>57</v>
      </c>
      <c r="G4445" s="32" t="s">
        <v>50</v>
      </c>
      <c r="H4445" s="33">
        <v>21070</v>
      </c>
      <c r="I4445" s="34">
        <f>Table3[[#This Row],[Volume, kg.]]/1000</f>
        <v>21.07</v>
      </c>
      <c r="J4445" s="34">
        <v>0.25440000000000002</v>
      </c>
      <c r="K4445" s="34">
        <f t="shared" si="138"/>
        <v>5360.2080000000005</v>
      </c>
      <c r="L4445" s="34">
        <v>2.36</v>
      </c>
      <c r="M4445" s="34">
        <v>49798.5</v>
      </c>
      <c r="N4445" s="34">
        <f t="shared" si="139"/>
        <v>9.2767295597484267</v>
      </c>
    </row>
    <row r="4446" spans="1:14" x14ac:dyDescent="0.45">
      <c r="A4446" s="30">
        <v>2024</v>
      </c>
      <c r="B4446" s="30" t="s">
        <v>17</v>
      </c>
      <c r="C4446" s="30" t="s">
        <v>46</v>
      </c>
      <c r="D4446" s="30" t="s">
        <v>47</v>
      </c>
      <c r="E4446" s="32" t="s">
        <v>530</v>
      </c>
      <c r="F4446" s="32" t="s">
        <v>49</v>
      </c>
      <c r="G4446" s="32" t="s">
        <v>50</v>
      </c>
      <c r="H4446" s="33">
        <v>14690</v>
      </c>
      <c r="I4446" s="34">
        <f>Table3[[#This Row],[Volume, kg.]]/1000</f>
        <v>14.69</v>
      </c>
      <c r="J4446" s="34">
        <v>0.2281</v>
      </c>
      <c r="K4446" s="34">
        <f t="shared" si="138"/>
        <v>3350.7889999999998</v>
      </c>
      <c r="L4446" s="34">
        <v>2.3199999999999998</v>
      </c>
      <c r="M4446" s="34">
        <v>34035</v>
      </c>
      <c r="N4446" s="34">
        <f t="shared" si="139"/>
        <v>10.170977641385356</v>
      </c>
    </row>
    <row r="4447" spans="1:14" x14ac:dyDescent="0.45">
      <c r="A4447" s="30">
        <v>2024</v>
      </c>
      <c r="B4447" s="30" t="s">
        <v>17</v>
      </c>
      <c r="C4447" s="30" t="s">
        <v>46</v>
      </c>
      <c r="D4447" s="30" t="s">
        <v>47</v>
      </c>
      <c r="E4447" s="32" t="s">
        <v>533</v>
      </c>
      <c r="F4447" s="32" t="s">
        <v>60</v>
      </c>
      <c r="G4447" s="32" t="s">
        <v>50</v>
      </c>
      <c r="H4447" s="33">
        <v>38210</v>
      </c>
      <c r="I4447" s="34">
        <f>Table3[[#This Row],[Volume, kg.]]/1000</f>
        <v>38.21</v>
      </c>
      <c r="J4447" s="34">
        <v>0.22989999999999999</v>
      </c>
      <c r="K4447" s="34">
        <f t="shared" si="138"/>
        <v>8784.4789999999994</v>
      </c>
      <c r="L4447" s="34">
        <v>2.25</v>
      </c>
      <c r="M4447" s="34">
        <v>85999</v>
      </c>
      <c r="N4447" s="34">
        <f t="shared" si="139"/>
        <v>9.7868638538494999</v>
      </c>
    </row>
    <row r="4448" spans="1:14" x14ac:dyDescent="0.45">
      <c r="A4448" s="30">
        <v>2024</v>
      </c>
      <c r="B4448" s="30" t="s">
        <v>17</v>
      </c>
      <c r="C4448" s="30" t="s">
        <v>46</v>
      </c>
      <c r="D4448" s="30" t="s">
        <v>47</v>
      </c>
      <c r="E4448" s="32" t="s">
        <v>553</v>
      </c>
      <c r="F4448" s="32" t="s">
        <v>238</v>
      </c>
      <c r="G4448" s="32" t="s">
        <v>50</v>
      </c>
      <c r="H4448" s="33">
        <v>46020</v>
      </c>
      <c r="I4448" s="34">
        <f>Table3[[#This Row],[Volume, kg.]]/1000</f>
        <v>46.02</v>
      </c>
      <c r="J4448" s="34">
        <v>0.26050000000000001</v>
      </c>
      <c r="K4448" s="34">
        <f t="shared" si="138"/>
        <v>11988.210000000001</v>
      </c>
      <c r="L4448" s="34">
        <v>2.4900000000000002</v>
      </c>
      <c r="M4448" s="34">
        <v>114431</v>
      </c>
      <c r="N4448" s="34">
        <f t="shared" si="139"/>
        <v>9.5585412667946255</v>
      </c>
    </row>
    <row r="4449" spans="1:14" x14ac:dyDescent="0.45">
      <c r="A4449" s="30">
        <v>2024</v>
      </c>
      <c r="B4449" s="30" t="s">
        <v>17</v>
      </c>
      <c r="C4449" s="30" t="s">
        <v>46</v>
      </c>
      <c r="D4449" s="30" t="s">
        <v>47</v>
      </c>
      <c r="E4449" s="32" t="s">
        <v>603</v>
      </c>
      <c r="F4449" s="32" t="s">
        <v>49</v>
      </c>
      <c r="G4449" s="32" t="s">
        <v>50</v>
      </c>
      <c r="H4449" s="33">
        <v>146640</v>
      </c>
      <c r="I4449" s="34">
        <f>Table3[[#This Row],[Volume, kg.]]/1000</f>
        <v>146.63999999999999</v>
      </c>
      <c r="J4449" s="34">
        <v>0.23809999999999998</v>
      </c>
      <c r="K4449" s="34">
        <f t="shared" si="138"/>
        <v>34914.983999999997</v>
      </c>
      <c r="L4449" s="34">
        <v>2.3199999999999998</v>
      </c>
      <c r="M4449" s="34">
        <v>340438.5</v>
      </c>
      <c r="N4449" s="34">
        <f t="shared" si="139"/>
        <v>9.7438051238975216</v>
      </c>
    </row>
    <row r="4450" spans="1:14" x14ac:dyDescent="0.45">
      <c r="A4450" s="30">
        <v>2024</v>
      </c>
      <c r="B4450" s="30" t="s">
        <v>17</v>
      </c>
      <c r="C4450" s="30" t="s">
        <v>46</v>
      </c>
      <c r="D4450" s="30" t="s">
        <v>47</v>
      </c>
      <c r="E4450" s="32" t="s">
        <v>692</v>
      </c>
      <c r="F4450" s="32" t="s">
        <v>81</v>
      </c>
      <c r="G4450" s="32" t="s">
        <v>50</v>
      </c>
      <c r="H4450" s="33">
        <v>6620</v>
      </c>
      <c r="I4450" s="34">
        <f>Table3[[#This Row],[Volume, kg.]]/1000</f>
        <v>6.62</v>
      </c>
      <c r="J4450" s="34">
        <v>0.23550000000000001</v>
      </c>
      <c r="K4450" s="34">
        <f t="shared" si="138"/>
        <v>1559.01</v>
      </c>
      <c r="L4450" s="34">
        <v>2.4</v>
      </c>
      <c r="M4450" s="34">
        <v>15888</v>
      </c>
      <c r="N4450" s="34">
        <f t="shared" si="139"/>
        <v>10.19108280254777</v>
      </c>
    </row>
    <row r="4451" spans="1:14" x14ac:dyDescent="0.45">
      <c r="A4451" s="30">
        <v>2024</v>
      </c>
      <c r="B4451" s="30" t="s">
        <v>17</v>
      </c>
      <c r="C4451" s="30" t="s">
        <v>46</v>
      </c>
      <c r="D4451" s="30" t="s">
        <v>47</v>
      </c>
      <c r="E4451" s="32" t="s">
        <v>693</v>
      </c>
      <c r="F4451" s="32" t="s">
        <v>49</v>
      </c>
      <c r="G4451" s="32" t="s">
        <v>50</v>
      </c>
      <c r="H4451" s="33">
        <v>5120</v>
      </c>
      <c r="I4451" s="34">
        <f>Table3[[#This Row],[Volume, kg.]]/1000</f>
        <v>5.12</v>
      </c>
      <c r="J4451" s="34">
        <v>0.19850000000000001</v>
      </c>
      <c r="K4451" s="34">
        <f t="shared" si="138"/>
        <v>1016.32</v>
      </c>
      <c r="L4451" s="34">
        <v>2.0499999999999998</v>
      </c>
      <c r="M4451" s="34">
        <v>10496</v>
      </c>
      <c r="N4451" s="34">
        <f t="shared" si="139"/>
        <v>10.327455919395465</v>
      </c>
    </row>
    <row r="4452" spans="1:14" x14ac:dyDescent="0.45">
      <c r="A4452" s="30">
        <v>2024</v>
      </c>
      <c r="B4452" s="30" t="s">
        <v>17</v>
      </c>
      <c r="C4452" s="30" t="s">
        <v>46</v>
      </c>
      <c r="D4452" s="30" t="s">
        <v>47</v>
      </c>
      <c r="E4452" s="32" t="s">
        <v>694</v>
      </c>
      <c r="F4452" s="32" t="s">
        <v>49</v>
      </c>
      <c r="G4452" s="32" t="s">
        <v>50</v>
      </c>
      <c r="H4452" s="33">
        <v>6240</v>
      </c>
      <c r="I4452" s="34">
        <f>Table3[[#This Row],[Volume, kg.]]/1000</f>
        <v>6.24</v>
      </c>
      <c r="J4452" s="34">
        <v>0.21199999999999999</v>
      </c>
      <c r="K4452" s="34">
        <f t="shared" si="138"/>
        <v>1322.8799999999999</v>
      </c>
      <c r="L4452" s="34">
        <v>2.1</v>
      </c>
      <c r="M4452" s="34">
        <v>13104</v>
      </c>
      <c r="N4452" s="34">
        <f t="shared" si="139"/>
        <v>9.9056603773584921</v>
      </c>
    </row>
    <row r="4453" spans="1:14" x14ac:dyDescent="0.45">
      <c r="A4453" s="30">
        <v>2024</v>
      </c>
      <c r="B4453" s="30" t="s">
        <v>17</v>
      </c>
      <c r="C4453" s="30" t="s">
        <v>46</v>
      </c>
      <c r="D4453" s="30" t="s">
        <v>47</v>
      </c>
      <c r="E4453" s="32" t="s">
        <v>585</v>
      </c>
      <c r="F4453" s="32" t="s">
        <v>49</v>
      </c>
      <c r="G4453" s="32" t="s">
        <v>50</v>
      </c>
      <c r="H4453" s="33">
        <v>4810</v>
      </c>
      <c r="I4453" s="34">
        <f>Table3[[#This Row],[Volume, kg.]]/1000</f>
        <v>4.8099999999999996</v>
      </c>
      <c r="J4453" s="34">
        <v>0.21149999999999999</v>
      </c>
      <c r="K4453" s="34">
        <f t="shared" si="138"/>
        <v>1017.3149999999999</v>
      </c>
      <c r="L4453" s="34">
        <v>2.15</v>
      </c>
      <c r="M4453" s="34">
        <v>10341.5</v>
      </c>
      <c r="N4453" s="34">
        <f t="shared" si="139"/>
        <v>10.16548463356974</v>
      </c>
    </row>
    <row r="4454" spans="1:14" x14ac:dyDescent="0.45">
      <c r="A4454" s="30">
        <v>2024</v>
      </c>
      <c r="B4454" s="30" t="s">
        <v>17</v>
      </c>
      <c r="C4454" s="30" t="s">
        <v>46</v>
      </c>
      <c r="D4454" s="30" t="s">
        <v>47</v>
      </c>
      <c r="E4454" s="32" t="s">
        <v>590</v>
      </c>
      <c r="F4454" s="32" t="s">
        <v>49</v>
      </c>
      <c r="G4454" s="32" t="s">
        <v>50</v>
      </c>
      <c r="H4454" s="33">
        <v>77650</v>
      </c>
      <c r="I4454" s="34">
        <f>Table3[[#This Row],[Volume, kg.]]/1000</f>
        <v>77.650000000000006</v>
      </c>
      <c r="J4454" s="34">
        <v>0.22839999999999999</v>
      </c>
      <c r="K4454" s="34">
        <f t="shared" si="138"/>
        <v>17735.259999999998</v>
      </c>
      <c r="L4454" s="34">
        <v>2.2200000000000002</v>
      </c>
      <c r="M4454" s="34">
        <v>172727</v>
      </c>
      <c r="N4454" s="34">
        <f t="shared" si="139"/>
        <v>9.7197898423817879</v>
      </c>
    </row>
    <row r="4455" spans="1:14" x14ac:dyDescent="0.45">
      <c r="A4455" s="30">
        <v>2024</v>
      </c>
      <c r="B4455" s="30" t="s">
        <v>17</v>
      </c>
      <c r="C4455" s="30" t="s">
        <v>46</v>
      </c>
      <c r="D4455" s="30" t="s">
        <v>47</v>
      </c>
      <c r="E4455" s="32" t="s">
        <v>593</v>
      </c>
      <c r="F4455" s="32" t="s">
        <v>49</v>
      </c>
      <c r="G4455" s="32" t="s">
        <v>50</v>
      </c>
      <c r="H4455" s="33">
        <v>79230</v>
      </c>
      <c r="I4455" s="34">
        <f>Table3[[#This Row],[Volume, kg.]]/1000</f>
        <v>79.23</v>
      </c>
      <c r="J4455" s="34">
        <v>0.25440000000000002</v>
      </c>
      <c r="K4455" s="34">
        <f t="shared" si="138"/>
        <v>20156.112000000001</v>
      </c>
      <c r="L4455" s="34">
        <v>2.35</v>
      </c>
      <c r="M4455" s="34">
        <v>185985</v>
      </c>
      <c r="N4455" s="34">
        <f t="shared" si="139"/>
        <v>9.2374213836477992</v>
      </c>
    </row>
    <row r="4456" spans="1:14" x14ac:dyDescent="0.45">
      <c r="A4456" s="30">
        <v>2024</v>
      </c>
      <c r="B4456" s="30" t="s">
        <v>17</v>
      </c>
      <c r="C4456" s="30" t="s">
        <v>46</v>
      </c>
      <c r="D4456" s="30" t="s">
        <v>47</v>
      </c>
      <c r="E4456" s="32" t="s">
        <v>612</v>
      </c>
      <c r="F4456" s="32" t="s">
        <v>57</v>
      </c>
      <c r="G4456" s="32" t="s">
        <v>50</v>
      </c>
      <c r="H4456" s="33">
        <v>39900</v>
      </c>
      <c r="I4456" s="34">
        <f>Table3[[#This Row],[Volume, kg.]]/1000</f>
        <v>39.9</v>
      </c>
      <c r="J4456" s="34">
        <v>0.23309999999999997</v>
      </c>
      <c r="K4456" s="34">
        <f t="shared" si="138"/>
        <v>9300.6899999999987</v>
      </c>
      <c r="L4456" s="34">
        <v>2.21</v>
      </c>
      <c r="M4456" s="34">
        <v>88225.5</v>
      </c>
      <c r="N4456" s="34">
        <f t="shared" si="139"/>
        <v>9.4809094809094816</v>
      </c>
    </row>
    <row r="4457" spans="1:14" x14ac:dyDescent="0.45">
      <c r="A4457" s="30">
        <v>2024</v>
      </c>
      <c r="B4457" s="30" t="s">
        <v>17</v>
      </c>
      <c r="C4457" s="30" t="s">
        <v>46</v>
      </c>
      <c r="D4457" s="30" t="s">
        <v>47</v>
      </c>
      <c r="E4457" s="32" t="s">
        <v>595</v>
      </c>
      <c r="F4457" s="32" t="s">
        <v>64</v>
      </c>
      <c r="G4457" s="32" t="s">
        <v>50</v>
      </c>
      <c r="H4457" s="33">
        <v>71960</v>
      </c>
      <c r="I4457" s="34">
        <f>Table3[[#This Row],[Volume, kg.]]/1000</f>
        <v>71.959999999999994</v>
      </c>
      <c r="J4457" s="34">
        <v>0.22070000000000001</v>
      </c>
      <c r="K4457" s="34">
        <f t="shared" si="138"/>
        <v>15881.572</v>
      </c>
      <c r="L4457" s="34">
        <v>2.2599999999999998</v>
      </c>
      <c r="M4457" s="34">
        <v>162858</v>
      </c>
      <c r="N4457" s="34">
        <f t="shared" si="139"/>
        <v>10.240144993203442</v>
      </c>
    </row>
    <row r="4458" spans="1:14" x14ac:dyDescent="0.45">
      <c r="A4458" s="30">
        <v>2024</v>
      </c>
      <c r="B4458" s="30" t="s">
        <v>17</v>
      </c>
      <c r="C4458" s="30" t="s">
        <v>46</v>
      </c>
      <c r="D4458" s="30" t="s">
        <v>47</v>
      </c>
      <c r="E4458" s="32" t="s">
        <v>606</v>
      </c>
      <c r="F4458" s="32" t="s">
        <v>49</v>
      </c>
      <c r="G4458" s="32" t="s">
        <v>50</v>
      </c>
      <c r="H4458" s="33">
        <v>59170</v>
      </c>
      <c r="I4458" s="34">
        <f>Table3[[#This Row],[Volume, kg.]]/1000</f>
        <v>59.17</v>
      </c>
      <c r="J4458" s="34">
        <v>0.23499999999999999</v>
      </c>
      <c r="K4458" s="34">
        <f t="shared" si="138"/>
        <v>13904.949999999999</v>
      </c>
      <c r="L4458" s="34">
        <v>2.2599999999999998</v>
      </c>
      <c r="M4458" s="34">
        <v>133549.5</v>
      </c>
      <c r="N4458" s="34">
        <f t="shared" si="139"/>
        <v>9.6170212765957448</v>
      </c>
    </row>
    <row r="4459" spans="1:14" x14ac:dyDescent="0.45">
      <c r="A4459" s="30">
        <v>2024</v>
      </c>
      <c r="B4459" s="30" t="s">
        <v>17</v>
      </c>
      <c r="C4459" s="30" t="s">
        <v>46</v>
      </c>
      <c r="D4459" s="30" t="s">
        <v>47</v>
      </c>
      <c r="E4459" s="32" t="s">
        <v>647</v>
      </c>
      <c r="F4459" s="32" t="s">
        <v>49</v>
      </c>
      <c r="G4459" s="32" t="s">
        <v>50</v>
      </c>
      <c r="H4459" s="33">
        <v>73870</v>
      </c>
      <c r="I4459" s="34">
        <f>Table3[[#This Row],[Volume, kg.]]/1000</f>
        <v>73.87</v>
      </c>
      <c r="J4459" s="34">
        <v>0.26129999999999998</v>
      </c>
      <c r="K4459" s="34">
        <f t="shared" si="138"/>
        <v>19302.231</v>
      </c>
      <c r="L4459" s="34">
        <v>2.39</v>
      </c>
      <c r="M4459" s="34">
        <v>176914</v>
      </c>
      <c r="N4459" s="34">
        <f t="shared" si="139"/>
        <v>9.1465748182166102</v>
      </c>
    </row>
    <row r="4460" spans="1:14" x14ac:dyDescent="0.45">
      <c r="A4460" s="30">
        <v>2024</v>
      </c>
      <c r="B4460" s="30" t="s">
        <v>17</v>
      </c>
      <c r="C4460" s="30" t="s">
        <v>46</v>
      </c>
      <c r="D4460" s="30" t="s">
        <v>47</v>
      </c>
      <c r="E4460" s="32" t="s">
        <v>670</v>
      </c>
      <c r="F4460" s="32" t="s">
        <v>81</v>
      </c>
      <c r="G4460" s="32" t="s">
        <v>50</v>
      </c>
      <c r="H4460" s="33">
        <v>39460</v>
      </c>
      <c r="I4460" s="34">
        <f>Table3[[#This Row],[Volume, kg.]]/1000</f>
        <v>39.46</v>
      </c>
      <c r="J4460" s="34">
        <v>0.24539999999999998</v>
      </c>
      <c r="K4460" s="34">
        <f t="shared" si="138"/>
        <v>9683.4839999999986</v>
      </c>
      <c r="L4460" s="34">
        <v>2.34</v>
      </c>
      <c r="M4460" s="34">
        <v>92148</v>
      </c>
      <c r="N4460" s="34">
        <f t="shared" si="139"/>
        <v>9.5354523227383865</v>
      </c>
    </row>
    <row r="4461" spans="1:14" x14ac:dyDescent="0.45">
      <c r="A4461" s="30">
        <v>2024</v>
      </c>
      <c r="B4461" s="30" t="s">
        <v>17</v>
      </c>
      <c r="C4461" s="30" t="s">
        <v>46</v>
      </c>
      <c r="D4461" s="30" t="s">
        <v>47</v>
      </c>
      <c r="E4461" s="32" t="s">
        <v>663</v>
      </c>
      <c r="F4461" s="32" t="s">
        <v>49</v>
      </c>
      <c r="G4461" s="32" t="s">
        <v>50</v>
      </c>
      <c r="H4461" s="33">
        <v>26620</v>
      </c>
      <c r="I4461" s="34">
        <f>Table3[[#This Row],[Volume, kg.]]/1000</f>
        <v>26.62</v>
      </c>
      <c r="J4461" s="34">
        <v>0.25030000000000002</v>
      </c>
      <c r="K4461" s="34">
        <f t="shared" si="138"/>
        <v>6662.9860000000008</v>
      </c>
      <c r="L4461" s="34">
        <v>2.33</v>
      </c>
      <c r="M4461" s="34">
        <v>61951</v>
      </c>
      <c r="N4461" s="34">
        <f t="shared" si="139"/>
        <v>9.3088294047143414</v>
      </c>
    </row>
    <row r="4462" spans="1:14" x14ac:dyDescent="0.45">
      <c r="A4462" s="30">
        <v>2024</v>
      </c>
      <c r="B4462" s="30" t="s">
        <v>17</v>
      </c>
      <c r="C4462" s="30" t="s">
        <v>46</v>
      </c>
      <c r="D4462" s="30" t="s">
        <v>47</v>
      </c>
      <c r="E4462" s="32" t="s">
        <v>673</v>
      </c>
      <c r="F4462" s="32" t="s">
        <v>49</v>
      </c>
      <c r="G4462" s="32" t="s">
        <v>50</v>
      </c>
      <c r="H4462" s="33">
        <v>42070</v>
      </c>
      <c r="I4462" s="34">
        <f>Table3[[#This Row],[Volume, kg.]]/1000</f>
        <v>42.07</v>
      </c>
      <c r="J4462" s="34">
        <v>0.2069</v>
      </c>
      <c r="K4462" s="34">
        <f t="shared" si="138"/>
        <v>8704.2829999999994</v>
      </c>
      <c r="L4462" s="34">
        <v>2.15</v>
      </c>
      <c r="M4462" s="34">
        <v>90371.5</v>
      </c>
      <c r="N4462" s="34">
        <f t="shared" si="139"/>
        <v>10.391493475108748</v>
      </c>
    </row>
    <row r="4463" spans="1:14" x14ac:dyDescent="0.45">
      <c r="A4463" s="30">
        <v>2024</v>
      </c>
      <c r="B4463" s="30" t="s">
        <v>17</v>
      </c>
      <c r="C4463" s="30" t="s">
        <v>46</v>
      </c>
      <c r="D4463" s="30" t="s">
        <v>47</v>
      </c>
      <c r="E4463" s="32" t="s">
        <v>677</v>
      </c>
      <c r="F4463" s="32" t="s">
        <v>49</v>
      </c>
      <c r="G4463" s="32" t="s">
        <v>50</v>
      </c>
      <c r="H4463" s="33">
        <v>26960</v>
      </c>
      <c r="I4463" s="34">
        <f>Table3[[#This Row],[Volume, kg.]]/1000</f>
        <v>26.96</v>
      </c>
      <c r="J4463" s="34">
        <v>0.2238</v>
      </c>
      <c r="K4463" s="34">
        <f t="shared" si="138"/>
        <v>6033.6480000000001</v>
      </c>
      <c r="L4463" s="34">
        <v>2.2000000000000002</v>
      </c>
      <c r="M4463" s="34">
        <v>59312</v>
      </c>
      <c r="N4463" s="34">
        <f t="shared" si="139"/>
        <v>9.8302055406613054</v>
      </c>
    </row>
    <row r="4464" spans="1:14" x14ac:dyDescent="0.45">
      <c r="A4464" s="30">
        <v>2024</v>
      </c>
      <c r="B4464" s="30" t="s">
        <v>17</v>
      </c>
      <c r="C4464" s="30" t="s">
        <v>46</v>
      </c>
      <c r="D4464" s="30" t="s">
        <v>47</v>
      </c>
      <c r="E4464" s="32" t="s">
        <v>678</v>
      </c>
      <c r="F4464" s="32" t="s">
        <v>60</v>
      </c>
      <c r="G4464" s="32" t="s">
        <v>50</v>
      </c>
      <c r="H4464" s="33">
        <v>61440</v>
      </c>
      <c r="I4464" s="34">
        <f>Table3[[#This Row],[Volume, kg.]]/1000</f>
        <v>61.44</v>
      </c>
      <c r="J4464" s="34">
        <v>0.2495</v>
      </c>
      <c r="K4464" s="34">
        <f t="shared" si="138"/>
        <v>15329.28</v>
      </c>
      <c r="L4464" s="34">
        <v>2.37</v>
      </c>
      <c r="M4464" s="34">
        <v>145435.5</v>
      </c>
      <c r="N4464" s="34">
        <f t="shared" si="139"/>
        <v>9.498997995991985</v>
      </c>
    </row>
    <row r="4465" spans="1:14" x14ac:dyDescent="0.45">
      <c r="A4465" s="30">
        <v>2024</v>
      </c>
      <c r="B4465" s="30" t="s">
        <v>17</v>
      </c>
      <c r="C4465" s="30" t="s">
        <v>46</v>
      </c>
      <c r="D4465" s="30" t="s">
        <v>102</v>
      </c>
      <c r="E4465" s="32" t="s">
        <v>695</v>
      </c>
      <c r="F4465" s="32" t="s">
        <v>696</v>
      </c>
      <c r="G4465" s="32" t="s">
        <v>557</v>
      </c>
      <c r="H4465" s="33">
        <v>662650</v>
      </c>
      <c r="I4465" s="34">
        <f>Table3[[#This Row],[Volume, kg.]]/1000</f>
        <v>662.65</v>
      </c>
      <c r="J4465" s="34">
        <v>0.23739999999999997</v>
      </c>
      <c r="K4465" s="34">
        <f t="shared" si="138"/>
        <v>157313.10999999999</v>
      </c>
      <c r="L4465" s="34">
        <v>2.4700000000000002</v>
      </c>
      <c r="M4465" s="34">
        <v>1634564.5</v>
      </c>
      <c r="N4465" s="34">
        <f t="shared" si="139"/>
        <v>10.404380791912386</v>
      </c>
    </row>
    <row r="4466" spans="1:14" x14ac:dyDescent="0.45">
      <c r="A4466" s="30">
        <v>2024</v>
      </c>
      <c r="B4466" s="30" t="s">
        <v>17</v>
      </c>
      <c r="C4466" s="30" t="s">
        <v>46</v>
      </c>
      <c r="D4466" s="30" t="s">
        <v>47</v>
      </c>
      <c r="E4466" s="32" t="s">
        <v>687</v>
      </c>
      <c r="F4466" s="32" t="s">
        <v>49</v>
      </c>
      <c r="G4466" s="32" t="s">
        <v>50</v>
      </c>
      <c r="H4466" s="33">
        <v>23270</v>
      </c>
      <c r="I4466" s="34">
        <f>Table3[[#This Row],[Volume, kg.]]/1000</f>
        <v>23.27</v>
      </c>
      <c r="J4466" s="34">
        <v>0.26190000000000002</v>
      </c>
      <c r="K4466" s="34">
        <f t="shared" si="138"/>
        <v>6094.4130000000005</v>
      </c>
      <c r="L4466" s="34">
        <v>2.37</v>
      </c>
      <c r="M4466" s="34">
        <v>55207.5</v>
      </c>
      <c r="N4466" s="34">
        <f t="shared" si="139"/>
        <v>9.0492554410080182</v>
      </c>
    </row>
    <row r="4467" spans="1:14" x14ac:dyDescent="0.45">
      <c r="A4467" s="30">
        <v>2024</v>
      </c>
      <c r="B4467" s="30" t="s">
        <v>17</v>
      </c>
      <c r="C4467" s="30" t="s">
        <v>46</v>
      </c>
      <c r="D4467" s="30" t="s">
        <v>47</v>
      </c>
      <c r="E4467" s="32" t="s">
        <v>688</v>
      </c>
      <c r="F4467" s="32" t="s">
        <v>60</v>
      </c>
      <c r="G4467" s="32" t="s">
        <v>50</v>
      </c>
      <c r="H4467" s="33">
        <v>47660</v>
      </c>
      <c r="I4467" s="34">
        <f>Table3[[#This Row],[Volume, kg.]]/1000</f>
        <v>47.66</v>
      </c>
      <c r="J4467" s="34">
        <v>0.28149999999999997</v>
      </c>
      <c r="K4467" s="34">
        <f t="shared" si="138"/>
        <v>13416.289999999999</v>
      </c>
      <c r="L4467" s="34">
        <v>2.4900000000000002</v>
      </c>
      <c r="M4467" s="34">
        <v>118583</v>
      </c>
      <c r="N4467" s="34">
        <f t="shared" si="139"/>
        <v>8.8454706927175852</v>
      </c>
    </row>
    <row r="4468" spans="1:14" x14ac:dyDescent="0.45">
      <c r="A4468" s="30">
        <v>2024</v>
      </c>
      <c r="B4468" s="30" t="s">
        <v>17</v>
      </c>
      <c r="C4468" s="30" t="s">
        <v>46</v>
      </c>
      <c r="D4468" s="30" t="s">
        <v>102</v>
      </c>
      <c r="E4468" s="32" t="s">
        <v>697</v>
      </c>
      <c r="F4468" s="32" t="s">
        <v>107</v>
      </c>
      <c r="G4468" s="32" t="s">
        <v>108</v>
      </c>
      <c r="H4468" s="33">
        <v>1200650</v>
      </c>
      <c r="I4468" s="34">
        <f>Table3[[#This Row],[Volume, kg.]]/1000</f>
        <v>1200.6500000000001</v>
      </c>
      <c r="J4468" s="34">
        <v>0.24940000000000001</v>
      </c>
      <c r="K4468" s="34">
        <f t="shared" si="138"/>
        <v>299442.11</v>
      </c>
      <c r="L4468" s="34">
        <v>2.46</v>
      </c>
      <c r="M4468" s="34">
        <v>2954955.5</v>
      </c>
      <c r="N4468" s="34">
        <f t="shared" si="139"/>
        <v>9.8636728147554127</v>
      </c>
    </row>
    <row r="4469" spans="1:14" x14ac:dyDescent="0.45">
      <c r="A4469" s="30">
        <v>2024</v>
      </c>
      <c r="B4469" s="30" t="s">
        <v>17</v>
      </c>
      <c r="C4469" s="30" t="s">
        <v>46</v>
      </c>
      <c r="D4469" s="30" t="s">
        <v>47</v>
      </c>
      <c r="E4469" s="32" t="s">
        <v>698</v>
      </c>
      <c r="F4469" s="32" t="s">
        <v>57</v>
      </c>
      <c r="G4469" s="32" t="s">
        <v>50</v>
      </c>
      <c r="H4469" s="33">
        <v>26900</v>
      </c>
      <c r="I4469" s="34">
        <f>Table3[[#This Row],[Volume, kg.]]/1000</f>
        <v>26.9</v>
      </c>
      <c r="J4469" s="34">
        <v>0.24640000000000001</v>
      </c>
      <c r="K4469" s="34">
        <f t="shared" si="138"/>
        <v>6628.16</v>
      </c>
      <c r="L4469" s="34">
        <v>2.44</v>
      </c>
      <c r="M4469" s="34">
        <v>65641</v>
      </c>
      <c r="N4469" s="34">
        <f t="shared" si="139"/>
        <v>9.9025974025974026</v>
      </c>
    </row>
    <row r="4470" spans="1:14" x14ac:dyDescent="0.45">
      <c r="A4470" s="30">
        <v>2024</v>
      </c>
      <c r="B4470" s="30" t="s">
        <v>18</v>
      </c>
      <c r="C4470" s="30" t="s">
        <v>46</v>
      </c>
      <c r="D4470" s="30" t="s">
        <v>102</v>
      </c>
      <c r="E4470" s="32" t="s">
        <v>188</v>
      </c>
      <c r="F4470" s="32" t="s">
        <v>189</v>
      </c>
      <c r="G4470" s="32" t="s">
        <v>128</v>
      </c>
      <c r="H4470" s="33">
        <v>690000</v>
      </c>
      <c r="I4470" s="34">
        <f>Table3[[#This Row],[Volume, kg.]]/1000</f>
        <v>690</v>
      </c>
      <c r="J4470" s="34">
        <v>0.2409</v>
      </c>
      <c r="K4470" s="34">
        <f t="shared" si="138"/>
        <v>166221</v>
      </c>
      <c r="L4470" s="34">
        <v>2.66</v>
      </c>
      <c r="M4470" s="34">
        <v>1837367</v>
      </c>
      <c r="N4470" s="34">
        <f t="shared" si="139"/>
        <v>11.041926110419261</v>
      </c>
    </row>
    <row r="4471" spans="1:14" x14ac:dyDescent="0.45">
      <c r="A4471" s="30">
        <v>2024</v>
      </c>
      <c r="B4471" s="30" t="s">
        <v>18</v>
      </c>
      <c r="C4471" s="30" t="s">
        <v>46</v>
      </c>
      <c r="D4471" s="30" t="s">
        <v>102</v>
      </c>
      <c r="E4471" s="32" t="s">
        <v>336</v>
      </c>
      <c r="F4471" s="32" t="s">
        <v>114</v>
      </c>
      <c r="G4471" s="32" t="s">
        <v>108</v>
      </c>
      <c r="H4471" s="33">
        <v>1076060</v>
      </c>
      <c r="I4471" s="34">
        <f>Table3[[#This Row],[Volume, kg.]]/1000</f>
        <v>1076.06</v>
      </c>
      <c r="J4471" s="34">
        <v>0.26739999999999997</v>
      </c>
      <c r="K4471" s="34">
        <f t="shared" si="138"/>
        <v>287738.44399999996</v>
      </c>
      <c r="L4471" s="34">
        <v>2.82</v>
      </c>
      <c r="M4471" s="34">
        <v>3037648</v>
      </c>
      <c r="N4471" s="34">
        <f t="shared" si="139"/>
        <v>10.545998504113689</v>
      </c>
    </row>
    <row r="4472" spans="1:14" x14ac:dyDescent="0.45">
      <c r="A4472" s="30">
        <v>2024</v>
      </c>
      <c r="B4472" s="30" t="s">
        <v>18</v>
      </c>
      <c r="C4472" s="30" t="s">
        <v>46</v>
      </c>
      <c r="D4472" s="30" t="s">
        <v>102</v>
      </c>
      <c r="E4472" s="32" t="s">
        <v>622</v>
      </c>
      <c r="F4472" s="32" t="s">
        <v>238</v>
      </c>
      <c r="G4472" s="32" t="s">
        <v>50</v>
      </c>
      <c r="H4472" s="33">
        <v>1539740</v>
      </c>
      <c r="I4472" s="34">
        <f>Table3[[#This Row],[Volume, kg.]]/1000</f>
        <v>1539.74</v>
      </c>
      <c r="J4472" s="34">
        <v>0.23329999999999998</v>
      </c>
      <c r="K4472" s="34">
        <f t="shared" si="138"/>
        <v>359221.34199999995</v>
      </c>
      <c r="L4472" s="34">
        <v>2.65</v>
      </c>
      <c r="M4472" s="34">
        <v>4072692</v>
      </c>
      <c r="N4472" s="34">
        <f t="shared" si="139"/>
        <v>11.358765537933991</v>
      </c>
    </row>
    <row r="4473" spans="1:14" x14ac:dyDescent="0.45">
      <c r="A4473" s="30">
        <v>2024</v>
      </c>
      <c r="B4473" s="30" t="s">
        <v>18</v>
      </c>
      <c r="C4473" s="30" t="s">
        <v>46</v>
      </c>
      <c r="D4473" s="30" t="s">
        <v>47</v>
      </c>
      <c r="E4473" s="32" t="s">
        <v>181</v>
      </c>
      <c r="F4473" s="32" t="s">
        <v>57</v>
      </c>
      <c r="G4473" s="32" t="s">
        <v>50</v>
      </c>
      <c r="H4473" s="33">
        <v>16770</v>
      </c>
      <c r="I4473" s="34">
        <f>Table3[[#This Row],[Volume, kg.]]/1000</f>
        <v>16.77</v>
      </c>
      <c r="J4473" s="34">
        <v>0.2747</v>
      </c>
      <c r="K4473" s="34">
        <f t="shared" si="138"/>
        <v>4606.7190000000001</v>
      </c>
      <c r="L4473" s="34">
        <v>2.6</v>
      </c>
      <c r="M4473" s="34">
        <v>43550</v>
      </c>
      <c r="N4473" s="34">
        <f t="shared" si="139"/>
        <v>9.4648707681106661</v>
      </c>
    </row>
    <row r="4474" spans="1:14" x14ac:dyDescent="0.45">
      <c r="A4474" s="30">
        <v>2024</v>
      </c>
      <c r="B4474" s="30" t="s">
        <v>18</v>
      </c>
      <c r="C4474" s="30" t="s">
        <v>46</v>
      </c>
      <c r="D4474" s="30" t="s">
        <v>47</v>
      </c>
      <c r="E4474" s="32" t="s">
        <v>596</v>
      </c>
      <c r="F4474" s="32" t="s">
        <v>49</v>
      </c>
      <c r="G4474" s="32" t="s">
        <v>50</v>
      </c>
      <c r="H4474" s="33">
        <v>6180</v>
      </c>
      <c r="I4474" s="34">
        <f>Table3[[#This Row],[Volume, kg.]]/1000</f>
        <v>6.18</v>
      </c>
      <c r="J4474" s="34">
        <v>0.27300000000000002</v>
      </c>
      <c r="K4474" s="34">
        <f t="shared" si="138"/>
        <v>1687.14</v>
      </c>
      <c r="L4474" s="34">
        <v>2.6</v>
      </c>
      <c r="M4474" s="34">
        <v>16068</v>
      </c>
      <c r="N4474" s="34">
        <f t="shared" si="139"/>
        <v>9.5238095238095237</v>
      </c>
    </row>
    <row r="4475" spans="1:14" x14ac:dyDescent="0.45">
      <c r="A4475" s="30">
        <v>2024</v>
      </c>
      <c r="B4475" s="30" t="s">
        <v>18</v>
      </c>
      <c r="C4475" s="30" t="s">
        <v>46</v>
      </c>
      <c r="D4475" s="30" t="s">
        <v>47</v>
      </c>
      <c r="E4475" s="32" t="s">
        <v>213</v>
      </c>
      <c r="F4475" s="32" t="s">
        <v>49</v>
      </c>
      <c r="G4475" s="32" t="s">
        <v>50</v>
      </c>
      <c r="H4475" s="33">
        <v>12520</v>
      </c>
      <c r="I4475" s="34">
        <f>Table3[[#This Row],[Volume, kg.]]/1000</f>
        <v>12.52</v>
      </c>
      <c r="J4475" s="34">
        <v>0.26899999999999996</v>
      </c>
      <c r="K4475" s="34">
        <f t="shared" si="138"/>
        <v>3367.8799999999997</v>
      </c>
      <c r="L4475" s="34">
        <v>2.5499999999999998</v>
      </c>
      <c r="M4475" s="34">
        <v>31926</v>
      </c>
      <c r="N4475" s="34">
        <f t="shared" si="139"/>
        <v>9.4795539033457263</v>
      </c>
    </row>
    <row r="4476" spans="1:14" x14ac:dyDescent="0.45">
      <c r="A4476" s="30">
        <v>2024</v>
      </c>
      <c r="B4476" s="30" t="s">
        <v>18</v>
      </c>
      <c r="C4476" s="30" t="s">
        <v>46</v>
      </c>
      <c r="D4476" s="30" t="s">
        <v>47</v>
      </c>
      <c r="E4476" s="32" t="s">
        <v>85</v>
      </c>
      <c r="F4476" s="32" t="s">
        <v>49</v>
      </c>
      <c r="G4476" s="32" t="s">
        <v>50</v>
      </c>
      <c r="H4476" s="33">
        <v>10110</v>
      </c>
      <c r="I4476" s="34">
        <f>Table3[[#This Row],[Volume, kg.]]/1000</f>
        <v>10.11</v>
      </c>
      <c r="J4476" s="34">
        <v>0.27460000000000001</v>
      </c>
      <c r="K4476" s="34">
        <f t="shared" si="138"/>
        <v>2776.2060000000001</v>
      </c>
      <c r="L4476" s="34">
        <v>2.82</v>
      </c>
      <c r="M4476" s="34">
        <v>28486.5</v>
      </c>
      <c r="N4476" s="34">
        <f t="shared" si="139"/>
        <v>10.269482884195192</v>
      </c>
    </row>
    <row r="4477" spans="1:14" x14ac:dyDescent="0.45">
      <c r="A4477" s="30">
        <v>2024</v>
      </c>
      <c r="B4477" s="30" t="s">
        <v>18</v>
      </c>
      <c r="C4477" s="30" t="s">
        <v>46</v>
      </c>
      <c r="D4477" s="30" t="s">
        <v>47</v>
      </c>
      <c r="E4477" s="32" t="s">
        <v>178</v>
      </c>
      <c r="F4477" s="32" t="s">
        <v>49</v>
      </c>
      <c r="G4477" s="32" t="s">
        <v>50</v>
      </c>
      <c r="H4477" s="33">
        <v>8840</v>
      </c>
      <c r="I4477" s="34">
        <f>Table3[[#This Row],[Volume, kg.]]/1000</f>
        <v>8.84</v>
      </c>
      <c r="J4477" s="34">
        <v>0.25840000000000002</v>
      </c>
      <c r="K4477" s="34">
        <f t="shared" si="138"/>
        <v>2284.2560000000003</v>
      </c>
      <c r="L4477" s="34">
        <v>2.65</v>
      </c>
      <c r="M4477" s="34">
        <v>23426</v>
      </c>
      <c r="N4477" s="34">
        <f t="shared" si="139"/>
        <v>10.255417956656345</v>
      </c>
    </row>
    <row r="4478" spans="1:14" x14ac:dyDescent="0.45">
      <c r="A4478" s="30">
        <v>2024</v>
      </c>
      <c r="B4478" s="30" t="s">
        <v>18</v>
      </c>
      <c r="C4478" s="30" t="s">
        <v>46</v>
      </c>
      <c r="D4478" s="30" t="s">
        <v>47</v>
      </c>
      <c r="E4478" s="32" t="s">
        <v>165</v>
      </c>
      <c r="F4478" s="32" t="s">
        <v>57</v>
      </c>
      <c r="G4478" s="32" t="s">
        <v>50</v>
      </c>
      <c r="H4478" s="33">
        <v>8450</v>
      </c>
      <c r="I4478" s="34">
        <f>Table3[[#This Row],[Volume, kg.]]/1000</f>
        <v>8.4499999999999993</v>
      </c>
      <c r="J4478" s="34">
        <v>0.2681</v>
      </c>
      <c r="K4478" s="34">
        <f t="shared" si="138"/>
        <v>2265.4450000000002</v>
      </c>
      <c r="L4478" s="34">
        <v>2.8</v>
      </c>
      <c r="M4478" s="34">
        <v>23677.5</v>
      </c>
      <c r="N4478" s="34">
        <f t="shared" si="139"/>
        <v>10.443864229765012</v>
      </c>
    </row>
    <row r="4479" spans="1:14" x14ac:dyDescent="0.45">
      <c r="A4479" s="30">
        <v>2024</v>
      </c>
      <c r="B4479" s="30" t="s">
        <v>18</v>
      </c>
      <c r="C4479" s="30" t="s">
        <v>46</v>
      </c>
      <c r="D4479" s="30" t="s">
        <v>47</v>
      </c>
      <c r="E4479" s="32" t="s">
        <v>322</v>
      </c>
      <c r="F4479" s="32" t="s">
        <v>57</v>
      </c>
      <c r="G4479" s="32" t="s">
        <v>50</v>
      </c>
      <c r="H4479" s="33">
        <v>4740</v>
      </c>
      <c r="I4479" s="34">
        <f>Table3[[#This Row],[Volume, kg.]]/1000</f>
        <v>4.74</v>
      </c>
      <c r="J4479" s="34">
        <v>0.29149999999999998</v>
      </c>
      <c r="K4479" s="34">
        <f t="shared" si="138"/>
        <v>1381.7099999999998</v>
      </c>
      <c r="L4479" s="34">
        <v>2.9</v>
      </c>
      <c r="M4479" s="34">
        <v>13746</v>
      </c>
      <c r="N4479" s="34">
        <f t="shared" si="139"/>
        <v>9.9485420240137223</v>
      </c>
    </row>
    <row r="4480" spans="1:14" x14ac:dyDescent="0.45">
      <c r="A4480" s="30">
        <v>2024</v>
      </c>
      <c r="B4480" s="30" t="s">
        <v>18</v>
      </c>
      <c r="C4480" s="30" t="s">
        <v>46</v>
      </c>
      <c r="D4480" s="30" t="s">
        <v>47</v>
      </c>
      <c r="E4480" s="32" t="s">
        <v>82</v>
      </c>
      <c r="F4480" s="32" t="s">
        <v>57</v>
      </c>
      <c r="G4480" s="32" t="s">
        <v>50</v>
      </c>
      <c r="H4480" s="33">
        <v>14950</v>
      </c>
      <c r="I4480" s="34">
        <f>Table3[[#This Row],[Volume, kg.]]/1000</f>
        <v>14.95</v>
      </c>
      <c r="J4480" s="34">
        <v>0.27839999999999998</v>
      </c>
      <c r="K4480" s="34">
        <f t="shared" si="138"/>
        <v>4162.08</v>
      </c>
      <c r="L4480" s="34">
        <v>2.75</v>
      </c>
      <c r="M4480" s="34">
        <v>41077</v>
      </c>
      <c r="N4480" s="34">
        <f t="shared" si="139"/>
        <v>9.8778735632183921</v>
      </c>
    </row>
    <row r="4481" spans="1:14" x14ac:dyDescent="0.45">
      <c r="A4481" s="30">
        <v>2024</v>
      </c>
      <c r="B4481" s="30" t="s">
        <v>18</v>
      </c>
      <c r="C4481" s="30" t="s">
        <v>46</v>
      </c>
      <c r="D4481" s="30" t="s">
        <v>47</v>
      </c>
      <c r="E4481" s="32" t="s">
        <v>65</v>
      </c>
      <c r="F4481" s="32" t="s">
        <v>49</v>
      </c>
      <c r="G4481" s="32" t="s">
        <v>50</v>
      </c>
      <c r="H4481" s="33">
        <v>4940</v>
      </c>
      <c r="I4481" s="34">
        <f>Table3[[#This Row],[Volume, kg.]]/1000</f>
        <v>4.9400000000000004</v>
      </c>
      <c r="J4481" s="34">
        <v>0.28199999999999997</v>
      </c>
      <c r="K4481" s="34">
        <f t="shared" si="138"/>
        <v>1393.08</v>
      </c>
      <c r="L4481" s="34">
        <v>2.75</v>
      </c>
      <c r="M4481" s="34">
        <v>13585</v>
      </c>
      <c r="N4481" s="34">
        <f t="shared" si="139"/>
        <v>9.7517730496453918</v>
      </c>
    </row>
    <row r="4482" spans="1:14" x14ac:dyDescent="0.45">
      <c r="A4482" s="30">
        <v>2024</v>
      </c>
      <c r="B4482" s="30" t="s">
        <v>18</v>
      </c>
      <c r="C4482" s="30" t="s">
        <v>46</v>
      </c>
      <c r="D4482" s="30" t="s">
        <v>47</v>
      </c>
      <c r="E4482" s="32" t="s">
        <v>245</v>
      </c>
      <c r="F4482" s="32" t="s">
        <v>57</v>
      </c>
      <c r="G4482" s="32" t="s">
        <v>50</v>
      </c>
      <c r="H4482" s="33">
        <v>20200</v>
      </c>
      <c r="I4482" s="34">
        <f>Table3[[#This Row],[Volume, kg.]]/1000</f>
        <v>20.2</v>
      </c>
      <c r="J4482" s="34">
        <v>0.28360000000000002</v>
      </c>
      <c r="K4482" s="34">
        <f t="shared" si="138"/>
        <v>5728.72</v>
      </c>
      <c r="L4482" s="34">
        <v>2.79</v>
      </c>
      <c r="M4482" s="34">
        <v>56300</v>
      </c>
      <c r="N4482" s="34">
        <f t="shared" si="139"/>
        <v>9.8377997179125529</v>
      </c>
    </row>
    <row r="4483" spans="1:14" x14ac:dyDescent="0.45">
      <c r="A4483" s="30">
        <v>2024</v>
      </c>
      <c r="B4483" s="30" t="s">
        <v>18</v>
      </c>
      <c r="C4483" s="30" t="s">
        <v>46</v>
      </c>
      <c r="D4483" s="30" t="s">
        <v>47</v>
      </c>
      <c r="E4483" s="32" t="s">
        <v>301</v>
      </c>
      <c r="F4483" s="32" t="s">
        <v>60</v>
      </c>
      <c r="G4483" s="32" t="s">
        <v>50</v>
      </c>
      <c r="H4483" s="33">
        <v>4200</v>
      </c>
      <c r="I4483" s="34">
        <f>Table3[[#This Row],[Volume, kg.]]/1000</f>
        <v>4.2</v>
      </c>
      <c r="J4483" s="34">
        <v>0.21199999999999999</v>
      </c>
      <c r="K4483" s="34">
        <f t="shared" ref="K4483:K4546" si="140">H4483*J4483</f>
        <v>890.4</v>
      </c>
      <c r="L4483" s="34">
        <v>2.4</v>
      </c>
      <c r="M4483" s="34">
        <v>10080</v>
      </c>
      <c r="N4483" s="34">
        <f t="shared" si="139"/>
        <v>11.320754716981131</v>
      </c>
    </row>
    <row r="4484" spans="1:14" x14ac:dyDescent="0.45">
      <c r="A4484" s="30">
        <v>2024</v>
      </c>
      <c r="B4484" s="30" t="s">
        <v>18</v>
      </c>
      <c r="C4484" s="30" t="s">
        <v>46</v>
      </c>
      <c r="D4484" s="30" t="s">
        <v>47</v>
      </c>
      <c r="E4484" s="32" t="s">
        <v>462</v>
      </c>
      <c r="F4484" s="32" t="s">
        <v>49</v>
      </c>
      <c r="G4484" s="32" t="s">
        <v>50</v>
      </c>
      <c r="H4484" s="33">
        <v>26140</v>
      </c>
      <c r="I4484" s="34">
        <f>Table3[[#This Row],[Volume, kg.]]/1000</f>
        <v>26.14</v>
      </c>
      <c r="J4484" s="34">
        <v>0.28639999999999999</v>
      </c>
      <c r="K4484" s="34">
        <f t="shared" si="140"/>
        <v>7486.4960000000001</v>
      </c>
      <c r="L4484" s="34">
        <v>2.8</v>
      </c>
      <c r="M4484" s="34">
        <v>73159</v>
      </c>
      <c r="N4484" s="34">
        <f t="shared" ref="N4484:N4547" si="141">L4484/J4484</f>
        <v>9.7765363128491618</v>
      </c>
    </row>
    <row r="4485" spans="1:14" x14ac:dyDescent="0.45">
      <c r="A4485" s="30">
        <v>2024</v>
      </c>
      <c r="B4485" s="30" t="s">
        <v>18</v>
      </c>
      <c r="C4485" s="30" t="s">
        <v>46</v>
      </c>
      <c r="D4485" s="30" t="s">
        <v>47</v>
      </c>
      <c r="E4485" s="32" t="s">
        <v>258</v>
      </c>
      <c r="F4485" s="32" t="s">
        <v>49</v>
      </c>
      <c r="G4485" s="32" t="s">
        <v>50</v>
      </c>
      <c r="H4485" s="33">
        <v>90490</v>
      </c>
      <c r="I4485" s="34">
        <f>Table3[[#This Row],[Volume, kg.]]/1000</f>
        <v>90.49</v>
      </c>
      <c r="J4485" s="34">
        <v>0.27310000000000001</v>
      </c>
      <c r="K4485" s="34">
        <f t="shared" si="140"/>
        <v>24712.819</v>
      </c>
      <c r="L4485" s="34">
        <v>2.7</v>
      </c>
      <c r="M4485" s="34">
        <v>244004</v>
      </c>
      <c r="N4485" s="34">
        <f t="shared" si="141"/>
        <v>9.8864884657634562</v>
      </c>
    </row>
    <row r="4486" spans="1:14" x14ac:dyDescent="0.45">
      <c r="A4486" s="30">
        <v>2024</v>
      </c>
      <c r="B4486" s="30" t="s">
        <v>18</v>
      </c>
      <c r="C4486" s="30" t="s">
        <v>46</v>
      </c>
      <c r="D4486" s="30" t="s">
        <v>47</v>
      </c>
      <c r="E4486" s="32" t="s">
        <v>384</v>
      </c>
      <c r="F4486" s="32" t="s">
        <v>60</v>
      </c>
      <c r="G4486" s="32" t="s">
        <v>50</v>
      </c>
      <c r="H4486" s="33">
        <v>14890</v>
      </c>
      <c r="I4486" s="34">
        <f>Table3[[#This Row],[Volume, kg.]]/1000</f>
        <v>14.89</v>
      </c>
      <c r="J4486" s="34">
        <v>0.23499999999999999</v>
      </c>
      <c r="K4486" s="34">
        <f t="shared" si="140"/>
        <v>3499.1499999999996</v>
      </c>
      <c r="L4486" s="34">
        <v>2.65</v>
      </c>
      <c r="M4486" s="34">
        <v>39458.5</v>
      </c>
      <c r="N4486" s="34">
        <f t="shared" si="141"/>
        <v>11.276595744680851</v>
      </c>
    </row>
    <row r="4487" spans="1:14" x14ac:dyDescent="0.45">
      <c r="A4487" s="30">
        <v>2024</v>
      </c>
      <c r="B4487" s="30" t="s">
        <v>18</v>
      </c>
      <c r="C4487" s="30" t="s">
        <v>46</v>
      </c>
      <c r="D4487" s="30" t="s">
        <v>47</v>
      </c>
      <c r="E4487" s="32" t="s">
        <v>244</v>
      </c>
      <c r="F4487" s="32" t="s">
        <v>60</v>
      </c>
      <c r="G4487" s="32" t="s">
        <v>50</v>
      </c>
      <c r="H4487" s="33">
        <v>23470</v>
      </c>
      <c r="I4487" s="34">
        <f>Table3[[#This Row],[Volume, kg.]]/1000</f>
        <v>23.47</v>
      </c>
      <c r="J4487" s="34">
        <v>0.27600000000000002</v>
      </c>
      <c r="K4487" s="34">
        <f t="shared" si="140"/>
        <v>6477.72</v>
      </c>
      <c r="L4487" s="34">
        <v>2.75</v>
      </c>
      <c r="M4487" s="34">
        <v>64547.5</v>
      </c>
      <c r="N4487" s="34">
        <f t="shared" si="141"/>
        <v>9.9637681159420275</v>
      </c>
    </row>
    <row r="4488" spans="1:14" x14ac:dyDescent="0.45">
      <c r="A4488" s="30">
        <v>2024</v>
      </c>
      <c r="B4488" s="30" t="s">
        <v>18</v>
      </c>
      <c r="C4488" s="30" t="s">
        <v>46</v>
      </c>
      <c r="D4488" s="30" t="s">
        <v>47</v>
      </c>
      <c r="E4488" s="32" t="s">
        <v>198</v>
      </c>
      <c r="F4488" s="32" t="s">
        <v>49</v>
      </c>
      <c r="G4488" s="32" t="s">
        <v>50</v>
      </c>
      <c r="H4488" s="33">
        <v>2610</v>
      </c>
      <c r="I4488" s="34">
        <f>Table3[[#This Row],[Volume, kg.]]/1000</f>
        <v>2.61</v>
      </c>
      <c r="J4488" s="34">
        <v>0.28300000000000003</v>
      </c>
      <c r="K4488" s="34">
        <f t="shared" si="140"/>
        <v>738.63000000000011</v>
      </c>
      <c r="L4488" s="34">
        <v>2.75</v>
      </c>
      <c r="M4488" s="34">
        <v>7177.5</v>
      </c>
      <c r="N4488" s="34">
        <f t="shared" si="141"/>
        <v>9.7173144876325086</v>
      </c>
    </row>
    <row r="4489" spans="1:14" x14ac:dyDescent="0.45">
      <c r="A4489" s="30">
        <v>2024</v>
      </c>
      <c r="B4489" s="30" t="s">
        <v>18</v>
      </c>
      <c r="C4489" s="30" t="s">
        <v>46</v>
      </c>
      <c r="D4489" s="30" t="s">
        <v>47</v>
      </c>
      <c r="E4489" s="32" t="s">
        <v>379</v>
      </c>
      <c r="F4489" s="32" t="s">
        <v>49</v>
      </c>
      <c r="G4489" s="32" t="s">
        <v>50</v>
      </c>
      <c r="H4489" s="33">
        <v>26380</v>
      </c>
      <c r="I4489" s="34">
        <f>Table3[[#This Row],[Volume, kg.]]/1000</f>
        <v>26.38</v>
      </c>
      <c r="J4489" s="34">
        <v>0.27260000000000001</v>
      </c>
      <c r="K4489" s="34">
        <f t="shared" si="140"/>
        <v>7191.1880000000001</v>
      </c>
      <c r="L4489" s="34">
        <v>2.77</v>
      </c>
      <c r="M4489" s="34">
        <v>72965</v>
      </c>
      <c r="N4489" s="34">
        <f t="shared" si="141"/>
        <v>10.161408657373441</v>
      </c>
    </row>
    <row r="4490" spans="1:14" x14ac:dyDescent="0.45">
      <c r="A4490" s="30">
        <v>2024</v>
      </c>
      <c r="B4490" s="30" t="s">
        <v>18</v>
      </c>
      <c r="C4490" s="30" t="s">
        <v>46</v>
      </c>
      <c r="D4490" s="30" t="s">
        <v>47</v>
      </c>
      <c r="E4490" s="32" t="s">
        <v>164</v>
      </c>
      <c r="F4490" s="32" t="s">
        <v>49</v>
      </c>
      <c r="G4490" s="32" t="s">
        <v>50</v>
      </c>
      <c r="H4490" s="33">
        <v>13350</v>
      </c>
      <c r="I4490" s="34">
        <f>Table3[[#This Row],[Volume, kg.]]/1000</f>
        <v>13.35</v>
      </c>
      <c r="J4490" s="34">
        <v>0.28270000000000001</v>
      </c>
      <c r="K4490" s="34">
        <f t="shared" si="140"/>
        <v>3774.0450000000001</v>
      </c>
      <c r="L4490" s="34">
        <v>2.81</v>
      </c>
      <c r="M4490" s="34">
        <v>37448.5</v>
      </c>
      <c r="N4490" s="34">
        <f t="shared" si="141"/>
        <v>9.9398655818889274</v>
      </c>
    </row>
    <row r="4491" spans="1:14" x14ac:dyDescent="0.45">
      <c r="A4491" s="30">
        <v>2024</v>
      </c>
      <c r="B4491" s="30" t="s">
        <v>18</v>
      </c>
      <c r="C4491" s="30" t="s">
        <v>46</v>
      </c>
      <c r="D4491" s="30" t="s">
        <v>47</v>
      </c>
      <c r="E4491" s="32" t="s">
        <v>220</v>
      </c>
      <c r="F4491" s="32" t="s">
        <v>49</v>
      </c>
      <c r="G4491" s="32" t="s">
        <v>50</v>
      </c>
      <c r="H4491" s="33">
        <v>6550</v>
      </c>
      <c r="I4491" s="34">
        <f>Table3[[#This Row],[Volume, kg.]]/1000</f>
        <v>6.55</v>
      </c>
      <c r="J4491" s="34">
        <v>0.28199999999999997</v>
      </c>
      <c r="K4491" s="34">
        <f t="shared" si="140"/>
        <v>1847.1</v>
      </c>
      <c r="L4491" s="34">
        <v>2.8</v>
      </c>
      <c r="M4491" s="34">
        <v>18340</v>
      </c>
      <c r="N4491" s="34">
        <f t="shared" si="141"/>
        <v>9.9290780141843982</v>
      </c>
    </row>
    <row r="4492" spans="1:14" x14ac:dyDescent="0.45">
      <c r="A4492" s="30">
        <v>2024</v>
      </c>
      <c r="B4492" s="30" t="s">
        <v>18</v>
      </c>
      <c r="C4492" s="30" t="s">
        <v>46</v>
      </c>
      <c r="D4492" s="30" t="s">
        <v>47</v>
      </c>
      <c r="E4492" s="32" t="s">
        <v>260</v>
      </c>
      <c r="F4492" s="32" t="s">
        <v>49</v>
      </c>
      <c r="G4492" s="32" t="s">
        <v>50</v>
      </c>
      <c r="H4492" s="33">
        <v>8000</v>
      </c>
      <c r="I4492" s="34">
        <f>Table3[[#This Row],[Volume, kg.]]/1000</f>
        <v>8</v>
      </c>
      <c r="J4492" s="34">
        <v>0.26899999999999996</v>
      </c>
      <c r="K4492" s="34">
        <f t="shared" si="140"/>
        <v>2151.9999999999995</v>
      </c>
      <c r="L4492" s="34">
        <v>2.7</v>
      </c>
      <c r="M4492" s="34">
        <v>21600</v>
      </c>
      <c r="N4492" s="34">
        <f t="shared" si="141"/>
        <v>10.037174721189594</v>
      </c>
    </row>
    <row r="4493" spans="1:14" x14ac:dyDescent="0.45">
      <c r="A4493" s="30">
        <v>2024</v>
      </c>
      <c r="B4493" s="30" t="s">
        <v>18</v>
      </c>
      <c r="C4493" s="30" t="s">
        <v>46</v>
      </c>
      <c r="D4493" s="30" t="s">
        <v>47</v>
      </c>
      <c r="E4493" s="32" t="s">
        <v>689</v>
      </c>
      <c r="F4493" s="32" t="s">
        <v>49</v>
      </c>
      <c r="G4493" s="32" t="s">
        <v>50</v>
      </c>
      <c r="H4493" s="33">
        <v>13860</v>
      </c>
      <c r="I4493" s="34">
        <f>Table3[[#This Row],[Volume, kg.]]/1000</f>
        <v>13.86</v>
      </c>
      <c r="J4493" s="34">
        <v>0.27899999999999997</v>
      </c>
      <c r="K4493" s="34">
        <f t="shared" si="140"/>
        <v>3866.9399999999996</v>
      </c>
      <c r="L4493" s="34">
        <v>2.75</v>
      </c>
      <c r="M4493" s="34">
        <v>38115</v>
      </c>
      <c r="N4493" s="34">
        <f t="shared" si="141"/>
        <v>9.8566308243727612</v>
      </c>
    </row>
    <row r="4494" spans="1:14" x14ac:dyDescent="0.45">
      <c r="A4494" s="30">
        <v>2024</v>
      </c>
      <c r="B4494" s="30" t="s">
        <v>18</v>
      </c>
      <c r="C4494" s="30" t="s">
        <v>46</v>
      </c>
      <c r="D4494" s="30" t="s">
        <v>47</v>
      </c>
      <c r="E4494" s="32" t="s">
        <v>187</v>
      </c>
      <c r="F4494" s="32" t="s">
        <v>54</v>
      </c>
      <c r="G4494" s="32" t="s">
        <v>50</v>
      </c>
      <c r="H4494" s="33">
        <v>44680</v>
      </c>
      <c r="I4494" s="34">
        <f>Table3[[#This Row],[Volume, kg.]]/1000</f>
        <v>44.68</v>
      </c>
      <c r="J4494" s="34">
        <v>0.28190000000000004</v>
      </c>
      <c r="K4494" s="34">
        <f t="shared" si="140"/>
        <v>12595.292000000001</v>
      </c>
      <c r="L4494" s="34">
        <v>2.78</v>
      </c>
      <c r="M4494" s="34">
        <v>124091</v>
      </c>
      <c r="N4494" s="34">
        <f t="shared" si="141"/>
        <v>9.8616530684639923</v>
      </c>
    </row>
    <row r="4495" spans="1:14" x14ac:dyDescent="0.45">
      <c r="A4495" s="30">
        <v>2024</v>
      </c>
      <c r="B4495" s="30" t="s">
        <v>18</v>
      </c>
      <c r="C4495" s="30" t="s">
        <v>46</v>
      </c>
      <c r="D4495" s="30" t="s">
        <v>47</v>
      </c>
      <c r="E4495" s="32" t="s">
        <v>699</v>
      </c>
      <c r="F4495" s="32" t="s">
        <v>49</v>
      </c>
      <c r="G4495" s="32" t="s">
        <v>50</v>
      </c>
      <c r="H4495" s="33">
        <v>4620</v>
      </c>
      <c r="I4495" s="34">
        <f>Table3[[#This Row],[Volume, kg.]]/1000</f>
        <v>4.62</v>
      </c>
      <c r="J4495" s="34">
        <v>0.22450000000000001</v>
      </c>
      <c r="K4495" s="34">
        <f t="shared" si="140"/>
        <v>1037.19</v>
      </c>
      <c r="L4495" s="34">
        <v>2.5499999999999998</v>
      </c>
      <c r="M4495" s="34">
        <v>11781</v>
      </c>
      <c r="N4495" s="34">
        <f t="shared" si="141"/>
        <v>11.358574610244988</v>
      </c>
    </row>
    <row r="4496" spans="1:14" x14ac:dyDescent="0.45">
      <c r="A4496" s="30">
        <v>2024</v>
      </c>
      <c r="B4496" s="30" t="s">
        <v>18</v>
      </c>
      <c r="C4496" s="30" t="s">
        <v>46</v>
      </c>
      <c r="D4496" s="30" t="s">
        <v>47</v>
      </c>
      <c r="E4496" s="32" t="s">
        <v>110</v>
      </c>
      <c r="F4496" s="32" t="s">
        <v>57</v>
      </c>
      <c r="G4496" s="32" t="s">
        <v>50</v>
      </c>
      <c r="H4496" s="33">
        <v>16340</v>
      </c>
      <c r="I4496" s="34">
        <f>Table3[[#This Row],[Volume, kg.]]/1000</f>
        <v>16.34</v>
      </c>
      <c r="J4496" s="34">
        <v>0.31230000000000002</v>
      </c>
      <c r="K4496" s="34">
        <f t="shared" si="140"/>
        <v>5102.982</v>
      </c>
      <c r="L4496" s="34">
        <v>2.95</v>
      </c>
      <c r="M4496" s="34">
        <v>48203</v>
      </c>
      <c r="N4496" s="34">
        <f t="shared" si="141"/>
        <v>9.4460454691002234</v>
      </c>
    </row>
    <row r="4497" spans="1:14" x14ac:dyDescent="0.45">
      <c r="A4497" s="30">
        <v>2024</v>
      </c>
      <c r="B4497" s="30" t="s">
        <v>18</v>
      </c>
      <c r="C4497" s="30" t="s">
        <v>46</v>
      </c>
      <c r="D4497" s="30" t="s">
        <v>47</v>
      </c>
      <c r="E4497" s="32" t="s">
        <v>162</v>
      </c>
      <c r="F4497" s="32" t="s">
        <v>49</v>
      </c>
      <c r="G4497" s="32" t="s">
        <v>50</v>
      </c>
      <c r="H4497" s="33">
        <v>5090</v>
      </c>
      <c r="I4497" s="34">
        <f>Table3[[#This Row],[Volume, kg.]]/1000</f>
        <v>5.09</v>
      </c>
      <c r="J4497" s="34">
        <v>0.25900000000000001</v>
      </c>
      <c r="K4497" s="34">
        <f t="shared" si="140"/>
        <v>1318.31</v>
      </c>
      <c r="L4497" s="34">
        <v>2.5</v>
      </c>
      <c r="M4497" s="34">
        <v>12725</v>
      </c>
      <c r="N4497" s="34">
        <f t="shared" si="141"/>
        <v>9.6525096525096519</v>
      </c>
    </row>
    <row r="4498" spans="1:14" x14ac:dyDescent="0.45">
      <c r="A4498" s="30">
        <v>2024</v>
      </c>
      <c r="B4498" s="30" t="s">
        <v>18</v>
      </c>
      <c r="C4498" s="30" t="s">
        <v>46</v>
      </c>
      <c r="D4498" s="30" t="s">
        <v>47</v>
      </c>
      <c r="E4498" s="32" t="s">
        <v>167</v>
      </c>
      <c r="F4498" s="32" t="s">
        <v>49</v>
      </c>
      <c r="G4498" s="32" t="s">
        <v>50</v>
      </c>
      <c r="H4498" s="33">
        <v>82540</v>
      </c>
      <c r="I4498" s="34">
        <f>Table3[[#This Row],[Volume, kg.]]/1000</f>
        <v>82.54</v>
      </c>
      <c r="J4498" s="34">
        <v>0.25519999999999998</v>
      </c>
      <c r="K4498" s="34">
        <f t="shared" si="140"/>
        <v>21064.207999999999</v>
      </c>
      <c r="L4498" s="34">
        <v>2.59</v>
      </c>
      <c r="M4498" s="34">
        <v>213876.5</v>
      </c>
      <c r="N4498" s="34">
        <f t="shared" si="141"/>
        <v>10.148902821316614</v>
      </c>
    </row>
    <row r="4499" spans="1:14" x14ac:dyDescent="0.45">
      <c r="A4499" s="30">
        <v>2024</v>
      </c>
      <c r="B4499" s="30" t="s">
        <v>18</v>
      </c>
      <c r="C4499" s="30" t="s">
        <v>46</v>
      </c>
      <c r="D4499" s="30" t="s">
        <v>47</v>
      </c>
      <c r="E4499" s="32" t="s">
        <v>190</v>
      </c>
      <c r="F4499" s="32" t="s">
        <v>81</v>
      </c>
      <c r="G4499" s="32" t="s">
        <v>50</v>
      </c>
      <c r="H4499" s="33">
        <v>46850</v>
      </c>
      <c r="I4499" s="34">
        <f>Table3[[#This Row],[Volume, kg.]]/1000</f>
        <v>46.85</v>
      </c>
      <c r="J4499" s="34">
        <v>0.2918</v>
      </c>
      <c r="K4499" s="34">
        <f t="shared" si="140"/>
        <v>13670.83</v>
      </c>
      <c r="L4499" s="34">
        <v>2.86</v>
      </c>
      <c r="M4499" s="34">
        <v>134210</v>
      </c>
      <c r="N4499" s="34">
        <f t="shared" si="141"/>
        <v>9.8012337217272094</v>
      </c>
    </row>
    <row r="4500" spans="1:14" x14ac:dyDescent="0.45">
      <c r="A4500" s="30">
        <v>2024</v>
      </c>
      <c r="B4500" s="30" t="s">
        <v>18</v>
      </c>
      <c r="C4500" s="30" t="s">
        <v>46</v>
      </c>
      <c r="D4500" s="30" t="s">
        <v>47</v>
      </c>
      <c r="E4500" s="32" t="s">
        <v>77</v>
      </c>
      <c r="F4500" s="32" t="s">
        <v>49</v>
      </c>
      <c r="G4500" s="32" t="s">
        <v>50</v>
      </c>
      <c r="H4500" s="33">
        <v>45810</v>
      </c>
      <c r="I4500" s="34">
        <f>Table3[[#This Row],[Volume, kg.]]/1000</f>
        <v>45.81</v>
      </c>
      <c r="J4500" s="34">
        <v>0.24979999999999999</v>
      </c>
      <c r="K4500" s="34">
        <f t="shared" si="140"/>
        <v>11443.338</v>
      </c>
      <c r="L4500" s="34">
        <v>2.6</v>
      </c>
      <c r="M4500" s="34">
        <v>118904.5</v>
      </c>
      <c r="N4500" s="34">
        <f t="shared" si="141"/>
        <v>10.408326661329063</v>
      </c>
    </row>
    <row r="4501" spans="1:14" x14ac:dyDescent="0.45">
      <c r="A4501" s="30">
        <v>2024</v>
      </c>
      <c r="B4501" s="30" t="s">
        <v>18</v>
      </c>
      <c r="C4501" s="30" t="s">
        <v>46</v>
      </c>
      <c r="D4501" s="30" t="s">
        <v>47</v>
      </c>
      <c r="E4501" s="32" t="s">
        <v>263</v>
      </c>
      <c r="F4501" s="32" t="s">
        <v>81</v>
      </c>
      <c r="G4501" s="32" t="s">
        <v>50</v>
      </c>
      <c r="H4501" s="33">
        <v>10070</v>
      </c>
      <c r="I4501" s="34">
        <f>Table3[[#This Row],[Volume, kg.]]/1000</f>
        <v>10.07</v>
      </c>
      <c r="J4501" s="34">
        <v>0.25540000000000002</v>
      </c>
      <c r="K4501" s="34">
        <f t="shared" si="140"/>
        <v>2571.8780000000002</v>
      </c>
      <c r="L4501" s="34">
        <v>2.61</v>
      </c>
      <c r="M4501" s="34">
        <v>26270.5</v>
      </c>
      <c r="N4501" s="34">
        <f t="shared" si="141"/>
        <v>10.219263899765073</v>
      </c>
    </row>
    <row r="4502" spans="1:14" x14ac:dyDescent="0.45">
      <c r="A4502" s="30">
        <v>2024</v>
      </c>
      <c r="B4502" s="30" t="s">
        <v>18</v>
      </c>
      <c r="C4502" s="30" t="s">
        <v>46</v>
      </c>
      <c r="D4502" s="30" t="s">
        <v>47</v>
      </c>
      <c r="E4502" s="32" t="s">
        <v>499</v>
      </c>
      <c r="F4502" s="32" t="s">
        <v>81</v>
      </c>
      <c r="G4502" s="32" t="s">
        <v>50</v>
      </c>
      <c r="H4502" s="33">
        <v>46380</v>
      </c>
      <c r="I4502" s="34">
        <f>Table3[[#This Row],[Volume, kg.]]/1000</f>
        <v>46.38</v>
      </c>
      <c r="J4502" s="34">
        <v>0.24760000000000001</v>
      </c>
      <c r="K4502" s="34">
        <f t="shared" si="140"/>
        <v>11483.688</v>
      </c>
      <c r="L4502" s="34">
        <v>2.5</v>
      </c>
      <c r="M4502" s="34">
        <v>116005</v>
      </c>
      <c r="N4502" s="34">
        <f t="shared" si="141"/>
        <v>10.096930533117932</v>
      </c>
    </row>
    <row r="4503" spans="1:14" x14ac:dyDescent="0.45">
      <c r="A4503" s="30">
        <v>2024</v>
      </c>
      <c r="B4503" s="30" t="s">
        <v>18</v>
      </c>
      <c r="C4503" s="30" t="s">
        <v>46</v>
      </c>
      <c r="D4503" s="30" t="s">
        <v>47</v>
      </c>
      <c r="E4503" s="32" t="s">
        <v>388</v>
      </c>
      <c r="F4503" s="32" t="s">
        <v>134</v>
      </c>
      <c r="G4503" s="32" t="s">
        <v>50</v>
      </c>
      <c r="H4503" s="33">
        <v>86780</v>
      </c>
      <c r="I4503" s="34">
        <f>Table3[[#This Row],[Volume, kg.]]/1000</f>
        <v>86.78</v>
      </c>
      <c r="J4503" s="34">
        <v>0.2235</v>
      </c>
      <c r="K4503" s="34">
        <f t="shared" si="140"/>
        <v>19395.330000000002</v>
      </c>
      <c r="L4503" s="34">
        <v>2.56</v>
      </c>
      <c r="M4503" s="34">
        <v>222321</v>
      </c>
      <c r="N4503" s="34">
        <f t="shared" si="141"/>
        <v>11.454138702460851</v>
      </c>
    </row>
    <row r="4504" spans="1:14" x14ac:dyDescent="0.45">
      <c r="A4504" s="30">
        <v>2024</v>
      </c>
      <c r="B4504" s="30" t="s">
        <v>18</v>
      </c>
      <c r="C4504" s="30" t="s">
        <v>46</v>
      </c>
      <c r="D4504" s="30" t="s">
        <v>47</v>
      </c>
      <c r="E4504" s="32" t="s">
        <v>59</v>
      </c>
      <c r="F4504" s="32" t="s">
        <v>60</v>
      </c>
      <c r="G4504" s="32" t="s">
        <v>50</v>
      </c>
      <c r="H4504" s="33">
        <v>23650</v>
      </c>
      <c r="I4504" s="34">
        <f>Table3[[#This Row],[Volume, kg.]]/1000</f>
        <v>23.65</v>
      </c>
      <c r="J4504" s="34">
        <v>0.26979999999999998</v>
      </c>
      <c r="K4504" s="34">
        <f t="shared" si="140"/>
        <v>6380.7699999999995</v>
      </c>
      <c r="L4504" s="34">
        <v>2.64</v>
      </c>
      <c r="M4504" s="34">
        <v>62472</v>
      </c>
      <c r="N4504" s="34">
        <f t="shared" si="141"/>
        <v>9.785025945144552</v>
      </c>
    </row>
    <row r="4505" spans="1:14" x14ac:dyDescent="0.45">
      <c r="A4505" s="30">
        <v>2024</v>
      </c>
      <c r="B4505" s="30" t="s">
        <v>18</v>
      </c>
      <c r="C4505" s="30" t="s">
        <v>46</v>
      </c>
      <c r="D4505" s="30" t="s">
        <v>47</v>
      </c>
      <c r="E4505" s="32" t="s">
        <v>313</v>
      </c>
      <c r="F4505" s="32" t="s">
        <v>60</v>
      </c>
      <c r="G4505" s="32" t="s">
        <v>50</v>
      </c>
      <c r="H4505" s="33">
        <v>47810</v>
      </c>
      <c r="I4505" s="34">
        <f>Table3[[#This Row],[Volume, kg.]]/1000</f>
        <v>47.81</v>
      </c>
      <c r="J4505" s="34">
        <v>0.248</v>
      </c>
      <c r="K4505" s="34">
        <f t="shared" si="140"/>
        <v>11856.88</v>
      </c>
      <c r="L4505" s="34">
        <v>2.64</v>
      </c>
      <c r="M4505" s="34">
        <v>126088.5</v>
      </c>
      <c r="N4505" s="34">
        <f t="shared" si="141"/>
        <v>10.645161290322582</v>
      </c>
    </row>
    <row r="4506" spans="1:14" x14ac:dyDescent="0.45">
      <c r="A4506" s="30">
        <v>2024</v>
      </c>
      <c r="B4506" s="30" t="s">
        <v>18</v>
      </c>
      <c r="C4506" s="30" t="s">
        <v>46</v>
      </c>
      <c r="D4506" s="30" t="s">
        <v>47</v>
      </c>
      <c r="E4506" s="32" t="s">
        <v>288</v>
      </c>
      <c r="F4506" s="32" t="s">
        <v>49</v>
      </c>
      <c r="G4506" s="32" t="s">
        <v>50</v>
      </c>
      <c r="H4506" s="33">
        <v>77810</v>
      </c>
      <c r="I4506" s="34">
        <f>Table3[[#This Row],[Volume, kg.]]/1000</f>
        <v>77.81</v>
      </c>
      <c r="J4506" s="34">
        <v>0.20199999999999999</v>
      </c>
      <c r="K4506" s="34">
        <f t="shared" si="140"/>
        <v>15717.619999999999</v>
      </c>
      <c r="L4506" s="34">
        <v>2.2999999999999998</v>
      </c>
      <c r="M4506" s="34">
        <v>178611.5</v>
      </c>
      <c r="N4506" s="34">
        <f t="shared" si="141"/>
        <v>11.386138613861386</v>
      </c>
    </row>
    <row r="4507" spans="1:14" x14ac:dyDescent="0.45">
      <c r="A4507" s="30">
        <v>2024</v>
      </c>
      <c r="B4507" s="30" t="s">
        <v>18</v>
      </c>
      <c r="C4507" s="30" t="s">
        <v>46</v>
      </c>
      <c r="D4507" s="30" t="s">
        <v>47</v>
      </c>
      <c r="E4507" s="32" t="s">
        <v>70</v>
      </c>
      <c r="F4507" s="32" t="s">
        <v>49</v>
      </c>
      <c r="G4507" s="32" t="s">
        <v>50</v>
      </c>
      <c r="H4507" s="33">
        <v>23190</v>
      </c>
      <c r="I4507" s="34">
        <f>Table3[[#This Row],[Volume, kg.]]/1000</f>
        <v>23.19</v>
      </c>
      <c r="J4507" s="34">
        <v>0.26179999999999998</v>
      </c>
      <c r="K4507" s="34">
        <f t="shared" si="140"/>
        <v>6071.1419999999998</v>
      </c>
      <c r="L4507" s="34">
        <v>2.78</v>
      </c>
      <c r="M4507" s="34">
        <v>64383</v>
      </c>
      <c r="N4507" s="34">
        <f t="shared" si="141"/>
        <v>10.618792971734148</v>
      </c>
    </row>
    <row r="4508" spans="1:14" x14ac:dyDescent="0.45">
      <c r="A4508" s="30">
        <v>2024</v>
      </c>
      <c r="B4508" s="30" t="s">
        <v>18</v>
      </c>
      <c r="C4508" s="30" t="s">
        <v>46</v>
      </c>
      <c r="D4508" s="30" t="s">
        <v>47</v>
      </c>
      <c r="E4508" s="32" t="s">
        <v>265</v>
      </c>
      <c r="F4508" s="32" t="s">
        <v>49</v>
      </c>
      <c r="G4508" s="32" t="s">
        <v>50</v>
      </c>
      <c r="H4508" s="33">
        <v>7450</v>
      </c>
      <c r="I4508" s="34">
        <f>Table3[[#This Row],[Volume, kg.]]/1000</f>
        <v>7.45</v>
      </c>
      <c r="J4508" s="34">
        <v>0.26</v>
      </c>
      <c r="K4508" s="34">
        <f t="shared" si="140"/>
        <v>1937</v>
      </c>
      <c r="L4508" s="34">
        <v>2.7</v>
      </c>
      <c r="M4508" s="34">
        <v>20115</v>
      </c>
      <c r="N4508" s="34">
        <f t="shared" si="141"/>
        <v>10.384615384615385</v>
      </c>
    </row>
    <row r="4509" spans="1:14" x14ac:dyDescent="0.45">
      <c r="A4509" s="30">
        <v>2024</v>
      </c>
      <c r="B4509" s="30" t="s">
        <v>18</v>
      </c>
      <c r="C4509" s="30" t="s">
        <v>46</v>
      </c>
      <c r="D4509" s="30" t="s">
        <v>47</v>
      </c>
      <c r="E4509" s="32" t="s">
        <v>192</v>
      </c>
      <c r="F4509" s="32" t="s">
        <v>49</v>
      </c>
      <c r="G4509" s="32" t="s">
        <v>50</v>
      </c>
      <c r="H4509" s="33">
        <v>12800</v>
      </c>
      <c r="I4509" s="34">
        <f>Table3[[#This Row],[Volume, kg.]]/1000</f>
        <v>12.8</v>
      </c>
      <c r="J4509" s="34">
        <v>0.27690000000000003</v>
      </c>
      <c r="K4509" s="34">
        <f t="shared" si="140"/>
        <v>3544.3200000000006</v>
      </c>
      <c r="L4509" s="34">
        <v>2.76</v>
      </c>
      <c r="M4509" s="34">
        <v>35297</v>
      </c>
      <c r="N4509" s="34">
        <f t="shared" si="141"/>
        <v>9.9674972914409512</v>
      </c>
    </row>
    <row r="4510" spans="1:14" x14ac:dyDescent="0.45">
      <c r="A4510" s="30">
        <v>2024</v>
      </c>
      <c r="B4510" s="30" t="s">
        <v>18</v>
      </c>
      <c r="C4510" s="30" t="s">
        <v>46</v>
      </c>
      <c r="D4510" s="30" t="s">
        <v>47</v>
      </c>
      <c r="E4510" s="32" t="s">
        <v>125</v>
      </c>
      <c r="F4510" s="32" t="s">
        <v>60</v>
      </c>
      <c r="G4510" s="32" t="s">
        <v>50</v>
      </c>
      <c r="H4510" s="33">
        <v>11080</v>
      </c>
      <c r="I4510" s="34">
        <f>Table3[[#This Row],[Volume, kg.]]/1000</f>
        <v>11.08</v>
      </c>
      <c r="J4510" s="34">
        <v>0.28149999999999997</v>
      </c>
      <c r="K4510" s="34">
        <f t="shared" si="140"/>
        <v>3119.0199999999995</v>
      </c>
      <c r="L4510" s="34">
        <v>2.75</v>
      </c>
      <c r="M4510" s="34">
        <v>30470</v>
      </c>
      <c r="N4510" s="34">
        <f t="shared" si="141"/>
        <v>9.769094138543517</v>
      </c>
    </row>
    <row r="4511" spans="1:14" x14ac:dyDescent="0.45">
      <c r="A4511" s="30">
        <v>2024</v>
      </c>
      <c r="B4511" s="30" t="s">
        <v>18</v>
      </c>
      <c r="C4511" s="30" t="s">
        <v>46</v>
      </c>
      <c r="D4511" s="30" t="s">
        <v>47</v>
      </c>
      <c r="E4511" s="32" t="s">
        <v>144</v>
      </c>
      <c r="F4511" s="32" t="s">
        <v>49</v>
      </c>
      <c r="G4511" s="32" t="s">
        <v>50</v>
      </c>
      <c r="H4511" s="33">
        <v>24030</v>
      </c>
      <c r="I4511" s="34">
        <f>Table3[[#This Row],[Volume, kg.]]/1000</f>
        <v>24.03</v>
      </c>
      <c r="J4511" s="34">
        <v>0.2833</v>
      </c>
      <c r="K4511" s="34">
        <f t="shared" si="140"/>
        <v>6807.6989999999996</v>
      </c>
      <c r="L4511" s="34">
        <v>2.82</v>
      </c>
      <c r="M4511" s="34">
        <v>67782.5</v>
      </c>
      <c r="N4511" s="34">
        <f t="shared" si="141"/>
        <v>9.9541122484998237</v>
      </c>
    </row>
    <row r="4512" spans="1:14" x14ac:dyDescent="0.45">
      <c r="A4512" s="30">
        <v>2024</v>
      </c>
      <c r="B4512" s="30" t="s">
        <v>18</v>
      </c>
      <c r="C4512" s="30" t="s">
        <v>46</v>
      </c>
      <c r="D4512" s="30" t="s">
        <v>47</v>
      </c>
      <c r="E4512" s="32" t="s">
        <v>299</v>
      </c>
      <c r="F4512" s="32" t="s">
        <v>49</v>
      </c>
      <c r="G4512" s="32" t="s">
        <v>50</v>
      </c>
      <c r="H4512" s="33">
        <v>830</v>
      </c>
      <c r="I4512" s="34">
        <f>Table3[[#This Row],[Volume, kg.]]/1000</f>
        <v>0.83</v>
      </c>
      <c r="J4512" s="34">
        <v>0.21600000000000003</v>
      </c>
      <c r="K4512" s="34">
        <f t="shared" si="140"/>
        <v>179.28000000000003</v>
      </c>
      <c r="L4512" s="34">
        <v>2.35</v>
      </c>
      <c r="M4512" s="34">
        <v>1950.5</v>
      </c>
      <c r="N4512" s="34">
        <f t="shared" si="141"/>
        <v>10.879629629629628</v>
      </c>
    </row>
    <row r="4513" spans="1:14" x14ac:dyDescent="0.45">
      <c r="A4513" s="30">
        <v>2024</v>
      </c>
      <c r="B4513" s="30" t="s">
        <v>18</v>
      </c>
      <c r="C4513" s="30" t="s">
        <v>46</v>
      </c>
      <c r="D4513" s="30" t="s">
        <v>47</v>
      </c>
      <c r="E4513" s="32" t="s">
        <v>210</v>
      </c>
      <c r="F4513" s="32" t="s">
        <v>60</v>
      </c>
      <c r="G4513" s="32" t="s">
        <v>50</v>
      </c>
      <c r="H4513" s="33">
        <v>40730</v>
      </c>
      <c r="I4513" s="34">
        <f>Table3[[#This Row],[Volume, kg.]]/1000</f>
        <v>40.729999999999997</v>
      </c>
      <c r="J4513" s="34">
        <v>0.27310000000000001</v>
      </c>
      <c r="K4513" s="34">
        <f t="shared" si="140"/>
        <v>11123.363000000001</v>
      </c>
      <c r="L4513" s="34">
        <v>2.73</v>
      </c>
      <c r="M4513" s="34">
        <v>111291.5</v>
      </c>
      <c r="N4513" s="34">
        <f t="shared" si="141"/>
        <v>9.9963383376052732</v>
      </c>
    </row>
    <row r="4514" spans="1:14" x14ac:dyDescent="0.45">
      <c r="A4514" s="30">
        <v>2024</v>
      </c>
      <c r="B4514" s="30" t="s">
        <v>18</v>
      </c>
      <c r="C4514" s="30" t="s">
        <v>46</v>
      </c>
      <c r="D4514" s="30" t="s">
        <v>47</v>
      </c>
      <c r="E4514" s="32" t="s">
        <v>253</v>
      </c>
      <c r="F4514" s="32" t="s">
        <v>57</v>
      </c>
      <c r="G4514" s="32" t="s">
        <v>50</v>
      </c>
      <c r="H4514" s="33">
        <v>12810</v>
      </c>
      <c r="I4514" s="34">
        <f>Table3[[#This Row],[Volume, kg.]]/1000</f>
        <v>12.81</v>
      </c>
      <c r="J4514" s="34">
        <v>0.29430000000000001</v>
      </c>
      <c r="K4514" s="34">
        <f t="shared" si="140"/>
        <v>3769.9830000000002</v>
      </c>
      <c r="L4514" s="34">
        <v>2.81</v>
      </c>
      <c r="M4514" s="34">
        <v>36040.5</v>
      </c>
      <c r="N4514" s="34">
        <f t="shared" si="141"/>
        <v>9.5480801902820254</v>
      </c>
    </row>
    <row r="4515" spans="1:14" x14ac:dyDescent="0.45">
      <c r="A4515" s="30">
        <v>2024</v>
      </c>
      <c r="B4515" s="30" t="s">
        <v>18</v>
      </c>
      <c r="C4515" s="30" t="s">
        <v>46</v>
      </c>
      <c r="D4515" s="30" t="s">
        <v>47</v>
      </c>
      <c r="E4515" s="32" t="s">
        <v>667</v>
      </c>
      <c r="F4515" s="32" t="s">
        <v>60</v>
      </c>
      <c r="G4515" s="32" t="s">
        <v>50</v>
      </c>
      <c r="H4515" s="33">
        <v>3970</v>
      </c>
      <c r="I4515" s="34">
        <f>Table3[[#This Row],[Volume, kg.]]/1000</f>
        <v>3.97</v>
      </c>
      <c r="J4515" s="34">
        <v>0.25750000000000001</v>
      </c>
      <c r="K4515" s="34">
        <f t="shared" si="140"/>
        <v>1022.275</v>
      </c>
      <c r="L4515" s="34">
        <v>2.65</v>
      </c>
      <c r="M4515" s="34">
        <v>10520.5</v>
      </c>
      <c r="N4515" s="34">
        <f t="shared" si="141"/>
        <v>10.291262135922329</v>
      </c>
    </row>
    <row r="4516" spans="1:14" x14ac:dyDescent="0.45">
      <c r="A4516" s="30">
        <v>2024</v>
      </c>
      <c r="B4516" s="30" t="s">
        <v>18</v>
      </c>
      <c r="C4516" s="30" t="s">
        <v>46</v>
      </c>
      <c r="D4516" s="30" t="s">
        <v>47</v>
      </c>
      <c r="E4516" s="32" t="s">
        <v>233</v>
      </c>
      <c r="F4516" s="32" t="s">
        <v>57</v>
      </c>
      <c r="G4516" s="32" t="s">
        <v>50</v>
      </c>
      <c r="H4516" s="33">
        <v>89240</v>
      </c>
      <c r="I4516" s="34">
        <f>Table3[[#This Row],[Volume, kg.]]/1000</f>
        <v>89.24</v>
      </c>
      <c r="J4516" s="34">
        <v>0.28239999999999998</v>
      </c>
      <c r="K4516" s="34">
        <f t="shared" si="140"/>
        <v>25201.376</v>
      </c>
      <c r="L4516" s="34">
        <v>2.74</v>
      </c>
      <c r="M4516" s="34">
        <v>244487.5</v>
      </c>
      <c r="N4516" s="34">
        <f t="shared" si="141"/>
        <v>9.7025495750708224</v>
      </c>
    </row>
    <row r="4517" spans="1:14" x14ac:dyDescent="0.45">
      <c r="A4517" s="30">
        <v>2024</v>
      </c>
      <c r="B4517" s="30" t="s">
        <v>18</v>
      </c>
      <c r="C4517" s="30" t="s">
        <v>46</v>
      </c>
      <c r="D4517" s="30" t="s">
        <v>47</v>
      </c>
      <c r="E4517" s="32" t="s">
        <v>56</v>
      </c>
      <c r="F4517" s="32" t="s">
        <v>57</v>
      </c>
      <c r="G4517" s="32" t="s">
        <v>50</v>
      </c>
      <c r="H4517" s="33">
        <v>25830</v>
      </c>
      <c r="I4517" s="34">
        <f>Table3[[#This Row],[Volume, kg.]]/1000</f>
        <v>25.83</v>
      </c>
      <c r="J4517" s="34">
        <v>0.29420000000000002</v>
      </c>
      <c r="K4517" s="34">
        <f t="shared" si="140"/>
        <v>7599.1860000000006</v>
      </c>
      <c r="L4517" s="34">
        <v>2.82</v>
      </c>
      <c r="M4517" s="34">
        <v>72816.5</v>
      </c>
      <c r="N4517" s="34">
        <f t="shared" si="141"/>
        <v>9.5853161114887815</v>
      </c>
    </row>
    <row r="4518" spans="1:14" x14ac:dyDescent="0.45">
      <c r="A4518" s="30">
        <v>2024</v>
      </c>
      <c r="B4518" s="30" t="s">
        <v>18</v>
      </c>
      <c r="C4518" s="30" t="s">
        <v>46</v>
      </c>
      <c r="D4518" s="30" t="s">
        <v>47</v>
      </c>
      <c r="E4518" s="32" t="s">
        <v>90</v>
      </c>
      <c r="F4518" s="32" t="s">
        <v>49</v>
      </c>
      <c r="G4518" s="32" t="s">
        <v>50</v>
      </c>
      <c r="H4518" s="33">
        <v>18170</v>
      </c>
      <c r="I4518" s="34">
        <f>Table3[[#This Row],[Volume, kg.]]/1000</f>
        <v>18.170000000000002</v>
      </c>
      <c r="J4518" s="34">
        <v>0.28520000000000001</v>
      </c>
      <c r="K4518" s="34">
        <f t="shared" si="140"/>
        <v>5182.0839999999998</v>
      </c>
      <c r="L4518" s="34">
        <v>2.87</v>
      </c>
      <c r="M4518" s="34">
        <v>52227</v>
      </c>
      <c r="N4518" s="34">
        <f t="shared" si="141"/>
        <v>10.063113604488079</v>
      </c>
    </row>
    <row r="4519" spans="1:14" x14ac:dyDescent="0.45">
      <c r="A4519" s="30">
        <v>2024</v>
      </c>
      <c r="B4519" s="30" t="s">
        <v>18</v>
      </c>
      <c r="C4519" s="30" t="s">
        <v>46</v>
      </c>
      <c r="D4519" s="30" t="s">
        <v>47</v>
      </c>
      <c r="E4519" s="32" t="s">
        <v>275</v>
      </c>
      <c r="F4519" s="32" t="s">
        <v>54</v>
      </c>
      <c r="G4519" s="32" t="s">
        <v>50</v>
      </c>
      <c r="H4519" s="33">
        <v>5050</v>
      </c>
      <c r="I4519" s="34">
        <f>Table3[[#This Row],[Volume, kg.]]/1000</f>
        <v>5.05</v>
      </c>
      <c r="J4519" s="34">
        <v>0.23399999999999999</v>
      </c>
      <c r="K4519" s="34">
        <f t="shared" si="140"/>
        <v>1181.6999999999998</v>
      </c>
      <c r="L4519" s="34">
        <v>2.6</v>
      </c>
      <c r="M4519" s="34">
        <v>13130</v>
      </c>
      <c r="N4519" s="34">
        <f t="shared" si="141"/>
        <v>11.111111111111112</v>
      </c>
    </row>
    <row r="4520" spans="1:14" x14ac:dyDescent="0.45">
      <c r="A4520" s="30">
        <v>2024</v>
      </c>
      <c r="B4520" s="30" t="s">
        <v>18</v>
      </c>
      <c r="C4520" s="30" t="s">
        <v>46</v>
      </c>
      <c r="D4520" s="30" t="s">
        <v>47</v>
      </c>
      <c r="E4520" s="32" t="s">
        <v>599</v>
      </c>
      <c r="F4520" s="32" t="s">
        <v>57</v>
      </c>
      <c r="G4520" s="32" t="s">
        <v>50</v>
      </c>
      <c r="H4520" s="33">
        <v>35690</v>
      </c>
      <c r="I4520" s="34">
        <f>Table3[[#This Row],[Volume, kg.]]/1000</f>
        <v>35.69</v>
      </c>
      <c r="J4520" s="34">
        <v>0.27300000000000002</v>
      </c>
      <c r="K4520" s="34">
        <f t="shared" si="140"/>
        <v>9743.3700000000008</v>
      </c>
      <c r="L4520" s="34">
        <v>2.72</v>
      </c>
      <c r="M4520" s="34">
        <v>97039.5</v>
      </c>
      <c r="N4520" s="34">
        <f t="shared" si="141"/>
        <v>9.9633699633699635</v>
      </c>
    </row>
    <row r="4521" spans="1:14" x14ac:dyDescent="0.45">
      <c r="A4521" s="30">
        <v>2024</v>
      </c>
      <c r="B4521" s="30" t="s">
        <v>18</v>
      </c>
      <c r="C4521" s="30" t="s">
        <v>46</v>
      </c>
      <c r="D4521" s="30" t="s">
        <v>47</v>
      </c>
      <c r="E4521" s="32" t="s">
        <v>311</v>
      </c>
      <c r="F4521" s="32" t="s">
        <v>57</v>
      </c>
      <c r="G4521" s="32" t="s">
        <v>50</v>
      </c>
      <c r="H4521" s="33">
        <v>43990</v>
      </c>
      <c r="I4521" s="34">
        <f>Table3[[#This Row],[Volume, kg.]]/1000</f>
        <v>43.99</v>
      </c>
      <c r="J4521" s="34">
        <v>0.30219999999999997</v>
      </c>
      <c r="K4521" s="34">
        <f t="shared" si="140"/>
        <v>13293.777999999998</v>
      </c>
      <c r="L4521" s="34">
        <v>2.79</v>
      </c>
      <c r="M4521" s="34">
        <v>122672</v>
      </c>
      <c r="N4521" s="34">
        <f t="shared" si="141"/>
        <v>9.232296492389148</v>
      </c>
    </row>
    <row r="4522" spans="1:14" x14ac:dyDescent="0.45">
      <c r="A4522" s="30">
        <v>2024</v>
      </c>
      <c r="B4522" s="30" t="s">
        <v>18</v>
      </c>
      <c r="C4522" s="30" t="s">
        <v>46</v>
      </c>
      <c r="D4522" s="30" t="s">
        <v>47</v>
      </c>
      <c r="E4522" s="32" t="s">
        <v>153</v>
      </c>
      <c r="F4522" s="32" t="s">
        <v>57</v>
      </c>
      <c r="G4522" s="32" t="s">
        <v>50</v>
      </c>
      <c r="H4522" s="33">
        <v>3160</v>
      </c>
      <c r="I4522" s="34">
        <f>Table3[[#This Row],[Volume, kg.]]/1000</f>
        <v>3.16</v>
      </c>
      <c r="J4522" s="34">
        <v>0.27899999999999997</v>
      </c>
      <c r="K4522" s="34">
        <f t="shared" si="140"/>
        <v>881.63999999999987</v>
      </c>
      <c r="L4522" s="34">
        <v>2.75</v>
      </c>
      <c r="M4522" s="34">
        <v>8690</v>
      </c>
      <c r="N4522" s="34">
        <f t="shared" si="141"/>
        <v>9.8566308243727612</v>
      </c>
    </row>
    <row r="4523" spans="1:14" x14ac:dyDescent="0.45">
      <c r="A4523" s="30">
        <v>2024</v>
      </c>
      <c r="B4523" s="30" t="s">
        <v>18</v>
      </c>
      <c r="C4523" s="30" t="s">
        <v>46</v>
      </c>
      <c r="D4523" s="30" t="s">
        <v>47</v>
      </c>
      <c r="E4523" s="32" t="s">
        <v>116</v>
      </c>
      <c r="F4523" s="32" t="s">
        <v>81</v>
      </c>
      <c r="G4523" s="32" t="s">
        <v>50</v>
      </c>
      <c r="H4523" s="33">
        <v>28930</v>
      </c>
      <c r="I4523" s="34">
        <f>Table3[[#This Row],[Volume, kg.]]/1000</f>
        <v>28.93</v>
      </c>
      <c r="J4523" s="34">
        <v>0.29220000000000002</v>
      </c>
      <c r="K4523" s="34">
        <f t="shared" si="140"/>
        <v>8453.3459999999995</v>
      </c>
      <c r="L4523" s="34">
        <v>2.93</v>
      </c>
      <c r="M4523" s="34">
        <v>84685</v>
      </c>
      <c r="N4523" s="34">
        <f t="shared" si="141"/>
        <v>10.027378507871321</v>
      </c>
    </row>
    <row r="4524" spans="1:14" x14ac:dyDescent="0.45">
      <c r="A4524" s="30">
        <v>2024</v>
      </c>
      <c r="B4524" s="30" t="s">
        <v>18</v>
      </c>
      <c r="C4524" s="30" t="s">
        <v>46</v>
      </c>
      <c r="D4524" s="30" t="s">
        <v>47</v>
      </c>
      <c r="E4524" s="32" t="s">
        <v>304</v>
      </c>
      <c r="F4524" s="32" t="s">
        <v>64</v>
      </c>
      <c r="G4524" s="32" t="s">
        <v>50</v>
      </c>
      <c r="H4524" s="33">
        <v>8530</v>
      </c>
      <c r="I4524" s="34">
        <f>Table3[[#This Row],[Volume, kg.]]/1000</f>
        <v>8.5299999999999994</v>
      </c>
      <c r="J4524" s="34">
        <v>0.27399999999999997</v>
      </c>
      <c r="K4524" s="34">
        <f t="shared" si="140"/>
        <v>2337.2199999999998</v>
      </c>
      <c r="L4524" s="34">
        <v>2.8</v>
      </c>
      <c r="M4524" s="34">
        <v>23884</v>
      </c>
      <c r="N4524" s="34">
        <f t="shared" si="141"/>
        <v>10.218978102189782</v>
      </c>
    </row>
    <row r="4525" spans="1:14" x14ac:dyDescent="0.45">
      <c r="A4525" s="30">
        <v>2024</v>
      </c>
      <c r="B4525" s="30" t="s">
        <v>18</v>
      </c>
      <c r="C4525" s="30" t="s">
        <v>46</v>
      </c>
      <c r="D4525" s="30" t="s">
        <v>47</v>
      </c>
      <c r="E4525" s="32" t="s">
        <v>262</v>
      </c>
      <c r="F4525" s="32" t="s">
        <v>81</v>
      </c>
      <c r="G4525" s="32" t="s">
        <v>50</v>
      </c>
      <c r="H4525" s="33">
        <v>24160</v>
      </c>
      <c r="I4525" s="34">
        <f>Table3[[#This Row],[Volume, kg.]]/1000</f>
        <v>24.16</v>
      </c>
      <c r="J4525" s="34">
        <v>0.27589999999999998</v>
      </c>
      <c r="K4525" s="34">
        <f t="shared" si="140"/>
        <v>6665.7439999999997</v>
      </c>
      <c r="L4525" s="34">
        <v>2.79</v>
      </c>
      <c r="M4525" s="34">
        <v>67439</v>
      </c>
      <c r="N4525" s="34">
        <f t="shared" si="141"/>
        <v>10.112359550561798</v>
      </c>
    </row>
    <row r="4526" spans="1:14" x14ac:dyDescent="0.45">
      <c r="A4526" s="30">
        <v>2024</v>
      </c>
      <c r="B4526" s="30" t="s">
        <v>18</v>
      </c>
      <c r="C4526" s="30" t="s">
        <v>46</v>
      </c>
      <c r="D4526" s="30" t="s">
        <v>47</v>
      </c>
      <c r="E4526" s="32" t="s">
        <v>206</v>
      </c>
      <c r="F4526" s="32" t="s">
        <v>81</v>
      </c>
      <c r="G4526" s="32" t="s">
        <v>50</v>
      </c>
      <c r="H4526" s="33">
        <v>21030</v>
      </c>
      <c r="I4526" s="34">
        <f>Table3[[#This Row],[Volume, kg.]]/1000</f>
        <v>21.03</v>
      </c>
      <c r="J4526" s="34">
        <v>0.28850000000000003</v>
      </c>
      <c r="K4526" s="34">
        <f t="shared" si="140"/>
        <v>6067.1550000000007</v>
      </c>
      <c r="L4526" s="34">
        <v>2.8</v>
      </c>
      <c r="M4526" s="34">
        <v>58884</v>
      </c>
      <c r="N4526" s="34">
        <f t="shared" si="141"/>
        <v>9.7053726169844001</v>
      </c>
    </row>
    <row r="4527" spans="1:14" x14ac:dyDescent="0.45">
      <c r="A4527" s="30">
        <v>2024</v>
      </c>
      <c r="B4527" s="30" t="s">
        <v>18</v>
      </c>
      <c r="C4527" s="30" t="s">
        <v>46</v>
      </c>
      <c r="D4527" s="30" t="s">
        <v>47</v>
      </c>
      <c r="E4527" s="32" t="s">
        <v>272</v>
      </c>
      <c r="F4527" s="32" t="s">
        <v>60</v>
      </c>
      <c r="G4527" s="32" t="s">
        <v>50</v>
      </c>
      <c r="H4527" s="33">
        <v>6600</v>
      </c>
      <c r="I4527" s="34">
        <f>Table3[[#This Row],[Volume, kg.]]/1000</f>
        <v>6.6</v>
      </c>
      <c r="J4527" s="34">
        <v>0.24230000000000002</v>
      </c>
      <c r="K4527" s="34">
        <f t="shared" si="140"/>
        <v>1599.18</v>
      </c>
      <c r="L4527" s="34">
        <v>2.4</v>
      </c>
      <c r="M4527" s="34">
        <v>15840</v>
      </c>
      <c r="N4527" s="34">
        <f t="shared" si="141"/>
        <v>9.9050763516302087</v>
      </c>
    </row>
    <row r="4528" spans="1:14" x14ac:dyDescent="0.45">
      <c r="A4528" s="30">
        <v>2024</v>
      </c>
      <c r="B4528" s="30" t="s">
        <v>18</v>
      </c>
      <c r="C4528" s="30" t="s">
        <v>46</v>
      </c>
      <c r="D4528" s="30" t="s">
        <v>47</v>
      </c>
      <c r="E4528" s="32" t="s">
        <v>98</v>
      </c>
      <c r="F4528" s="32" t="s">
        <v>49</v>
      </c>
      <c r="G4528" s="32" t="s">
        <v>50</v>
      </c>
      <c r="H4528" s="33">
        <v>22720</v>
      </c>
      <c r="I4528" s="34">
        <f>Table3[[#This Row],[Volume, kg.]]/1000</f>
        <v>22.72</v>
      </c>
      <c r="J4528" s="34">
        <v>0.27179999999999999</v>
      </c>
      <c r="K4528" s="34">
        <f t="shared" si="140"/>
        <v>6175.2959999999994</v>
      </c>
      <c r="L4528" s="34">
        <v>2.75</v>
      </c>
      <c r="M4528" s="34">
        <v>62526.5</v>
      </c>
      <c r="N4528" s="34">
        <f t="shared" si="141"/>
        <v>10.117733627667404</v>
      </c>
    </row>
    <row r="4529" spans="1:14" x14ac:dyDescent="0.45">
      <c r="A4529" s="30">
        <v>2024</v>
      </c>
      <c r="B4529" s="30" t="s">
        <v>18</v>
      </c>
      <c r="C4529" s="30" t="s">
        <v>46</v>
      </c>
      <c r="D4529" s="30" t="s">
        <v>47</v>
      </c>
      <c r="E4529" s="32" t="s">
        <v>354</v>
      </c>
      <c r="F4529" s="32" t="s">
        <v>60</v>
      </c>
      <c r="G4529" s="32" t="s">
        <v>50</v>
      </c>
      <c r="H4529" s="33">
        <v>7570</v>
      </c>
      <c r="I4529" s="34">
        <f>Table3[[#This Row],[Volume, kg.]]/1000</f>
        <v>7.57</v>
      </c>
      <c r="J4529" s="34">
        <v>0.27600000000000002</v>
      </c>
      <c r="K4529" s="34">
        <f t="shared" si="140"/>
        <v>2089.3200000000002</v>
      </c>
      <c r="L4529" s="34">
        <v>2.8</v>
      </c>
      <c r="M4529" s="34">
        <v>21196</v>
      </c>
      <c r="N4529" s="34">
        <f t="shared" si="141"/>
        <v>10.144927536231883</v>
      </c>
    </row>
    <row r="4530" spans="1:14" x14ac:dyDescent="0.45">
      <c r="A4530" s="30">
        <v>2024</v>
      </c>
      <c r="B4530" s="30" t="s">
        <v>18</v>
      </c>
      <c r="C4530" s="30" t="s">
        <v>46</v>
      </c>
      <c r="D4530" s="30" t="s">
        <v>47</v>
      </c>
      <c r="E4530" s="32" t="s">
        <v>129</v>
      </c>
      <c r="F4530" s="32" t="s">
        <v>57</v>
      </c>
      <c r="G4530" s="32" t="s">
        <v>50</v>
      </c>
      <c r="H4530" s="33">
        <v>14070</v>
      </c>
      <c r="I4530" s="34">
        <f>Table3[[#This Row],[Volume, kg.]]/1000</f>
        <v>14.07</v>
      </c>
      <c r="J4530" s="34">
        <v>0.28649999999999998</v>
      </c>
      <c r="K4530" s="34">
        <f t="shared" si="140"/>
        <v>4031.0549999999998</v>
      </c>
      <c r="L4530" s="34">
        <v>2.9</v>
      </c>
      <c r="M4530" s="34">
        <v>40803</v>
      </c>
      <c r="N4530" s="34">
        <f t="shared" si="141"/>
        <v>10.122164048865621</v>
      </c>
    </row>
    <row r="4531" spans="1:14" x14ac:dyDescent="0.45">
      <c r="A4531" s="30">
        <v>2024</v>
      </c>
      <c r="B4531" s="30" t="s">
        <v>18</v>
      </c>
      <c r="C4531" s="30" t="s">
        <v>46</v>
      </c>
      <c r="D4531" s="30" t="s">
        <v>47</v>
      </c>
      <c r="E4531" s="32" t="s">
        <v>80</v>
      </c>
      <c r="F4531" s="32" t="s">
        <v>81</v>
      </c>
      <c r="G4531" s="32" t="s">
        <v>50</v>
      </c>
      <c r="H4531" s="33">
        <v>14030</v>
      </c>
      <c r="I4531" s="34">
        <f>Table3[[#This Row],[Volume, kg.]]/1000</f>
        <v>14.03</v>
      </c>
      <c r="J4531" s="34">
        <v>0.27550000000000002</v>
      </c>
      <c r="K4531" s="34">
        <f t="shared" si="140"/>
        <v>3865.2650000000003</v>
      </c>
      <c r="L4531" s="34">
        <v>2.85</v>
      </c>
      <c r="M4531" s="34">
        <v>39985.5</v>
      </c>
      <c r="N4531" s="34">
        <f t="shared" si="141"/>
        <v>10.344827586206897</v>
      </c>
    </row>
    <row r="4532" spans="1:14" x14ac:dyDescent="0.45">
      <c r="A4532" s="30">
        <v>2024</v>
      </c>
      <c r="B4532" s="30" t="s">
        <v>18</v>
      </c>
      <c r="C4532" s="30" t="s">
        <v>46</v>
      </c>
      <c r="D4532" s="30" t="s">
        <v>47</v>
      </c>
      <c r="E4532" s="32" t="s">
        <v>700</v>
      </c>
      <c r="F4532" s="32" t="s">
        <v>60</v>
      </c>
      <c r="G4532" s="32" t="s">
        <v>50</v>
      </c>
      <c r="H4532" s="33">
        <v>5080</v>
      </c>
      <c r="I4532" s="34">
        <f>Table3[[#This Row],[Volume, kg.]]/1000</f>
        <v>5.08</v>
      </c>
      <c r="J4532" s="34">
        <v>0.245</v>
      </c>
      <c r="K4532" s="34">
        <f t="shared" si="140"/>
        <v>1244.5999999999999</v>
      </c>
      <c r="L4532" s="34">
        <v>2.4500000000000002</v>
      </c>
      <c r="M4532" s="34">
        <v>12446</v>
      </c>
      <c r="N4532" s="34">
        <f t="shared" si="141"/>
        <v>10.000000000000002</v>
      </c>
    </row>
    <row r="4533" spans="1:14" x14ac:dyDescent="0.45">
      <c r="A4533" s="30">
        <v>2024</v>
      </c>
      <c r="B4533" s="30" t="s">
        <v>18</v>
      </c>
      <c r="C4533" s="30" t="s">
        <v>46</v>
      </c>
      <c r="D4533" s="30" t="s">
        <v>102</v>
      </c>
      <c r="E4533" s="32" t="s">
        <v>701</v>
      </c>
      <c r="F4533" s="32" t="s">
        <v>349</v>
      </c>
      <c r="G4533" s="32" t="s">
        <v>105</v>
      </c>
      <c r="H4533" s="33">
        <v>210580</v>
      </c>
      <c r="I4533" s="34">
        <f>Table3[[#This Row],[Volume, kg.]]/1000</f>
        <v>210.58</v>
      </c>
      <c r="J4533" s="34">
        <v>0.21809999999999999</v>
      </c>
      <c r="K4533" s="34">
        <f t="shared" si="140"/>
        <v>45927.498</v>
      </c>
      <c r="L4533" s="34">
        <v>2.62</v>
      </c>
      <c r="M4533" s="34">
        <v>552448.5</v>
      </c>
      <c r="N4533" s="34">
        <f t="shared" si="141"/>
        <v>12.0128381476387</v>
      </c>
    </row>
    <row r="4534" spans="1:14" x14ac:dyDescent="0.45">
      <c r="A4534" s="30">
        <v>2024</v>
      </c>
      <c r="B4534" s="30" t="s">
        <v>18</v>
      </c>
      <c r="C4534" s="30" t="s">
        <v>46</v>
      </c>
      <c r="D4534" s="30" t="s">
        <v>47</v>
      </c>
      <c r="E4534" s="32" t="s">
        <v>194</v>
      </c>
      <c r="F4534" s="32" t="s">
        <v>49</v>
      </c>
      <c r="G4534" s="32" t="s">
        <v>50</v>
      </c>
      <c r="H4534" s="33">
        <v>10540</v>
      </c>
      <c r="I4534" s="34">
        <f>Table3[[#This Row],[Volume, kg.]]/1000</f>
        <v>10.54</v>
      </c>
      <c r="J4534" s="34">
        <v>0.26600000000000001</v>
      </c>
      <c r="K4534" s="34">
        <f t="shared" si="140"/>
        <v>2803.6400000000003</v>
      </c>
      <c r="L4534" s="34">
        <v>2.8</v>
      </c>
      <c r="M4534" s="34">
        <v>29512</v>
      </c>
      <c r="N4534" s="34">
        <f t="shared" si="141"/>
        <v>10.526315789473683</v>
      </c>
    </row>
    <row r="4535" spans="1:14" x14ac:dyDescent="0.45">
      <c r="A4535" s="30">
        <v>2024</v>
      </c>
      <c r="B4535" s="30" t="s">
        <v>18</v>
      </c>
      <c r="C4535" s="30" t="s">
        <v>46</v>
      </c>
      <c r="D4535" s="30" t="s">
        <v>102</v>
      </c>
      <c r="E4535" s="32" t="s">
        <v>396</v>
      </c>
      <c r="F4535" s="32" t="s">
        <v>397</v>
      </c>
      <c r="G4535" s="32" t="s">
        <v>105</v>
      </c>
      <c r="H4535" s="33">
        <v>1893060</v>
      </c>
      <c r="I4535" s="34">
        <f>Table3[[#This Row],[Volume, kg.]]/1000</f>
        <v>1893.06</v>
      </c>
      <c r="J4535" s="34">
        <v>0.2298</v>
      </c>
      <c r="K4535" s="34">
        <f t="shared" si="140"/>
        <v>435025.18800000002</v>
      </c>
      <c r="L4535" s="34">
        <v>2.64</v>
      </c>
      <c r="M4535" s="34">
        <v>4996352.5</v>
      </c>
      <c r="N4535" s="34">
        <f t="shared" si="141"/>
        <v>11.488250652741515</v>
      </c>
    </row>
    <row r="4536" spans="1:14" x14ac:dyDescent="0.45">
      <c r="A4536" s="30">
        <v>2024</v>
      </c>
      <c r="B4536" s="30" t="s">
        <v>18</v>
      </c>
      <c r="C4536" s="30" t="s">
        <v>46</v>
      </c>
      <c r="D4536" s="30" t="s">
        <v>47</v>
      </c>
      <c r="E4536" s="32" t="s">
        <v>267</v>
      </c>
      <c r="F4536" s="32" t="s">
        <v>57</v>
      </c>
      <c r="G4536" s="32" t="s">
        <v>50</v>
      </c>
      <c r="H4536" s="33">
        <v>6020</v>
      </c>
      <c r="I4536" s="34">
        <f>Table3[[#This Row],[Volume, kg.]]/1000</f>
        <v>6.02</v>
      </c>
      <c r="J4536" s="34">
        <v>0.2505</v>
      </c>
      <c r="K4536" s="34">
        <f t="shared" si="140"/>
        <v>1508.01</v>
      </c>
      <c r="L4536" s="34">
        <v>2.5</v>
      </c>
      <c r="M4536" s="34">
        <v>15050</v>
      </c>
      <c r="N4536" s="34">
        <f t="shared" si="141"/>
        <v>9.9800399201596814</v>
      </c>
    </row>
    <row r="4537" spans="1:14" x14ac:dyDescent="0.45">
      <c r="A4537" s="30">
        <v>2024</v>
      </c>
      <c r="B4537" s="30" t="s">
        <v>18</v>
      </c>
      <c r="C4537" s="30" t="s">
        <v>46</v>
      </c>
      <c r="D4537" s="30" t="s">
        <v>102</v>
      </c>
      <c r="E4537" s="32" t="s">
        <v>103</v>
      </c>
      <c r="F4537" s="32" t="s">
        <v>104</v>
      </c>
      <c r="G4537" s="32" t="s">
        <v>105</v>
      </c>
      <c r="H4537" s="33">
        <v>361540</v>
      </c>
      <c r="I4537" s="34">
        <f>Table3[[#This Row],[Volume, kg.]]/1000</f>
        <v>361.54</v>
      </c>
      <c r="J4537" s="34">
        <v>0.2208</v>
      </c>
      <c r="K4537" s="34">
        <f t="shared" si="140"/>
        <v>79828.031999999992</v>
      </c>
      <c r="L4537" s="34">
        <v>2.65</v>
      </c>
      <c r="M4537" s="34">
        <v>957534.5</v>
      </c>
      <c r="N4537" s="34">
        <f t="shared" si="141"/>
        <v>12.001811594202898</v>
      </c>
    </row>
    <row r="4538" spans="1:14" x14ac:dyDescent="0.45">
      <c r="A4538" s="30">
        <v>2024</v>
      </c>
      <c r="B4538" s="30" t="s">
        <v>18</v>
      </c>
      <c r="C4538" s="30" t="s">
        <v>46</v>
      </c>
      <c r="D4538" s="30" t="s">
        <v>47</v>
      </c>
      <c r="E4538" s="32" t="s">
        <v>203</v>
      </c>
      <c r="F4538" s="32" t="s">
        <v>57</v>
      </c>
      <c r="G4538" s="32" t="s">
        <v>50</v>
      </c>
      <c r="H4538" s="33">
        <v>23700</v>
      </c>
      <c r="I4538" s="34">
        <f>Table3[[#This Row],[Volume, kg.]]/1000</f>
        <v>23.7</v>
      </c>
      <c r="J4538" s="34">
        <v>0.29520000000000002</v>
      </c>
      <c r="K4538" s="34">
        <f t="shared" si="140"/>
        <v>6996.2400000000007</v>
      </c>
      <c r="L4538" s="34">
        <v>2.89</v>
      </c>
      <c r="M4538" s="34">
        <v>68397</v>
      </c>
      <c r="N4538" s="34">
        <f t="shared" si="141"/>
        <v>9.7899728997289976</v>
      </c>
    </row>
    <row r="4539" spans="1:14" x14ac:dyDescent="0.45">
      <c r="A4539" s="30">
        <v>2024</v>
      </c>
      <c r="B4539" s="30" t="s">
        <v>18</v>
      </c>
      <c r="C4539" s="30" t="s">
        <v>46</v>
      </c>
      <c r="D4539" s="30" t="s">
        <v>47</v>
      </c>
      <c r="E4539" s="32" t="s">
        <v>274</v>
      </c>
      <c r="F4539" s="32" t="s">
        <v>49</v>
      </c>
      <c r="G4539" s="32" t="s">
        <v>50</v>
      </c>
      <c r="H4539" s="33">
        <v>19770</v>
      </c>
      <c r="I4539" s="34">
        <f>Table3[[#This Row],[Volume, kg.]]/1000</f>
        <v>19.77</v>
      </c>
      <c r="J4539" s="34">
        <v>0.28760000000000002</v>
      </c>
      <c r="K4539" s="34">
        <f t="shared" si="140"/>
        <v>5685.8520000000008</v>
      </c>
      <c r="L4539" s="34">
        <v>2.64</v>
      </c>
      <c r="M4539" s="34">
        <v>52098</v>
      </c>
      <c r="N4539" s="34">
        <f t="shared" si="141"/>
        <v>9.1794158553546588</v>
      </c>
    </row>
    <row r="4540" spans="1:14" x14ac:dyDescent="0.45">
      <c r="A4540" s="30">
        <v>2024</v>
      </c>
      <c r="B4540" s="30" t="s">
        <v>18</v>
      </c>
      <c r="C4540" s="30" t="s">
        <v>46</v>
      </c>
      <c r="D4540" s="30" t="s">
        <v>102</v>
      </c>
      <c r="E4540" s="32" t="s">
        <v>691</v>
      </c>
      <c r="F4540" s="32" t="s">
        <v>657</v>
      </c>
      <c r="G4540" s="32" t="s">
        <v>119</v>
      </c>
      <c r="H4540" s="33">
        <v>335380</v>
      </c>
      <c r="I4540" s="34">
        <f>Table3[[#This Row],[Volume, kg.]]/1000</f>
        <v>335.38</v>
      </c>
      <c r="J4540" s="34">
        <v>0.25670000000000004</v>
      </c>
      <c r="K4540" s="34">
        <f t="shared" si="140"/>
        <v>86092.046000000017</v>
      </c>
      <c r="L4540" s="34">
        <v>2.74</v>
      </c>
      <c r="M4540" s="34">
        <v>917542.5</v>
      </c>
      <c r="N4540" s="34">
        <f t="shared" si="141"/>
        <v>10.673938449552006</v>
      </c>
    </row>
    <row r="4541" spans="1:14" x14ac:dyDescent="0.45">
      <c r="A4541" s="30">
        <v>2024</v>
      </c>
      <c r="B4541" s="30" t="s">
        <v>18</v>
      </c>
      <c r="C4541" s="30" t="s">
        <v>46</v>
      </c>
      <c r="D4541" s="30" t="s">
        <v>102</v>
      </c>
      <c r="E4541" s="32" t="s">
        <v>126</v>
      </c>
      <c r="F4541" s="32" t="s">
        <v>127</v>
      </c>
      <c r="G4541" s="32" t="s">
        <v>128</v>
      </c>
      <c r="H4541" s="33">
        <v>909640</v>
      </c>
      <c r="I4541" s="34">
        <f>Table3[[#This Row],[Volume, kg.]]/1000</f>
        <v>909.64</v>
      </c>
      <c r="J4541" s="34">
        <v>0.25239999999999996</v>
      </c>
      <c r="K4541" s="34">
        <f t="shared" si="140"/>
        <v>229593.13599999997</v>
      </c>
      <c r="L4541" s="34">
        <v>2.78</v>
      </c>
      <c r="M4541" s="34">
        <v>2531557</v>
      </c>
      <c r="N4541" s="34">
        <f t="shared" si="141"/>
        <v>11.014263074484946</v>
      </c>
    </row>
    <row r="4542" spans="1:14" x14ac:dyDescent="0.45">
      <c r="A4542" s="30">
        <v>2024</v>
      </c>
      <c r="B4542" s="30" t="s">
        <v>18</v>
      </c>
      <c r="C4542" s="30" t="s">
        <v>46</v>
      </c>
      <c r="D4542" s="30" t="s">
        <v>47</v>
      </c>
      <c r="E4542" s="32" t="s">
        <v>447</v>
      </c>
      <c r="F4542" s="32" t="s">
        <v>57</v>
      </c>
      <c r="G4542" s="32" t="s">
        <v>50</v>
      </c>
      <c r="H4542" s="33">
        <v>18940</v>
      </c>
      <c r="I4542" s="34">
        <f>Table3[[#This Row],[Volume, kg.]]/1000</f>
        <v>18.940000000000001</v>
      </c>
      <c r="J4542" s="34">
        <v>0.24590000000000001</v>
      </c>
      <c r="K4542" s="34">
        <f t="shared" si="140"/>
        <v>4657.3460000000005</v>
      </c>
      <c r="L4542" s="34">
        <v>2.65</v>
      </c>
      <c r="M4542" s="34">
        <v>50191</v>
      </c>
      <c r="N4542" s="34">
        <f t="shared" si="141"/>
        <v>10.776738511590077</v>
      </c>
    </row>
    <row r="4543" spans="1:14" x14ac:dyDescent="0.45">
      <c r="A4543" s="30">
        <v>2024</v>
      </c>
      <c r="B4543" s="30" t="s">
        <v>18</v>
      </c>
      <c r="C4543" s="30" t="s">
        <v>46</v>
      </c>
      <c r="D4543" s="30" t="s">
        <v>102</v>
      </c>
      <c r="E4543" s="32" t="s">
        <v>117</v>
      </c>
      <c r="F4543" s="32" t="s">
        <v>118</v>
      </c>
      <c r="G4543" s="32" t="s">
        <v>119</v>
      </c>
      <c r="H4543" s="33">
        <v>475400</v>
      </c>
      <c r="I4543" s="34">
        <f>Table3[[#This Row],[Volume, kg.]]/1000</f>
        <v>475.4</v>
      </c>
      <c r="J4543" s="34">
        <v>0.26530000000000004</v>
      </c>
      <c r="K4543" s="34">
        <f t="shared" si="140"/>
        <v>126123.62000000001</v>
      </c>
      <c r="L4543" s="34">
        <v>2.86</v>
      </c>
      <c r="M4543" s="34">
        <v>1360753</v>
      </c>
      <c r="N4543" s="34">
        <f t="shared" si="141"/>
        <v>10.780248774971728</v>
      </c>
    </row>
    <row r="4544" spans="1:14" x14ac:dyDescent="0.45">
      <c r="A4544" s="30">
        <v>2024</v>
      </c>
      <c r="B4544" s="30" t="s">
        <v>18</v>
      </c>
      <c r="C4544" s="30" t="s">
        <v>46</v>
      </c>
      <c r="D4544" s="30" t="s">
        <v>47</v>
      </c>
      <c r="E4544" s="32" t="s">
        <v>216</v>
      </c>
      <c r="F4544" s="32" t="s">
        <v>64</v>
      </c>
      <c r="G4544" s="32" t="s">
        <v>50</v>
      </c>
      <c r="H4544" s="33">
        <v>11220</v>
      </c>
      <c r="I4544" s="34">
        <f>Table3[[#This Row],[Volume, kg.]]/1000</f>
        <v>11.22</v>
      </c>
      <c r="J4544" s="34">
        <v>0.27200000000000002</v>
      </c>
      <c r="K4544" s="34">
        <f t="shared" si="140"/>
        <v>3051.84</v>
      </c>
      <c r="L4544" s="34">
        <v>2.7</v>
      </c>
      <c r="M4544" s="34">
        <v>30294</v>
      </c>
      <c r="N4544" s="34">
        <f t="shared" si="141"/>
        <v>9.9264705882352935</v>
      </c>
    </row>
    <row r="4545" spans="1:14" x14ac:dyDescent="0.45">
      <c r="A4545" s="30">
        <v>2024</v>
      </c>
      <c r="B4545" s="30" t="s">
        <v>18</v>
      </c>
      <c r="C4545" s="30" t="s">
        <v>46</v>
      </c>
      <c r="D4545" s="30" t="s">
        <v>47</v>
      </c>
      <c r="E4545" s="32" t="s">
        <v>109</v>
      </c>
      <c r="F4545" s="32" t="s">
        <v>60</v>
      </c>
      <c r="G4545" s="32" t="s">
        <v>50</v>
      </c>
      <c r="H4545" s="33">
        <v>8680</v>
      </c>
      <c r="I4545" s="34">
        <f>Table3[[#This Row],[Volume, kg.]]/1000</f>
        <v>8.68</v>
      </c>
      <c r="J4545" s="34">
        <v>0.26129999999999998</v>
      </c>
      <c r="K4545" s="34">
        <f t="shared" si="140"/>
        <v>2268.0839999999998</v>
      </c>
      <c r="L4545" s="34">
        <v>2.7</v>
      </c>
      <c r="M4545" s="34">
        <v>23436</v>
      </c>
      <c r="N4545" s="34">
        <f t="shared" si="141"/>
        <v>10.332950631458095</v>
      </c>
    </row>
    <row r="4546" spans="1:14" x14ac:dyDescent="0.45">
      <c r="A4546" s="30">
        <v>2024</v>
      </c>
      <c r="B4546" s="30" t="s">
        <v>18</v>
      </c>
      <c r="C4546" s="30" t="s">
        <v>46</v>
      </c>
      <c r="D4546" s="30" t="s">
        <v>47</v>
      </c>
      <c r="E4546" s="32" t="s">
        <v>148</v>
      </c>
      <c r="F4546" s="32" t="s">
        <v>49</v>
      </c>
      <c r="G4546" s="32" t="s">
        <v>50</v>
      </c>
      <c r="H4546" s="33">
        <v>11020</v>
      </c>
      <c r="I4546" s="34">
        <f>Table3[[#This Row],[Volume, kg.]]/1000</f>
        <v>11.02</v>
      </c>
      <c r="J4546" s="34">
        <v>0.25950000000000001</v>
      </c>
      <c r="K4546" s="34">
        <f t="shared" si="140"/>
        <v>2859.69</v>
      </c>
      <c r="L4546" s="34">
        <v>2.75</v>
      </c>
      <c r="M4546" s="34">
        <v>30305</v>
      </c>
      <c r="N4546" s="34">
        <f t="shared" si="141"/>
        <v>10.597302504816955</v>
      </c>
    </row>
    <row r="4547" spans="1:14" x14ac:dyDescent="0.45">
      <c r="A4547" s="30">
        <v>2024</v>
      </c>
      <c r="B4547" s="30" t="s">
        <v>18</v>
      </c>
      <c r="C4547" s="30" t="s">
        <v>46</v>
      </c>
      <c r="D4547" s="30" t="s">
        <v>47</v>
      </c>
      <c r="E4547" s="32" t="s">
        <v>154</v>
      </c>
      <c r="F4547" s="32" t="s">
        <v>60</v>
      </c>
      <c r="G4547" s="32" t="s">
        <v>50</v>
      </c>
      <c r="H4547" s="33">
        <v>3280</v>
      </c>
      <c r="I4547" s="34">
        <f>Table3[[#This Row],[Volume, kg.]]/1000</f>
        <v>3.28</v>
      </c>
      <c r="J4547" s="34">
        <v>0.26649999999999996</v>
      </c>
      <c r="K4547" s="34">
        <f t="shared" ref="K4547:K4610" si="142">H4547*J4547</f>
        <v>874.11999999999989</v>
      </c>
      <c r="L4547" s="34">
        <v>2.8</v>
      </c>
      <c r="M4547" s="34">
        <v>9184</v>
      </c>
      <c r="N4547" s="34">
        <f t="shared" si="141"/>
        <v>10.506566604127581</v>
      </c>
    </row>
    <row r="4548" spans="1:14" x14ac:dyDescent="0.45">
      <c r="A4548" s="30">
        <v>2024</v>
      </c>
      <c r="B4548" s="30" t="s">
        <v>18</v>
      </c>
      <c r="C4548" s="30" t="s">
        <v>46</v>
      </c>
      <c r="D4548" s="30" t="s">
        <v>102</v>
      </c>
      <c r="E4548" s="32" t="s">
        <v>157</v>
      </c>
      <c r="F4548" s="32" t="s">
        <v>127</v>
      </c>
      <c r="G4548" s="32" t="s">
        <v>128</v>
      </c>
      <c r="H4548" s="33">
        <v>204430</v>
      </c>
      <c r="I4548" s="34">
        <f>Table3[[#This Row],[Volume, kg.]]/1000</f>
        <v>204.43</v>
      </c>
      <c r="J4548" s="34">
        <v>0.2752</v>
      </c>
      <c r="K4548" s="34">
        <f t="shared" si="142"/>
        <v>56259.135999999999</v>
      </c>
      <c r="L4548" s="34">
        <v>2.84</v>
      </c>
      <c r="M4548" s="34">
        <v>581022.5</v>
      </c>
      <c r="N4548" s="34">
        <f t="shared" ref="N4548:N4611" si="143">L4548/J4548</f>
        <v>10.319767441860465</v>
      </c>
    </row>
    <row r="4549" spans="1:14" x14ac:dyDescent="0.45">
      <c r="A4549" s="30">
        <v>2024</v>
      </c>
      <c r="B4549" s="30" t="s">
        <v>18</v>
      </c>
      <c r="C4549" s="30" t="s">
        <v>46</v>
      </c>
      <c r="D4549" s="30" t="s">
        <v>47</v>
      </c>
      <c r="E4549" s="32" t="s">
        <v>97</v>
      </c>
      <c r="F4549" s="32" t="s">
        <v>49</v>
      </c>
      <c r="G4549" s="32" t="s">
        <v>50</v>
      </c>
      <c r="H4549" s="33">
        <v>9090</v>
      </c>
      <c r="I4549" s="34">
        <f>Table3[[#This Row],[Volume, kg.]]/1000</f>
        <v>9.09</v>
      </c>
      <c r="J4549" s="34">
        <v>0.30199999999999999</v>
      </c>
      <c r="K4549" s="34">
        <f t="shared" si="142"/>
        <v>2745.18</v>
      </c>
      <c r="L4549" s="34">
        <v>2.85</v>
      </c>
      <c r="M4549" s="34">
        <v>25906.5</v>
      </c>
      <c r="N4549" s="34">
        <f t="shared" si="143"/>
        <v>9.4370860927152318</v>
      </c>
    </row>
    <row r="4550" spans="1:14" x14ac:dyDescent="0.45">
      <c r="A4550" s="30">
        <v>2024</v>
      </c>
      <c r="B4550" s="30" t="s">
        <v>18</v>
      </c>
      <c r="C4550" s="30" t="s">
        <v>46</v>
      </c>
      <c r="D4550" s="30" t="s">
        <v>47</v>
      </c>
      <c r="E4550" s="32" t="s">
        <v>355</v>
      </c>
      <c r="F4550" s="32" t="s">
        <v>60</v>
      </c>
      <c r="G4550" s="32" t="s">
        <v>50</v>
      </c>
      <c r="H4550" s="33">
        <v>71710</v>
      </c>
      <c r="I4550" s="34">
        <f>Table3[[#This Row],[Volume, kg.]]/1000</f>
        <v>71.709999999999994</v>
      </c>
      <c r="J4550" s="34">
        <v>0.25480000000000003</v>
      </c>
      <c r="K4550" s="34">
        <f t="shared" si="142"/>
        <v>18271.708000000002</v>
      </c>
      <c r="L4550" s="34">
        <v>2.62</v>
      </c>
      <c r="M4550" s="34">
        <v>187824.5</v>
      </c>
      <c r="N4550" s="34">
        <f t="shared" si="143"/>
        <v>10.282574568288853</v>
      </c>
    </row>
    <row r="4551" spans="1:14" x14ac:dyDescent="0.45">
      <c r="A4551" s="30">
        <v>2024</v>
      </c>
      <c r="B4551" s="30" t="s">
        <v>18</v>
      </c>
      <c r="C4551" s="30" t="s">
        <v>46</v>
      </c>
      <c r="D4551" s="30" t="s">
        <v>47</v>
      </c>
      <c r="E4551" s="32" t="s">
        <v>639</v>
      </c>
      <c r="F4551" s="32" t="s">
        <v>60</v>
      </c>
      <c r="G4551" s="32" t="s">
        <v>50</v>
      </c>
      <c r="H4551" s="33">
        <v>3770</v>
      </c>
      <c r="I4551" s="34">
        <f>Table3[[#This Row],[Volume, kg.]]/1000</f>
        <v>3.77</v>
      </c>
      <c r="J4551" s="34">
        <v>0.27750000000000002</v>
      </c>
      <c r="K4551" s="34">
        <f t="shared" si="142"/>
        <v>1046.1750000000002</v>
      </c>
      <c r="L4551" s="34">
        <v>2.75</v>
      </c>
      <c r="M4551" s="34">
        <v>10367.5</v>
      </c>
      <c r="N4551" s="34">
        <f t="shared" si="143"/>
        <v>9.9099099099099082</v>
      </c>
    </row>
    <row r="4552" spans="1:14" x14ac:dyDescent="0.45">
      <c r="A4552" s="30">
        <v>2024</v>
      </c>
      <c r="B4552" s="30" t="s">
        <v>18</v>
      </c>
      <c r="C4552" s="30" t="s">
        <v>46</v>
      </c>
      <c r="D4552" s="30" t="s">
        <v>47</v>
      </c>
      <c r="E4552" s="32" t="s">
        <v>247</v>
      </c>
      <c r="F4552" s="32" t="s">
        <v>134</v>
      </c>
      <c r="G4552" s="32" t="s">
        <v>50</v>
      </c>
      <c r="H4552" s="33">
        <v>49150</v>
      </c>
      <c r="I4552" s="34">
        <f>Table3[[#This Row],[Volume, kg.]]/1000</f>
        <v>49.15</v>
      </c>
      <c r="J4552" s="34">
        <v>0.2296</v>
      </c>
      <c r="K4552" s="34">
        <f t="shared" si="142"/>
        <v>11284.84</v>
      </c>
      <c r="L4552" s="34">
        <v>2.4900000000000002</v>
      </c>
      <c r="M4552" s="34">
        <v>122389</v>
      </c>
      <c r="N4552" s="34">
        <f t="shared" si="143"/>
        <v>10.844947735191639</v>
      </c>
    </row>
    <row r="4553" spans="1:14" x14ac:dyDescent="0.45">
      <c r="A4553" s="30">
        <v>2024</v>
      </c>
      <c r="B4553" s="30" t="s">
        <v>18</v>
      </c>
      <c r="C4553" s="30" t="s">
        <v>46</v>
      </c>
      <c r="D4553" s="30" t="s">
        <v>47</v>
      </c>
      <c r="E4553" s="32" t="s">
        <v>369</v>
      </c>
      <c r="F4553" s="32" t="s">
        <v>57</v>
      </c>
      <c r="G4553" s="32" t="s">
        <v>50</v>
      </c>
      <c r="H4553" s="33">
        <v>52440</v>
      </c>
      <c r="I4553" s="34">
        <f>Table3[[#This Row],[Volume, kg.]]/1000</f>
        <v>52.44</v>
      </c>
      <c r="J4553" s="34">
        <v>0.24940000000000001</v>
      </c>
      <c r="K4553" s="34">
        <f t="shared" si="142"/>
        <v>13078.536</v>
      </c>
      <c r="L4553" s="34">
        <v>2.66</v>
      </c>
      <c r="M4553" s="34">
        <v>139579</v>
      </c>
      <c r="N4553" s="34">
        <f t="shared" si="143"/>
        <v>10.665597433841219</v>
      </c>
    </row>
    <row r="4554" spans="1:14" x14ac:dyDescent="0.45">
      <c r="A4554" s="30">
        <v>2024</v>
      </c>
      <c r="B4554" s="30" t="s">
        <v>18</v>
      </c>
      <c r="C4554" s="30" t="s">
        <v>46</v>
      </c>
      <c r="D4554" s="30" t="s">
        <v>47</v>
      </c>
      <c r="E4554" s="32" t="s">
        <v>94</v>
      </c>
      <c r="F4554" s="32" t="s">
        <v>64</v>
      </c>
      <c r="G4554" s="32" t="s">
        <v>50</v>
      </c>
      <c r="H4554" s="33">
        <v>10490</v>
      </c>
      <c r="I4554" s="34">
        <f>Table3[[#This Row],[Volume, kg.]]/1000</f>
        <v>10.49</v>
      </c>
      <c r="J4554" s="34">
        <v>0.23350000000000001</v>
      </c>
      <c r="K4554" s="34">
        <f t="shared" si="142"/>
        <v>2449.415</v>
      </c>
      <c r="L4554" s="34">
        <v>2.5</v>
      </c>
      <c r="M4554" s="34">
        <v>26225</v>
      </c>
      <c r="N4554" s="34">
        <f t="shared" si="143"/>
        <v>10.706638115631691</v>
      </c>
    </row>
    <row r="4555" spans="1:14" x14ac:dyDescent="0.45">
      <c r="A4555" s="30">
        <v>2024</v>
      </c>
      <c r="B4555" s="30" t="s">
        <v>18</v>
      </c>
      <c r="C4555" s="30" t="s">
        <v>46</v>
      </c>
      <c r="D4555" s="30" t="s">
        <v>47</v>
      </c>
      <c r="E4555" s="32" t="s">
        <v>155</v>
      </c>
      <c r="F4555" s="32" t="s">
        <v>64</v>
      </c>
      <c r="G4555" s="32" t="s">
        <v>50</v>
      </c>
      <c r="H4555" s="33">
        <v>21760</v>
      </c>
      <c r="I4555" s="34">
        <f>Table3[[#This Row],[Volume, kg.]]/1000</f>
        <v>21.76</v>
      </c>
      <c r="J4555" s="34">
        <v>0.22390000000000002</v>
      </c>
      <c r="K4555" s="34">
        <f t="shared" si="142"/>
        <v>4872.0640000000003</v>
      </c>
      <c r="L4555" s="34">
        <v>2.46</v>
      </c>
      <c r="M4555" s="34">
        <v>53502</v>
      </c>
      <c r="N4555" s="34">
        <f t="shared" si="143"/>
        <v>10.987047789191603</v>
      </c>
    </row>
    <row r="4556" spans="1:14" x14ac:dyDescent="0.45">
      <c r="A4556" s="30">
        <v>2024</v>
      </c>
      <c r="B4556" s="30" t="s">
        <v>18</v>
      </c>
      <c r="C4556" s="30" t="s">
        <v>46</v>
      </c>
      <c r="D4556" s="30" t="s">
        <v>47</v>
      </c>
      <c r="E4556" s="32" t="s">
        <v>254</v>
      </c>
      <c r="F4556" s="32" t="s">
        <v>49</v>
      </c>
      <c r="G4556" s="32" t="s">
        <v>50</v>
      </c>
      <c r="H4556" s="33">
        <v>13750</v>
      </c>
      <c r="I4556" s="34">
        <f>Table3[[#This Row],[Volume, kg.]]/1000</f>
        <v>13.75</v>
      </c>
      <c r="J4556" s="34">
        <v>0.28199999999999997</v>
      </c>
      <c r="K4556" s="34">
        <f t="shared" si="142"/>
        <v>3877.4999999999995</v>
      </c>
      <c r="L4556" s="34">
        <v>2.83</v>
      </c>
      <c r="M4556" s="34">
        <v>38893.5</v>
      </c>
      <c r="N4556" s="34">
        <f t="shared" si="143"/>
        <v>10.035460992907803</v>
      </c>
    </row>
    <row r="4557" spans="1:14" x14ac:dyDescent="0.45">
      <c r="A4557" s="30">
        <v>2024</v>
      </c>
      <c r="B4557" s="30" t="s">
        <v>18</v>
      </c>
      <c r="C4557" s="30" t="s">
        <v>46</v>
      </c>
      <c r="D4557" s="30" t="s">
        <v>47</v>
      </c>
      <c r="E4557" s="32" t="s">
        <v>227</v>
      </c>
      <c r="F4557" s="32" t="s">
        <v>57</v>
      </c>
      <c r="G4557" s="32" t="s">
        <v>50</v>
      </c>
      <c r="H4557" s="33">
        <v>44330</v>
      </c>
      <c r="I4557" s="34">
        <f>Table3[[#This Row],[Volume, kg.]]/1000</f>
        <v>44.33</v>
      </c>
      <c r="J4557" s="34">
        <v>0.2878</v>
      </c>
      <c r="K4557" s="34">
        <f t="shared" si="142"/>
        <v>12758.174000000001</v>
      </c>
      <c r="L4557" s="34">
        <v>2.82</v>
      </c>
      <c r="M4557" s="34">
        <v>124798</v>
      </c>
      <c r="N4557" s="34">
        <f t="shared" si="143"/>
        <v>9.7984711605281447</v>
      </c>
    </row>
    <row r="4558" spans="1:14" x14ac:dyDescent="0.45">
      <c r="A4558" s="30">
        <v>2024</v>
      </c>
      <c r="B4558" s="30" t="s">
        <v>18</v>
      </c>
      <c r="C4558" s="30" t="s">
        <v>46</v>
      </c>
      <c r="D4558" s="30" t="s">
        <v>47</v>
      </c>
      <c r="E4558" s="32" t="s">
        <v>66</v>
      </c>
      <c r="F4558" s="32" t="s">
        <v>49</v>
      </c>
      <c r="G4558" s="32" t="s">
        <v>50</v>
      </c>
      <c r="H4558" s="33">
        <v>20000</v>
      </c>
      <c r="I4558" s="34">
        <f>Table3[[#This Row],[Volume, kg.]]/1000</f>
        <v>20</v>
      </c>
      <c r="J4558" s="34">
        <v>0.27300000000000002</v>
      </c>
      <c r="K4558" s="34">
        <f t="shared" si="142"/>
        <v>5460</v>
      </c>
      <c r="L4558" s="34">
        <v>2.76</v>
      </c>
      <c r="M4558" s="34">
        <v>55200</v>
      </c>
      <c r="N4558" s="34">
        <f t="shared" si="143"/>
        <v>10.109890109890108</v>
      </c>
    </row>
    <row r="4559" spans="1:14" x14ac:dyDescent="0.45">
      <c r="A4559" s="30">
        <v>2024</v>
      </c>
      <c r="B4559" s="30" t="s">
        <v>18</v>
      </c>
      <c r="C4559" s="30" t="s">
        <v>46</v>
      </c>
      <c r="D4559" s="30" t="s">
        <v>47</v>
      </c>
      <c r="E4559" s="32" t="s">
        <v>159</v>
      </c>
      <c r="F4559" s="32" t="s">
        <v>81</v>
      </c>
      <c r="G4559" s="32" t="s">
        <v>50</v>
      </c>
      <c r="H4559" s="33">
        <v>49580</v>
      </c>
      <c r="I4559" s="34">
        <f>Table3[[#This Row],[Volume, kg.]]/1000</f>
        <v>49.58</v>
      </c>
      <c r="J4559" s="34">
        <v>0.29289999999999999</v>
      </c>
      <c r="K4559" s="34">
        <f t="shared" si="142"/>
        <v>14521.982</v>
      </c>
      <c r="L4559" s="34">
        <v>2.86</v>
      </c>
      <c r="M4559" s="34">
        <v>141624.5</v>
      </c>
      <c r="N4559" s="34">
        <f t="shared" si="143"/>
        <v>9.7644247183339026</v>
      </c>
    </row>
    <row r="4560" spans="1:14" x14ac:dyDescent="0.45">
      <c r="A4560" s="30">
        <v>2024</v>
      </c>
      <c r="B4560" s="30" t="s">
        <v>18</v>
      </c>
      <c r="C4560" s="30" t="s">
        <v>46</v>
      </c>
      <c r="D4560" s="30" t="s">
        <v>47</v>
      </c>
      <c r="E4560" s="32" t="s">
        <v>228</v>
      </c>
      <c r="F4560" s="32" t="s">
        <v>64</v>
      </c>
      <c r="G4560" s="32" t="s">
        <v>50</v>
      </c>
      <c r="H4560" s="33">
        <v>20240</v>
      </c>
      <c r="I4560" s="34">
        <f>Table3[[#This Row],[Volume, kg.]]/1000</f>
        <v>20.239999999999998</v>
      </c>
      <c r="J4560" s="34">
        <v>0.28089999999999998</v>
      </c>
      <c r="K4560" s="34">
        <f t="shared" si="142"/>
        <v>5685.4159999999993</v>
      </c>
      <c r="L4560" s="34">
        <v>2.82</v>
      </c>
      <c r="M4560" s="34">
        <v>57119.5</v>
      </c>
      <c r="N4560" s="34">
        <f t="shared" si="143"/>
        <v>10.039159843360627</v>
      </c>
    </row>
    <row r="4561" spans="1:14" x14ac:dyDescent="0.45">
      <c r="A4561" s="30">
        <v>2024</v>
      </c>
      <c r="B4561" s="30" t="s">
        <v>18</v>
      </c>
      <c r="C4561" s="30" t="s">
        <v>46</v>
      </c>
      <c r="D4561" s="30" t="s">
        <v>47</v>
      </c>
      <c r="E4561" s="32" t="s">
        <v>101</v>
      </c>
      <c r="F4561" s="32" t="s">
        <v>64</v>
      </c>
      <c r="G4561" s="32" t="s">
        <v>50</v>
      </c>
      <c r="H4561" s="33">
        <v>7880</v>
      </c>
      <c r="I4561" s="34">
        <f>Table3[[#This Row],[Volume, kg.]]/1000</f>
        <v>7.88</v>
      </c>
      <c r="J4561" s="34">
        <v>0.27699999999999997</v>
      </c>
      <c r="K4561" s="34">
        <f t="shared" si="142"/>
        <v>2182.7599999999998</v>
      </c>
      <c r="L4561" s="34">
        <v>2.85</v>
      </c>
      <c r="M4561" s="34">
        <v>22458</v>
      </c>
      <c r="N4561" s="34">
        <f t="shared" si="143"/>
        <v>10.28880866425993</v>
      </c>
    </row>
    <row r="4562" spans="1:14" x14ac:dyDescent="0.45">
      <c r="A4562" s="30">
        <v>2024</v>
      </c>
      <c r="B4562" s="30" t="s">
        <v>18</v>
      </c>
      <c r="C4562" s="30" t="s">
        <v>46</v>
      </c>
      <c r="D4562" s="30" t="s">
        <v>47</v>
      </c>
      <c r="E4562" s="32" t="s">
        <v>146</v>
      </c>
      <c r="F4562" s="32" t="s">
        <v>64</v>
      </c>
      <c r="G4562" s="32" t="s">
        <v>50</v>
      </c>
      <c r="H4562" s="33">
        <v>67460</v>
      </c>
      <c r="I4562" s="34">
        <f>Table3[[#This Row],[Volume, kg.]]/1000</f>
        <v>67.459999999999994</v>
      </c>
      <c r="J4562" s="34">
        <v>0.27190000000000003</v>
      </c>
      <c r="K4562" s="34">
        <f t="shared" si="142"/>
        <v>18342.374000000003</v>
      </c>
      <c r="L4562" s="34">
        <v>2.78</v>
      </c>
      <c r="M4562" s="34">
        <v>187468.5</v>
      </c>
      <c r="N4562" s="34">
        <f t="shared" si="143"/>
        <v>10.224347186465611</v>
      </c>
    </row>
    <row r="4563" spans="1:14" x14ac:dyDescent="0.45">
      <c r="A4563" s="30">
        <v>2024</v>
      </c>
      <c r="B4563" s="30" t="s">
        <v>18</v>
      </c>
      <c r="C4563" s="30" t="s">
        <v>46</v>
      </c>
      <c r="D4563" s="30" t="s">
        <v>47</v>
      </c>
      <c r="E4563" s="32" t="s">
        <v>309</v>
      </c>
      <c r="F4563" s="32" t="s">
        <v>81</v>
      </c>
      <c r="G4563" s="32" t="s">
        <v>50</v>
      </c>
      <c r="H4563" s="33">
        <v>8980</v>
      </c>
      <c r="I4563" s="34">
        <f>Table3[[#This Row],[Volume, kg.]]/1000</f>
        <v>8.98</v>
      </c>
      <c r="J4563" s="34">
        <v>0.2545</v>
      </c>
      <c r="K4563" s="34">
        <f t="shared" si="142"/>
        <v>2285.41</v>
      </c>
      <c r="L4563" s="34">
        <v>2.7</v>
      </c>
      <c r="M4563" s="34">
        <v>24246</v>
      </c>
      <c r="N4563" s="34">
        <f t="shared" si="143"/>
        <v>10.609037328094303</v>
      </c>
    </row>
    <row r="4564" spans="1:14" x14ac:dyDescent="0.45">
      <c r="A4564" s="30">
        <v>2024</v>
      </c>
      <c r="B4564" s="30" t="s">
        <v>18</v>
      </c>
      <c r="C4564" s="30" t="s">
        <v>46</v>
      </c>
      <c r="D4564" s="30" t="s">
        <v>47</v>
      </c>
      <c r="E4564" s="32" t="s">
        <v>510</v>
      </c>
      <c r="F4564" s="32" t="s">
        <v>49</v>
      </c>
      <c r="G4564" s="32" t="s">
        <v>50</v>
      </c>
      <c r="H4564" s="33">
        <v>16970</v>
      </c>
      <c r="I4564" s="34">
        <f>Table3[[#This Row],[Volume, kg.]]/1000</f>
        <v>16.97</v>
      </c>
      <c r="J4564" s="34">
        <v>0.31129999999999997</v>
      </c>
      <c r="K4564" s="34">
        <f t="shared" si="142"/>
        <v>5282.7609999999995</v>
      </c>
      <c r="L4564" s="34">
        <v>2.97</v>
      </c>
      <c r="M4564" s="34">
        <v>50428</v>
      </c>
      <c r="N4564" s="34">
        <f t="shared" si="143"/>
        <v>9.5406360424028289</v>
      </c>
    </row>
    <row r="4565" spans="1:14" x14ac:dyDescent="0.45">
      <c r="A4565" s="30">
        <v>2024</v>
      </c>
      <c r="B4565" s="30" t="s">
        <v>18</v>
      </c>
      <c r="C4565" s="30" t="s">
        <v>46</v>
      </c>
      <c r="D4565" s="30" t="s">
        <v>47</v>
      </c>
      <c r="E4565" s="32" t="s">
        <v>53</v>
      </c>
      <c r="F4565" s="32" t="s">
        <v>54</v>
      </c>
      <c r="G4565" s="32" t="s">
        <v>50</v>
      </c>
      <c r="H4565" s="33">
        <v>26440</v>
      </c>
      <c r="I4565" s="34">
        <f>Table3[[#This Row],[Volume, kg.]]/1000</f>
        <v>26.44</v>
      </c>
      <c r="J4565" s="34">
        <v>0.27600000000000002</v>
      </c>
      <c r="K4565" s="34">
        <f t="shared" si="142"/>
        <v>7297.4400000000005</v>
      </c>
      <c r="L4565" s="34">
        <v>2.73</v>
      </c>
      <c r="M4565" s="34">
        <v>72068</v>
      </c>
      <c r="N4565" s="34">
        <f t="shared" si="143"/>
        <v>9.891304347826086</v>
      </c>
    </row>
    <row r="4566" spans="1:14" x14ac:dyDescent="0.45">
      <c r="A4566" s="30">
        <v>2024</v>
      </c>
      <c r="B4566" s="30" t="s">
        <v>18</v>
      </c>
      <c r="C4566" s="30" t="s">
        <v>46</v>
      </c>
      <c r="D4566" s="30" t="s">
        <v>47</v>
      </c>
      <c r="E4566" s="32" t="s">
        <v>130</v>
      </c>
      <c r="F4566" s="32" t="s">
        <v>64</v>
      </c>
      <c r="G4566" s="32" t="s">
        <v>50</v>
      </c>
      <c r="H4566" s="33">
        <v>25410</v>
      </c>
      <c r="I4566" s="34">
        <f>Table3[[#This Row],[Volume, kg.]]/1000</f>
        <v>25.41</v>
      </c>
      <c r="J4566" s="34">
        <v>0.26649999999999996</v>
      </c>
      <c r="K4566" s="34">
        <f t="shared" si="142"/>
        <v>6771.7649999999985</v>
      </c>
      <c r="L4566" s="34">
        <v>2.71</v>
      </c>
      <c r="M4566" s="34">
        <v>68756</v>
      </c>
      <c r="N4566" s="34">
        <f t="shared" si="143"/>
        <v>10.168855534709195</v>
      </c>
    </row>
    <row r="4567" spans="1:14" x14ac:dyDescent="0.45">
      <c r="A4567" s="30">
        <v>2024</v>
      </c>
      <c r="B4567" s="30" t="s">
        <v>18</v>
      </c>
      <c r="C4567" s="30" t="s">
        <v>46</v>
      </c>
      <c r="D4567" s="30" t="s">
        <v>102</v>
      </c>
      <c r="E4567" s="32" t="s">
        <v>658</v>
      </c>
      <c r="F4567" s="32" t="s">
        <v>64</v>
      </c>
      <c r="G4567" s="32" t="s">
        <v>50</v>
      </c>
      <c r="H4567" s="33">
        <v>65930</v>
      </c>
      <c r="I4567" s="34">
        <f>Table3[[#This Row],[Volume, kg.]]/1000</f>
        <v>65.930000000000007</v>
      </c>
      <c r="J4567" s="34">
        <v>0.25559999999999999</v>
      </c>
      <c r="K4567" s="34">
        <f t="shared" si="142"/>
        <v>16851.707999999999</v>
      </c>
      <c r="L4567" s="34">
        <v>2.77</v>
      </c>
      <c r="M4567" s="34">
        <v>182915</v>
      </c>
      <c r="N4567" s="34">
        <f t="shared" si="143"/>
        <v>10.837245696400627</v>
      </c>
    </row>
    <row r="4568" spans="1:14" x14ac:dyDescent="0.45">
      <c r="A4568" s="30">
        <v>2024</v>
      </c>
      <c r="B4568" s="30" t="s">
        <v>18</v>
      </c>
      <c r="C4568" s="30" t="s">
        <v>46</v>
      </c>
      <c r="D4568" s="30" t="s">
        <v>47</v>
      </c>
      <c r="E4568" s="32" t="s">
        <v>252</v>
      </c>
      <c r="F4568" s="32" t="s">
        <v>49</v>
      </c>
      <c r="G4568" s="32" t="s">
        <v>50</v>
      </c>
      <c r="H4568" s="33">
        <v>55290</v>
      </c>
      <c r="I4568" s="34">
        <f>Table3[[#This Row],[Volume, kg.]]/1000</f>
        <v>55.29</v>
      </c>
      <c r="J4568" s="34">
        <v>0.26550000000000001</v>
      </c>
      <c r="K4568" s="34">
        <f t="shared" si="142"/>
        <v>14679.495000000001</v>
      </c>
      <c r="L4568" s="34">
        <v>2.68</v>
      </c>
      <c r="M4568" s="34">
        <v>147970</v>
      </c>
      <c r="N4568" s="34">
        <f t="shared" si="143"/>
        <v>10.094161958568739</v>
      </c>
    </row>
    <row r="4569" spans="1:14" x14ac:dyDescent="0.45">
      <c r="A4569" s="30">
        <v>2024</v>
      </c>
      <c r="B4569" s="30" t="s">
        <v>18</v>
      </c>
      <c r="C4569" s="30" t="s">
        <v>46</v>
      </c>
      <c r="D4569" s="30" t="s">
        <v>47</v>
      </c>
      <c r="E4569" s="32" t="s">
        <v>95</v>
      </c>
      <c r="F4569" s="32" t="s">
        <v>49</v>
      </c>
      <c r="G4569" s="32" t="s">
        <v>50</v>
      </c>
      <c r="H4569" s="33">
        <v>12960</v>
      </c>
      <c r="I4569" s="34">
        <f>Table3[[#This Row],[Volume, kg.]]/1000</f>
        <v>12.96</v>
      </c>
      <c r="J4569" s="34">
        <v>0.27690000000000003</v>
      </c>
      <c r="K4569" s="34">
        <f t="shared" si="142"/>
        <v>3588.6240000000003</v>
      </c>
      <c r="L4569" s="34">
        <v>2.79</v>
      </c>
      <c r="M4569" s="34">
        <v>36192.5</v>
      </c>
      <c r="N4569" s="34">
        <f t="shared" si="143"/>
        <v>10.07583965330444</v>
      </c>
    </row>
    <row r="4570" spans="1:14" x14ac:dyDescent="0.45">
      <c r="A4570" s="30">
        <v>2024</v>
      </c>
      <c r="B4570" s="30" t="s">
        <v>18</v>
      </c>
      <c r="C4570" s="30" t="s">
        <v>46</v>
      </c>
      <c r="D4570" s="30" t="s">
        <v>47</v>
      </c>
      <c r="E4570" s="32" t="s">
        <v>205</v>
      </c>
      <c r="F4570" s="32" t="s">
        <v>49</v>
      </c>
      <c r="G4570" s="32" t="s">
        <v>50</v>
      </c>
      <c r="H4570" s="33">
        <v>19210</v>
      </c>
      <c r="I4570" s="34">
        <f>Table3[[#This Row],[Volume, kg.]]/1000</f>
        <v>19.21</v>
      </c>
      <c r="J4570" s="34">
        <v>0.28920000000000001</v>
      </c>
      <c r="K4570" s="34">
        <f t="shared" si="142"/>
        <v>5555.5320000000002</v>
      </c>
      <c r="L4570" s="34">
        <v>2.8</v>
      </c>
      <c r="M4570" s="34">
        <v>53788</v>
      </c>
      <c r="N4570" s="34">
        <f t="shared" si="143"/>
        <v>9.6818810511756563</v>
      </c>
    </row>
    <row r="4571" spans="1:14" x14ac:dyDescent="0.45">
      <c r="A4571" s="30">
        <v>2024</v>
      </c>
      <c r="B4571" s="30" t="s">
        <v>18</v>
      </c>
      <c r="C4571" s="30" t="s">
        <v>46</v>
      </c>
      <c r="D4571" s="30" t="s">
        <v>47</v>
      </c>
      <c r="E4571" s="32" t="s">
        <v>413</v>
      </c>
      <c r="F4571" s="32" t="s">
        <v>49</v>
      </c>
      <c r="G4571" s="32" t="s">
        <v>50</v>
      </c>
      <c r="H4571" s="33">
        <v>9010</v>
      </c>
      <c r="I4571" s="34">
        <f>Table3[[#This Row],[Volume, kg.]]/1000</f>
        <v>9.01</v>
      </c>
      <c r="J4571" s="34">
        <v>0.28550000000000003</v>
      </c>
      <c r="K4571" s="34">
        <f t="shared" si="142"/>
        <v>2572.3550000000005</v>
      </c>
      <c r="L4571" s="34">
        <v>2.9</v>
      </c>
      <c r="M4571" s="34">
        <v>26129</v>
      </c>
      <c r="N4571" s="34">
        <f t="shared" si="143"/>
        <v>10.157618213660244</v>
      </c>
    </row>
    <row r="4572" spans="1:14" x14ac:dyDescent="0.45">
      <c r="A4572" s="30">
        <v>2024</v>
      </c>
      <c r="B4572" s="30" t="s">
        <v>18</v>
      </c>
      <c r="C4572" s="30" t="s">
        <v>46</v>
      </c>
      <c r="D4572" s="30" t="s">
        <v>102</v>
      </c>
      <c r="E4572" s="32" t="s">
        <v>414</v>
      </c>
      <c r="F4572" s="32" t="s">
        <v>415</v>
      </c>
      <c r="G4572" s="32" t="s">
        <v>50</v>
      </c>
      <c r="H4572" s="33">
        <v>209550</v>
      </c>
      <c r="I4572" s="34">
        <f>Table3[[#This Row],[Volume, kg.]]/1000</f>
        <v>209.55</v>
      </c>
      <c r="J4572" s="34">
        <v>0.2361</v>
      </c>
      <c r="K4572" s="34">
        <f t="shared" si="142"/>
        <v>49474.754999999997</v>
      </c>
      <c r="L4572" s="34">
        <v>2.64</v>
      </c>
      <c r="M4572" s="34">
        <v>553478.5</v>
      </c>
      <c r="N4572" s="34">
        <f t="shared" si="143"/>
        <v>11.181702668360865</v>
      </c>
    </row>
    <row r="4573" spans="1:14" x14ac:dyDescent="0.45">
      <c r="A4573" s="30">
        <v>2024</v>
      </c>
      <c r="B4573" s="30" t="s">
        <v>18</v>
      </c>
      <c r="C4573" s="30" t="s">
        <v>46</v>
      </c>
      <c r="D4573" s="30" t="s">
        <v>47</v>
      </c>
      <c r="E4573" s="32" t="s">
        <v>417</v>
      </c>
      <c r="F4573" s="32" t="s">
        <v>49</v>
      </c>
      <c r="G4573" s="32" t="s">
        <v>50</v>
      </c>
      <c r="H4573" s="33">
        <v>8940</v>
      </c>
      <c r="I4573" s="34">
        <f>Table3[[#This Row],[Volume, kg.]]/1000</f>
        <v>8.94</v>
      </c>
      <c r="J4573" s="34">
        <v>0.27329999999999999</v>
      </c>
      <c r="K4573" s="34">
        <f t="shared" si="142"/>
        <v>2443.3019999999997</v>
      </c>
      <c r="L4573" s="34">
        <v>2.6</v>
      </c>
      <c r="M4573" s="34">
        <v>23244</v>
      </c>
      <c r="N4573" s="34">
        <f t="shared" si="143"/>
        <v>9.5133552872301514</v>
      </c>
    </row>
    <row r="4574" spans="1:14" x14ac:dyDescent="0.45">
      <c r="A4574" s="30">
        <v>2024</v>
      </c>
      <c r="B4574" s="30" t="s">
        <v>18</v>
      </c>
      <c r="C4574" s="30" t="s">
        <v>46</v>
      </c>
      <c r="D4574" s="30" t="s">
        <v>102</v>
      </c>
      <c r="E4574" s="32" t="s">
        <v>418</v>
      </c>
      <c r="F4574" s="32" t="s">
        <v>104</v>
      </c>
      <c r="G4574" s="32" t="s">
        <v>105</v>
      </c>
      <c r="H4574" s="33">
        <v>530470</v>
      </c>
      <c r="I4574" s="34">
        <f>Table3[[#This Row],[Volume, kg.]]/1000</f>
        <v>530.47</v>
      </c>
      <c r="J4574" s="34">
        <v>0.2379</v>
      </c>
      <c r="K4574" s="34">
        <f t="shared" si="142"/>
        <v>126198.81299999999</v>
      </c>
      <c r="L4574" s="34">
        <v>2.7</v>
      </c>
      <c r="M4574" s="34">
        <v>1432054</v>
      </c>
      <c r="N4574" s="34">
        <f t="shared" si="143"/>
        <v>11.349306431273645</v>
      </c>
    </row>
    <row r="4575" spans="1:14" x14ac:dyDescent="0.45">
      <c r="A4575" s="30">
        <v>2024</v>
      </c>
      <c r="B4575" s="30" t="s">
        <v>18</v>
      </c>
      <c r="C4575" s="30" t="s">
        <v>46</v>
      </c>
      <c r="D4575" s="30" t="s">
        <v>47</v>
      </c>
      <c r="E4575" s="32" t="s">
        <v>489</v>
      </c>
      <c r="F4575" s="32" t="s">
        <v>81</v>
      </c>
      <c r="G4575" s="32" t="s">
        <v>50</v>
      </c>
      <c r="H4575" s="33">
        <v>7130</v>
      </c>
      <c r="I4575" s="34">
        <f>Table3[[#This Row],[Volume, kg.]]/1000</f>
        <v>7.13</v>
      </c>
      <c r="J4575" s="34">
        <v>0.28399999999999997</v>
      </c>
      <c r="K4575" s="34">
        <f t="shared" si="142"/>
        <v>2024.9199999999998</v>
      </c>
      <c r="L4575" s="34">
        <v>2.85</v>
      </c>
      <c r="M4575" s="34">
        <v>20320.5</v>
      </c>
      <c r="N4575" s="34">
        <f t="shared" si="143"/>
        <v>10.035211267605636</v>
      </c>
    </row>
    <row r="4576" spans="1:14" x14ac:dyDescent="0.45">
      <c r="A4576" s="30">
        <v>2024</v>
      </c>
      <c r="B4576" s="30" t="s">
        <v>18</v>
      </c>
      <c r="C4576" s="30" t="s">
        <v>46</v>
      </c>
      <c r="D4576" s="30" t="s">
        <v>47</v>
      </c>
      <c r="E4576" s="32" t="s">
        <v>530</v>
      </c>
      <c r="F4576" s="32" t="s">
        <v>49</v>
      </c>
      <c r="G4576" s="32" t="s">
        <v>50</v>
      </c>
      <c r="H4576" s="33">
        <v>7360</v>
      </c>
      <c r="I4576" s="34">
        <f>Table3[[#This Row],[Volume, kg.]]/1000</f>
        <v>7.36</v>
      </c>
      <c r="J4576" s="34">
        <v>0.28699999999999998</v>
      </c>
      <c r="K4576" s="34">
        <f t="shared" si="142"/>
        <v>2112.3199999999997</v>
      </c>
      <c r="L4576" s="34">
        <v>2.9</v>
      </c>
      <c r="M4576" s="34">
        <v>21344</v>
      </c>
      <c r="N4576" s="34">
        <f t="shared" si="143"/>
        <v>10.10452961672474</v>
      </c>
    </row>
    <row r="4577" spans="1:14" x14ac:dyDescent="0.45">
      <c r="A4577" s="30">
        <v>2024</v>
      </c>
      <c r="B4577" s="30" t="s">
        <v>18</v>
      </c>
      <c r="C4577" s="30" t="s">
        <v>46</v>
      </c>
      <c r="D4577" s="30" t="s">
        <v>47</v>
      </c>
      <c r="E4577" s="32" t="s">
        <v>533</v>
      </c>
      <c r="F4577" s="32" t="s">
        <v>60</v>
      </c>
      <c r="G4577" s="32" t="s">
        <v>50</v>
      </c>
      <c r="H4577" s="33">
        <v>74650</v>
      </c>
      <c r="I4577" s="34">
        <f>Table3[[#This Row],[Volume, kg.]]/1000</f>
        <v>74.650000000000006</v>
      </c>
      <c r="J4577" s="34">
        <v>0.27639999999999998</v>
      </c>
      <c r="K4577" s="34">
        <f t="shared" si="142"/>
        <v>20633.259999999998</v>
      </c>
      <c r="L4577" s="34">
        <v>2.74</v>
      </c>
      <c r="M4577" s="34">
        <v>204658</v>
      </c>
      <c r="N4577" s="34">
        <f t="shared" si="143"/>
        <v>9.9131693198263395</v>
      </c>
    </row>
    <row r="4578" spans="1:14" x14ac:dyDescent="0.45">
      <c r="A4578" s="30">
        <v>2024</v>
      </c>
      <c r="B4578" s="30" t="s">
        <v>18</v>
      </c>
      <c r="C4578" s="30" t="s">
        <v>46</v>
      </c>
      <c r="D4578" s="30" t="s">
        <v>102</v>
      </c>
      <c r="E4578" s="32" t="s">
        <v>555</v>
      </c>
      <c r="F4578" s="32" t="s">
        <v>556</v>
      </c>
      <c r="G4578" s="32" t="s">
        <v>557</v>
      </c>
      <c r="H4578" s="33">
        <v>270650</v>
      </c>
      <c r="I4578" s="34">
        <f>Table3[[#This Row],[Volume, kg.]]/1000</f>
        <v>270.64999999999998</v>
      </c>
      <c r="J4578" s="34">
        <v>0.23629999999999998</v>
      </c>
      <c r="K4578" s="34">
        <f t="shared" si="142"/>
        <v>63954.594999999994</v>
      </c>
      <c r="L4578" s="34">
        <v>2.71</v>
      </c>
      <c r="M4578" s="34">
        <v>734687.5</v>
      </c>
      <c r="N4578" s="34">
        <f t="shared" si="143"/>
        <v>11.46847228099873</v>
      </c>
    </row>
    <row r="4579" spans="1:14" x14ac:dyDescent="0.45">
      <c r="A4579" s="30">
        <v>2024</v>
      </c>
      <c r="B4579" s="30" t="s">
        <v>18</v>
      </c>
      <c r="C4579" s="30" t="s">
        <v>46</v>
      </c>
      <c r="D4579" s="30" t="s">
        <v>47</v>
      </c>
      <c r="E4579" s="32" t="s">
        <v>551</v>
      </c>
      <c r="F4579" s="32" t="s">
        <v>54</v>
      </c>
      <c r="G4579" s="32" t="s">
        <v>50</v>
      </c>
      <c r="H4579" s="33">
        <v>33390</v>
      </c>
      <c r="I4579" s="34">
        <f>Table3[[#This Row],[Volume, kg.]]/1000</f>
        <v>33.39</v>
      </c>
      <c r="J4579" s="34">
        <v>0.30890000000000001</v>
      </c>
      <c r="K4579" s="34">
        <f t="shared" si="142"/>
        <v>10314.171</v>
      </c>
      <c r="L4579" s="34">
        <v>2.99</v>
      </c>
      <c r="M4579" s="34">
        <v>99884.5</v>
      </c>
      <c r="N4579" s="34">
        <f t="shared" si="143"/>
        <v>9.6795079313693755</v>
      </c>
    </row>
    <row r="4580" spans="1:14" x14ac:dyDescent="0.45">
      <c r="A4580" s="30">
        <v>2024</v>
      </c>
      <c r="B4580" s="30" t="s">
        <v>18</v>
      </c>
      <c r="C4580" s="30" t="s">
        <v>46</v>
      </c>
      <c r="D4580" s="30" t="s">
        <v>47</v>
      </c>
      <c r="E4580" s="32" t="s">
        <v>574</v>
      </c>
      <c r="F4580" s="32" t="s">
        <v>134</v>
      </c>
      <c r="G4580" s="32" t="s">
        <v>50</v>
      </c>
      <c r="H4580" s="33">
        <v>14500</v>
      </c>
      <c r="I4580" s="34">
        <f>Table3[[#This Row],[Volume, kg.]]/1000</f>
        <v>14.5</v>
      </c>
      <c r="J4580" s="34">
        <v>0.26850000000000002</v>
      </c>
      <c r="K4580" s="34">
        <f t="shared" si="142"/>
        <v>3893.2500000000005</v>
      </c>
      <c r="L4580" s="34">
        <v>2.75</v>
      </c>
      <c r="M4580" s="34">
        <v>39875</v>
      </c>
      <c r="N4580" s="34">
        <f t="shared" si="143"/>
        <v>10.242085661080074</v>
      </c>
    </row>
    <row r="4581" spans="1:14" x14ac:dyDescent="0.45">
      <c r="A4581" s="30">
        <v>2024</v>
      </c>
      <c r="B4581" s="30" t="s">
        <v>18</v>
      </c>
      <c r="C4581" s="30" t="s">
        <v>46</v>
      </c>
      <c r="D4581" s="30" t="s">
        <v>47</v>
      </c>
      <c r="E4581" s="32" t="s">
        <v>586</v>
      </c>
      <c r="F4581" s="32" t="s">
        <v>64</v>
      </c>
      <c r="G4581" s="32" t="s">
        <v>50</v>
      </c>
      <c r="H4581" s="33">
        <v>25800</v>
      </c>
      <c r="I4581" s="34">
        <f>Table3[[#This Row],[Volume, kg.]]/1000</f>
        <v>25.8</v>
      </c>
      <c r="J4581" s="34">
        <v>0.25370000000000004</v>
      </c>
      <c r="K4581" s="34">
        <f t="shared" si="142"/>
        <v>6545.4600000000009</v>
      </c>
      <c r="L4581" s="34">
        <v>2.7</v>
      </c>
      <c r="M4581" s="34">
        <v>69660</v>
      </c>
      <c r="N4581" s="34">
        <f t="shared" si="143"/>
        <v>10.64249113125739</v>
      </c>
    </row>
    <row r="4582" spans="1:14" x14ac:dyDescent="0.45">
      <c r="A4582" s="30">
        <v>2024</v>
      </c>
      <c r="B4582" s="30" t="s">
        <v>18</v>
      </c>
      <c r="C4582" s="30" t="s">
        <v>46</v>
      </c>
      <c r="D4582" s="30" t="s">
        <v>47</v>
      </c>
      <c r="E4582" s="32" t="s">
        <v>588</v>
      </c>
      <c r="F4582" s="32" t="s">
        <v>223</v>
      </c>
      <c r="G4582" s="32" t="s">
        <v>50</v>
      </c>
      <c r="H4582" s="33">
        <v>54970</v>
      </c>
      <c r="I4582" s="34">
        <f>Table3[[#This Row],[Volume, kg.]]/1000</f>
        <v>54.97</v>
      </c>
      <c r="J4582" s="34">
        <v>0.2883</v>
      </c>
      <c r="K4582" s="34">
        <f t="shared" si="142"/>
        <v>15847.851000000001</v>
      </c>
      <c r="L4582" s="34">
        <v>2.82</v>
      </c>
      <c r="M4582" s="34">
        <v>154778.5</v>
      </c>
      <c r="N4582" s="34">
        <f t="shared" si="143"/>
        <v>9.7814776274713839</v>
      </c>
    </row>
    <row r="4583" spans="1:14" x14ac:dyDescent="0.45">
      <c r="A4583" s="30">
        <v>2024</v>
      </c>
      <c r="B4583" s="30" t="s">
        <v>18</v>
      </c>
      <c r="C4583" s="30" t="s">
        <v>46</v>
      </c>
      <c r="D4583" s="30" t="s">
        <v>47</v>
      </c>
      <c r="E4583" s="32" t="s">
        <v>595</v>
      </c>
      <c r="F4583" s="32" t="s">
        <v>64</v>
      </c>
      <c r="G4583" s="32" t="s">
        <v>50</v>
      </c>
      <c r="H4583" s="33">
        <v>40410</v>
      </c>
      <c r="I4583" s="34">
        <f>Table3[[#This Row],[Volume, kg.]]/1000</f>
        <v>40.409999999999997</v>
      </c>
      <c r="J4583" s="34">
        <v>0.25540000000000002</v>
      </c>
      <c r="K4583" s="34">
        <f t="shared" si="142"/>
        <v>10320.714</v>
      </c>
      <c r="L4583" s="34">
        <v>2.72</v>
      </c>
      <c r="M4583" s="34">
        <v>109857</v>
      </c>
      <c r="N4583" s="34">
        <f t="shared" si="143"/>
        <v>10.649960845732185</v>
      </c>
    </row>
    <row r="4584" spans="1:14" x14ac:dyDescent="0.45">
      <c r="A4584" s="30">
        <v>2024</v>
      </c>
      <c r="B4584" s="30" t="s">
        <v>18</v>
      </c>
      <c r="C4584" s="30" t="s">
        <v>46</v>
      </c>
      <c r="D4584" s="30" t="s">
        <v>47</v>
      </c>
      <c r="E4584" s="32" t="s">
        <v>677</v>
      </c>
      <c r="F4584" s="32" t="s">
        <v>49</v>
      </c>
      <c r="G4584" s="32" t="s">
        <v>50</v>
      </c>
      <c r="H4584" s="33">
        <v>19690</v>
      </c>
      <c r="I4584" s="34">
        <f>Table3[[#This Row],[Volume, kg.]]/1000</f>
        <v>19.690000000000001</v>
      </c>
      <c r="J4584" s="34">
        <v>0.28029999999999999</v>
      </c>
      <c r="K4584" s="34">
        <f t="shared" si="142"/>
        <v>5519.107</v>
      </c>
      <c r="L4584" s="34">
        <v>2.86</v>
      </c>
      <c r="M4584" s="34">
        <v>56303</v>
      </c>
      <c r="N4584" s="34">
        <f t="shared" si="143"/>
        <v>10.203353549768105</v>
      </c>
    </row>
    <row r="4585" spans="1:14" x14ac:dyDescent="0.45">
      <c r="A4585" s="30">
        <v>2024</v>
      </c>
      <c r="B4585" s="30" t="s">
        <v>18</v>
      </c>
      <c r="C4585" s="30" t="s">
        <v>46</v>
      </c>
      <c r="D4585" s="30" t="s">
        <v>102</v>
      </c>
      <c r="E4585" s="32" t="s">
        <v>695</v>
      </c>
      <c r="F4585" s="32" t="s">
        <v>696</v>
      </c>
      <c r="G4585" s="32" t="s">
        <v>557</v>
      </c>
      <c r="H4585" s="33">
        <v>1816670</v>
      </c>
      <c r="I4585" s="34">
        <f>Table3[[#This Row],[Volume, kg.]]/1000</f>
        <v>1816.67</v>
      </c>
      <c r="J4585" s="34">
        <v>0.23680000000000001</v>
      </c>
      <c r="K4585" s="34">
        <f t="shared" si="142"/>
        <v>430187.45600000001</v>
      </c>
      <c r="L4585" s="34">
        <v>2.68</v>
      </c>
      <c r="M4585" s="34">
        <v>4866008.5</v>
      </c>
      <c r="N4585" s="34">
        <f t="shared" si="143"/>
        <v>11.317567567567568</v>
      </c>
    </row>
    <row r="4586" spans="1:14" x14ac:dyDescent="0.45">
      <c r="A4586" s="30">
        <v>2024</v>
      </c>
      <c r="B4586" s="30" t="s">
        <v>18</v>
      </c>
      <c r="C4586" s="30" t="s">
        <v>46</v>
      </c>
      <c r="D4586" s="30" t="s">
        <v>102</v>
      </c>
      <c r="E4586" s="32" t="s">
        <v>697</v>
      </c>
      <c r="F4586" s="32" t="s">
        <v>107</v>
      </c>
      <c r="G4586" s="32" t="s">
        <v>108</v>
      </c>
      <c r="H4586" s="33">
        <v>3134510</v>
      </c>
      <c r="I4586" s="34">
        <f>Table3[[#This Row],[Volume, kg.]]/1000</f>
        <v>3134.51</v>
      </c>
      <c r="J4586" s="34">
        <v>0.23670000000000002</v>
      </c>
      <c r="K4586" s="34">
        <f t="shared" si="142"/>
        <v>741938.51700000011</v>
      </c>
      <c r="L4586" s="34">
        <v>2.79</v>
      </c>
      <c r="M4586" s="34">
        <v>8754519.5</v>
      </c>
      <c r="N4586" s="34">
        <f t="shared" si="143"/>
        <v>11.787072243346007</v>
      </c>
    </row>
    <row r="4587" spans="1:14" x14ac:dyDescent="0.45">
      <c r="A4587" s="30">
        <v>2024</v>
      </c>
      <c r="B4587" s="30" t="s">
        <v>18</v>
      </c>
      <c r="C4587" s="30" t="s">
        <v>46</v>
      </c>
      <c r="D4587" s="30" t="s">
        <v>102</v>
      </c>
      <c r="E4587" s="32" t="s">
        <v>702</v>
      </c>
      <c r="F4587" s="32" t="s">
        <v>189</v>
      </c>
      <c r="G4587" s="32" t="s">
        <v>128</v>
      </c>
      <c r="H4587" s="33">
        <v>203760</v>
      </c>
      <c r="I4587" s="34">
        <f>Table3[[#This Row],[Volume, kg.]]/1000</f>
        <v>203.76</v>
      </c>
      <c r="J4587" s="34">
        <v>0.2586</v>
      </c>
      <c r="K4587" s="34">
        <f t="shared" si="142"/>
        <v>52692.335999999996</v>
      </c>
      <c r="L4587" s="34">
        <v>2.77</v>
      </c>
      <c r="M4587" s="34">
        <v>564529.5</v>
      </c>
      <c r="N4587" s="34">
        <f t="shared" si="143"/>
        <v>10.711523588553751</v>
      </c>
    </row>
    <row r="4588" spans="1:14" x14ac:dyDescent="0.45">
      <c r="A4588" s="30">
        <v>2024</v>
      </c>
      <c r="B4588" s="30" t="s">
        <v>18</v>
      </c>
      <c r="C4588" s="30" t="s">
        <v>46</v>
      </c>
      <c r="D4588" s="30" t="s">
        <v>102</v>
      </c>
      <c r="E4588" s="32" t="s">
        <v>703</v>
      </c>
      <c r="F4588" s="32" t="s">
        <v>704</v>
      </c>
      <c r="G4588" s="32" t="s">
        <v>705</v>
      </c>
      <c r="H4588" s="33">
        <v>321730</v>
      </c>
      <c r="I4588" s="34">
        <f>Table3[[#This Row],[Volume, kg.]]/1000</f>
        <v>321.73</v>
      </c>
      <c r="J4588" s="34">
        <v>0.24050000000000002</v>
      </c>
      <c r="K4588" s="34">
        <f t="shared" si="142"/>
        <v>77376.065000000002</v>
      </c>
      <c r="L4588" s="34">
        <v>2.7</v>
      </c>
      <c r="M4588" s="34">
        <v>869969</v>
      </c>
      <c r="N4588" s="34">
        <f t="shared" si="143"/>
        <v>11.226611226611226</v>
      </c>
    </row>
    <row r="4589" spans="1:14" x14ac:dyDescent="0.45">
      <c r="A4589" s="30">
        <v>2024</v>
      </c>
      <c r="B4589" s="30" t="s">
        <v>18</v>
      </c>
      <c r="C4589" s="30" t="s">
        <v>46</v>
      </c>
      <c r="D4589" s="30" t="s">
        <v>102</v>
      </c>
      <c r="E4589" s="32" t="s">
        <v>706</v>
      </c>
      <c r="F4589" s="32" t="s">
        <v>349</v>
      </c>
      <c r="G4589" s="32" t="s">
        <v>105</v>
      </c>
      <c r="H4589" s="33">
        <v>423540</v>
      </c>
      <c r="I4589" s="34">
        <f>Table3[[#This Row],[Volume, kg.]]/1000</f>
        <v>423.54</v>
      </c>
      <c r="J4589" s="34">
        <v>0.24179999999999999</v>
      </c>
      <c r="K4589" s="34">
        <f t="shared" si="142"/>
        <v>102411.97199999999</v>
      </c>
      <c r="L4589" s="34">
        <v>2.68</v>
      </c>
      <c r="M4589" s="34">
        <v>1133164</v>
      </c>
      <c r="N4589" s="34">
        <f t="shared" si="143"/>
        <v>11.083540115798181</v>
      </c>
    </row>
    <row r="4590" spans="1:14" x14ac:dyDescent="0.45">
      <c r="A4590" s="30">
        <v>2024</v>
      </c>
      <c r="B4590" s="30" t="s">
        <v>18</v>
      </c>
      <c r="C4590" s="30" t="s">
        <v>46</v>
      </c>
      <c r="D4590" s="30" t="s">
        <v>102</v>
      </c>
      <c r="E4590" s="32" t="s">
        <v>707</v>
      </c>
      <c r="F4590" s="32" t="s">
        <v>331</v>
      </c>
      <c r="G4590" s="32" t="s">
        <v>105</v>
      </c>
      <c r="H4590" s="33">
        <v>201880</v>
      </c>
      <c r="I4590" s="34">
        <f>Table3[[#This Row],[Volume, kg.]]/1000</f>
        <v>201.88</v>
      </c>
      <c r="J4590" s="34">
        <v>0.24340000000000001</v>
      </c>
      <c r="K4590" s="34">
        <f t="shared" si="142"/>
        <v>49137.592000000004</v>
      </c>
      <c r="L4590" s="34">
        <v>2.69</v>
      </c>
      <c r="M4590" s="34">
        <v>542675</v>
      </c>
      <c r="N4590" s="34">
        <f t="shared" si="143"/>
        <v>11.051766639276909</v>
      </c>
    </row>
    <row r="4591" spans="1:14" x14ac:dyDescent="0.45">
      <c r="A4591" s="30">
        <v>2024</v>
      </c>
      <c r="B4591" s="30" t="s">
        <v>18</v>
      </c>
      <c r="C4591" s="30" t="s">
        <v>46</v>
      </c>
      <c r="D4591" s="30" t="s">
        <v>102</v>
      </c>
      <c r="E4591" s="32" t="s">
        <v>708</v>
      </c>
      <c r="F4591" s="32" t="s">
        <v>397</v>
      </c>
      <c r="G4591" s="32" t="s">
        <v>105</v>
      </c>
      <c r="H4591" s="33">
        <v>243000</v>
      </c>
      <c r="I4591" s="34">
        <f>Table3[[#This Row],[Volume, kg.]]/1000</f>
        <v>243</v>
      </c>
      <c r="J4591" s="34">
        <v>0.25340000000000001</v>
      </c>
      <c r="K4591" s="34">
        <f t="shared" si="142"/>
        <v>61576.200000000004</v>
      </c>
      <c r="L4591" s="34">
        <v>2.76</v>
      </c>
      <c r="M4591" s="34">
        <v>669655.5</v>
      </c>
      <c r="N4591" s="34">
        <f t="shared" si="143"/>
        <v>10.891870560378846</v>
      </c>
    </row>
    <row r="4592" spans="1:14" x14ac:dyDescent="0.45">
      <c r="A4592" s="30">
        <v>2024</v>
      </c>
      <c r="B4592" s="30" t="s">
        <v>18</v>
      </c>
      <c r="C4592" s="30" t="s">
        <v>46</v>
      </c>
      <c r="D4592" s="30" t="s">
        <v>47</v>
      </c>
      <c r="E4592" s="32" t="s">
        <v>709</v>
      </c>
      <c r="F4592" s="32" t="s">
        <v>49</v>
      </c>
      <c r="G4592" s="32" t="s">
        <v>50</v>
      </c>
      <c r="H4592" s="33">
        <v>7290</v>
      </c>
      <c r="I4592" s="34">
        <f>Table3[[#This Row],[Volume, kg.]]/1000</f>
        <v>7.29</v>
      </c>
      <c r="J4592" s="34">
        <v>0.26550000000000001</v>
      </c>
      <c r="K4592" s="34">
        <f t="shared" si="142"/>
        <v>1935.4950000000001</v>
      </c>
      <c r="L4592" s="34">
        <v>2.7</v>
      </c>
      <c r="M4592" s="34">
        <v>19683</v>
      </c>
      <c r="N4592" s="34">
        <f t="shared" si="143"/>
        <v>10.169491525423728</v>
      </c>
    </row>
    <row r="4593" spans="1:14" x14ac:dyDescent="0.45">
      <c r="A4593" s="30">
        <v>2024</v>
      </c>
      <c r="B4593" s="30" t="s">
        <v>19</v>
      </c>
      <c r="C4593" s="30" t="s">
        <v>46</v>
      </c>
      <c r="D4593" s="30" t="s">
        <v>102</v>
      </c>
      <c r="E4593" s="32" t="s">
        <v>188</v>
      </c>
      <c r="F4593" s="32" t="s">
        <v>189</v>
      </c>
      <c r="G4593" s="32" t="s">
        <v>128</v>
      </c>
      <c r="H4593" s="33">
        <v>861870</v>
      </c>
      <c r="I4593" s="34">
        <f>Table3[[#This Row],[Volume, kg.]]/1000</f>
        <v>861.87</v>
      </c>
      <c r="J4593" s="34">
        <v>0.2712</v>
      </c>
      <c r="K4593" s="34">
        <f t="shared" si="142"/>
        <v>233739.144</v>
      </c>
      <c r="L4593" s="34">
        <v>2.54</v>
      </c>
      <c r="M4593" s="34">
        <v>2188254</v>
      </c>
      <c r="N4593" s="34">
        <f t="shared" si="143"/>
        <v>9.3657817109144545</v>
      </c>
    </row>
    <row r="4594" spans="1:14" x14ac:dyDescent="0.45">
      <c r="A4594" s="30">
        <v>2024</v>
      </c>
      <c r="B4594" s="30" t="s">
        <v>19</v>
      </c>
      <c r="C4594" s="30" t="s">
        <v>46</v>
      </c>
      <c r="D4594" s="30" t="s">
        <v>102</v>
      </c>
      <c r="E4594" s="32" t="s">
        <v>336</v>
      </c>
      <c r="F4594" s="32" t="s">
        <v>114</v>
      </c>
      <c r="G4594" s="32" t="s">
        <v>108</v>
      </c>
      <c r="H4594" s="33">
        <v>593620</v>
      </c>
      <c r="I4594" s="34">
        <f>Table3[[#This Row],[Volume, kg.]]/1000</f>
        <v>593.62</v>
      </c>
      <c r="J4594" s="34">
        <v>0.29289999999999999</v>
      </c>
      <c r="K4594" s="34">
        <f t="shared" si="142"/>
        <v>173871.29800000001</v>
      </c>
      <c r="L4594" s="34">
        <v>2.66</v>
      </c>
      <c r="M4594" s="34">
        <v>1579067</v>
      </c>
      <c r="N4594" s="34">
        <f t="shared" si="143"/>
        <v>9.0815978149539092</v>
      </c>
    </row>
    <row r="4595" spans="1:14" x14ac:dyDescent="0.45">
      <c r="A4595" s="30">
        <v>2024</v>
      </c>
      <c r="B4595" s="30" t="s">
        <v>19</v>
      </c>
      <c r="C4595" s="30" t="s">
        <v>46</v>
      </c>
      <c r="D4595" s="30" t="s">
        <v>102</v>
      </c>
      <c r="E4595" s="32" t="s">
        <v>622</v>
      </c>
      <c r="F4595" s="32" t="s">
        <v>238</v>
      </c>
      <c r="G4595" s="32" t="s">
        <v>50</v>
      </c>
      <c r="H4595" s="33">
        <v>730690</v>
      </c>
      <c r="I4595" s="34">
        <f>Table3[[#This Row],[Volume, kg.]]/1000</f>
        <v>730.69</v>
      </c>
      <c r="J4595" s="34">
        <v>0.27300000000000002</v>
      </c>
      <c r="K4595" s="34">
        <f t="shared" si="142"/>
        <v>199478.37000000002</v>
      </c>
      <c r="L4595" s="34">
        <v>2.56</v>
      </c>
      <c r="M4595" s="34">
        <v>1867898</v>
      </c>
      <c r="N4595" s="34">
        <f t="shared" si="143"/>
        <v>9.3772893772893759</v>
      </c>
    </row>
    <row r="4596" spans="1:14" x14ac:dyDescent="0.45">
      <c r="A4596" s="30">
        <v>2024</v>
      </c>
      <c r="B4596" s="30" t="s">
        <v>19</v>
      </c>
      <c r="C4596" s="30" t="s">
        <v>46</v>
      </c>
      <c r="D4596" s="30" t="s">
        <v>47</v>
      </c>
      <c r="E4596" s="32" t="s">
        <v>213</v>
      </c>
      <c r="F4596" s="32" t="s">
        <v>49</v>
      </c>
      <c r="G4596" s="32" t="s">
        <v>50</v>
      </c>
      <c r="H4596" s="33">
        <v>54940</v>
      </c>
      <c r="I4596" s="34">
        <f>Table3[[#This Row],[Volume, kg.]]/1000</f>
        <v>54.94</v>
      </c>
      <c r="J4596" s="34">
        <v>0.28670000000000001</v>
      </c>
      <c r="K4596" s="34">
        <f t="shared" si="142"/>
        <v>15751.298000000001</v>
      </c>
      <c r="L4596" s="34">
        <v>2.62</v>
      </c>
      <c r="M4596" s="34">
        <v>143923</v>
      </c>
      <c r="N4596" s="34">
        <f t="shared" si="143"/>
        <v>9.1384722706662025</v>
      </c>
    </row>
    <row r="4597" spans="1:14" x14ac:dyDescent="0.45">
      <c r="A4597" s="30">
        <v>2024</v>
      </c>
      <c r="B4597" s="30" t="s">
        <v>19</v>
      </c>
      <c r="C4597" s="30" t="s">
        <v>46</v>
      </c>
      <c r="D4597" s="30" t="s">
        <v>47</v>
      </c>
      <c r="E4597" s="32" t="s">
        <v>69</v>
      </c>
      <c r="F4597" s="32" t="s">
        <v>49</v>
      </c>
      <c r="G4597" s="32" t="s">
        <v>50</v>
      </c>
      <c r="H4597" s="33">
        <v>56570</v>
      </c>
      <c r="I4597" s="34">
        <f>Table3[[#This Row],[Volume, kg.]]/1000</f>
        <v>56.57</v>
      </c>
      <c r="J4597" s="34">
        <v>0.27579999999999999</v>
      </c>
      <c r="K4597" s="34">
        <f t="shared" si="142"/>
        <v>15602.005999999999</v>
      </c>
      <c r="L4597" s="34">
        <v>2.65</v>
      </c>
      <c r="M4597" s="34">
        <v>150045</v>
      </c>
      <c r="N4597" s="34">
        <f t="shared" si="143"/>
        <v>9.6084118926758517</v>
      </c>
    </row>
    <row r="4598" spans="1:14" x14ac:dyDescent="0.45">
      <c r="A4598" s="30">
        <v>2024</v>
      </c>
      <c r="B4598" s="30" t="s">
        <v>19</v>
      </c>
      <c r="C4598" s="30" t="s">
        <v>46</v>
      </c>
      <c r="D4598" s="30" t="s">
        <v>47</v>
      </c>
      <c r="E4598" s="32" t="s">
        <v>235</v>
      </c>
      <c r="F4598" s="32" t="s">
        <v>57</v>
      </c>
      <c r="G4598" s="32" t="s">
        <v>50</v>
      </c>
      <c r="H4598" s="33">
        <v>27910</v>
      </c>
      <c r="I4598" s="34">
        <f>Table3[[#This Row],[Volume, kg.]]/1000</f>
        <v>27.91</v>
      </c>
      <c r="J4598" s="34">
        <v>0.29120000000000001</v>
      </c>
      <c r="K4598" s="34">
        <f t="shared" si="142"/>
        <v>8127.3920000000007</v>
      </c>
      <c r="L4598" s="34">
        <v>2.65</v>
      </c>
      <c r="M4598" s="34">
        <v>73892</v>
      </c>
      <c r="N4598" s="34">
        <f t="shared" si="143"/>
        <v>9.1002747252747245</v>
      </c>
    </row>
    <row r="4599" spans="1:14" x14ac:dyDescent="0.45">
      <c r="A4599" s="30">
        <v>2024</v>
      </c>
      <c r="B4599" s="30" t="s">
        <v>19</v>
      </c>
      <c r="C4599" s="30" t="s">
        <v>46</v>
      </c>
      <c r="D4599" s="30" t="s">
        <v>47</v>
      </c>
      <c r="E4599" s="32" t="s">
        <v>48</v>
      </c>
      <c r="F4599" s="32" t="s">
        <v>49</v>
      </c>
      <c r="G4599" s="32" t="s">
        <v>50</v>
      </c>
      <c r="H4599" s="33">
        <v>24310</v>
      </c>
      <c r="I4599" s="34">
        <f>Table3[[#This Row],[Volume, kg.]]/1000</f>
        <v>24.31</v>
      </c>
      <c r="J4599" s="34">
        <v>0.29389999999999999</v>
      </c>
      <c r="K4599" s="34">
        <f t="shared" si="142"/>
        <v>7144.7089999999998</v>
      </c>
      <c r="L4599" s="34">
        <v>2.65</v>
      </c>
      <c r="M4599" s="34">
        <v>64440.5</v>
      </c>
      <c r="N4599" s="34">
        <f t="shared" si="143"/>
        <v>9.016672337529771</v>
      </c>
    </row>
    <row r="4600" spans="1:14" x14ac:dyDescent="0.45">
      <c r="A4600" s="30">
        <v>2024</v>
      </c>
      <c r="B4600" s="30" t="s">
        <v>19</v>
      </c>
      <c r="C4600" s="30" t="s">
        <v>46</v>
      </c>
      <c r="D4600" s="30" t="s">
        <v>47</v>
      </c>
      <c r="E4600" s="32" t="s">
        <v>246</v>
      </c>
      <c r="F4600" s="32" t="s">
        <v>49</v>
      </c>
      <c r="G4600" s="32" t="s">
        <v>50</v>
      </c>
      <c r="H4600" s="33">
        <v>2670</v>
      </c>
      <c r="I4600" s="34">
        <f>Table3[[#This Row],[Volume, kg.]]/1000</f>
        <v>2.67</v>
      </c>
      <c r="J4600" s="34">
        <v>0.255</v>
      </c>
      <c r="K4600" s="34">
        <f t="shared" si="142"/>
        <v>680.85</v>
      </c>
      <c r="L4600" s="34">
        <v>2.4500000000000002</v>
      </c>
      <c r="M4600" s="34">
        <v>6541.5</v>
      </c>
      <c r="N4600" s="34">
        <f t="shared" si="143"/>
        <v>9.6078431372549034</v>
      </c>
    </row>
    <row r="4601" spans="1:14" x14ac:dyDescent="0.45">
      <c r="A4601" s="30">
        <v>2024</v>
      </c>
      <c r="B4601" s="30" t="s">
        <v>19</v>
      </c>
      <c r="C4601" s="30" t="s">
        <v>46</v>
      </c>
      <c r="D4601" s="30" t="s">
        <v>47</v>
      </c>
      <c r="E4601" s="32" t="s">
        <v>208</v>
      </c>
      <c r="F4601" s="32" t="s">
        <v>49</v>
      </c>
      <c r="G4601" s="32" t="s">
        <v>50</v>
      </c>
      <c r="H4601" s="33">
        <v>11430</v>
      </c>
      <c r="I4601" s="34">
        <f>Table3[[#This Row],[Volume, kg.]]/1000</f>
        <v>11.43</v>
      </c>
      <c r="J4601" s="34">
        <v>0.28570000000000001</v>
      </c>
      <c r="K4601" s="34">
        <f t="shared" si="142"/>
        <v>3265.5509999999999</v>
      </c>
      <c r="L4601" s="34">
        <v>2.62</v>
      </c>
      <c r="M4601" s="34">
        <v>29994.5</v>
      </c>
      <c r="N4601" s="34">
        <f t="shared" si="143"/>
        <v>9.1704585229261468</v>
      </c>
    </row>
    <row r="4602" spans="1:14" x14ac:dyDescent="0.45">
      <c r="A4602" s="30">
        <v>2024</v>
      </c>
      <c r="B4602" s="30" t="s">
        <v>19</v>
      </c>
      <c r="C4602" s="30" t="s">
        <v>46</v>
      </c>
      <c r="D4602" s="30" t="s">
        <v>47</v>
      </c>
      <c r="E4602" s="32" t="s">
        <v>185</v>
      </c>
      <c r="F4602" s="32" t="s">
        <v>57</v>
      </c>
      <c r="G4602" s="32" t="s">
        <v>50</v>
      </c>
      <c r="H4602" s="33">
        <v>6340</v>
      </c>
      <c r="I4602" s="34">
        <f>Table3[[#This Row],[Volume, kg.]]/1000</f>
        <v>6.34</v>
      </c>
      <c r="J4602" s="34">
        <v>0.23769999999999999</v>
      </c>
      <c r="K4602" s="34">
        <f t="shared" si="142"/>
        <v>1507.018</v>
      </c>
      <c r="L4602" s="34">
        <v>2.4</v>
      </c>
      <c r="M4602" s="34">
        <v>15216</v>
      </c>
      <c r="N4602" s="34">
        <f t="shared" si="143"/>
        <v>10.096760622633571</v>
      </c>
    </row>
    <row r="4603" spans="1:14" x14ac:dyDescent="0.45">
      <c r="A4603" s="30">
        <v>2024</v>
      </c>
      <c r="B4603" s="30" t="s">
        <v>19</v>
      </c>
      <c r="C4603" s="30" t="s">
        <v>46</v>
      </c>
      <c r="D4603" s="30" t="s">
        <v>47</v>
      </c>
      <c r="E4603" s="32" t="s">
        <v>165</v>
      </c>
      <c r="F4603" s="32" t="s">
        <v>57</v>
      </c>
      <c r="G4603" s="32" t="s">
        <v>50</v>
      </c>
      <c r="H4603" s="33">
        <v>21940</v>
      </c>
      <c r="I4603" s="34">
        <f>Table3[[#This Row],[Volume, kg.]]/1000</f>
        <v>21.94</v>
      </c>
      <c r="J4603" s="34">
        <v>0.29109999999999997</v>
      </c>
      <c r="K4603" s="34">
        <f t="shared" si="142"/>
        <v>6386.7339999999995</v>
      </c>
      <c r="L4603" s="34">
        <v>2.62</v>
      </c>
      <c r="M4603" s="34">
        <v>57403</v>
      </c>
      <c r="N4603" s="34">
        <f t="shared" si="143"/>
        <v>9.0003435245620071</v>
      </c>
    </row>
    <row r="4604" spans="1:14" x14ac:dyDescent="0.45">
      <c r="A4604" s="30">
        <v>2024</v>
      </c>
      <c r="B4604" s="30" t="s">
        <v>19</v>
      </c>
      <c r="C4604" s="30" t="s">
        <v>46</v>
      </c>
      <c r="D4604" s="30" t="s">
        <v>47</v>
      </c>
      <c r="E4604" s="32" t="s">
        <v>219</v>
      </c>
      <c r="F4604" s="32" t="s">
        <v>57</v>
      </c>
      <c r="G4604" s="32" t="s">
        <v>50</v>
      </c>
      <c r="H4604" s="33">
        <v>6750</v>
      </c>
      <c r="I4604" s="34">
        <f>Table3[[#This Row],[Volume, kg.]]/1000</f>
        <v>6.75</v>
      </c>
      <c r="J4604" s="34">
        <v>0.311</v>
      </c>
      <c r="K4604" s="34">
        <f t="shared" si="142"/>
        <v>2099.25</v>
      </c>
      <c r="L4604" s="34">
        <v>2.75</v>
      </c>
      <c r="M4604" s="34">
        <v>18562.5</v>
      </c>
      <c r="N4604" s="34">
        <f t="shared" si="143"/>
        <v>8.8424437299035379</v>
      </c>
    </row>
    <row r="4605" spans="1:14" x14ac:dyDescent="0.45">
      <c r="A4605" s="30">
        <v>2024</v>
      </c>
      <c r="B4605" s="30" t="s">
        <v>19</v>
      </c>
      <c r="C4605" s="30" t="s">
        <v>46</v>
      </c>
      <c r="D4605" s="30" t="s">
        <v>47</v>
      </c>
      <c r="E4605" s="32" t="s">
        <v>182</v>
      </c>
      <c r="F4605" s="32" t="s">
        <v>81</v>
      </c>
      <c r="G4605" s="32" t="s">
        <v>50</v>
      </c>
      <c r="H4605" s="33">
        <v>28180</v>
      </c>
      <c r="I4605" s="34">
        <f>Table3[[#This Row],[Volume, kg.]]/1000</f>
        <v>28.18</v>
      </c>
      <c r="J4605" s="34">
        <v>0.30329999999999996</v>
      </c>
      <c r="K4605" s="34">
        <f t="shared" si="142"/>
        <v>8546.9939999999988</v>
      </c>
      <c r="L4605" s="34">
        <v>2.66</v>
      </c>
      <c r="M4605" s="34">
        <v>75050</v>
      </c>
      <c r="N4605" s="34">
        <f t="shared" si="143"/>
        <v>8.7701945268710872</v>
      </c>
    </row>
    <row r="4606" spans="1:14" x14ac:dyDescent="0.45">
      <c r="A4606" s="30">
        <v>2024</v>
      </c>
      <c r="B4606" s="30" t="s">
        <v>19</v>
      </c>
      <c r="C4606" s="30" t="s">
        <v>46</v>
      </c>
      <c r="D4606" s="30" t="s">
        <v>47</v>
      </c>
      <c r="E4606" s="32" t="s">
        <v>195</v>
      </c>
      <c r="F4606" s="32" t="s">
        <v>57</v>
      </c>
      <c r="G4606" s="32" t="s">
        <v>50</v>
      </c>
      <c r="H4606" s="33">
        <v>10820</v>
      </c>
      <c r="I4606" s="34">
        <f>Table3[[#This Row],[Volume, kg.]]/1000</f>
        <v>10.82</v>
      </c>
      <c r="J4606" s="34">
        <v>0.2979</v>
      </c>
      <c r="K4606" s="34">
        <f t="shared" si="142"/>
        <v>3223.2779999999998</v>
      </c>
      <c r="L4606" s="34">
        <v>2.7</v>
      </c>
      <c r="M4606" s="34">
        <v>29214</v>
      </c>
      <c r="N4606" s="34">
        <f t="shared" si="143"/>
        <v>9.0634441087613293</v>
      </c>
    </row>
    <row r="4607" spans="1:14" x14ac:dyDescent="0.45">
      <c r="A4607" s="30">
        <v>2024</v>
      </c>
      <c r="B4607" s="30" t="s">
        <v>19</v>
      </c>
      <c r="C4607" s="30" t="s">
        <v>46</v>
      </c>
      <c r="D4607" s="30" t="s">
        <v>47</v>
      </c>
      <c r="E4607" s="32" t="s">
        <v>297</v>
      </c>
      <c r="F4607" s="32" t="s">
        <v>57</v>
      </c>
      <c r="G4607" s="32" t="s">
        <v>50</v>
      </c>
      <c r="H4607" s="33">
        <v>12590</v>
      </c>
      <c r="I4607" s="34">
        <f>Table3[[#This Row],[Volume, kg.]]/1000</f>
        <v>12.59</v>
      </c>
      <c r="J4607" s="34">
        <v>0.3034</v>
      </c>
      <c r="K4607" s="34">
        <f t="shared" si="142"/>
        <v>3819.806</v>
      </c>
      <c r="L4607" s="34">
        <v>2.8</v>
      </c>
      <c r="M4607" s="34">
        <v>35252</v>
      </c>
      <c r="N4607" s="34">
        <f t="shared" si="143"/>
        <v>9.2287409360580082</v>
      </c>
    </row>
    <row r="4608" spans="1:14" x14ac:dyDescent="0.45">
      <c r="A4608" s="30">
        <v>2024</v>
      </c>
      <c r="B4608" s="30" t="s">
        <v>19</v>
      </c>
      <c r="C4608" s="30" t="s">
        <v>46</v>
      </c>
      <c r="D4608" s="30" t="s">
        <v>47</v>
      </c>
      <c r="E4608" s="32" t="s">
        <v>82</v>
      </c>
      <c r="F4608" s="32" t="s">
        <v>57</v>
      </c>
      <c r="G4608" s="32" t="s">
        <v>50</v>
      </c>
      <c r="H4608" s="33">
        <v>33120</v>
      </c>
      <c r="I4608" s="34">
        <f>Table3[[#This Row],[Volume, kg.]]/1000</f>
        <v>33.119999999999997</v>
      </c>
      <c r="J4608" s="34">
        <v>0.27910000000000001</v>
      </c>
      <c r="K4608" s="34">
        <f t="shared" si="142"/>
        <v>9243.7920000000013</v>
      </c>
      <c r="L4608" s="34">
        <v>2.66</v>
      </c>
      <c r="M4608" s="34">
        <v>88168.5</v>
      </c>
      <c r="N4608" s="34">
        <f t="shared" si="143"/>
        <v>9.5306341812970263</v>
      </c>
    </row>
    <row r="4609" spans="1:14" x14ac:dyDescent="0.45">
      <c r="A4609" s="30">
        <v>2024</v>
      </c>
      <c r="B4609" s="30" t="s">
        <v>19</v>
      </c>
      <c r="C4609" s="30" t="s">
        <v>46</v>
      </c>
      <c r="D4609" s="30" t="s">
        <v>47</v>
      </c>
      <c r="E4609" s="32" t="s">
        <v>245</v>
      </c>
      <c r="F4609" s="32" t="s">
        <v>57</v>
      </c>
      <c r="G4609" s="32" t="s">
        <v>50</v>
      </c>
      <c r="H4609" s="33">
        <v>7430</v>
      </c>
      <c r="I4609" s="34">
        <f>Table3[[#This Row],[Volume, kg.]]/1000</f>
        <v>7.43</v>
      </c>
      <c r="J4609" s="34">
        <v>0.28800000000000003</v>
      </c>
      <c r="K4609" s="34">
        <f t="shared" si="142"/>
        <v>2139.84</v>
      </c>
      <c r="L4609" s="34">
        <v>2.7</v>
      </c>
      <c r="M4609" s="34">
        <v>20061</v>
      </c>
      <c r="N4609" s="34">
        <f t="shared" si="143"/>
        <v>9.375</v>
      </c>
    </row>
    <row r="4610" spans="1:14" x14ac:dyDescent="0.45">
      <c r="A4610" s="30">
        <v>2024</v>
      </c>
      <c r="B4610" s="30" t="s">
        <v>19</v>
      </c>
      <c r="C4610" s="30" t="s">
        <v>46</v>
      </c>
      <c r="D4610" s="30" t="s">
        <v>47</v>
      </c>
      <c r="E4610" s="32" t="s">
        <v>303</v>
      </c>
      <c r="F4610" s="32" t="s">
        <v>57</v>
      </c>
      <c r="G4610" s="32" t="s">
        <v>50</v>
      </c>
      <c r="H4610" s="33">
        <v>61710</v>
      </c>
      <c r="I4610" s="34">
        <f>Table3[[#This Row],[Volume, kg.]]/1000</f>
        <v>61.71</v>
      </c>
      <c r="J4610" s="34">
        <v>0.28960000000000002</v>
      </c>
      <c r="K4610" s="34">
        <f t="shared" si="142"/>
        <v>17871.216</v>
      </c>
      <c r="L4610" s="34">
        <v>2.6</v>
      </c>
      <c r="M4610" s="34">
        <v>160467</v>
      </c>
      <c r="N4610" s="34">
        <f t="shared" si="143"/>
        <v>8.9779005524861866</v>
      </c>
    </row>
    <row r="4611" spans="1:14" x14ac:dyDescent="0.45">
      <c r="A4611" s="30">
        <v>2024</v>
      </c>
      <c r="B4611" s="30" t="s">
        <v>19</v>
      </c>
      <c r="C4611" s="30" t="s">
        <v>46</v>
      </c>
      <c r="D4611" s="30" t="s">
        <v>47</v>
      </c>
      <c r="E4611" s="32" t="s">
        <v>174</v>
      </c>
      <c r="F4611" s="32" t="s">
        <v>57</v>
      </c>
      <c r="G4611" s="32" t="s">
        <v>50</v>
      </c>
      <c r="H4611" s="33">
        <v>18370</v>
      </c>
      <c r="I4611" s="34">
        <f>Table3[[#This Row],[Volume, kg.]]/1000</f>
        <v>18.37</v>
      </c>
      <c r="J4611" s="34">
        <v>0.29359999999999997</v>
      </c>
      <c r="K4611" s="34">
        <f t="shared" ref="K4611:K4674" si="144">H4611*J4611</f>
        <v>5393.4319999999998</v>
      </c>
      <c r="L4611" s="34">
        <v>2.66</v>
      </c>
      <c r="M4611" s="34">
        <v>48864.5</v>
      </c>
      <c r="N4611" s="34">
        <f t="shared" si="143"/>
        <v>9.0599455040871941</v>
      </c>
    </row>
    <row r="4612" spans="1:14" x14ac:dyDescent="0.45">
      <c r="A4612" s="30">
        <v>2024</v>
      </c>
      <c r="B4612" s="30" t="s">
        <v>19</v>
      </c>
      <c r="C4612" s="30" t="s">
        <v>46</v>
      </c>
      <c r="D4612" s="30" t="s">
        <v>47</v>
      </c>
      <c r="E4612" s="32" t="s">
        <v>51</v>
      </c>
      <c r="F4612" s="32" t="s">
        <v>49</v>
      </c>
      <c r="G4612" s="32" t="s">
        <v>50</v>
      </c>
      <c r="H4612" s="33">
        <v>15170</v>
      </c>
      <c r="I4612" s="34">
        <f>Table3[[#This Row],[Volume, kg.]]/1000</f>
        <v>15.17</v>
      </c>
      <c r="J4612" s="34">
        <v>0.29359999999999997</v>
      </c>
      <c r="K4612" s="34">
        <f t="shared" si="144"/>
        <v>4453.9119999999994</v>
      </c>
      <c r="L4612" s="34">
        <v>2.78</v>
      </c>
      <c r="M4612" s="34">
        <v>42138</v>
      </c>
      <c r="N4612" s="34">
        <f t="shared" ref="N4612:N4675" si="145">L4612/J4612</f>
        <v>9.4686648501362392</v>
      </c>
    </row>
    <row r="4613" spans="1:14" x14ac:dyDescent="0.45">
      <c r="A4613" s="30">
        <v>2024</v>
      </c>
      <c r="B4613" s="30" t="s">
        <v>19</v>
      </c>
      <c r="C4613" s="30" t="s">
        <v>46</v>
      </c>
      <c r="D4613" s="30" t="s">
        <v>47</v>
      </c>
      <c r="E4613" s="32" t="s">
        <v>84</v>
      </c>
      <c r="F4613" s="32" t="s">
        <v>57</v>
      </c>
      <c r="G4613" s="32" t="s">
        <v>50</v>
      </c>
      <c r="H4613" s="33">
        <v>13050</v>
      </c>
      <c r="I4613" s="34">
        <f>Table3[[#This Row],[Volume, kg.]]/1000</f>
        <v>13.05</v>
      </c>
      <c r="J4613" s="34">
        <v>0.26250000000000001</v>
      </c>
      <c r="K4613" s="34">
        <f t="shared" si="144"/>
        <v>3425.625</v>
      </c>
      <c r="L4613" s="34">
        <v>2.52</v>
      </c>
      <c r="M4613" s="34">
        <v>32933</v>
      </c>
      <c r="N4613" s="34">
        <f t="shared" si="145"/>
        <v>9.6</v>
      </c>
    </row>
    <row r="4614" spans="1:14" x14ac:dyDescent="0.45">
      <c r="A4614" s="30">
        <v>2024</v>
      </c>
      <c r="B4614" s="30" t="s">
        <v>19</v>
      </c>
      <c r="C4614" s="30" t="s">
        <v>46</v>
      </c>
      <c r="D4614" s="30" t="s">
        <v>47</v>
      </c>
      <c r="E4614" s="32" t="s">
        <v>258</v>
      </c>
      <c r="F4614" s="32" t="s">
        <v>49</v>
      </c>
      <c r="G4614" s="32" t="s">
        <v>50</v>
      </c>
      <c r="H4614" s="33">
        <v>111420</v>
      </c>
      <c r="I4614" s="34">
        <f>Table3[[#This Row],[Volume, kg.]]/1000</f>
        <v>111.42</v>
      </c>
      <c r="J4614" s="34">
        <v>0.27850000000000003</v>
      </c>
      <c r="K4614" s="34">
        <f t="shared" si="144"/>
        <v>31030.47</v>
      </c>
      <c r="L4614" s="34">
        <v>2.64</v>
      </c>
      <c r="M4614" s="34">
        <v>293696</v>
      </c>
      <c r="N4614" s="34">
        <f t="shared" si="145"/>
        <v>9.4793536804308793</v>
      </c>
    </row>
    <row r="4615" spans="1:14" x14ac:dyDescent="0.45">
      <c r="A4615" s="30">
        <v>2024</v>
      </c>
      <c r="B4615" s="30" t="s">
        <v>19</v>
      </c>
      <c r="C4615" s="30" t="s">
        <v>46</v>
      </c>
      <c r="D4615" s="30" t="s">
        <v>47</v>
      </c>
      <c r="E4615" s="32" t="s">
        <v>242</v>
      </c>
      <c r="F4615" s="32" t="s">
        <v>60</v>
      </c>
      <c r="G4615" s="32" t="s">
        <v>50</v>
      </c>
      <c r="H4615" s="33">
        <v>6000</v>
      </c>
      <c r="I4615" s="34">
        <f>Table3[[#This Row],[Volume, kg.]]/1000</f>
        <v>6</v>
      </c>
      <c r="J4615" s="34">
        <v>0.28749999999999998</v>
      </c>
      <c r="K4615" s="34">
        <f t="shared" si="144"/>
        <v>1724.9999999999998</v>
      </c>
      <c r="L4615" s="34">
        <v>2.8</v>
      </c>
      <c r="M4615" s="34">
        <v>16800</v>
      </c>
      <c r="N4615" s="34">
        <f t="shared" si="145"/>
        <v>9.7391304347826093</v>
      </c>
    </row>
    <row r="4616" spans="1:14" x14ac:dyDescent="0.45">
      <c r="A4616" s="30">
        <v>2024</v>
      </c>
      <c r="B4616" s="30" t="s">
        <v>19</v>
      </c>
      <c r="C4616" s="30" t="s">
        <v>46</v>
      </c>
      <c r="D4616" s="30" t="s">
        <v>47</v>
      </c>
      <c r="E4616" s="32" t="s">
        <v>379</v>
      </c>
      <c r="F4616" s="32" t="s">
        <v>49</v>
      </c>
      <c r="G4616" s="32" t="s">
        <v>50</v>
      </c>
      <c r="H4616" s="33">
        <v>84650</v>
      </c>
      <c r="I4616" s="34">
        <f>Table3[[#This Row],[Volume, kg.]]/1000</f>
        <v>84.65</v>
      </c>
      <c r="J4616" s="34">
        <v>0.30420000000000003</v>
      </c>
      <c r="K4616" s="34">
        <f t="shared" si="144"/>
        <v>25750.530000000002</v>
      </c>
      <c r="L4616" s="34">
        <v>2.75</v>
      </c>
      <c r="M4616" s="34">
        <v>232880.5</v>
      </c>
      <c r="N4616" s="34">
        <f t="shared" si="145"/>
        <v>9.0401051939513462</v>
      </c>
    </row>
    <row r="4617" spans="1:14" x14ac:dyDescent="0.45">
      <c r="A4617" s="30">
        <v>2024</v>
      </c>
      <c r="B4617" s="30" t="s">
        <v>19</v>
      </c>
      <c r="C4617" s="30" t="s">
        <v>46</v>
      </c>
      <c r="D4617" s="30" t="s">
        <v>47</v>
      </c>
      <c r="E4617" s="32" t="s">
        <v>164</v>
      </c>
      <c r="F4617" s="32" t="s">
        <v>49</v>
      </c>
      <c r="G4617" s="32" t="s">
        <v>50</v>
      </c>
      <c r="H4617" s="33">
        <v>19410</v>
      </c>
      <c r="I4617" s="34">
        <f>Table3[[#This Row],[Volume, kg.]]/1000</f>
        <v>19.41</v>
      </c>
      <c r="J4617" s="34">
        <v>0.28620000000000001</v>
      </c>
      <c r="K4617" s="34">
        <f t="shared" si="144"/>
        <v>5555.1419999999998</v>
      </c>
      <c r="L4617" s="34">
        <v>2.7</v>
      </c>
      <c r="M4617" s="34">
        <v>52407</v>
      </c>
      <c r="N4617" s="34">
        <f t="shared" si="145"/>
        <v>9.433962264150944</v>
      </c>
    </row>
    <row r="4618" spans="1:14" x14ac:dyDescent="0.45">
      <c r="A4618" s="30">
        <v>2024</v>
      </c>
      <c r="B4618" s="30" t="s">
        <v>19</v>
      </c>
      <c r="C4618" s="30" t="s">
        <v>46</v>
      </c>
      <c r="D4618" s="30" t="s">
        <v>47</v>
      </c>
      <c r="E4618" s="32" t="s">
        <v>534</v>
      </c>
      <c r="F4618" s="32" t="s">
        <v>49</v>
      </c>
      <c r="G4618" s="32" t="s">
        <v>50</v>
      </c>
      <c r="H4618" s="33">
        <v>23680</v>
      </c>
      <c r="I4618" s="34">
        <f>Table3[[#This Row],[Volume, kg.]]/1000</f>
        <v>23.68</v>
      </c>
      <c r="J4618" s="34">
        <v>0.27360000000000001</v>
      </c>
      <c r="K4618" s="34">
        <f t="shared" si="144"/>
        <v>6478.848</v>
      </c>
      <c r="L4618" s="34">
        <v>2.67</v>
      </c>
      <c r="M4618" s="34">
        <v>63149.5</v>
      </c>
      <c r="N4618" s="34">
        <f t="shared" si="145"/>
        <v>9.7587719298245617</v>
      </c>
    </row>
    <row r="4619" spans="1:14" x14ac:dyDescent="0.45">
      <c r="A4619" s="30">
        <v>2024</v>
      </c>
      <c r="B4619" s="30" t="s">
        <v>19</v>
      </c>
      <c r="C4619" s="30" t="s">
        <v>46</v>
      </c>
      <c r="D4619" s="30" t="s">
        <v>47</v>
      </c>
      <c r="E4619" s="32" t="s">
        <v>220</v>
      </c>
      <c r="F4619" s="32" t="s">
        <v>49</v>
      </c>
      <c r="G4619" s="32" t="s">
        <v>50</v>
      </c>
      <c r="H4619" s="33">
        <v>27270</v>
      </c>
      <c r="I4619" s="34">
        <f>Table3[[#This Row],[Volume, kg.]]/1000</f>
        <v>27.27</v>
      </c>
      <c r="J4619" s="34">
        <v>0.29039999999999999</v>
      </c>
      <c r="K4619" s="34">
        <f t="shared" si="144"/>
        <v>7919.2079999999996</v>
      </c>
      <c r="L4619" s="34">
        <v>2.69</v>
      </c>
      <c r="M4619" s="34">
        <v>73310.5</v>
      </c>
      <c r="N4619" s="34">
        <f t="shared" si="145"/>
        <v>9.2630853994490359</v>
      </c>
    </row>
    <row r="4620" spans="1:14" x14ac:dyDescent="0.45">
      <c r="A4620" s="30">
        <v>2024</v>
      </c>
      <c r="B4620" s="30" t="s">
        <v>19</v>
      </c>
      <c r="C4620" s="30" t="s">
        <v>46</v>
      </c>
      <c r="D4620" s="30" t="s">
        <v>47</v>
      </c>
      <c r="E4620" s="32" t="s">
        <v>689</v>
      </c>
      <c r="F4620" s="32" t="s">
        <v>49</v>
      </c>
      <c r="G4620" s="32" t="s">
        <v>50</v>
      </c>
      <c r="H4620" s="33">
        <v>17270</v>
      </c>
      <c r="I4620" s="34">
        <f>Table3[[#This Row],[Volume, kg.]]/1000</f>
        <v>17.27</v>
      </c>
      <c r="J4620" s="34">
        <v>0.26879999999999998</v>
      </c>
      <c r="K4620" s="34">
        <f t="shared" si="144"/>
        <v>4642.1759999999995</v>
      </c>
      <c r="L4620" s="34">
        <v>2.69</v>
      </c>
      <c r="M4620" s="34">
        <v>46393.5</v>
      </c>
      <c r="N4620" s="34">
        <f t="shared" si="145"/>
        <v>10.007440476190476</v>
      </c>
    </row>
    <row r="4621" spans="1:14" x14ac:dyDescent="0.45">
      <c r="A4621" s="30">
        <v>2024</v>
      </c>
      <c r="B4621" s="30" t="s">
        <v>19</v>
      </c>
      <c r="C4621" s="30" t="s">
        <v>46</v>
      </c>
      <c r="D4621" s="30" t="s">
        <v>47</v>
      </c>
      <c r="E4621" s="32" t="s">
        <v>187</v>
      </c>
      <c r="F4621" s="32" t="s">
        <v>54</v>
      </c>
      <c r="G4621" s="32" t="s">
        <v>50</v>
      </c>
      <c r="H4621" s="33">
        <v>17690</v>
      </c>
      <c r="I4621" s="34">
        <f>Table3[[#This Row],[Volume, kg.]]/1000</f>
        <v>17.690000000000001</v>
      </c>
      <c r="J4621" s="34">
        <v>0.28149999999999997</v>
      </c>
      <c r="K4621" s="34">
        <f t="shared" si="144"/>
        <v>4979.7349999999997</v>
      </c>
      <c r="L4621" s="34">
        <v>2.75</v>
      </c>
      <c r="M4621" s="34">
        <v>48647.5</v>
      </c>
      <c r="N4621" s="34">
        <f t="shared" si="145"/>
        <v>9.769094138543517</v>
      </c>
    </row>
    <row r="4622" spans="1:14" x14ac:dyDescent="0.45">
      <c r="A4622" s="30">
        <v>2024</v>
      </c>
      <c r="B4622" s="30" t="s">
        <v>19</v>
      </c>
      <c r="C4622" s="30" t="s">
        <v>46</v>
      </c>
      <c r="D4622" s="30" t="s">
        <v>47</v>
      </c>
      <c r="E4622" s="32" t="s">
        <v>110</v>
      </c>
      <c r="F4622" s="32" t="s">
        <v>57</v>
      </c>
      <c r="G4622" s="32" t="s">
        <v>50</v>
      </c>
      <c r="H4622" s="33">
        <v>31280</v>
      </c>
      <c r="I4622" s="34">
        <f>Table3[[#This Row],[Volume, kg.]]/1000</f>
        <v>31.28</v>
      </c>
      <c r="J4622" s="34">
        <v>0.30349999999999999</v>
      </c>
      <c r="K4622" s="34">
        <f t="shared" si="144"/>
        <v>9493.48</v>
      </c>
      <c r="L4622" s="34">
        <v>2.7</v>
      </c>
      <c r="M4622" s="34">
        <v>84380</v>
      </c>
      <c r="N4622" s="34">
        <f t="shared" si="145"/>
        <v>8.8962108731466234</v>
      </c>
    </row>
    <row r="4623" spans="1:14" x14ac:dyDescent="0.45">
      <c r="A4623" s="30">
        <v>2024</v>
      </c>
      <c r="B4623" s="30" t="s">
        <v>19</v>
      </c>
      <c r="C4623" s="30" t="s">
        <v>46</v>
      </c>
      <c r="D4623" s="30" t="s">
        <v>47</v>
      </c>
      <c r="E4623" s="32" t="s">
        <v>86</v>
      </c>
      <c r="F4623" s="32" t="s">
        <v>49</v>
      </c>
      <c r="G4623" s="32" t="s">
        <v>50</v>
      </c>
      <c r="H4623" s="33">
        <v>7030</v>
      </c>
      <c r="I4623" s="34">
        <f>Table3[[#This Row],[Volume, kg.]]/1000</f>
        <v>7.03</v>
      </c>
      <c r="J4623" s="34">
        <v>0.26300000000000001</v>
      </c>
      <c r="K4623" s="34">
        <f t="shared" si="144"/>
        <v>1848.89</v>
      </c>
      <c r="L4623" s="34">
        <v>2.5</v>
      </c>
      <c r="M4623" s="34">
        <v>17575</v>
      </c>
      <c r="N4623" s="34">
        <f t="shared" si="145"/>
        <v>9.5057034220532319</v>
      </c>
    </row>
    <row r="4624" spans="1:14" x14ac:dyDescent="0.45">
      <c r="A4624" s="30">
        <v>2024</v>
      </c>
      <c r="B4624" s="30" t="s">
        <v>19</v>
      </c>
      <c r="C4624" s="30" t="s">
        <v>46</v>
      </c>
      <c r="D4624" s="30" t="s">
        <v>47</v>
      </c>
      <c r="E4624" s="32" t="s">
        <v>167</v>
      </c>
      <c r="F4624" s="32" t="s">
        <v>49</v>
      </c>
      <c r="G4624" s="32" t="s">
        <v>50</v>
      </c>
      <c r="H4624" s="33">
        <v>101770</v>
      </c>
      <c r="I4624" s="34">
        <f>Table3[[#This Row],[Volume, kg.]]/1000</f>
        <v>101.77</v>
      </c>
      <c r="J4624" s="34">
        <v>0.27190000000000003</v>
      </c>
      <c r="K4624" s="34">
        <f t="shared" si="144"/>
        <v>27671.263000000003</v>
      </c>
      <c r="L4624" s="34">
        <v>2.59</v>
      </c>
      <c r="M4624" s="34">
        <v>263669.5</v>
      </c>
      <c r="N4624" s="34">
        <f t="shared" si="145"/>
        <v>9.5255608679661616</v>
      </c>
    </row>
    <row r="4625" spans="1:14" x14ac:dyDescent="0.45">
      <c r="A4625" s="30">
        <v>2024</v>
      </c>
      <c r="B4625" s="30" t="s">
        <v>19</v>
      </c>
      <c r="C4625" s="30" t="s">
        <v>46</v>
      </c>
      <c r="D4625" s="30" t="s">
        <v>47</v>
      </c>
      <c r="E4625" s="32" t="s">
        <v>190</v>
      </c>
      <c r="F4625" s="32" t="s">
        <v>81</v>
      </c>
      <c r="G4625" s="32" t="s">
        <v>50</v>
      </c>
      <c r="H4625" s="33">
        <v>48910</v>
      </c>
      <c r="I4625" s="34">
        <f>Table3[[#This Row],[Volume, kg.]]/1000</f>
        <v>48.91</v>
      </c>
      <c r="J4625" s="34">
        <v>0.27539999999999998</v>
      </c>
      <c r="K4625" s="34">
        <f t="shared" si="144"/>
        <v>13469.813999999998</v>
      </c>
      <c r="L4625" s="34">
        <v>2.57</v>
      </c>
      <c r="M4625" s="34">
        <v>125518.5</v>
      </c>
      <c r="N4625" s="34">
        <f t="shared" si="145"/>
        <v>9.3318809005083523</v>
      </c>
    </row>
    <row r="4626" spans="1:14" x14ac:dyDescent="0.45">
      <c r="A4626" s="30">
        <v>2024</v>
      </c>
      <c r="B4626" s="30" t="s">
        <v>19</v>
      </c>
      <c r="C4626" s="30" t="s">
        <v>46</v>
      </c>
      <c r="D4626" s="30" t="s">
        <v>47</v>
      </c>
      <c r="E4626" s="32" t="s">
        <v>115</v>
      </c>
      <c r="F4626" s="32" t="s">
        <v>49</v>
      </c>
      <c r="G4626" s="32" t="s">
        <v>50</v>
      </c>
      <c r="H4626" s="33">
        <v>6460</v>
      </c>
      <c r="I4626" s="34">
        <f>Table3[[#This Row],[Volume, kg.]]/1000</f>
        <v>6.46</v>
      </c>
      <c r="J4626" s="34">
        <v>0.3175</v>
      </c>
      <c r="K4626" s="34">
        <f t="shared" si="144"/>
        <v>2051.0500000000002</v>
      </c>
      <c r="L4626" s="34">
        <v>2.8</v>
      </c>
      <c r="M4626" s="34">
        <v>18088</v>
      </c>
      <c r="N4626" s="34">
        <f t="shared" si="145"/>
        <v>8.8188976377952741</v>
      </c>
    </row>
    <row r="4627" spans="1:14" x14ac:dyDescent="0.45">
      <c r="A4627" s="30">
        <v>2024</v>
      </c>
      <c r="B4627" s="30" t="s">
        <v>19</v>
      </c>
      <c r="C4627" s="30" t="s">
        <v>46</v>
      </c>
      <c r="D4627" s="30" t="s">
        <v>47</v>
      </c>
      <c r="E4627" s="32" t="s">
        <v>77</v>
      </c>
      <c r="F4627" s="32" t="s">
        <v>49</v>
      </c>
      <c r="G4627" s="32" t="s">
        <v>50</v>
      </c>
      <c r="H4627" s="33">
        <v>16360</v>
      </c>
      <c r="I4627" s="34">
        <f>Table3[[#This Row],[Volume, kg.]]/1000</f>
        <v>16.36</v>
      </c>
      <c r="J4627" s="34">
        <v>0.27310000000000001</v>
      </c>
      <c r="K4627" s="34">
        <f t="shared" si="144"/>
        <v>4467.9160000000002</v>
      </c>
      <c r="L4627" s="34">
        <v>2.63</v>
      </c>
      <c r="M4627" s="34">
        <v>43006</v>
      </c>
      <c r="N4627" s="34">
        <f t="shared" si="145"/>
        <v>9.6301720981325509</v>
      </c>
    </row>
    <row r="4628" spans="1:14" x14ac:dyDescent="0.45">
      <c r="A4628" s="30">
        <v>2024</v>
      </c>
      <c r="B4628" s="30" t="s">
        <v>19</v>
      </c>
      <c r="C4628" s="30" t="s">
        <v>46</v>
      </c>
      <c r="D4628" s="30" t="s">
        <v>47</v>
      </c>
      <c r="E4628" s="32" t="s">
        <v>308</v>
      </c>
      <c r="F4628" s="32" t="s">
        <v>81</v>
      </c>
      <c r="G4628" s="32" t="s">
        <v>50</v>
      </c>
      <c r="H4628" s="33">
        <v>104870</v>
      </c>
      <c r="I4628" s="34">
        <f>Table3[[#This Row],[Volume, kg.]]/1000</f>
        <v>104.87</v>
      </c>
      <c r="J4628" s="34">
        <v>0.29020000000000001</v>
      </c>
      <c r="K4628" s="34">
        <f t="shared" si="144"/>
        <v>30433.274000000001</v>
      </c>
      <c r="L4628" s="34">
        <v>2.6</v>
      </c>
      <c r="M4628" s="34">
        <v>273180.5</v>
      </c>
      <c r="N4628" s="34">
        <f t="shared" si="145"/>
        <v>8.9593383873190895</v>
      </c>
    </row>
    <row r="4629" spans="1:14" x14ac:dyDescent="0.45">
      <c r="A4629" s="30">
        <v>2024</v>
      </c>
      <c r="B4629" s="30" t="s">
        <v>19</v>
      </c>
      <c r="C4629" s="30" t="s">
        <v>46</v>
      </c>
      <c r="D4629" s="30" t="s">
        <v>47</v>
      </c>
      <c r="E4629" s="32" t="s">
        <v>70</v>
      </c>
      <c r="F4629" s="32" t="s">
        <v>49</v>
      </c>
      <c r="G4629" s="32" t="s">
        <v>50</v>
      </c>
      <c r="H4629" s="33">
        <v>56080</v>
      </c>
      <c r="I4629" s="34">
        <f>Table3[[#This Row],[Volume, kg.]]/1000</f>
        <v>56.08</v>
      </c>
      <c r="J4629" s="34">
        <v>0.26119999999999999</v>
      </c>
      <c r="K4629" s="34">
        <f t="shared" si="144"/>
        <v>14648.096</v>
      </c>
      <c r="L4629" s="34">
        <v>2.5099999999999998</v>
      </c>
      <c r="M4629" s="34">
        <v>140491</v>
      </c>
      <c r="N4629" s="34">
        <f t="shared" si="145"/>
        <v>9.6094946401225112</v>
      </c>
    </row>
    <row r="4630" spans="1:14" x14ac:dyDescent="0.45">
      <c r="A4630" s="30">
        <v>2024</v>
      </c>
      <c r="B4630" s="30" t="s">
        <v>19</v>
      </c>
      <c r="C4630" s="30" t="s">
        <v>46</v>
      </c>
      <c r="D4630" s="30" t="s">
        <v>47</v>
      </c>
      <c r="E4630" s="32" t="s">
        <v>577</v>
      </c>
      <c r="F4630" s="32" t="s">
        <v>81</v>
      </c>
      <c r="G4630" s="32" t="s">
        <v>50</v>
      </c>
      <c r="H4630" s="33">
        <v>20980</v>
      </c>
      <c r="I4630" s="34">
        <f>Table3[[#This Row],[Volume, kg.]]/1000</f>
        <v>20.98</v>
      </c>
      <c r="J4630" s="34">
        <v>0.21909999999999999</v>
      </c>
      <c r="K4630" s="34">
        <f t="shared" si="144"/>
        <v>4596.7179999999998</v>
      </c>
      <c r="L4630" s="34">
        <v>2.23</v>
      </c>
      <c r="M4630" s="34">
        <v>46765</v>
      </c>
      <c r="N4630" s="34">
        <f t="shared" si="145"/>
        <v>10.178000912825194</v>
      </c>
    </row>
    <row r="4631" spans="1:14" x14ac:dyDescent="0.45">
      <c r="A4631" s="30">
        <v>2024</v>
      </c>
      <c r="B4631" s="30" t="s">
        <v>19</v>
      </c>
      <c r="C4631" s="30" t="s">
        <v>46</v>
      </c>
      <c r="D4631" s="30" t="s">
        <v>47</v>
      </c>
      <c r="E4631" s="32" t="s">
        <v>90</v>
      </c>
      <c r="F4631" s="32" t="s">
        <v>49</v>
      </c>
      <c r="G4631" s="32" t="s">
        <v>50</v>
      </c>
      <c r="H4631" s="33">
        <v>15970</v>
      </c>
      <c r="I4631" s="34">
        <f>Table3[[#This Row],[Volume, kg.]]/1000</f>
        <v>15.97</v>
      </c>
      <c r="J4631" s="34">
        <v>0.26489999999999997</v>
      </c>
      <c r="K4631" s="34">
        <f t="shared" si="144"/>
        <v>4230.4529999999995</v>
      </c>
      <c r="L4631" s="34">
        <v>2.62</v>
      </c>
      <c r="M4631" s="34">
        <v>41865</v>
      </c>
      <c r="N4631" s="34">
        <f t="shared" si="145"/>
        <v>9.890524726311817</v>
      </c>
    </row>
    <row r="4632" spans="1:14" x14ac:dyDescent="0.45">
      <c r="A4632" s="30">
        <v>2024</v>
      </c>
      <c r="B4632" s="30" t="s">
        <v>19</v>
      </c>
      <c r="C4632" s="30" t="s">
        <v>46</v>
      </c>
      <c r="D4632" s="30" t="s">
        <v>47</v>
      </c>
      <c r="E4632" s="32" t="s">
        <v>275</v>
      </c>
      <c r="F4632" s="32" t="s">
        <v>54</v>
      </c>
      <c r="G4632" s="32" t="s">
        <v>50</v>
      </c>
      <c r="H4632" s="33">
        <v>178460</v>
      </c>
      <c r="I4632" s="34">
        <f>Table3[[#This Row],[Volume, kg.]]/1000</f>
        <v>178.46</v>
      </c>
      <c r="J4632" s="34">
        <v>0.30709999999999998</v>
      </c>
      <c r="K4632" s="34">
        <f t="shared" si="144"/>
        <v>54805.065999999999</v>
      </c>
      <c r="L4632" s="34">
        <v>2.73</v>
      </c>
      <c r="M4632" s="34">
        <v>486988</v>
      </c>
      <c r="N4632" s="34">
        <f t="shared" si="145"/>
        <v>8.8896125040703353</v>
      </c>
    </row>
    <row r="4633" spans="1:14" x14ac:dyDescent="0.45">
      <c r="A4633" s="30">
        <v>2024</v>
      </c>
      <c r="B4633" s="30" t="s">
        <v>19</v>
      </c>
      <c r="C4633" s="30" t="s">
        <v>46</v>
      </c>
      <c r="D4633" s="30" t="s">
        <v>47</v>
      </c>
      <c r="E4633" s="32" t="s">
        <v>361</v>
      </c>
      <c r="F4633" s="32" t="s">
        <v>57</v>
      </c>
      <c r="G4633" s="32" t="s">
        <v>50</v>
      </c>
      <c r="H4633" s="33">
        <v>17410</v>
      </c>
      <c r="I4633" s="34">
        <f>Table3[[#This Row],[Volume, kg.]]/1000</f>
        <v>17.41</v>
      </c>
      <c r="J4633" s="34">
        <v>0.2828</v>
      </c>
      <c r="K4633" s="34">
        <f t="shared" si="144"/>
        <v>4923.5479999999998</v>
      </c>
      <c r="L4633" s="34">
        <v>2.66</v>
      </c>
      <c r="M4633" s="34">
        <v>46334</v>
      </c>
      <c r="N4633" s="34">
        <f t="shared" si="145"/>
        <v>9.4059405940594072</v>
      </c>
    </row>
    <row r="4634" spans="1:14" x14ac:dyDescent="0.45">
      <c r="A4634" s="30">
        <v>2024</v>
      </c>
      <c r="B4634" s="30" t="s">
        <v>19</v>
      </c>
      <c r="C4634" s="30" t="s">
        <v>46</v>
      </c>
      <c r="D4634" s="30" t="s">
        <v>47</v>
      </c>
      <c r="E4634" s="32" t="s">
        <v>545</v>
      </c>
      <c r="F4634" s="32" t="s">
        <v>54</v>
      </c>
      <c r="G4634" s="32" t="s">
        <v>50</v>
      </c>
      <c r="H4634" s="33">
        <v>31090</v>
      </c>
      <c r="I4634" s="34">
        <f>Table3[[#This Row],[Volume, kg.]]/1000</f>
        <v>31.09</v>
      </c>
      <c r="J4634" s="34">
        <v>0.29149999999999998</v>
      </c>
      <c r="K4634" s="34">
        <f t="shared" si="144"/>
        <v>9062.7349999999988</v>
      </c>
      <c r="L4634" s="34">
        <v>2.61</v>
      </c>
      <c r="M4634" s="34">
        <v>81151</v>
      </c>
      <c r="N4634" s="34">
        <f t="shared" si="145"/>
        <v>8.9536878216123501</v>
      </c>
    </row>
    <row r="4635" spans="1:14" x14ac:dyDescent="0.45">
      <c r="A4635" s="30">
        <v>2024</v>
      </c>
      <c r="B4635" s="30" t="s">
        <v>19</v>
      </c>
      <c r="C4635" s="30" t="s">
        <v>46</v>
      </c>
      <c r="D4635" s="30" t="s">
        <v>47</v>
      </c>
      <c r="E4635" s="32" t="s">
        <v>537</v>
      </c>
      <c r="F4635" s="32" t="s">
        <v>49</v>
      </c>
      <c r="G4635" s="32" t="s">
        <v>50</v>
      </c>
      <c r="H4635" s="33">
        <v>23740</v>
      </c>
      <c r="I4635" s="34">
        <f>Table3[[#This Row],[Volume, kg.]]/1000</f>
        <v>23.74</v>
      </c>
      <c r="J4635" s="34">
        <v>0.24960000000000002</v>
      </c>
      <c r="K4635" s="34">
        <f t="shared" si="144"/>
        <v>5925.5040000000008</v>
      </c>
      <c r="L4635" s="34">
        <v>2.39</v>
      </c>
      <c r="M4635" s="34">
        <v>56765</v>
      </c>
      <c r="N4635" s="34">
        <f t="shared" si="145"/>
        <v>9.5753205128205128</v>
      </c>
    </row>
    <row r="4636" spans="1:14" x14ac:dyDescent="0.45">
      <c r="A4636" s="30">
        <v>2024</v>
      </c>
      <c r="B4636" s="30" t="s">
        <v>19</v>
      </c>
      <c r="C4636" s="30" t="s">
        <v>46</v>
      </c>
      <c r="D4636" s="30" t="s">
        <v>47</v>
      </c>
      <c r="E4636" s="32" t="s">
        <v>116</v>
      </c>
      <c r="F4636" s="32" t="s">
        <v>81</v>
      </c>
      <c r="G4636" s="32" t="s">
        <v>50</v>
      </c>
      <c r="H4636" s="33">
        <v>125890</v>
      </c>
      <c r="I4636" s="34">
        <f>Table3[[#This Row],[Volume, kg.]]/1000</f>
        <v>125.89</v>
      </c>
      <c r="J4636" s="34">
        <v>0.3049</v>
      </c>
      <c r="K4636" s="34">
        <f t="shared" si="144"/>
        <v>38383.860999999997</v>
      </c>
      <c r="L4636" s="34">
        <v>2.68</v>
      </c>
      <c r="M4636" s="34">
        <v>337466</v>
      </c>
      <c r="N4636" s="34">
        <f t="shared" si="145"/>
        <v>8.7897671367661534</v>
      </c>
    </row>
    <row r="4637" spans="1:14" x14ac:dyDescent="0.45">
      <c r="A4637" s="30">
        <v>2024</v>
      </c>
      <c r="B4637" s="30" t="s">
        <v>19</v>
      </c>
      <c r="C4637" s="30" t="s">
        <v>46</v>
      </c>
      <c r="D4637" s="30" t="s">
        <v>47</v>
      </c>
      <c r="E4637" s="32" t="s">
        <v>186</v>
      </c>
      <c r="F4637" s="32" t="s">
        <v>64</v>
      </c>
      <c r="G4637" s="32" t="s">
        <v>50</v>
      </c>
      <c r="H4637" s="33">
        <v>36600</v>
      </c>
      <c r="I4637" s="34">
        <f>Table3[[#This Row],[Volume, kg.]]/1000</f>
        <v>36.6</v>
      </c>
      <c r="J4637" s="34">
        <v>0.26940000000000003</v>
      </c>
      <c r="K4637" s="34">
        <f t="shared" si="144"/>
        <v>9860.0400000000009</v>
      </c>
      <c r="L4637" s="34">
        <v>2.62</v>
      </c>
      <c r="M4637" s="34">
        <v>95721.5</v>
      </c>
      <c r="N4637" s="34">
        <f t="shared" si="145"/>
        <v>9.7253155159613947</v>
      </c>
    </row>
    <row r="4638" spans="1:14" x14ac:dyDescent="0.45">
      <c r="A4638" s="30">
        <v>2024</v>
      </c>
      <c r="B4638" s="30" t="s">
        <v>19</v>
      </c>
      <c r="C4638" s="30" t="s">
        <v>46</v>
      </c>
      <c r="D4638" s="30" t="s">
        <v>47</v>
      </c>
      <c r="E4638" s="32" t="s">
        <v>225</v>
      </c>
      <c r="F4638" s="32" t="s">
        <v>64</v>
      </c>
      <c r="G4638" s="32" t="s">
        <v>50</v>
      </c>
      <c r="H4638" s="33">
        <v>133630</v>
      </c>
      <c r="I4638" s="34">
        <f>Table3[[#This Row],[Volume, kg.]]/1000</f>
        <v>133.63</v>
      </c>
      <c r="J4638" s="34">
        <v>0.24079999999999999</v>
      </c>
      <c r="K4638" s="34">
        <f t="shared" si="144"/>
        <v>32178.103999999999</v>
      </c>
      <c r="L4638" s="34">
        <v>2.4700000000000002</v>
      </c>
      <c r="M4638" s="34">
        <v>330099</v>
      </c>
      <c r="N4638" s="34">
        <f t="shared" si="145"/>
        <v>10.25747508305648</v>
      </c>
    </row>
    <row r="4639" spans="1:14" x14ac:dyDescent="0.45">
      <c r="A4639" s="30">
        <v>2024</v>
      </c>
      <c r="B4639" s="30" t="s">
        <v>19</v>
      </c>
      <c r="C4639" s="30" t="s">
        <v>46</v>
      </c>
      <c r="D4639" s="30" t="s">
        <v>47</v>
      </c>
      <c r="E4639" s="32" t="s">
        <v>304</v>
      </c>
      <c r="F4639" s="32" t="s">
        <v>64</v>
      </c>
      <c r="G4639" s="32" t="s">
        <v>50</v>
      </c>
      <c r="H4639" s="33">
        <v>16740</v>
      </c>
      <c r="I4639" s="34">
        <f>Table3[[#This Row],[Volume, kg.]]/1000</f>
        <v>16.739999999999998</v>
      </c>
      <c r="J4639" s="34">
        <v>0.22820000000000001</v>
      </c>
      <c r="K4639" s="34">
        <f t="shared" si="144"/>
        <v>3820.0680000000002</v>
      </c>
      <c r="L4639" s="34">
        <v>2.33</v>
      </c>
      <c r="M4639" s="34">
        <v>38948.5</v>
      </c>
      <c r="N4639" s="34">
        <f t="shared" si="145"/>
        <v>10.21034180543383</v>
      </c>
    </row>
    <row r="4640" spans="1:14" x14ac:dyDescent="0.45">
      <c r="A4640" s="30">
        <v>2024</v>
      </c>
      <c r="B4640" s="30" t="s">
        <v>19</v>
      </c>
      <c r="C4640" s="30" t="s">
        <v>46</v>
      </c>
      <c r="D4640" s="30" t="s">
        <v>47</v>
      </c>
      <c r="E4640" s="32" t="s">
        <v>262</v>
      </c>
      <c r="F4640" s="32" t="s">
        <v>81</v>
      </c>
      <c r="G4640" s="32" t="s">
        <v>50</v>
      </c>
      <c r="H4640" s="33">
        <v>63910</v>
      </c>
      <c r="I4640" s="34">
        <f>Table3[[#This Row],[Volume, kg.]]/1000</f>
        <v>63.91</v>
      </c>
      <c r="J4640" s="34">
        <v>0.27960000000000002</v>
      </c>
      <c r="K4640" s="34">
        <f t="shared" si="144"/>
        <v>17869.236000000001</v>
      </c>
      <c r="L4640" s="34">
        <v>2.63</v>
      </c>
      <c r="M4640" s="34">
        <v>167997.5</v>
      </c>
      <c r="N4640" s="34">
        <f t="shared" si="145"/>
        <v>9.4062947067238909</v>
      </c>
    </row>
    <row r="4641" spans="1:14" x14ac:dyDescent="0.45">
      <c r="A4641" s="30">
        <v>2024</v>
      </c>
      <c r="B4641" s="30" t="s">
        <v>19</v>
      </c>
      <c r="C4641" s="30" t="s">
        <v>46</v>
      </c>
      <c r="D4641" s="30" t="s">
        <v>47</v>
      </c>
      <c r="E4641" s="32" t="s">
        <v>206</v>
      </c>
      <c r="F4641" s="32" t="s">
        <v>81</v>
      </c>
      <c r="G4641" s="32" t="s">
        <v>50</v>
      </c>
      <c r="H4641" s="33">
        <v>169600</v>
      </c>
      <c r="I4641" s="34">
        <f>Table3[[#This Row],[Volume, kg.]]/1000</f>
        <v>169.6</v>
      </c>
      <c r="J4641" s="34">
        <v>0.29059999999999997</v>
      </c>
      <c r="K4641" s="34">
        <f t="shared" si="144"/>
        <v>49285.759999999995</v>
      </c>
      <c r="L4641" s="34">
        <v>2.66</v>
      </c>
      <c r="M4641" s="34">
        <v>451232</v>
      </c>
      <c r="N4641" s="34">
        <f t="shared" si="145"/>
        <v>9.15347556779078</v>
      </c>
    </row>
    <row r="4642" spans="1:14" x14ac:dyDescent="0.45">
      <c r="A4642" s="30">
        <v>2024</v>
      </c>
      <c r="B4642" s="30" t="s">
        <v>19</v>
      </c>
      <c r="C4642" s="30" t="s">
        <v>46</v>
      </c>
      <c r="D4642" s="30" t="s">
        <v>47</v>
      </c>
      <c r="E4642" s="32" t="s">
        <v>548</v>
      </c>
      <c r="F4642" s="32" t="s">
        <v>49</v>
      </c>
      <c r="G4642" s="32" t="s">
        <v>50</v>
      </c>
      <c r="H4642" s="33">
        <v>6440</v>
      </c>
      <c r="I4642" s="34">
        <f>Table3[[#This Row],[Volume, kg.]]/1000</f>
        <v>6.44</v>
      </c>
      <c r="J4642" s="34">
        <v>0.26800000000000002</v>
      </c>
      <c r="K4642" s="34">
        <f t="shared" si="144"/>
        <v>1725.92</v>
      </c>
      <c r="L4642" s="34">
        <v>2.65</v>
      </c>
      <c r="M4642" s="34">
        <v>17066</v>
      </c>
      <c r="N4642" s="34">
        <f t="shared" si="145"/>
        <v>9.8880597014925371</v>
      </c>
    </row>
    <row r="4643" spans="1:14" x14ac:dyDescent="0.45">
      <c r="A4643" s="30">
        <v>2024</v>
      </c>
      <c r="B4643" s="30" t="s">
        <v>19</v>
      </c>
      <c r="C4643" s="30" t="s">
        <v>46</v>
      </c>
      <c r="D4643" s="30" t="s">
        <v>47</v>
      </c>
      <c r="E4643" s="32" t="s">
        <v>98</v>
      </c>
      <c r="F4643" s="32" t="s">
        <v>49</v>
      </c>
      <c r="G4643" s="32" t="s">
        <v>50</v>
      </c>
      <c r="H4643" s="33">
        <v>52770</v>
      </c>
      <c r="I4643" s="34">
        <f>Table3[[#This Row],[Volume, kg.]]/1000</f>
        <v>52.77</v>
      </c>
      <c r="J4643" s="34">
        <v>0.2883</v>
      </c>
      <c r="K4643" s="34">
        <f t="shared" si="144"/>
        <v>15213.591</v>
      </c>
      <c r="L4643" s="34">
        <v>2.72</v>
      </c>
      <c r="M4643" s="34">
        <v>143661</v>
      </c>
      <c r="N4643" s="34">
        <f t="shared" si="145"/>
        <v>9.4346167186958034</v>
      </c>
    </row>
    <row r="4644" spans="1:14" x14ac:dyDescent="0.45">
      <c r="A4644" s="30">
        <v>2024</v>
      </c>
      <c r="B4644" s="30" t="s">
        <v>19</v>
      </c>
      <c r="C4644" s="30" t="s">
        <v>46</v>
      </c>
      <c r="D4644" s="30" t="s">
        <v>47</v>
      </c>
      <c r="E4644" s="32" t="s">
        <v>129</v>
      </c>
      <c r="F4644" s="32" t="s">
        <v>57</v>
      </c>
      <c r="G4644" s="32" t="s">
        <v>50</v>
      </c>
      <c r="H4644" s="33">
        <v>20650</v>
      </c>
      <c r="I4644" s="34">
        <f>Table3[[#This Row],[Volume, kg.]]/1000</f>
        <v>20.65</v>
      </c>
      <c r="J4644" s="34">
        <v>0.28460000000000002</v>
      </c>
      <c r="K4644" s="34">
        <f t="shared" si="144"/>
        <v>5876.9900000000007</v>
      </c>
      <c r="L4644" s="34">
        <v>2.6</v>
      </c>
      <c r="M4644" s="34">
        <v>53687</v>
      </c>
      <c r="N4644" s="34">
        <f t="shared" si="145"/>
        <v>9.1356289529163739</v>
      </c>
    </row>
    <row r="4645" spans="1:14" x14ac:dyDescent="0.45">
      <c r="A4645" s="30">
        <v>2024</v>
      </c>
      <c r="B4645" s="30" t="s">
        <v>19</v>
      </c>
      <c r="C4645" s="30" t="s">
        <v>46</v>
      </c>
      <c r="D4645" s="30" t="s">
        <v>47</v>
      </c>
      <c r="E4645" s="32" t="s">
        <v>80</v>
      </c>
      <c r="F4645" s="32" t="s">
        <v>81</v>
      </c>
      <c r="G4645" s="32" t="s">
        <v>50</v>
      </c>
      <c r="H4645" s="33">
        <v>218830</v>
      </c>
      <c r="I4645" s="34">
        <f>Table3[[#This Row],[Volume, kg.]]/1000</f>
        <v>218.83</v>
      </c>
      <c r="J4645" s="34">
        <v>0.28089999999999998</v>
      </c>
      <c r="K4645" s="34">
        <f t="shared" si="144"/>
        <v>61469.346999999994</v>
      </c>
      <c r="L4645" s="34">
        <v>2.6</v>
      </c>
      <c r="M4645" s="34">
        <v>569629.5</v>
      </c>
      <c r="N4645" s="34">
        <f t="shared" si="145"/>
        <v>9.2559629761480959</v>
      </c>
    </row>
    <row r="4646" spans="1:14" x14ac:dyDescent="0.45">
      <c r="A4646" s="30">
        <v>2024</v>
      </c>
      <c r="B4646" s="30" t="s">
        <v>19</v>
      </c>
      <c r="C4646" s="30" t="s">
        <v>46</v>
      </c>
      <c r="D4646" s="30" t="s">
        <v>102</v>
      </c>
      <c r="E4646" s="32" t="s">
        <v>396</v>
      </c>
      <c r="F4646" s="32" t="s">
        <v>397</v>
      </c>
      <c r="G4646" s="32" t="s">
        <v>105</v>
      </c>
      <c r="H4646" s="33">
        <v>986540</v>
      </c>
      <c r="I4646" s="34">
        <f>Table3[[#This Row],[Volume, kg.]]/1000</f>
        <v>986.54</v>
      </c>
      <c r="J4646" s="34">
        <v>0.2397</v>
      </c>
      <c r="K4646" s="34">
        <f t="shared" si="144"/>
        <v>236473.63800000001</v>
      </c>
      <c r="L4646" s="34">
        <v>2.4</v>
      </c>
      <c r="M4646" s="34">
        <v>2365525.5</v>
      </c>
      <c r="N4646" s="34">
        <f t="shared" si="145"/>
        <v>10.012515644555695</v>
      </c>
    </row>
    <row r="4647" spans="1:14" x14ac:dyDescent="0.45">
      <c r="A4647" s="30">
        <v>2024</v>
      </c>
      <c r="B4647" s="30" t="s">
        <v>19</v>
      </c>
      <c r="C4647" s="30" t="s">
        <v>46</v>
      </c>
      <c r="D4647" s="30" t="s">
        <v>47</v>
      </c>
      <c r="E4647" s="32" t="s">
        <v>572</v>
      </c>
      <c r="F4647" s="32" t="s">
        <v>64</v>
      </c>
      <c r="G4647" s="32" t="s">
        <v>50</v>
      </c>
      <c r="H4647" s="33">
        <v>19250</v>
      </c>
      <c r="I4647" s="34">
        <f>Table3[[#This Row],[Volume, kg.]]/1000</f>
        <v>19.25</v>
      </c>
      <c r="J4647" s="34">
        <v>0.2505</v>
      </c>
      <c r="K4647" s="34">
        <f t="shared" si="144"/>
        <v>4822.125</v>
      </c>
      <c r="L4647" s="34">
        <v>2.5499999999999998</v>
      </c>
      <c r="M4647" s="34">
        <v>49087.5</v>
      </c>
      <c r="N4647" s="34">
        <f t="shared" si="145"/>
        <v>10.179640718562874</v>
      </c>
    </row>
    <row r="4648" spans="1:14" x14ac:dyDescent="0.45">
      <c r="A4648" s="30">
        <v>2024</v>
      </c>
      <c r="B4648" s="30" t="s">
        <v>19</v>
      </c>
      <c r="C4648" s="30" t="s">
        <v>46</v>
      </c>
      <c r="D4648" s="30" t="s">
        <v>47</v>
      </c>
      <c r="E4648" s="32" t="s">
        <v>267</v>
      </c>
      <c r="F4648" s="32" t="s">
        <v>57</v>
      </c>
      <c r="G4648" s="32" t="s">
        <v>50</v>
      </c>
      <c r="H4648" s="33">
        <v>21910</v>
      </c>
      <c r="I4648" s="34">
        <f>Table3[[#This Row],[Volume, kg.]]/1000</f>
        <v>21.91</v>
      </c>
      <c r="J4648" s="34">
        <v>0.27160000000000001</v>
      </c>
      <c r="K4648" s="34">
        <f t="shared" si="144"/>
        <v>5950.7560000000003</v>
      </c>
      <c r="L4648" s="34">
        <v>2.61</v>
      </c>
      <c r="M4648" s="34">
        <v>57094</v>
      </c>
      <c r="N4648" s="34">
        <f t="shared" si="145"/>
        <v>9.6097201767304856</v>
      </c>
    </row>
    <row r="4649" spans="1:14" x14ac:dyDescent="0.45">
      <c r="A4649" s="30">
        <v>2024</v>
      </c>
      <c r="B4649" s="30" t="s">
        <v>19</v>
      </c>
      <c r="C4649" s="30" t="s">
        <v>46</v>
      </c>
      <c r="D4649" s="30" t="s">
        <v>102</v>
      </c>
      <c r="E4649" s="32" t="s">
        <v>103</v>
      </c>
      <c r="F4649" s="32" t="s">
        <v>104</v>
      </c>
      <c r="G4649" s="32" t="s">
        <v>105</v>
      </c>
      <c r="H4649" s="33">
        <v>1322330</v>
      </c>
      <c r="I4649" s="34">
        <f>Table3[[#This Row],[Volume, kg.]]/1000</f>
        <v>1322.33</v>
      </c>
      <c r="J4649" s="34">
        <v>0.2465</v>
      </c>
      <c r="K4649" s="34">
        <f t="shared" si="144"/>
        <v>325954.34499999997</v>
      </c>
      <c r="L4649" s="34">
        <v>2.39</v>
      </c>
      <c r="M4649" s="34">
        <v>3166632</v>
      </c>
      <c r="N4649" s="34">
        <f t="shared" si="145"/>
        <v>9.695740365111563</v>
      </c>
    </row>
    <row r="4650" spans="1:14" x14ac:dyDescent="0.45">
      <c r="A4650" s="30">
        <v>2024</v>
      </c>
      <c r="B4650" s="30" t="s">
        <v>19</v>
      </c>
      <c r="C4650" s="30" t="s">
        <v>46</v>
      </c>
      <c r="D4650" s="30" t="s">
        <v>47</v>
      </c>
      <c r="E4650" s="32" t="s">
        <v>203</v>
      </c>
      <c r="F4650" s="32" t="s">
        <v>57</v>
      </c>
      <c r="G4650" s="32" t="s">
        <v>50</v>
      </c>
      <c r="H4650" s="33">
        <v>5050</v>
      </c>
      <c r="I4650" s="34">
        <f>Table3[[#This Row],[Volume, kg.]]/1000</f>
        <v>5.05</v>
      </c>
      <c r="J4650" s="34">
        <v>0.28000000000000003</v>
      </c>
      <c r="K4650" s="34">
        <f t="shared" si="144"/>
        <v>1414.0000000000002</v>
      </c>
      <c r="L4650" s="34">
        <v>2.5499999999999998</v>
      </c>
      <c r="M4650" s="34">
        <v>12877.5</v>
      </c>
      <c r="N4650" s="34">
        <f t="shared" si="145"/>
        <v>9.1071428571428559</v>
      </c>
    </row>
    <row r="4651" spans="1:14" x14ac:dyDescent="0.45">
      <c r="A4651" s="30">
        <v>2024</v>
      </c>
      <c r="B4651" s="30" t="s">
        <v>19</v>
      </c>
      <c r="C4651" s="30" t="s">
        <v>46</v>
      </c>
      <c r="D4651" s="30" t="s">
        <v>102</v>
      </c>
      <c r="E4651" s="32" t="s">
        <v>691</v>
      </c>
      <c r="F4651" s="32" t="s">
        <v>657</v>
      </c>
      <c r="G4651" s="32" t="s">
        <v>119</v>
      </c>
      <c r="H4651" s="33">
        <v>532030</v>
      </c>
      <c r="I4651" s="34">
        <f>Table3[[#This Row],[Volume, kg.]]/1000</f>
        <v>532.03</v>
      </c>
      <c r="J4651" s="34">
        <v>0.2949</v>
      </c>
      <c r="K4651" s="34">
        <f t="shared" si="144"/>
        <v>156895.647</v>
      </c>
      <c r="L4651" s="34">
        <v>2.62</v>
      </c>
      <c r="M4651" s="34">
        <v>1396346.5</v>
      </c>
      <c r="N4651" s="34">
        <f t="shared" si="145"/>
        <v>8.8843675822312651</v>
      </c>
    </row>
    <row r="4652" spans="1:14" x14ac:dyDescent="0.45">
      <c r="A4652" s="30">
        <v>2024</v>
      </c>
      <c r="B4652" s="30" t="s">
        <v>19</v>
      </c>
      <c r="C4652" s="30" t="s">
        <v>46</v>
      </c>
      <c r="D4652" s="30" t="s">
        <v>102</v>
      </c>
      <c r="E4652" s="32" t="s">
        <v>126</v>
      </c>
      <c r="F4652" s="32" t="s">
        <v>127</v>
      </c>
      <c r="G4652" s="32" t="s">
        <v>128</v>
      </c>
      <c r="H4652" s="33">
        <v>1191620</v>
      </c>
      <c r="I4652" s="34">
        <f>Table3[[#This Row],[Volume, kg.]]/1000</f>
        <v>1191.6199999999999</v>
      </c>
      <c r="J4652" s="34">
        <v>0.26550000000000001</v>
      </c>
      <c r="K4652" s="34">
        <f t="shared" si="144"/>
        <v>316375.11000000004</v>
      </c>
      <c r="L4652" s="34">
        <v>2.5099999999999998</v>
      </c>
      <c r="M4652" s="34">
        <v>2995754</v>
      </c>
      <c r="N4652" s="34">
        <f t="shared" si="145"/>
        <v>9.4538606403013166</v>
      </c>
    </row>
    <row r="4653" spans="1:14" x14ac:dyDescent="0.45">
      <c r="A4653" s="30">
        <v>2024</v>
      </c>
      <c r="B4653" s="30" t="s">
        <v>19</v>
      </c>
      <c r="C4653" s="30" t="s">
        <v>46</v>
      </c>
      <c r="D4653" s="30" t="s">
        <v>47</v>
      </c>
      <c r="E4653" s="32" t="s">
        <v>447</v>
      </c>
      <c r="F4653" s="32" t="s">
        <v>57</v>
      </c>
      <c r="G4653" s="32" t="s">
        <v>50</v>
      </c>
      <c r="H4653" s="33">
        <v>10630</v>
      </c>
      <c r="I4653" s="34">
        <f>Table3[[#This Row],[Volume, kg.]]/1000</f>
        <v>10.63</v>
      </c>
      <c r="J4653" s="34">
        <v>0.222</v>
      </c>
      <c r="K4653" s="34">
        <f t="shared" si="144"/>
        <v>2359.86</v>
      </c>
      <c r="L4653" s="34">
        <v>2.4</v>
      </c>
      <c r="M4653" s="34">
        <v>25512</v>
      </c>
      <c r="N4653" s="34">
        <f t="shared" si="145"/>
        <v>10.810810810810811</v>
      </c>
    </row>
    <row r="4654" spans="1:14" x14ac:dyDescent="0.45">
      <c r="A4654" s="30">
        <v>2024</v>
      </c>
      <c r="B4654" s="30" t="s">
        <v>19</v>
      </c>
      <c r="C4654" s="30" t="s">
        <v>46</v>
      </c>
      <c r="D4654" s="30" t="s">
        <v>47</v>
      </c>
      <c r="E4654" s="32" t="s">
        <v>214</v>
      </c>
      <c r="F4654" s="32" t="s">
        <v>64</v>
      </c>
      <c r="G4654" s="32" t="s">
        <v>50</v>
      </c>
      <c r="H4654" s="33">
        <v>82770</v>
      </c>
      <c r="I4654" s="34">
        <f>Table3[[#This Row],[Volume, kg.]]/1000</f>
        <v>82.77</v>
      </c>
      <c r="J4654" s="34">
        <v>0.29430000000000001</v>
      </c>
      <c r="K4654" s="34">
        <f t="shared" si="144"/>
        <v>24359.210999999999</v>
      </c>
      <c r="L4654" s="34">
        <v>2.62</v>
      </c>
      <c r="M4654" s="34">
        <v>217219</v>
      </c>
      <c r="N4654" s="34">
        <f t="shared" si="145"/>
        <v>8.9024804621134894</v>
      </c>
    </row>
    <row r="4655" spans="1:14" x14ac:dyDescent="0.45">
      <c r="A4655" s="30">
        <v>2024</v>
      </c>
      <c r="B4655" s="30" t="s">
        <v>19</v>
      </c>
      <c r="C4655" s="30" t="s">
        <v>46</v>
      </c>
      <c r="D4655" s="30" t="s">
        <v>47</v>
      </c>
      <c r="E4655" s="32" t="s">
        <v>216</v>
      </c>
      <c r="F4655" s="32" t="s">
        <v>64</v>
      </c>
      <c r="G4655" s="32" t="s">
        <v>50</v>
      </c>
      <c r="H4655" s="33">
        <v>123650</v>
      </c>
      <c r="I4655" s="34">
        <f>Table3[[#This Row],[Volume, kg.]]/1000</f>
        <v>123.65</v>
      </c>
      <c r="J4655" s="34">
        <v>0.27250000000000002</v>
      </c>
      <c r="K4655" s="34">
        <f t="shared" si="144"/>
        <v>33694.625</v>
      </c>
      <c r="L4655" s="34">
        <v>2.5299999999999998</v>
      </c>
      <c r="M4655" s="34">
        <v>312381.5</v>
      </c>
      <c r="N4655" s="34">
        <f t="shared" si="145"/>
        <v>9.2844036697247692</v>
      </c>
    </row>
    <row r="4656" spans="1:14" x14ac:dyDescent="0.45">
      <c r="A4656" s="30">
        <v>2024</v>
      </c>
      <c r="B4656" s="30" t="s">
        <v>19</v>
      </c>
      <c r="C4656" s="30" t="s">
        <v>46</v>
      </c>
      <c r="D4656" s="30" t="s">
        <v>47</v>
      </c>
      <c r="E4656" s="32" t="s">
        <v>204</v>
      </c>
      <c r="F4656" s="32" t="s">
        <v>49</v>
      </c>
      <c r="G4656" s="32" t="s">
        <v>50</v>
      </c>
      <c r="H4656" s="33">
        <v>17870</v>
      </c>
      <c r="I4656" s="34">
        <f>Table3[[#This Row],[Volume, kg.]]/1000</f>
        <v>17.87</v>
      </c>
      <c r="J4656" s="34">
        <v>0.24249999999999999</v>
      </c>
      <c r="K4656" s="34">
        <f t="shared" si="144"/>
        <v>4333.4749999999995</v>
      </c>
      <c r="L4656" s="34">
        <v>2.5</v>
      </c>
      <c r="M4656" s="34">
        <v>44675</v>
      </c>
      <c r="N4656" s="34">
        <f t="shared" si="145"/>
        <v>10.309278350515465</v>
      </c>
    </row>
    <row r="4657" spans="1:14" x14ac:dyDescent="0.45">
      <c r="A4657" s="30">
        <v>2024</v>
      </c>
      <c r="B4657" s="30" t="s">
        <v>19</v>
      </c>
      <c r="C4657" s="30" t="s">
        <v>46</v>
      </c>
      <c r="D4657" s="30" t="s">
        <v>102</v>
      </c>
      <c r="E4657" s="32" t="s">
        <v>157</v>
      </c>
      <c r="F4657" s="32" t="s">
        <v>127</v>
      </c>
      <c r="G4657" s="32" t="s">
        <v>128</v>
      </c>
      <c r="H4657" s="33">
        <v>124120</v>
      </c>
      <c r="I4657" s="34">
        <f>Table3[[#This Row],[Volume, kg.]]/1000</f>
        <v>124.12</v>
      </c>
      <c r="J4657" s="34">
        <v>0.26340000000000002</v>
      </c>
      <c r="K4657" s="34">
        <f t="shared" si="144"/>
        <v>32693.208000000002</v>
      </c>
      <c r="L4657" s="34">
        <v>2.59</v>
      </c>
      <c r="M4657" s="34">
        <v>321057</v>
      </c>
      <c r="N4657" s="34">
        <f t="shared" si="145"/>
        <v>9.8329536826119952</v>
      </c>
    </row>
    <row r="4658" spans="1:14" x14ac:dyDescent="0.45">
      <c r="A4658" s="30">
        <v>2024</v>
      </c>
      <c r="B4658" s="30" t="s">
        <v>19</v>
      </c>
      <c r="C4658" s="30" t="s">
        <v>46</v>
      </c>
      <c r="D4658" s="30" t="s">
        <v>47</v>
      </c>
      <c r="E4658" s="32" t="s">
        <v>75</v>
      </c>
      <c r="F4658" s="32" t="s">
        <v>49</v>
      </c>
      <c r="G4658" s="32" t="s">
        <v>50</v>
      </c>
      <c r="H4658" s="33">
        <v>8400</v>
      </c>
      <c r="I4658" s="34">
        <f>Table3[[#This Row],[Volume, kg.]]/1000</f>
        <v>8.4</v>
      </c>
      <c r="J4658" s="34">
        <v>0.2475</v>
      </c>
      <c r="K4658" s="34">
        <f t="shared" si="144"/>
        <v>2079</v>
      </c>
      <c r="L4658" s="34">
        <v>2.4500000000000002</v>
      </c>
      <c r="M4658" s="34">
        <v>20580</v>
      </c>
      <c r="N4658" s="34">
        <f t="shared" si="145"/>
        <v>9.8989898989898997</v>
      </c>
    </row>
    <row r="4659" spans="1:14" x14ac:dyDescent="0.45">
      <c r="A4659" s="30">
        <v>2024</v>
      </c>
      <c r="B4659" s="30" t="s">
        <v>19</v>
      </c>
      <c r="C4659" s="30" t="s">
        <v>46</v>
      </c>
      <c r="D4659" s="30" t="s">
        <v>47</v>
      </c>
      <c r="E4659" s="32" t="s">
        <v>97</v>
      </c>
      <c r="F4659" s="32" t="s">
        <v>49</v>
      </c>
      <c r="G4659" s="32" t="s">
        <v>50</v>
      </c>
      <c r="H4659" s="33">
        <v>37720</v>
      </c>
      <c r="I4659" s="34">
        <f>Table3[[#This Row],[Volume, kg.]]/1000</f>
        <v>37.72</v>
      </c>
      <c r="J4659" s="34">
        <v>0.28070000000000001</v>
      </c>
      <c r="K4659" s="34">
        <f t="shared" si="144"/>
        <v>10588.004000000001</v>
      </c>
      <c r="L4659" s="34">
        <v>2.68</v>
      </c>
      <c r="M4659" s="34">
        <v>101256</v>
      </c>
      <c r="N4659" s="34">
        <f t="shared" si="145"/>
        <v>9.5475596722479512</v>
      </c>
    </row>
    <row r="4660" spans="1:14" x14ac:dyDescent="0.45">
      <c r="A4660" s="30">
        <v>2024</v>
      </c>
      <c r="B4660" s="30" t="s">
        <v>19</v>
      </c>
      <c r="C4660" s="30" t="s">
        <v>46</v>
      </c>
      <c r="D4660" s="30" t="s">
        <v>47</v>
      </c>
      <c r="E4660" s="32" t="s">
        <v>345</v>
      </c>
      <c r="F4660" s="32" t="s">
        <v>81</v>
      </c>
      <c r="G4660" s="32" t="s">
        <v>50</v>
      </c>
      <c r="H4660" s="33">
        <v>29650</v>
      </c>
      <c r="I4660" s="34">
        <f>Table3[[#This Row],[Volume, kg.]]/1000</f>
        <v>29.65</v>
      </c>
      <c r="J4660" s="34">
        <v>0.27200000000000002</v>
      </c>
      <c r="K4660" s="34">
        <f t="shared" si="144"/>
        <v>8064.8</v>
      </c>
      <c r="L4660" s="34">
        <v>2.59</v>
      </c>
      <c r="M4660" s="34">
        <v>76711.5</v>
      </c>
      <c r="N4660" s="34">
        <f t="shared" si="145"/>
        <v>9.5220588235294112</v>
      </c>
    </row>
    <row r="4661" spans="1:14" x14ac:dyDescent="0.45">
      <c r="A4661" s="30">
        <v>2024</v>
      </c>
      <c r="B4661" s="30" t="s">
        <v>19</v>
      </c>
      <c r="C4661" s="30" t="s">
        <v>46</v>
      </c>
      <c r="D4661" s="30" t="s">
        <v>47</v>
      </c>
      <c r="E4661" s="32" t="s">
        <v>247</v>
      </c>
      <c r="F4661" s="32" t="s">
        <v>134</v>
      </c>
      <c r="G4661" s="32" t="s">
        <v>50</v>
      </c>
      <c r="H4661" s="33">
        <v>51190</v>
      </c>
      <c r="I4661" s="34">
        <f>Table3[[#This Row],[Volume, kg.]]/1000</f>
        <v>51.19</v>
      </c>
      <c r="J4661" s="34">
        <v>0.26919999999999999</v>
      </c>
      <c r="K4661" s="34">
        <f t="shared" si="144"/>
        <v>13780.348</v>
      </c>
      <c r="L4661" s="34">
        <v>2.58</v>
      </c>
      <c r="M4661" s="34">
        <v>132300.5</v>
      </c>
      <c r="N4661" s="34">
        <f t="shared" si="145"/>
        <v>9.5839524517087664</v>
      </c>
    </row>
    <row r="4662" spans="1:14" x14ac:dyDescent="0.45">
      <c r="A4662" s="30">
        <v>2024</v>
      </c>
      <c r="B4662" s="30" t="s">
        <v>19</v>
      </c>
      <c r="C4662" s="30" t="s">
        <v>46</v>
      </c>
      <c r="D4662" s="30" t="s">
        <v>47</v>
      </c>
      <c r="E4662" s="32" t="s">
        <v>96</v>
      </c>
      <c r="F4662" s="32" t="s">
        <v>49</v>
      </c>
      <c r="G4662" s="32" t="s">
        <v>50</v>
      </c>
      <c r="H4662" s="33">
        <v>8870</v>
      </c>
      <c r="I4662" s="34">
        <f>Table3[[#This Row],[Volume, kg.]]/1000</f>
        <v>8.8699999999999992</v>
      </c>
      <c r="J4662" s="34">
        <v>0.26850000000000002</v>
      </c>
      <c r="K4662" s="34">
        <f t="shared" si="144"/>
        <v>2381.5950000000003</v>
      </c>
      <c r="L4662" s="34">
        <v>2.5</v>
      </c>
      <c r="M4662" s="34">
        <v>22175</v>
      </c>
      <c r="N4662" s="34">
        <f t="shared" si="145"/>
        <v>9.3109869646182482</v>
      </c>
    </row>
    <row r="4663" spans="1:14" x14ac:dyDescent="0.45">
      <c r="A4663" s="30">
        <v>2024</v>
      </c>
      <c r="B4663" s="30" t="s">
        <v>19</v>
      </c>
      <c r="C4663" s="30" t="s">
        <v>46</v>
      </c>
      <c r="D4663" s="30" t="s">
        <v>47</v>
      </c>
      <c r="E4663" s="32" t="s">
        <v>369</v>
      </c>
      <c r="F4663" s="32" t="s">
        <v>57</v>
      </c>
      <c r="G4663" s="32" t="s">
        <v>50</v>
      </c>
      <c r="H4663" s="33">
        <v>56980</v>
      </c>
      <c r="I4663" s="34">
        <f>Table3[[#This Row],[Volume, kg.]]/1000</f>
        <v>56.98</v>
      </c>
      <c r="J4663" s="34">
        <v>0.25069999999999998</v>
      </c>
      <c r="K4663" s="34">
        <f t="shared" si="144"/>
        <v>14284.885999999999</v>
      </c>
      <c r="L4663" s="34">
        <v>2.4900000000000002</v>
      </c>
      <c r="M4663" s="34">
        <v>141919.5</v>
      </c>
      <c r="N4663" s="34">
        <f t="shared" si="145"/>
        <v>9.9321898683685692</v>
      </c>
    </row>
    <row r="4664" spans="1:14" x14ac:dyDescent="0.45">
      <c r="A4664" s="30">
        <v>2024</v>
      </c>
      <c r="B4664" s="30" t="s">
        <v>19</v>
      </c>
      <c r="C4664" s="30" t="s">
        <v>46</v>
      </c>
      <c r="D4664" s="30" t="s">
        <v>102</v>
      </c>
      <c r="E4664" s="32" t="s">
        <v>710</v>
      </c>
      <c r="F4664" s="32" t="s">
        <v>189</v>
      </c>
      <c r="G4664" s="32" t="s">
        <v>128</v>
      </c>
      <c r="H4664" s="33">
        <v>182310</v>
      </c>
      <c r="I4664" s="34">
        <f>Table3[[#This Row],[Volume, kg.]]/1000</f>
        <v>182.31</v>
      </c>
      <c r="J4664" s="34">
        <v>0.25969999999999999</v>
      </c>
      <c r="K4664" s="34">
        <f t="shared" si="144"/>
        <v>47345.906999999999</v>
      </c>
      <c r="L4664" s="34">
        <v>2.4500000000000002</v>
      </c>
      <c r="M4664" s="34">
        <v>446754</v>
      </c>
      <c r="N4664" s="34">
        <f t="shared" si="145"/>
        <v>9.433962264150944</v>
      </c>
    </row>
    <row r="4665" spans="1:14" x14ac:dyDescent="0.45">
      <c r="A4665" s="30">
        <v>2024</v>
      </c>
      <c r="B4665" s="30" t="s">
        <v>19</v>
      </c>
      <c r="C4665" s="30" t="s">
        <v>46</v>
      </c>
      <c r="D4665" s="30" t="s">
        <v>47</v>
      </c>
      <c r="E4665" s="32" t="s">
        <v>87</v>
      </c>
      <c r="F4665" s="32" t="s">
        <v>49</v>
      </c>
      <c r="G4665" s="32" t="s">
        <v>50</v>
      </c>
      <c r="H4665" s="33">
        <v>4600</v>
      </c>
      <c r="I4665" s="34">
        <f>Table3[[#This Row],[Volume, kg.]]/1000</f>
        <v>4.5999999999999996</v>
      </c>
      <c r="J4665" s="34">
        <v>0.29499999999999998</v>
      </c>
      <c r="K4665" s="34">
        <f t="shared" si="144"/>
        <v>1357</v>
      </c>
      <c r="L4665" s="34">
        <v>2.65</v>
      </c>
      <c r="M4665" s="34">
        <v>12190</v>
      </c>
      <c r="N4665" s="34">
        <f t="shared" si="145"/>
        <v>8.9830508474576281</v>
      </c>
    </row>
    <row r="4666" spans="1:14" x14ac:dyDescent="0.45">
      <c r="A4666" s="30">
        <v>2024</v>
      </c>
      <c r="B4666" s="30" t="s">
        <v>19</v>
      </c>
      <c r="C4666" s="30" t="s">
        <v>46</v>
      </c>
      <c r="D4666" s="30" t="s">
        <v>47</v>
      </c>
      <c r="E4666" s="32" t="s">
        <v>155</v>
      </c>
      <c r="F4666" s="32" t="s">
        <v>64</v>
      </c>
      <c r="G4666" s="32" t="s">
        <v>50</v>
      </c>
      <c r="H4666" s="33">
        <v>12030</v>
      </c>
      <c r="I4666" s="34">
        <f>Table3[[#This Row],[Volume, kg.]]/1000</f>
        <v>12.03</v>
      </c>
      <c r="J4666" s="34">
        <v>0.23499999999999999</v>
      </c>
      <c r="K4666" s="34">
        <f t="shared" si="144"/>
        <v>2827.0499999999997</v>
      </c>
      <c r="L4666" s="34">
        <v>2.5499999999999998</v>
      </c>
      <c r="M4666" s="34">
        <v>30676.5</v>
      </c>
      <c r="N4666" s="34">
        <f t="shared" si="145"/>
        <v>10.851063829787234</v>
      </c>
    </row>
    <row r="4667" spans="1:14" x14ac:dyDescent="0.45">
      <c r="A4667" s="30">
        <v>2024</v>
      </c>
      <c r="B4667" s="30" t="s">
        <v>19</v>
      </c>
      <c r="C4667" s="30" t="s">
        <v>46</v>
      </c>
      <c r="D4667" s="30" t="s">
        <v>47</v>
      </c>
      <c r="E4667" s="32" t="s">
        <v>227</v>
      </c>
      <c r="F4667" s="32" t="s">
        <v>57</v>
      </c>
      <c r="G4667" s="32" t="s">
        <v>50</v>
      </c>
      <c r="H4667" s="33">
        <v>7860</v>
      </c>
      <c r="I4667" s="34">
        <f>Table3[[#This Row],[Volume, kg.]]/1000</f>
        <v>7.86</v>
      </c>
      <c r="J4667" s="34">
        <v>0.30449999999999999</v>
      </c>
      <c r="K4667" s="34">
        <f t="shared" si="144"/>
        <v>2393.37</v>
      </c>
      <c r="L4667" s="34">
        <v>2.75</v>
      </c>
      <c r="M4667" s="34">
        <v>21615</v>
      </c>
      <c r="N4667" s="34">
        <f t="shared" si="145"/>
        <v>9.0311986863711002</v>
      </c>
    </row>
    <row r="4668" spans="1:14" x14ac:dyDescent="0.45">
      <c r="A4668" s="30">
        <v>2024</v>
      </c>
      <c r="B4668" s="30" t="s">
        <v>19</v>
      </c>
      <c r="C4668" s="30" t="s">
        <v>46</v>
      </c>
      <c r="D4668" s="30" t="s">
        <v>47</v>
      </c>
      <c r="E4668" s="32" t="s">
        <v>159</v>
      </c>
      <c r="F4668" s="32" t="s">
        <v>81</v>
      </c>
      <c r="G4668" s="32" t="s">
        <v>50</v>
      </c>
      <c r="H4668" s="33">
        <v>217740</v>
      </c>
      <c r="I4668" s="34">
        <f>Table3[[#This Row],[Volume, kg.]]/1000</f>
        <v>217.74</v>
      </c>
      <c r="J4668" s="34">
        <v>0.27940000000000004</v>
      </c>
      <c r="K4668" s="34">
        <f t="shared" si="144"/>
        <v>60836.556000000011</v>
      </c>
      <c r="L4668" s="34">
        <v>2.58</v>
      </c>
      <c r="M4668" s="34">
        <v>562789.5</v>
      </c>
      <c r="N4668" s="34">
        <f t="shared" si="145"/>
        <v>9.2340730136005718</v>
      </c>
    </row>
    <row r="4669" spans="1:14" x14ac:dyDescent="0.45">
      <c r="A4669" s="30">
        <v>2024</v>
      </c>
      <c r="B4669" s="30" t="s">
        <v>19</v>
      </c>
      <c r="C4669" s="30" t="s">
        <v>46</v>
      </c>
      <c r="D4669" s="30" t="s">
        <v>47</v>
      </c>
      <c r="E4669" s="32" t="s">
        <v>228</v>
      </c>
      <c r="F4669" s="32" t="s">
        <v>64</v>
      </c>
      <c r="G4669" s="32" t="s">
        <v>50</v>
      </c>
      <c r="H4669" s="33">
        <v>16890</v>
      </c>
      <c r="I4669" s="34">
        <f>Table3[[#This Row],[Volume, kg.]]/1000</f>
        <v>16.89</v>
      </c>
      <c r="J4669" s="34">
        <v>0.2445</v>
      </c>
      <c r="K4669" s="34">
        <f t="shared" si="144"/>
        <v>4129.6049999999996</v>
      </c>
      <c r="L4669" s="34">
        <v>2.5499999999999998</v>
      </c>
      <c r="M4669" s="34">
        <v>43069.5</v>
      </c>
      <c r="N4669" s="34">
        <f t="shared" si="145"/>
        <v>10.429447852760736</v>
      </c>
    </row>
    <row r="4670" spans="1:14" x14ac:dyDescent="0.45">
      <c r="A4670" s="30">
        <v>2024</v>
      </c>
      <c r="B4670" s="30" t="s">
        <v>19</v>
      </c>
      <c r="C4670" s="30" t="s">
        <v>46</v>
      </c>
      <c r="D4670" s="30" t="s">
        <v>47</v>
      </c>
      <c r="E4670" s="32" t="s">
        <v>101</v>
      </c>
      <c r="F4670" s="32" t="s">
        <v>64</v>
      </c>
      <c r="G4670" s="32" t="s">
        <v>50</v>
      </c>
      <c r="H4670" s="33">
        <v>51090</v>
      </c>
      <c r="I4670" s="34">
        <f>Table3[[#This Row],[Volume, kg.]]/1000</f>
        <v>51.09</v>
      </c>
      <c r="J4670" s="34">
        <v>0.28770000000000001</v>
      </c>
      <c r="K4670" s="34">
        <f t="shared" si="144"/>
        <v>14698.593000000001</v>
      </c>
      <c r="L4670" s="34">
        <v>2.71</v>
      </c>
      <c r="M4670" s="34">
        <v>138561</v>
      </c>
      <c r="N4670" s="34">
        <f t="shared" si="145"/>
        <v>9.4195342370524848</v>
      </c>
    </row>
    <row r="4671" spans="1:14" x14ac:dyDescent="0.45">
      <c r="A4671" s="30">
        <v>2024</v>
      </c>
      <c r="B4671" s="30" t="s">
        <v>19</v>
      </c>
      <c r="C4671" s="30" t="s">
        <v>46</v>
      </c>
      <c r="D4671" s="30" t="s">
        <v>47</v>
      </c>
      <c r="E4671" s="32" t="s">
        <v>146</v>
      </c>
      <c r="F4671" s="32" t="s">
        <v>64</v>
      </c>
      <c r="G4671" s="32" t="s">
        <v>50</v>
      </c>
      <c r="H4671" s="33">
        <v>61610</v>
      </c>
      <c r="I4671" s="34">
        <f>Table3[[#This Row],[Volume, kg.]]/1000</f>
        <v>61.61</v>
      </c>
      <c r="J4671" s="34">
        <v>0.24940000000000001</v>
      </c>
      <c r="K4671" s="34">
        <f t="shared" si="144"/>
        <v>15365.534000000001</v>
      </c>
      <c r="L4671" s="34">
        <v>2.48</v>
      </c>
      <c r="M4671" s="34">
        <v>152738.5</v>
      </c>
      <c r="N4671" s="34">
        <f t="shared" si="145"/>
        <v>9.9438652766639937</v>
      </c>
    </row>
    <row r="4672" spans="1:14" x14ac:dyDescent="0.45">
      <c r="A4672" s="30">
        <v>2024</v>
      </c>
      <c r="B4672" s="30" t="s">
        <v>19</v>
      </c>
      <c r="C4672" s="30" t="s">
        <v>46</v>
      </c>
      <c r="D4672" s="30" t="s">
        <v>47</v>
      </c>
      <c r="E4672" s="32" t="s">
        <v>510</v>
      </c>
      <c r="F4672" s="32" t="s">
        <v>49</v>
      </c>
      <c r="G4672" s="32" t="s">
        <v>50</v>
      </c>
      <c r="H4672" s="33">
        <v>19380</v>
      </c>
      <c r="I4672" s="34">
        <f>Table3[[#This Row],[Volume, kg.]]/1000</f>
        <v>19.38</v>
      </c>
      <c r="J4672" s="34">
        <v>0.25890000000000002</v>
      </c>
      <c r="K4672" s="34">
        <f t="shared" si="144"/>
        <v>5017.482</v>
      </c>
      <c r="L4672" s="34">
        <v>2.5</v>
      </c>
      <c r="M4672" s="34">
        <v>48438</v>
      </c>
      <c r="N4672" s="34">
        <f t="shared" si="145"/>
        <v>9.6562379297025878</v>
      </c>
    </row>
    <row r="4673" spans="1:14" x14ac:dyDescent="0.45">
      <c r="A4673" s="30">
        <v>2024</v>
      </c>
      <c r="B4673" s="30" t="s">
        <v>19</v>
      </c>
      <c r="C4673" s="30" t="s">
        <v>46</v>
      </c>
      <c r="D4673" s="30" t="s">
        <v>47</v>
      </c>
      <c r="E4673" s="32" t="s">
        <v>53</v>
      </c>
      <c r="F4673" s="32" t="s">
        <v>54</v>
      </c>
      <c r="G4673" s="32" t="s">
        <v>50</v>
      </c>
      <c r="H4673" s="33">
        <v>21890</v>
      </c>
      <c r="I4673" s="34">
        <f>Table3[[#This Row],[Volume, kg.]]/1000</f>
        <v>21.89</v>
      </c>
      <c r="J4673" s="34">
        <v>0.3019</v>
      </c>
      <c r="K4673" s="34">
        <f t="shared" si="144"/>
        <v>6608.5910000000003</v>
      </c>
      <c r="L4673" s="34">
        <v>2.71</v>
      </c>
      <c r="M4673" s="34">
        <v>59346</v>
      </c>
      <c r="N4673" s="34">
        <f t="shared" si="145"/>
        <v>8.9764822789002974</v>
      </c>
    </row>
    <row r="4674" spans="1:14" x14ac:dyDescent="0.45">
      <c r="A4674" s="30">
        <v>2024</v>
      </c>
      <c r="B4674" s="30" t="s">
        <v>19</v>
      </c>
      <c r="C4674" s="30" t="s">
        <v>46</v>
      </c>
      <c r="D4674" s="30" t="s">
        <v>47</v>
      </c>
      <c r="E4674" s="32" t="s">
        <v>130</v>
      </c>
      <c r="F4674" s="32" t="s">
        <v>64</v>
      </c>
      <c r="G4674" s="32" t="s">
        <v>50</v>
      </c>
      <c r="H4674" s="33">
        <v>59030</v>
      </c>
      <c r="I4674" s="34">
        <f>Table3[[#This Row],[Volume, kg.]]/1000</f>
        <v>59.03</v>
      </c>
      <c r="J4674" s="34">
        <v>0.24050000000000002</v>
      </c>
      <c r="K4674" s="34">
        <f t="shared" si="144"/>
        <v>14196.715000000002</v>
      </c>
      <c r="L4674" s="34">
        <v>2.44</v>
      </c>
      <c r="M4674" s="34">
        <v>143773</v>
      </c>
      <c r="N4674" s="34">
        <f t="shared" si="145"/>
        <v>10.145530145530145</v>
      </c>
    </row>
    <row r="4675" spans="1:14" x14ac:dyDescent="0.45">
      <c r="A4675" s="30">
        <v>2024</v>
      </c>
      <c r="B4675" s="30" t="s">
        <v>19</v>
      </c>
      <c r="C4675" s="30" t="s">
        <v>46</v>
      </c>
      <c r="D4675" s="30" t="s">
        <v>102</v>
      </c>
      <c r="E4675" s="32" t="s">
        <v>658</v>
      </c>
      <c r="F4675" s="32" t="s">
        <v>64</v>
      </c>
      <c r="G4675" s="32" t="s">
        <v>50</v>
      </c>
      <c r="H4675" s="33">
        <v>161160</v>
      </c>
      <c r="I4675" s="34">
        <f>Table3[[#This Row],[Volume, kg.]]/1000</f>
        <v>161.16</v>
      </c>
      <c r="J4675" s="34">
        <v>0.26269999999999999</v>
      </c>
      <c r="K4675" s="34">
        <f t="shared" ref="K4675:K4738" si="146">H4675*J4675</f>
        <v>42336.731999999996</v>
      </c>
      <c r="L4675" s="34">
        <v>2.54</v>
      </c>
      <c r="M4675" s="34">
        <v>410026.5</v>
      </c>
      <c r="N4675" s="34">
        <f t="shared" si="145"/>
        <v>9.6688237533307966</v>
      </c>
    </row>
    <row r="4676" spans="1:14" x14ac:dyDescent="0.45">
      <c r="A4676" s="30">
        <v>2024</v>
      </c>
      <c r="B4676" s="30" t="s">
        <v>19</v>
      </c>
      <c r="C4676" s="30" t="s">
        <v>46</v>
      </c>
      <c r="D4676" s="30" t="s">
        <v>47</v>
      </c>
      <c r="E4676" s="32" t="s">
        <v>78</v>
      </c>
      <c r="F4676" s="32" t="s">
        <v>49</v>
      </c>
      <c r="G4676" s="32" t="s">
        <v>50</v>
      </c>
      <c r="H4676" s="33">
        <v>18890</v>
      </c>
      <c r="I4676" s="34">
        <f>Table3[[#This Row],[Volume, kg.]]/1000</f>
        <v>18.89</v>
      </c>
      <c r="J4676" s="34">
        <v>0.28199999999999997</v>
      </c>
      <c r="K4676" s="34">
        <f t="shared" si="146"/>
        <v>5326.98</v>
      </c>
      <c r="L4676" s="34">
        <v>2.64</v>
      </c>
      <c r="M4676" s="34">
        <v>49779</v>
      </c>
      <c r="N4676" s="34">
        <f t="shared" ref="N4676:N4739" si="147">L4676/J4676</f>
        <v>9.3617021276595764</v>
      </c>
    </row>
    <row r="4677" spans="1:14" x14ac:dyDescent="0.45">
      <c r="A4677" s="30">
        <v>2024</v>
      </c>
      <c r="B4677" s="30" t="s">
        <v>19</v>
      </c>
      <c r="C4677" s="30" t="s">
        <v>46</v>
      </c>
      <c r="D4677" s="30" t="s">
        <v>47</v>
      </c>
      <c r="E4677" s="32" t="s">
        <v>252</v>
      </c>
      <c r="F4677" s="32" t="s">
        <v>49</v>
      </c>
      <c r="G4677" s="32" t="s">
        <v>50</v>
      </c>
      <c r="H4677" s="33">
        <v>20590</v>
      </c>
      <c r="I4677" s="34">
        <f>Table3[[#This Row],[Volume, kg.]]/1000</f>
        <v>20.59</v>
      </c>
      <c r="J4677" s="34">
        <v>0.30719999999999997</v>
      </c>
      <c r="K4677" s="34">
        <f t="shared" si="146"/>
        <v>6325.2479999999996</v>
      </c>
      <c r="L4677" s="34">
        <v>2.72</v>
      </c>
      <c r="M4677" s="34">
        <v>56077.5</v>
      </c>
      <c r="N4677" s="34">
        <f t="shared" si="147"/>
        <v>8.8541666666666679</v>
      </c>
    </row>
    <row r="4678" spans="1:14" x14ac:dyDescent="0.45">
      <c r="A4678" s="30">
        <v>2024</v>
      </c>
      <c r="B4678" s="30" t="s">
        <v>19</v>
      </c>
      <c r="C4678" s="30" t="s">
        <v>46</v>
      </c>
      <c r="D4678" s="30" t="s">
        <v>47</v>
      </c>
      <c r="E4678" s="32" t="s">
        <v>95</v>
      </c>
      <c r="F4678" s="32" t="s">
        <v>49</v>
      </c>
      <c r="G4678" s="32" t="s">
        <v>50</v>
      </c>
      <c r="H4678" s="33">
        <v>28380</v>
      </c>
      <c r="I4678" s="34">
        <f>Table3[[#This Row],[Volume, kg.]]/1000</f>
        <v>28.38</v>
      </c>
      <c r="J4678" s="34">
        <v>0.2737</v>
      </c>
      <c r="K4678" s="34">
        <f t="shared" si="146"/>
        <v>7767.6059999999998</v>
      </c>
      <c r="L4678" s="34">
        <v>2.64</v>
      </c>
      <c r="M4678" s="34">
        <v>74894</v>
      </c>
      <c r="N4678" s="34">
        <f t="shared" si="147"/>
        <v>9.6455973693825356</v>
      </c>
    </row>
    <row r="4679" spans="1:14" x14ac:dyDescent="0.45">
      <c r="A4679" s="30">
        <v>2024</v>
      </c>
      <c r="B4679" s="30" t="s">
        <v>19</v>
      </c>
      <c r="C4679" s="30" t="s">
        <v>46</v>
      </c>
      <c r="D4679" s="30" t="s">
        <v>47</v>
      </c>
      <c r="E4679" s="32" t="s">
        <v>205</v>
      </c>
      <c r="F4679" s="32" t="s">
        <v>49</v>
      </c>
      <c r="G4679" s="32" t="s">
        <v>50</v>
      </c>
      <c r="H4679" s="33">
        <v>250930</v>
      </c>
      <c r="I4679" s="34">
        <f>Table3[[#This Row],[Volume, kg.]]/1000</f>
        <v>250.93</v>
      </c>
      <c r="J4679" s="34">
        <v>0.27079999999999999</v>
      </c>
      <c r="K4679" s="34">
        <f t="shared" si="146"/>
        <v>67951.843999999997</v>
      </c>
      <c r="L4679" s="34">
        <v>2.5499999999999998</v>
      </c>
      <c r="M4679" s="34">
        <v>639773</v>
      </c>
      <c r="N4679" s="34">
        <f t="shared" si="147"/>
        <v>9.4165435745937955</v>
      </c>
    </row>
    <row r="4680" spans="1:14" x14ac:dyDescent="0.45">
      <c r="A4680" s="30">
        <v>2024</v>
      </c>
      <c r="B4680" s="30" t="s">
        <v>19</v>
      </c>
      <c r="C4680" s="30" t="s">
        <v>46</v>
      </c>
      <c r="D4680" s="30" t="s">
        <v>47</v>
      </c>
      <c r="E4680" s="32" t="s">
        <v>410</v>
      </c>
      <c r="F4680" s="32" t="s">
        <v>54</v>
      </c>
      <c r="G4680" s="32" t="s">
        <v>50</v>
      </c>
      <c r="H4680" s="33">
        <v>4540</v>
      </c>
      <c r="I4680" s="34">
        <f>Table3[[#This Row],[Volume, kg.]]/1000</f>
        <v>4.54</v>
      </c>
      <c r="J4680" s="34">
        <v>0.26400000000000001</v>
      </c>
      <c r="K4680" s="34">
        <f t="shared" si="146"/>
        <v>1198.56</v>
      </c>
      <c r="L4680" s="34">
        <v>2.5499999999999998</v>
      </c>
      <c r="M4680" s="34">
        <v>11577</v>
      </c>
      <c r="N4680" s="34">
        <f t="shared" si="147"/>
        <v>9.6590909090909083</v>
      </c>
    </row>
    <row r="4681" spans="1:14" x14ac:dyDescent="0.45">
      <c r="A4681" s="30">
        <v>2024</v>
      </c>
      <c r="B4681" s="30" t="s">
        <v>19</v>
      </c>
      <c r="C4681" s="30" t="s">
        <v>46</v>
      </c>
      <c r="D4681" s="30" t="s">
        <v>102</v>
      </c>
      <c r="E4681" s="32" t="s">
        <v>414</v>
      </c>
      <c r="F4681" s="32" t="s">
        <v>415</v>
      </c>
      <c r="G4681" s="32" t="s">
        <v>50</v>
      </c>
      <c r="H4681" s="33">
        <v>241500</v>
      </c>
      <c r="I4681" s="34">
        <f>Table3[[#This Row],[Volume, kg.]]/1000</f>
        <v>241.5</v>
      </c>
      <c r="J4681" s="34">
        <v>0.2462</v>
      </c>
      <c r="K4681" s="34">
        <f t="shared" si="146"/>
        <v>59457.3</v>
      </c>
      <c r="L4681" s="34">
        <v>2.46</v>
      </c>
      <c r="M4681" s="34">
        <v>593989</v>
      </c>
      <c r="N4681" s="34">
        <f t="shared" si="147"/>
        <v>9.9918765231519089</v>
      </c>
    </row>
    <row r="4682" spans="1:14" x14ac:dyDescent="0.45">
      <c r="A4682" s="30">
        <v>2024</v>
      </c>
      <c r="B4682" s="30" t="s">
        <v>19</v>
      </c>
      <c r="C4682" s="30" t="s">
        <v>46</v>
      </c>
      <c r="D4682" s="30" t="s">
        <v>102</v>
      </c>
      <c r="E4682" s="32" t="s">
        <v>418</v>
      </c>
      <c r="F4682" s="32" t="s">
        <v>104</v>
      </c>
      <c r="G4682" s="32" t="s">
        <v>105</v>
      </c>
      <c r="H4682" s="33">
        <v>242210</v>
      </c>
      <c r="I4682" s="34">
        <f>Table3[[#This Row],[Volume, kg.]]/1000</f>
        <v>242.21</v>
      </c>
      <c r="J4682" s="34">
        <v>0.25650000000000001</v>
      </c>
      <c r="K4682" s="34">
        <f t="shared" si="146"/>
        <v>62126.864999999998</v>
      </c>
      <c r="L4682" s="34">
        <v>2.5299999999999998</v>
      </c>
      <c r="M4682" s="34">
        <v>611900.5</v>
      </c>
      <c r="N4682" s="34">
        <f t="shared" si="147"/>
        <v>9.8635477582846001</v>
      </c>
    </row>
    <row r="4683" spans="1:14" x14ac:dyDescent="0.45">
      <c r="A4683" s="30">
        <v>2024</v>
      </c>
      <c r="B4683" s="30" t="s">
        <v>19</v>
      </c>
      <c r="C4683" s="30" t="s">
        <v>46</v>
      </c>
      <c r="D4683" s="30" t="s">
        <v>47</v>
      </c>
      <c r="E4683" s="32" t="s">
        <v>434</v>
      </c>
      <c r="F4683" s="32" t="s">
        <v>57</v>
      </c>
      <c r="G4683" s="32" t="s">
        <v>50</v>
      </c>
      <c r="H4683" s="33">
        <v>90630</v>
      </c>
      <c r="I4683" s="34">
        <f>Table3[[#This Row],[Volume, kg.]]/1000</f>
        <v>90.63</v>
      </c>
      <c r="J4683" s="34">
        <v>0.27899999999999997</v>
      </c>
      <c r="K4683" s="34">
        <f t="shared" si="146"/>
        <v>25285.769999999997</v>
      </c>
      <c r="L4683" s="34">
        <v>2.61</v>
      </c>
      <c r="M4683" s="34">
        <v>236628.5</v>
      </c>
      <c r="N4683" s="34">
        <f t="shared" si="147"/>
        <v>9.3548387096774199</v>
      </c>
    </row>
    <row r="4684" spans="1:14" x14ac:dyDescent="0.45">
      <c r="A4684" s="30">
        <v>2024</v>
      </c>
      <c r="B4684" s="30" t="s">
        <v>19</v>
      </c>
      <c r="C4684" s="30" t="s">
        <v>46</v>
      </c>
      <c r="D4684" s="30" t="s">
        <v>47</v>
      </c>
      <c r="E4684" s="32" t="s">
        <v>452</v>
      </c>
      <c r="F4684" s="32" t="s">
        <v>134</v>
      </c>
      <c r="G4684" s="32" t="s">
        <v>50</v>
      </c>
      <c r="H4684" s="33">
        <v>17970</v>
      </c>
      <c r="I4684" s="34">
        <f>Table3[[#This Row],[Volume, kg.]]/1000</f>
        <v>17.97</v>
      </c>
      <c r="J4684" s="34">
        <v>0.26450000000000001</v>
      </c>
      <c r="K4684" s="34">
        <f t="shared" si="146"/>
        <v>4753.0650000000005</v>
      </c>
      <c r="L4684" s="34">
        <v>2.5499999999999998</v>
      </c>
      <c r="M4684" s="34">
        <v>45823.5</v>
      </c>
      <c r="N4684" s="34">
        <f t="shared" si="147"/>
        <v>9.6408317580340253</v>
      </c>
    </row>
    <row r="4685" spans="1:14" x14ac:dyDescent="0.45">
      <c r="A4685" s="30">
        <v>2024</v>
      </c>
      <c r="B4685" s="30" t="s">
        <v>19</v>
      </c>
      <c r="C4685" s="30" t="s">
        <v>46</v>
      </c>
      <c r="D4685" s="30" t="s">
        <v>102</v>
      </c>
      <c r="E4685" s="32" t="s">
        <v>552</v>
      </c>
      <c r="F4685" s="32" t="s">
        <v>238</v>
      </c>
      <c r="G4685" s="32" t="s">
        <v>50</v>
      </c>
      <c r="H4685" s="33">
        <v>149860</v>
      </c>
      <c r="I4685" s="34">
        <f>Table3[[#This Row],[Volume, kg.]]/1000</f>
        <v>149.86000000000001</v>
      </c>
      <c r="J4685" s="34">
        <v>0.249</v>
      </c>
      <c r="K4685" s="34">
        <f t="shared" si="146"/>
        <v>37315.14</v>
      </c>
      <c r="L4685" s="34">
        <v>2.39</v>
      </c>
      <c r="M4685" s="34">
        <v>358092.5</v>
      </c>
      <c r="N4685" s="34">
        <f t="shared" si="147"/>
        <v>9.5983935742971891</v>
      </c>
    </row>
    <row r="4686" spans="1:14" x14ac:dyDescent="0.45">
      <c r="A4686" s="30">
        <v>2024</v>
      </c>
      <c r="B4686" s="30" t="s">
        <v>19</v>
      </c>
      <c r="C4686" s="30" t="s">
        <v>46</v>
      </c>
      <c r="D4686" s="30" t="s">
        <v>47</v>
      </c>
      <c r="E4686" s="32" t="s">
        <v>586</v>
      </c>
      <c r="F4686" s="32" t="s">
        <v>64</v>
      </c>
      <c r="G4686" s="32" t="s">
        <v>50</v>
      </c>
      <c r="H4686" s="33">
        <v>39740</v>
      </c>
      <c r="I4686" s="34">
        <f>Table3[[#This Row],[Volume, kg.]]/1000</f>
        <v>39.74</v>
      </c>
      <c r="J4686" s="34">
        <v>0.2621</v>
      </c>
      <c r="K4686" s="34">
        <f t="shared" si="146"/>
        <v>10415.853999999999</v>
      </c>
      <c r="L4686" s="34">
        <v>2.5299999999999998</v>
      </c>
      <c r="M4686" s="34">
        <v>100435</v>
      </c>
      <c r="N4686" s="34">
        <f t="shared" si="147"/>
        <v>9.6528042731781749</v>
      </c>
    </row>
    <row r="4687" spans="1:14" x14ac:dyDescent="0.45">
      <c r="A4687" s="30">
        <v>2024</v>
      </c>
      <c r="B4687" s="30" t="s">
        <v>19</v>
      </c>
      <c r="C4687" s="30" t="s">
        <v>46</v>
      </c>
      <c r="D4687" s="30" t="s">
        <v>47</v>
      </c>
      <c r="E4687" s="32" t="s">
        <v>588</v>
      </c>
      <c r="F4687" s="32" t="s">
        <v>223</v>
      </c>
      <c r="G4687" s="32" t="s">
        <v>50</v>
      </c>
      <c r="H4687" s="33">
        <v>73550</v>
      </c>
      <c r="I4687" s="34">
        <f>Table3[[#This Row],[Volume, kg.]]/1000</f>
        <v>73.55</v>
      </c>
      <c r="J4687" s="34">
        <v>0.28520000000000001</v>
      </c>
      <c r="K4687" s="34">
        <f t="shared" si="146"/>
        <v>20976.46</v>
      </c>
      <c r="L4687" s="34">
        <v>2.63</v>
      </c>
      <c r="M4687" s="34">
        <v>193771.5</v>
      </c>
      <c r="N4687" s="34">
        <f t="shared" si="147"/>
        <v>9.2215988779803642</v>
      </c>
    </row>
    <row r="4688" spans="1:14" x14ac:dyDescent="0.45">
      <c r="A4688" s="30">
        <v>2024</v>
      </c>
      <c r="B4688" s="30" t="s">
        <v>19</v>
      </c>
      <c r="C4688" s="30" t="s">
        <v>46</v>
      </c>
      <c r="D4688" s="30" t="s">
        <v>47</v>
      </c>
      <c r="E4688" s="32" t="s">
        <v>592</v>
      </c>
      <c r="F4688" s="32" t="s">
        <v>223</v>
      </c>
      <c r="G4688" s="32" t="s">
        <v>50</v>
      </c>
      <c r="H4688" s="33">
        <v>92040</v>
      </c>
      <c r="I4688" s="34">
        <f>Table3[[#This Row],[Volume, kg.]]/1000</f>
        <v>92.04</v>
      </c>
      <c r="J4688" s="34">
        <v>0.27100000000000002</v>
      </c>
      <c r="K4688" s="34">
        <f t="shared" si="146"/>
        <v>24942.84</v>
      </c>
      <c r="L4688" s="34">
        <v>2.5499999999999998</v>
      </c>
      <c r="M4688" s="34">
        <v>234301.5</v>
      </c>
      <c r="N4688" s="34">
        <f t="shared" si="147"/>
        <v>9.4095940959409585</v>
      </c>
    </row>
    <row r="4689" spans="1:14" x14ac:dyDescent="0.45">
      <c r="A4689" s="30">
        <v>2024</v>
      </c>
      <c r="B4689" s="30" t="s">
        <v>19</v>
      </c>
      <c r="C4689" s="30" t="s">
        <v>46</v>
      </c>
      <c r="D4689" s="30" t="s">
        <v>47</v>
      </c>
      <c r="E4689" s="32" t="s">
        <v>595</v>
      </c>
      <c r="F4689" s="32" t="s">
        <v>64</v>
      </c>
      <c r="G4689" s="32" t="s">
        <v>50</v>
      </c>
      <c r="H4689" s="33">
        <v>32340</v>
      </c>
      <c r="I4689" s="34">
        <f>Table3[[#This Row],[Volume, kg.]]/1000</f>
        <v>32.340000000000003</v>
      </c>
      <c r="J4689" s="34">
        <v>0.27360000000000001</v>
      </c>
      <c r="K4689" s="34">
        <f t="shared" si="146"/>
        <v>8848.2240000000002</v>
      </c>
      <c r="L4689" s="34">
        <v>2.5499999999999998</v>
      </c>
      <c r="M4689" s="34">
        <v>82593</v>
      </c>
      <c r="N4689" s="34">
        <f t="shared" si="147"/>
        <v>9.3201754385964897</v>
      </c>
    </row>
    <row r="4690" spans="1:14" x14ac:dyDescent="0.45">
      <c r="A4690" s="30">
        <v>2024</v>
      </c>
      <c r="B4690" s="30" t="s">
        <v>19</v>
      </c>
      <c r="C4690" s="30" t="s">
        <v>46</v>
      </c>
      <c r="D4690" s="30" t="s">
        <v>47</v>
      </c>
      <c r="E4690" s="32" t="s">
        <v>607</v>
      </c>
      <c r="F4690" s="32" t="s">
        <v>81</v>
      </c>
      <c r="G4690" s="32" t="s">
        <v>50</v>
      </c>
      <c r="H4690" s="33">
        <v>20140</v>
      </c>
      <c r="I4690" s="34">
        <f>Table3[[#This Row],[Volume, kg.]]/1000</f>
        <v>20.14</v>
      </c>
      <c r="J4690" s="34">
        <v>0.2944</v>
      </c>
      <c r="K4690" s="34">
        <f t="shared" si="146"/>
        <v>5929.2160000000003</v>
      </c>
      <c r="L4690" s="34">
        <v>2.68</v>
      </c>
      <c r="M4690" s="34">
        <v>54001</v>
      </c>
      <c r="N4690" s="34">
        <f t="shared" si="147"/>
        <v>9.1032608695652186</v>
      </c>
    </row>
    <row r="4691" spans="1:14" x14ac:dyDescent="0.45">
      <c r="A4691" s="30">
        <v>2024</v>
      </c>
      <c r="B4691" s="30" t="s">
        <v>19</v>
      </c>
      <c r="C4691" s="30" t="s">
        <v>46</v>
      </c>
      <c r="D4691" s="30" t="s">
        <v>47</v>
      </c>
      <c r="E4691" s="32" t="s">
        <v>614</v>
      </c>
      <c r="F4691" s="32" t="s">
        <v>223</v>
      </c>
      <c r="G4691" s="32" t="s">
        <v>50</v>
      </c>
      <c r="H4691" s="33">
        <v>120770</v>
      </c>
      <c r="I4691" s="34">
        <f>Table3[[#This Row],[Volume, kg.]]/1000</f>
        <v>120.77</v>
      </c>
      <c r="J4691" s="34">
        <v>0.31010000000000004</v>
      </c>
      <c r="K4691" s="34">
        <f t="shared" si="146"/>
        <v>37450.777000000002</v>
      </c>
      <c r="L4691" s="34">
        <v>2.7</v>
      </c>
      <c r="M4691" s="34">
        <v>326573</v>
      </c>
      <c r="N4691" s="34">
        <f t="shared" si="147"/>
        <v>8.7068687520154775</v>
      </c>
    </row>
    <row r="4692" spans="1:14" x14ac:dyDescent="0.45">
      <c r="A4692" s="30">
        <v>2024</v>
      </c>
      <c r="B4692" s="30" t="s">
        <v>19</v>
      </c>
      <c r="C4692" s="30" t="s">
        <v>46</v>
      </c>
      <c r="D4692" s="30" t="s">
        <v>102</v>
      </c>
      <c r="E4692" s="32" t="s">
        <v>695</v>
      </c>
      <c r="F4692" s="32" t="s">
        <v>696</v>
      </c>
      <c r="G4692" s="32" t="s">
        <v>557</v>
      </c>
      <c r="H4692" s="33">
        <v>952290</v>
      </c>
      <c r="I4692" s="34">
        <f>Table3[[#This Row],[Volume, kg.]]/1000</f>
        <v>952.29</v>
      </c>
      <c r="J4692" s="34">
        <v>0.25640000000000002</v>
      </c>
      <c r="K4692" s="34">
        <f t="shared" si="146"/>
        <v>244167.15600000002</v>
      </c>
      <c r="L4692" s="34">
        <v>2.48</v>
      </c>
      <c r="M4692" s="34">
        <v>2359912</v>
      </c>
      <c r="N4692" s="34">
        <f t="shared" si="147"/>
        <v>9.6723868954758192</v>
      </c>
    </row>
    <row r="4693" spans="1:14" x14ac:dyDescent="0.45">
      <c r="A4693" s="30">
        <v>2024</v>
      </c>
      <c r="B4693" s="30" t="s">
        <v>19</v>
      </c>
      <c r="C4693" s="30" t="s">
        <v>46</v>
      </c>
      <c r="D4693" s="30" t="s">
        <v>47</v>
      </c>
      <c r="E4693" s="32" t="s">
        <v>686</v>
      </c>
      <c r="F4693" s="32" t="s">
        <v>49</v>
      </c>
      <c r="G4693" s="32" t="s">
        <v>50</v>
      </c>
      <c r="H4693" s="33">
        <v>50860</v>
      </c>
      <c r="I4693" s="34">
        <f>Table3[[#This Row],[Volume, kg.]]/1000</f>
        <v>50.86</v>
      </c>
      <c r="J4693" s="34">
        <v>0.24829999999999999</v>
      </c>
      <c r="K4693" s="34">
        <f t="shared" si="146"/>
        <v>12628.538</v>
      </c>
      <c r="L4693" s="34">
        <v>2.5499999999999998</v>
      </c>
      <c r="M4693" s="34">
        <v>129919.5</v>
      </c>
      <c r="N4693" s="34">
        <f t="shared" si="147"/>
        <v>10.269834877164719</v>
      </c>
    </row>
    <row r="4694" spans="1:14" x14ac:dyDescent="0.45">
      <c r="A4694" s="30">
        <v>2024</v>
      </c>
      <c r="B4694" s="30" t="s">
        <v>19</v>
      </c>
      <c r="C4694" s="30" t="s">
        <v>46</v>
      </c>
      <c r="D4694" s="30" t="s">
        <v>47</v>
      </c>
      <c r="E4694" s="32" t="s">
        <v>688</v>
      </c>
      <c r="F4694" s="32" t="s">
        <v>60</v>
      </c>
      <c r="G4694" s="32" t="s">
        <v>50</v>
      </c>
      <c r="H4694" s="33">
        <v>12020</v>
      </c>
      <c r="I4694" s="34">
        <f>Table3[[#This Row],[Volume, kg.]]/1000</f>
        <v>12.02</v>
      </c>
      <c r="J4694" s="34">
        <v>0.30480000000000002</v>
      </c>
      <c r="K4694" s="34">
        <f t="shared" si="146"/>
        <v>3663.6960000000004</v>
      </c>
      <c r="L4694" s="34">
        <v>2.68</v>
      </c>
      <c r="M4694" s="34">
        <v>32207.5</v>
      </c>
      <c r="N4694" s="34">
        <f t="shared" si="147"/>
        <v>8.7926509186351716</v>
      </c>
    </row>
    <row r="4695" spans="1:14" x14ac:dyDescent="0.45">
      <c r="A4695" s="30">
        <v>2024</v>
      </c>
      <c r="B4695" s="30" t="s">
        <v>19</v>
      </c>
      <c r="C4695" s="30" t="s">
        <v>46</v>
      </c>
      <c r="D4695" s="30" t="s">
        <v>102</v>
      </c>
      <c r="E4695" s="32" t="s">
        <v>697</v>
      </c>
      <c r="F4695" s="32" t="s">
        <v>107</v>
      </c>
      <c r="G4695" s="32" t="s">
        <v>108</v>
      </c>
      <c r="H4695" s="33">
        <v>559860</v>
      </c>
      <c r="I4695" s="34">
        <f>Table3[[#This Row],[Volume, kg.]]/1000</f>
        <v>559.86</v>
      </c>
      <c r="J4695" s="34">
        <v>0.26719999999999999</v>
      </c>
      <c r="K4695" s="34">
        <f t="shared" si="146"/>
        <v>149594.592</v>
      </c>
      <c r="L4695" s="34">
        <v>2.5299999999999998</v>
      </c>
      <c r="M4695" s="34">
        <v>1416813.5</v>
      </c>
      <c r="N4695" s="34">
        <f t="shared" si="147"/>
        <v>9.4685628742514965</v>
      </c>
    </row>
    <row r="4696" spans="1:14" x14ac:dyDescent="0.45">
      <c r="A4696" s="30">
        <v>2024</v>
      </c>
      <c r="B4696" s="30" t="s">
        <v>19</v>
      </c>
      <c r="C4696" s="30" t="s">
        <v>46</v>
      </c>
      <c r="D4696" s="30" t="s">
        <v>102</v>
      </c>
      <c r="E4696" s="32" t="s">
        <v>702</v>
      </c>
      <c r="F4696" s="32" t="s">
        <v>189</v>
      </c>
      <c r="G4696" s="32" t="s">
        <v>128</v>
      </c>
      <c r="H4696" s="33">
        <v>350820</v>
      </c>
      <c r="I4696" s="34">
        <f>Table3[[#This Row],[Volume, kg.]]/1000</f>
        <v>350.82</v>
      </c>
      <c r="J4696" s="34">
        <v>0.26150000000000001</v>
      </c>
      <c r="K4696" s="34">
        <f t="shared" si="146"/>
        <v>91739.430000000008</v>
      </c>
      <c r="L4696" s="34">
        <v>2.52</v>
      </c>
      <c r="M4696" s="34">
        <v>882696.5</v>
      </c>
      <c r="N4696" s="34">
        <f t="shared" si="147"/>
        <v>9.6367112810707454</v>
      </c>
    </row>
    <row r="4697" spans="1:14" x14ac:dyDescent="0.45">
      <c r="A4697" s="30">
        <v>2024</v>
      </c>
      <c r="B4697" s="30" t="s">
        <v>19</v>
      </c>
      <c r="C4697" s="30" t="s">
        <v>46</v>
      </c>
      <c r="D4697" s="30" t="s">
        <v>102</v>
      </c>
      <c r="E4697" s="32" t="s">
        <v>703</v>
      </c>
      <c r="F4697" s="32" t="s">
        <v>704</v>
      </c>
      <c r="G4697" s="32" t="s">
        <v>705</v>
      </c>
      <c r="H4697" s="33">
        <v>710320</v>
      </c>
      <c r="I4697" s="34">
        <f>Table3[[#This Row],[Volume, kg.]]/1000</f>
        <v>710.32</v>
      </c>
      <c r="J4697" s="34">
        <v>0.24590000000000001</v>
      </c>
      <c r="K4697" s="34">
        <f t="shared" si="146"/>
        <v>174667.68799999999</v>
      </c>
      <c r="L4697" s="34">
        <v>2.41</v>
      </c>
      <c r="M4697" s="34">
        <v>1712199</v>
      </c>
      <c r="N4697" s="34">
        <f t="shared" si="147"/>
        <v>9.8007320048800324</v>
      </c>
    </row>
    <row r="4698" spans="1:14" x14ac:dyDescent="0.45">
      <c r="A4698" s="30">
        <v>2024</v>
      </c>
      <c r="B4698" s="30" t="s">
        <v>19</v>
      </c>
      <c r="C4698" s="30" t="s">
        <v>46</v>
      </c>
      <c r="D4698" s="30" t="s">
        <v>102</v>
      </c>
      <c r="E4698" s="32" t="s">
        <v>706</v>
      </c>
      <c r="F4698" s="32" t="s">
        <v>349</v>
      </c>
      <c r="G4698" s="32" t="s">
        <v>105</v>
      </c>
      <c r="H4698" s="33">
        <v>614220</v>
      </c>
      <c r="I4698" s="34">
        <f>Table3[[#This Row],[Volume, kg.]]/1000</f>
        <v>614.22</v>
      </c>
      <c r="J4698" s="34">
        <v>0.24230000000000002</v>
      </c>
      <c r="K4698" s="34">
        <f t="shared" si="146"/>
        <v>148825.50600000002</v>
      </c>
      <c r="L4698" s="34">
        <v>2.4300000000000002</v>
      </c>
      <c r="M4698" s="34">
        <v>1493254</v>
      </c>
      <c r="N4698" s="34">
        <f t="shared" si="147"/>
        <v>10.028889806025589</v>
      </c>
    </row>
    <row r="4699" spans="1:14" x14ac:dyDescent="0.45">
      <c r="A4699" s="30">
        <v>2024</v>
      </c>
      <c r="B4699" s="30" t="s">
        <v>19</v>
      </c>
      <c r="C4699" s="30" t="s">
        <v>46</v>
      </c>
      <c r="D4699" s="30" t="s">
        <v>102</v>
      </c>
      <c r="E4699" s="32" t="s">
        <v>707</v>
      </c>
      <c r="F4699" s="32" t="s">
        <v>331</v>
      </c>
      <c r="G4699" s="32" t="s">
        <v>105</v>
      </c>
      <c r="H4699" s="33">
        <v>98890</v>
      </c>
      <c r="I4699" s="34">
        <f>Table3[[#This Row],[Volume, kg.]]/1000</f>
        <v>98.89</v>
      </c>
      <c r="J4699" s="34">
        <v>0.24480000000000002</v>
      </c>
      <c r="K4699" s="34">
        <f t="shared" si="146"/>
        <v>24208.272000000001</v>
      </c>
      <c r="L4699" s="34">
        <v>2.5</v>
      </c>
      <c r="M4699" s="34">
        <v>247485.5</v>
      </c>
      <c r="N4699" s="34">
        <f t="shared" si="147"/>
        <v>10.212418300653594</v>
      </c>
    </row>
    <row r="4700" spans="1:14" x14ac:dyDescent="0.45">
      <c r="A4700" s="30">
        <v>2024</v>
      </c>
      <c r="B4700" s="30" t="s">
        <v>19</v>
      </c>
      <c r="C4700" s="30" t="s">
        <v>46</v>
      </c>
      <c r="D4700" s="30" t="s">
        <v>102</v>
      </c>
      <c r="E4700" s="32" t="s">
        <v>708</v>
      </c>
      <c r="F4700" s="32" t="s">
        <v>397</v>
      </c>
      <c r="G4700" s="32" t="s">
        <v>105</v>
      </c>
      <c r="H4700" s="33">
        <v>738900</v>
      </c>
      <c r="I4700" s="34">
        <f>Table3[[#This Row],[Volume, kg.]]/1000</f>
        <v>738.9</v>
      </c>
      <c r="J4700" s="34">
        <v>0.2455</v>
      </c>
      <c r="K4700" s="34">
        <f t="shared" si="146"/>
        <v>181399.94999999998</v>
      </c>
      <c r="L4700" s="34">
        <v>2.4</v>
      </c>
      <c r="M4700" s="34">
        <v>1773936.5</v>
      </c>
      <c r="N4700" s="34">
        <f t="shared" si="147"/>
        <v>9.7759674134419559</v>
      </c>
    </row>
    <row r="4701" spans="1:14" x14ac:dyDescent="0.45">
      <c r="A4701" s="30">
        <v>2024</v>
      </c>
      <c r="B4701" s="30" t="s">
        <v>19</v>
      </c>
      <c r="C4701" s="30" t="s">
        <v>46</v>
      </c>
      <c r="D4701" s="30" t="s">
        <v>47</v>
      </c>
      <c r="E4701" s="32" t="s">
        <v>709</v>
      </c>
      <c r="F4701" s="32" t="s">
        <v>49</v>
      </c>
      <c r="G4701" s="32" t="s">
        <v>50</v>
      </c>
      <c r="H4701" s="33">
        <v>16290</v>
      </c>
      <c r="I4701" s="34">
        <f>Table3[[#This Row],[Volume, kg.]]/1000</f>
        <v>16.29</v>
      </c>
      <c r="J4701" s="34">
        <v>0.24440000000000001</v>
      </c>
      <c r="K4701" s="34">
        <f t="shared" si="146"/>
        <v>3981.2760000000003</v>
      </c>
      <c r="L4701" s="34">
        <v>2.48</v>
      </c>
      <c r="M4701" s="34">
        <v>40326</v>
      </c>
      <c r="N4701" s="34">
        <f t="shared" si="147"/>
        <v>10.147299509001636</v>
      </c>
    </row>
    <row r="4702" spans="1:14" x14ac:dyDescent="0.45">
      <c r="A4702" s="30">
        <v>2025</v>
      </c>
      <c r="B4702" s="30" t="s">
        <v>8</v>
      </c>
      <c r="C4702" s="30" t="s">
        <v>46</v>
      </c>
      <c r="D4702" s="30" t="s">
        <v>102</v>
      </c>
      <c r="E4702" s="32" t="s">
        <v>188</v>
      </c>
      <c r="F4702" s="32" t="s">
        <v>189</v>
      </c>
      <c r="G4702" s="32" t="s">
        <v>128</v>
      </c>
      <c r="H4702" s="33">
        <v>757460</v>
      </c>
      <c r="I4702" s="34">
        <f>Table3[[#This Row],[Volume, kg.]]/1000</f>
        <v>757.46</v>
      </c>
      <c r="J4702" s="34">
        <v>0.27510000000000001</v>
      </c>
      <c r="K4702" s="34">
        <f t="shared" si="146"/>
        <v>208377.24600000001</v>
      </c>
      <c r="L4702" s="34">
        <v>2.4900000000000002</v>
      </c>
      <c r="M4702" s="34">
        <v>1884434</v>
      </c>
      <c r="N4702" s="34">
        <f t="shared" si="147"/>
        <v>9.051254089422029</v>
      </c>
    </row>
    <row r="4703" spans="1:14" x14ac:dyDescent="0.45">
      <c r="A4703" s="30">
        <v>2025</v>
      </c>
      <c r="B4703" s="30" t="s">
        <v>8</v>
      </c>
      <c r="C4703" s="30" t="s">
        <v>46</v>
      </c>
      <c r="D4703" s="30" t="s">
        <v>102</v>
      </c>
      <c r="E4703" s="32" t="s">
        <v>336</v>
      </c>
      <c r="F4703" s="32" t="s">
        <v>114</v>
      </c>
      <c r="G4703" s="32" t="s">
        <v>108</v>
      </c>
      <c r="H4703" s="33">
        <v>1063430</v>
      </c>
      <c r="I4703" s="34">
        <f>Table3[[#This Row],[Volume, kg.]]/1000</f>
        <v>1063.43</v>
      </c>
      <c r="J4703" s="34">
        <v>0.29880000000000001</v>
      </c>
      <c r="K4703" s="34">
        <f t="shared" si="146"/>
        <v>317752.88400000002</v>
      </c>
      <c r="L4703" s="34">
        <v>2.61</v>
      </c>
      <c r="M4703" s="34">
        <v>2772191</v>
      </c>
      <c r="N4703" s="34">
        <f t="shared" si="147"/>
        <v>8.7349397590361431</v>
      </c>
    </row>
    <row r="4704" spans="1:14" x14ac:dyDescent="0.45">
      <c r="A4704" s="30">
        <v>2025</v>
      </c>
      <c r="B4704" s="30" t="s">
        <v>8</v>
      </c>
      <c r="C4704" s="30" t="s">
        <v>46</v>
      </c>
      <c r="D4704" s="30" t="s">
        <v>102</v>
      </c>
      <c r="E4704" s="32" t="s">
        <v>622</v>
      </c>
      <c r="F4704" s="32" t="s">
        <v>238</v>
      </c>
      <c r="G4704" s="32" t="s">
        <v>50</v>
      </c>
      <c r="H4704" s="33">
        <v>654310</v>
      </c>
      <c r="I4704" s="34">
        <f>Table3[[#This Row],[Volume, kg.]]/1000</f>
        <v>654.30999999999995</v>
      </c>
      <c r="J4704" s="34">
        <v>0.28800000000000003</v>
      </c>
      <c r="K4704" s="34">
        <f t="shared" si="146"/>
        <v>188441.28000000003</v>
      </c>
      <c r="L4704" s="34">
        <v>2.5499999999999998</v>
      </c>
      <c r="M4704" s="34">
        <v>1665597.5</v>
      </c>
      <c r="N4704" s="34">
        <f t="shared" si="147"/>
        <v>8.8541666666666643</v>
      </c>
    </row>
    <row r="4705" spans="1:14" x14ac:dyDescent="0.45">
      <c r="A4705" s="30">
        <v>2025</v>
      </c>
      <c r="B4705" s="30" t="s">
        <v>8</v>
      </c>
      <c r="C4705" s="30" t="s">
        <v>46</v>
      </c>
      <c r="D4705" s="30" t="s">
        <v>47</v>
      </c>
      <c r="E4705" s="32" t="s">
        <v>52</v>
      </c>
      <c r="F4705" s="32" t="s">
        <v>49</v>
      </c>
      <c r="G4705" s="32" t="s">
        <v>50</v>
      </c>
      <c r="H4705" s="33">
        <v>16480</v>
      </c>
      <c r="I4705" s="34">
        <f>Table3[[#This Row],[Volume, kg.]]/1000</f>
        <v>16.48</v>
      </c>
      <c r="J4705" s="34">
        <v>0.29020000000000001</v>
      </c>
      <c r="K4705" s="34">
        <f t="shared" si="146"/>
        <v>4782.4960000000001</v>
      </c>
      <c r="L4705" s="34">
        <v>2.5499999999999998</v>
      </c>
      <c r="M4705" s="34">
        <v>42057</v>
      </c>
      <c r="N4705" s="34">
        <f t="shared" si="147"/>
        <v>8.7870434183321837</v>
      </c>
    </row>
    <row r="4706" spans="1:14" x14ac:dyDescent="0.45">
      <c r="A4706" s="30">
        <v>2025</v>
      </c>
      <c r="B4706" s="30" t="s">
        <v>8</v>
      </c>
      <c r="C4706" s="30" t="s">
        <v>46</v>
      </c>
      <c r="D4706" s="30" t="s">
        <v>47</v>
      </c>
      <c r="E4706" s="32" t="s">
        <v>208</v>
      </c>
      <c r="F4706" s="32" t="s">
        <v>49</v>
      </c>
      <c r="G4706" s="32" t="s">
        <v>50</v>
      </c>
      <c r="H4706" s="33">
        <v>91400</v>
      </c>
      <c r="I4706" s="34">
        <f>Table3[[#This Row],[Volume, kg.]]/1000</f>
        <v>91.4</v>
      </c>
      <c r="J4706" s="34">
        <v>0.312</v>
      </c>
      <c r="K4706" s="34">
        <f t="shared" si="146"/>
        <v>28516.799999999999</v>
      </c>
      <c r="L4706" s="34">
        <v>2.7</v>
      </c>
      <c r="M4706" s="34">
        <v>246479</v>
      </c>
      <c r="N4706" s="34">
        <f t="shared" si="147"/>
        <v>8.6538461538461551</v>
      </c>
    </row>
    <row r="4707" spans="1:14" x14ac:dyDescent="0.45">
      <c r="A4707" s="30">
        <v>2025</v>
      </c>
      <c r="B4707" s="30" t="s">
        <v>8</v>
      </c>
      <c r="C4707" s="30" t="s">
        <v>46</v>
      </c>
      <c r="D4707" s="30" t="s">
        <v>47</v>
      </c>
      <c r="E4707" s="32" t="s">
        <v>185</v>
      </c>
      <c r="F4707" s="32" t="s">
        <v>57</v>
      </c>
      <c r="G4707" s="32" t="s">
        <v>50</v>
      </c>
      <c r="H4707" s="33">
        <v>15790</v>
      </c>
      <c r="I4707" s="34">
        <f>Table3[[#This Row],[Volume, kg.]]/1000</f>
        <v>15.79</v>
      </c>
      <c r="J4707" s="34">
        <v>0.23070000000000002</v>
      </c>
      <c r="K4707" s="34">
        <f t="shared" si="146"/>
        <v>3642.7530000000002</v>
      </c>
      <c r="L4707" s="34">
        <v>2.25</v>
      </c>
      <c r="M4707" s="34">
        <v>35527.5</v>
      </c>
      <c r="N4707" s="34">
        <f t="shared" si="147"/>
        <v>9.7529258777633281</v>
      </c>
    </row>
    <row r="4708" spans="1:14" x14ac:dyDescent="0.45">
      <c r="A4708" s="30">
        <v>2025</v>
      </c>
      <c r="B4708" s="30" t="s">
        <v>8</v>
      </c>
      <c r="C4708" s="30" t="s">
        <v>46</v>
      </c>
      <c r="D4708" s="30" t="s">
        <v>47</v>
      </c>
      <c r="E4708" s="32" t="s">
        <v>229</v>
      </c>
      <c r="F4708" s="32" t="s">
        <v>57</v>
      </c>
      <c r="G4708" s="32" t="s">
        <v>50</v>
      </c>
      <c r="H4708" s="33">
        <v>63090</v>
      </c>
      <c r="I4708" s="34">
        <f>Table3[[#This Row],[Volume, kg.]]/1000</f>
        <v>63.09</v>
      </c>
      <c r="J4708" s="34">
        <v>0.31430000000000002</v>
      </c>
      <c r="K4708" s="34">
        <f t="shared" si="146"/>
        <v>19829.187000000002</v>
      </c>
      <c r="L4708" s="34">
        <v>2.67</v>
      </c>
      <c r="M4708" s="34">
        <v>168543.5</v>
      </c>
      <c r="N4708" s="34">
        <f t="shared" si="147"/>
        <v>8.4950684059815451</v>
      </c>
    </row>
    <row r="4709" spans="1:14" x14ac:dyDescent="0.45">
      <c r="A4709" s="30">
        <v>2025</v>
      </c>
      <c r="B4709" s="30" t="s">
        <v>8</v>
      </c>
      <c r="C4709" s="30" t="s">
        <v>46</v>
      </c>
      <c r="D4709" s="30" t="s">
        <v>47</v>
      </c>
      <c r="E4709" s="32" t="s">
        <v>170</v>
      </c>
      <c r="F4709" s="32" t="s">
        <v>49</v>
      </c>
      <c r="G4709" s="32" t="s">
        <v>50</v>
      </c>
      <c r="H4709" s="33">
        <v>5080</v>
      </c>
      <c r="I4709" s="34">
        <f>Table3[[#This Row],[Volume, kg.]]/1000</f>
        <v>5.08</v>
      </c>
      <c r="J4709" s="34">
        <v>0.27699999999999997</v>
      </c>
      <c r="K4709" s="34">
        <f t="shared" si="146"/>
        <v>1407.1599999999999</v>
      </c>
      <c r="L4709" s="34">
        <v>2.5</v>
      </c>
      <c r="M4709" s="34">
        <v>12700</v>
      </c>
      <c r="N4709" s="34">
        <f t="shared" si="147"/>
        <v>9.025270758122744</v>
      </c>
    </row>
    <row r="4710" spans="1:14" x14ac:dyDescent="0.45">
      <c r="A4710" s="30">
        <v>2025</v>
      </c>
      <c r="B4710" s="30" t="s">
        <v>8</v>
      </c>
      <c r="C4710" s="30" t="s">
        <v>46</v>
      </c>
      <c r="D4710" s="30" t="s">
        <v>47</v>
      </c>
      <c r="E4710" s="32" t="s">
        <v>462</v>
      </c>
      <c r="F4710" s="32" t="s">
        <v>49</v>
      </c>
      <c r="G4710" s="32" t="s">
        <v>50</v>
      </c>
      <c r="H4710" s="33">
        <v>14490</v>
      </c>
      <c r="I4710" s="34">
        <f>Table3[[#This Row],[Volume, kg.]]/1000</f>
        <v>14.49</v>
      </c>
      <c r="J4710" s="34">
        <v>0.30049999999999999</v>
      </c>
      <c r="K4710" s="34">
        <f t="shared" si="146"/>
        <v>4354.2449999999999</v>
      </c>
      <c r="L4710" s="34">
        <v>2.65</v>
      </c>
      <c r="M4710" s="34">
        <v>38398.5</v>
      </c>
      <c r="N4710" s="34">
        <f t="shared" si="147"/>
        <v>8.8186356073211307</v>
      </c>
    </row>
    <row r="4711" spans="1:14" x14ac:dyDescent="0.45">
      <c r="A4711" s="30">
        <v>2025</v>
      </c>
      <c r="B4711" s="30" t="s">
        <v>8</v>
      </c>
      <c r="C4711" s="30" t="s">
        <v>46</v>
      </c>
      <c r="D4711" s="30" t="s">
        <v>47</v>
      </c>
      <c r="E4711" s="32" t="s">
        <v>84</v>
      </c>
      <c r="F4711" s="32" t="s">
        <v>57</v>
      </c>
      <c r="G4711" s="32" t="s">
        <v>50</v>
      </c>
      <c r="H4711" s="33">
        <v>21070</v>
      </c>
      <c r="I4711" s="34">
        <f>Table3[[#This Row],[Volume, kg.]]/1000</f>
        <v>21.07</v>
      </c>
      <c r="J4711" s="34">
        <v>0.28059999999999996</v>
      </c>
      <c r="K4711" s="34">
        <f t="shared" si="146"/>
        <v>5912.2419999999993</v>
      </c>
      <c r="L4711" s="34">
        <v>2.4900000000000002</v>
      </c>
      <c r="M4711" s="34">
        <v>52548.5</v>
      </c>
      <c r="N4711" s="34">
        <f t="shared" si="147"/>
        <v>8.873841767640771</v>
      </c>
    </row>
    <row r="4712" spans="1:14" x14ac:dyDescent="0.45">
      <c r="A4712" s="30">
        <v>2025</v>
      </c>
      <c r="B4712" s="30" t="s">
        <v>8</v>
      </c>
      <c r="C4712" s="30" t="s">
        <v>46</v>
      </c>
      <c r="D4712" s="30" t="s">
        <v>47</v>
      </c>
      <c r="E4712" s="32" t="s">
        <v>258</v>
      </c>
      <c r="F4712" s="32" t="s">
        <v>49</v>
      </c>
      <c r="G4712" s="32" t="s">
        <v>50</v>
      </c>
      <c r="H4712" s="33">
        <v>179660</v>
      </c>
      <c r="I4712" s="34">
        <f>Table3[[#This Row],[Volume, kg.]]/1000</f>
        <v>179.66</v>
      </c>
      <c r="J4712" s="34">
        <v>0.29070000000000001</v>
      </c>
      <c r="K4712" s="34">
        <f t="shared" si="146"/>
        <v>52227.162000000004</v>
      </c>
      <c r="L4712" s="34">
        <v>2.56</v>
      </c>
      <c r="M4712" s="34">
        <v>459182.5</v>
      </c>
      <c r="N4712" s="34">
        <f t="shared" si="147"/>
        <v>8.8063295493636051</v>
      </c>
    </row>
    <row r="4713" spans="1:14" x14ac:dyDescent="0.45">
      <c r="A4713" s="30">
        <v>2025</v>
      </c>
      <c r="B4713" s="30" t="s">
        <v>8</v>
      </c>
      <c r="C4713" s="30" t="s">
        <v>46</v>
      </c>
      <c r="D4713" s="30" t="s">
        <v>47</v>
      </c>
      <c r="E4713" s="32" t="s">
        <v>380</v>
      </c>
      <c r="F4713" s="32" t="s">
        <v>49</v>
      </c>
      <c r="G4713" s="32" t="s">
        <v>50</v>
      </c>
      <c r="H4713" s="33">
        <v>30070</v>
      </c>
      <c r="I4713" s="34">
        <f>Table3[[#This Row],[Volume, kg.]]/1000</f>
        <v>30.07</v>
      </c>
      <c r="J4713" s="34">
        <v>0.2974</v>
      </c>
      <c r="K4713" s="34">
        <f t="shared" si="146"/>
        <v>8942.8179999999993</v>
      </c>
      <c r="L4713" s="34">
        <v>2.59</v>
      </c>
      <c r="M4713" s="34">
        <v>78000</v>
      </c>
      <c r="N4713" s="34">
        <f t="shared" si="147"/>
        <v>8.7088096839273703</v>
      </c>
    </row>
    <row r="4714" spans="1:14" x14ac:dyDescent="0.45">
      <c r="A4714" s="30">
        <v>2025</v>
      </c>
      <c r="B4714" s="30" t="s">
        <v>8</v>
      </c>
      <c r="C4714" s="30" t="s">
        <v>46</v>
      </c>
      <c r="D4714" s="30" t="s">
        <v>47</v>
      </c>
      <c r="E4714" s="32" t="s">
        <v>379</v>
      </c>
      <c r="F4714" s="32" t="s">
        <v>49</v>
      </c>
      <c r="G4714" s="32" t="s">
        <v>50</v>
      </c>
      <c r="H4714" s="33">
        <v>4090</v>
      </c>
      <c r="I4714" s="34">
        <f>Table3[[#This Row],[Volume, kg.]]/1000</f>
        <v>4.09</v>
      </c>
      <c r="J4714" s="34">
        <v>0.29899999999999999</v>
      </c>
      <c r="K4714" s="34">
        <f t="shared" si="146"/>
        <v>1222.9099999999999</v>
      </c>
      <c r="L4714" s="34">
        <v>2.65</v>
      </c>
      <c r="M4714" s="34">
        <v>10838.5</v>
      </c>
      <c r="N4714" s="34">
        <f t="shared" si="147"/>
        <v>8.8628762541806019</v>
      </c>
    </row>
    <row r="4715" spans="1:14" x14ac:dyDescent="0.45">
      <c r="A4715" s="30">
        <v>2025</v>
      </c>
      <c r="B4715" s="30" t="s">
        <v>8</v>
      </c>
      <c r="C4715" s="30" t="s">
        <v>46</v>
      </c>
      <c r="D4715" s="30" t="s">
        <v>47</v>
      </c>
      <c r="E4715" s="32" t="s">
        <v>534</v>
      </c>
      <c r="F4715" s="32" t="s">
        <v>49</v>
      </c>
      <c r="G4715" s="32" t="s">
        <v>50</v>
      </c>
      <c r="H4715" s="33">
        <v>10170</v>
      </c>
      <c r="I4715" s="34">
        <f>Table3[[#This Row],[Volume, kg.]]/1000</f>
        <v>10.17</v>
      </c>
      <c r="J4715" s="34">
        <v>0.32770000000000005</v>
      </c>
      <c r="K4715" s="34">
        <f t="shared" si="146"/>
        <v>3332.7090000000003</v>
      </c>
      <c r="L4715" s="34">
        <v>2.88</v>
      </c>
      <c r="M4715" s="34">
        <v>29246.5</v>
      </c>
      <c r="N4715" s="34">
        <f t="shared" si="147"/>
        <v>8.7885260909368306</v>
      </c>
    </row>
    <row r="4716" spans="1:14" x14ac:dyDescent="0.45">
      <c r="A4716" s="30">
        <v>2025</v>
      </c>
      <c r="B4716" s="30" t="s">
        <v>8</v>
      </c>
      <c r="C4716" s="30" t="s">
        <v>46</v>
      </c>
      <c r="D4716" s="30" t="s">
        <v>47</v>
      </c>
      <c r="E4716" s="32" t="s">
        <v>220</v>
      </c>
      <c r="F4716" s="32" t="s">
        <v>49</v>
      </c>
      <c r="G4716" s="32" t="s">
        <v>50</v>
      </c>
      <c r="H4716" s="33">
        <v>10110</v>
      </c>
      <c r="I4716" s="34">
        <f>Table3[[#This Row],[Volume, kg.]]/1000</f>
        <v>10.11</v>
      </c>
      <c r="J4716" s="34">
        <v>0.24399999999999999</v>
      </c>
      <c r="K4716" s="34">
        <f t="shared" si="146"/>
        <v>2466.84</v>
      </c>
      <c r="L4716" s="34">
        <v>2.2999999999999998</v>
      </c>
      <c r="M4716" s="34">
        <v>23253</v>
      </c>
      <c r="N4716" s="34">
        <f t="shared" si="147"/>
        <v>9.4262295081967213</v>
      </c>
    </row>
    <row r="4717" spans="1:14" x14ac:dyDescent="0.45">
      <c r="A4717" s="30">
        <v>2025</v>
      </c>
      <c r="B4717" s="30" t="s">
        <v>8</v>
      </c>
      <c r="C4717" s="30" t="s">
        <v>46</v>
      </c>
      <c r="D4717" s="30" t="s">
        <v>47</v>
      </c>
      <c r="E4717" s="32" t="s">
        <v>191</v>
      </c>
      <c r="F4717" s="32" t="s">
        <v>49</v>
      </c>
      <c r="G4717" s="32" t="s">
        <v>50</v>
      </c>
      <c r="H4717" s="33">
        <v>63370</v>
      </c>
      <c r="I4717" s="34">
        <f>Table3[[#This Row],[Volume, kg.]]/1000</f>
        <v>63.37</v>
      </c>
      <c r="J4717" s="34">
        <v>0.30480000000000002</v>
      </c>
      <c r="K4717" s="34">
        <f t="shared" si="146"/>
        <v>19315.175999999999</v>
      </c>
      <c r="L4717" s="34">
        <v>2.62</v>
      </c>
      <c r="M4717" s="34">
        <v>166108.5</v>
      </c>
      <c r="N4717" s="34">
        <f t="shared" si="147"/>
        <v>8.5958005249343827</v>
      </c>
    </row>
    <row r="4718" spans="1:14" x14ac:dyDescent="0.45">
      <c r="A4718" s="30">
        <v>2025</v>
      </c>
      <c r="B4718" s="30" t="s">
        <v>8</v>
      </c>
      <c r="C4718" s="30" t="s">
        <v>46</v>
      </c>
      <c r="D4718" s="30" t="s">
        <v>47</v>
      </c>
      <c r="E4718" s="32" t="s">
        <v>352</v>
      </c>
      <c r="F4718" s="32" t="s">
        <v>54</v>
      </c>
      <c r="G4718" s="32" t="s">
        <v>50</v>
      </c>
      <c r="H4718" s="33">
        <v>2750</v>
      </c>
      <c r="I4718" s="34">
        <f>Table3[[#This Row],[Volume, kg.]]/1000</f>
        <v>2.75</v>
      </c>
      <c r="J4718" s="34">
        <v>0.27300000000000002</v>
      </c>
      <c r="K4718" s="34">
        <f t="shared" si="146"/>
        <v>750.75</v>
      </c>
      <c r="L4718" s="34">
        <v>2.4500000000000002</v>
      </c>
      <c r="M4718" s="34">
        <v>6737.5</v>
      </c>
      <c r="N4718" s="34">
        <f t="shared" si="147"/>
        <v>8.9743589743589745</v>
      </c>
    </row>
    <row r="4719" spans="1:14" x14ac:dyDescent="0.45">
      <c r="A4719" s="30">
        <v>2025</v>
      </c>
      <c r="B4719" s="30" t="s">
        <v>8</v>
      </c>
      <c r="C4719" s="30" t="s">
        <v>46</v>
      </c>
      <c r="D4719" s="30" t="s">
        <v>47</v>
      </c>
      <c r="E4719" s="32" t="s">
        <v>160</v>
      </c>
      <c r="F4719" s="32" t="s">
        <v>49</v>
      </c>
      <c r="G4719" s="32" t="s">
        <v>50</v>
      </c>
      <c r="H4719" s="33">
        <v>9550</v>
      </c>
      <c r="I4719" s="34">
        <f>Table3[[#This Row],[Volume, kg.]]/1000</f>
        <v>9.5500000000000007</v>
      </c>
      <c r="J4719" s="34">
        <v>0.3075</v>
      </c>
      <c r="K4719" s="34">
        <f t="shared" si="146"/>
        <v>2936.625</v>
      </c>
      <c r="L4719" s="34">
        <v>2.65</v>
      </c>
      <c r="M4719" s="34">
        <v>25307.5</v>
      </c>
      <c r="N4719" s="34">
        <f t="shared" si="147"/>
        <v>8.617886178861788</v>
      </c>
    </row>
    <row r="4720" spans="1:14" x14ac:dyDescent="0.45">
      <c r="A4720" s="30">
        <v>2025</v>
      </c>
      <c r="B4720" s="30" t="s">
        <v>8</v>
      </c>
      <c r="C4720" s="30" t="s">
        <v>46</v>
      </c>
      <c r="D4720" s="30" t="s">
        <v>47</v>
      </c>
      <c r="E4720" s="32" t="s">
        <v>86</v>
      </c>
      <c r="F4720" s="32" t="s">
        <v>49</v>
      </c>
      <c r="G4720" s="32" t="s">
        <v>50</v>
      </c>
      <c r="H4720" s="33">
        <v>42320</v>
      </c>
      <c r="I4720" s="34">
        <f>Table3[[#This Row],[Volume, kg.]]/1000</f>
        <v>42.32</v>
      </c>
      <c r="J4720" s="34">
        <v>0.28079999999999999</v>
      </c>
      <c r="K4720" s="34">
        <f t="shared" si="146"/>
        <v>11883.456</v>
      </c>
      <c r="L4720" s="34">
        <v>2.5</v>
      </c>
      <c r="M4720" s="34">
        <v>105726.5</v>
      </c>
      <c r="N4720" s="34">
        <f t="shared" si="147"/>
        <v>8.9031339031339041</v>
      </c>
    </row>
    <row r="4721" spans="1:14" x14ac:dyDescent="0.45">
      <c r="A4721" s="30">
        <v>2025</v>
      </c>
      <c r="B4721" s="30" t="s">
        <v>8</v>
      </c>
      <c r="C4721" s="30" t="s">
        <v>46</v>
      </c>
      <c r="D4721" s="30" t="s">
        <v>47</v>
      </c>
      <c r="E4721" s="32" t="s">
        <v>431</v>
      </c>
      <c r="F4721" s="32" t="s">
        <v>49</v>
      </c>
      <c r="G4721" s="32" t="s">
        <v>50</v>
      </c>
      <c r="H4721" s="33">
        <v>4760</v>
      </c>
      <c r="I4721" s="34">
        <f>Table3[[#This Row],[Volume, kg.]]/1000</f>
        <v>4.76</v>
      </c>
      <c r="J4721" s="34">
        <v>0.26700000000000002</v>
      </c>
      <c r="K4721" s="34">
        <f t="shared" si="146"/>
        <v>1270.92</v>
      </c>
      <c r="L4721" s="34">
        <v>2.4500000000000002</v>
      </c>
      <c r="M4721" s="34">
        <v>11662</v>
      </c>
      <c r="N4721" s="34">
        <f t="shared" si="147"/>
        <v>9.1760299625468171</v>
      </c>
    </row>
    <row r="4722" spans="1:14" x14ac:dyDescent="0.45">
      <c r="A4722" s="30">
        <v>2025</v>
      </c>
      <c r="B4722" s="30" t="s">
        <v>8</v>
      </c>
      <c r="C4722" s="30" t="s">
        <v>46</v>
      </c>
      <c r="D4722" s="30" t="s">
        <v>47</v>
      </c>
      <c r="E4722" s="32" t="s">
        <v>167</v>
      </c>
      <c r="F4722" s="32" t="s">
        <v>49</v>
      </c>
      <c r="G4722" s="32" t="s">
        <v>50</v>
      </c>
      <c r="H4722" s="33">
        <v>52580</v>
      </c>
      <c r="I4722" s="34">
        <f>Table3[[#This Row],[Volume, kg.]]/1000</f>
        <v>52.58</v>
      </c>
      <c r="J4722" s="34">
        <v>0.2823</v>
      </c>
      <c r="K4722" s="34">
        <f t="shared" si="146"/>
        <v>14843.333999999999</v>
      </c>
      <c r="L4722" s="34">
        <v>2.54</v>
      </c>
      <c r="M4722" s="34">
        <v>133538.5</v>
      </c>
      <c r="N4722" s="34">
        <f t="shared" si="147"/>
        <v>8.9975203684024088</v>
      </c>
    </row>
    <row r="4723" spans="1:14" x14ac:dyDescent="0.45">
      <c r="A4723" s="30">
        <v>2025</v>
      </c>
      <c r="B4723" s="30" t="s">
        <v>8</v>
      </c>
      <c r="C4723" s="30" t="s">
        <v>46</v>
      </c>
      <c r="D4723" s="30" t="s">
        <v>47</v>
      </c>
      <c r="E4723" s="32" t="s">
        <v>190</v>
      </c>
      <c r="F4723" s="32" t="s">
        <v>81</v>
      </c>
      <c r="G4723" s="32" t="s">
        <v>50</v>
      </c>
      <c r="H4723" s="33">
        <v>109670</v>
      </c>
      <c r="I4723" s="34">
        <f>Table3[[#This Row],[Volume, kg.]]/1000</f>
        <v>109.67</v>
      </c>
      <c r="J4723" s="34">
        <v>0.2843</v>
      </c>
      <c r="K4723" s="34">
        <f t="shared" si="146"/>
        <v>31179.181</v>
      </c>
      <c r="L4723" s="34">
        <v>2.57</v>
      </c>
      <c r="M4723" s="34">
        <v>282154.5</v>
      </c>
      <c r="N4723" s="34">
        <f t="shared" si="147"/>
        <v>9.0397467463946537</v>
      </c>
    </row>
    <row r="4724" spans="1:14" x14ac:dyDescent="0.45">
      <c r="A4724" s="30">
        <v>2025</v>
      </c>
      <c r="B4724" s="30" t="s">
        <v>8</v>
      </c>
      <c r="C4724" s="30" t="s">
        <v>46</v>
      </c>
      <c r="D4724" s="30" t="s">
        <v>47</v>
      </c>
      <c r="E4724" s="32" t="s">
        <v>132</v>
      </c>
      <c r="F4724" s="32" t="s">
        <v>49</v>
      </c>
      <c r="G4724" s="32" t="s">
        <v>50</v>
      </c>
      <c r="H4724" s="33">
        <v>13640</v>
      </c>
      <c r="I4724" s="34">
        <f>Table3[[#This Row],[Volume, kg.]]/1000</f>
        <v>13.64</v>
      </c>
      <c r="J4724" s="34">
        <v>0.31459999999999999</v>
      </c>
      <c r="K4724" s="34">
        <f t="shared" si="146"/>
        <v>4291.1440000000002</v>
      </c>
      <c r="L4724" s="34">
        <v>2.73</v>
      </c>
      <c r="M4724" s="34">
        <v>37273.5</v>
      </c>
      <c r="N4724" s="34">
        <f t="shared" si="147"/>
        <v>8.677685950413224</v>
      </c>
    </row>
    <row r="4725" spans="1:14" x14ac:dyDescent="0.45">
      <c r="A4725" s="30">
        <v>2025</v>
      </c>
      <c r="B4725" s="30" t="s">
        <v>8</v>
      </c>
      <c r="C4725" s="30" t="s">
        <v>46</v>
      </c>
      <c r="D4725" s="30" t="s">
        <v>47</v>
      </c>
      <c r="E4725" s="32" t="s">
        <v>308</v>
      </c>
      <c r="F4725" s="32" t="s">
        <v>81</v>
      </c>
      <c r="G4725" s="32" t="s">
        <v>50</v>
      </c>
      <c r="H4725" s="33">
        <v>172040</v>
      </c>
      <c r="I4725" s="34">
        <f>Table3[[#This Row],[Volume, kg.]]/1000</f>
        <v>172.04</v>
      </c>
      <c r="J4725" s="34">
        <v>0.30299999999999999</v>
      </c>
      <c r="K4725" s="34">
        <f t="shared" si="146"/>
        <v>52128.119999999995</v>
      </c>
      <c r="L4725" s="34">
        <v>2.61</v>
      </c>
      <c r="M4725" s="34">
        <v>449843.5</v>
      </c>
      <c r="N4725" s="34">
        <f t="shared" si="147"/>
        <v>8.6138613861386144</v>
      </c>
    </row>
    <row r="4726" spans="1:14" x14ac:dyDescent="0.45">
      <c r="A4726" s="30">
        <v>2025</v>
      </c>
      <c r="B4726" s="30" t="s">
        <v>8</v>
      </c>
      <c r="C4726" s="30" t="s">
        <v>46</v>
      </c>
      <c r="D4726" s="30" t="s">
        <v>47</v>
      </c>
      <c r="E4726" s="32" t="s">
        <v>236</v>
      </c>
      <c r="F4726" s="32" t="s">
        <v>49</v>
      </c>
      <c r="G4726" s="32" t="s">
        <v>50</v>
      </c>
      <c r="H4726" s="33">
        <v>24440</v>
      </c>
      <c r="I4726" s="34">
        <f>Table3[[#This Row],[Volume, kg.]]/1000</f>
        <v>24.44</v>
      </c>
      <c r="J4726" s="34">
        <v>0.30959999999999999</v>
      </c>
      <c r="K4726" s="34">
        <f t="shared" si="146"/>
        <v>7566.6239999999998</v>
      </c>
      <c r="L4726" s="34">
        <v>2.66</v>
      </c>
      <c r="M4726" s="34">
        <v>64976.5</v>
      </c>
      <c r="N4726" s="34">
        <f t="shared" si="147"/>
        <v>8.5917312661498713</v>
      </c>
    </row>
    <row r="4727" spans="1:14" x14ac:dyDescent="0.45">
      <c r="A4727" s="30">
        <v>2025</v>
      </c>
      <c r="B4727" s="30" t="s">
        <v>8</v>
      </c>
      <c r="C4727" s="30" t="s">
        <v>46</v>
      </c>
      <c r="D4727" s="30" t="s">
        <v>47</v>
      </c>
      <c r="E4727" s="32" t="s">
        <v>284</v>
      </c>
      <c r="F4727" s="32" t="s">
        <v>49</v>
      </c>
      <c r="G4727" s="32" t="s">
        <v>50</v>
      </c>
      <c r="H4727" s="33">
        <v>6030</v>
      </c>
      <c r="I4727" s="34">
        <f>Table3[[#This Row],[Volume, kg.]]/1000</f>
        <v>6.03</v>
      </c>
      <c r="J4727" s="34">
        <v>0.318</v>
      </c>
      <c r="K4727" s="34">
        <f t="shared" si="146"/>
        <v>1917.54</v>
      </c>
      <c r="L4727" s="34">
        <v>2.7</v>
      </c>
      <c r="M4727" s="34">
        <v>16281</v>
      </c>
      <c r="N4727" s="34">
        <f t="shared" si="147"/>
        <v>8.4905660377358494</v>
      </c>
    </row>
    <row r="4728" spans="1:14" x14ac:dyDescent="0.45">
      <c r="A4728" s="30">
        <v>2025</v>
      </c>
      <c r="B4728" s="30" t="s">
        <v>8</v>
      </c>
      <c r="C4728" s="30" t="s">
        <v>46</v>
      </c>
      <c r="D4728" s="30" t="s">
        <v>47</v>
      </c>
      <c r="E4728" s="32" t="s">
        <v>265</v>
      </c>
      <c r="F4728" s="32" t="s">
        <v>49</v>
      </c>
      <c r="G4728" s="32" t="s">
        <v>50</v>
      </c>
      <c r="H4728" s="33">
        <v>8600</v>
      </c>
      <c r="I4728" s="34">
        <f>Table3[[#This Row],[Volume, kg.]]/1000</f>
        <v>8.6</v>
      </c>
      <c r="J4728" s="34">
        <v>0.28499999999999998</v>
      </c>
      <c r="K4728" s="34">
        <f t="shared" si="146"/>
        <v>2451</v>
      </c>
      <c r="L4728" s="34">
        <v>2.5499999999999998</v>
      </c>
      <c r="M4728" s="34">
        <v>21930</v>
      </c>
      <c r="N4728" s="34">
        <f t="shared" si="147"/>
        <v>8.9473684210526319</v>
      </c>
    </row>
    <row r="4729" spans="1:14" x14ac:dyDescent="0.45">
      <c r="A4729" s="30">
        <v>2025</v>
      </c>
      <c r="B4729" s="30" t="s">
        <v>8</v>
      </c>
      <c r="C4729" s="30" t="s">
        <v>46</v>
      </c>
      <c r="D4729" s="30" t="s">
        <v>47</v>
      </c>
      <c r="E4729" s="32" t="s">
        <v>192</v>
      </c>
      <c r="F4729" s="32" t="s">
        <v>49</v>
      </c>
      <c r="G4729" s="32" t="s">
        <v>50</v>
      </c>
      <c r="H4729" s="33">
        <v>1670</v>
      </c>
      <c r="I4729" s="34">
        <f>Table3[[#This Row],[Volume, kg.]]/1000</f>
        <v>1.67</v>
      </c>
      <c r="J4729" s="34">
        <v>0.18600000000000003</v>
      </c>
      <c r="K4729" s="34">
        <f t="shared" si="146"/>
        <v>310.62000000000006</v>
      </c>
      <c r="L4729" s="34">
        <v>2.0499999999999998</v>
      </c>
      <c r="M4729" s="34">
        <v>3423.5</v>
      </c>
      <c r="N4729" s="34">
        <f t="shared" si="147"/>
        <v>11.021505376344084</v>
      </c>
    </row>
    <row r="4730" spans="1:14" x14ac:dyDescent="0.45">
      <c r="A4730" s="30">
        <v>2025</v>
      </c>
      <c r="B4730" s="30" t="s">
        <v>8</v>
      </c>
      <c r="C4730" s="30" t="s">
        <v>46</v>
      </c>
      <c r="D4730" s="30" t="s">
        <v>47</v>
      </c>
      <c r="E4730" s="32" t="s">
        <v>624</v>
      </c>
      <c r="F4730" s="32" t="s">
        <v>49</v>
      </c>
      <c r="G4730" s="32" t="s">
        <v>50</v>
      </c>
      <c r="H4730" s="33">
        <v>28500</v>
      </c>
      <c r="I4730" s="34">
        <f>Table3[[#This Row],[Volume, kg.]]/1000</f>
        <v>28.5</v>
      </c>
      <c r="J4730" s="34">
        <v>0.3024</v>
      </c>
      <c r="K4730" s="34">
        <f t="shared" si="146"/>
        <v>8618.4</v>
      </c>
      <c r="L4730" s="34">
        <v>2.62</v>
      </c>
      <c r="M4730" s="34">
        <v>74613</v>
      </c>
      <c r="N4730" s="34">
        <f t="shared" si="147"/>
        <v>8.6640211640211646</v>
      </c>
    </row>
    <row r="4731" spans="1:14" x14ac:dyDescent="0.45">
      <c r="A4731" s="30">
        <v>2025</v>
      </c>
      <c r="B4731" s="30" t="s">
        <v>8</v>
      </c>
      <c r="C4731" s="30" t="s">
        <v>46</v>
      </c>
      <c r="D4731" s="30" t="s">
        <v>47</v>
      </c>
      <c r="E4731" s="32" t="s">
        <v>122</v>
      </c>
      <c r="F4731" s="32" t="s">
        <v>49</v>
      </c>
      <c r="G4731" s="32" t="s">
        <v>50</v>
      </c>
      <c r="H4731" s="33">
        <v>11810</v>
      </c>
      <c r="I4731" s="34">
        <f>Table3[[#This Row],[Volume, kg.]]/1000</f>
        <v>11.81</v>
      </c>
      <c r="J4731" s="34">
        <v>0.31509999999999999</v>
      </c>
      <c r="K4731" s="34">
        <f t="shared" si="146"/>
        <v>3721.3309999999997</v>
      </c>
      <c r="L4731" s="34">
        <v>2.69</v>
      </c>
      <c r="M4731" s="34">
        <v>31716.5</v>
      </c>
      <c r="N4731" s="34">
        <f t="shared" si="147"/>
        <v>8.5369723897175493</v>
      </c>
    </row>
    <row r="4732" spans="1:14" x14ac:dyDescent="0.45">
      <c r="A4732" s="30">
        <v>2025</v>
      </c>
      <c r="B4732" s="30" t="s">
        <v>8</v>
      </c>
      <c r="C4732" s="30" t="s">
        <v>46</v>
      </c>
      <c r="D4732" s="30" t="s">
        <v>47</v>
      </c>
      <c r="E4732" s="32" t="s">
        <v>210</v>
      </c>
      <c r="F4732" s="32" t="s">
        <v>60</v>
      </c>
      <c r="G4732" s="32" t="s">
        <v>50</v>
      </c>
      <c r="H4732" s="33">
        <v>26500</v>
      </c>
      <c r="I4732" s="34">
        <f>Table3[[#This Row],[Volume, kg.]]/1000</f>
        <v>26.5</v>
      </c>
      <c r="J4732" s="34">
        <v>0.29670000000000002</v>
      </c>
      <c r="K4732" s="34">
        <f t="shared" si="146"/>
        <v>7862.55</v>
      </c>
      <c r="L4732" s="34">
        <v>2.59</v>
      </c>
      <c r="M4732" s="34">
        <v>68540</v>
      </c>
      <c r="N4732" s="34">
        <f t="shared" si="147"/>
        <v>8.7293562521065038</v>
      </c>
    </row>
    <row r="4733" spans="1:14" x14ac:dyDescent="0.45">
      <c r="A4733" s="30">
        <v>2025</v>
      </c>
      <c r="B4733" s="30" t="s">
        <v>8</v>
      </c>
      <c r="C4733" s="30" t="s">
        <v>46</v>
      </c>
      <c r="D4733" s="30" t="s">
        <v>47</v>
      </c>
      <c r="E4733" s="32" t="s">
        <v>253</v>
      </c>
      <c r="F4733" s="32" t="s">
        <v>57</v>
      </c>
      <c r="G4733" s="32" t="s">
        <v>50</v>
      </c>
      <c r="H4733" s="33">
        <v>14840</v>
      </c>
      <c r="I4733" s="34">
        <f>Table3[[#This Row],[Volume, kg.]]/1000</f>
        <v>14.84</v>
      </c>
      <c r="J4733" s="34">
        <v>0.30829999999999996</v>
      </c>
      <c r="K4733" s="34">
        <f t="shared" si="146"/>
        <v>4575.1719999999996</v>
      </c>
      <c r="L4733" s="34">
        <v>2.65</v>
      </c>
      <c r="M4733" s="34">
        <v>39326</v>
      </c>
      <c r="N4733" s="34">
        <f t="shared" si="147"/>
        <v>8.595523840415181</v>
      </c>
    </row>
    <row r="4734" spans="1:14" x14ac:dyDescent="0.45">
      <c r="A4734" s="30">
        <v>2025</v>
      </c>
      <c r="B4734" s="30" t="s">
        <v>8</v>
      </c>
      <c r="C4734" s="30" t="s">
        <v>46</v>
      </c>
      <c r="D4734" s="30" t="s">
        <v>47</v>
      </c>
      <c r="E4734" s="32" t="s">
        <v>356</v>
      </c>
      <c r="F4734" s="32" t="s">
        <v>49</v>
      </c>
      <c r="G4734" s="32" t="s">
        <v>50</v>
      </c>
      <c r="H4734" s="33">
        <v>3610</v>
      </c>
      <c r="I4734" s="34">
        <f>Table3[[#This Row],[Volume, kg.]]/1000</f>
        <v>3.61</v>
      </c>
      <c r="J4734" s="34">
        <v>0.3075</v>
      </c>
      <c r="K4734" s="34">
        <f t="shared" si="146"/>
        <v>1110.075</v>
      </c>
      <c r="L4734" s="34">
        <v>2.65</v>
      </c>
      <c r="M4734" s="34">
        <v>9566.5</v>
      </c>
      <c r="N4734" s="34">
        <f t="shared" si="147"/>
        <v>8.617886178861788</v>
      </c>
    </row>
    <row r="4735" spans="1:14" x14ac:dyDescent="0.45">
      <c r="A4735" s="30">
        <v>2025</v>
      </c>
      <c r="B4735" s="30" t="s">
        <v>8</v>
      </c>
      <c r="C4735" s="30" t="s">
        <v>46</v>
      </c>
      <c r="D4735" s="30" t="s">
        <v>47</v>
      </c>
      <c r="E4735" s="32" t="s">
        <v>153</v>
      </c>
      <c r="F4735" s="32" t="s">
        <v>57</v>
      </c>
      <c r="G4735" s="32" t="s">
        <v>50</v>
      </c>
      <c r="H4735" s="33">
        <v>6780</v>
      </c>
      <c r="I4735" s="34">
        <f>Table3[[#This Row],[Volume, kg.]]/1000</f>
        <v>6.78</v>
      </c>
      <c r="J4735" s="34">
        <v>0.28600000000000003</v>
      </c>
      <c r="K4735" s="34">
        <f t="shared" si="146"/>
        <v>1939.0800000000002</v>
      </c>
      <c r="L4735" s="34">
        <v>2.5499999999999998</v>
      </c>
      <c r="M4735" s="34">
        <v>17289</v>
      </c>
      <c r="N4735" s="34">
        <f t="shared" si="147"/>
        <v>8.9160839160839149</v>
      </c>
    </row>
    <row r="4736" spans="1:14" x14ac:dyDescent="0.45">
      <c r="A4736" s="30">
        <v>2025</v>
      </c>
      <c r="B4736" s="30" t="s">
        <v>8</v>
      </c>
      <c r="C4736" s="30" t="s">
        <v>46</v>
      </c>
      <c r="D4736" s="30" t="s">
        <v>47</v>
      </c>
      <c r="E4736" s="32" t="s">
        <v>116</v>
      </c>
      <c r="F4736" s="32" t="s">
        <v>81</v>
      </c>
      <c r="G4736" s="32" t="s">
        <v>50</v>
      </c>
      <c r="H4736" s="33">
        <v>194840</v>
      </c>
      <c r="I4736" s="34">
        <f>Table3[[#This Row],[Volume, kg.]]/1000</f>
        <v>194.84</v>
      </c>
      <c r="J4736" s="34">
        <v>0.3054</v>
      </c>
      <c r="K4736" s="34">
        <f t="shared" si="146"/>
        <v>59504.135999999999</v>
      </c>
      <c r="L4736" s="34">
        <v>2.67</v>
      </c>
      <c r="M4736" s="34">
        <v>519410</v>
      </c>
      <c r="N4736" s="34">
        <f t="shared" si="147"/>
        <v>8.7426326129666005</v>
      </c>
    </row>
    <row r="4737" spans="1:14" x14ac:dyDescent="0.45">
      <c r="A4737" s="30">
        <v>2025</v>
      </c>
      <c r="B4737" s="30" t="s">
        <v>8</v>
      </c>
      <c r="C4737" s="30" t="s">
        <v>46</v>
      </c>
      <c r="D4737" s="30" t="s">
        <v>47</v>
      </c>
      <c r="E4737" s="32" t="s">
        <v>225</v>
      </c>
      <c r="F4737" s="32" t="s">
        <v>64</v>
      </c>
      <c r="G4737" s="32" t="s">
        <v>50</v>
      </c>
      <c r="H4737" s="33">
        <v>47980</v>
      </c>
      <c r="I4737" s="34">
        <f>Table3[[#This Row],[Volume, kg.]]/1000</f>
        <v>47.98</v>
      </c>
      <c r="J4737" s="34">
        <v>0.3075</v>
      </c>
      <c r="K4737" s="34">
        <f t="shared" si="146"/>
        <v>14753.85</v>
      </c>
      <c r="L4737" s="34">
        <v>2.73</v>
      </c>
      <c r="M4737" s="34">
        <v>131039</v>
      </c>
      <c r="N4737" s="34">
        <f t="shared" si="147"/>
        <v>8.8780487804878057</v>
      </c>
    </row>
    <row r="4738" spans="1:14" x14ac:dyDescent="0.45">
      <c r="A4738" s="30">
        <v>2025</v>
      </c>
      <c r="B4738" s="30" t="s">
        <v>8</v>
      </c>
      <c r="C4738" s="30" t="s">
        <v>46</v>
      </c>
      <c r="D4738" s="30" t="s">
        <v>47</v>
      </c>
      <c r="E4738" s="32" t="s">
        <v>200</v>
      </c>
      <c r="F4738" s="32" t="s">
        <v>64</v>
      </c>
      <c r="G4738" s="32" t="s">
        <v>50</v>
      </c>
      <c r="H4738" s="33">
        <v>10530</v>
      </c>
      <c r="I4738" s="34">
        <f>Table3[[#This Row],[Volume, kg.]]/1000</f>
        <v>10.53</v>
      </c>
      <c r="J4738" s="34">
        <v>0.254</v>
      </c>
      <c r="K4738" s="34">
        <f t="shared" si="146"/>
        <v>2674.62</v>
      </c>
      <c r="L4738" s="34">
        <v>2.35</v>
      </c>
      <c r="M4738" s="34">
        <v>24745.5</v>
      </c>
      <c r="N4738" s="34">
        <f t="shared" si="147"/>
        <v>9.2519685039370074</v>
      </c>
    </row>
    <row r="4739" spans="1:14" x14ac:dyDescent="0.45">
      <c r="A4739" s="30">
        <v>2025</v>
      </c>
      <c r="B4739" s="30" t="s">
        <v>8</v>
      </c>
      <c r="C4739" s="30" t="s">
        <v>46</v>
      </c>
      <c r="D4739" s="30" t="s">
        <v>47</v>
      </c>
      <c r="E4739" s="32" t="s">
        <v>206</v>
      </c>
      <c r="F4739" s="32" t="s">
        <v>81</v>
      </c>
      <c r="G4739" s="32" t="s">
        <v>50</v>
      </c>
      <c r="H4739" s="33">
        <v>56890</v>
      </c>
      <c r="I4739" s="34">
        <f>Table3[[#This Row],[Volume, kg.]]/1000</f>
        <v>56.89</v>
      </c>
      <c r="J4739" s="34">
        <v>0.28710000000000002</v>
      </c>
      <c r="K4739" s="34">
        <f t="shared" ref="K4739:K4802" si="148">H4739*J4739</f>
        <v>16333.119000000001</v>
      </c>
      <c r="L4739" s="34">
        <v>2.56</v>
      </c>
      <c r="M4739" s="34">
        <v>145358</v>
      </c>
      <c r="N4739" s="34">
        <f t="shared" si="147"/>
        <v>8.9167537443399514</v>
      </c>
    </row>
    <row r="4740" spans="1:14" x14ac:dyDescent="0.45">
      <c r="A4740" s="30">
        <v>2025</v>
      </c>
      <c r="B4740" s="30" t="s">
        <v>8</v>
      </c>
      <c r="C4740" s="30" t="s">
        <v>46</v>
      </c>
      <c r="D4740" s="30" t="s">
        <v>47</v>
      </c>
      <c r="E4740" s="32" t="s">
        <v>98</v>
      </c>
      <c r="F4740" s="32" t="s">
        <v>49</v>
      </c>
      <c r="G4740" s="32" t="s">
        <v>50</v>
      </c>
      <c r="H4740" s="33">
        <v>98320</v>
      </c>
      <c r="I4740" s="34">
        <f>Table3[[#This Row],[Volume, kg.]]/1000</f>
        <v>98.32</v>
      </c>
      <c r="J4740" s="34">
        <v>0.3085</v>
      </c>
      <c r="K4740" s="34">
        <f t="shared" si="148"/>
        <v>30331.72</v>
      </c>
      <c r="L4740" s="34">
        <v>2.67</v>
      </c>
      <c r="M4740" s="34">
        <v>262927.5</v>
      </c>
      <c r="N4740" s="34">
        <f t="shared" ref="N4740:N4803" si="149">L4740/J4740</f>
        <v>8.6547811993517012</v>
      </c>
    </row>
    <row r="4741" spans="1:14" x14ac:dyDescent="0.45">
      <c r="A4741" s="30">
        <v>2025</v>
      </c>
      <c r="B4741" s="30" t="s">
        <v>8</v>
      </c>
      <c r="C4741" s="30" t="s">
        <v>46</v>
      </c>
      <c r="D4741" s="30" t="s">
        <v>47</v>
      </c>
      <c r="E4741" s="32" t="s">
        <v>80</v>
      </c>
      <c r="F4741" s="32" t="s">
        <v>81</v>
      </c>
      <c r="G4741" s="32" t="s">
        <v>50</v>
      </c>
      <c r="H4741" s="33">
        <v>200230</v>
      </c>
      <c r="I4741" s="34">
        <f>Table3[[#This Row],[Volume, kg.]]/1000</f>
        <v>200.23</v>
      </c>
      <c r="J4741" s="34">
        <v>0.28499999999999998</v>
      </c>
      <c r="K4741" s="34">
        <f t="shared" si="148"/>
        <v>57065.549999999996</v>
      </c>
      <c r="L4741" s="34">
        <v>2.56</v>
      </c>
      <c r="M4741" s="34">
        <v>512528.5</v>
      </c>
      <c r="N4741" s="34">
        <f t="shared" si="149"/>
        <v>8.9824561403508785</v>
      </c>
    </row>
    <row r="4742" spans="1:14" x14ac:dyDescent="0.45">
      <c r="A4742" s="30">
        <v>2025</v>
      </c>
      <c r="B4742" s="30" t="s">
        <v>8</v>
      </c>
      <c r="C4742" s="30" t="s">
        <v>46</v>
      </c>
      <c r="D4742" s="30" t="s">
        <v>47</v>
      </c>
      <c r="E4742" s="32" t="s">
        <v>194</v>
      </c>
      <c r="F4742" s="32" t="s">
        <v>49</v>
      </c>
      <c r="G4742" s="32" t="s">
        <v>50</v>
      </c>
      <c r="H4742" s="33">
        <v>18830</v>
      </c>
      <c r="I4742" s="34">
        <f>Table3[[#This Row],[Volume, kg.]]/1000</f>
        <v>18.829999999999998</v>
      </c>
      <c r="J4742" s="34">
        <v>0.29199999999999998</v>
      </c>
      <c r="K4742" s="34">
        <f t="shared" si="148"/>
        <v>5498.36</v>
      </c>
      <c r="L4742" s="34">
        <v>2.5499999999999998</v>
      </c>
      <c r="M4742" s="34">
        <v>48016.5</v>
      </c>
      <c r="N4742" s="34">
        <f t="shared" si="149"/>
        <v>8.7328767123287676</v>
      </c>
    </row>
    <row r="4743" spans="1:14" x14ac:dyDescent="0.45">
      <c r="A4743" s="30">
        <v>2025</v>
      </c>
      <c r="B4743" s="30" t="s">
        <v>8</v>
      </c>
      <c r="C4743" s="30" t="s">
        <v>46</v>
      </c>
      <c r="D4743" s="30" t="s">
        <v>102</v>
      </c>
      <c r="E4743" s="32" t="s">
        <v>396</v>
      </c>
      <c r="F4743" s="32" t="s">
        <v>397</v>
      </c>
      <c r="G4743" s="32" t="s">
        <v>105</v>
      </c>
      <c r="H4743" s="33">
        <v>792120</v>
      </c>
      <c r="I4743" s="34">
        <f>Table3[[#This Row],[Volume, kg.]]/1000</f>
        <v>792.12</v>
      </c>
      <c r="J4743" s="34">
        <v>0.2656</v>
      </c>
      <c r="K4743" s="34">
        <f t="shared" si="148"/>
        <v>210387.07200000001</v>
      </c>
      <c r="L4743" s="34">
        <v>2.4300000000000002</v>
      </c>
      <c r="M4743" s="34">
        <v>1926313.5</v>
      </c>
      <c r="N4743" s="34">
        <f t="shared" si="149"/>
        <v>9.149096385542169</v>
      </c>
    </row>
    <row r="4744" spans="1:14" x14ac:dyDescent="0.45">
      <c r="A4744" s="30">
        <v>2025</v>
      </c>
      <c r="B4744" s="30" t="s">
        <v>8</v>
      </c>
      <c r="C4744" s="30" t="s">
        <v>46</v>
      </c>
      <c r="D4744" s="30" t="s">
        <v>47</v>
      </c>
      <c r="E4744" s="32" t="s">
        <v>398</v>
      </c>
      <c r="F4744" s="32" t="s">
        <v>64</v>
      </c>
      <c r="G4744" s="32" t="s">
        <v>50</v>
      </c>
      <c r="H4744" s="33">
        <v>14370</v>
      </c>
      <c r="I4744" s="34">
        <f>Table3[[#This Row],[Volume, kg.]]/1000</f>
        <v>14.37</v>
      </c>
      <c r="J4744" s="34">
        <v>0.251</v>
      </c>
      <c r="K4744" s="34">
        <f t="shared" si="148"/>
        <v>3606.87</v>
      </c>
      <c r="L4744" s="34">
        <v>2.4</v>
      </c>
      <c r="M4744" s="34">
        <v>34488</v>
      </c>
      <c r="N4744" s="34">
        <f t="shared" si="149"/>
        <v>9.5617529880478092</v>
      </c>
    </row>
    <row r="4745" spans="1:14" x14ac:dyDescent="0.45">
      <c r="A4745" s="30">
        <v>2025</v>
      </c>
      <c r="B4745" s="30" t="s">
        <v>8</v>
      </c>
      <c r="C4745" s="30" t="s">
        <v>46</v>
      </c>
      <c r="D4745" s="30" t="s">
        <v>102</v>
      </c>
      <c r="E4745" s="32" t="s">
        <v>103</v>
      </c>
      <c r="F4745" s="32" t="s">
        <v>104</v>
      </c>
      <c r="G4745" s="32" t="s">
        <v>105</v>
      </c>
      <c r="H4745" s="33">
        <v>1082870</v>
      </c>
      <c r="I4745" s="34">
        <f>Table3[[#This Row],[Volume, kg.]]/1000</f>
        <v>1082.8699999999999</v>
      </c>
      <c r="J4745" s="34">
        <v>0.2626</v>
      </c>
      <c r="K4745" s="34">
        <f t="shared" si="148"/>
        <v>284361.66200000001</v>
      </c>
      <c r="L4745" s="34">
        <v>2.4300000000000002</v>
      </c>
      <c r="M4745" s="34">
        <v>2633422.5</v>
      </c>
      <c r="N4745" s="34">
        <f t="shared" si="149"/>
        <v>9.2536176694592545</v>
      </c>
    </row>
    <row r="4746" spans="1:14" x14ac:dyDescent="0.45">
      <c r="A4746" s="30">
        <v>2025</v>
      </c>
      <c r="B4746" s="30" t="s">
        <v>8</v>
      </c>
      <c r="C4746" s="30" t="s">
        <v>46</v>
      </c>
      <c r="D4746" s="30" t="s">
        <v>47</v>
      </c>
      <c r="E4746" s="32" t="s">
        <v>203</v>
      </c>
      <c r="F4746" s="32" t="s">
        <v>57</v>
      </c>
      <c r="G4746" s="32" t="s">
        <v>50</v>
      </c>
      <c r="H4746" s="33">
        <v>104480</v>
      </c>
      <c r="I4746" s="34">
        <f>Table3[[#This Row],[Volume, kg.]]/1000</f>
        <v>104.48</v>
      </c>
      <c r="J4746" s="34">
        <v>0.3029</v>
      </c>
      <c r="K4746" s="34">
        <f t="shared" si="148"/>
        <v>31646.992000000002</v>
      </c>
      <c r="L4746" s="34">
        <v>2.62</v>
      </c>
      <c r="M4746" s="34">
        <v>273358.5</v>
      </c>
      <c r="N4746" s="34">
        <f t="shared" si="149"/>
        <v>8.6497193793331135</v>
      </c>
    </row>
    <row r="4747" spans="1:14" x14ac:dyDescent="0.45">
      <c r="A4747" s="30">
        <v>2025</v>
      </c>
      <c r="B4747" s="30" t="s">
        <v>8</v>
      </c>
      <c r="C4747" s="30" t="s">
        <v>46</v>
      </c>
      <c r="D4747" s="30" t="s">
        <v>102</v>
      </c>
      <c r="E4747" s="32" t="s">
        <v>691</v>
      </c>
      <c r="F4747" s="32" t="s">
        <v>657</v>
      </c>
      <c r="G4747" s="32" t="s">
        <v>119</v>
      </c>
      <c r="H4747" s="33">
        <v>918390</v>
      </c>
      <c r="I4747" s="34">
        <f>Table3[[#This Row],[Volume, kg.]]/1000</f>
        <v>918.39</v>
      </c>
      <c r="J4747" s="34">
        <v>0.29749999999999999</v>
      </c>
      <c r="K4747" s="34">
        <f t="shared" si="148"/>
        <v>273221.02499999997</v>
      </c>
      <c r="L4747" s="34">
        <v>2.59</v>
      </c>
      <c r="M4747" s="34">
        <v>2381164</v>
      </c>
      <c r="N4747" s="34">
        <f t="shared" si="149"/>
        <v>8.7058823529411757</v>
      </c>
    </row>
    <row r="4748" spans="1:14" x14ac:dyDescent="0.45">
      <c r="A4748" s="30">
        <v>2025</v>
      </c>
      <c r="B4748" s="30" t="s">
        <v>8</v>
      </c>
      <c r="C4748" s="30" t="s">
        <v>46</v>
      </c>
      <c r="D4748" s="30" t="s">
        <v>102</v>
      </c>
      <c r="E4748" s="32" t="s">
        <v>126</v>
      </c>
      <c r="F4748" s="32" t="s">
        <v>127</v>
      </c>
      <c r="G4748" s="32" t="s">
        <v>128</v>
      </c>
      <c r="H4748" s="33">
        <v>1057210</v>
      </c>
      <c r="I4748" s="34">
        <f>Table3[[#This Row],[Volume, kg.]]/1000</f>
        <v>1057.21</v>
      </c>
      <c r="J4748" s="34">
        <v>0.27899999999999997</v>
      </c>
      <c r="K4748" s="34">
        <f t="shared" si="148"/>
        <v>294961.58999999997</v>
      </c>
      <c r="L4748" s="34">
        <v>2.52</v>
      </c>
      <c r="M4748" s="34">
        <v>2663752</v>
      </c>
      <c r="N4748" s="34">
        <f t="shared" si="149"/>
        <v>9.0322580645161299</v>
      </c>
    </row>
    <row r="4749" spans="1:14" x14ac:dyDescent="0.45">
      <c r="A4749" s="30">
        <v>2025</v>
      </c>
      <c r="B4749" s="30" t="s">
        <v>8</v>
      </c>
      <c r="C4749" s="30" t="s">
        <v>46</v>
      </c>
      <c r="D4749" s="30" t="s">
        <v>47</v>
      </c>
      <c r="E4749" s="32" t="s">
        <v>216</v>
      </c>
      <c r="F4749" s="32" t="s">
        <v>64</v>
      </c>
      <c r="G4749" s="32" t="s">
        <v>50</v>
      </c>
      <c r="H4749" s="33">
        <v>78700</v>
      </c>
      <c r="I4749" s="34">
        <f>Table3[[#This Row],[Volume, kg.]]/1000</f>
        <v>78.7</v>
      </c>
      <c r="J4749" s="34">
        <v>0.27539999999999998</v>
      </c>
      <c r="K4749" s="34">
        <f t="shared" si="148"/>
        <v>21673.98</v>
      </c>
      <c r="L4749" s="34">
        <v>2.58</v>
      </c>
      <c r="M4749" s="34">
        <v>202745</v>
      </c>
      <c r="N4749" s="34">
        <f t="shared" si="149"/>
        <v>9.3681917211328987</v>
      </c>
    </row>
    <row r="4750" spans="1:14" x14ac:dyDescent="0.45">
      <c r="A4750" s="30">
        <v>2025</v>
      </c>
      <c r="B4750" s="30" t="s">
        <v>8</v>
      </c>
      <c r="C4750" s="30" t="s">
        <v>46</v>
      </c>
      <c r="D4750" s="30" t="s">
        <v>47</v>
      </c>
      <c r="E4750" s="32" t="s">
        <v>148</v>
      </c>
      <c r="F4750" s="32" t="s">
        <v>49</v>
      </c>
      <c r="G4750" s="32" t="s">
        <v>50</v>
      </c>
      <c r="H4750" s="33">
        <v>49320</v>
      </c>
      <c r="I4750" s="34">
        <f>Table3[[#This Row],[Volume, kg.]]/1000</f>
        <v>49.32</v>
      </c>
      <c r="J4750" s="34">
        <v>0.28000000000000003</v>
      </c>
      <c r="K4750" s="34">
        <f t="shared" si="148"/>
        <v>13809.600000000002</v>
      </c>
      <c r="L4750" s="34">
        <v>2.52</v>
      </c>
      <c r="M4750" s="34">
        <v>124435.5</v>
      </c>
      <c r="N4750" s="34">
        <f t="shared" si="149"/>
        <v>9</v>
      </c>
    </row>
    <row r="4751" spans="1:14" x14ac:dyDescent="0.45">
      <c r="A4751" s="30">
        <v>2025</v>
      </c>
      <c r="B4751" s="30" t="s">
        <v>8</v>
      </c>
      <c r="C4751" s="30" t="s">
        <v>46</v>
      </c>
      <c r="D4751" s="30" t="s">
        <v>47</v>
      </c>
      <c r="E4751" s="32" t="s">
        <v>477</v>
      </c>
      <c r="F4751" s="32" t="s">
        <v>54</v>
      </c>
      <c r="G4751" s="32" t="s">
        <v>50</v>
      </c>
      <c r="H4751" s="33">
        <v>16890</v>
      </c>
      <c r="I4751" s="34">
        <f>Table3[[#This Row],[Volume, kg.]]/1000</f>
        <v>16.89</v>
      </c>
      <c r="J4751" s="34">
        <v>0.33399999999999996</v>
      </c>
      <c r="K4751" s="34">
        <f t="shared" si="148"/>
        <v>5641.2599999999993</v>
      </c>
      <c r="L4751" s="34">
        <v>2.76</v>
      </c>
      <c r="M4751" s="34">
        <v>46580</v>
      </c>
      <c r="N4751" s="34">
        <f t="shared" si="149"/>
        <v>8.2634730538922163</v>
      </c>
    </row>
    <row r="4752" spans="1:14" x14ac:dyDescent="0.45">
      <c r="A4752" s="30">
        <v>2025</v>
      </c>
      <c r="B4752" s="30" t="s">
        <v>8</v>
      </c>
      <c r="C4752" s="30" t="s">
        <v>46</v>
      </c>
      <c r="D4752" s="30" t="s">
        <v>102</v>
      </c>
      <c r="E4752" s="32" t="s">
        <v>710</v>
      </c>
      <c r="F4752" s="32" t="s">
        <v>189</v>
      </c>
      <c r="G4752" s="32" t="s">
        <v>128</v>
      </c>
      <c r="H4752" s="33">
        <v>330550</v>
      </c>
      <c r="I4752" s="34">
        <f>Table3[[#This Row],[Volume, kg.]]/1000</f>
        <v>330.55</v>
      </c>
      <c r="J4752" s="34">
        <v>0.28129999999999999</v>
      </c>
      <c r="K4752" s="34">
        <f t="shared" si="148"/>
        <v>92983.714999999997</v>
      </c>
      <c r="L4752" s="34">
        <v>2.52</v>
      </c>
      <c r="M4752" s="34">
        <v>832719.5</v>
      </c>
      <c r="N4752" s="34">
        <f t="shared" si="149"/>
        <v>8.9584073942410232</v>
      </c>
    </row>
    <row r="4753" spans="1:14" x14ac:dyDescent="0.45">
      <c r="A4753" s="30">
        <v>2025</v>
      </c>
      <c r="B4753" s="30" t="s">
        <v>8</v>
      </c>
      <c r="C4753" s="30" t="s">
        <v>46</v>
      </c>
      <c r="D4753" s="30" t="s">
        <v>47</v>
      </c>
      <c r="E4753" s="32" t="s">
        <v>441</v>
      </c>
      <c r="F4753" s="32" t="s">
        <v>64</v>
      </c>
      <c r="G4753" s="32" t="s">
        <v>50</v>
      </c>
      <c r="H4753" s="33">
        <v>13370</v>
      </c>
      <c r="I4753" s="34">
        <f>Table3[[#This Row],[Volume, kg.]]/1000</f>
        <v>13.37</v>
      </c>
      <c r="J4753" s="34">
        <v>0.27100000000000002</v>
      </c>
      <c r="K4753" s="34">
        <f t="shared" si="148"/>
        <v>3623.2700000000004</v>
      </c>
      <c r="L4753" s="34">
        <v>2.4500000000000002</v>
      </c>
      <c r="M4753" s="34">
        <v>32756.5</v>
      </c>
      <c r="N4753" s="34">
        <f t="shared" si="149"/>
        <v>9.0405904059040587</v>
      </c>
    </row>
    <row r="4754" spans="1:14" x14ac:dyDescent="0.45">
      <c r="A4754" s="30">
        <v>2025</v>
      </c>
      <c r="B4754" s="30" t="s">
        <v>8</v>
      </c>
      <c r="C4754" s="30" t="s">
        <v>46</v>
      </c>
      <c r="D4754" s="30" t="s">
        <v>47</v>
      </c>
      <c r="E4754" s="32" t="s">
        <v>314</v>
      </c>
      <c r="F4754" s="32" t="s">
        <v>57</v>
      </c>
      <c r="G4754" s="32" t="s">
        <v>50</v>
      </c>
      <c r="H4754" s="33">
        <v>24610</v>
      </c>
      <c r="I4754" s="34">
        <f>Table3[[#This Row],[Volume, kg.]]/1000</f>
        <v>24.61</v>
      </c>
      <c r="J4754" s="34">
        <v>0.3342</v>
      </c>
      <c r="K4754" s="34">
        <f t="shared" si="148"/>
        <v>8224.6620000000003</v>
      </c>
      <c r="L4754" s="34">
        <v>2.75</v>
      </c>
      <c r="M4754" s="34">
        <v>67558</v>
      </c>
      <c r="N4754" s="34">
        <f t="shared" si="149"/>
        <v>8.2286056253740281</v>
      </c>
    </row>
    <row r="4755" spans="1:14" x14ac:dyDescent="0.45">
      <c r="A4755" s="30">
        <v>2025</v>
      </c>
      <c r="B4755" s="30" t="s">
        <v>8</v>
      </c>
      <c r="C4755" s="30" t="s">
        <v>46</v>
      </c>
      <c r="D4755" s="30" t="s">
        <v>47</v>
      </c>
      <c r="E4755" s="32" t="s">
        <v>227</v>
      </c>
      <c r="F4755" s="32" t="s">
        <v>57</v>
      </c>
      <c r="G4755" s="32" t="s">
        <v>50</v>
      </c>
      <c r="H4755" s="33">
        <v>18970</v>
      </c>
      <c r="I4755" s="34">
        <f>Table3[[#This Row],[Volume, kg.]]/1000</f>
        <v>18.97</v>
      </c>
      <c r="J4755" s="34">
        <v>0.29249999999999998</v>
      </c>
      <c r="K4755" s="34">
        <f t="shared" si="148"/>
        <v>5548.7249999999995</v>
      </c>
      <c r="L4755" s="34">
        <v>2.56</v>
      </c>
      <c r="M4755" s="34">
        <v>48603.5</v>
      </c>
      <c r="N4755" s="34">
        <f t="shared" si="149"/>
        <v>8.752136752136753</v>
      </c>
    </row>
    <row r="4756" spans="1:14" x14ac:dyDescent="0.45">
      <c r="A4756" s="30">
        <v>2025</v>
      </c>
      <c r="B4756" s="30" t="s">
        <v>8</v>
      </c>
      <c r="C4756" s="30" t="s">
        <v>46</v>
      </c>
      <c r="D4756" s="30" t="s">
        <v>47</v>
      </c>
      <c r="E4756" s="32" t="s">
        <v>159</v>
      </c>
      <c r="F4756" s="32" t="s">
        <v>81</v>
      </c>
      <c r="G4756" s="32" t="s">
        <v>50</v>
      </c>
      <c r="H4756" s="33">
        <v>141380</v>
      </c>
      <c r="I4756" s="34">
        <f>Table3[[#This Row],[Volume, kg.]]/1000</f>
        <v>141.38</v>
      </c>
      <c r="J4756" s="34">
        <v>0.29330000000000001</v>
      </c>
      <c r="K4756" s="34">
        <f t="shared" si="148"/>
        <v>41466.754000000001</v>
      </c>
      <c r="L4756" s="34">
        <v>2.59</v>
      </c>
      <c r="M4756" s="34">
        <v>366298.5</v>
      </c>
      <c r="N4756" s="34">
        <f t="shared" si="149"/>
        <v>8.8305489260143197</v>
      </c>
    </row>
    <row r="4757" spans="1:14" x14ac:dyDescent="0.45">
      <c r="A4757" s="30">
        <v>2025</v>
      </c>
      <c r="B4757" s="30" t="s">
        <v>8</v>
      </c>
      <c r="C4757" s="30" t="s">
        <v>46</v>
      </c>
      <c r="D4757" s="30" t="s">
        <v>47</v>
      </c>
      <c r="E4757" s="32" t="s">
        <v>228</v>
      </c>
      <c r="F4757" s="32" t="s">
        <v>64</v>
      </c>
      <c r="G4757" s="32" t="s">
        <v>50</v>
      </c>
      <c r="H4757" s="33">
        <v>14560</v>
      </c>
      <c r="I4757" s="34">
        <f>Table3[[#This Row],[Volume, kg.]]/1000</f>
        <v>14.56</v>
      </c>
      <c r="J4757" s="34">
        <v>0.27449999999999997</v>
      </c>
      <c r="K4757" s="34">
        <f t="shared" si="148"/>
        <v>3996.7199999999993</v>
      </c>
      <c r="L4757" s="34">
        <v>2.5</v>
      </c>
      <c r="M4757" s="34">
        <v>36400</v>
      </c>
      <c r="N4757" s="34">
        <f t="shared" si="149"/>
        <v>9.1074681238615671</v>
      </c>
    </row>
    <row r="4758" spans="1:14" x14ac:dyDescent="0.45">
      <c r="A4758" s="30">
        <v>2025</v>
      </c>
      <c r="B4758" s="30" t="s">
        <v>8</v>
      </c>
      <c r="C4758" s="30" t="s">
        <v>46</v>
      </c>
      <c r="D4758" s="30" t="s">
        <v>47</v>
      </c>
      <c r="E4758" s="32" t="s">
        <v>101</v>
      </c>
      <c r="F4758" s="32" t="s">
        <v>64</v>
      </c>
      <c r="G4758" s="32" t="s">
        <v>50</v>
      </c>
      <c r="H4758" s="33">
        <v>73470</v>
      </c>
      <c r="I4758" s="34">
        <f>Table3[[#This Row],[Volume, kg.]]/1000</f>
        <v>73.47</v>
      </c>
      <c r="J4758" s="34">
        <v>0.26850000000000002</v>
      </c>
      <c r="K4758" s="34">
        <f t="shared" si="148"/>
        <v>19726.695</v>
      </c>
      <c r="L4758" s="34">
        <v>2.4700000000000002</v>
      </c>
      <c r="M4758" s="34">
        <v>181497</v>
      </c>
      <c r="N4758" s="34">
        <f t="shared" si="149"/>
        <v>9.1992551210428299</v>
      </c>
    </row>
    <row r="4759" spans="1:14" x14ac:dyDescent="0.45">
      <c r="A4759" s="30">
        <v>2025</v>
      </c>
      <c r="B4759" s="30" t="s">
        <v>8</v>
      </c>
      <c r="C4759" s="30" t="s">
        <v>46</v>
      </c>
      <c r="D4759" s="30" t="s">
        <v>47</v>
      </c>
      <c r="E4759" s="32" t="s">
        <v>146</v>
      </c>
      <c r="F4759" s="32" t="s">
        <v>64</v>
      </c>
      <c r="G4759" s="32" t="s">
        <v>50</v>
      </c>
      <c r="H4759" s="33">
        <v>71110</v>
      </c>
      <c r="I4759" s="34">
        <f>Table3[[#This Row],[Volume, kg.]]/1000</f>
        <v>71.11</v>
      </c>
      <c r="J4759" s="34">
        <v>0.29170000000000001</v>
      </c>
      <c r="K4759" s="34">
        <f t="shared" si="148"/>
        <v>20742.787</v>
      </c>
      <c r="L4759" s="34">
        <v>2.56</v>
      </c>
      <c r="M4759" s="34">
        <v>181929.5</v>
      </c>
      <c r="N4759" s="34">
        <f t="shared" si="149"/>
        <v>8.7761398697291728</v>
      </c>
    </row>
    <row r="4760" spans="1:14" x14ac:dyDescent="0.45">
      <c r="A4760" s="30">
        <v>2025</v>
      </c>
      <c r="B4760" s="30" t="s">
        <v>8</v>
      </c>
      <c r="C4760" s="30" t="s">
        <v>46</v>
      </c>
      <c r="D4760" s="30" t="s">
        <v>47</v>
      </c>
      <c r="E4760" s="32" t="s">
        <v>93</v>
      </c>
      <c r="F4760" s="32" t="s">
        <v>64</v>
      </c>
      <c r="G4760" s="32" t="s">
        <v>50</v>
      </c>
      <c r="H4760" s="33">
        <v>9270</v>
      </c>
      <c r="I4760" s="34">
        <f>Table3[[#This Row],[Volume, kg.]]/1000</f>
        <v>9.27</v>
      </c>
      <c r="J4760" s="34">
        <v>0.26400000000000001</v>
      </c>
      <c r="K4760" s="34">
        <f t="shared" si="148"/>
        <v>2447.2800000000002</v>
      </c>
      <c r="L4760" s="34">
        <v>2.5499999999999998</v>
      </c>
      <c r="M4760" s="34">
        <v>23638.5</v>
      </c>
      <c r="N4760" s="34">
        <f t="shared" si="149"/>
        <v>9.6590909090909083</v>
      </c>
    </row>
    <row r="4761" spans="1:14" x14ac:dyDescent="0.45">
      <c r="A4761" s="30">
        <v>2025</v>
      </c>
      <c r="B4761" s="30" t="s">
        <v>8</v>
      </c>
      <c r="C4761" s="30" t="s">
        <v>46</v>
      </c>
      <c r="D4761" s="30" t="s">
        <v>47</v>
      </c>
      <c r="E4761" s="32" t="s">
        <v>347</v>
      </c>
      <c r="F4761" s="32" t="s">
        <v>49</v>
      </c>
      <c r="G4761" s="32" t="s">
        <v>50</v>
      </c>
      <c r="H4761" s="33">
        <v>15160</v>
      </c>
      <c r="I4761" s="34">
        <f>Table3[[#This Row],[Volume, kg.]]/1000</f>
        <v>15.16</v>
      </c>
      <c r="J4761" s="34">
        <v>0.3357</v>
      </c>
      <c r="K4761" s="34">
        <f t="shared" si="148"/>
        <v>5089.2119999999995</v>
      </c>
      <c r="L4761" s="34">
        <v>2.78</v>
      </c>
      <c r="M4761" s="34">
        <v>42155</v>
      </c>
      <c r="N4761" s="34">
        <f t="shared" si="149"/>
        <v>8.2812034554661889</v>
      </c>
    </row>
    <row r="4762" spans="1:14" x14ac:dyDescent="0.45">
      <c r="A4762" s="30">
        <v>2025</v>
      </c>
      <c r="B4762" s="30" t="s">
        <v>8</v>
      </c>
      <c r="C4762" s="30" t="s">
        <v>46</v>
      </c>
      <c r="D4762" s="30" t="s">
        <v>47</v>
      </c>
      <c r="E4762" s="32" t="s">
        <v>136</v>
      </c>
      <c r="F4762" s="32" t="s">
        <v>49</v>
      </c>
      <c r="G4762" s="32" t="s">
        <v>50</v>
      </c>
      <c r="H4762" s="33">
        <v>15240</v>
      </c>
      <c r="I4762" s="34">
        <f>Table3[[#This Row],[Volume, kg.]]/1000</f>
        <v>15.24</v>
      </c>
      <c r="J4762" s="34">
        <v>0.312</v>
      </c>
      <c r="K4762" s="34">
        <f t="shared" si="148"/>
        <v>4754.88</v>
      </c>
      <c r="L4762" s="34">
        <v>2.68</v>
      </c>
      <c r="M4762" s="34">
        <v>40796.5</v>
      </c>
      <c r="N4762" s="34">
        <f t="shared" si="149"/>
        <v>8.5897435897435894</v>
      </c>
    </row>
    <row r="4763" spans="1:14" x14ac:dyDescent="0.45">
      <c r="A4763" s="30">
        <v>2025</v>
      </c>
      <c r="B4763" s="30" t="s">
        <v>8</v>
      </c>
      <c r="C4763" s="30" t="s">
        <v>46</v>
      </c>
      <c r="D4763" s="30" t="s">
        <v>47</v>
      </c>
      <c r="E4763" s="32" t="s">
        <v>53</v>
      </c>
      <c r="F4763" s="32" t="s">
        <v>54</v>
      </c>
      <c r="G4763" s="32" t="s">
        <v>50</v>
      </c>
      <c r="H4763" s="33">
        <v>75560</v>
      </c>
      <c r="I4763" s="34">
        <f>Table3[[#This Row],[Volume, kg.]]/1000</f>
        <v>75.56</v>
      </c>
      <c r="J4763" s="34">
        <v>0.29920000000000002</v>
      </c>
      <c r="K4763" s="34">
        <f t="shared" si="148"/>
        <v>22607.552000000003</v>
      </c>
      <c r="L4763" s="34">
        <v>2.6</v>
      </c>
      <c r="M4763" s="34">
        <v>196236</v>
      </c>
      <c r="N4763" s="34">
        <f t="shared" si="149"/>
        <v>8.689839572192513</v>
      </c>
    </row>
    <row r="4764" spans="1:14" x14ac:dyDescent="0.45">
      <c r="A4764" s="30">
        <v>2025</v>
      </c>
      <c r="B4764" s="30" t="s">
        <v>8</v>
      </c>
      <c r="C4764" s="30" t="s">
        <v>46</v>
      </c>
      <c r="D4764" s="30" t="s">
        <v>102</v>
      </c>
      <c r="E4764" s="32" t="s">
        <v>658</v>
      </c>
      <c r="F4764" s="32" t="s">
        <v>64</v>
      </c>
      <c r="G4764" s="32" t="s">
        <v>50</v>
      </c>
      <c r="H4764" s="33">
        <v>32720</v>
      </c>
      <c r="I4764" s="34">
        <f>Table3[[#This Row],[Volume, kg.]]/1000</f>
        <v>32.72</v>
      </c>
      <c r="J4764" s="34">
        <v>0.27710000000000001</v>
      </c>
      <c r="K4764" s="34">
        <f t="shared" si="148"/>
        <v>9066.7119999999995</v>
      </c>
      <c r="L4764" s="34">
        <v>2.5499999999999998</v>
      </c>
      <c r="M4764" s="34">
        <v>83414.5</v>
      </c>
      <c r="N4764" s="34">
        <f t="shared" si="149"/>
        <v>9.2024539877300597</v>
      </c>
    </row>
    <row r="4765" spans="1:14" x14ac:dyDescent="0.45">
      <c r="A4765" s="30">
        <v>2025</v>
      </c>
      <c r="B4765" s="30" t="s">
        <v>8</v>
      </c>
      <c r="C4765" s="30" t="s">
        <v>46</v>
      </c>
      <c r="D4765" s="30" t="s">
        <v>47</v>
      </c>
      <c r="E4765" s="32" t="s">
        <v>252</v>
      </c>
      <c r="F4765" s="32" t="s">
        <v>49</v>
      </c>
      <c r="G4765" s="32" t="s">
        <v>50</v>
      </c>
      <c r="H4765" s="33">
        <v>110670</v>
      </c>
      <c r="I4765" s="34">
        <f>Table3[[#This Row],[Volume, kg.]]/1000</f>
        <v>110.67</v>
      </c>
      <c r="J4765" s="34">
        <v>0.29760000000000003</v>
      </c>
      <c r="K4765" s="34">
        <f t="shared" si="148"/>
        <v>32935.392</v>
      </c>
      <c r="L4765" s="34">
        <v>2.59</v>
      </c>
      <c r="M4765" s="34">
        <v>286598</v>
      </c>
      <c r="N4765" s="34">
        <f t="shared" si="149"/>
        <v>8.7029569892473102</v>
      </c>
    </row>
    <row r="4766" spans="1:14" x14ac:dyDescent="0.45">
      <c r="A4766" s="30">
        <v>2025</v>
      </c>
      <c r="B4766" s="30" t="s">
        <v>8</v>
      </c>
      <c r="C4766" s="30" t="s">
        <v>46</v>
      </c>
      <c r="D4766" s="30" t="s">
        <v>47</v>
      </c>
      <c r="E4766" s="32" t="s">
        <v>95</v>
      </c>
      <c r="F4766" s="32" t="s">
        <v>49</v>
      </c>
      <c r="G4766" s="32" t="s">
        <v>50</v>
      </c>
      <c r="H4766" s="33">
        <v>45550</v>
      </c>
      <c r="I4766" s="34">
        <f>Table3[[#This Row],[Volume, kg.]]/1000</f>
        <v>45.55</v>
      </c>
      <c r="J4766" s="34">
        <v>0.30590000000000001</v>
      </c>
      <c r="K4766" s="34">
        <f t="shared" si="148"/>
        <v>13933.745000000001</v>
      </c>
      <c r="L4766" s="34">
        <v>2.63</v>
      </c>
      <c r="M4766" s="34">
        <v>119763.5</v>
      </c>
      <c r="N4766" s="34">
        <f t="shared" si="149"/>
        <v>8.5975809087937236</v>
      </c>
    </row>
    <row r="4767" spans="1:14" x14ac:dyDescent="0.45">
      <c r="A4767" s="30">
        <v>2025</v>
      </c>
      <c r="B4767" s="30" t="s">
        <v>8</v>
      </c>
      <c r="C4767" s="30" t="s">
        <v>46</v>
      </c>
      <c r="D4767" s="30" t="s">
        <v>47</v>
      </c>
      <c r="E4767" s="32" t="s">
        <v>205</v>
      </c>
      <c r="F4767" s="32" t="s">
        <v>49</v>
      </c>
      <c r="G4767" s="32" t="s">
        <v>50</v>
      </c>
      <c r="H4767" s="33">
        <v>28490</v>
      </c>
      <c r="I4767" s="34">
        <f>Table3[[#This Row],[Volume, kg.]]/1000</f>
        <v>28.49</v>
      </c>
      <c r="J4767" s="34">
        <v>0.32250000000000001</v>
      </c>
      <c r="K4767" s="34">
        <f t="shared" si="148"/>
        <v>9188.0249999999996</v>
      </c>
      <c r="L4767" s="34">
        <v>2.72</v>
      </c>
      <c r="M4767" s="34">
        <v>77582</v>
      </c>
      <c r="N4767" s="34">
        <f t="shared" si="149"/>
        <v>8.4341085271317837</v>
      </c>
    </row>
    <row r="4768" spans="1:14" x14ac:dyDescent="0.45">
      <c r="A4768" s="30">
        <v>2025</v>
      </c>
      <c r="B4768" s="30" t="s">
        <v>8</v>
      </c>
      <c r="C4768" s="30" t="s">
        <v>46</v>
      </c>
      <c r="D4768" s="30" t="s">
        <v>47</v>
      </c>
      <c r="E4768" s="32" t="s">
        <v>409</v>
      </c>
      <c r="F4768" s="32" t="s">
        <v>57</v>
      </c>
      <c r="G4768" s="32" t="s">
        <v>50</v>
      </c>
      <c r="H4768" s="33">
        <v>77320</v>
      </c>
      <c r="I4768" s="34">
        <f>Table3[[#This Row],[Volume, kg.]]/1000</f>
        <v>77.319999999999993</v>
      </c>
      <c r="J4768" s="34">
        <v>0.28339999999999999</v>
      </c>
      <c r="K4768" s="34">
        <f t="shared" si="148"/>
        <v>21912.487999999998</v>
      </c>
      <c r="L4768" s="34">
        <v>2.52</v>
      </c>
      <c r="M4768" s="34">
        <v>194968</v>
      </c>
      <c r="N4768" s="34">
        <f t="shared" si="149"/>
        <v>8.8920254057868746</v>
      </c>
    </row>
    <row r="4769" spans="1:14" x14ac:dyDescent="0.45">
      <c r="A4769" s="30">
        <v>2025</v>
      </c>
      <c r="B4769" s="30" t="s">
        <v>8</v>
      </c>
      <c r="C4769" s="30" t="s">
        <v>46</v>
      </c>
      <c r="D4769" s="30" t="s">
        <v>47</v>
      </c>
      <c r="E4769" s="32" t="s">
        <v>410</v>
      </c>
      <c r="F4769" s="32" t="s">
        <v>54</v>
      </c>
      <c r="G4769" s="32" t="s">
        <v>50</v>
      </c>
      <c r="H4769" s="33">
        <v>75230</v>
      </c>
      <c r="I4769" s="34">
        <f>Table3[[#This Row],[Volume, kg.]]/1000</f>
        <v>75.23</v>
      </c>
      <c r="J4769" s="34">
        <v>0.25650000000000001</v>
      </c>
      <c r="K4769" s="34">
        <f t="shared" si="148"/>
        <v>19296.494999999999</v>
      </c>
      <c r="L4769" s="34">
        <v>2.4</v>
      </c>
      <c r="M4769" s="34">
        <v>180469</v>
      </c>
      <c r="N4769" s="34">
        <f t="shared" si="149"/>
        <v>9.3567251461988299</v>
      </c>
    </row>
    <row r="4770" spans="1:14" x14ac:dyDescent="0.45">
      <c r="A4770" s="30">
        <v>2025</v>
      </c>
      <c r="B4770" s="30" t="s">
        <v>8</v>
      </c>
      <c r="C4770" s="30" t="s">
        <v>46</v>
      </c>
      <c r="D4770" s="30" t="s">
        <v>47</v>
      </c>
      <c r="E4770" s="32" t="s">
        <v>413</v>
      </c>
      <c r="F4770" s="32" t="s">
        <v>49</v>
      </c>
      <c r="G4770" s="32" t="s">
        <v>50</v>
      </c>
      <c r="H4770" s="33">
        <v>29410</v>
      </c>
      <c r="I4770" s="34">
        <f>Table3[[#This Row],[Volume, kg.]]/1000</f>
        <v>29.41</v>
      </c>
      <c r="J4770" s="34">
        <v>0.28789999999999999</v>
      </c>
      <c r="K4770" s="34">
        <f t="shared" si="148"/>
        <v>8467.1389999999992</v>
      </c>
      <c r="L4770" s="34">
        <v>2.5299999999999998</v>
      </c>
      <c r="M4770" s="34">
        <v>74277</v>
      </c>
      <c r="N4770" s="34">
        <f t="shared" si="149"/>
        <v>8.7877735324765531</v>
      </c>
    </row>
    <row r="4771" spans="1:14" x14ac:dyDescent="0.45">
      <c r="A4771" s="30">
        <v>2025</v>
      </c>
      <c r="B4771" s="30" t="s">
        <v>8</v>
      </c>
      <c r="C4771" s="30" t="s">
        <v>46</v>
      </c>
      <c r="D4771" s="30" t="s">
        <v>102</v>
      </c>
      <c r="E4771" s="32" t="s">
        <v>414</v>
      </c>
      <c r="F4771" s="32" t="s">
        <v>415</v>
      </c>
      <c r="G4771" s="32" t="s">
        <v>50</v>
      </c>
      <c r="H4771" s="33">
        <v>59570</v>
      </c>
      <c r="I4771" s="34">
        <f>Table3[[#This Row],[Volume, kg.]]/1000</f>
        <v>59.57</v>
      </c>
      <c r="J4771" s="34">
        <v>0.28320000000000001</v>
      </c>
      <c r="K4771" s="34">
        <f t="shared" si="148"/>
        <v>16870.224000000002</v>
      </c>
      <c r="L4771" s="34">
        <v>2.5</v>
      </c>
      <c r="M4771" s="34">
        <v>148916.5</v>
      </c>
      <c r="N4771" s="34">
        <f t="shared" si="149"/>
        <v>8.8276836158192094</v>
      </c>
    </row>
    <row r="4772" spans="1:14" x14ac:dyDescent="0.45">
      <c r="A4772" s="30">
        <v>2025</v>
      </c>
      <c r="B4772" s="30" t="s">
        <v>8</v>
      </c>
      <c r="C4772" s="30" t="s">
        <v>46</v>
      </c>
      <c r="D4772" s="30" t="s">
        <v>47</v>
      </c>
      <c r="E4772" s="32" t="s">
        <v>434</v>
      </c>
      <c r="F4772" s="32" t="s">
        <v>57</v>
      </c>
      <c r="G4772" s="32" t="s">
        <v>50</v>
      </c>
      <c r="H4772" s="33">
        <v>150020</v>
      </c>
      <c r="I4772" s="34">
        <f>Table3[[#This Row],[Volume, kg.]]/1000</f>
        <v>150.02000000000001</v>
      </c>
      <c r="J4772" s="34">
        <v>0.2873</v>
      </c>
      <c r="K4772" s="34">
        <f t="shared" si="148"/>
        <v>43100.745999999999</v>
      </c>
      <c r="L4772" s="34">
        <v>2.54</v>
      </c>
      <c r="M4772" s="34">
        <v>381721.5</v>
      </c>
      <c r="N4772" s="34">
        <f t="shared" si="149"/>
        <v>8.8409328228332758</v>
      </c>
    </row>
    <row r="4773" spans="1:14" x14ac:dyDescent="0.45">
      <c r="A4773" s="30">
        <v>2025</v>
      </c>
      <c r="B4773" s="30" t="s">
        <v>8</v>
      </c>
      <c r="C4773" s="30" t="s">
        <v>46</v>
      </c>
      <c r="D4773" s="30" t="s">
        <v>102</v>
      </c>
      <c r="E4773" s="32" t="s">
        <v>552</v>
      </c>
      <c r="F4773" s="32" t="s">
        <v>238</v>
      </c>
      <c r="G4773" s="32" t="s">
        <v>50</v>
      </c>
      <c r="H4773" s="33">
        <v>73730</v>
      </c>
      <c r="I4773" s="34">
        <f>Table3[[#This Row],[Volume, kg.]]/1000</f>
        <v>73.73</v>
      </c>
      <c r="J4773" s="34">
        <v>0.25290000000000001</v>
      </c>
      <c r="K4773" s="34">
        <f t="shared" si="148"/>
        <v>18646.317000000003</v>
      </c>
      <c r="L4773" s="34">
        <v>2.4300000000000002</v>
      </c>
      <c r="M4773" s="34">
        <v>179478.5</v>
      </c>
      <c r="N4773" s="34">
        <f t="shared" si="149"/>
        <v>9.6085409252669045</v>
      </c>
    </row>
    <row r="4774" spans="1:14" x14ac:dyDescent="0.45">
      <c r="A4774" s="30">
        <v>2025</v>
      </c>
      <c r="B4774" s="30" t="s">
        <v>8</v>
      </c>
      <c r="C4774" s="30" t="s">
        <v>46</v>
      </c>
      <c r="D4774" s="30" t="s">
        <v>47</v>
      </c>
      <c r="E4774" s="32" t="s">
        <v>586</v>
      </c>
      <c r="F4774" s="32" t="s">
        <v>64</v>
      </c>
      <c r="G4774" s="32" t="s">
        <v>50</v>
      </c>
      <c r="H4774" s="33">
        <v>16110</v>
      </c>
      <c r="I4774" s="34">
        <f>Table3[[#This Row],[Volume, kg.]]/1000</f>
        <v>16.11</v>
      </c>
      <c r="J4774" s="34">
        <v>0.27739999999999998</v>
      </c>
      <c r="K4774" s="34">
        <f t="shared" si="148"/>
        <v>4468.9139999999998</v>
      </c>
      <c r="L4774" s="34">
        <v>2.65</v>
      </c>
      <c r="M4774" s="34">
        <v>42691.5</v>
      </c>
      <c r="N4774" s="34">
        <f t="shared" si="149"/>
        <v>9.552992069214131</v>
      </c>
    </row>
    <row r="4775" spans="1:14" x14ac:dyDescent="0.45">
      <c r="A4775" s="30">
        <v>2025</v>
      </c>
      <c r="B4775" s="30" t="s">
        <v>8</v>
      </c>
      <c r="C4775" s="30" t="s">
        <v>46</v>
      </c>
      <c r="D4775" s="30" t="s">
        <v>47</v>
      </c>
      <c r="E4775" s="32" t="s">
        <v>587</v>
      </c>
      <c r="F4775" s="32" t="s">
        <v>223</v>
      </c>
      <c r="G4775" s="32" t="s">
        <v>50</v>
      </c>
      <c r="H4775" s="33">
        <v>125840</v>
      </c>
      <c r="I4775" s="34">
        <f>Table3[[#This Row],[Volume, kg.]]/1000</f>
        <v>125.84</v>
      </c>
      <c r="J4775" s="34">
        <v>0.30099999999999999</v>
      </c>
      <c r="K4775" s="34">
        <f t="shared" si="148"/>
        <v>37877.839999999997</v>
      </c>
      <c r="L4775" s="34">
        <v>2.61</v>
      </c>
      <c r="M4775" s="34">
        <v>328110.5</v>
      </c>
      <c r="N4775" s="34">
        <f t="shared" si="149"/>
        <v>8.6710963455149503</v>
      </c>
    </row>
    <row r="4776" spans="1:14" x14ac:dyDescent="0.45">
      <c r="A4776" s="30">
        <v>2025</v>
      </c>
      <c r="B4776" s="30" t="s">
        <v>8</v>
      </c>
      <c r="C4776" s="30" t="s">
        <v>46</v>
      </c>
      <c r="D4776" s="30" t="s">
        <v>47</v>
      </c>
      <c r="E4776" s="32" t="s">
        <v>588</v>
      </c>
      <c r="F4776" s="32" t="s">
        <v>223</v>
      </c>
      <c r="G4776" s="32" t="s">
        <v>50</v>
      </c>
      <c r="H4776" s="33">
        <v>36930</v>
      </c>
      <c r="I4776" s="34">
        <f>Table3[[#This Row],[Volume, kg.]]/1000</f>
        <v>36.93</v>
      </c>
      <c r="J4776" s="34">
        <v>0.28160000000000002</v>
      </c>
      <c r="K4776" s="34">
        <f t="shared" si="148"/>
        <v>10399.488000000001</v>
      </c>
      <c r="L4776" s="34">
        <v>2.5099999999999998</v>
      </c>
      <c r="M4776" s="34">
        <v>92799</v>
      </c>
      <c r="N4776" s="34">
        <f t="shared" si="149"/>
        <v>8.9133522727272716</v>
      </c>
    </row>
    <row r="4777" spans="1:14" x14ac:dyDescent="0.45">
      <c r="A4777" s="30">
        <v>2025</v>
      </c>
      <c r="B4777" s="30" t="s">
        <v>8</v>
      </c>
      <c r="C4777" s="30" t="s">
        <v>46</v>
      </c>
      <c r="D4777" s="30" t="s">
        <v>47</v>
      </c>
      <c r="E4777" s="32" t="s">
        <v>591</v>
      </c>
      <c r="F4777" s="32" t="s">
        <v>223</v>
      </c>
      <c r="G4777" s="32" t="s">
        <v>50</v>
      </c>
      <c r="H4777" s="33">
        <v>18020</v>
      </c>
      <c r="I4777" s="34">
        <f>Table3[[#This Row],[Volume, kg.]]/1000</f>
        <v>18.02</v>
      </c>
      <c r="J4777" s="34">
        <v>0.23530000000000001</v>
      </c>
      <c r="K4777" s="34">
        <f t="shared" si="148"/>
        <v>4240.1059999999998</v>
      </c>
      <c r="L4777" s="34">
        <v>2.27</v>
      </c>
      <c r="M4777" s="34">
        <v>40967.5</v>
      </c>
      <c r="N4777" s="34">
        <f t="shared" si="149"/>
        <v>9.6472588185295365</v>
      </c>
    </row>
    <row r="4778" spans="1:14" x14ac:dyDescent="0.45">
      <c r="A4778" s="30">
        <v>2025</v>
      </c>
      <c r="B4778" s="30" t="s">
        <v>8</v>
      </c>
      <c r="C4778" s="30" t="s">
        <v>46</v>
      </c>
      <c r="D4778" s="30" t="s">
        <v>47</v>
      </c>
      <c r="E4778" s="32" t="s">
        <v>592</v>
      </c>
      <c r="F4778" s="32" t="s">
        <v>223</v>
      </c>
      <c r="G4778" s="32" t="s">
        <v>50</v>
      </c>
      <c r="H4778" s="33">
        <v>193540</v>
      </c>
      <c r="I4778" s="34">
        <f>Table3[[#This Row],[Volume, kg.]]/1000</f>
        <v>193.54</v>
      </c>
      <c r="J4778" s="34">
        <v>0.29799999999999999</v>
      </c>
      <c r="K4778" s="34">
        <f t="shared" si="148"/>
        <v>57674.92</v>
      </c>
      <c r="L4778" s="34">
        <v>2.6</v>
      </c>
      <c r="M4778" s="34">
        <v>503889.5</v>
      </c>
      <c r="N4778" s="34">
        <f t="shared" si="149"/>
        <v>8.724832214765101</v>
      </c>
    </row>
    <row r="4779" spans="1:14" x14ac:dyDescent="0.45">
      <c r="A4779" s="30">
        <v>2025</v>
      </c>
      <c r="B4779" s="30" t="s">
        <v>8</v>
      </c>
      <c r="C4779" s="30" t="s">
        <v>46</v>
      </c>
      <c r="D4779" s="30" t="s">
        <v>47</v>
      </c>
      <c r="E4779" s="32" t="s">
        <v>595</v>
      </c>
      <c r="F4779" s="32" t="s">
        <v>64</v>
      </c>
      <c r="G4779" s="32" t="s">
        <v>50</v>
      </c>
      <c r="H4779" s="33">
        <v>18670</v>
      </c>
      <c r="I4779" s="34">
        <f>Table3[[#This Row],[Volume, kg.]]/1000</f>
        <v>18.670000000000002</v>
      </c>
      <c r="J4779" s="34">
        <v>0.2631</v>
      </c>
      <c r="K4779" s="34">
        <f t="shared" si="148"/>
        <v>4912.0770000000002</v>
      </c>
      <c r="L4779" s="34">
        <v>2.4700000000000002</v>
      </c>
      <c r="M4779" s="34">
        <v>46183</v>
      </c>
      <c r="N4779" s="34">
        <f t="shared" si="149"/>
        <v>9.3880653743823643</v>
      </c>
    </row>
    <row r="4780" spans="1:14" x14ac:dyDescent="0.45">
      <c r="A4780" s="30">
        <v>2025</v>
      </c>
      <c r="B4780" s="30" t="s">
        <v>8</v>
      </c>
      <c r="C4780" s="30" t="s">
        <v>46</v>
      </c>
      <c r="D4780" s="30" t="s">
        <v>47</v>
      </c>
      <c r="E4780" s="32" t="s">
        <v>614</v>
      </c>
      <c r="F4780" s="32" t="s">
        <v>223</v>
      </c>
      <c r="G4780" s="32" t="s">
        <v>50</v>
      </c>
      <c r="H4780" s="33">
        <v>15050</v>
      </c>
      <c r="I4780" s="34">
        <f>Table3[[#This Row],[Volume, kg.]]/1000</f>
        <v>15.05</v>
      </c>
      <c r="J4780" s="34">
        <v>0.28449999999999998</v>
      </c>
      <c r="K4780" s="34">
        <f t="shared" si="148"/>
        <v>4281.7249999999995</v>
      </c>
      <c r="L4780" s="34">
        <v>2.52</v>
      </c>
      <c r="M4780" s="34">
        <v>37986.5</v>
      </c>
      <c r="N4780" s="34">
        <f t="shared" si="149"/>
        <v>8.8576449912126538</v>
      </c>
    </row>
    <row r="4781" spans="1:14" x14ac:dyDescent="0.45">
      <c r="A4781" s="30">
        <v>2025</v>
      </c>
      <c r="B4781" s="30" t="s">
        <v>8</v>
      </c>
      <c r="C4781" s="30" t="s">
        <v>46</v>
      </c>
      <c r="D4781" s="30" t="s">
        <v>47</v>
      </c>
      <c r="E4781" s="32" t="s">
        <v>664</v>
      </c>
      <c r="F4781" s="32" t="s">
        <v>114</v>
      </c>
      <c r="G4781" s="32" t="s">
        <v>108</v>
      </c>
      <c r="H4781" s="33">
        <v>5700</v>
      </c>
      <c r="I4781" s="34">
        <f>Table3[[#This Row],[Volume, kg.]]/1000</f>
        <v>5.7</v>
      </c>
      <c r="J4781" s="34">
        <v>0.33399999999999996</v>
      </c>
      <c r="K4781" s="34">
        <f t="shared" si="148"/>
        <v>1903.7999999999997</v>
      </c>
      <c r="L4781" s="34">
        <v>2.75</v>
      </c>
      <c r="M4781" s="34">
        <v>15675</v>
      </c>
      <c r="N4781" s="34">
        <f t="shared" si="149"/>
        <v>8.2335329341317376</v>
      </c>
    </row>
    <row r="4782" spans="1:14" x14ac:dyDescent="0.45">
      <c r="A4782" s="30">
        <v>2025</v>
      </c>
      <c r="B4782" s="30" t="s">
        <v>8</v>
      </c>
      <c r="C4782" s="30" t="s">
        <v>46</v>
      </c>
      <c r="D4782" s="30" t="s">
        <v>47</v>
      </c>
      <c r="E4782" s="32" t="s">
        <v>672</v>
      </c>
      <c r="F4782" s="32" t="s">
        <v>134</v>
      </c>
      <c r="G4782" s="32" t="s">
        <v>50</v>
      </c>
      <c r="H4782" s="33">
        <v>27920</v>
      </c>
      <c r="I4782" s="34">
        <f>Table3[[#This Row],[Volume, kg.]]/1000</f>
        <v>27.92</v>
      </c>
      <c r="J4782" s="34">
        <v>0.28300000000000003</v>
      </c>
      <c r="K4782" s="34">
        <f t="shared" si="148"/>
        <v>7901.3600000000006</v>
      </c>
      <c r="L4782" s="34">
        <v>2.52</v>
      </c>
      <c r="M4782" s="34">
        <v>70321.5</v>
      </c>
      <c r="N4782" s="34">
        <f t="shared" si="149"/>
        <v>8.9045936395759711</v>
      </c>
    </row>
    <row r="4783" spans="1:14" x14ac:dyDescent="0.45">
      <c r="A4783" s="30">
        <v>2025</v>
      </c>
      <c r="B4783" s="30" t="s">
        <v>8</v>
      </c>
      <c r="C4783" s="30" t="s">
        <v>46</v>
      </c>
      <c r="D4783" s="30" t="s">
        <v>102</v>
      </c>
      <c r="E4783" s="32" t="s">
        <v>695</v>
      </c>
      <c r="F4783" s="32" t="s">
        <v>696</v>
      </c>
      <c r="G4783" s="32" t="s">
        <v>557</v>
      </c>
      <c r="H4783" s="33">
        <v>1188630</v>
      </c>
      <c r="I4783" s="34">
        <f>Table3[[#This Row],[Volume, kg.]]/1000</f>
        <v>1188.6300000000001</v>
      </c>
      <c r="J4783" s="34">
        <v>0.26179999999999998</v>
      </c>
      <c r="K4783" s="34">
        <f t="shared" si="148"/>
        <v>311183.33399999997</v>
      </c>
      <c r="L4783" s="34">
        <v>2.42</v>
      </c>
      <c r="M4783" s="34">
        <v>2878555.5</v>
      </c>
      <c r="N4783" s="34">
        <f t="shared" si="149"/>
        <v>9.2436974789915975</v>
      </c>
    </row>
    <row r="4784" spans="1:14" x14ac:dyDescent="0.45">
      <c r="A4784" s="30">
        <v>2025</v>
      </c>
      <c r="B4784" s="30" t="s">
        <v>8</v>
      </c>
      <c r="C4784" s="30" t="s">
        <v>46</v>
      </c>
      <c r="D4784" s="30" t="s">
        <v>102</v>
      </c>
      <c r="E4784" s="32" t="s">
        <v>697</v>
      </c>
      <c r="F4784" s="32" t="s">
        <v>107</v>
      </c>
      <c r="G4784" s="32" t="s">
        <v>108</v>
      </c>
      <c r="H4784" s="33">
        <v>652700</v>
      </c>
      <c r="I4784" s="34">
        <f>Table3[[#This Row],[Volume, kg.]]/1000</f>
        <v>652.70000000000005</v>
      </c>
      <c r="J4784" s="34">
        <v>0.26860000000000001</v>
      </c>
      <c r="K4784" s="34">
        <f t="shared" si="148"/>
        <v>175315.22</v>
      </c>
      <c r="L4784" s="34">
        <v>2.46</v>
      </c>
      <c r="M4784" s="34">
        <v>1603371</v>
      </c>
      <c r="N4784" s="34">
        <f t="shared" si="149"/>
        <v>9.1586001489203266</v>
      </c>
    </row>
    <row r="4785" spans="1:14" x14ac:dyDescent="0.45">
      <c r="A4785" s="30">
        <v>2025</v>
      </c>
      <c r="B4785" s="30" t="s">
        <v>8</v>
      </c>
      <c r="C4785" s="30" t="s">
        <v>46</v>
      </c>
      <c r="D4785" s="30" t="s">
        <v>102</v>
      </c>
      <c r="E4785" s="32" t="s">
        <v>703</v>
      </c>
      <c r="F4785" s="32" t="s">
        <v>704</v>
      </c>
      <c r="G4785" s="32" t="s">
        <v>705</v>
      </c>
      <c r="H4785" s="33">
        <v>512990</v>
      </c>
      <c r="I4785" s="34">
        <f>Table3[[#This Row],[Volume, kg.]]/1000</f>
        <v>512.99</v>
      </c>
      <c r="J4785" s="34">
        <v>0.25650000000000001</v>
      </c>
      <c r="K4785" s="34">
        <f t="shared" si="148"/>
        <v>131581.935</v>
      </c>
      <c r="L4785" s="34">
        <v>2.4</v>
      </c>
      <c r="M4785" s="34">
        <v>1229679</v>
      </c>
      <c r="N4785" s="34">
        <f t="shared" si="149"/>
        <v>9.3567251461988299</v>
      </c>
    </row>
    <row r="4786" spans="1:14" x14ac:dyDescent="0.45">
      <c r="A4786" s="30">
        <v>2025</v>
      </c>
      <c r="B4786" s="30" t="s">
        <v>8</v>
      </c>
      <c r="C4786" s="30" t="s">
        <v>46</v>
      </c>
      <c r="D4786" s="30" t="s">
        <v>102</v>
      </c>
      <c r="E4786" s="32" t="s">
        <v>708</v>
      </c>
      <c r="F4786" s="32" t="s">
        <v>397</v>
      </c>
      <c r="G4786" s="32" t="s">
        <v>105</v>
      </c>
      <c r="H4786" s="33">
        <v>499880</v>
      </c>
      <c r="I4786" s="34">
        <f>Table3[[#This Row],[Volume, kg.]]/1000</f>
        <v>499.88</v>
      </c>
      <c r="J4786" s="34">
        <v>0.26100000000000001</v>
      </c>
      <c r="K4786" s="34">
        <f t="shared" si="148"/>
        <v>130468.68000000001</v>
      </c>
      <c r="L4786" s="34">
        <v>2.44</v>
      </c>
      <c r="M4786" s="34">
        <v>1217491</v>
      </c>
      <c r="N4786" s="34">
        <f t="shared" si="149"/>
        <v>9.3486590038314166</v>
      </c>
    </row>
    <row r="4787" spans="1:14" x14ac:dyDescent="0.45">
      <c r="A4787" s="30">
        <v>2025</v>
      </c>
      <c r="B4787" s="30" t="s">
        <v>9</v>
      </c>
      <c r="C4787" s="30" t="s">
        <v>46</v>
      </c>
      <c r="D4787" s="30" t="s">
        <v>102</v>
      </c>
      <c r="E4787" s="32" t="s">
        <v>188</v>
      </c>
      <c r="F4787" s="32" t="s">
        <v>189</v>
      </c>
      <c r="G4787" s="32" t="s">
        <v>128</v>
      </c>
      <c r="H4787" s="33">
        <v>438880</v>
      </c>
      <c r="I4787" s="34">
        <f>Table3[[#This Row],[Volume, kg.]]/1000</f>
        <v>438.88</v>
      </c>
      <c r="J4787" s="34">
        <v>0.26600000000000001</v>
      </c>
      <c r="K4787" s="34">
        <f t="shared" si="148"/>
        <v>116742.08</v>
      </c>
      <c r="L4787" s="34">
        <v>2.39</v>
      </c>
      <c r="M4787" s="34">
        <v>1050027.5</v>
      </c>
      <c r="N4787" s="34">
        <f t="shared" si="149"/>
        <v>8.9849624060150379</v>
      </c>
    </row>
    <row r="4788" spans="1:14" x14ac:dyDescent="0.45">
      <c r="A4788" s="30">
        <v>2025</v>
      </c>
      <c r="B4788" s="30" t="s">
        <v>9</v>
      </c>
      <c r="C4788" s="30" t="s">
        <v>46</v>
      </c>
      <c r="D4788" s="30" t="s">
        <v>102</v>
      </c>
      <c r="E4788" s="32" t="s">
        <v>336</v>
      </c>
      <c r="F4788" s="32" t="s">
        <v>114</v>
      </c>
      <c r="G4788" s="32" t="s">
        <v>108</v>
      </c>
      <c r="H4788" s="33">
        <v>756600</v>
      </c>
      <c r="I4788" s="34">
        <f>Table3[[#This Row],[Volume, kg.]]/1000</f>
        <v>756.6</v>
      </c>
      <c r="J4788" s="34">
        <v>0.28850000000000003</v>
      </c>
      <c r="K4788" s="34">
        <f t="shared" si="148"/>
        <v>218279.10000000003</v>
      </c>
      <c r="L4788" s="34">
        <v>2.5</v>
      </c>
      <c r="M4788" s="34">
        <v>1890540</v>
      </c>
      <c r="N4788" s="34">
        <f t="shared" si="149"/>
        <v>8.6655112651646444</v>
      </c>
    </row>
    <row r="4789" spans="1:14" x14ac:dyDescent="0.45">
      <c r="A4789" s="30">
        <v>2025</v>
      </c>
      <c r="B4789" s="30" t="s">
        <v>9</v>
      </c>
      <c r="C4789" s="30" t="s">
        <v>46</v>
      </c>
      <c r="D4789" s="30" t="s">
        <v>102</v>
      </c>
      <c r="E4789" s="32" t="s">
        <v>622</v>
      </c>
      <c r="F4789" s="32" t="s">
        <v>238</v>
      </c>
      <c r="G4789" s="32" t="s">
        <v>50</v>
      </c>
      <c r="H4789" s="33">
        <v>622930</v>
      </c>
      <c r="I4789" s="34">
        <f>Table3[[#This Row],[Volume, kg.]]/1000</f>
        <v>622.92999999999995</v>
      </c>
      <c r="J4789" s="34">
        <v>0.28449999999999998</v>
      </c>
      <c r="K4789" s="34">
        <f t="shared" si="148"/>
        <v>177223.58499999999</v>
      </c>
      <c r="L4789" s="34">
        <v>2.52</v>
      </c>
      <c r="M4789" s="34">
        <v>1568877</v>
      </c>
      <c r="N4789" s="34">
        <f t="shared" si="149"/>
        <v>8.8576449912126538</v>
      </c>
    </row>
    <row r="4790" spans="1:14" x14ac:dyDescent="0.45">
      <c r="A4790" s="30">
        <v>2025</v>
      </c>
      <c r="B4790" s="30" t="s">
        <v>9</v>
      </c>
      <c r="C4790" s="30" t="s">
        <v>46</v>
      </c>
      <c r="D4790" s="30" t="s">
        <v>47</v>
      </c>
      <c r="E4790" s="32" t="s">
        <v>596</v>
      </c>
      <c r="F4790" s="32" t="s">
        <v>49</v>
      </c>
      <c r="G4790" s="32" t="s">
        <v>50</v>
      </c>
      <c r="H4790" s="33">
        <v>16820</v>
      </c>
      <c r="I4790" s="34">
        <f>Table3[[#This Row],[Volume, kg.]]/1000</f>
        <v>16.82</v>
      </c>
      <c r="J4790" s="34">
        <v>0.28589999999999999</v>
      </c>
      <c r="K4790" s="34">
        <f t="shared" si="148"/>
        <v>4808.8379999999997</v>
      </c>
      <c r="L4790" s="34">
        <v>2.3199999999999998</v>
      </c>
      <c r="M4790" s="34">
        <v>39033.5</v>
      </c>
      <c r="N4790" s="34">
        <f t="shared" si="149"/>
        <v>8.1147254284714929</v>
      </c>
    </row>
    <row r="4791" spans="1:14" x14ac:dyDescent="0.45">
      <c r="A4791" s="30">
        <v>2025</v>
      </c>
      <c r="B4791" s="30" t="s">
        <v>9</v>
      </c>
      <c r="C4791" s="30" t="s">
        <v>46</v>
      </c>
      <c r="D4791" s="30" t="s">
        <v>47</v>
      </c>
      <c r="E4791" s="32" t="s">
        <v>213</v>
      </c>
      <c r="F4791" s="32" t="s">
        <v>49</v>
      </c>
      <c r="G4791" s="32" t="s">
        <v>50</v>
      </c>
      <c r="H4791" s="33">
        <v>29790</v>
      </c>
      <c r="I4791" s="34">
        <f>Table3[[#This Row],[Volume, kg.]]/1000</f>
        <v>29.79</v>
      </c>
      <c r="J4791" s="34">
        <v>0.29549999999999998</v>
      </c>
      <c r="K4791" s="34">
        <f t="shared" si="148"/>
        <v>8802.9449999999997</v>
      </c>
      <c r="L4791" s="34">
        <v>2.46</v>
      </c>
      <c r="M4791" s="34">
        <v>73197</v>
      </c>
      <c r="N4791" s="34">
        <f t="shared" si="149"/>
        <v>8.3248730964467015</v>
      </c>
    </row>
    <row r="4792" spans="1:14" x14ac:dyDescent="0.45">
      <c r="A4792" s="30">
        <v>2025</v>
      </c>
      <c r="B4792" s="30" t="s">
        <v>9</v>
      </c>
      <c r="C4792" s="30" t="s">
        <v>46</v>
      </c>
      <c r="D4792" s="30" t="s">
        <v>47</v>
      </c>
      <c r="E4792" s="32" t="s">
        <v>69</v>
      </c>
      <c r="F4792" s="32" t="s">
        <v>49</v>
      </c>
      <c r="G4792" s="32" t="s">
        <v>50</v>
      </c>
      <c r="H4792" s="33">
        <v>34310</v>
      </c>
      <c r="I4792" s="34">
        <f>Table3[[#This Row],[Volume, kg.]]/1000</f>
        <v>34.31</v>
      </c>
      <c r="J4792" s="34">
        <v>0.2737</v>
      </c>
      <c r="K4792" s="34">
        <f t="shared" si="148"/>
        <v>9390.6470000000008</v>
      </c>
      <c r="L4792" s="34">
        <v>2.2999999999999998</v>
      </c>
      <c r="M4792" s="34">
        <v>79061.5</v>
      </c>
      <c r="N4792" s="34">
        <f t="shared" si="149"/>
        <v>8.4033613445378137</v>
      </c>
    </row>
    <row r="4793" spans="1:14" x14ac:dyDescent="0.45">
      <c r="A4793" s="30">
        <v>2025</v>
      </c>
      <c r="B4793" s="30" t="s">
        <v>9</v>
      </c>
      <c r="C4793" s="30" t="s">
        <v>46</v>
      </c>
      <c r="D4793" s="30" t="s">
        <v>47</v>
      </c>
      <c r="E4793" s="32" t="s">
        <v>326</v>
      </c>
      <c r="F4793" s="32" t="s">
        <v>57</v>
      </c>
      <c r="G4793" s="32" t="s">
        <v>50</v>
      </c>
      <c r="H4793" s="33">
        <v>27400</v>
      </c>
      <c r="I4793" s="34">
        <f>Table3[[#This Row],[Volume, kg.]]/1000</f>
        <v>27.4</v>
      </c>
      <c r="J4793" s="34">
        <v>0.27940000000000004</v>
      </c>
      <c r="K4793" s="34">
        <f t="shared" si="148"/>
        <v>7655.5600000000013</v>
      </c>
      <c r="L4793" s="34">
        <v>2.5299999999999998</v>
      </c>
      <c r="M4793" s="34">
        <v>69399.5</v>
      </c>
      <c r="N4793" s="34">
        <f t="shared" si="149"/>
        <v>9.0551181102362186</v>
      </c>
    </row>
    <row r="4794" spans="1:14" x14ac:dyDescent="0.45">
      <c r="A4794" s="30">
        <v>2025</v>
      </c>
      <c r="B4794" s="30" t="s">
        <v>9</v>
      </c>
      <c r="C4794" s="30" t="s">
        <v>46</v>
      </c>
      <c r="D4794" s="30" t="s">
        <v>47</v>
      </c>
      <c r="E4794" s="32" t="s">
        <v>201</v>
      </c>
      <c r="F4794" s="32" t="s">
        <v>49</v>
      </c>
      <c r="G4794" s="32" t="s">
        <v>50</v>
      </c>
      <c r="H4794" s="33">
        <v>47850</v>
      </c>
      <c r="I4794" s="34">
        <f>Table3[[#This Row],[Volume, kg.]]/1000</f>
        <v>47.85</v>
      </c>
      <c r="J4794" s="34">
        <v>0.29339999999999999</v>
      </c>
      <c r="K4794" s="34">
        <f t="shared" si="148"/>
        <v>14039.19</v>
      </c>
      <c r="L4794" s="34">
        <v>2.5099999999999998</v>
      </c>
      <c r="M4794" s="34">
        <v>120111.5</v>
      </c>
      <c r="N4794" s="34">
        <f t="shared" si="149"/>
        <v>8.5548738922972039</v>
      </c>
    </row>
    <row r="4795" spans="1:14" x14ac:dyDescent="0.45">
      <c r="A4795" s="30">
        <v>2025</v>
      </c>
      <c r="B4795" s="30" t="s">
        <v>9</v>
      </c>
      <c r="C4795" s="30" t="s">
        <v>46</v>
      </c>
      <c r="D4795" s="30" t="s">
        <v>47</v>
      </c>
      <c r="E4795" s="32" t="s">
        <v>382</v>
      </c>
      <c r="F4795" s="32" t="s">
        <v>60</v>
      </c>
      <c r="G4795" s="32" t="s">
        <v>50</v>
      </c>
      <c r="H4795" s="33">
        <v>9850</v>
      </c>
      <c r="I4795" s="34">
        <f>Table3[[#This Row],[Volume, kg.]]/1000</f>
        <v>9.85</v>
      </c>
      <c r="J4795" s="34">
        <v>0.254</v>
      </c>
      <c r="K4795" s="34">
        <f t="shared" si="148"/>
        <v>2501.9</v>
      </c>
      <c r="L4795" s="34">
        <v>2.15</v>
      </c>
      <c r="M4795" s="34">
        <v>21177.5</v>
      </c>
      <c r="N4795" s="34">
        <f t="shared" si="149"/>
        <v>8.4645669291338574</v>
      </c>
    </row>
    <row r="4796" spans="1:14" x14ac:dyDescent="0.45">
      <c r="A4796" s="30">
        <v>2025</v>
      </c>
      <c r="B4796" s="30" t="s">
        <v>9</v>
      </c>
      <c r="C4796" s="30" t="s">
        <v>46</v>
      </c>
      <c r="D4796" s="30" t="s">
        <v>47</v>
      </c>
      <c r="E4796" s="32" t="s">
        <v>433</v>
      </c>
      <c r="F4796" s="32" t="s">
        <v>49</v>
      </c>
      <c r="G4796" s="32" t="s">
        <v>50</v>
      </c>
      <c r="H4796" s="33">
        <v>7410</v>
      </c>
      <c r="I4796" s="34">
        <f>Table3[[#This Row],[Volume, kg.]]/1000</f>
        <v>7.41</v>
      </c>
      <c r="J4796" s="34">
        <v>0.30199999999999999</v>
      </c>
      <c r="K4796" s="34">
        <f t="shared" si="148"/>
        <v>2237.8199999999997</v>
      </c>
      <c r="L4796" s="34">
        <v>2.5499999999999998</v>
      </c>
      <c r="M4796" s="34">
        <v>18895.5</v>
      </c>
      <c r="N4796" s="34">
        <f t="shared" si="149"/>
        <v>8.443708609271523</v>
      </c>
    </row>
    <row r="4797" spans="1:14" x14ac:dyDescent="0.45">
      <c r="A4797" s="30">
        <v>2025</v>
      </c>
      <c r="B4797" s="30" t="s">
        <v>9</v>
      </c>
      <c r="C4797" s="30" t="s">
        <v>46</v>
      </c>
      <c r="D4797" s="30" t="s">
        <v>47</v>
      </c>
      <c r="E4797" s="32" t="s">
        <v>235</v>
      </c>
      <c r="F4797" s="32" t="s">
        <v>57</v>
      </c>
      <c r="G4797" s="32" t="s">
        <v>50</v>
      </c>
      <c r="H4797" s="33">
        <v>17960</v>
      </c>
      <c r="I4797" s="34">
        <f>Table3[[#This Row],[Volume, kg.]]/1000</f>
        <v>17.96</v>
      </c>
      <c r="J4797" s="34">
        <v>0.29339999999999999</v>
      </c>
      <c r="K4797" s="34">
        <f t="shared" si="148"/>
        <v>5269.4639999999999</v>
      </c>
      <c r="L4797" s="34">
        <v>2.4300000000000002</v>
      </c>
      <c r="M4797" s="34">
        <v>43573.5</v>
      </c>
      <c r="N4797" s="34">
        <f t="shared" si="149"/>
        <v>8.2822085889570563</v>
      </c>
    </row>
    <row r="4798" spans="1:14" x14ac:dyDescent="0.45">
      <c r="A4798" s="30">
        <v>2025</v>
      </c>
      <c r="B4798" s="30" t="s">
        <v>9</v>
      </c>
      <c r="C4798" s="30" t="s">
        <v>46</v>
      </c>
      <c r="D4798" s="30" t="s">
        <v>47</v>
      </c>
      <c r="E4798" s="32" t="s">
        <v>208</v>
      </c>
      <c r="F4798" s="32" t="s">
        <v>49</v>
      </c>
      <c r="G4798" s="32" t="s">
        <v>50</v>
      </c>
      <c r="H4798" s="33">
        <v>101660</v>
      </c>
      <c r="I4798" s="34">
        <f>Table3[[#This Row],[Volume, kg.]]/1000</f>
        <v>101.66</v>
      </c>
      <c r="J4798" s="34">
        <v>0.28620000000000001</v>
      </c>
      <c r="K4798" s="34">
        <f t="shared" si="148"/>
        <v>29095.092000000001</v>
      </c>
      <c r="L4798" s="34">
        <v>2.4500000000000002</v>
      </c>
      <c r="M4798" s="34">
        <v>249136</v>
      </c>
      <c r="N4798" s="34">
        <f t="shared" si="149"/>
        <v>8.5604472396925235</v>
      </c>
    </row>
    <row r="4799" spans="1:14" x14ac:dyDescent="0.45">
      <c r="A4799" s="30">
        <v>2025</v>
      </c>
      <c r="B4799" s="30" t="s">
        <v>9</v>
      </c>
      <c r="C4799" s="30" t="s">
        <v>46</v>
      </c>
      <c r="D4799" s="30" t="s">
        <v>47</v>
      </c>
      <c r="E4799" s="32" t="s">
        <v>185</v>
      </c>
      <c r="F4799" s="32" t="s">
        <v>57</v>
      </c>
      <c r="G4799" s="32" t="s">
        <v>50</v>
      </c>
      <c r="H4799" s="33">
        <v>18120</v>
      </c>
      <c r="I4799" s="34">
        <f>Table3[[#This Row],[Volume, kg.]]/1000</f>
        <v>18.12</v>
      </c>
      <c r="J4799" s="34">
        <v>0.2429</v>
      </c>
      <c r="K4799" s="34">
        <f t="shared" si="148"/>
        <v>4401.348</v>
      </c>
      <c r="L4799" s="34">
        <v>2.15</v>
      </c>
      <c r="M4799" s="34">
        <v>39040.5</v>
      </c>
      <c r="N4799" s="34">
        <f t="shared" si="149"/>
        <v>8.8513791683820493</v>
      </c>
    </row>
    <row r="4800" spans="1:14" x14ac:dyDescent="0.45">
      <c r="A4800" s="30">
        <v>2025</v>
      </c>
      <c r="B4800" s="30" t="s">
        <v>9</v>
      </c>
      <c r="C4800" s="30" t="s">
        <v>46</v>
      </c>
      <c r="D4800" s="30" t="s">
        <v>47</v>
      </c>
      <c r="E4800" s="32" t="s">
        <v>99</v>
      </c>
      <c r="F4800" s="32" t="s">
        <v>49</v>
      </c>
      <c r="G4800" s="32" t="s">
        <v>50</v>
      </c>
      <c r="H4800" s="33">
        <v>60000</v>
      </c>
      <c r="I4800" s="34">
        <f>Table3[[#This Row],[Volume, kg.]]/1000</f>
        <v>60</v>
      </c>
      <c r="J4800" s="34">
        <v>0.29699999999999999</v>
      </c>
      <c r="K4800" s="34">
        <f t="shared" si="148"/>
        <v>17820</v>
      </c>
      <c r="L4800" s="34">
        <v>2.56</v>
      </c>
      <c r="M4800" s="34">
        <v>153610.5</v>
      </c>
      <c r="N4800" s="34">
        <f t="shared" si="149"/>
        <v>8.6195286195286194</v>
      </c>
    </row>
    <row r="4801" spans="1:14" x14ac:dyDescent="0.45">
      <c r="A4801" s="30">
        <v>2025</v>
      </c>
      <c r="B4801" s="30" t="s">
        <v>9</v>
      </c>
      <c r="C4801" s="30" t="s">
        <v>46</v>
      </c>
      <c r="D4801" s="30" t="s">
        <v>47</v>
      </c>
      <c r="E4801" s="32" t="s">
        <v>183</v>
      </c>
      <c r="F4801" s="32" t="s">
        <v>49</v>
      </c>
      <c r="G4801" s="32" t="s">
        <v>50</v>
      </c>
      <c r="H4801" s="33">
        <v>28350</v>
      </c>
      <c r="I4801" s="34">
        <f>Table3[[#This Row],[Volume, kg.]]/1000</f>
        <v>28.35</v>
      </c>
      <c r="J4801" s="34">
        <v>0.29680000000000001</v>
      </c>
      <c r="K4801" s="34">
        <f t="shared" si="148"/>
        <v>8414.2800000000007</v>
      </c>
      <c r="L4801" s="34">
        <v>2.61</v>
      </c>
      <c r="M4801" s="34">
        <v>74118</v>
      </c>
      <c r="N4801" s="34">
        <f t="shared" si="149"/>
        <v>8.7938005390835574</v>
      </c>
    </row>
    <row r="4802" spans="1:14" x14ac:dyDescent="0.45">
      <c r="A4802" s="30">
        <v>2025</v>
      </c>
      <c r="B4802" s="30" t="s">
        <v>9</v>
      </c>
      <c r="C4802" s="30" t="s">
        <v>46</v>
      </c>
      <c r="D4802" s="30" t="s">
        <v>47</v>
      </c>
      <c r="E4802" s="32" t="s">
        <v>165</v>
      </c>
      <c r="F4802" s="32" t="s">
        <v>57</v>
      </c>
      <c r="G4802" s="32" t="s">
        <v>50</v>
      </c>
      <c r="H4802" s="33">
        <v>22790</v>
      </c>
      <c r="I4802" s="34">
        <f>Table3[[#This Row],[Volume, kg.]]/1000</f>
        <v>22.79</v>
      </c>
      <c r="J4802" s="34">
        <v>0.28689999999999999</v>
      </c>
      <c r="K4802" s="34">
        <f t="shared" si="148"/>
        <v>6538.451</v>
      </c>
      <c r="L4802" s="34">
        <v>2.58</v>
      </c>
      <c r="M4802" s="34">
        <v>58831</v>
      </c>
      <c r="N4802" s="34">
        <f t="shared" si="149"/>
        <v>8.9926803764377841</v>
      </c>
    </row>
    <row r="4803" spans="1:14" x14ac:dyDescent="0.45">
      <c r="A4803" s="30">
        <v>2025</v>
      </c>
      <c r="B4803" s="30" t="s">
        <v>9</v>
      </c>
      <c r="C4803" s="30" t="s">
        <v>46</v>
      </c>
      <c r="D4803" s="30" t="s">
        <v>47</v>
      </c>
      <c r="E4803" s="32" t="s">
        <v>219</v>
      </c>
      <c r="F4803" s="32" t="s">
        <v>57</v>
      </c>
      <c r="G4803" s="32" t="s">
        <v>50</v>
      </c>
      <c r="H4803" s="33">
        <v>20200</v>
      </c>
      <c r="I4803" s="34">
        <f>Table3[[#This Row],[Volume, kg.]]/1000</f>
        <v>20.2</v>
      </c>
      <c r="J4803" s="34">
        <v>0.31519999999999998</v>
      </c>
      <c r="K4803" s="34">
        <f t="shared" ref="K4803:K4866" si="150">H4803*J4803</f>
        <v>6367.04</v>
      </c>
      <c r="L4803" s="34">
        <v>2.72</v>
      </c>
      <c r="M4803" s="34">
        <v>54858</v>
      </c>
      <c r="N4803" s="34">
        <f t="shared" si="149"/>
        <v>8.6294416243654837</v>
      </c>
    </row>
    <row r="4804" spans="1:14" x14ac:dyDescent="0.45">
      <c r="A4804" s="30">
        <v>2025</v>
      </c>
      <c r="B4804" s="30" t="s">
        <v>9</v>
      </c>
      <c r="C4804" s="30" t="s">
        <v>46</v>
      </c>
      <c r="D4804" s="30" t="s">
        <v>47</v>
      </c>
      <c r="E4804" s="32" t="s">
        <v>297</v>
      </c>
      <c r="F4804" s="32" t="s">
        <v>57</v>
      </c>
      <c r="G4804" s="32" t="s">
        <v>50</v>
      </c>
      <c r="H4804" s="33">
        <v>32990</v>
      </c>
      <c r="I4804" s="34">
        <f>Table3[[#This Row],[Volume, kg.]]/1000</f>
        <v>32.99</v>
      </c>
      <c r="J4804" s="34">
        <v>0.32289999999999996</v>
      </c>
      <c r="K4804" s="34">
        <f t="shared" si="150"/>
        <v>10652.471</v>
      </c>
      <c r="L4804" s="34">
        <v>2.58</v>
      </c>
      <c r="M4804" s="34">
        <v>85059</v>
      </c>
      <c r="N4804" s="34">
        <f t="shared" ref="N4804:N4867" si="151">L4804/J4804</f>
        <v>7.9900898110870253</v>
      </c>
    </row>
    <row r="4805" spans="1:14" x14ac:dyDescent="0.45">
      <c r="A4805" s="30">
        <v>2025</v>
      </c>
      <c r="B4805" s="30" t="s">
        <v>9</v>
      </c>
      <c r="C4805" s="30" t="s">
        <v>46</v>
      </c>
      <c r="D4805" s="30" t="s">
        <v>47</v>
      </c>
      <c r="E4805" s="32" t="s">
        <v>82</v>
      </c>
      <c r="F4805" s="32" t="s">
        <v>57</v>
      </c>
      <c r="G4805" s="32" t="s">
        <v>50</v>
      </c>
      <c r="H4805" s="33">
        <v>19810</v>
      </c>
      <c r="I4805" s="34">
        <f>Table3[[#This Row],[Volume, kg.]]/1000</f>
        <v>19.809999999999999</v>
      </c>
      <c r="J4805" s="34">
        <v>0.30890000000000001</v>
      </c>
      <c r="K4805" s="34">
        <f t="shared" si="150"/>
        <v>6119.3090000000002</v>
      </c>
      <c r="L4805" s="34">
        <v>2.57</v>
      </c>
      <c r="M4805" s="34">
        <v>50885.5</v>
      </c>
      <c r="N4805" s="34">
        <f t="shared" si="151"/>
        <v>8.3198446099061183</v>
      </c>
    </row>
    <row r="4806" spans="1:14" x14ac:dyDescent="0.45">
      <c r="A4806" s="30">
        <v>2025</v>
      </c>
      <c r="B4806" s="30" t="s">
        <v>9</v>
      </c>
      <c r="C4806" s="30" t="s">
        <v>46</v>
      </c>
      <c r="D4806" s="30" t="s">
        <v>47</v>
      </c>
      <c r="E4806" s="32" t="s">
        <v>245</v>
      </c>
      <c r="F4806" s="32" t="s">
        <v>57</v>
      </c>
      <c r="G4806" s="32" t="s">
        <v>50</v>
      </c>
      <c r="H4806" s="33">
        <v>50660</v>
      </c>
      <c r="I4806" s="34">
        <f>Table3[[#This Row],[Volume, kg.]]/1000</f>
        <v>50.66</v>
      </c>
      <c r="J4806" s="34">
        <v>0.2873</v>
      </c>
      <c r="K4806" s="34">
        <f t="shared" si="150"/>
        <v>14554.618</v>
      </c>
      <c r="L4806" s="34">
        <v>2.54</v>
      </c>
      <c r="M4806" s="34">
        <v>128551</v>
      </c>
      <c r="N4806" s="34">
        <f t="shared" si="151"/>
        <v>8.8409328228332758</v>
      </c>
    </row>
    <row r="4807" spans="1:14" x14ac:dyDescent="0.45">
      <c r="A4807" s="30">
        <v>2025</v>
      </c>
      <c r="B4807" s="30" t="s">
        <v>9</v>
      </c>
      <c r="C4807" s="30" t="s">
        <v>46</v>
      </c>
      <c r="D4807" s="30" t="s">
        <v>47</v>
      </c>
      <c r="E4807" s="32" t="s">
        <v>303</v>
      </c>
      <c r="F4807" s="32" t="s">
        <v>57</v>
      </c>
      <c r="G4807" s="32" t="s">
        <v>50</v>
      </c>
      <c r="H4807" s="33">
        <v>76090</v>
      </c>
      <c r="I4807" s="34">
        <f>Table3[[#This Row],[Volume, kg.]]/1000</f>
        <v>76.09</v>
      </c>
      <c r="J4807" s="34">
        <v>0.30840000000000001</v>
      </c>
      <c r="K4807" s="34">
        <f t="shared" si="150"/>
        <v>23466.155999999999</v>
      </c>
      <c r="L4807" s="34">
        <v>2.54</v>
      </c>
      <c r="M4807" s="34">
        <v>193087.5</v>
      </c>
      <c r="N4807" s="34">
        <f t="shared" si="151"/>
        <v>8.2360570687418928</v>
      </c>
    </row>
    <row r="4808" spans="1:14" x14ac:dyDescent="0.45">
      <c r="A4808" s="30">
        <v>2025</v>
      </c>
      <c r="B4808" s="30" t="s">
        <v>9</v>
      </c>
      <c r="C4808" s="30" t="s">
        <v>46</v>
      </c>
      <c r="D4808" s="30" t="s">
        <v>47</v>
      </c>
      <c r="E4808" s="32" t="s">
        <v>172</v>
      </c>
      <c r="F4808" s="32" t="s">
        <v>57</v>
      </c>
      <c r="G4808" s="32" t="s">
        <v>50</v>
      </c>
      <c r="H4808" s="33">
        <v>30870</v>
      </c>
      <c r="I4808" s="34">
        <f>Table3[[#This Row],[Volume, kg.]]/1000</f>
        <v>30.87</v>
      </c>
      <c r="J4808" s="34">
        <v>0.29859999999999998</v>
      </c>
      <c r="K4808" s="34">
        <f t="shared" si="150"/>
        <v>9217.7819999999992</v>
      </c>
      <c r="L4808" s="34">
        <v>2.56</v>
      </c>
      <c r="M4808" s="34">
        <v>78950</v>
      </c>
      <c r="N4808" s="34">
        <f t="shared" si="151"/>
        <v>8.5733422638981924</v>
      </c>
    </row>
    <row r="4809" spans="1:14" x14ac:dyDescent="0.45">
      <c r="A4809" s="30">
        <v>2025</v>
      </c>
      <c r="B4809" s="30" t="s">
        <v>9</v>
      </c>
      <c r="C4809" s="30" t="s">
        <v>46</v>
      </c>
      <c r="D4809" s="30" t="s">
        <v>47</v>
      </c>
      <c r="E4809" s="32" t="s">
        <v>170</v>
      </c>
      <c r="F4809" s="32" t="s">
        <v>49</v>
      </c>
      <c r="G4809" s="32" t="s">
        <v>50</v>
      </c>
      <c r="H4809" s="33">
        <v>6590</v>
      </c>
      <c r="I4809" s="34">
        <f>Table3[[#This Row],[Volume, kg.]]/1000</f>
        <v>6.59</v>
      </c>
      <c r="J4809" s="34">
        <v>0.27600000000000002</v>
      </c>
      <c r="K4809" s="34">
        <f t="shared" si="150"/>
        <v>1818.8400000000001</v>
      </c>
      <c r="L4809" s="34">
        <v>2.2999999999999998</v>
      </c>
      <c r="M4809" s="34">
        <v>15157</v>
      </c>
      <c r="N4809" s="34">
        <f t="shared" si="151"/>
        <v>8.3333333333333321</v>
      </c>
    </row>
    <row r="4810" spans="1:14" x14ac:dyDescent="0.45">
      <c r="A4810" s="30">
        <v>2025</v>
      </c>
      <c r="B4810" s="30" t="s">
        <v>9</v>
      </c>
      <c r="C4810" s="30" t="s">
        <v>46</v>
      </c>
      <c r="D4810" s="30" t="s">
        <v>47</v>
      </c>
      <c r="E4810" s="32" t="s">
        <v>174</v>
      </c>
      <c r="F4810" s="32" t="s">
        <v>57</v>
      </c>
      <c r="G4810" s="32" t="s">
        <v>50</v>
      </c>
      <c r="H4810" s="33">
        <v>15560</v>
      </c>
      <c r="I4810" s="34">
        <f>Table3[[#This Row],[Volume, kg.]]/1000</f>
        <v>15.56</v>
      </c>
      <c r="J4810" s="34">
        <v>0.29480000000000001</v>
      </c>
      <c r="K4810" s="34">
        <f t="shared" si="150"/>
        <v>4587.0879999999997</v>
      </c>
      <c r="L4810" s="34">
        <v>2.38</v>
      </c>
      <c r="M4810" s="34">
        <v>36965.5</v>
      </c>
      <c r="N4810" s="34">
        <f t="shared" si="151"/>
        <v>8.0732700135685214</v>
      </c>
    </row>
    <row r="4811" spans="1:14" x14ac:dyDescent="0.45">
      <c r="A4811" s="30">
        <v>2025</v>
      </c>
      <c r="B4811" s="30" t="s">
        <v>9</v>
      </c>
      <c r="C4811" s="30" t="s">
        <v>46</v>
      </c>
      <c r="D4811" s="30" t="s">
        <v>47</v>
      </c>
      <c r="E4811" s="32" t="s">
        <v>51</v>
      </c>
      <c r="F4811" s="32" t="s">
        <v>49</v>
      </c>
      <c r="G4811" s="32" t="s">
        <v>50</v>
      </c>
      <c r="H4811" s="33">
        <v>13860</v>
      </c>
      <c r="I4811" s="34">
        <f>Table3[[#This Row],[Volume, kg.]]/1000</f>
        <v>13.86</v>
      </c>
      <c r="J4811" s="34">
        <v>0.28160000000000002</v>
      </c>
      <c r="K4811" s="34">
        <f t="shared" si="150"/>
        <v>3902.9760000000001</v>
      </c>
      <c r="L4811" s="34">
        <v>2.3199999999999998</v>
      </c>
      <c r="M4811" s="34">
        <v>32167.5</v>
      </c>
      <c r="N4811" s="34">
        <f t="shared" si="151"/>
        <v>8.2386363636363633</v>
      </c>
    </row>
    <row r="4812" spans="1:14" x14ac:dyDescent="0.45">
      <c r="A4812" s="30">
        <v>2025</v>
      </c>
      <c r="B4812" s="30" t="s">
        <v>9</v>
      </c>
      <c r="C4812" s="30" t="s">
        <v>46</v>
      </c>
      <c r="D4812" s="30" t="s">
        <v>47</v>
      </c>
      <c r="E4812" s="32" t="s">
        <v>179</v>
      </c>
      <c r="F4812" s="32" t="s">
        <v>60</v>
      </c>
      <c r="G4812" s="32" t="s">
        <v>50</v>
      </c>
      <c r="H4812" s="33">
        <v>5760</v>
      </c>
      <c r="I4812" s="34">
        <f>Table3[[#This Row],[Volume, kg.]]/1000</f>
        <v>5.76</v>
      </c>
      <c r="J4812" s="34">
        <v>0.26700000000000002</v>
      </c>
      <c r="K4812" s="34">
        <f t="shared" si="150"/>
        <v>1537.92</v>
      </c>
      <c r="L4812" s="34">
        <v>2.25</v>
      </c>
      <c r="M4812" s="34">
        <v>12960</v>
      </c>
      <c r="N4812" s="34">
        <f t="shared" si="151"/>
        <v>8.4269662921348303</v>
      </c>
    </row>
    <row r="4813" spans="1:14" x14ac:dyDescent="0.45">
      <c r="A4813" s="30">
        <v>2025</v>
      </c>
      <c r="B4813" s="30" t="s">
        <v>9</v>
      </c>
      <c r="C4813" s="30" t="s">
        <v>46</v>
      </c>
      <c r="D4813" s="30" t="s">
        <v>47</v>
      </c>
      <c r="E4813" s="32" t="s">
        <v>258</v>
      </c>
      <c r="F4813" s="32" t="s">
        <v>49</v>
      </c>
      <c r="G4813" s="32" t="s">
        <v>50</v>
      </c>
      <c r="H4813" s="33">
        <v>549540</v>
      </c>
      <c r="I4813" s="34">
        <f>Table3[[#This Row],[Volume, kg.]]/1000</f>
        <v>549.54</v>
      </c>
      <c r="J4813" s="34">
        <v>0.2949</v>
      </c>
      <c r="K4813" s="34">
        <f t="shared" si="150"/>
        <v>162059.34599999999</v>
      </c>
      <c r="L4813" s="34">
        <v>2.48</v>
      </c>
      <c r="M4813" s="34">
        <v>1362806</v>
      </c>
      <c r="N4813" s="34">
        <f t="shared" si="151"/>
        <v>8.4096303831807386</v>
      </c>
    </row>
    <row r="4814" spans="1:14" x14ac:dyDescent="0.45">
      <c r="A4814" s="30">
        <v>2025</v>
      </c>
      <c r="B4814" s="30" t="s">
        <v>9</v>
      </c>
      <c r="C4814" s="30" t="s">
        <v>46</v>
      </c>
      <c r="D4814" s="30" t="s">
        <v>47</v>
      </c>
      <c r="E4814" s="32" t="s">
        <v>375</v>
      </c>
      <c r="F4814" s="32" t="s">
        <v>49</v>
      </c>
      <c r="G4814" s="32" t="s">
        <v>50</v>
      </c>
      <c r="H4814" s="33">
        <v>2820</v>
      </c>
      <c r="I4814" s="34">
        <f>Table3[[#This Row],[Volume, kg.]]/1000</f>
        <v>2.82</v>
      </c>
      <c r="J4814" s="34">
        <v>0.23949999999999999</v>
      </c>
      <c r="K4814" s="34">
        <f t="shared" si="150"/>
        <v>675.39</v>
      </c>
      <c r="L4814" s="34">
        <v>2.15</v>
      </c>
      <c r="M4814" s="34">
        <v>6063</v>
      </c>
      <c r="N4814" s="34">
        <f t="shared" si="151"/>
        <v>8.9770354906054273</v>
      </c>
    </row>
    <row r="4815" spans="1:14" x14ac:dyDescent="0.45">
      <c r="A4815" s="30">
        <v>2025</v>
      </c>
      <c r="B4815" s="30" t="s">
        <v>9</v>
      </c>
      <c r="C4815" s="30" t="s">
        <v>46</v>
      </c>
      <c r="D4815" s="30" t="s">
        <v>47</v>
      </c>
      <c r="E4815" s="32" t="s">
        <v>166</v>
      </c>
      <c r="F4815" s="32" t="s">
        <v>49</v>
      </c>
      <c r="G4815" s="32" t="s">
        <v>50</v>
      </c>
      <c r="H4815" s="33">
        <v>37930</v>
      </c>
      <c r="I4815" s="34">
        <f>Table3[[#This Row],[Volume, kg.]]/1000</f>
        <v>37.93</v>
      </c>
      <c r="J4815" s="34">
        <v>0.27579999999999999</v>
      </c>
      <c r="K4815" s="34">
        <f t="shared" si="150"/>
        <v>10461.093999999999</v>
      </c>
      <c r="L4815" s="34">
        <v>2.3199999999999998</v>
      </c>
      <c r="M4815" s="34">
        <v>88172</v>
      </c>
      <c r="N4815" s="34">
        <f t="shared" si="151"/>
        <v>8.4118926758520658</v>
      </c>
    </row>
    <row r="4816" spans="1:14" x14ac:dyDescent="0.45">
      <c r="A4816" s="30">
        <v>2025</v>
      </c>
      <c r="B4816" s="30" t="s">
        <v>9</v>
      </c>
      <c r="C4816" s="30" t="s">
        <v>46</v>
      </c>
      <c r="D4816" s="30" t="s">
        <v>47</v>
      </c>
      <c r="E4816" s="32" t="s">
        <v>244</v>
      </c>
      <c r="F4816" s="32" t="s">
        <v>60</v>
      </c>
      <c r="G4816" s="32" t="s">
        <v>50</v>
      </c>
      <c r="H4816" s="33">
        <v>39330</v>
      </c>
      <c r="I4816" s="34">
        <f>Table3[[#This Row],[Volume, kg.]]/1000</f>
        <v>39.33</v>
      </c>
      <c r="J4816" s="34">
        <v>0.30399999999999999</v>
      </c>
      <c r="K4816" s="34">
        <f t="shared" si="150"/>
        <v>11956.32</v>
      </c>
      <c r="L4816" s="34">
        <v>2.66</v>
      </c>
      <c r="M4816" s="34">
        <v>104534</v>
      </c>
      <c r="N4816" s="34">
        <f t="shared" si="151"/>
        <v>8.75</v>
      </c>
    </row>
    <row r="4817" spans="1:14" x14ac:dyDescent="0.45">
      <c r="A4817" s="30">
        <v>2025</v>
      </c>
      <c r="B4817" s="30" t="s">
        <v>9</v>
      </c>
      <c r="C4817" s="30" t="s">
        <v>46</v>
      </c>
      <c r="D4817" s="30" t="s">
        <v>47</v>
      </c>
      <c r="E4817" s="32" t="s">
        <v>212</v>
      </c>
      <c r="F4817" s="32" t="s">
        <v>60</v>
      </c>
      <c r="G4817" s="32" t="s">
        <v>50</v>
      </c>
      <c r="H4817" s="33">
        <v>9520</v>
      </c>
      <c r="I4817" s="34">
        <f>Table3[[#This Row],[Volume, kg.]]/1000</f>
        <v>9.52</v>
      </c>
      <c r="J4817" s="34">
        <v>0.28300000000000003</v>
      </c>
      <c r="K4817" s="34">
        <f t="shared" si="150"/>
        <v>2694.1600000000003</v>
      </c>
      <c r="L4817" s="34">
        <v>2.35</v>
      </c>
      <c r="M4817" s="34">
        <v>22372</v>
      </c>
      <c r="N4817" s="34">
        <f t="shared" si="151"/>
        <v>8.3038869257950516</v>
      </c>
    </row>
    <row r="4818" spans="1:14" x14ac:dyDescent="0.45">
      <c r="A4818" s="30">
        <v>2025</v>
      </c>
      <c r="B4818" s="30" t="s">
        <v>9</v>
      </c>
      <c r="C4818" s="30" t="s">
        <v>46</v>
      </c>
      <c r="D4818" s="30" t="s">
        <v>47</v>
      </c>
      <c r="E4818" s="32" t="s">
        <v>380</v>
      </c>
      <c r="F4818" s="32" t="s">
        <v>49</v>
      </c>
      <c r="G4818" s="32" t="s">
        <v>50</v>
      </c>
      <c r="H4818" s="33">
        <v>38870</v>
      </c>
      <c r="I4818" s="34">
        <f>Table3[[#This Row],[Volume, kg.]]/1000</f>
        <v>38.869999999999997</v>
      </c>
      <c r="J4818" s="34">
        <v>0.28559999999999997</v>
      </c>
      <c r="K4818" s="34">
        <f t="shared" si="150"/>
        <v>11101.271999999999</v>
      </c>
      <c r="L4818" s="34">
        <v>2.5499999999999998</v>
      </c>
      <c r="M4818" s="34">
        <v>99187</v>
      </c>
      <c r="N4818" s="34">
        <f t="shared" si="151"/>
        <v>8.9285714285714288</v>
      </c>
    </row>
    <row r="4819" spans="1:14" x14ac:dyDescent="0.45">
      <c r="A4819" s="30">
        <v>2025</v>
      </c>
      <c r="B4819" s="30" t="s">
        <v>9</v>
      </c>
      <c r="C4819" s="30" t="s">
        <v>46</v>
      </c>
      <c r="D4819" s="30" t="s">
        <v>47</v>
      </c>
      <c r="E4819" s="32" t="s">
        <v>379</v>
      </c>
      <c r="F4819" s="32" t="s">
        <v>49</v>
      </c>
      <c r="G4819" s="32" t="s">
        <v>50</v>
      </c>
      <c r="H4819" s="33">
        <v>25460</v>
      </c>
      <c r="I4819" s="34">
        <f>Table3[[#This Row],[Volume, kg.]]/1000</f>
        <v>25.46</v>
      </c>
      <c r="J4819" s="34">
        <v>0.30609999999999998</v>
      </c>
      <c r="K4819" s="34">
        <f t="shared" si="150"/>
        <v>7793.3059999999996</v>
      </c>
      <c r="L4819" s="34">
        <v>2.48</v>
      </c>
      <c r="M4819" s="34">
        <v>63057.5</v>
      </c>
      <c r="N4819" s="34">
        <f t="shared" si="151"/>
        <v>8.1019274746814762</v>
      </c>
    </row>
    <row r="4820" spans="1:14" x14ac:dyDescent="0.45">
      <c r="A4820" s="30">
        <v>2025</v>
      </c>
      <c r="B4820" s="30" t="s">
        <v>9</v>
      </c>
      <c r="C4820" s="30" t="s">
        <v>46</v>
      </c>
      <c r="D4820" s="30" t="s">
        <v>47</v>
      </c>
      <c r="E4820" s="32" t="s">
        <v>287</v>
      </c>
      <c r="F4820" s="32" t="s">
        <v>60</v>
      </c>
      <c r="G4820" s="32" t="s">
        <v>50</v>
      </c>
      <c r="H4820" s="33">
        <v>23810</v>
      </c>
      <c r="I4820" s="34">
        <f>Table3[[#This Row],[Volume, kg.]]/1000</f>
        <v>23.81</v>
      </c>
      <c r="J4820" s="34">
        <v>0.3024</v>
      </c>
      <c r="K4820" s="34">
        <f t="shared" si="150"/>
        <v>7200.1440000000002</v>
      </c>
      <c r="L4820" s="34">
        <v>2.4300000000000002</v>
      </c>
      <c r="M4820" s="34">
        <v>57902</v>
      </c>
      <c r="N4820" s="34">
        <f t="shared" si="151"/>
        <v>8.0357142857142865</v>
      </c>
    </row>
    <row r="4821" spans="1:14" x14ac:dyDescent="0.45">
      <c r="A4821" s="30">
        <v>2025</v>
      </c>
      <c r="B4821" s="30" t="s">
        <v>9</v>
      </c>
      <c r="C4821" s="30" t="s">
        <v>46</v>
      </c>
      <c r="D4821" s="30" t="s">
        <v>47</v>
      </c>
      <c r="E4821" s="32" t="s">
        <v>164</v>
      </c>
      <c r="F4821" s="32" t="s">
        <v>49</v>
      </c>
      <c r="G4821" s="32" t="s">
        <v>50</v>
      </c>
      <c r="H4821" s="33">
        <v>13430</v>
      </c>
      <c r="I4821" s="34">
        <f>Table3[[#This Row],[Volume, kg.]]/1000</f>
        <v>13.43</v>
      </c>
      <c r="J4821" s="34">
        <v>0.30399999999999999</v>
      </c>
      <c r="K4821" s="34">
        <f t="shared" si="150"/>
        <v>4082.72</v>
      </c>
      <c r="L4821" s="34">
        <v>2.48</v>
      </c>
      <c r="M4821" s="34">
        <v>33264</v>
      </c>
      <c r="N4821" s="34">
        <f t="shared" si="151"/>
        <v>8.1578947368421062</v>
      </c>
    </row>
    <row r="4822" spans="1:14" x14ac:dyDescent="0.45">
      <c r="A4822" s="30">
        <v>2025</v>
      </c>
      <c r="B4822" s="30" t="s">
        <v>9</v>
      </c>
      <c r="C4822" s="30" t="s">
        <v>46</v>
      </c>
      <c r="D4822" s="30" t="s">
        <v>47</v>
      </c>
      <c r="E4822" s="32" t="s">
        <v>534</v>
      </c>
      <c r="F4822" s="32" t="s">
        <v>49</v>
      </c>
      <c r="G4822" s="32" t="s">
        <v>50</v>
      </c>
      <c r="H4822" s="33">
        <v>38070</v>
      </c>
      <c r="I4822" s="34">
        <f>Table3[[#This Row],[Volume, kg.]]/1000</f>
        <v>38.07</v>
      </c>
      <c r="J4822" s="34">
        <v>0.29199999999999998</v>
      </c>
      <c r="K4822" s="34">
        <f t="shared" si="150"/>
        <v>11116.439999999999</v>
      </c>
      <c r="L4822" s="34">
        <v>2.44</v>
      </c>
      <c r="M4822" s="34">
        <v>92890.5</v>
      </c>
      <c r="N4822" s="34">
        <f t="shared" si="151"/>
        <v>8.3561643835616444</v>
      </c>
    </row>
    <row r="4823" spans="1:14" x14ac:dyDescent="0.45">
      <c r="A4823" s="30">
        <v>2025</v>
      </c>
      <c r="B4823" s="30" t="s">
        <v>9</v>
      </c>
      <c r="C4823" s="30" t="s">
        <v>46</v>
      </c>
      <c r="D4823" s="30" t="s">
        <v>47</v>
      </c>
      <c r="E4823" s="32" t="s">
        <v>220</v>
      </c>
      <c r="F4823" s="32" t="s">
        <v>49</v>
      </c>
      <c r="G4823" s="32" t="s">
        <v>50</v>
      </c>
      <c r="H4823" s="33">
        <v>139810</v>
      </c>
      <c r="I4823" s="34">
        <f>Table3[[#This Row],[Volume, kg.]]/1000</f>
        <v>139.81</v>
      </c>
      <c r="J4823" s="34">
        <v>0.28339999999999999</v>
      </c>
      <c r="K4823" s="34">
        <f t="shared" si="150"/>
        <v>39622.153999999995</v>
      </c>
      <c r="L4823" s="34">
        <v>2.42</v>
      </c>
      <c r="M4823" s="34">
        <v>337705.5</v>
      </c>
      <c r="N4823" s="34">
        <f t="shared" si="151"/>
        <v>8.5391672547635853</v>
      </c>
    </row>
    <row r="4824" spans="1:14" x14ac:dyDescent="0.45">
      <c r="A4824" s="30">
        <v>2025</v>
      </c>
      <c r="B4824" s="30" t="s">
        <v>9</v>
      </c>
      <c r="C4824" s="30" t="s">
        <v>46</v>
      </c>
      <c r="D4824" s="30" t="s">
        <v>47</v>
      </c>
      <c r="E4824" s="32" t="s">
        <v>689</v>
      </c>
      <c r="F4824" s="32" t="s">
        <v>49</v>
      </c>
      <c r="G4824" s="32" t="s">
        <v>50</v>
      </c>
      <c r="H4824" s="33">
        <v>30940</v>
      </c>
      <c r="I4824" s="34">
        <f>Table3[[#This Row],[Volume, kg.]]/1000</f>
        <v>30.94</v>
      </c>
      <c r="J4824" s="34">
        <v>0.29749999999999999</v>
      </c>
      <c r="K4824" s="34">
        <f t="shared" si="150"/>
        <v>9204.65</v>
      </c>
      <c r="L4824" s="34">
        <v>2.52</v>
      </c>
      <c r="M4824" s="34">
        <v>77825</v>
      </c>
      <c r="N4824" s="34">
        <f t="shared" si="151"/>
        <v>8.4705882352941178</v>
      </c>
    </row>
    <row r="4825" spans="1:14" x14ac:dyDescent="0.45">
      <c r="A4825" s="30">
        <v>2025</v>
      </c>
      <c r="B4825" s="30" t="s">
        <v>9</v>
      </c>
      <c r="C4825" s="30" t="s">
        <v>46</v>
      </c>
      <c r="D4825" s="30" t="s">
        <v>47</v>
      </c>
      <c r="E4825" s="32" t="s">
        <v>191</v>
      </c>
      <c r="F4825" s="32" t="s">
        <v>49</v>
      </c>
      <c r="G4825" s="32" t="s">
        <v>50</v>
      </c>
      <c r="H4825" s="33">
        <v>41870</v>
      </c>
      <c r="I4825" s="34">
        <f>Table3[[#This Row],[Volume, kg.]]/1000</f>
        <v>41.87</v>
      </c>
      <c r="J4825" s="34">
        <v>0.30180000000000001</v>
      </c>
      <c r="K4825" s="34">
        <f t="shared" si="150"/>
        <v>12636.366</v>
      </c>
      <c r="L4825" s="34">
        <v>2.61</v>
      </c>
      <c r="M4825" s="34">
        <v>109191</v>
      </c>
      <c r="N4825" s="34">
        <f t="shared" si="151"/>
        <v>8.6481113320079519</v>
      </c>
    </row>
    <row r="4826" spans="1:14" x14ac:dyDescent="0.45">
      <c r="A4826" s="30">
        <v>2025</v>
      </c>
      <c r="B4826" s="30" t="s">
        <v>9</v>
      </c>
      <c r="C4826" s="30" t="s">
        <v>46</v>
      </c>
      <c r="D4826" s="30" t="s">
        <v>47</v>
      </c>
      <c r="E4826" s="32" t="s">
        <v>465</v>
      </c>
      <c r="F4826" s="32" t="s">
        <v>57</v>
      </c>
      <c r="G4826" s="32" t="s">
        <v>50</v>
      </c>
      <c r="H4826" s="33">
        <v>26760</v>
      </c>
      <c r="I4826" s="34">
        <f>Table3[[#This Row],[Volume, kg.]]/1000</f>
        <v>26.76</v>
      </c>
      <c r="J4826" s="34">
        <v>0.33179999999999998</v>
      </c>
      <c r="K4826" s="34">
        <f t="shared" si="150"/>
        <v>8878.9679999999989</v>
      </c>
      <c r="L4826" s="34">
        <v>2.78</v>
      </c>
      <c r="M4826" s="34">
        <v>74525.5</v>
      </c>
      <c r="N4826" s="34">
        <f t="shared" si="151"/>
        <v>8.3785412899336951</v>
      </c>
    </row>
    <row r="4827" spans="1:14" x14ac:dyDescent="0.45">
      <c r="A4827" s="30">
        <v>2025</v>
      </c>
      <c r="B4827" s="30" t="s">
        <v>9</v>
      </c>
      <c r="C4827" s="30" t="s">
        <v>46</v>
      </c>
      <c r="D4827" s="30" t="s">
        <v>47</v>
      </c>
      <c r="E4827" s="32" t="s">
        <v>110</v>
      </c>
      <c r="F4827" s="32" t="s">
        <v>57</v>
      </c>
      <c r="G4827" s="32" t="s">
        <v>50</v>
      </c>
      <c r="H4827" s="33">
        <v>22530</v>
      </c>
      <c r="I4827" s="34">
        <f>Table3[[#This Row],[Volume, kg.]]/1000</f>
        <v>22.53</v>
      </c>
      <c r="J4827" s="34">
        <v>0.28760000000000002</v>
      </c>
      <c r="K4827" s="34">
        <f t="shared" si="150"/>
        <v>6479.6280000000006</v>
      </c>
      <c r="L4827" s="34">
        <v>2.58</v>
      </c>
      <c r="M4827" s="34">
        <v>58078</v>
      </c>
      <c r="N4827" s="34">
        <f t="shared" si="151"/>
        <v>8.9707927677329629</v>
      </c>
    </row>
    <row r="4828" spans="1:14" x14ac:dyDescent="0.45">
      <c r="A4828" s="30">
        <v>2025</v>
      </c>
      <c r="B4828" s="30" t="s">
        <v>9</v>
      </c>
      <c r="C4828" s="30" t="s">
        <v>46</v>
      </c>
      <c r="D4828" s="30" t="s">
        <v>47</v>
      </c>
      <c r="E4828" s="32" t="s">
        <v>162</v>
      </c>
      <c r="F4828" s="32" t="s">
        <v>49</v>
      </c>
      <c r="G4828" s="32" t="s">
        <v>50</v>
      </c>
      <c r="H4828" s="33">
        <v>48690</v>
      </c>
      <c r="I4828" s="34">
        <f>Table3[[#This Row],[Volume, kg.]]/1000</f>
        <v>48.69</v>
      </c>
      <c r="J4828" s="34">
        <v>0.27579999999999999</v>
      </c>
      <c r="K4828" s="34">
        <f t="shared" si="150"/>
        <v>13428.701999999999</v>
      </c>
      <c r="L4828" s="34">
        <v>2.4700000000000002</v>
      </c>
      <c r="M4828" s="34">
        <v>120224.5</v>
      </c>
      <c r="N4828" s="34">
        <f t="shared" si="151"/>
        <v>8.9557650471356069</v>
      </c>
    </row>
    <row r="4829" spans="1:14" x14ac:dyDescent="0.45">
      <c r="A4829" s="30">
        <v>2025</v>
      </c>
      <c r="B4829" s="30" t="s">
        <v>9</v>
      </c>
      <c r="C4829" s="30" t="s">
        <v>46</v>
      </c>
      <c r="D4829" s="30" t="s">
        <v>47</v>
      </c>
      <c r="E4829" s="32" t="s">
        <v>385</v>
      </c>
      <c r="F4829" s="32" t="s">
        <v>57</v>
      </c>
      <c r="G4829" s="32" t="s">
        <v>50</v>
      </c>
      <c r="H4829" s="33">
        <v>9660</v>
      </c>
      <c r="I4829" s="34">
        <f>Table3[[#This Row],[Volume, kg.]]/1000</f>
        <v>9.66</v>
      </c>
      <c r="J4829" s="34">
        <v>0.32500000000000001</v>
      </c>
      <c r="K4829" s="34">
        <f t="shared" si="150"/>
        <v>3139.5</v>
      </c>
      <c r="L4829" s="34">
        <v>2.6</v>
      </c>
      <c r="M4829" s="34">
        <v>25116</v>
      </c>
      <c r="N4829" s="34">
        <f t="shared" si="151"/>
        <v>8</v>
      </c>
    </row>
    <row r="4830" spans="1:14" x14ac:dyDescent="0.45">
      <c r="A4830" s="30">
        <v>2025</v>
      </c>
      <c r="B4830" s="30" t="s">
        <v>9</v>
      </c>
      <c r="C4830" s="30" t="s">
        <v>46</v>
      </c>
      <c r="D4830" s="30" t="s">
        <v>47</v>
      </c>
      <c r="E4830" s="32" t="s">
        <v>86</v>
      </c>
      <c r="F4830" s="32" t="s">
        <v>49</v>
      </c>
      <c r="G4830" s="32" t="s">
        <v>50</v>
      </c>
      <c r="H4830" s="33">
        <v>25230</v>
      </c>
      <c r="I4830" s="34">
        <f>Table3[[#This Row],[Volume, kg.]]/1000</f>
        <v>25.23</v>
      </c>
      <c r="J4830" s="34">
        <v>0.27479999999999999</v>
      </c>
      <c r="K4830" s="34">
        <f t="shared" si="150"/>
        <v>6933.2039999999997</v>
      </c>
      <c r="L4830" s="34">
        <v>2.42</v>
      </c>
      <c r="M4830" s="34">
        <v>61084.5</v>
      </c>
      <c r="N4830" s="34">
        <f t="shared" si="151"/>
        <v>8.8064046579330419</v>
      </c>
    </row>
    <row r="4831" spans="1:14" x14ac:dyDescent="0.45">
      <c r="A4831" s="30">
        <v>2025</v>
      </c>
      <c r="B4831" s="30" t="s">
        <v>9</v>
      </c>
      <c r="C4831" s="30" t="s">
        <v>46</v>
      </c>
      <c r="D4831" s="30" t="s">
        <v>47</v>
      </c>
      <c r="E4831" s="32" t="s">
        <v>431</v>
      </c>
      <c r="F4831" s="32" t="s">
        <v>49</v>
      </c>
      <c r="G4831" s="32" t="s">
        <v>50</v>
      </c>
      <c r="H4831" s="33">
        <v>34150</v>
      </c>
      <c r="I4831" s="34">
        <f>Table3[[#This Row],[Volume, kg.]]/1000</f>
        <v>34.15</v>
      </c>
      <c r="J4831" s="34">
        <v>0.28770000000000001</v>
      </c>
      <c r="K4831" s="34">
        <f t="shared" si="150"/>
        <v>9824.9549999999999</v>
      </c>
      <c r="L4831" s="34">
        <v>2.5299999999999998</v>
      </c>
      <c r="M4831" s="34">
        <v>86518.5</v>
      </c>
      <c r="N4831" s="34">
        <f t="shared" si="151"/>
        <v>8.7938825165102532</v>
      </c>
    </row>
    <row r="4832" spans="1:14" x14ac:dyDescent="0.45">
      <c r="A4832" s="30">
        <v>2025</v>
      </c>
      <c r="B4832" s="30" t="s">
        <v>9</v>
      </c>
      <c r="C4832" s="30" t="s">
        <v>46</v>
      </c>
      <c r="D4832" s="30" t="s">
        <v>47</v>
      </c>
      <c r="E4832" s="32" t="s">
        <v>167</v>
      </c>
      <c r="F4832" s="32" t="s">
        <v>49</v>
      </c>
      <c r="G4832" s="32" t="s">
        <v>50</v>
      </c>
      <c r="H4832" s="33">
        <v>78350</v>
      </c>
      <c r="I4832" s="34">
        <f>Table3[[#This Row],[Volume, kg.]]/1000</f>
        <v>78.349999999999994</v>
      </c>
      <c r="J4832" s="34">
        <v>0.28989999999999999</v>
      </c>
      <c r="K4832" s="34">
        <f t="shared" si="150"/>
        <v>22713.665000000001</v>
      </c>
      <c r="L4832" s="34">
        <v>2.5099999999999998</v>
      </c>
      <c r="M4832" s="34">
        <v>196507.5</v>
      </c>
      <c r="N4832" s="34">
        <f t="shared" si="151"/>
        <v>8.6581579855122452</v>
      </c>
    </row>
    <row r="4833" spans="1:14" x14ac:dyDescent="0.45">
      <c r="A4833" s="30">
        <v>2025</v>
      </c>
      <c r="B4833" s="30" t="s">
        <v>9</v>
      </c>
      <c r="C4833" s="30" t="s">
        <v>46</v>
      </c>
      <c r="D4833" s="30" t="s">
        <v>47</v>
      </c>
      <c r="E4833" s="32" t="s">
        <v>190</v>
      </c>
      <c r="F4833" s="32" t="s">
        <v>81</v>
      </c>
      <c r="G4833" s="32" t="s">
        <v>50</v>
      </c>
      <c r="H4833" s="33">
        <v>201570</v>
      </c>
      <c r="I4833" s="34">
        <f>Table3[[#This Row],[Volume, kg.]]/1000</f>
        <v>201.57</v>
      </c>
      <c r="J4833" s="34">
        <v>0.29749999999999999</v>
      </c>
      <c r="K4833" s="34">
        <f t="shared" si="150"/>
        <v>59967.074999999997</v>
      </c>
      <c r="L4833" s="34">
        <v>2.5499999999999998</v>
      </c>
      <c r="M4833" s="34">
        <v>513481.5</v>
      </c>
      <c r="N4833" s="34">
        <f t="shared" si="151"/>
        <v>8.5714285714285712</v>
      </c>
    </row>
    <row r="4834" spans="1:14" x14ac:dyDescent="0.45">
      <c r="A4834" s="30">
        <v>2025</v>
      </c>
      <c r="B4834" s="30" t="s">
        <v>9</v>
      </c>
      <c r="C4834" s="30" t="s">
        <v>46</v>
      </c>
      <c r="D4834" s="30" t="s">
        <v>47</v>
      </c>
      <c r="E4834" s="32" t="s">
        <v>132</v>
      </c>
      <c r="F4834" s="32" t="s">
        <v>49</v>
      </c>
      <c r="G4834" s="32" t="s">
        <v>50</v>
      </c>
      <c r="H4834" s="33">
        <v>11420</v>
      </c>
      <c r="I4834" s="34">
        <f>Table3[[#This Row],[Volume, kg.]]/1000</f>
        <v>11.42</v>
      </c>
      <c r="J4834" s="34">
        <v>0.32869999999999999</v>
      </c>
      <c r="K4834" s="34">
        <f t="shared" si="150"/>
        <v>3753.7539999999999</v>
      </c>
      <c r="L4834" s="34">
        <v>2.78</v>
      </c>
      <c r="M4834" s="34">
        <v>31785</v>
      </c>
      <c r="N4834" s="34">
        <f t="shared" si="151"/>
        <v>8.457560085184058</v>
      </c>
    </row>
    <row r="4835" spans="1:14" x14ac:dyDescent="0.45">
      <c r="A4835" s="30">
        <v>2025</v>
      </c>
      <c r="B4835" s="30" t="s">
        <v>9</v>
      </c>
      <c r="C4835" s="30" t="s">
        <v>46</v>
      </c>
      <c r="D4835" s="30" t="s">
        <v>47</v>
      </c>
      <c r="E4835" s="32" t="s">
        <v>241</v>
      </c>
      <c r="F4835" s="32" t="s">
        <v>57</v>
      </c>
      <c r="G4835" s="32" t="s">
        <v>50</v>
      </c>
      <c r="H4835" s="33">
        <v>56520</v>
      </c>
      <c r="I4835" s="34">
        <f>Table3[[#This Row],[Volume, kg.]]/1000</f>
        <v>56.52</v>
      </c>
      <c r="J4835" s="34">
        <v>0.32200000000000001</v>
      </c>
      <c r="K4835" s="34">
        <f t="shared" si="150"/>
        <v>18199.439999999999</v>
      </c>
      <c r="L4835" s="34">
        <v>2.56</v>
      </c>
      <c r="M4835" s="34">
        <v>144495</v>
      </c>
      <c r="N4835" s="34">
        <f t="shared" si="151"/>
        <v>7.9503105590062111</v>
      </c>
    </row>
    <row r="4836" spans="1:14" x14ac:dyDescent="0.45">
      <c r="A4836" s="30">
        <v>2025</v>
      </c>
      <c r="B4836" s="30" t="s">
        <v>9</v>
      </c>
      <c r="C4836" s="30" t="s">
        <v>46</v>
      </c>
      <c r="D4836" s="30" t="s">
        <v>47</v>
      </c>
      <c r="E4836" s="32" t="s">
        <v>236</v>
      </c>
      <c r="F4836" s="32" t="s">
        <v>49</v>
      </c>
      <c r="G4836" s="32" t="s">
        <v>50</v>
      </c>
      <c r="H4836" s="33">
        <v>14830</v>
      </c>
      <c r="I4836" s="34">
        <f>Table3[[#This Row],[Volume, kg.]]/1000</f>
        <v>14.83</v>
      </c>
      <c r="J4836" s="34">
        <v>0.3085</v>
      </c>
      <c r="K4836" s="34">
        <f t="shared" si="150"/>
        <v>4575.0550000000003</v>
      </c>
      <c r="L4836" s="34">
        <v>2.5</v>
      </c>
      <c r="M4836" s="34">
        <v>37075</v>
      </c>
      <c r="N4836" s="34">
        <f t="shared" si="151"/>
        <v>8.1037277147487838</v>
      </c>
    </row>
    <row r="4837" spans="1:14" x14ac:dyDescent="0.45">
      <c r="A4837" s="30">
        <v>2025</v>
      </c>
      <c r="B4837" s="30" t="s">
        <v>9</v>
      </c>
      <c r="C4837" s="30" t="s">
        <v>46</v>
      </c>
      <c r="D4837" s="30" t="s">
        <v>47</v>
      </c>
      <c r="E4837" s="32" t="s">
        <v>111</v>
      </c>
      <c r="F4837" s="32" t="s">
        <v>60</v>
      </c>
      <c r="G4837" s="32" t="s">
        <v>50</v>
      </c>
      <c r="H4837" s="33">
        <v>29160</v>
      </c>
      <c r="I4837" s="34">
        <f>Table3[[#This Row],[Volume, kg.]]/1000</f>
        <v>29.16</v>
      </c>
      <c r="J4837" s="34">
        <v>0.30130000000000001</v>
      </c>
      <c r="K4837" s="34">
        <f t="shared" si="150"/>
        <v>8785.9080000000013</v>
      </c>
      <c r="L4837" s="34">
        <v>2.4300000000000002</v>
      </c>
      <c r="M4837" s="34">
        <v>70764</v>
      </c>
      <c r="N4837" s="34">
        <f t="shared" si="151"/>
        <v>8.0650514437437764</v>
      </c>
    </row>
    <row r="4838" spans="1:14" x14ac:dyDescent="0.45">
      <c r="A4838" s="30">
        <v>2025</v>
      </c>
      <c r="B4838" s="30" t="s">
        <v>9</v>
      </c>
      <c r="C4838" s="30" t="s">
        <v>46</v>
      </c>
      <c r="D4838" s="30" t="s">
        <v>47</v>
      </c>
      <c r="E4838" s="32" t="s">
        <v>121</v>
      </c>
      <c r="F4838" s="32" t="s">
        <v>60</v>
      </c>
      <c r="G4838" s="32" t="s">
        <v>50</v>
      </c>
      <c r="H4838" s="33">
        <v>38250</v>
      </c>
      <c r="I4838" s="34">
        <f>Table3[[#This Row],[Volume, kg.]]/1000</f>
        <v>38.25</v>
      </c>
      <c r="J4838" s="34">
        <v>0.30030000000000001</v>
      </c>
      <c r="K4838" s="34">
        <f t="shared" si="150"/>
        <v>11486.475</v>
      </c>
      <c r="L4838" s="34">
        <v>2.48</v>
      </c>
      <c r="M4838" s="34">
        <v>94846</v>
      </c>
      <c r="N4838" s="34">
        <f t="shared" si="151"/>
        <v>8.2584082584082577</v>
      </c>
    </row>
    <row r="4839" spans="1:14" x14ac:dyDescent="0.45">
      <c r="A4839" s="30">
        <v>2025</v>
      </c>
      <c r="B4839" s="30" t="s">
        <v>9</v>
      </c>
      <c r="C4839" s="30" t="s">
        <v>46</v>
      </c>
      <c r="D4839" s="30" t="s">
        <v>47</v>
      </c>
      <c r="E4839" s="32" t="s">
        <v>59</v>
      </c>
      <c r="F4839" s="32" t="s">
        <v>60</v>
      </c>
      <c r="G4839" s="32" t="s">
        <v>50</v>
      </c>
      <c r="H4839" s="33">
        <v>61870</v>
      </c>
      <c r="I4839" s="34">
        <f>Table3[[#This Row],[Volume, kg.]]/1000</f>
        <v>61.87</v>
      </c>
      <c r="J4839" s="34">
        <v>0.27710000000000001</v>
      </c>
      <c r="K4839" s="34">
        <f t="shared" si="150"/>
        <v>17144.177</v>
      </c>
      <c r="L4839" s="34">
        <v>2.4</v>
      </c>
      <c r="M4839" s="34">
        <v>148392</v>
      </c>
      <c r="N4839" s="34">
        <f t="shared" si="151"/>
        <v>8.6611331649224095</v>
      </c>
    </row>
    <row r="4840" spans="1:14" x14ac:dyDescent="0.45">
      <c r="A4840" s="30">
        <v>2025</v>
      </c>
      <c r="B4840" s="30" t="s">
        <v>9</v>
      </c>
      <c r="C4840" s="30" t="s">
        <v>46</v>
      </c>
      <c r="D4840" s="30" t="s">
        <v>47</v>
      </c>
      <c r="E4840" s="32" t="s">
        <v>288</v>
      </c>
      <c r="F4840" s="32" t="s">
        <v>49</v>
      </c>
      <c r="G4840" s="32" t="s">
        <v>50</v>
      </c>
      <c r="H4840" s="33">
        <v>39680</v>
      </c>
      <c r="I4840" s="34">
        <f>Table3[[#This Row],[Volume, kg.]]/1000</f>
        <v>39.68</v>
      </c>
      <c r="J4840" s="34">
        <v>0.24050000000000002</v>
      </c>
      <c r="K4840" s="34">
        <f t="shared" si="150"/>
        <v>9543.0400000000009</v>
      </c>
      <c r="L4840" s="34">
        <v>2.15</v>
      </c>
      <c r="M4840" s="34">
        <v>85510</v>
      </c>
      <c r="N4840" s="34">
        <f t="shared" si="151"/>
        <v>8.9397089397089378</v>
      </c>
    </row>
    <row r="4841" spans="1:14" x14ac:dyDescent="0.45">
      <c r="A4841" s="30">
        <v>2025</v>
      </c>
      <c r="B4841" s="30" t="s">
        <v>9</v>
      </c>
      <c r="C4841" s="30" t="s">
        <v>46</v>
      </c>
      <c r="D4841" s="30" t="s">
        <v>47</v>
      </c>
      <c r="E4841" s="32" t="s">
        <v>70</v>
      </c>
      <c r="F4841" s="32" t="s">
        <v>49</v>
      </c>
      <c r="G4841" s="32" t="s">
        <v>50</v>
      </c>
      <c r="H4841" s="33">
        <v>42140</v>
      </c>
      <c r="I4841" s="34">
        <f>Table3[[#This Row],[Volume, kg.]]/1000</f>
        <v>42.14</v>
      </c>
      <c r="J4841" s="34">
        <v>0.2747</v>
      </c>
      <c r="K4841" s="34">
        <f t="shared" si="150"/>
        <v>11575.858</v>
      </c>
      <c r="L4841" s="34">
        <v>2.34</v>
      </c>
      <c r="M4841" s="34">
        <v>98427.5</v>
      </c>
      <c r="N4841" s="34">
        <f t="shared" si="151"/>
        <v>8.5183836912995989</v>
      </c>
    </row>
    <row r="4842" spans="1:14" x14ac:dyDescent="0.45">
      <c r="A4842" s="30">
        <v>2025</v>
      </c>
      <c r="B4842" s="30" t="s">
        <v>9</v>
      </c>
      <c r="C4842" s="30" t="s">
        <v>46</v>
      </c>
      <c r="D4842" s="30" t="s">
        <v>47</v>
      </c>
      <c r="E4842" s="32" t="s">
        <v>265</v>
      </c>
      <c r="F4842" s="32" t="s">
        <v>49</v>
      </c>
      <c r="G4842" s="32" t="s">
        <v>50</v>
      </c>
      <c r="H4842" s="33">
        <v>31880</v>
      </c>
      <c r="I4842" s="34">
        <f>Table3[[#This Row],[Volume, kg.]]/1000</f>
        <v>31.88</v>
      </c>
      <c r="J4842" s="34">
        <v>0.29010000000000002</v>
      </c>
      <c r="K4842" s="34">
        <f t="shared" si="150"/>
        <v>9248.3880000000008</v>
      </c>
      <c r="L4842" s="34">
        <v>2.38</v>
      </c>
      <c r="M4842" s="34">
        <v>75778</v>
      </c>
      <c r="N4842" s="34">
        <f t="shared" si="151"/>
        <v>8.2040675629093407</v>
      </c>
    </row>
    <row r="4843" spans="1:14" x14ac:dyDescent="0.45">
      <c r="A4843" s="30">
        <v>2025</v>
      </c>
      <c r="B4843" s="30" t="s">
        <v>9</v>
      </c>
      <c r="C4843" s="30" t="s">
        <v>46</v>
      </c>
      <c r="D4843" s="30" t="s">
        <v>47</v>
      </c>
      <c r="E4843" s="32" t="s">
        <v>74</v>
      </c>
      <c r="F4843" s="32" t="s">
        <v>49</v>
      </c>
      <c r="G4843" s="32" t="s">
        <v>50</v>
      </c>
      <c r="H4843" s="33">
        <v>36070</v>
      </c>
      <c r="I4843" s="34">
        <f>Table3[[#This Row],[Volume, kg.]]/1000</f>
        <v>36.07</v>
      </c>
      <c r="J4843" s="34">
        <v>0.3049</v>
      </c>
      <c r="K4843" s="34">
        <f t="shared" si="150"/>
        <v>10997.743</v>
      </c>
      <c r="L4843" s="34">
        <v>2.4700000000000002</v>
      </c>
      <c r="M4843" s="34">
        <v>89269</v>
      </c>
      <c r="N4843" s="34">
        <f t="shared" si="151"/>
        <v>8.1010167267956721</v>
      </c>
    </row>
    <row r="4844" spans="1:14" x14ac:dyDescent="0.45">
      <c r="A4844" s="30">
        <v>2025</v>
      </c>
      <c r="B4844" s="30" t="s">
        <v>9</v>
      </c>
      <c r="C4844" s="30" t="s">
        <v>46</v>
      </c>
      <c r="D4844" s="30" t="s">
        <v>47</v>
      </c>
      <c r="E4844" s="32" t="s">
        <v>135</v>
      </c>
      <c r="F4844" s="32" t="s">
        <v>49</v>
      </c>
      <c r="G4844" s="32" t="s">
        <v>50</v>
      </c>
      <c r="H4844" s="33">
        <v>10350</v>
      </c>
      <c r="I4844" s="34">
        <f>Table3[[#This Row],[Volume, kg.]]/1000</f>
        <v>10.35</v>
      </c>
      <c r="J4844" s="34">
        <v>0.27200000000000002</v>
      </c>
      <c r="K4844" s="34">
        <f t="shared" si="150"/>
        <v>2815.2000000000003</v>
      </c>
      <c r="L4844" s="34">
        <v>2.25</v>
      </c>
      <c r="M4844" s="34">
        <v>23287.5</v>
      </c>
      <c r="N4844" s="34">
        <f t="shared" si="151"/>
        <v>8.2720588235294112</v>
      </c>
    </row>
    <row r="4845" spans="1:14" x14ac:dyDescent="0.45">
      <c r="A4845" s="30">
        <v>2025</v>
      </c>
      <c r="B4845" s="30" t="s">
        <v>9</v>
      </c>
      <c r="C4845" s="30" t="s">
        <v>46</v>
      </c>
      <c r="D4845" s="30" t="s">
        <v>47</v>
      </c>
      <c r="E4845" s="32" t="s">
        <v>125</v>
      </c>
      <c r="F4845" s="32" t="s">
        <v>60</v>
      </c>
      <c r="G4845" s="32" t="s">
        <v>50</v>
      </c>
      <c r="H4845" s="33">
        <v>14510</v>
      </c>
      <c r="I4845" s="34">
        <f>Table3[[#This Row],[Volume, kg.]]/1000</f>
        <v>14.51</v>
      </c>
      <c r="J4845" s="34">
        <v>0.30730000000000002</v>
      </c>
      <c r="K4845" s="34">
        <f t="shared" si="150"/>
        <v>4458.9230000000007</v>
      </c>
      <c r="L4845" s="34">
        <v>2.58</v>
      </c>
      <c r="M4845" s="34">
        <v>37382</v>
      </c>
      <c r="N4845" s="34">
        <f t="shared" si="151"/>
        <v>8.395704523267165</v>
      </c>
    </row>
    <row r="4846" spans="1:14" x14ac:dyDescent="0.45">
      <c r="A4846" s="30">
        <v>2025</v>
      </c>
      <c r="B4846" s="30" t="s">
        <v>9</v>
      </c>
      <c r="C4846" s="30" t="s">
        <v>46</v>
      </c>
      <c r="D4846" s="30" t="s">
        <v>47</v>
      </c>
      <c r="E4846" s="32" t="s">
        <v>144</v>
      </c>
      <c r="F4846" s="32" t="s">
        <v>49</v>
      </c>
      <c r="G4846" s="32" t="s">
        <v>50</v>
      </c>
      <c r="H4846" s="33">
        <v>70130</v>
      </c>
      <c r="I4846" s="34">
        <f>Table3[[#This Row],[Volume, kg.]]/1000</f>
        <v>70.13</v>
      </c>
      <c r="J4846" s="34">
        <v>0.31569999999999998</v>
      </c>
      <c r="K4846" s="34">
        <f t="shared" si="150"/>
        <v>22140.040999999997</v>
      </c>
      <c r="L4846" s="34">
        <v>2.5499999999999998</v>
      </c>
      <c r="M4846" s="34">
        <v>178899</v>
      </c>
      <c r="N4846" s="34">
        <f t="shared" si="151"/>
        <v>8.0772885650934434</v>
      </c>
    </row>
    <row r="4847" spans="1:14" x14ac:dyDescent="0.45">
      <c r="A4847" s="30">
        <v>2025</v>
      </c>
      <c r="B4847" s="30" t="s">
        <v>9</v>
      </c>
      <c r="C4847" s="30" t="s">
        <v>46</v>
      </c>
      <c r="D4847" s="30" t="s">
        <v>47</v>
      </c>
      <c r="E4847" s="32" t="s">
        <v>570</v>
      </c>
      <c r="F4847" s="32" t="s">
        <v>49</v>
      </c>
      <c r="G4847" s="32" t="s">
        <v>50</v>
      </c>
      <c r="H4847" s="33">
        <v>33930</v>
      </c>
      <c r="I4847" s="34">
        <f>Table3[[#This Row],[Volume, kg.]]/1000</f>
        <v>33.93</v>
      </c>
      <c r="J4847" s="34">
        <v>0.29210000000000003</v>
      </c>
      <c r="K4847" s="34">
        <f t="shared" si="150"/>
        <v>9910.9530000000013</v>
      </c>
      <c r="L4847" s="34">
        <v>2.54</v>
      </c>
      <c r="M4847" s="34">
        <v>86113</v>
      </c>
      <c r="N4847" s="34">
        <f t="shared" si="151"/>
        <v>8.695652173913043</v>
      </c>
    </row>
    <row r="4848" spans="1:14" x14ac:dyDescent="0.45">
      <c r="A4848" s="30">
        <v>2025</v>
      </c>
      <c r="B4848" s="30" t="s">
        <v>9</v>
      </c>
      <c r="C4848" s="30" t="s">
        <v>46</v>
      </c>
      <c r="D4848" s="30" t="s">
        <v>47</v>
      </c>
      <c r="E4848" s="32" t="s">
        <v>100</v>
      </c>
      <c r="F4848" s="32" t="s">
        <v>60</v>
      </c>
      <c r="G4848" s="32" t="s">
        <v>50</v>
      </c>
      <c r="H4848" s="33">
        <v>32110</v>
      </c>
      <c r="I4848" s="34">
        <f>Table3[[#This Row],[Volume, kg.]]/1000</f>
        <v>32.11</v>
      </c>
      <c r="J4848" s="34">
        <v>0.29460000000000003</v>
      </c>
      <c r="K4848" s="34">
        <f t="shared" si="150"/>
        <v>9459.6060000000016</v>
      </c>
      <c r="L4848" s="34">
        <v>2.4300000000000002</v>
      </c>
      <c r="M4848" s="34">
        <v>77928</v>
      </c>
      <c r="N4848" s="34">
        <f t="shared" si="151"/>
        <v>8.2484725050916499</v>
      </c>
    </row>
    <row r="4849" spans="1:14" x14ac:dyDescent="0.45">
      <c r="A4849" s="30">
        <v>2025</v>
      </c>
      <c r="B4849" s="30" t="s">
        <v>9</v>
      </c>
      <c r="C4849" s="30" t="s">
        <v>46</v>
      </c>
      <c r="D4849" s="30" t="s">
        <v>47</v>
      </c>
      <c r="E4849" s="32" t="s">
        <v>145</v>
      </c>
      <c r="F4849" s="32" t="s">
        <v>60</v>
      </c>
      <c r="G4849" s="32" t="s">
        <v>50</v>
      </c>
      <c r="H4849" s="33">
        <v>12820</v>
      </c>
      <c r="I4849" s="34">
        <f>Table3[[#This Row],[Volume, kg.]]/1000</f>
        <v>12.82</v>
      </c>
      <c r="J4849" s="34">
        <v>0.28800000000000003</v>
      </c>
      <c r="K4849" s="34">
        <f t="shared" si="150"/>
        <v>3692.1600000000003</v>
      </c>
      <c r="L4849" s="34">
        <v>2.5</v>
      </c>
      <c r="M4849" s="34">
        <v>32050</v>
      </c>
      <c r="N4849" s="34">
        <f t="shared" si="151"/>
        <v>8.6805555555555554</v>
      </c>
    </row>
    <row r="4850" spans="1:14" x14ac:dyDescent="0.45">
      <c r="A4850" s="30">
        <v>2025</v>
      </c>
      <c r="B4850" s="30" t="s">
        <v>9</v>
      </c>
      <c r="C4850" s="30" t="s">
        <v>46</v>
      </c>
      <c r="D4850" s="30" t="s">
        <v>47</v>
      </c>
      <c r="E4850" s="32" t="s">
        <v>299</v>
      </c>
      <c r="F4850" s="32" t="s">
        <v>49</v>
      </c>
      <c r="G4850" s="32" t="s">
        <v>50</v>
      </c>
      <c r="H4850" s="33">
        <v>16630</v>
      </c>
      <c r="I4850" s="34">
        <f>Table3[[#This Row],[Volume, kg.]]/1000</f>
        <v>16.63</v>
      </c>
      <c r="J4850" s="34">
        <v>0.27940000000000004</v>
      </c>
      <c r="K4850" s="34">
        <f t="shared" si="150"/>
        <v>4646.4220000000005</v>
      </c>
      <c r="L4850" s="34">
        <v>2.35</v>
      </c>
      <c r="M4850" s="34">
        <v>39080.5</v>
      </c>
      <c r="N4850" s="34">
        <f t="shared" si="151"/>
        <v>8.4108804581245522</v>
      </c>
    </row>
    <row r="4851" spans="1:14" x14ac:dyDescent="0.45">
      <c r="A4851" s="30">
        <v>2025</v>
      </c>
      <c r="B4851" s="30" t="s">
        <v>9</v>
      </c>
      <c r="C4851" s="30" t="s">
        <v>46</v>
      </c>
      <c r="D4851" s="30" t="s">
        <v>47</v>
      </c>
      <c r="E4851" s="32" t="s">
        <v>580</v>
      </c>
      <c r="F4851" s="32" t="s">
        <v>49</v>
      </c>
      <c r="G4851" s="32" t="s">
        <v>50</v>
      </c>
      <c r="H4851" s="33">
        <v>23330</v>
      </c>
      <c r="I4851" s="34">
        <f>Table3[[#This Row],[Volume, kg.]]/1000</f>
        <v>23.33</v>
      </c>
      <c r="J4851" s="34">
        <v>0.2747</v>
      </c>
      <c r="K4851" s="34">
        <f t="shared" si="150"/>
        <v>6408.7510000000002</v>
      </c>
      <c r="L4851" s="34">
        <v>2.31</v>
      </c>
      <c r="M4851" s="34">
        <v>53997.5</v>
      </c>
      <c r="N4851" s="34">
        <f t="shared" si="151"/>
        <v>8.4091736439752456</v>
      </c>
    </row>
    <row r="4852" spans="1:14" x14ac:dyDescent="0.45">
      <c r="A4852" s="30">
        <v>2025</v>
      </c>
      <c r="B4852" s="30" t="s">
        <v>9</v>
      </c>
      <c r="C4852" s="30" t="s">
        <v>46</v>
      </c>
      <c r="D4852" s="30" t="s">
        <v>47</v>
      </c>
      <c r="E4852" s="32" t="s">
        <v>122</v>
      </c>
      <c r="F4852" s="32" t="s">
        <v>49</v>
      </c>
      <c r="G4852" s="32" t="s">
        <v>50</v>
      </c>
      <c r="H4852" s="33">
        <v>2650</v>
      </c>
      <c r="I4852" s="34">
        <f>Table3[[#This Row],[Volume, kg.]]/1000</f>
        <v>2.65</v>
      </c>
      <c r="J4852" s="34">
        <v>0.26400000000000001</v>
      </c>
      <c r="K4852" s="34">
        <f t="shared" si="150"/>
        <v>699.6</v>
      </c>
      <c r="L4852" s="34">
        <v>2.2000000000000002</v>
      </c>
      <c r="M4852" s="34">
        <v>5830</v>
      </c>
      <c r="N4852" s="34">
        <f t="shared" si="151"/>
        <v>8.3333333333333339</v>
      </c>
    </row>
    <row r="4853" spans="1:14" x14ac:dyDescent="0.45">
      <c r="A4853" s="30">
        <v>2025</v>
      </c>
      <c r="B4853" s="30" t="s">
        <v>9</v>
      </c>
      <c r="C4853" s="30" t="s">
        <v>46</v>
      </c>
      <c r="D4853" s="30" t="s">
        <v>47</v>
      </c>
      <c r="E4853" s="32" t="s">
        <v>210</v>
      </c>
      <c r="F4853" s="32" t="s">
        <v>60</v>
      </c>
      <c r="G4853" s="32" t="s">
        <v>50</v>
      </c>
      <c r="H4853" s="33">
        <v>10880</v>
      </c>
      <c r="I4853" s="34">
        <f>Table3[[#This Row],[Volume, kg.]]/1000</f>
        <v>10.88</v>
      </c>
      <c r="J4853" s="34">
        <v>0.30299999999999999</v>
      </c>
      <c r="K4853" s="34">
        <f t="shared" si="150"/>
        <v>3296.64</v>
      </c>
      <c r="L4853" s="34">
        <v>2.4</v>
      </c>
      <c r="M4853" s="34">
        <v>26112</v>
      </c>
      <c r="N4853" s="34">
        <f t="shared" si="151"/>
        <v>7.9207920792079207</v>
      </c>
    </row>
    <row r="4854" spans="1:14" x14ac:dyDescent="0.45">
      <c r="A4854" s="30">
        <v>2025</v>
      </c>
      <c r="B4854" s="30" t="s">
        <v>9</v>
      </c>
      <c r="C4854" s="30" t="s">
        <v>46</v>
      </c>
      <c r="D4854" s="30" t="s">
        <v>47</v>
      </c>
      <c r="E4854" s="32" t="s">
        <v>253</v>
      </c>
      <c r="F4854" s="32" t="s">
        <v>57</v>
      </c>
      <c r="G4854" s="32" t="s">
        <v>50</v>
      </c>
      <c r="H4854" s="33">
        <v>30670</v>
      </c>
      <c r="I4854" s="34">
        <f>Table3[[#This Row],[Volume, kg.]]/1000</f>
        <v>30.67</v>
      </c>
      <c r="J4854" s="34">
        <v>0.31969999999999998</v>
      </c>
      <c r="K4854" s="34">
        <f t="shared" si="150"/>
        <v>9805.1989999999987</v>
      </c>
      <c r="L4854" s="34">
        <v>2.56</v>
      </c>
      <c r="M4854" s="34">
        <v>78552.5</v>
      </c>
      <c r="N4854" s="34">
        <f t="shared" si="151"/>
        <v>8.0075070378479829</v>
      </c>
    </row>
    <row r="4855" spans="1:14" x14ac:dyDescent="0.45">
      <c r="A4855" s="30">
        <v>2025</v>
      </c>
      <c r="B4855" s="30" t="s">
        <v>9</v>
      </c>
      <c r="C4855" s="30" t="s">
        <v>46</v>
      </c>
      <c r="D4855" s="30" t="s">
        <v>47</v>
      </c>
      <c r="E4855" s="32" t="s">
        <v>435</v>
      </c>
      <c r="F4855" s="32" t="s">
        <v>49</v>
      </c>
      <c r="G4855" s="32" t="s">
        <v>50</v>
      </c>
      <c r="H4855" s="33">
        <v>8150</v>
      </c>
      <c r="I4855" s="34">
        <f>Table3[[#This Row],[Volume, kg.]]/1000</f>
        <v>8.15</v>
      </c>
      <c r="J4855" s="34">
        <v>0.27949999999999997</v>
      </c>
      <c r="K4855" s="34">
        <f t="shared" si="150"/>
        <v>2277.9249999999997</v>
      </c>
      <c r="L4855" s="34">
        <v>2.5499999999999998</v>
      </c>
      <c r="M4855" s="34">
        <v>20782.5</v>
      </c>
      <c r="N4855" s="34">
        <f t="shared" si="151"/>
        <v>9.1234347048300535</v>
      </c>
    </row>
    <row r="4856" spans="1:14" x14ac:dyDescent="0.45">
      <c r="A4856" s="30">
        <v>2025</v>
      </c>
      <c r="B4856" s="30" t="s">
        <v>9</v>
      </c>
      <c r="C4856" s="30" t="s">
        <v>46</v>
      </c>
      <c r="D4856" s="30" t="s">
        <v>47</v>
      </c>
      <c r="E4856" s="32" t="s">
        <v>171</v>
      </c>
      <c r="F4856" s="32" t="s">
        <v>49</v>
      </c>
      <c r="G4856" s="32" t="s">
        <v>50</v>
      </c>
      <c r="H4856" s="33">
        <v>26560</v>
      </c>
      <c r="I4856" s="34">
        <f>Table3[[#This Row],[Volume, kg.]]/1000</f>
        <v>26.56</v>
      </c>
      <c r="J4856" s="34">
        <v>0.28809999999999997</v>
      </c>
      <c r="K4856" s="34">
        <f t="shared" si="150"/>
        <v>7651.9359999999988</v>
      </c>
      <c r="L4856" s="34">
        <v>2.4</v>
      </c>
      <c r="M4856" s="34">
        <v>63761</v>
      </c>
      <c r="N4856" s="34">
        <f t="shared" si="151"/>
        <v>8.3304408191600139</v>
      </c>
    </row>
    <row r="4857" spans="1:14" x14ac:dyDescent="0.45">
      <c r="A4857" s="30">
        <v>2025</v>
      </c>
      <c r="B4857" s="30" t="s">
        <v>9</v>
      </c>
      <c r="C4857" s="30" t="s">
        <v>46</v>
      </c>
      <c r="D4857" s="30" t="s">
        <v>47</v>
      </c>
      <c r="E4857" s="32" t="s">
        <v>445</v>
      </c>
      <c r="F4857" s="32" t="s">
        <v>49</v>
      </c>
      <c r="G4857" s="32" t="s">
        <v>50</v>
      </c>
      <c r="H4857" s="33">
        <v>19030</v>
      </c>
      <c r="I4857" s="34">
        <f>Table3[[#This Row],[Volume, kg.]]/1000</f>
        <v>19.03</v>
      </c>
      <c r="J4857" s="34">
        <v>0.29039999999999999</v>
      </c>
      <c r="K4857" s="34">
        <f t="shared" si="150"/>
        <v>5526.3119999999999</v>
      </c>
      <c r="L4857" s="34">
        <v>2.5499999999999998</v>
      </c>
      <c r="M4857" s="34">
        <v>48526.5</v>
      </c>
      <c r="N4857" s="34">
        <f t="shared" si="151"/>
        <v>8.7809917355371905</v>
      </c>
    </row>
    <row r="4858" spans="1:14" x14ac:dyDescent="0.45">
      <c r="A4858" s="30">
        <v>2025</v>
      </c>
      <c r="B4858" s="30" t="s">
        <v>9</v>
      </c>
      <c r="C4858" s="30" t="s">
        <v>46</v>
      </c>
      <c r="D4858" s="30" t="s">
        <v>47</v>
      </c>
      <c r="E4858" s="32" t="s">
        <v>56</v>
      </c>
      <c r="F4858" s="32" t="s">
        <v>57</v>
      </c>
      <c r="G4858" s="32" t="s">
        <v>50</v>
      </c>
      <c r="H4858" s="33">
        <v>13950</v>
      </c>
      <c r="I4858" s="34">
        <f>Table3[[#This Row],[Volume, kg.]]/1000</f>
        <v>13.95</v>
      </c>
      <c r="J4858" s="34">
        <v>0.27679999999999999</v>
      </c>
      <c r="K4858" s="34">
        <f t="shared" si="150"/>
        <v>3861.3599999999997</v>
      </c>
      <c r="L4858" s="34">
        <v>2.37</v>
      </c>
      <c r="M4858" s="34">
        <v>33064</v>
      </c>
      <c r="N4858" s="34">
        <f t="shared" si="151"/>
        <v>8.5621387283237009</v>
      </c>
    </row>
    <row r="4859" spans="1:14" x14ac:dyDescent="0.45">
      <c r="A4859" s="30">
        <v>2025</v>
      </c>
      <c r="B4859" s="30" t="s">
        <v>9</v>
      </c>
      <c r="C4859" s="30" t="s">
        <v>46</v>
      </c>
      <c r="D4859" s="30" t="s">
        <v>47</v>
      </c>
      <c r="E4859" s="32" t="s">
        <v>90</v>
      </c>
      <c r="F4859" s="32" t="s">
        <v>49</v>
      </c>
      <c r="G4859" s="32" t="s">
        <v>50</v>
      </c>
      <c r="H4859" s="33">
        <v>5660</v>
      </c>
      <c r="I4859" s="34">
        <f>Table3[[#This Row],[Volume, kg.]]/1000</f>
        <v>5.66</v>
      </c>
      <c r="J4859" s="34">
        <v>0.30399999999999999</v>
      </c>
      <c r="K4859" s="34">
        <f t="shared" si="150"/>
        <v>1720.6399999999999</v>
      </c>
      <c r="L4859" s="34">
        <v>2.5499999999999998</v>
      </c>
      <c r="M4859" s="34">
        <v>14433</v>
      </c>
      <c r="N4859" s="34">
        <f t="shared" si="151"/>
        <v>8.3881578947368425</v>
      </c>
    </row>
    <row r="4860" spans="1:14" x14ac:dyDescent="0.45">
      <c r="A4860" s="30">
        <v>2025</v>
      </c>
      <c r="B4860" s="30" t="s">
        <v>9</v>
      </c>
      <c r="C4860" s="30" t="s">
        <v>46</v>
      </c>
      <c r="D4860" s="30" t="s">
        <v>47</v>
      </c>
      <c r="E4860" s="32" t="s">
        <v>88</v>
      </c>
      <c r="F4860" s="32" t="s">
        <v>49</v>
      </c>
      <c r="G4860" s="32" t="s">
        <v>50</v>
      </c>
      <c r="H4860" s="33">
        <v>123990</v>
      </c>
      <c r="I4860" s="34">
        <f>Table3[[#This Row],[Volume, kg.]]/1000</f>
        <v>123.99</v>
      </c>
      <c r="J4860" s="34">
        <v>0.32679999999999998</v>
      </c>
      <c r="K4860" s="34">
        <f t="shared" si="150"/>
        <v>40519.932000000001</v>
      </c>
      <c r="L4860" s="34">
        <v>2.72</v>
      </c>
      <c r="M4860" s="34">
        <v>336940.5</v>
      </c>
      <c r="N4860" s="34">
        <f t="shared" si="151"/>
        <v>8.3231334149326823</v>
      </c>
    </row>
    <row r="4861" spans="1:14" x14ac:dyDescent="0.45">
      <c r="A4861" s="30">
        <v>2025</v>
      </c>
      <c r="B4861" s="30" t="s">
        <v>9</v>
      </c>
      <c r="C4861" s="30" t="s">
        <v>46</v>
      </c>
      <c r="D4861" s="30" t="s">
        <v>47</v>
      </c>
      <c r="E4861" s="32" t="s">
        <v>356</v>
      </c>
      <c r="F4861" s="32" t="s">
        <v>49</v>
      </c>
      <c r="G4861" s="32" t="s">
        <v>50</v>
      </c>
      <c r="H4861" s="33">
        <v>26020</v>
      </c>
      <c r="I4861" s="34">
        <f>Table3[[#This Row],[Volume, kg.]]/1000</f>
        <v>26.02</v>
      </c>
      <c r="J4861" s="34">
        <v>0.2964</v>
      </c>
      <c r="K4861" s="34">
        <f t="shared" si="150"/>
        <v>7712.3279999999995</v>
      </c>
      <c r="L4861" s="34">
        <v>2.59</v>
      </c>
      <c r="M4861" s="34">
        <v>67512.5</v>
      </c>
      <c r="N4861" s="34">
        <f t="shared" si="151"/>
        <v>8.7381916329284746</v>
      </c>
    </row>
    <row r="4862" spans="1:14" x14ac:dyDescent="0.45">
      <c r="A4862" s="30">
        <v>2025</v>
      </c>
      <c r="B4862" s="30" t="s">
        <v>9</v>
      </c>
      <c r="C4862" s="30" t="s">
        <v>46</v>
      </c>
      <c r="D4862" s="30" t="s">
        <v>47</v>
      </c>
      <c r="E4862" s="32" t="s">
        <v>116</v>
      </c>
      <c r="F4862" s="32" t="s">
        <v>81</v>
      </c>
      <c r="G4862" s="32" t="s">
        <v>50</v>
      </c>
      <c r="H4862" s="33">
        <v>102210</v>
      </c>
      <c r="I4862" s="34">
        <f>Table3[[#This Row],[Volume, kg.]]/1000</f>
        <v>102.21</v>
      </c>
      <c r="J4862" s="34">
        <v>0.28550000000000003</v>
      </c>
      <c r="K4862" s="34">
        <f t="shared" si="150"/>
        <v>29180.955000000002</v>
      </c>
      <c r="L4862" s="34">
        <v>2.48</v>
      </c>
      <c r="M4862" s="34">
        <v>253738</v>
      </c>
      <c r="N4862" s="34">
        <f t="shared" si="151"/>
        <v>8.6865148861646233</v>
      </c>
    </row>
    <row r="4863" spans="1:14" x14ac:dyDescent="0.45">
      <c r="A4863" s="30">
        <v>2025</v>
      </c>
      <c r="B4863" s="30" t="s">
        <v>9</v>
      </c>
      <c r="C4863" s="30" t="s">
        <v>46</v>
      </c>
      <c r="D4863" s="30" t="s">
        <v>47</v>
      </c>
      <c r="E4863" s="32" t="s">
        <v>186</v>
      </c>
      <c r="F4863" s="32" t="s">
        <v>64</v>
      </c>
      <c r="G4863" s="32" t="s">
        <v>50</v>
      </c>
      <c r="H4863" s="33">
        <v>39670</v>
      </c>
      <c r="I4863" s="34">
        <f>Table3[[#This Row],[Volume, kg.]]/1000</f>
        <v>39.67</v>
      </c>
      <c r="J4863" s="34">
        <v>0.28059999999999996</v>
      </c>
      <c r="K4863" s="34">
        <f t="shared" si="150"/>
        <v>11131.401999999998</v>
      </c>
      <c r="L4863" s="34">
        <v>2.5299999999999998</v>
      </c>
      <c r="M4863" s="34">
        <v>100215.5</v>
      </c>
      <c r="N4863" s="34">
        <f t="shared" si="151"/>
        <v>9.0163934426229506</v>
      </c>
    </row>
    <row r="4864" spans="1:14" x14ac:dyDescent="0.45">
      <c r="A4864" s="30">
        <v>2025</v>
      </c>
      <c r="B4864" s="30" t="s">
        <v>9</v>
      </c>
      <c r="C4864" s="30" t="s">
        <v>46</v>
      </c>
      <c r="D4864" s="30" t="s">
        <v>47</v>
      </c>
      <c r="E4864" s="32" t="s">
        <v>394</v>
      </c>
      <c r="F4864" s="32" t="s">
        <v>64</v>
      </c>
      <c r="G4864" s="32" t="s">
        <v>50</v>
      </c>
      <c r="H4864" s="33">
        <v>10270</v>
      </c>
      <c r="I4864" s="34">
        <f>Table3[[#This Row],[Volume, kg.]]/1000</f>
        <v>10.27</v>
      </c>
      <c r="J4864" s="34">
        <v>0.2445</v>
      </c>
      <c r="K4864" s="34">
        <f t="shared" si="150"/>
        <v>2511.0149999999999</v>
      </c>
      <c r="L4864" s="34">
        <v>2.15</v>
      </c>
      <c r="M4864" s="34">
        <v>22080.5</v>
      </c>
      <c r="N4864" s="34">
        <f t="shared" si="151"/>
        <v>8.7934560327198366</v>
      </c>
    </row>
    <row r="4865" spans="1:14" x14ac:dyDescent="0.45">
      <c r="A4865" s="30">
        <v>2025</v>
      </c>
      <c r="B4865" s="30" t="s">
        <v>9</v>
      </c>
      <c r="C4865" s="30" t="s">
        <v>46</v>
      </c>
      <c r="D4865" s="30" t="s">
        <v>47</v>
      </c>
      <c r="E4865" s="32" t="s">
        <v>225</v>
      </c>
      <c r="F4865" s="32" t="s">
        <v>64</v>
      </c>
      <c r="G4865" s="32" t="s">
        <v>50</v>
      </c>
      <c r="H4865" s="33">
        <v>263950</v>
      </c>
      <c r="I4865" s="34">
        <f>Table3[[#This Row],[Volume, kg.]]/1000</f>
        <v>263.95</v>
      </c>
      <c r="J4865" s="34">
        <v>0.27250000000000002</v>
      </c>
      <c r="K4865" s="34">
        <f t="shared" si="150"/>
        <v>71926.375</v>
      </c>
      <c r="L4865" s="34">
        <v>2.42</v>
      </c>
      <c r="M4865" s="34">
        <v>639015.5</v>
      </c>
      <c r="N4865" s="34">
        <f t="shared" si="151"/>
        <v>8.8807339449541267</v>
      </c>
    </row>
    <row r="4866" spans="1:14" x14ac:dyDescent="0.45">
      <c r="A4866" s="30">
        <v>2025</v>
      </c>
      <c r="B4866" s="30" t="s">
        <v>9</v>
      </c>
      <c r="C4866" s="30" t="s">
        <v>46</v>
      </c>
      <c r="D4866" s="30" t="s">
        <v>47</v>
      </c>
      <c r="E4866" s="32" t="s">
        <v>581</v>
      </c>
      <c r="F4866" s="32" t="s">
        <v>64</v>
      </c>
      <c r="G4866" s="32" t="s">
        <v>50</v>
      </c>
      <c r="H4866" s="33">
        <v>87500</v>
      </c>
      <c r="I4866" s="34">
        <f>Table3[[#This Row],[Volume, kg.]]/1000</f>
        <v>87.5</v>
      </c>
      <c r="J4866" s="34">
        <v>0.2752</v>
      </c>
      <c r="K4866" s="34">
        <f t="shared" si="150"/>
        <v>24080</v>
      </c>
      <c r="L4866" s="34">
        <v>2.4</v>
      </c>
      <c r="M4866" s="34">
        <v>210030</v>
      </c>
      <c r="N4866" s="34">
        <f t="shared" si="151"/>
        <v>8.720930232558139</v>
      </c>
    </row>
    <row r="4867" spans="1:14" x14ac:dyDescent="0.45">
      <c r="A4867" s="30">
        <v>2025</v>
      </c>
      <c r="B4867" s="30" t="s">
        <v>9</v>
      </c>
      <c r="C4867" s="30" t="s">
        <v>46</v>
      </c>
      <c r="D4867" s="30" t="s">
        <v>47</v>
      </c>
      <c r="E4867" s="32" t="s">
        <v>200</v>
      </c>
      <c r="F4867" s="32" t="s">
        <v>64</v>
      </c>
      <c r="G4867" s="32" t="s">
        <v>50</v>
      </c>
      <c r="H4867" s="33">
        <v>25790</v>
      </c>
      <c r="I4867" s="34">
        <f>Table3[[#This Row],[Volume, kg.]]/1000</f>
        <v>25.79</v>
      </c>
      <c r="J4867" s="34">
        <v>0.24979999999999999</v>
      </c>
      <c r="K4867" s="34">
        <f t="shared" ref="K4867:K4930" si="152">H4867*J4867</f>
        <v>6442.3419999999996</v>
      </c>
      <c r="L4867" s="34">
        <v>2.34</v>
      </c>
      <c r="M4867" s="34">
        <v>60464</v>
      </c>
      <c r="N4867" s="34">
        <f t="shared" si="151"/>
        <v>9.3674939951961562</v>
      </c>
    </row>
    <row r="4868" spans="1:14" x14ac:dyDescent="0.45">
      <c r="A4868" s="30">
        <v>2025</v>
      </c>
      <c r="B4868" s="30" t="s">
        <v>9</v>
      </c>
      <c r="C4868" s="30" t="s">
        <v>46</v>
      </c>
      <c r="D4868" s="30" t="s">
        <v>47</v>
      </c>
      <c r="E4868" s="32" t="s">
        <v>304</v>
      </c>
      <c r="F4868" s="32" t="s">
        <v>64</v>
      </c>
      <c r="G4868" s="32" t="s">
        <v>50</v>
      </c>
      <c r="H4868" s="33">
        <v>86470</v>
      </c>
      <c r="I4868" s="34">
        <f>Table3[[#This Row],[Volume, kg.]]/1000</f>
        <v>86.47</v>
      </c>
      <c r="J4868" s="34">
        <v>0.27310000000000001</v>
      </c>
      <c r="K4868" s="34">
        <f t="shared" si="152"/>
        <v>23614.957000000002</v>
      </c>
      <c r="L4868" s="34">
        <v>2.38</v>
      </c>
      <c r="M4868" s="34">
        <v>206127.5</v>
      </c>
      <c r="N4868" s="34">
        <f t="shared" ref="N4868:N4931" si="153">L4868/J4868</f>
        <v>8.7147564994507505</v>
      </c>
    </row>
    <row r="4869" spans="1:14" x14ac:dyDescent="0.45">
      <c r="A4869" s="30">
        <v>2025</v>
      </c>
      <c r="B4869" s="30" t="s">
        <v>9</v>
      </c>
      <c r="C4869" s="30" t="s">
        <v>46</v>
      </c>
      <c r="D4869" s="30" t="s">
        <v>47</v>
      </c>
      <c r="E4869" s="32" t="s">
        <v>206</v>
      </c>
      <c r="F4869" s="32" t="s">
        <v>81</v>
      </c>
      <c r="G4869" s="32" t="s">
        <v>50</v>
      </c>
      <c r="H4869" s="33">
        <v>188000</v>
      </c>
      <c r="I4869" s="34">
        <f>Table3[[#This Row],[Volume, kg.]]/1000</f>
        <v>188</v>
      </c>
      <c r="J4869" s="34">
        <v>0.28660000000000002</v>
      </c>
      <c r="K4869" s="34">
        <f t="shared" si="152"/>
        <v>53880.800000000003</v>
      </c>
      <c r="L4869" s="34">
        <v>2.44</v>
      </c>
      <c r="M4869" s="34">
        <v>458692.5</v>
      </c>
      <c r="N4869" s="34">
        <f t="shared" si="153"/>
        <v>8.5136078157711079</v>
      </c>
    </row>
    <row r="4870" spans="1:14" x14ac:dyDescent="0.45">
      <c r="A4870" s="30">
        <v>2025</v>
      </c>
      <c r="B4870" s="30" t="s">
        <v>9</v>
      </c>
      <c r="C4870" s="30" t="s">
        <v>46</v>
      </c>
      <c r="D4870" s="30" t="s">
        <v>47</v>
      </c>
      <c r="E4870" s="32" t="s">
        <v>350</v>
      </c>
      <c r="F4870" s="32" t="s">
        <v>49</v>
      </c>
      <c r="G4870" s="32" t="s">
        <v>50</v>
      </c>
      <c r="H4870" s="33">
        <v>8860</v>
      </c>
      <c r="I4870" s="34">
        <f>Table3[[#This Row],[Volume, kg.]]/1000</f>
        <v>8.86</v>
      </c>
      <c r="J4870" s="34">
        <v>0.313</v>
      </c>
      <c r="K4870" s="34">
        <f t="shared" si="152"/>
        <v>2773.18</v>
      </c>
      <c r="L4870" s="34">
        <v>2.7</v>
      </c>
      <c r="M4870" s="34">
        <v>23922</v>
      </c>
      <c r="N4870" s="34">
        <f t="shared" si="153"/>
        <v>8.6261980830670932</v>
      </c>
    </row>
    <row r="4871" spans="1:14" x14ac:dyDescent="0.45">
      <c r="A4871" s="30">
        <v>2025</v>
      </c>
      <c r="B4871" s="30" t="s">
        <v>9</v>
      </c>
      <c r="C4871" s="30" t="s">
        <v>46</v>
      </c>
      <c r="D4871" s="30" t="s">
        <v>47</v>
      </c>
      <c r="E4871" s="32" t="s">
        <v>548</v>
      </c>
      <c r="F4871" s="32" t="s">
        <v>49</v>
      </c>
      <c r="G4871" s="32" t="s">
        <v>50</v>
      </c>
      <c r="H4871" s="33">
        <v>119100</v>
      </c>
      <c r="I4871" s="34">
        <f>Table3[[#This Row],[Volume, kg.]]/1000</f>
        <v>119.1</v>
      </c>
      <c r="J4871" s="34">
        <v>0.2888</v>
      </c>
      <c r="K4871" s="34">
        <f t="shared" si="152"/>
        <v>34396.080000000002</v>
      </c>
      <c r="L4871" s="34">
        <v>2.38</v>
      </c>
      <c r="M4871" s="34">
        <v>283924</v>
      </c>
      <c r="N4871" s="34">
        <f t="shared" si="153"/>
        <v>8.2409972299168963</v>
      </c>
    </row>
    <row r="4872" spans="1:14" x14ac:dyDescent="0.45">
      <c r="A4872" s="30">
        <v>2025</v>
      </c>
      <c r="B4872" s="30" t="s">
        <v>9</v>
      </c>
      <c r="C4872" s="30" t="s">
        <v>46</v>
      </c>
      <c r="D4872" s="30" t="s">
        <v>47</v>
      </c>
      <c r="E4872" s="32" t="s">
        <v>98</v>
      </c>
      <c r="F4872" s="32" t="s">
        <v>49</v>
      </c>
      <c r="G4872" s="32" t="s">
        <v>50</v>
      </c>
      <c r="H4872" s="33">
        <v>68080</v>
      </c>
      <c r="I4872" s="34">
        <f>Table3[[#This Row],[Volume, kg.]]/1000</f>
        <v>68.08</v>
      </c>
      <c r="J4872" s="34">
        <v>0.3054</v>
      </c>
      <c r="K4872" s="34">
        <f t="shared" si="152"/>
        <v>20791.632000000001</v>
      </c>
      <c r="L4872" s="34">
        <v>2.5499999999999998</v>
      </c>
      <c r="M4872" s="34">
        <v>173617</v>
      </c>
      <c r="N4872" s="34">
        <f t="shared" si="153"/>
        <v>8.3497053045186629</v>
      </c>
    </row>
    <row r="4873" spans="1:14" x14ac:dyDescent="0.45">
      <c r="A4873" s="30">
        <v>2025</v>
      </c>
      <c r="B4873" s="30" t="s">
        <v>9</v>
      </c>
      <c r="C4873" s="30" t="s">
        <v>46</v>
      </c>
      <c r="D4873" s="30" t="s">
        <v>47</v>
      </c>
      <c r="E4873" s="32" t="s">
        <v>354</v>
      </c>
      <c r="F4873" s="32" t="s">
        <v>60</v>
      </c>
      <c r="G4873" s="32" t="s">
        <v>50</v>
      </c>
      <c r="H4873" s="33">
        <v>3760</v>
      </c>
      <c r="I4873" s="34">
        <f>Table3[[#This Row],[Volume, kg.]]/1000</f>
        <v>3.76</v>
      </c>
      <c r="J4873" s="34">
        <v>0.28449999999999998</v>
      </c>
      <c r="K4873" s="34">
        <f t="shared" si="152"/>
        <v>1069.7199999999998</v>
      </c>
      <c r="L4873" s="34">
        <v>2.5499999999999998</v>
      </c>
      <c r="M4873" s="34">
        <v>9588</v>
      </c>
      <c r="N4873" s="34">
        <f t="shared" si="153"/>
        <v>8.9630931458699479</v>
      </c>
    </row>
    <row r="4874" spans="1:14" x14ac:dyDescent="0.45">
      <c r="A4874" s="30">
        <v>2025</v>
      </c>
      <c r="B4874" s="30" t="s">
        <v>9</v>
      </c>
      <c r="C4874" s="30" t="s">
        <v>46</v>
      </c>
      <c r="D4874" s="30" t="s">
        <v>47</v>
      </c>
      <c r="E4874" s="32" t="s">
        <v>129</v>
      </c>
      <c r="F4874" s="32" t="s">
        <v>57</v>
      </c>
      <c r="G4874" s="32" t="s">
        <v>50</v>
      </c>
      <c r="H4874" s="33">
        <v>37150</v>
      </c>
      <c r="I4874" s="34">
        <f>Table3[[#This Row],[Volume, kg.]]/1000</f>
        <v>37.15</v>
      </c>
      <c r="J4874" s="34">
        <v>0.28960000000000002</v>
      </c>
      <c r="K4874" s="34">
        <f t="shared" si="152"/>
        <v>10758.640000000001</v>
      </c>
      <c r="L4874" s="34">
        <v>2.39</v>
      </c>
      <c r="M4874" s="34">
        <v>88714.5</v>
      </c>
      <c r="N4874" s="34">
        <f t="shared" si="153"/>
        <v>8.2527624309392262</v>
      </c>
    </row>
    <row r="4875" spans="1:14" x14ac:dyDescent="0.45">
      <c r="A4875" s="30">
        <v>2025</v>
      </c>
      <c r="B4875" s="30" t="s">
        <v>9</v>
      </c>
      <c r="C4875" s="30" t="s">
        <v>46</v>
      </c>
      <c r="D4875" s="30" t="s">
        <v>47</v>
      </c>
      <c r="E4875" s="32" t="s">
        <v>80</v>
      </c>
      <c r="F4875" s="32" t="s">
        <v>81</v>
      </c>
      <c r="G4875" s="32" t="s">
        <v>50</v>
      </c>
      <c r="H4875" s="33">
        <v>104490</v>
      </c>
      <c r="I4875" s="34">
        <f>Table3[[#This Row],[Volume, kg.]]/1000</f>
        <v>104.49</v>
      </c>
      <c r="J4875" s="34">
        <v>0.27929999999999999</v>
      </c>
      <c r="K4875" s="34">
        <f t="shared" si="152"/>
        <v>29184.057000000001</v>
      </c>
      <c r="L4875" s="34">
        <v>2.33</v>
      </c>
      <c r="M4875" s="34">
        <v>243427.5</v>
      </c>
      <c r="N4875" s="34">
        <f t="shared" si="153"/>
        <v>8.3422842821339067</v>
      </c>
    </row>
    <row r="4876" spans="1:14" x14ac:dyDescent="0.45">
      <c r="A4876" s="30">
        <v>2025</v>
      </c>
      <c r="B4876" s="30" t="s">
        <v>9</v>
      </c>
      <c r="C4876" s="30" t="s">
        <v>46</v>
      </c>
      <c r="D4876" s="30" t="s">
        <v>102</v>
      </c>
      <c r="E4876" s="32" t="s">
        <v>396</v>
      </c>
      <c r="F4876" s="32" t="s">
        <v>397</v>
      </c>
      <c r="G4876" s="32" t="s">
        <v>105</v>
      </c>
      <c r="H4876" s="33">
        <v>408530</v>
      </c>
      <c r="I4876" s="34">
        <f>Table3[[#This Row],[Volume, kg.]]/1000</f>
        <v>408.53</v>
      </c>
      <c r="J4876" s="34">
        <v>0.25650000000000001</v>
      </c>
      <c r="K4876" s="34">
        <f t="shared" si="152"/>
        <v>104787.94500000001</v>
      </c>
      <c r="L4876" s="34">
        <v>2.41</v>
      </c>
      <c r="M4876" s="34">
        <v>985393</v>
      </c>
      <c r="N4876" s="34">
        <f t="shared" si="153"/>
        <v>9.3957115009746595</v>
      </c>
    </row>
    <row r="4877" spans="1:14" x14ac:dyDescent="0.45">
      <c r="A4877" s="30">
        <v>2025</v>
      </c>
      <c r="B4877" s="30" t="s">
        <v>9</v>
      </c>
      <c r="C4877" s="30" t="s">
        <v>46</v>
      </c>
      <c r="D4877" s="30" t="s">
        <v>47</v>
      </c>
      <c r="E4877" s="32" t="s">
        <v>398</v>
      </c>
      <c r="F4877" s="32" t="s">
        <v>64</v>
      </c>
      <c r="G4877" s="32" t="s">
        <v>50</v>
      </c>
      <c r="H4877" s="33">
        <v>101560</v>
      </c>
      <c r="I4877" s="34">
        <f>Table3[[#This Row],[Volume, kg.]]/1000</f>
        <v>101.56</v>
      </c>
      <c r="J4877" s="34">
        <v>0.26829999999999998</v>
      </c>
      <c r="K4877" s="34">
        <f t="shared" si="152"/>
        <v>27248.547999999999</v>
      </c>
      <c r="L4877" s="34">
        <v>2.38</v>
      </c>
      <c r="M4877" s="34">
        <v>242164.5</v>
      </c>
      <c r="N4877" s="34">
        <f t="shared" si="153"/>
        <v>8.8706671636228105</v>
      </c>
    </row>
    <row r="4878" spans="1:14" x14ac:dyDescent="0.45">
      <c r="A4878" s="30">
        <v>2025</v>
      </c>
      <c r="B4878" s="30" t="s">
        <v>9</v>
      </c>
      <c r="C4878" s="30" t="s">
        <v>46</v>
      </c>
      <c r="D4878" s="30" t="s">
        <v>47</v>
      </c>
      <c r="E4878" s="32" t="s">
        <v>584</v>
      </c>
      <c r="F4878" s="32" t="s">
        <v>64</v>
      </c>
      <c r="G4878" s="32" t="s">
        <v>50</v>
      </c>
      <c r="H4878" s="33">
        <v>142950</v>
      </c>
      <c r="I4878" s="34">
        <f>Table3[[#This Row],[Volume, kg.]]/1000</f>
        <v>142.94999999999999</v>
      </c>
      <c r="J4878" s="34">
        <v>0.27300000000000002</v>
      </c>
      <c r="K4878" s="34">
        <f t="shared" si="152"/>
        <v>39025.350000000006</v>
      </c>
      <c r="L4878" s="34">
        <v>2.42</v>
      </c>
      <c r="M4878" s="34">
        <v>346469.5</v>
      </c>
      <c r="N4878" s="34">
        <f t="shared" si="153"/>
        <v>8.8644688644688632</v>
      </c>
    </row>
    <row r="4879" spans="1:14" x14ac:dyDescent="0.45">
      <c r="A4879" s="30">
        <v>2025</v>
      </c>
      <c r="B4879" s="30" t="s">
        <v>9</v>
      </c>
      <c r="C4879" s="30" t="s">
        <v>46</v>
      </c>
      <c r="D4879" s="30" t="s">
        <v>47</v>
      </c>
      <c r="E4879" s="32" t="s">
        <v>267</v>
      </c>
      <c r="F4879" s="32" t="s">
        <v>57</v>
      </c>
      <c r="G4879" s="32" t="s">
        <v>50</v>
      </c>
      <c r="H4879" s="33">
        <v>25780</v>
      </c>
      <c r="I4879" s="34">
        <f>Table3[[#This Row],[Volume, kg.]]/1000</f>
        <v>25.78</v>
      </c>
      <c r="J4879" s="34">
        <v>0.2928</v>
      </c>
      <c r="K4879" s="34">
        <f t="shared" si="152"/>
        <v>7548.384</v>
      </c>
      <c r="L4879" s="34">
        <v>2.52</v>
      </c>
      <c r="M4879" s="34">
        <v>64895.5</v>
      </c>
      <c r="N4879" s="34">
        <f t="shared" si="153"/>
        <v>8.6065573770491799</v>
      </c>
    </row>
    <row r="4880" spans="1:14" x14ac:dyDescent="0.45">
      <c r="A4880" s="30">
        <v>2025</v>
      </c>
      <c r="B4880" s="30" t="s">
        <v>9</v>
      </c>
      <c r="C4880" s="30" t="s">
        <v>46</v>
      </c>
      <c r="D4880" s="30" t="s">
        <v>102</v>
      </c>
      <c r="E4880" s="32" t="s">
        <v>103</v>
      </c>
      <c r="F4880" s="32" t="s">
        <v>104</v>
      </c>
      <c r="G4880" s="32" t="s">
        <v>105</v>
      </c>
      <c r="H4880" s="33">
        <v>644530</v>
      </c>
      <c r="I4880" s="34">
        <f>Table3[[#This Row],[Volume, kg.]]/1000</f>
        <v>644.53</v>
      </c>
      <c r="J4880" s="34">
        <v>0.2722</v>
      </c>
      <c r="K4880" s="34">
        <f t="shared" si="152"/>
        <v>175441.06599999999</v>
      </c>
      <c r="L4880" s="34">
        <v>2.4900000000000002</v>
      </c>
      <c r="M4880" s="34">
        <v>1607486</v>
      </c>
      <c r="N4880" s="34">
        <f t="shared" si="153"/>
        <v>9.1476855253490097</v>
      </c>
    </row>
    <row r="4881" spans="1:14" x14ac:dyDescent="0.45">
      <c r="A4881" s="30">
        <v>2025</v>
      </c>
      <c r="B4881" s="30" t="s">
        <v>9</v>
      </c>
      <c r="C4881" s="30" t="s">
        <v>46</v>
      </c>
      <c r="D4881" s="30" t="s">
        <v>47</v>
      </c>
      <c r="E4881" s="32" t="s">
        <v>203</v>
      </c>
      <c r="F4881" s="32" t="s">
        <v>57</v>
      </c>
      <c r="G4881" s="32" t="s">
        <v>50</v>
      </c>
      <c r="H4881" s="33">
        <v>44690</v>
      </c>
      <c r="I4881" s="34">
        <f>Table3[[#This Row],[Volume, kg.]]/1000</f>
        <v>44.69</v>
      </c>
      <c r="J4881" s="34">
        <v>0.29380000000000001</v>
      </c>
      <c r="K4881" s="34">
        <f t="shared" si="152"/>
        <v>13129.922</v>
      </c>
      <c r="L4881" s="34">
        <v>2.4900000000000002</v>
      </c>
      <c r="M4881" s="34">
        <v>111255</v>
      </c>
      <c r="N4881" s="34">
        <f t="shared" si="153"/>
        <v>8.4751531654186518</v>
      </c>
    </row>
    <row r="4882" spans="1:14" x14ac:dyDescent="0.45">
      <c r="A4882" s="30">
        <v>2025</v>
      </c>
      <c r="B4882" s="30" t="s">
        <v>9</v>
      </c>
      <c r="C4882" s="30" t="s">
        <v>46</v>
      </c>
      <c r="D4882" s="30" t="s">
        <v>47</v>
      </c>
      <c r="E4882" s="32" t="s">
        <v>137</v>
      </c>
      <c r="F4882" s="32" t="s">
        <v>49</v>
      </c>
      <c r="G4882" s="32" t="s">
        <v>50</v>
      </c>
      <c r="H4882" s="33">
        <v>11620</v>
      </c>
      <c r="I4882" s="34">
        <f>Table3[[#This Row],[Volume, kg.]]/1000</f>
        <v>11.62</v>
      </c>
      <c r="J4882" s="34">
        <v>0.28249999999999997</v>
      </c>
      <c r="K4882" s="34">
        <f t="shared" si="152"/>
        <v>3282.6499999999996</v>
      </c>
      <c r="L4882" s="34">
        <v>2.35</v>
      </c>
      <c r="M4882" s="34">
        <v>27307</v>
      </c>
      <c r="N4882" s="34">
        <f t="shared" si="153"/>
        <v>8.3185840707964616</v>
      </c>
    </row>
    <row r="4883" spans="1:14" x14ac:dyDescent="0.45">
      <c r="A4883" s="30">
        <v>2025</v>
      </c>
      <c r="B4883" s="30" t="s">
        <v>9</v>
      </c>
      <c r="C4883" s="30" t="s">
        <v>46</v>
      </c>
      <c r="D4883" s="30" t="s">
        <v>102</v>
      </c>
      <c r="E4883" s="32" t="s">
        <v>691</v>
      </c>
      <c r="F4883" s="32" t="s">
        <v>657</v>
      </c>
      <c r="G4883" s="32" t="s">
        <v>119</v>
      </c>
      <c r="H4883" s="33">
        <v>602810</v>
      </c>
      <c r="I4883" s="34">
        <f>Table3[[#This Row],[Volume, kg.]]/1000</f>
        <v>602.80999999999995</v>
      </c>
      <c r="J4883" s="34">
        <v>0.2868</v>
      </c>
      <c r="K4883" s="34">
        <f t="shared" si="152"/>
        <v>172885.908</v>
      </c>
      <c r="L4883" s="34">
        <v>2.57</v>
      </c>
      <c r="M4883" s="34">
        <v>1550069.5</v>
      </c>
      <c r="N4883" s="34">
        <f t="shared" si="153"/>
        <v>8.9609483960948388</v>
      </c>
    </row>
    <row r="4884" spans="1:14" x14ac:dyDescent="0.45">
      <c r="A4884" s="30">
        <v>2025</v>
      </c>
      <c r="B4884" s="30" t="s">
        <v>9</v>
      </c>
      <c r="C4884" s="30" t="s">
        <v>46</v>
      </c>
      <c r="D4884" s="30" t="s">
        <v>102</v>
      </c>
      <c r="E4884" s="32" t="s">
        <v>126</v>
      </c>
      <c r="F4884" s="32" t="s">
        <v>127</v>
      </c>
      <c r="G4884" s="32" t="s">
        <v>128</v>
      </c>
      <c r="H4884" s="33">
        <v>686330</v>
      </c>
      <c r="I4884" s="34">
        <f>Table3[[#This Row],[Volume, kg.]]/1000</f>
        <v>686.33</v>
      </c>
      <c r="J4884" s="34">
        <v>0.28079999999999999</v>
      </c>
      <c r="K4884" s="34">
        <f t="shared" si="152"/>
        <v>192721.46400000001</v>
      </c>
      <c r="L4884" s="34">
        <v>2.54</v>
      </c>
      <c r="M4884" s="34">
        <v>1742028</v>
      </c>
      <c r="N4884" s="34">
        <f t="shared" si="153"/>
        <v>9.0455840455840466</v>
      </c>
    </row>
    <row r="4885" spans="1:14" x14ac:dyDescent="0.45">
      <c r="A4885" s="30">
        <v>2025</v>
      </c>
      <c r="B4885" s="30" t="s">
        <v>9</v>
      </c>
      <c r="C4885" s="30" t="s">
        <v>46</v>
      </c>
      <c r="D4885" s="30" t="s">
        <v>47</v>
      </c>
      <c r="E4885" s="32" t="s">
        <v>668</v>
      </c>
      <c r="F4885" s="32" t="s">
        <v>60</v>
      </c>
      <c r="G4885" s="32" t="s">
        <v>50</v>
      </c>
      <c r="H4885" s="33">
        <v>5990</v>
      </c>
      <c r="I4885" s="34">
        <f>Table3[[#This Row],[Volume, kg.]]/1000</f>
        <v>5.99</v>
      </c>
      <c r="J4885" s="34">
        <v>0.28100000000000003</v>
      </c>
      <c r="K4885" s="34">
        <f t="shared" si="152"/>
        <v>1683.19</v>
      </c>
      <c r="L4885" s="34">
        <v>2.4500000000000002</v>
      </c>
      <c r="M4885" s="34">
        <v>14675.5</v>
      </c>
      <c r="N4885" s="34">
        <f t="shared" si="153"/>
        <v>8.7188612099644125</v>
      </c>
    </row>
    <row r="4886" spans="1:14" x14ac:dyDescent="0.45">
      <c r="A4886" s="30">
        <v>2025</v>
      </c>
      <c r="B4886" s="30" t="s">
        <v>9</v>
      </c>
      <c r="C4886" s="30" t="s">
        <v>46</v>
      </c>
      <c r="D4886" s="30" t="s">
        <v>47</v>
      </c>
      <c r="E4886" s="32" t="s">
        <v>567</v>
      </c>
      <c r="F4886" s="32" t="s">
        <v>49</v>
      </c>
      <c r="G4886" s="32" t="s">
        <v>50</v>
      </c>
      <c r="H4886" s="33">
        <v>10670</v>
      </c>
      <c r="I4886" s="34">
        <f>Table3[[#This Row],[Volume, kg.]]/1000</f>
        <v>10.67</v>
      </c>
      <c r="J4886" s="34">
        <v>0.315</v>
      </c>
      <c r="K4886" s="34">
        <f t="shared" si="152"/>
        <v>3361.05</v>
      </c>
      <c r="L4886" s="34">
        <v>2.5499999999999998</v>
      </c>
      <c r="M4886" s="34">
        <v>27208.5</v>
      </c>
      <c r="N4886" s="34">
        <f t="shared" si="153"/>
        <v>8.0952380952380949</v>
      </c>
    </row>
    <row r="4887" spans="1:14" x14ac:dyDescent="0.45">
      <c r="A4887" s="30">
        <v>2025</v>
      </c>
      <c r="B4887" s="30" t="s">
        <v>9</v>
      </c>
      <c r="C4887" s="30" t="s">
        <v>46</v>
      </c>
      <c r="D4887" s="30" t="s">
        <v>47</v>
      </c>
      <c r="E4887" s="32" t="s">
        <v>214</v>
      </c>
      <c r="F4887" s="32" t="s">
        <v>64</v>
      </c>
      <c r="G4887" s="32" t="s">
        <v>50</v>
      </c>
      <c r="H4887" s="33">
        <v>126090</v>
      </c>
      <c r="I4887" s="34">
        <f>Table3[[#This Row],[Volume, kg.]]/1000</f>
        <v>126.09</v>
      </c>
      <c r="J4887" s="34">
        <v>0.29410000000000003</v>
      </c>
      <c r="K4887" s="34">
        <f t="shared" si="152"/>
        <v>37083.069000000003</v>
      </c>
      <c r="L4887" s="34">
        <v>2.48</v>
      </c>
      <c r="M4887" s="34">
        <v>313098.5</v>
      </c>
      <c r="N4887" s="34">
        <f t="shared" si="153"/>
        <v>8.4325059503570206</v>
      </c>
    </row>
    <row r="4888" spans="1:14" x14ac:dyDescent="0.45">
      <c r="A4888" s="30">
        <v>2025</v>
      </c>
      <c r="B4888" s="30" t="s">
        <v>9</v>
      </c>
      <c r="C4888" s="30" t="s">
        <v>46</v>
      </c>
      <c r="D4888" s="30" t="s">
        <v>47</v>
      </c>
      <c r="E4888" s="32" t="s">
        <v>221</v>
      </c>
      <c r="F4888" s="32" t="s">
        <v>64</v>
      </c>
      <c r="G4888" s="32" t="s">
        <v>50</v>
      </c>
      <c r="H4888" s="33">
        <v>62690</v>
      </c>
      <c r="I4888" s="34">
        <f>Table3[[#This Row],[Volume, kg.]]/1000</f>
        <v>62.69</v>
      </c>
      <c r="J4888" s="34">
        <v>0.26989999999999997</v>
      </c>
      <c r="K4888" s="34">
        <f t="shared" si="152"/>
        <v>16920.030999999999</v>
      </c>
      <c r="L4888" s="34">
        <v>2.4500000000000002</v>
      </c>
      <c r="M4888" s="34">
        <v>153698.5</v>
      </c>
      <c r="N4888" s="34">
        <f t="shared" si="153"/>
        <v>9.0774360874397946</v>
      </c>
    </row>
    <row r="4889" spans="1:14" x14ac:dyDescent="0.45">
      <c r="A4889" s="30">
        <v>2025</v>
      </c>
      <c r="B4889" s="30" t="s">
        <v>9</v>
      </c>
      <c r="C4889" s="30" t="s">
        <v>46</v>
      </c>
      <c r="D4889" s="30" t="s">
        <v>47</v>
      </c>
      <c r="E4889" s="32" t="s">
        <v>600</v>
      </c>
      <c r="F4889" s="32" t="s">
        <v>64</v>
      </c>
      <c r="G4889" s="32" t="s">
        <v>50</v>
      </c>
      <c r="H4889" s="33">
        <v>21700</v>
      </c>
      <c r="I4889" s="34">
        <f>Table3[[#This Row],[Volume, kg.]]/1000</f>
        <v>21.7</v>
      </c>
      <c r="J4889" s="34">
        <v>0.30130000000000001</v>
      </c>
      <c r="K4889" s="34">
        <f t="shared" si="152"/>
        <v>6538.21</v>
      </c>
      <c r="L4889" s="34">
        <v>2.67</v>
      </c>
      <c r="M4889" s="34">
        <v>58031</v>
      </c>
      <c r="N4889" s="34">
        <f t="shared" si="153"/>
        <v>8.861599734483903</v>
      </c>
    </row>
    <row r="4890" spans="1:14" x14ac:dyDescent="0.45">
      <c r="A4890" s="30">
        <v>2025</v>
      </c>
      <c r="B4890" s="30" t="s">
        <v>9</v>
      </c>
      <c r="C4890" s="30" t="s">
        <v>46</v>
      </c>
      <c r="D4890" s="30" t="s">
        <v>47</v>
      </c>
      <c r="E4890" s="32" t="s">
        <v>216</v>
      </c>
      <c r="F4890" s="32" t="s">
        <v>64</v>
      </c>
      <c r="G4890" s="32" t="s">
        <v>50</v>
      </c>
      <c r="H4890" s="33">
        <v>218060</v>
      </c>
      <c r="I4890" s="34">
        <f>Table3[[#This Row],[Volume, kg.]]/1000</f>
        <v>218.06</v>
      </c>
      <c r="J4890" s="34">
        <v>0.29880000000000001</v>
      </c>
      <c r="K4890" s="34">
        <f t="shared" si="152"/>
        <v>65156.328000000001</v>
      </c>
      <c r="L4890" s="34">
        <v>2.62</v>
      </c>
      <c r="M4890" s="34">
        <v>570589.5</v>
      </c>
      <c r="N4890" s="34">
        <f t="shared" si="153"/>
        <v>8.7684069611780462</v>
      </c>
    </row>
    <row r="4891" spans="1:14" x14ac:dyDescent="0.45">
      <c r="A4891" s="30">
        <v>2025</v>
      </c>
      <c r="B4891" s="30" t="s">
        <v>9</v>
      </c>
      <c r="C4891" s="30" t="s">
        <v>46</v>
      </c>
      <c r="D4891" s="30" t="s">
        <v>47</v>
      </c>
      <c r="E4891" s="32" t="s">
        <v>601</v>
      </c>
      <c r="F4891" s="32" t="s">
        <v>60</v>
      </c>
      <c r="G4891" s="32" t="s">
        <v>50</v>
      </c>
      <c r="H4891" s="33">
        <v>103920</v>
      </c>
      <c r="I4891" s="34">
        <f>Table3[[#This Row],[Volume, kg.]]/1000</f>
        <v>103.92</v>
      </c>
      <c r="J4891" s="34">
        <v>0.28050000000000003</v>
      </c>
      <c r="K4891" s="34">
        <f t="shared" si="152"/>
        <v>29149.56</v>
      </c>
      <c r="L4891" s="34">
        <v>2.4300000000000002</v>
      </c>
      <c r="M4891" s="34">
        <v>253039</v>
      </c>
      <c r="N4891" s="34">
        <f t="shared" si="153"/>
        <v>8.663101604278074</v>
      </c>
    </row>
    <row r="4892" spans="1:14" x14ac:dyDescent="0.45">
      <c r="A4892" s="30">
        <v>2025</v>
      </c>
      <c r="B4892" s="30" t="s">
        <v>9</v>
      </c>
      <c r="C4892" s="30" t="s">
        <v>46</v>
      </c>
      <c r="D4892" s="30" t="s">
        <v>47</v>
      </c>
      <c r="E4892" s="32" t="s">
        <v>477</v>
      </c>
      <c r="F4892" s="32" t="s">
        <v>54</v>
      </c>
      <c r="G4892" s="32" t="s">
        <v>50</v>
      </c>
      <c r="H4892" s="33">
        <v>22190</v>
      </c>
      <c r="I4892" s="34">
        <f>Table3[[#This Row],[Volume, kg.]]/1000</f>
        <v>22.19</v>
      </c>
      <c r="J4892" s="34">
        <v>0.26640000000000003</v>
      </c>
      <c r="K4892" s="34">
        <f t="shared" si="152"/>
        <v>5911.4160000000002</v>
      </c>
      <c r="L4892" s="34">
        <v>2.29</v>
      </c>
      <c r="M4892" s="34">
        <v>50830.5</v>
      </c>
      <c r="N4892" s="34">
        <f t="shared" si="153"/>
        <v>8.5960960960960957</v>
      </c>
    </row>
    <row r="4893" spans="1:14" x14ac:dyDescent="0.45">
      <c r="A4893" s="30">
        <v>2025</v>
      </c>
      <c r="B4893" s="30" t="s">
        <v>9</v>
      </c>
      <c r="C4893" s="30" t="s">
        <v>46</v>
      </c>
      <c r="D4893" s="30" t="s">
        <v>47</v>
      </c>
      <c r="E4893" s="32" t="s">
        <v>204</v>
      </c>
      <c r="F4893" s="32" t="s">
        <v>49</v>
      </c>
      <c r="G4893" s="32" t="s">
        <v>50</v>
      </c>
      <c r="H4893" s="33">
        <v>28440</v>
      </c>
      <c r="I4893" s="34">
        <f>Table3[[#This Row],[Volume, kg.]]/1000</f>
        <v>28.44</v>
      </c>
      <c r="J4893" s="34">
        <v>0.31900000000000001</v>
      </c>
      <c r="K4893" s="34">
        <f t="shared" si="152"/>
        <v>9072.36</v>
      </c>
      <c r="L4893" s="34">
        <v>2.5499999999999998</v>
      </c>
      <c r="M4893" s="34">
        <v>72522</v>
      </c>
      <c r="N4893" s="34">
        <f t="shared" si="153"/>
        <v>7.9937304075235103</v>
      </c>
    </row>
    <row r="4894" spans="1:14" x14ac:dyDescent="0.45">
      <c r="A4894" s="30">
        <v>2025</v>
      </c>
      <c r="B4894" s="30" t="s">
        <v>9</v>
      </c>
      <c r="C4894" s="30" t="s">
        <v>46</v>
      </c>
      <c r="D4894" s="30" t="s">
        <v>47</v>
      </c>
      <c r="E4894" s="32" t="s">
        <v>154</v>
      </c>
      <c r="F4894" s="32" t="s">
        <v>60</v>
      </c>
      <c r="G4894" s="32" t="s">
        <v>50</v>
      </c>
      <c r="H4894" s="33">
        <v>8660</v>
      </c>
      <c r="I4894" s="34">
        <f>Table3[[#This Row],[Volume, kg.]]/1000</f>
        <v>8.66</v>
      </c>
      <c r="J4894" s="34">
        <v>0.27949999999999997</v>
      </c>
      <c r="K4894" s="34">
        <f t="shared" si="152"/>
        <v>2420.4699999999998</v>
      </c>
      <c r="L4894" s="34">
        <v>2.5499999999999998</v>
      </c>
      <c r="M4894" s="34">
        <v>22083</v>
      </c>
      <c r="N4894" s="34">
        <f t="shared" si="153"/>
        <v>9.1234347048300535</v>
      </c>
    </row>
    <row r="4895" spans="1:14" x14ac:dyDescent="0.45">
      <c r="A4895" s="30">
        <v>2025</v>
      </c>
      <c r="B4895" s="30" t="s">
        <v>9</v>
      </c>
      <c r="C4895" s="30" t="s">
        <v>46</v>
      </c>
      <c r="D4895" s="30" t="s">
        <v>47</v>
      </c>
      <c r="E4895" s="32" t="s">
        <v>211</v>
      </c>
      <c r="F4895" s="32" t="s">
        <v>57</v>
      </c>
      <c r="G4895" s="32" t="s">
        <v>50</v>
      </c>
      <c r="H4895" s="33">
        <v>36940</v>
      </c>
      <c r="I4895" s="34">
        <f>Table3[[#This Row],[Volume, kg.]]/1000</f>
        <v>36.94</v>
      </c>
      <c r="J4895" s="34">
        <v>0.33049999999999996</v>
      </c>
      <c r="K4895" s="34">
        <f t="shared" si="152"/>
        <v>12208.669999999998</v>
      </c>
      <c r="L4895" s="34">
        <v>2.74</v>
      </c>
      <c r="M4895" s="34">
        <v>101394</v>
      </c>
      <c r="N4895" s="34">
        <f t="shared" si="153"/>
        <v>8.2904689863842673</v>
      </c>
    </row>
    <row r="4896" spans="1:14" x14ac:dyDescent="0.45">
      <c r="A4896" s="30">
        <v>2025</v>
      </c>
      <c r="B4896" s="30" t="s">
        <v>9</v>
      </c>
      <c r="C4896" s="30" t="s">
        <v>46</v>
      </c>
      <c r="D4896" s="30" t="s">
        <v>47</v>
      </c>
      <c r="E4896" s="32" t="s">
        <v>224</v>
      </c>
      <c r="F4896" s="32" t="s">
        <v>57</v>
      </c>
      <c r="G4896" s="32" t="s">
        <v>50</v>
      </c>
      <c r="H4896" s="33">
        <v>8430</v>
      </c>
      <c r="I4896" s="34">
        <f>Table3[[#This Row],[Volume, kg.]]/1000</f>
        <v>8.43</v>
      </c>
      <c r="J4896" s="34">
        <v>0.30730000000000002</v>
      </c>
      <c r="K4896" s="34">
        <f t="shared" si="152"/>
        <v>2590.5390000000002</v>
      </c>
      <c r="L4896" s="34">
        <v>2.7</v>
      </c>
      <c r="M4896" s="34">
        <v>22761</v>
      </c>
      <c r="N4896" s="34">
        <f t="shared" si="153"/>
        <v>8.7862024080702898</v>
      </c>
    </row>
    <row r="4897" spans="1:14" x14ac:dyDescent="0.45">
      <c r="A4897" s="30">
        <v>2025</v>
      </c>
      <c r="B4897" s="30" t="s">
        <v>9</v>
      </c>
      <c r="C4897" s="30" t="s">
        <v>46</v>
      </c>
      <c r="D4897" s="30" t="s">
        <v>47</v>
      </c>
      <c r="E4897" s="32" t="s">
        <v>75</v>
      </c>
      <c r="F4897" s="32" t="s">
        <v>49</v>
      </c>
      <c r="G4897" s="32" t="s">
        <v>50</v>
      </c>
      <c r="H4897" s="33">
        <v>25370</v>
      </c>
      <c r="I4897" s="34">
        <f>Table3[[#This Row],[Volume, kg.]]/1000</f>
        <v>25.37</v>
      </c>
      <c r="J4897" s="34">
        <v>0.2928</v>
      </c>
      <c r="K4897" s="34">
        <f t="shared" si="152"/>
        <v>7428.3360000000002</v>
      </c>
      <c r="L4897" s="34">
        <v>2.6</v>
      </c>
      <c r="M4897" s="34">
        <v>66085.5</v>
      </c>
      <c r="N4897" s="34">
        <f t="shared" si="153"/>
        <v>8.8797814207650276</v>
      </c>
    </row>
    <row r="4898" spans="1:14" x14ac:dyDescent="0.45">
      <c r="A4898" s="30">
        <v>2025</v>
      </c>
      <c r="B4898" s="30" t="s">
        <v>9</v>
      </c>
      <c r="C4898" s="30" t="s">
        <v>46</v>
      </c>
      <c r="D4898" s="30" t="s">
        <v>47</v>
      </c>
      <c r="E4898" s="32" t="s">
        <v>97</v>
      </c>
      <c r="F4898" s="32" t="s">
        <v>49</v>
      </c>
      <c r="G4898" s="32" t="s">
        <v>50</v>
      </c>
      <c r="H4898" s="33">
        <v>43610</v>
      </c>
      <c r="I4898" s="34">
        <f>Table3[[#This Row],[Volume, kg.]]/1000</f>
        <v>43.61</v>
      </c>
      <c r="J4898" s="34">
        <v>0.30769999999999997</v>
      </c>
      <c r="K4898" s="34">
        <f t="shared" si="152"/>
        <v>13418.796999999999</v>
      </c>
      <c r="L4898" s="34">
        <v>2.48</v>
      </c>
      <c r="M4898" s="34">
        <v>108150.5</v>
      </c>
      <c r="N4898" s="34">
        <f t="shared" si="153"/>
        <v>8.0597985050373744</v>
      </c>
    </row>
    <row r="4899" spans="1:14" x14ac:dyDescent="0.45">
      <c r="A4899" s="30">
        <v>2025</v>
      </c>
      <c r="B4899" s="30" t="s">
        <v>9</v>
      </c>
      <c r="C4899" s="30" t="s">
        <v>46</v>
      </c>
      <c r="D4899" s="30" t="s">
        <v>47</v>
      </c>
      <c r="E4899" s="32" t="s">
        <v>355</v>
      </c>
      <c r="F4899" s="32" t="s">
        <v>60</v>
      </c>
      <c r="G4899" s="32" t="s">
        <v>50</v>
      </c>
      <c r="H4899" s="33">
        <v>69740</v>
      </c>
      <c r="I4899" s="34">
        <f>Table3[[#This Row],[Volume, kg.]]/1000</f>
        <v>69.739999999999995</v>
      </c>
      <c r="J4899" s="34">
        <v>0.29089999999999999</v>
      </c>
      <c r="K4899" s="34">
        <f t="shared" si="152"/>
        <v>20287.365999999998</v>
      </c>
      <c r="L4899" s="34">
        <v>2.4300000000000002</v>
      </c>
      <c r="M4899" s="34">
        <v>169127</v>
      </c>
      <c r="N4899" s="34">
        <f t="shared" si="153"/>
        <v>8.3533860433138543</v>
      </c>
    </row>
    <row r="4900" spans="1:14" x14ac:dyDescent="0.45">
      <c r="A4900" s="30">
        <v>2025</v>
      </c>
      <c r="B4900" s="30" t="s">
        <v>9</v>
      </c>
      <c r="C4900" s="30" t="s">
        <v>46</v>
      </c>
      <c r="D4900" s="30" t="s">
        <v>47</v>
      </c>
      <c r="E4900" s="32" t="s">
        <v>305</v>
      </c>
      <c r="F4900" s="32" t="s">
        <v>64</v>
      </c>
      <c r="G4900" s="32" t="s">
        <v>50</v>
      </c>
      <c r="H4900" s="33">
        <v>48590</v>
      </c>
      <c r="I4900" s="34">
        <f>Table3[[#This Row],[Volume, kg.]]/1000</f>
        <v>48.59</v>
      </c>
      <c r="J4900" s="34">
        <v>0.2979</v>
      </c>
      <c r="K4900" s="34">
        <f t="shared" si="152"/>
        <v>14474.960999999999</v>
      </c>
      <c r="L4900" s="34">
        <v>2.58</v>
      </c>
      <c r="M4900" s="34">
        <v>125604.5</v>
      </c>
      <c r="N4900" s="34">
        <f t="shared" si="153"/>
        <v>8.6606243705941601</v>
      </c>
    </row>
    <row r="4901" spans="1:14" x14ac:dyDescent="0.45">
      <c r="A4901" s="30">
        <v>2025</v>
      </c>
      <c r="B4901" s="30" t="s">
        <v>9</v>
      </c>
      <c r="C4901" s="30" t="s">
        <v>46</v>
      </c>
      <c r="D4901" s="30" t="s">
        <v>47</v>
      </c>
      <c r="E4901" s="32" t="s">
        <v>273</v>
      </c>
      <c r="F4901" s="32" t="s">
        <v>49</v>
      </c>
      <c r="G4901" s="32" t="s">
        <v>50</v>
      </c>
      <c r="H4901" s="33">
        <v>16100</v>
      </c>
      <c r="I4901" s="34">
        <f>Table3[[#This Row],[Volume, kg.]]/1000</f>
        <v>16.100000000000001</v>
      </c>
      <c r="J4901" s="34">
        <v>0.30309999999999998</v>
      </c>
      <c r="K4901" s="34">
        <f t="shared" si="152"/>
        <v>4879.91</v>
      </c>
      <c r="L4901" s="34">
        <v>2.61</v>
      </c>
      <c r="M4901" s="34">
        <v>42066.5</v>
      </c>
      <c r="N4901" s="34">
        <f t="shared" si="153"/>
        <v>8.6110194655229293</v>
      </c>
    </row>
    <row r="4902" spans="1:14" x14ac:dyDescent="0.45">
      <c r="A4902" s="30">
        <v>2025</v>
      </c>
      <c r="B4902" s="30" t="s">
        <v>9</v>
      </c>
      <c r="C4902" s="30" t="s">
        <v>46</v>
      </c>
      <c r="D4902" s="30" t="s">
        <v>47</v>
      </c>
      <c r="E4902" s="32" t="s">
        <v>96</v>
      </c>
      <c r="F4902" s="32" t="s">
        <v>49</v>
      </c>
      <c r="G4902" s="32" t="s">
        <v>50</v>
      </c>
      <c r="H4902" s="33">
        <v>23880</v>
      </c>
      <c r="I4902" s="34">
        <f>Table3[[#This Row],[Volume, kg.]]/1000</f>
        <v>23.88</v>
      </c>
      <c r="J4902" s="34">
        <v>0.30570000000000003</v>
      </c>
      <c r="K4902" s="34">
        <f t="shared" si="152"/>
        <v>7300.1160000000009</v>
      </c>
      <c r="L4902" s="34">
        <v>2.5099999999999998</v>
      </c>
      <c r="M4902" s="34">
        <v>59851</v>
      </c>
      <c r="N4902" s="34">
        <f t="shared" si="153"/>
        <v>8.2106640497219487</v>
      </c>
    </row>
    <row r="4903" spans="1:14" x14ac:dyDescent="0.45">
      <c r="A4903" s="30">
        <v>2025</v>
      </c>
      <c r="B4903" s="30" t="s">
        <v>9</v>
      </c>
      <c r="C4903" s="30" t="s">
        <v>46</v>
      </c>
      <c r="D4903" s="30" t="s">
        <v>102</v>
      </c>
      <c r="E4903" s="32" t="s">
        <v>710</v>
      </c>
      <c r="F4903" s="32" t="s">
        <v>189</v>
      </c>
      <c r="G4903" s="32" t="s">
        <v>128</v>
      </c>
      <c r="H4903" s="33">
        <v>310950</v>
      </c>
      <c r="I4903" s="34">
        <f>Table3[[#This Row],[Volume, kg.]]/1000</f>
        <v>310.95</v>
      </c>
      <c r="J4903" s="34">
        <v>0.28439999999999999</v>
      </c>
      <c r="K4903" s="34">
        <f t="shared" si="152"/>
        <v>88434.18</v>
      </c>
      <c r="L4903" s="34">
        <v>2.5499999999999998</v>
      </c>
      <c r="M4903" s="34">
        <v>793878.5</v>
      </c>
      <c r="N4903" s="34">
        <f t="shared" si="153"/>
        <v>8.966244725738397</v>
      </c>
    </row>
    <row r="4904" spans="1:14" x14ac:dyDescent="0.45">
      <c r="A4904" s="30">
        <v>2025</v>
      </c>
      <c r="B4904" s="30" t="s">
        <v>9</v>
      </c>
      <c r="C4904" s="30" t="s">
        <v>46</v>
      </c>
      <c r="D4904" s="30" t="s">
        <v>47</v>
      </c>
      <c r="E4904" s="32" t="s">
        <v>87</v>
      </c>
      <c r="F4904" s="32" t="s">
        <v>49</v>
      </c>
      <c r="G4904" s="32" t="s">
        <v>50</v>
      </c>
      <c r="H4904" s="33">
        <v>10750</v>
      </c>
      <c r="I4904" s="34">
        <f>Table3[[#This Row],[Volume, kg.]]/1000</f>
        <v>10.75</v>
      </c>
      <c r="J4904" s="34">
        <v>0.31090000000000001</v>
      </c>
      <c r="K4904" s="34">
        <f t="shared" si="152"/>
        <v>3342.1750000000002</v>
      </c>
      <c r="L4904" s="34">
        <v>2.52</v>
      </c>
      <c r="M4904" s="34">
        <v>27109.5</v>
      </c>
      <c r="N4904" s="34">
        <f t="shared" si="153"/>
        <v>8.1055001608234161</v>
      </c>
    </row>
    <row r="4905" spans="1:14" x14ac:dyDescent="0.45">
      <c r="A4905" s="30">
        <v>2025</v>
      </c>
      <c r="B4905" s="30" t="s">
        <v>9</v>
      </c>
      <c r="C4905" s="30" t="s">
        <v>46</v>
      </c>
      <c r="D4905" s="30" t="s">
        <v>47</v>
      </c>
      <c r="E4905" s="32" t="s">
        <v>285</v>
      </c>
      <c r="F4905" s="32" t="s">
        <v>49</v>
      </c>
      <c r="G4905" s="32" t="s">
        <v>50</v>
      </c>
      <c r="H4905" s="33">
        <v>11350</v>
      </c>
      <c r="I4905" s="34">
        <f>Table3[[#This Row],[Volume, kg.]]/1000</f>
        <v>11.35</v>
      </c>
      <c r="J4905" s="34">
        <v>0.24050000000000002</v>
      </c>
      <c r="K4905" s="34">
        <f t="shared" si="152"/>
        <v>2729.6750000000002</v>
      </c>
      <c r="L4905" s="34">
        <v>2.15</v>
      </c>
      <c r="M4905" s="34">
        <v>24402.5</v>
      </c>
      <c r="N4905" s="34">
        <f t="shared" si="153"/>
        <v>8.9397089397089378</v>
      </c>
    </row>
    <row r="4906" spans="1:14" x14ac:dyDescent="0.45">
      <c r="A4906" s="30">
        <v>2025</v>
      </c>
      <c r="B4906" s="30" t="s">
        <v>9</v>
      </c>
      <c r="C4906" s="30" t="s">
        <v>46</v>
      </c>
      <c r="D4906" s="30" t="s">
        <v>47</v>
      </c>
      <c r="E4906" s="32" t="s">
        <v>227</v>
      </c>
      <c r="F4906" s="32" t="s">
        <v>57</v>
      </c>
      <c r="G4906" s="32" t="s">
        <v>50</v>
      </c>
      <c r="H4906" s="33">
        <v>19480</v>
      </c>
      <c r="I4906" s="34">
        <f>Table3[[#This Row],[Volume, kg.]]/1000</f>
        <v>19.48</v>
      </c>
      <c r="J4906" s="34">
        <v>0.29730000000000001</v>
      </c>
      <c r="K4906" s="34">
        <f t="shared" si="152"/>
        <v>5791.4040000000005</v>
      </c>
      <c r="L4906" s="34">
        <v>2.4300000000000002</v>
      </c>
      <c r="M4906" s="34">
        <v>47379</v>
      </c>
      <c r="N4906" s="34">
        <f t="shared" si="153"/>
        <v>8.1735620585267412</v>
      </c>
    </row>
    <row r="4907" spans="1:14" x14ac:dyDescent="0.45">
      <c r="A4907" s="30">
        <v>2025</v>
      </c>
      <c r="B4907" s="30" t="s">
        <v>9</v>
      </c>
      <c r="C4907" s="30" t="s">
        <v>46</v>
      </c>
      <c r="D4907" s="30" t="s">
        <v>47</v>
      </c>
      <c r="E4907" s="32" t="s">
        <v>159</v>
      </c>
      <c r="F4907" s="32" t="s">
        <v>81</v>
      </c>
      <c r="G4907" s="32" t="s">
        <v>50</v>
      </c>
      <c r="H4907" s="33">
        <v>117320</v>
      </c>
      <c r="I4907" s="34">
        <f>Table3[[#This Row],[Volume, kg.]]/1000</f>
        <v>117.32</v>
      </c>
      <c r="J4907" s="34">
        <v>0.28720000000000001</v>
      </c>
      <c r="K4907" s="34">
        <f t="shared" si="152"/>
        <v>33694.304000000004</v>
      </c>
      <c r="L4907" s="34">
        <v>2.4700000000000002</v>
      </c>
      <c r="M4907" s="34">
        <v>289287</v>
      </c>
      <c r="N4907" s="34">
        <f t="shared" si="153"/>
        <v>8.6002785515320337</v>
      </c>
    </row>
    <row r="4908" spans="1:14" x14ac:dyDescent="0.45">
      <c r="A4908" s="30">
        <v>2025</v>
      </c>
      <c r="B4908" s="30" t="s">
        <v>9</v>
      </c>
      <c r="C4908" s="30" t="s">
        <v>46</v>
      </c>
      <c r="D4908" s="30" t="s">
        <v>47</v>
      </c>
      <c r="E4908" s="32" t="s">
        <v>562</v>
      </c>
      <c r="F4908" s="32" t="s">
        <v>64</v>
      </c>
      <c r="G4908" s="32" t="s">
        <v>50</v>
      </c>
      <c r="H4908" s="33">
        <v>98680</v>
      </c>
      <c r="I4908" s="34">
        <f>Table3[[#This Row],[Volume, kg.]]/1000</f>
        <v>98.68</v>
      </c>
      <c r="J4908" s="34">
        <v>0.27929999999999999</v>
      </c>
      <c r="K4908" s="34">
        <f t="shared" si="152"/>
        <v>27561.324000000001</v>
      </c>
      <c r="L4908" s="34">
        <v>2.4700000000000002</v>
      </c>
      <c r="M4908" s="34">
        <v>243954.5</v>
      </c>
      <c r="N4908" s="34">
        <f t="shared" si="153"/>
        <v>8.8435374149659864</v>
      </c>
    </row>
    <row r="4909" spans="1:14" x14ac:dyDescent="0.45">
      <c r="A4909" s="30">
        <v>2025</v>
      </c>
      <c r="B4909" s="30" t="s">
        <v>9</v>
      </c>
      <c r="C4909" s="30" t="s">
        <v>46</v>
      </c>
      <c r="D4909" s="30" t="s">
        <v>47</v>
      </c>
      <c r="E4909" s="32" t="s">
        <v>228</v>
      </c>
      <c r="F4909" s="32" t="s">
        <v>64</v>
      </c>
      <c r="G4909" s="32" t="s">
        <v>50</v>
      </c>
      <c r="H4909" s="33">
        <v>40910</v>
      </c>
      <c r="I4909" s="34">
        <f>Table3[[#This Row],[Volume, kg.]]/1000</f>
        <v>40.909999999999997</v>
      </c>
      <c r="J4909" s="34">
        <v>0.25840000000000002</v>
      </c>
      <c r="K4909" s="34">
        <f t="shared" si="152"/>
        <v>10571.144</v>
      </c>
      <c r="L4909" s="34">
        <v>2.2999999999999998</v>
      </c>
      <c r="M4909" s="34">
        <v>94187.5</v>
      </c>
      <c r="N4909" s="34">
        <f t="shared" si="153"/>
        <v>8.9009287925696583</v>
      </c>
    </row>
    <row r="4910" spans="1:14" x14ac:dyDescent="0.45">
      <c r="A4910" s="30">
        <v>2025</v>
      </c>
      <c r="B4910" s="30" t="s">
        <v>9</v>
      </c>
      <c r="C4910" s="30" t="s">
        <v>46</v>
      </c>
      <c r="D4910" s="30" t="s">
        <v>47</v>
      </c>
      <c r="E4910" s="32" t="s">
        <v>101</v>
      </c>
      <c r="F4910" s="32" t="s">
        <v>64</v>
      </c>
      <c r="G4910" s="32" t="s">
        <v>50</v>
      </c>
      <c r="H4910" s="33">
        <v>133790</v>
      </c>
      <c r="I4910" s="34">
        <f>Table3[[#This Row],[Volume, kg.]]/1000</f>
        <v>133.79</v>
      </c>
      <c r="J4910" s="34">
        <v>0.27839999999999998</v>
      </c>
      <c r="K4910" s="34">
        <f t="shared" si="152"/>
        <v>37247.135999999999</v>
      </c>
      <c r="L4910" s="34">
        <v>2.4700000000000002</v>
      </c>
      <c r="M4910" s="34">
        <v>330271</v>
      </c>
      <c r="N4910" s="34">
        <f t="shared" si="153"/>
        <v>8.8721264367816097</v>
      </c>
    </row>
    <row r="4911" spans="1:14" x14ac:dyDescent="0.45">
      <c r="A4911" s="30">
        <v>2025</v>
      </c>
      <c r="B4911" s="30" t="s">
        <v>9</v>
      </c>
      <c r="C4911" s="30" t="s">
        <v>46</v>
      </c>
      <c r="D4911" s="30" t="s">
        <v>47</v>
      </c>
      <c r="E4911" s="32" t="s">
        <v>146</v>
      </c>
      <c r="F4911" s="32" t="s">
        <v>64</v>
      </c>
      <c r="G4911" s="32" t="s">
        <v>50</v>
      </c>
      <c r="H4911" s="33">
        <v>118080</v>
      </c>
      <c r="I4911" s="34">
        <f>Table3[[#This Row],[Volume, kg.]]/1000</f>
        <v>118.08</v>
      </c>
      <c r="J4911" s="34">
        <v>0.27979999999999999</v>
      </c>
      <c r="K4911" s="34">
        <f t="shared" si="152"/>
        <v>33038.784</v>
      </c>
      <c r="L4911" s="34">
        <v>2.41</v>
      </c>
      <c r="M4911" s="34">
        <v>284466</v>
      </c>
      <c r="N4911" s="34">
        <f t="shared" si="153"/>
        <v>8.613295210864905</v>
      </c>
    </row>
    <row r="4912" spans="1:14" x14ac:dyDescent="0.45">
      <c r="A4912" s="30">
        <v>2025</v>
      </c>
      <c r="B4912" s="30" t="s">
        <v>9</v>
      </c>
      <c r="C4912" s="30" t="s">
        <v>46</v>
      </c>
      <c r="D4912" s="30" t="s">
        <v>47</v>
      </c>
      <c r="E4912" s="32" t="s">
        <v>510</v>
      </c>
      <c r="F4912" s="32" t="s">
        <v>49</v>
      </c>
      <c r="G4912" s="32" t="s">
        <v>50</v>
      </c>
      <c r="H4912" s="33">
        <v>17520</v>
      </c>
      <c r="I4912" s="34">
        <f>Table3[[#This Row],[Volume, kg.]]/1000</f>
        <v>17.52</v>
      </c>
      <c r="J4912" s="34">
        <v>0.31340000000000001</v>
      </c>
      <c r="K4912" s="34">
        <f t="shared" si="152"/>
        <v>5490.768</v>
      </c>
      <c r="L4912" s="34">
        <v>2.52</v>
      </c>
      <c r="M4912" s="34">
        <v>44113.5</v>
      </c>
      <c r="N4912" s="34">
        <f t="shared" si="153"/>
        <v>8.0408423739629864</v>
      </c>
    </row>
    <row r="4913" spans="1:14" x14ac:dyDescent="0.45">
      <c r="A4913" s="30">
        <v>2025</v>
      </c>
      <c r="B4913" s="30" t="s">
        <v>9</v>
      </c>
      <c r="C4913" s="30" t="s">
        <v>46</v>
      </c>
      <c r="D4913" s="30" t="s">
        <v>47</v>
      </c>
      <c r="E4913" s="32" t="s">
        <v>136</v>
      </c>
      <c r="F4913" s="32" t="s">
        <v>49</v>
      </c>
      <c r="G4913" s="32" t="s">
        <v>50</v>
      </c>
      <c r="H4913" s="33">
        <v>7040</v>
      </c>
      <c r="I4913" s="34">
        <f>Table3[[#This Row],[Volume, kg.]]/1000</f>
        <v>7.04</v>
      </c>
      <c r="J4913" s="34">
        <v>0.2525</v>
      </c>
      <c r="K4913" s="34">
        <f t="shared" si="152"/>
        <v>1777.6</v>
      </c>
      <c r="L4913" s="34">
        <v>2.35</v>
      </c>
      <c r="M4913" s="34">
        <v>16544</v>
      </c>
      <c r="N4913" s="34">
        <f t="shared" si="153"/>
        <v>9.3069306930693063</v>
      </c>
    </row>
    <row r="4914" spans="1:14" x14ac:dyDescent="0.45">
      <c r="A4914" s="30">
        <v>2025</v>
      </c>
      <c r="B4914" s="30" t="s">
        <v>9</v>
      </c>
      <c r="C4914" s="30" t="s">
        <v>46</v>
      </c>
      <c r="D4914" s="30" t="s">
        <v>47</v>
      </c>
      <c r="E4914" s="32" t="s">
        <v>575</v>
      </c>
      <c r="F4914" s="32" t="s">
        <v>64</v>
      </c>
      <c r="G4914" s="32" t="s">
        <v>50</v>
      </c>
      <c r="H4914" s="33">
        <v>9480</v>
      </c>
      <c r="I4914" s="34">
        <f>Table3[[#This Row],[Volume, kg.]]/1000</f>
        <v>9.48</v>
      </c>
      <c r="J4914" s="34">
        <v>0.29199999999999998</v>
      </c>
      <c r="K4914" s="34">
        <f t="shared" si="152"/>
        <v>2768.16</v>
      </c>
      <c r="L4914" s="34">
        <v>2.6</v>
      </c>
      <c r="M4914" s="34">
        <v>24648</v>
      </c>
      <c r="N4914" s="34">
        <f t="shared" si="153"/>
        <v>8.9041095890410968</v>
      </c>
    </row>
    <row r="4915" spans="1:14" x14ac:dyDescent="0.45">
      <c r="A4915" s="30">
        <v>2025</v>
      </c>
      <c r="B4915" s="30" t="s">
        <v>9</v>
      </c>
      <c r="C4915" s="30" t="s">
        <v>46</v>
      </c>
      <c r="D4915" s="30" t="s">
        <v>47</v>
      </c>
      <c r="E4915" s="32" t="s">
        <v>457</v>
      </c>
      <c r="F4915" s="32" t="s">
        <v>49</v>
      </c>
      <c r="G4915" s="32" t="s">
        <v>50</v>
      </c>
      <c r="H4915" s="33">
        <v>8250</v>
      </c>
      <c r="I4915" s="34">
        <f>Table3[[#This Row],[Volume, kg.]]/1000</f>
        <v>8.25</v>
      </c>
      <c r="J4915" s="34">
        <v>0.28760000000000002</v>
      </c>
      <c r="K4915" s="34">
        <f t="shared" si="152"/>
        <v>2372.7000000000003</v>
      </c>
      <c r="L4915" s="34">
        <v>2.37</v>
      </c>
      <c r="M4915" s="34">
        <v>19583</v>
      </c>
      <c r="N4915" s="34">
        <f t="shared" si="153"/>
        <v>8.2406119610570236</v>
      </c>
    </row>
    <row r="4916" spans="1:14" x14ac:dyDescent="0.45">
      <c r="A4916" s="30">
        <v>2025</v>
      </c>
      <c r="B4916" s="30" t="s">
        <v>9</v>
      </c>
      <c r="C4916" s="30" t="s">
        <v>46</v>
      </c>
      <c r="D4916" s="30" t="s">
        <v>47</v>
      </c>
      <c r="E4916" s="32" t="s">
        <v>53</v>
      </c>
      <c r="F4916" s="32" t="s">
        <v>54</v>
      </c>
      <c r="G4916" s="32" t="s">
        <v>50</v>
      </c>
      <c r="H4916" s="33">
        <v>55710</v>
      </c>
      <c r="I4916" s="34">
        <f>Table3[[#This Row],[Volume, kg.]]/1000</f>
        <v>55.71</v>
      </c>
      <c r="J4916" s="34">
        <v>0.30109999999999998</v>
      </c>
      <c r="K4916" s="34">
        <f t="shared" si="152"/>
        <v>16774.280999999999</v>
      </c>
      <c r="L4916" s="34">
        <v>2.46</v>
      </c>
      <c r="M4916" s="34">
        <v>137156</v>
      </c>
      <c r="N4916" s="34">
        <f t="shared" si="153"/>
        <v>8.1700431750249098</v>
      </c>
    </row>
    <row r="4917" spans="1:14" x14ac:dyDescent="0.45">
      <c r="A4917" s="30">
        <v>2025</v>
      </c>
      <c r="B4917" s="30" t="s">
        <v>9</v>
      </c>
      <c r="C4917" s="30" t="s">
        <v>46</v>
      </c>
      <c r="D4917" s="30" t="s">
        <v>47</v>
      </c>
      <c r="E4917" s="32" t="s">
        <v>151</v>
      </c>
      <c r="F4917" s="32" t="s">
        <v>60</v>
      </c>
      <c r="G4917" s="32" t="s">
        <v>50</v>
      </c>
      <c r="H4917" s="33">
        <v>66930</v>
      </c>
      <c r="I4917" s="34">
        <f>Table3[[#This Row],[Volume, kg.]]/1000</f>
        <v>66.930000000000007</v>
      </c>
      <c r="J4917" s="34">
        <v>0.29520000000000002</v>
      </c>
      <c r="K4917" s="34">
        <f t="shared" si="152"/>
        <v>19757.736000000001</v>
      </c>
      <c r="L4917" s="34">
        <v>2.5099999999999998</v>
      </c>
      <c r="M4917" s="34">
        <v>168246.5</v>
      </c>
      <c r="N4917" s="34">
        <f t="shared" si="153"/>
        <v>8.5027100271002691</v>
      </c>
    </row>
    <row r="4918" spans="1:14" x14ac:dyDescent="0.45">
      <c r="A4918" s="30">
        <v>2025</v>
      </c>
      <c r="B4918" s="30" t="s">
        <v>9</v>
      </c>
      <c r="C4918" s="30" t="s">
        <v>46</v>
      </c>
      <c r="D4918" s="30" t="s">
        <v>47</v>
      </c>
      <c r="E4918" s="32" t="s">
        <v>130</v>
      </c>
      <c r="F4918" s="32" t="s">
        <v>64</v>
      </c>
      <c r="G4918" s="32" t="s">
        <v>50</v>
      </c>
      <c r="H4918" s="33">
        <v>63590</v>
      </c>
      <c r="I4918" s="34">
        <f>Table3[[#This Row],[Volume, kg.]]/1000</f>
        <v>63.59</v>
      </c>
      <c r="J4918" s="34">
        <v>0.27079999999999999</v>
      </c>
      <c r="K4918" s="34">
        <f t="shared" si="152"/>
        <v>17220.171999999999</v>
      </c>
      <c r="L4918" s="34">
        <v>2.4500000000000002</v>
      </c>
      <c r="M4918" s="34">
        <v>155719</v>
      </c>
      <c r="N4918" s="34">
        <f t="shared" si="153"/>
        <v>9.0472673559822763</v>
      </c>
    </row>
    <row r="4919" spans="1:14" x14ac:dyDescent="0.45">
      <c r="A4919" s="30">
        <v>2025</v>
      </c>
      <c r="B4919" s="30" t="s">
        <v>9</v>
      </c>
      <c r="C4919" s="30" t="s">
        <v>46</v>
      </c>
      <c r="D4919" s="30" t="s">
        <v>102</v>
      </c>
      <c r="E4919" s="32" t="s">
        <v>658</v>
      </c>
      <c r="F4919" s="32" t="s">
        <v>64</v>
      </c>
      <c r="G4919" s="32" t="s">
        <v>50</v>
      </c>
      <c r="H4919" s="33">
        <v>337650</v>
      </c>
      <c r="I4919" s="34">
        <f>Table3[[#This Row],[Volume, kg.]]/1000</f>
        <v>337.65</v>
      </c>
      <c r="J4919" s="34">
        <v>0.28499999999999998</v>
      </c>
      <c r="K4919" s="34">
        <f t="shared" si="152"/>
        <v>96230.249999999985</v>
      </c>
      <c r="L4919" s="34">
        <v>2.5</v>
      </c>
      <c r="M4919" s="34">
        <v>845563.5</v>
      </c>
      <c r="N4919" s="34">
        <f t="shared" si="153"/>
        <v>8.7719298245614041</v>
      </c>
    </row>
    <row r="4920" spans="1:14" x14ac:dyDescent="0.45">
      <c r="A4920" s="30">
        <v>2025</v>
      </c>
      <c r="B4920" s="30" t="s">
        <v>9</v>
      </c>
      <c r="C4920" s="30" t="s">
        <v>46</v>
      </c>
      <c r="D4920" s="30" t="s">
        <v>47</v>
      </c>
      <c r="E4920" s="32" t="s">
        <v>133</v>
      </c>
      <c r="F4920" s="32" t="s">
        <v>134</v>
      </c>
      <c r="G4920" s="32" t="s">
        <v>50</v>
      </c>
      <c r="H4920" s="33">
        <v>82370</v>
      </c>
      <c r="I4920" s="34">
        <f>Table3[[#This Row],[Volume, kg.]]/1000</f>
        <v>82.37</v>
      </c>
      <c r="J4920" s="34">
        <v>0.27449999999999997</v>
      </c>
      <c r="K4920" s="34">
        <f t="shared" si="152"/>
        <v>22610.564999999999</v>
      </c>
      <c r="L4920" s="34">
        <v>2.42</v>
      </c>
      <c r="M4920" s="34">
        <v>199211</v>
      </c>
      <c r="N4920" s="34">
        <f t="shared" si="153"/>
        <v>8.8160291438979979</v>
      </c>
    </row>
    <row r="4921" spans="1:14" x14ac:dyDescent="0.45">
      <c r="A4921" s="30">
        <v>2025</v>
      </c>
      <c r="B4921" s="30" t="s">
        <v>9</v>
      </c>
      <c r="C4921" s="30" t="s">
        <v>46</v>
      </c>
      <c r="D4921" s="30" t="s">
        <v>47</v>
      </c>
      <c r="E4921" s="32" t="s">
        <v>78</v>
      </c>
      <c r="F4921" s="32" t="s">
        <v>49</v>
      </c>
      <c r="G4921" s="32" t="s">
        <v>50</v>
      </c>
      <c r="H4921" s="33">
        <v>7330</v>
      </c>
      <c r="I4921" s="34">
        <f>Table3[[#This Row],[Volume, kg.]]/1000</f>
        <v>7.33</v>
      </c>
      <c r="J4921" s="34">
        <v>0.3155</v>
      </c>
      <c r="K4921" s="34">
        <f t="shared" si="152"/>
        <v>2312.6150000000002</v>
      </c>
      <c r="L4921" s="34">
        <v>2.7</v>
      </c>
      <c r="M4921" s="34">
        <v>19791</v>
      </c>
      <c r="N4921" s="34">
        <f t="shared" si="153"/>
        <v>8.5578446909667196</v>
      </c>
    </row>
    <row r="4922" spans="1:14" x14ac:dyDescent="0.45">
      <c r="A4922" s="30">
        <v>2025</v>
      </c>
      <c r="B4922" s="30" t="s">
        <v>9</v>
      </c>
      <c r="C4922" s="30" t="s">
        <v>46</v>
      </c>
      <c r="D4922" s="30" t="s">
        <v>47</v>
      </c>
      <c r="E4922" s="32" t="s">
        <v>252</v>
      </c>
      <c r="F4922" s="32" t="s">
        <v>49</v>
      </c>
      <c r="G4922" s="32" t="s">
        <v>50</v>
      </c>
      <c r="H4922" s="33">
        <v>112520</v>
      </c>
      <c r="I4922" s="34">
        <f>Table3[[#This Row],[Volume, kg.]]/1000</f>
        <v>112.52</v>
      </c>
      <c r="J4922" s="34">
        <v>0.28570000000000001</v>
      </c>
      <c r="K4922" s="34">
        <f t="shared" si="152"/>
        <v>32146.964</v>
      </c>
      <c r="L4922" s="34">
        <v>2.48</v>
      </c>
      <c r="M4922" s="34">
        <v>279479</v>
      </c>
      <c r="N4922" s="34">
        <f t="shared" si="153"/>
        <v>8.6804340217010854</v>
      </c>
    </row>
    <row r="4923" spans="1:14" x14ac:dyDescent="0.45">
      <c r="A4923" s="30">
        <v>2025</v>
      </c>
      <c r="B4923" s="30" t="s">
        <v>9</v>
      </c>
      <c r="C4923" s="30" t="s">
        <v>46</v>
      </c>
      <c r="D4923" s="30" t="s">
        <v>47</v>
      </c>
      <c r="E4923" s="32" t="s">
        <v>95</v>
      </c>
      <c r="F4923" s="32" t="s">
        <v>49</v>
      </c>
      <c r="G4923" s="32" t="s">
        <v>50</v>
      </c>
      <c r="H4923" s="33">
        <v>44710</v>
      </c>
      <c r="I4923" s="34">
        <f>Table3[[#This Row],[Volume, kg.]]/1000</f>
        <v>44.71</v>
      </c>
      <c r="J4923" s="34">
        <v>0.29359999999999997</v>
      </c>
      <c r="K4923" s="34">
        <f t="shared" si="152"/>
        <v>13126.855999999998</v>
      </c>
      <c r="L4923" s="34">
        <v>2.6</v>
      </c>
      <c r="M4923" s="34">
        <v>116130</v>
      </c>
      <c r="N4923" s="34">
        <f t="shared" si="153"/>
        <v>8.8555858310626707</v>
      </c>
    </row>
    <row r="4924" spans="1:14" x14ac:dyDescent="0.45">
      <c r="A4924" s="30">
        <v>2025</v>
      </c>
      <c r="B4924" s="30" t="s">
        <v>9</v>
      </c>
      <c r="C4924" s="30" t="s">
        <v>46</v>
      </c>
      <c r="D4924" s="30" t="s">
        <v>47</v>
      </c>
      <c r="E4924" s="32" t="s">
        <v>205</v>
      </c>
      <c r="F4924" s="32" t="s">
        <v>49</v>
      </c>
      <c r="G4924" s="32" t="s">
        <v>50</v>
      </c>
      <c r="H4924" s="33">
        <v>48400</v>
      </c>
      <c r="I4924" s="34">
        <f>Table3[[#This Row],[Volume, kg.]]/1000</f>
        <v>48.4</v>
      </c>
      <c r="J4924" s="34">
        <v>0.30609999999999998</v>
      </c>
      <c r="K4924" s="34">
        <f t="shared" si="152"/>
        <v>14815.24</v>
      </c>
      <c r="L4924" s="34">
        <v>2.61</v>
      </c>
      <c r="M4924" s="34">
        <v>126371</v>
      </c>
      <c r="N4924" s="34">
        <f t="shared" si="153"/>
        <v>8.5266252858542959</v>
      </c>
    </row>
    <row r="4925" spans="1:14" x14ac:dyDescent="0.45">
      <c r="A4925" s="30">
        <v>2025</v>
      </c>
      <c r="B4925" s="30" t="s">
        <v>9</v>
      </c>
      <c r="C4925" s="30" t="s">
        <v>46</v>
      </c>
      <c r="D4925" s="30" t="s">
        <v>102</v>
      </c>
      <c r="E4925" s="32" t="s">
        <v>418</v>
      </c>
      <c r="F4925" s="32" t="s">
        <v>104</v>
      </c>
      <c r="G4925" s="32" t="s">
        <v>105</v>
      </c>
      <c r="H4925" s="33">
        <v>28180</v>
      </c>
      <c r="I4925" s="34">
        <f>Table3[[#This Row],[Volume, kg.]]/1000</f>
        <v>28.18</v>
      </c>
      <c r="J4925" s="34">
        <v>0.26450000000000001</v>
      </c>
      <c r="K4925" s="34">
        <f t="shared" si="152"/>
        <v>7453.6100000000006</v>
      </c>
      <c r="L4925" s="34">
        <v>2.4500000000000002</v>
      </c>
      <c r="M4925" s="34">
        <v>69041</v>
      </c>
      <c r="N4925" s="34">
        <f t="shared" si="153"/>
        <v>9.2627599243856338</v>
      </c>
    </row>
    <row r="4926" spans="1:14" x14ac:dyDescent="0.45">
      <c r="A4926" s="30">
        <v>2025</v>
      </c>
      <c r="B4926" s="30" t="s">
        <v>9</v>
      </c>
      <c r="C4926" s="30" t="s">
        <v>46</v>
      </c>
      <c r="D4926" s="30" t="s">
        <v>47</v>
      </c>
      <c r="E4926" s="32" t="s">
        <v>434</v>
      </c>
      <c r="F4926" s="32" t="s">
        <v>57</v>
      </c>
      <c r="G4926" s="32" t="s">
        <v>50</v>
      </c>
      <c r="H4926" s="33">
        <v>38450</v>
      </c>
      <c r="I4926" s="34">
        <f>Table3[[#This Row],[Volume, kg.]]/1000</f>
        <v>38.450000000000003</v>
      </c>
      <c r="J4926" s="34">
        <v>0.30320000000000003</v>
      </c>
      <c r="K4926" s="34">
        <f t="shared" si="152"/>
        <v>11658.04</v>
      </c>
      <c r="L4926" s="34">
        <v>2.57</v>
      </c>
      <c r="M4926" s="34">
        <v>98957</v>
      </c>
      <c r="N4926" s="34">
        <f t="shared" si="153"/>
        <v>8.4762532981530327</v>
      </c>
    </row>
    <row r="4927" spans="1:14" x14ac:dyDescent="0.45">
      <c r="A4927" s="30">
        <v>2025</v>
      </c>
      <c r="B4927" s="30" t="s">
        <v>9</v>
      </c>
      <c r="C4927" s="30" t="s">
        <v>46</v>
      </c>
      <c r="D4927" s="30" t="s">
        <v>47</v>
      </c>
      <c r="E4927" s="32" t="s">
        <v>452</v>
      </c>
      <c r="F4927" s="32" t="s">
        <v>134</v>
      </c>
      <c r="G4927" s="32" t="s">
        <v>50</v>
      </c>
      <c r="H4927" s="33">
        <v>101090</v>
      </c>
      <c r="I4927" s="34">
        <f>Table3[[#This Row],[Volume, kg.]]/1000</f>
        <v>101.09</v>
      </c>
      <c r="J4927" s="34">
        <v>0.28449999999999998</v>
      </c>
      <c r="K4927" s="34">
        <f t="shared" si="152"/>
        <v>28760.104999999996</v>
      </c>
      <c r="L4927" s="34">
        <v>2.4500000000000002</v>
      </c>
      <c r="M4927" s="34">
        <v>247518</v>
      </c>
      <c r="N4927" s="34">
        <f t="shared" si="153"/>
        <v>8.6115992970123045</v>
      </c>
    </row>
    <row r="4928" spans="1:14" x14ac:dyDescent="0.45">
      <c r="A4928" s="30">
        <v>2025</v>
      </c>
      <c r="B4928" s="30" t="s">
        <v>9</v>
      </c>
      <c r="C4928" s="30" t="s">
        <v>46</v>
      </c>
      <c r="D4928" s="30" t="s">
        <v>47</v>
      </c>
      <c r="E4928" s="32" t="s">
        <v>603</v>
      </c>
      <c r="F4928" s="32" t="s">
        <v>49</v>
      </c>
      <c r="G4928" s="32" t="s">
        <v>50</v>
      </c>
      <c r="H4928" s="33">
        <v>5260</v>
      </c>
      <c r="I4928" s="34">
        <f>Table3[[#This Row],[Volume, kg.]]/1000</f>
        <v>5.26</v>
      </c>
      <c r="J4928" s="34">
        <v>0.29799999999999999</v>
      </c>
      <c r="K4928" s="34">
        <f t="shared" si="152"/>
        <v>1567.48</v>
      </c>
      <c r="L4928" s="34">
        <v>2.4500000000000002</v>
      </c>
      <c r="M4928" s="34">
        <v>12887</v>
      </c>
      <c r="N4928" s="34">
        <f t="shared" si="153"/>
        <v>8.2214765100671148</v>
      </c>
    </row>
    <row r="4929" spans="1:14" x14ac:dyDescent="0.45">
      <c r="A4929" s="30">
        <v>2025</v>
      </c>
      <c r="B4929" s="30" t="s">
        <v>9</v>
      </c>
      <c r="C4929" s="30" t="s">
        <v>46</v>
      </c>
      <c r="D4929" s="30" t="s">
        <v>102</v>
      </c>
      <c r="E4929" s="32" t="s">
        <v>552</v>
      </c>
      <c r="F4929" s="32" t="s">
        <v>238</v>
      </c>
      <c r="G4929" s="32" t="s">
        <v>50</v>
      </c>
      <c r="H4929" s="33">
        <v>176840</v>
      </c>
      <c r="I4929" s="34">
        <f>Table3[[#This Row],[Volume, kg.]]/1000</f>
        <v>176.84</v>
      </c>
      <c r="J4929" s="34">
        <v>0.28460000000000002</v>
      </c>
      <c r="K4929" s="34">
        <f t="shared" si="152"/>
        <v>50328.664000000004</v>
      </c>
      <c r="L4929" s="34">
        <v>2.5499999999999998</v>
      </c>
      <c r="M4929" s="34">
        <v>450258</v>
      </c>
      <c r="N4929" s="34">
        <f t="shared" si="153"/>
        <v>8.9599437807449043</v>
      </c>
    </row>
    <row r="4930" spans="1:14" x14ac:dyDescent="0.45">
      <c r="A4930" s="30">
        <v>2025</v>
      </c>
      <c r="B4930" s="30" t="s">
        <v>9</v>
      </c>
      <c r="C4930" s="30" t="s">
        <v>46</v>
      </c>
      <c r="D4930" s="30" t="s">
        <v>47</v>
      </c>
      <c r="E4930" s="32" t="s">
        <v>587</v>
      </c>
      <c r="F4930" s="32" t="s">
        <v>223</v>
      </c>
      <c r="G4930" s="32" t="s">
        <v>50</v>
      </c>
      <c r="H4930" s="33">
        <v>41630</v>
      </c>
      <c r="I4930" s="34">
        <f>Table3[[#This Row],[Volume, kg.]]/1000</f>
        <v>41.63</v>
      </c>
      <c r="J4930" s="34">
        <v>0.30740000000000001</v>
      </c>
      <c r="K4930" s="34">
        <f t="shared" si="152"/>
        <v>12797.062</v>
      </c>
      <c r="L4930" s="34">
        <v>2.69</v>
      </c>
      <c r="M4930" s="34">
        <v>112048</v>
      </c>
      <c r="N4930" s="34">
        <f t="shared" si="153"/>
        <v>8.750813272608978</v>
      </c>
    </row>
    <row r="4931" spans="1:14" x14ac:dyDescent="0.45">
      <c r="A4931" s="30">
        <v>2025</v>
      </c>
      <c r="B4931" s="30" t="s">
        <v>9</v>
      </c>
      <c r="C4931" s="30" t="s">
        <v>46</v>
      </c>
      <c r="D4931" s="30" t="s">
        <v>47</v>
      </c>
      <c r="E4931" s="32" t="s">
        <v>590</v>
      </c>
      <c r="F4931" s="32" t="s">
        <v>49</v>
      </c>
      <c r="G4931" s="32" t="s">
        <v>50</v>
      </c>
      <c r="H4931" s="33">
        <v>85900</v>
      </c>
      <c r="I4931" s="34">
        <f>Table3[[#This Row],[Volume, kg.]]/1000</f>
        <v>85.9</v>
      </c>
      <c r="J4931" s="34">
        <v>0.29350000000000004</v>
      </c>
      <c r="K4931" s="34">
        <f t="shared" ref="K4931:K4994" si="154">H4931*J4931</f>
        <v>25211.650000000005</v>
      </c>
      <c r="L4931" s="34">
        <v>2.4700000000000002</v>
      </c>
      <c r="M4931" s="34">
        <v>212415</v>
      </c>
      <c r="N4931" s="34">
        <f t="shared" si="153"/>
        <v>8.4156729131175467</v>
      </c>
    </row>
    <row r="4932" spans="1:14" x14ac:dyDescent="0.45">
      <c r="A4932" s="30">
        <v>2025</v>
      </c>
      <c r="B4932" s="30" t="s">
        <v>9</v>
      </c>
      <c r="C4932" s="30" t="s">
        <v>46</v>
      </c>
      <c r="D4932" s="30" t="s">
        <v>47</v>
      </c>
      <c r="E4932" s="32" t="s">
        <v>591</v>
      </c>
      <c r="F4932" s="32" t="s">
        <v>223</v>
      </c>
      <c r="G4932" s="32" t="s">
        <v>50</v>
      </c>
      <c r="H4932" s="33">
        <v>60890</v>
      </c>
      <c r="I4932" s="34">
        <f>Table3[[#This Row],[Volume, kg.]]/1000</f>
        <v>60.89</v>
      </c>
      <c r="J4932" s="34">
        <v>0.28820000000000001</v>
      </c>
      <c r="K4932" s="34">
        <f t="shared" si="154"/>
        <v>17548.498</v>
      </c>
      <c r="L4932" s="34">
        <v>2.54</v>
      </c>
      <c r="M4932" s="34">
        <v>154634.5</v>
      </c>
      <c r="N4932" s="34">
        <f t="shared" ref="N4932:N4995" si="155">L4932/J4932</f>
        <v>8.8133240804996529</v>
      </c>
    </row>
    <row r="4933" spans="1:14" x14ac:dyDescent="0.45">
      <c r="A4933" s="30">
        <v>2025</v>
      </c>
      <c r="B4933" s="30" t="s">
        <v>9</v>
      </c>
      <c r="C4933" s="30" t="s">
        <v>46</v>
      </c>
      <c r="D4933" s="30" t="s">
        <v>47</v>
      </c>
      <c r="E4933" s="32" t="s">
        <v>592</v>
      </c>
      <c r="F4933" s="32" t="s">
        <v>223</v>
      </c>
      <c r="G4933" s="32" t="s">
        <v>50</v>
      </c>
      <c r="H4933" s="33">
        <v>98170</v>
      </c>
      <c r="I4933" s="34">
        <f>Table3[[#This Row],[Volume, kg.]]/1000</f>
        <v>98.17</v>
      </c>
      <c r="J4933" s="34">
        <v>0.2878</v>
      </c>
      <c r="K4933" s="34">
        <f t="shared" si="154"/>
        <v>28253.326000000001</v>
      </c>
      <c r="L4933" s="34">
        <v>2.57</v>
      </c>
      <c r="M4933" s="34">
        <v>252035.5</v>
      </c>
      <c r="N4933" s="34">
        <f t="shared" si="155"/>
        <v>8.92981236970118</v>
      </c>
    </row>
    <row r="4934" spans="1:14" x14ac:dyDescent="0.45">
      <c r="A4934" s="30">
        <v>2025</v>
      </c>
      <c r="B4934" s="30" t="s">
        <v>9</v>
      </c>
      <c r="C4934" s="30" t="s">
        <v>46</v>
      </c>
      <c r="D4934" s="30" t="s">
        <v>47</v>
      </c>
      <c r="E4934" s="32" t="s">
        <v>593</v>
      </c>
      <c r="F4934" s="32" t="s">
        <v>49</v>
      </c>
      <c r="G4934" s="32" t="s">
        <v>50</v>
      </c>
      <c r="H4934" s="33">
        <v>20820</v>
      </c>
      <c r="I4934" s="34">
        <f>Table3[[#This Row],[Volume, kg.]]/1000</f>
        <v>20.82</v>
      </c>
      <c r="J4934" s="34">
        <v>0.29809999999999998</v>
      </c>
      <c r="K4934" s="34">
        <f t="shared" si="154"/>
        <v>6206.4419999999991</v>
      </c>
      <c r="L4934" s="34">
        <v>2.4500000000000002</v>
      </c>
      <c r="M4934" s="34">
        <v>51090.5</v>
      </c>
      <c r="N4934" s="34">
        <f t="shared" si="155"/>
        <v>8.2187185508218725</v>
      </c>
    </row>
    <row r="4935" spans="1:14" x14ac:dyDescent="0.45">
      <c r="A4935" s="30">
        <v>2025</v>
      </c>
      <c r="B4935" s="30" t="s">
        <v>9</v>
      </c>
      <c r="C4935" s="30" t="s">
        <v>46</v>
      </c>
      <c r="D4935" s="30" t="s">
        <v>47</v>
      </c>
      <c r="E4935" s="32" t="s">
        <v>612</v>
      </c>
      <c r="F4935" s="32" t="s">
        <v>57</v>
      </c>
      <c r="G4935" s="32" t="s">
        <v>50</v>
      </c>
      <c r="H4935" s="33">
        <v>33390</v>
      </c>
      <c r="I4935" s="34">
        <f>Table3[[#This Row],[Volume, kg.]]/1000</f>
        <v>33.39</v>
      </c>
      <c r="J4935" s="34">
        <v>0.28870000000000001</v>
      </c>
      <c r="K4935" s="34">
        <f t="shared" si="154"/>
        <v>9639.6930000000011</v>
      </c>
      <c r="L4935" s="34">
        <v>2.3199999999999998</v>
      </c>
      <c r="M4935" s="34">
        <v>77582.5</v>
      </c>
      <c r="N4935" s="34">
        <f t="shared" si="155"/>
        <v>8.0360235538621403</v>
      </c>
    </row>
    <row r="4936" spans="1:14" x14ac:dyDescent="0.45">
      <c r="A4936" s="30">
        <v>2025</v>
      </c>
      <c r="B4936" s="30" t="s">
        <v>9</v>
      </c>
      <c r="C4936" s="30" t="s">
        <v>46</v>
      </c>
      <c r="D4936" s="30" t="s">
        <v>47</v>
      </c>
      <c r="E4936" s="32" t="s">
        <v>606</v>
      </c>
      <c r="F4936" s="32" t="s">
        <v>49</v>
      </c>
      <c r="G4936" s="32" t="s">
        <v>50</v>
      </c>
      <c r="H4936" s="33">
        <v>27890</v>
      </c>
      <c r="I4936" s="34">
        <f>Table3[[#This Row],[Volume, kg.]]/1000</f>
        <v>27.89</v>
      </c>
      <c r="J4936" s="34">
        <v>0.27379999999999999</v>
      </c>
      <c r="K4936" s="34">
        <f t="shared" si="154"/>
        <v>7636.2819999999992</v>
      </c>
      <c r="L4936" s="34">
        <v>2.2799999999999998</v>
      </c>
      <c r="M4936" s="34">
        <v>63603.5</v>
      </c>
      <c r="N4936" s="34">
        <f t="shared" si="155"/>
        <v>8.3272461650840022</v>
      </c>
    </row>
    <row r="4937" spans="1:14" x14ac:dyDescent="0.45">
      <c r="A4937" s="30">
        <v>2025</v>
      </c>
      <c r="B4937" s="30" t="s">
        <v>9</v>
      </c>
      <c r="C4937" s="30" t="s">
        <v>46</v>
      </c>
      <c r="D4937" s="30" t="s">
        <v>47</v>
      </c>
      <c r="E4937" s="32" t="s">
        <v>607</v>
      </c>
      <c r="F4937" s="32" t="s">
        <v>81</v>
      </c>
      <c r="G4937" s="32" t="s">
        <v>50</v>
      </c>
      <c r="H4937" s="33">
        <v>16090</v>
      </c>
      <c r="I4937" s="34">
        <f>Table3[[#This Row],[Volume, kg.]]/1000</f>
        <v>16.09</v>
      </c>
      <c r="J4937" s="34">
        <v>0.28239999999999998</v>
      </c>
      <c r="K4937" s="34">
        <f t="shared" si="154"/>
        <v>4543.8159999999998</v>
      </c>
      <c r="L4937" s="34">
        <v>2.46</v>
      </c>
      <c r="M4937" s="34">
        <v>39584</v>
      </c>
      <c r="N4937" s="34">
        <f t="shared" si="155"/>
        <v>8.7110481586402262</v>
      </c>
    </row>
    <row r="4938" spans="1:14" x14ac:dyDescent="0.45">
      <c r="A4938" s="30">
        <v>2025</v>
      </c>
      <c r="B4938" s="30" t="s">
        <v>9</v>
      </c>
      <c r="C4938" s="30" t="s">
        <v>46</v>
      </c>
      <c r="D4938" s="30" t="s">
        <v>47</v>
      </c>
      <c r="E4938" s="32" t="s">
        <v>633</v>
      </c>
      <c r="F4938" s="32" t="s">
        <v>64</v>
      </c>
      <c r="G4938" s="32" t="s">
        <v>50</v>
      </c>
      <c r="H4938" s="33">
        <v>20340</v>
      </c>
      <c r="I4938" s="34">
        <f>Table3[[#This Row],[Volume, kg.]]/1000</f>
        <v>20.34</v>
      </c>
      <c r="J4938" s="34">
        <v>0.27089999999999997</v>
      </c>
      <c r="K4938" s="34">
        <f t="shared" si="154"/>
        <v>5510.1059999999998</v>
      </c>
      <c r="L4938" s="34">
        <v>2.42</v>
      </c>
      <c r="M4938" s="34">
        <v>49201.5</v>
      </c>
      <c r="N4938" s="34">
        <f t="shared" si="155"/>
        <v>8.9331856773717249</v>
      </c>
    </row>
    <row r="4939" spans="1:14" x14ac:dyDescent="0.45">
      <c r="A4939" s="30">
        <v>2025</v>
      </c>
      <c r="B4939" s="30" t="s">
        <v>9</v>
      </c>
      <c r="C4939" s="30" t="s">
        <v>46</v>
      </c>
      <c r="D4939" s="30" t="s">
        <v>47</v>
      </c>
      <c r="E4939" s="32" t="s">
        <v>659</v>
      </c>
      <c r="F4939" s="32" t="s">
        <v>49</v>
      </c>
      <c r="G4939" s="32" t="s">
        <v>50</v>
      </c>
      <c r="H4939" s="33">
        <v>11680</v>
      </c>
      <c r="I4939" s="34">
        <f>Table3[[#This Row],[Volume, kg.]]/1000</f>
        <v>11.68</v>
      </c>
      <c r="J4939" s="34">
        <v>0.24909999999999999</v>
      </c>
      <c r="K4939" s="34">
        <f t="shared" si="154"/>
        <v>2909.4879999999998</v>
      </c>
      <c r="L4939" s="34">
        <v>2.35</v>
      </c>
      <c r="M4939" s="34">
        <v>27448</v>
      </c>
      <c r="N4939" s="34">
        <f t="shared" si="155"/>
        <v>9.433962264150944</v>
      </c>
    </row>
    <row r="4940" spans="1:14" x14ac:dyDescent="0.45">
      <c r="A4940" s="30">
        <v>2025</v>
      </c>
      <c r="B4940" s="30" t="s">
        <v>9</v>
      </c>
      <c r="C4940" s="30" t="s">
        <v>46</v>
      </c>
      <c r="D4940" s="30" t="s">
        <v>47</v>
      </c>
      <c r="E4940" s="32" t="s">
        <v>647</v>
      </c>
      <c r="F4940" s="32" t="s">
        <v>49</v>
      </c>
      <c r="G4940" s="32" t="s">
        <v>50</v>
      </c>
      <c r="H4940" s="33">
        <v>9840</v>
      </c>
      <c r="I4940" s="34">
        <f>Table3[[#This Row],[Volume, kg.]]/1000</f>
        <v>9.84</v>
      </c>
      <c r="J4940" s="34">
        <v>0.3014</v>
      </c>
      <c r="K4940" s="34">
        <f t="shared" si="154"/>
        <v>2965.7759999999998</v>
      </c>
      <c r="L4940" s="34">
        <v>2.65</v>
      </c>
      <c r="M4940" s="34">
        <v>26076</v>
      </c>
      <c r="N4940" s="34">
        <f t="shared" si="155"/>
        <v>8.7923025879230252</v>
      </c>
    </row>
    <row r="4941" spans="1:14" x14ac:dyDescent="0.45">
      <c r="A4941" s="30">
        <v>2025</v>
      </c>
      <c r="B4941" s="30" t="s">
        <v>9</v>
      </c>
      <c r="C4941" s="30" t="s">
        <v>46</v>
      </c>
      <c r="D4941" s="30" t="s">
        <v>47</v>
      </c>
      <c r="E4941" s="32" t="s">
        <v>671</v>
      </c>
      <c r="F4941" s="32" t="s">
        <v>49</v>
      </c>
      <c r="G4941" s="32" t="s">
        <v>50</v>
      </c>
      <c r="H4941" s="33">
        <v>230</v>
      </c>
      <c r="I4941" s="34">
        <f>Table3[[#This Row],[Volume, kg.]]/1000</f>
        <v>0.23</v>
      </c>
      <c r="J4941" s="34">
        <v>0.27149999999999996</v>
      </c>
      <c r="K4941" s="34">
        <f t="shared" si="154"/>
        <v>62.444999999999993</v>
      </c>
      <c r="L4941" s="34">
        <v>2.5</v>
      </c>
      <c r="M4941" s="34">
        <v>575</v>
      </c>
      <c r="N4941" s="34">
        <f t="shared" si="155"/>
        <v>9.2081031307550649</v>
      </c>
    </row>
    <row r="4942" spans="1:14" x14ac:dyDescent="0.45">
      <c r="A4942" s="30">
        <v>2025</v>
      </c>
      <c r="B4942" s="30" t="s">
        <v>9</v>
      </c>
      <c r="C4942" s="30" t="s">
        <v>46</v>
      </c>
      <c r="D4942" s="30" t="s">
        <v>47</v>
      </c>
      <c r="E4942" s="32" t="s">
        <v>672</v>
      </c>
      <c r="F4942" s="32" t="s">
        <v>134</v>
      </c>
      <c r="G4942" s="32" t="s">
        <v>50</v>
      </c>
      <c r="H4942" s="33">
        <v>111020</v>
      </c>
      <c r="I4942" s="34">
        <f>Table3[[#This Row],[Volume, kg.]]/1000</f>
        <v>111.02</v>
      </c>
      <c r="J4942" s="34">
        <v>0.28970000000000001</v>
      </c>
      <c r="K4942" s="34">
        <f t="shared" si="154"/>
        <v>32162.494000000002</v>
      </c>
      <c r="L4942" s="34">
        <v>2.4900000000000002</v>
      </c>
      <c r="M4942" s="34">
        <v>276739</v>
      </c>
      <c r="N4942" s="34">
        <f t="shared" si="155"/>
        <v>8.5950983776320342</v>
      </c>
    </row>
    <row r="4943" spans="1:14" x14ac:dyDescent="0.45">
      <c r="A4943" s="30">
        <v>2025</v>
      </c>
      <c r="B4943" s="30" t="s">
        <v>9</v>
      </c>
      <c r="C4943" s="30" t="s">
        <v>46</v>
      </c>
      <c r="D4943" s="30" t="s">
        <v>47</v>
      </c>
      <c r="E4943" s="32" t="s">
        <v>673</v>
      </c>
      <c r="F4943" s="32" t="s">
        <v>49</v>
      </c>
      <c r="G4943" s="32" t="s">
        <v>50</v>
      </c>
      <c r="H4943" s="33">
        <v>17070</v>
      </c>
      <c r="I4943" s="34">
        <f>Table3[[#This Row],[Volume, kg.]]/1000</f>
        <v>17.07</v>
      </c>
      <c r="J4943" s="34">
        <v>0.29249999999999998</v>
      </c>
      <c r="K4943" s="34">
        <f t="shared" si="154"/>
        <v>4992.9749999999995</v>
      </c>
      <c r="L4943" s="34">
        <v>2.6</v>
      </c>
      <c r="M4943" s="34">
        <v>44382</v>
      </c>
      <c r="N4943" s="34">
        <f t="shared" si="155"/>
        <v>8.8888888888888893</v>
      </c>
    </row>
    <row r="4944" spans="1:14" x14ac:dyDescent="0.45">
      <c r="A4944" s="30">
        <v>2025</v>
      </c>
      <c r="B4944" s="30" t="s">
        <v>9</v>
      </c>
      <c r="C4944" s="30" t="s">
        <v>46</v>
      </c>
      <c r="D4944" s="30" t="s">
        <v>47</v>
      </c>
      <c r="E4944" s="32" t="s">
        <v>676</v>
      </c>
      <c r="F4944" s="32" t="s">
        <v>60</v>
      </c>
      <c r="G4944" s="32" t="s">
        <v>50</v>
      </c>
      <c r="H4944" s="33">
        <v>5300</v>
      </c>
      <c r="I4944" s="34">
        <f>Table3[[#This Row],[Volume, kg.]]/1000</f>
        <v>5.3</v>
      </c>
      <c r="J4944" s="34">
        <v>0.33350000000000002</v>
      </c>
      <c r="K4944" s="34">
        <f t="shared" si="154"/>
        <v>1767.5500000000002</v>
      </c>
      <c r="L4944" s="34">
        <v>2.7</v>
      </c>
      <c r="M4944" s="34">
        <v>14310</v>
      </c>
      <c r="N4944" s="34">
        <f t="shared" si="155"/>
        <v>8.0959520239880067</v>
      </c>
    </row>
    <row r="4945" spans="1:14" x14ac:dyDescent="0.45">
      <c r="A4945" s="30">
        <v>2025</v>
      </c>
      <c r="B4945" s="30" t="s">
        <v>9</v>
      </c>
      <c r="C4945" s="30" t="s">
        <v>46</v>
      </c>
      <c r="D4945" s="30" t="s">
        <v>47</v>
      </c>
      <c r="E4945" s="32" t="s">
        <v>684</v>
      </c>
      <c r="F4945" s="32" t="s">
        <v>685</v>
      </c>
      <c r="G4945" s="32" t="s">
        <v>341</v>
      </c>
      <c r="H4945" s="33">
        <v>45460</v>
      </c>
      <c r="I4945" s="34">
        <f>Table3[[#This Row],[Volume, kg.]]/1000</f>
        <v>45.46</v>
      </c>
      <c r="J4945" s="34">
        <v>0.29020000000000001</v>
      </c>
      <c r="K4945" s="34">
        <f t="shared" si="154"/>
        <v>13192.492</v>
      </c>
      <c r="L4945" s="34">
        <v>2.5099999999999998</v>
      </c>
      <c r="M4945" s="34">
        <v>114126</v>
      </c>
      <c r="N4945" s="34">
        <f t="shared" si="155"/>
        <v>8.6492074431426591</v>
      </c>
    </row>
    <row r="4946" spans="1:14" x14ac:dyDescent="0.45">
      <c r="A4946" s="30">
        <v>2025</v>
      </c>
      <c r="B4946" s="30" t="s">
        <v>9</v>
      </c>
      <c r="C4946" s="30" t="s">
        <v>46</v>
      </c>
      <c r="D4946" s="30" t="s">
        <v>102</v>
      </c>
      <c r="E4946" s="32" t="s">
        <v>695</v>
      </c>
      <c r="F4946" s="32" t="s">
        <v>696</v>
      </c>
      <c r="G4946" s="32" t="s">
        <v>557</v>
      </c>
      <c r="H4946" s="33">
        <v>532570</v>
      </c>
      <c r="I4946" s="34">
        <f>Table3[[#This Row],[Volume, kg.]]/1000</f>
        <v>532.57000000000005</v>
      </c>
      <c r="J4946" s="34">
        <v>0.2596</v>
      </c>
      <c r="K4946" s="34">
        <f t="shared" si="154"/>
        <v>138255.17199999999</v>
      </c>
      <c r="L4946" s="34">
        <v>2.4300000000000002</v>
      </c>
      <c r="M4946" s="34">
        <v>1294357</v>
      </c>
      <c r="N4946" s="34">
        <f t="shared" si="155"/>
        <v>9.3605546995377509</v>
      </c>
    </row>
    <row r="4947" spans="1:14" x14ac:dyDescent="0.45">
      <c r="A4947" s="30">
        <v>2025</v>
      </c>
      <c r="B4947" s="30" t="s">
        <v>9</v>
      </c>
      <c r="C4947" s="30" t="s">
        <v>46</v>
      </c>
      <c r="D4947" s="30" t="s">
        <v>47</v>
      </c>
      <c r="E4947" s="32" t="s">
        <v>686</v>
      </c>
      <c r="F4947" s="32" t="s">
        <v>49</v>
      </c>
      <c r="G4947" s="32" t="s">
        <v>50</v>
      </c>
      <c r="H4947" s="33">
        <v>105150</v>
      </c>
      <c r="I4947" s="34">
        <f>Table3[[#This Row],[Volume, kg.]]/1000</f>
        <v>105.15</v>
      </c>
      <c r="J4947" s="34">
        <v>0.27250000000000002</v>
      </c>
      <c r="K4947" s="34">
        <f t="shared" si="154"/>
        <v>28653.375000000004</v>
      </c>
      <c r="L4947" s="34">
        <v>2.38</v>
      </c>
      <c r="M4947" s="34">
        <v>250202</v>
      </c>
      <c r="N4947" s="34">
        <f t="shared" si="155"/>
        <v>8.7339449541284395</v>
      </c>
    </row>
    <row r="4948" spans="1:14" x14ac:dyDescent="0.45">
      <c r="A4948" s="30">
        <v>2025</v>
      </c>
      <c r="B4948" s="30" t="s">
        <v>9</v>
      </c>
      <c r="C4948" s="30" t="s">
        <v>46</v>
      </c>
      <c r="D4948" s="30" t="s">
        <v>47</v>
      </c>
      <c r="E4948" s="32" t="s">
        <v>687</v>
      </c>
      <c r="F4948" s="32" t="s">
        <v>49</v>
      </c>
      <c r="G4948" s="32" t="s">
        <v>50</v>
      </c>
      <c r="H4948" s="33">
        <v>5620</v>
      </c>
      <c r="I4948" s="34">
        <f>Table3[[#This Row],[Volume, kg.]]/1000</f>
        <v>5.62</v>
      </c>
      <c r="J4948" s="34">
        <v>0.24829999999999999</v>
      </c>
      <c r="K4948" s="34">
        <f t="shared" si="154"/>
        <v>1395.4459999999999</v>
      </c>
      <c r="L4948" s="34">
        <v>2.2000000000000002</v>
      </c>
      <c r="M4948" s="34">
        <v>12364</v>
      </c>
      <c r="N4948" s="34">
        <f t="shared" si="155"/>
        <v>8.8602496979460348</v>
      </c>
    </row>
    <row r="4949" spans="1:14" x14ac:dyDescent="0.45">
      <c r="A4949" s="30">
        <v>2025</v>
      </c>
      <c r="B4949" s="30" t="s">
        <v>9</v>
      </c>
      <c r="C4949" s="30" t="s">
        <v>46</v>
      </c>
      <c r="D4949" s="30" t="s">
        <v>102</v>
      </c>
      <c r="E4949" s="32" t="s">
        <v>697</v>
      </c>
      <c r="F4949" s="32" t="s">
        <v>107</v>
      </c>
      <c r="G4949" s="32" t="s">
        <v>108</v>
      </c>
      <c r="H4949" s="33">
        <v>172620</v>
      </c>
      <c r="I4949" s="34">
        <f>Table3[[#This Row],[Volume, kg.]]/1000</f>
        <v>172.62</v>
      </c>
      <c r="J4949" s="34">
        <v>0.26739999999999997</v>
      </c>
      <c r="K4949" s="34">
        <f t="shared" si="154"/>
        <v>46158.587999999996</v>
      </c>
      <c r="L4949" s="34">
        <v>2.48</v>
      </c>
      <c r="M4949" s="34">
        <v>427279</v>
      </c>
      <c r="N4949" s="34">
        <f t="shared" si="155"/>
        <v>9.2744951383694847</v>
      </c>
    </row>
    <row r="4950" spans="1:14" x14ac:dyDescent="0.45">
      <c r="A4950" s="30">
        <v>2025</v>
      </c>
      <c r="B4950" s="30" t="s">
        <v>9</v>
      </c>
      <c r="C4950" s="30" t="s">
        <v>46</v>
      </c>
      <c r="D4950" s="30" t="s">
        <v>102</v>
      </c>
      <c r="E4950" s="32" t="s">
        <v>703</v>
      </c>
      <c r="F4950" s="32" t="s">
        <v>704</v>
      </c>
      <c r="G4950" s="32" t="s">
        <v>705</v>
      </c>
      <c r="H4950" s="33">
        <v>121370</v>
      </c>
      <c r="I4950" s="34">
        <f>Table3[[#This Row],[Volume, kg.]]/1000</f>
        <v>121.37</v>
      </c>
      <c r="J4950" s="34">
        <v>0.23960000000000001</v>
      </c>
      <c r="K4950" s="34">
        <f t="shared" si="154"/>
        <v>29080.252</v>
      </c>
      <c r="L4950" s="34">
        <v>2.35</v>
      </c>
      <c r="M4950" s="34">
        <v>285185</v>
      </c>
      <c r="N4950" s="34">
        <f t="shared" si="155"/>
        <v>9.8080133555926547</v>
      </c>
    </row>
    <row r="4951" spans="1:14" x14ac:dyDescent="0.45">
      <c r="A4951" s="30">
        <v>2025</v>
      </c>
      <c r="B4951" s="30" t="s">
        <v>9</v>
      </c>
      <c r="C4951" s="30" t="s">
        <v>46</v>
      </c>
      <c r="D4951" s="30" t="s">
        <v>102</v>
      </c>
      <c r="E4951" s="32" t="s">
        <v>708</v>
      </c>
      <c r="F4951" s="32" t="s">
        <v>397</v>
      </c>
      <c r="G4951" s="32" t="s">
        <v>105</v>
      </c>
      <c r="H4951" s="33">
        <v>90020</v>
      </c>
      <c r="I4951" s="34">
        <f>Table3[[#This Row],[Volume, kg.]]/1000</f>
        <v>90.02</v>
      </c>
      <c r="J4951" s="34">
        <v>0.26030000000000003</v>
      </c>
      <c r="K4951" s="34">
        <f t="shared" si="154"/>
        <v>23432.206000000002</v>
      </c>
      <c r="L4951" s="34">
        <v>2.4300000000000002</v>
      </c>
      <c r="M4951" s="34">
        <v>219109</v>
      </c>
      <c r="N4951" s="34">
        <f t="shared" si="155"/>
        <v>9.3353822512485589</v>
      </c>
    </row>
    <row r="4952" spans="1:14" x14ac:dyDescent="0.45">
      <c r="A4952" s="30">
        <v>2025</v>
      </c>
      <c r="B4952" s="30" t="s">
        <v>9</v>
      </c>
      <c r="C4952" s="30" t="s">
        <v>46</v>
      </c>
      <c r="D4952" s="30" t="s">
        <v>47</v>
      </c>
      <c r="E4952" s="32" t="s">
        <v>709</v>
      </c>
      <c r="F4952" s="32" t="s">
        <v>49</v>
      </c>
      <c r="G4952" s="32" t="s">
        <v>50</v>
      </c>
      <c r="H4952" s="33">
        <v>10100</v>
      </c>
      <c r="I4952" s="34">
        <f>Table3[[#This Row],[Volume, kg.]]/1000</f>
        <v>10.1</v>
      </c>
      <c r="J4952" s="34">
        <v>0.252</v>
      </c>
      <c r="K4952" s="34">
        <f t="shared" si="154"/>
        <v>2545.1999999999998</v>
      </c>
      <c r="L4952" s="34">
        <v>2.2000000000000002</v>
      </c>
      <c r="M4952" s="34">
        <v>22220</v>
      </c>
      <c r="N4952" s="34">
        <f t="shared" si="155"/>
        <v>8.7301587301587311</v>
      </c>
    </row>
    <row r="4953" spans="1:14" x14ac:dyDescent="0.45">
      <c r="A4953" s="30">
        <v>2025</v>
      </c>
      <c r="B4953" s="30" t="s">
        <v>9</v>
      </c>
      <c r="C4953" s="30" t="s">
        <v>46</v>
      </c>
      <c r="D4953" s="30" t="s">
        <v>47</v>
      </c>
      <c r="E4953" s="32" t="s">
        <v>711</v>
      </c>
      <c r="F4953" s="32" t="s">
        <v>223</v>
      </c>
      <c r="G4953" s="32" t="s">
        <v>50</v>
      </c>
      <c r="H4953" s="33">
        <v>25420</v>
      </c>
      <c r="I4953" s="34">
        <f>Table3[[#This Row],[Volume, kg.]]/1000</f>
        <v>25.42</v>
      </c>
      <c r="J4953" s="34">
        <v>0.28070000000000001</v>
      </c>
      <c r="K4953" s="34">
        <f t="shared" si="154"/>
        <v>7135.3940000000002</v>
      </c>
      <c r="L4953" s="34">
        <v>2.5499999999999998</v>
      </c>
      <c r="M4953" s="34">
        <v>64777</v>
      </c>
      <c r="N4953" s="34">
        <f t="shared" si="155"/>
        <v>9.0844317776986099</v>
      </c>
    </row>
    <row r="4954" spans="1:14" x14ac:dyDescent="0.45">
      <c r="A4954" s="30">
        <v>2025</v>
      </c>
      <c r="B4954" s="30" t="s">
        <v>9</v>
      </c>
      <c r="C4954" s="30" t="s">
        <v>46</v>
      </c>
      <c r="D4954" s="30" t="s">
        <v>47</v>
      </c>
      <c r="E4954" s="32" t="s">
        <v>712</v>
      </c>
      <c r="F4954" s="32" t="s">
        <v>49</v>
      </c>
      <c r="G4954" s="32" t="s">
        <v>50</v>
      </c>
      <c r="H4954" s="33">
        <v>47010</v>
      </c>
      <c r="I4954" s="34">
        <f>Table3[[#This Row],[Volume, kg.]]/1000</f>
        <v>47.01</v>
      </c>
      <c r="J4954" s="34">
        <v>0.31240000000000001</v>
      </c>
      <c r="K4954" s="34">
        <f t="shared" si="154"/>
        <v>14685.924000000001</v>
      </c>
      <c r="L4954" s="34">
        <v>2.72</v>
      </c>
      <c r="M4954" s="34">
        <v>127679.5</v>
      </c>
      <c r="N4954" s="34">
        <f t="shared" si="155"/>
        <v>8.7067861715749046</v>
      </c>
    </row>
    <row r="4955" spans="1:14" x14ac:dyDescent="0.45">
      <c r="A4955" s="30">
        <v>2025</v>
      </c>
      <c r="B4955" s="30" t="s">
        <v>9</v>
      </c>
      <c r="C4955" s="30" t="s">
        <v>46</v>
      </c>
      <c r="D4955" s="30" t="s">
        <v>47</v>
      </c>
      <c r="E4955" s="32" t="s">
        <v>713</v>
      </c>
      <c r="F4955" s="32" t="s">
        <v>64</v>
      </c>
      <c r="G4955" s="32" t="s">
        <v>50</v>
      </c>
      <c r="H4955" s="33">
        <v>137270</v>
      </c>
      <c r="I4955" s="34">
        <f>Table3[[#This Row],[Volume, kg.]]/1000</f>
        <v>137.27000000000001</v>
      </c>
      <c r="J4955" s="34">
        <v>0.27010000000000001</v>
      </c>
      <c r="K4955" s="34">
        <f t="shared" si="154"/>
        <v>37076.627</v>
      </c>
      <c r="L4955" s="34">
        <v>2.36</v>
      </c>
      <c r="M4955" s="34">
        <v>324078.5</v>
      </c>
      <c r="N4955" s="34">
        <f t="shared" si="155"/>
        <v>8.7375046279155857</v>
      </c>
    </row>
    <row r="4956" spans="1:14" x14ac:dyDescent="0.45">
      <c r="A4956" s="30">
        <v>2025</v>
      </c>
      <c r="B4956" s="30" t="s">
        <v>9</v>
      </c>
      <c r="C4956" s="30" t="s">
        <v>46</v>
      </c>
      <c r="D4956" s="30" t="s">
        <v>47</v>
      </c>
      <c r="E4956" s="32" t="s">
        <v>714</v>
      </c>
      <c r="F4956" s="32" t="s">
        <v>238</v>
      </c>
      <c r="G4956" s="32" t="s">
        <v>50</v>
      </c>
      <c r="H4956" s="33">
        <v>19160</v>
      </c>
      <c r="I4956" s="34">
        <f>Table3[[#This Row],[Volume, kg.]]/1000</f>
        <v>19.16</v>
      </c>
      <c r="J4956" s="34">
        <v>0.30459999999999998</v>
      </c>
      <c r="K4956" s="34">
        <f t="shared" si="154"/>
        <v>5836.1359999999995</v>
      </c>
      <c r="L4956" s="34">
        <v>2.46</v>
      </c>
      <c r="M4956" s="34">
        <v>47142</v>
      </c>
      <c r="N4956" s="34">
        <f t="shared" si="155"/>
        <v>8.0761654629021677</v>
      </c>
    </row>
    <row r="4957" spans="1:14" x14ac:dyDescent="0.45">
      <c r="A4957" s="30">
        <v>2025</v>
      </c>
      <c r="B4957" s="30" t="s">
        <v>10</v>
      </c>
      <c r="C4957" s="30" t="s">
        <v>46</v>
      </c>
      <c r="D4957" s="30" t="s">
        <v>102</v>
      </c>
      <c r="E4957" s="32" t="s">
        <v>188</v>
      </c>
      <c r="F4957" s="32" t="s">
        <v>189</v>
      </c>
      <c r="G4957" s="32" t="s">
        <v>128</v>
      </c>
      <c r="H4957" s="33">
        <v>595590</v>
      </c>
      <c r="I4957" s="34">
        <f>Table3[[#This Row],[Volume, kg.]]/1000</f>
        <v>595.59</v>
      </c>
      <c r="J4957" s="34">
        <v>0.2722</v>
      </c>
      <c r="K4957" s="34">
        <f t="shared" si="154"/>
        <v>162119.598</v>
      </c>
      <c r="L4957" s="34">
        <v>2.14</v>
      </c>
      <c r="M4957" s="34">
        <v>1273763.5</v>
      </c>
      <c r="N4957" s="34">
        <f t="shared" si="155"/>
        <v>7.8618662747979435</v>
      </c>
    </row>
    <row r="4958" spans="1:14" x14ac:dyDescent="0.45">
      <c r="A4958" s="30">
        <v>2025</v>
      </c>
      <c r="B4958" s="30" t="s">
        <v>10</v>
      </c>
      <c r="C4958" s="30" t="s">
        <v>46</v>
      </c>
      <c r="D4958" s="30" t="s">
        <v>102</v>
      </c>
      <c r="E4958" s="32" t="s">
        <v>336</v>
      </c>
      <c r="F4958" s="32" t="s">
        <v>114</v>
      </c>
      <c r="G4958" s="32" t="s">
        <v>108</v>
      </c>
      <c r="H4958" s="33">
        <v>874270</v>
      </c>
      <c r="I4958" s="34">
        <f>Table3[[#This Row],[Volume, kg.]]/1000</f>
        <v>874.27</v>
      </c>
      <c r="J4958" s="34">
        <v>0.2732</v>
      </c>
      <c r="K4958" s="34">
        <f t="shared" si="154"/>
        <v>238850.56400000001</v>
      </c>
      <c r="L4958" s="34">
        <v>2.13</v>
      </c>
      <c r="M4958" s="34">
        <v>1862702.5</v>
      </c>
      <c r="N4958" s="34">
        <f t="shared" si="155"/>
        <v>7.7964860907759883</v>
      </c>
    </row>
    <row r="4959" spans="1:14" x14ac:dyDescent="0.45">
      <c r="A4959" s="30">
        <v>2025</v>
      </c>
      <c r="B4959" s="30" t="s">
        <v>10</v>
      </c>
      <c r="C4959" s="30" t="s">
        <v>46</v>
      </c>
      <c r="D4959" s="30" t="s">
        <v>102</v>
      </c>
      <c r="E4959" s="32" t="s">
        <v>622</v>
      </c>
      <c r="F4959" s="32" t="s">
        <v>238</v>
      </c>
      <c r="G4959" s="32" t="s">
        <v>50</v>
      </c>
      <c r="H4959" s="33">
        <v>339320</v>
      </c>
      <c r="I4959" s="34">
        <f>Table3[[#This Row],[Volume, kg.]]/1000</f>
        <v>339.32</v>
      </c>
      <c r="J4959" s="34">
        <v>0.25679999999999997</v>
      </c>
      <c r="K4959" s="34">
        <f t="shared" si="154"/>
        <v>87137.375999999989</v>
      </c>
      <c r="L4959" s="34">
        <v>2.0299999999999998</v>
      </c>
      <c r="M4959" s="34">
        <v>690276</v>
      </c>
      <c r="N4959" s="34">
        <f t="shared" si="155"/>
        <v>7.9049844236760123</v>
      </c>
    </row>
    <row r="4960" spans="1:14" x14ac:dyDescent="0.45">
      <c r="A4960" s="30">
        <v>2025</v>
      </c>
      <c r="B4960" s="30" t="s">
        <v>10</v>
      </c>
      <c r="C4960" s="30" t="s">
        <v>46</v>
      </c>
      <c r="D4960" s="30" t="s">
        <v>47</v>
      </c>
      <c r="E4960" s="32" t="s">
        <v>181</v>
      </c>
      <c r="F4960" s="32" t="s">
        <v>57</v>
      </c>
      <c r="G4960" s="32" t="s">
        <v>50</v>
      </c>
      <c r="H4960" s="33">
        <v>21050</v>
      </c>
      <c r="I4960" s="34">
        <f>Table3[[#This Row],[Volume, kg.]]/1000</f>
        <v>21.05</v>
      </c>
      <c r="J4960" s="34">
        <v>0.26100000000000001</v>
      </c>
      <c r="K4960" s="34">
        <f t="shared" si="154"/>
        <v>5494.05</v>
      </c>
      <c r="L4960" s="34">
        <v>2.0699999999999998</v>
      </c>
      <c r="M4960" s="34">
        <v>43542</v>
      </c>
      <c r="N4960" s="34">
        <f t="shared" si="155"/>
        <v>7.9310344827586201</v>
      </c>
    </row>
    <row r="4961" spans="1:14" x14ac:dyDescent="0.45">
      <c r="A4961" s="30">
        <v>2025</v>
      </c>
      <c r="B4961" s="30" t="s">
        <v>10</v>
      </c>
      <c r="C4961" s="30" t="s">
        <v>46</v>
      </c>
      <c r="D4961" s="30" t="s">
        <v>47</v>
      </c>
      <c r="E4961" s="32" t="s">
        <v>232</v>
      </c>
      <c r="F4961" s="32" t="s">
        <v>49</v>
      </c>
      <c r="G4961" s="32" t="s">
        <v>50</v>
      </c>
      <c r="H4961" s="33">
        <v>44170</v>
      </c>
      <c r="I4961" s="34">
        <f>Table3[[#This Row],[Volume, kg.]]/1000</f>
        <v>44.17</v>
      </c>
      <c r="J4961" s="34">
        <v>0.2515</v>
      </c>
      <c r="K4961" s="34">
        <f t="shared" si="154"/>
        <v>11108.754999999999</v>
      </c>
      <c r="L4961" s="34">
        <v>2.1</v>
      </c>
      <c r="M4961" s="34">
        <v>92550.5</v>
      </c>
      <c r="N4961" s="34">
        <f t="shared" si="155"/>
        <v>8.3499005964214721</v>
      </c>
    </row>
    <row r="4962" spans="1:14" x14ac:dyDescent="0.45">
      <c r="A4962" s="30">
        <v>2025</v>
      </c>
      <c r="B4962" s="30" t="s">
        <v>10</v>
      </c>
      <c r="C4962" s="30" t="s">
        <v>46</v>
      </c>
      <c r="D4962" s="30" t="s">
        <v>47</v>
      </c>
      <c r="E4962" s="32" t="s">
        <v>213</v>
      </c>
      <c r="F4962" s="32" t="s">
        <v>49</v>
      </c>
      <c r="G4962" s="32" t="s">
        <v>50</v>
      </c>
      <c r="H4962" s="33">
        <v>21260</v>
      </c>
      <c r="I4962" s="34">
        <f>Table3[[#This Row],[Volume, kg.]]/1000</f>
        <v>21.26</v>
      </c>
      <c r="J4962" s="34">
        <v>0.22239999999999999</v>
      </c>
      <c r="K4962" s="34">
        <f t="shared" si="154"/>
        <v>4728.2240000000002</v>
      </c>
      <c r="L4962" s="34">
        <v>1.9</v>
      </c>
      <c r="M4962" s="34">
        <v>40364</v>
      </c>
      <c r="N4962" s="34">
        <f t="shared" si="155"/>
        <v>8.543165467625899</v>
      </c>
    </row>
    <row r="4963" spans="1:14" x14ac:dyDescent="0.45">
      <c r="A4963" s="30">
        <v>2025</v>
      </c>
      <c r="B4963" s="30" t="s">
        <v>10</v>
      </c>
      <c r="C4963" s="30" t="s">
        <v>46</v>
      </c>
      <c r="D4963" s="30" t="s">
        <v>47</v>
      </c>
      <c r="E4963" s="32" t="s">
        <v>69</v>
      </c>
      <c r="F4963" s="32" t="s">
        <v>49</v>
      </c>
      <c r="G4963" s="32" t="s">
        <v>50</v>
      </c>
      <c r="H4963" s="33">
        <v>63820</v>
      </c>
      <c r="I4963" s="34">
        <f>Table3[[#This Row],[Volume, kg.]]/1000</f>
        <v>63.82</v>
      </c>
      <c r="J4963" s="34">
        <v>0.24480000000000002</v>
      </c>
      <c r="K4963" s="34">
        <f t="shared" si="154"/>
        <v>15623.136</v>
      </c>
      <c r="L4963" s="34">
        <v>2.0499999999999998</v>
      </c>
      <c r="M4963" s="34">
        <v>130775</v>
      </c>
      <c r="N4963" s="34">
        <f t="shared" si="155"/>
        <v>8.3741830065359473</v>
      </c>
    </row>
    <row r="4964" spans="1:14" x14ac:dyDescent="0.45">
      <c r="A4964" s="30">
        <v>2025</v>
      </c>
      <c r="B4964" s="30" t="s">
        <v>10</v>
      </c>
      <c r="C4964" s="30" t="s">
        <v>46</v>
      </c>
      <c r="D4964" s="30" t="s">
        <v>47</v>
      </c>
      <c r="E4964" s="32" t="s">
        <v>52</v>
      </c>
      <c r="F4964" s="32" t="s">
        <v>49</v>
      </c>
      <c r="G4964" s="32" t="s">
        <v>50</v>
      </c>
      <c r="H4964" s="33">
        <v>7710</v>
      </c>
      <c r="I4964" s="34">
        <f>Table3[[#This Row],[Volume, kg.]]/1000</f>
        <v>7.71</v>
      </c>
      <c r="J4964" s="34">
        <v>0.26100000000000001</v>
      </c>
      <c r="K4964" s="34">
        <f t="shared" si="154"/>
        <v>2012.3100000000002</v>
      </c>
      <c r="L4964" s="34">
        <v>2.1</v>
      </c>
      <c r="M4964" s="34">
        <v>16191</v>
      </c>
      <c r="N4964" s="34">
        <f t="shared" si="155"/>
        <v>8.0459770114942533</v>
      </c>
    </row>
    <row r="4965" spans="1:14" x14ac:dyDescent="0.45">
      <c r="A4965" s="30">
        <v>2025</v>
      </c>
      <c r="B4965" s="30" t="s">
        <v>10</v>
      </c>
      <c r="C4965" s="30" t="s">
        <v>46</v>
      </c>
      <c r="D4965" s="30" t="s">
        <v>47</v>
      </c>
      <c r="E4965" s="32" t="s">
        <v>201</v>
      </c>
      <c r="F4965" s="32" t="s">
        <v>49</v>
      </c>
      <c r="G4965" s="32" t="s">
        <v>50</v>
      </c>
      <c r="H4965" s="33">
        <v>16930</v>
      </c>
      <c r="I4965" s="34">
        <f>Table3[[#This Row],[Volume, kg.]]/1000</f>
        <v>16.93</v>
      </c>
      <c r="J4965" s="34">
        <v>0.28100000000000003</v>
      </c>
      <c r="K4965" s="34">
        <f t="shared" si="154"/>
        <v>4757.3300000000008</v>
      </c>
      <c r="L4965" s="34">
        <v>2.1800000000000002</v>
      </c>
      <c r="M4965" s="34">
        <v>36976</v>
      </c>
      <c r="N4965" s="34">
        <f t="shared" si="155"/>
        <v>7.7580071174377219</v>
      </c>
    </row>
    <row r="4966" spans="1:14" x14ac:dyDescent="0.45">
      <c r="A4966" s="30">
        <v>2025</v>
      </c>
      <c r="B4966" s="30" t="s">
        <v>10</v>
      </c>
      <c r="C4966" s="30" t="s">
        <v>46</v>
      </c>
      <c r="D4966" s="30" t="s">
        <v>47</v>
      </c>
      <c r="E4966" s="32" t="s">
        <v>433</v>
      </c>
      <c r="F4966" s="32" t="s">
        <v>49</v>
      </c>
      <c r="G4966" s="32" t="s">
        <v>50</v>
      </c>
      <c r="H4966" s="33">
        <v>8300</v>
      </c>
      <c r="I4966" s="34">
        <f>Table3[[#This Row],[Volume, kg.]]/1000</f>
        <v>8.3000000000000007</v>
      </c>
      <c r="J4966" s="34">
        <v>0.27329999999999999</v>
      </c>
      <c r="K4966" s="34">
        <f t="shared" si="154"/>
        <v>2268.39</v>
      </c>
      <c r="L4966" s="34">
        <v>2.12</v>
      </c>
      <c r="M4966" s="34">
        <v>17627.5</v>
      </c>
      <c r="N4966" s="34">
        <f t="shared" si="155"/>
        <v>7.7570435418953538</v>
      </c>
    </row>
    <row r="4967" spans="1:14" x14ac:dyDescent="0.45">
      <c r="A4967" s="30">
        <v>2025</v>
      </c>
      <c r="B4967" s="30" t="s">
        <v>10</v>
      </c>
      <c r="C4967" s="30" t="s">
        <v>46</v>
      </c>
      <c r="D4967" s="30" t="s">
        <v>47</v>
      </c>
      <c r="E4967" s="32" t="s">
        <v>178</v>
      </c>
      <c r="F4967" s="32" t="s">
        <v>49</v>
      </c>
      <c r="G4967" s="32" t="s">
        <v>50</v>
      </c>
      <c r="H4967" s="33">
        <v>32160</v>
      </c>
      <c r="I4967" s="34">
        <f>Table3[[#This Row],[Volume, kg.]]/1000</f>
        <v>32.159999999999997</v>
      </c>
      <c r="J4967" s="34">
        <v>0.23550000000000001</v>
      </c>
      <c r="K4967" s="34">
        <f t="shared" si="154"/>
        <v>7573.68</v>
      </c>
      <c r="L4967" s="34">
        <v>1.93</v>
      </c>
      <c r="M4967" s="34">
        <v>62225</v>
      </c>
      <c r="N4967" s="34">
        <f t="shared" si="155"/>
        <v>8.1953290870488313</v>
      </c>
    </row>
    <row r="4968" spans="1:14" x14ac:dyDescent="0.45">
      <c r="A4968" s="30">
        <v>2025</v>
      </c>
      <c r="B4968" s="30" t="s">
        <v>10</v>
      </c>
      <c r="C4968" s="30" t="s">
        <v>46</v>
      </c>
      <c r="D4968" s="30" t="s">
        <v>47</v>
      </c>
      <c r="E4968" s="32" t="s">
        <v>48</v>
      </c>
      <c r="F4968" s="32" t="s">
        <v>49</v>
      </c>
      <c r="G4968" s="32" t="s">
        <v>50</v>
      </c>
      <c r="H4968" s="33">
        <v>4270</v>
      </c>
      <c r="I4968" s="34">
        <f>Table3[[#This Row],[Volume, kg.]]/1000</f>
        <v>4.2699999999999996</v>
      </c>
      <c r="J4968" s="34">
        <v>0.26250000000000001</v>
      </c>
      <c r="K4968" s="34">
        <f t="shared" si="154"/>
        <v>1120.875</v>
      </c>
      <c r="L4968" s="34">
        <v>2.1</v>
      </c>
      <c r="M4968" s="34">
        <v>8967</v>
      </c>
      <c r="N4968" s="34">
        <f t="shared" si="155"/>
        <v>8</v>
      </c>
    </row>
    <row r="4969" spans="1:14" x14ac:dyDescent="0.45">
      <c r="A4969" s="30">
        <v>2025</v>
      </c>
      <c r="B4969" s="30" t="s">
        <v>10</v>
      </c>
      <c r="C4969" s="30" t="s">
        <v>46</v>
      </c>
      <c r="D4969" s="30" t="s">
        <v>47</v>
      </c>
      <c r="E4969" s="32" t="s">
        <v>149</v>
      </c>
      <c r="F4969" s="32" t="s">
        <v>49</v>
      </c>
      <c r="G4969" s="32" t="s">
        <v>50</v>
      </c>
      <c r="H4969" s="33">
        <v>44670</v>
      </c>
      <c r="I4969" s="34">
        <f>Table3[[#This Row],[Volume, kg.]]/1000</f>
        <v>44.67</v>
      </c>
      <c r="J4969" s="34">
        <v>0.2762</v>
      </c>
      <c r="K4969" s="34">
        <f t="shared" si="154"/>
        <v>12337.853999999999</v>
      </c>
      <c r="L4969" s="34">
        <v>2.15</v>
      </c>
      <c r="M4969" s="34">
        <v>95890</v>
      </c>
      <c r="N4969" s="34">
        <f t="shared" si="155"/>
        <v>7.7842143374366399</v>
      </c>
    </row>
    <row r="4970" spans="1:14" x14ac:dyDescent="0.45">
      <c r="A4970" s="30">
        <v>2025</v>
      </c>
      <c r="B4970" s="30" t="s">
        <v>10</v>
      </c>
      <c r="C4970" s="30" t="s">
        <v>46</v>
      </c>
      <c r="D4970" s="30" t="s">
        <v>47</v>
      </c>
      <c r="E4970" s="32" t="s">
        <v>208</v>
      </c>
      <c r="F4970" s="32" t="s">
        <v>49</v>
      </c>
      <c r="G4970" s="32" t="s">
        <v>50</v>
      </c>
      <c r="H4970" s="33">
        <v>41750</v>
      </c>
      <c r="I4970" s="34">
        <f>Table3[[#This Row],[Volume, kg.]]/1000</f>
        <v>41.75</v>
      </c>
      <c r="J4970" s="34">
        <v>0.26379999999999998</v>
      </c>
      <c r="K4970" s="34">
        <f t="shared" si="154"/>
        <v>11013.65</v>
      </c>
      <c r="L4970" s="34">
        <v>2.06</v>
      </c>
      <c r="M4970" s="34">
        <v>85882</v>
      </c>
      <c r="N4970" s="34">
        <f t="shared" si="155"/>
        <v>7.8089461713419261</v>
      </c>
    </row>
    <row r="4971" spans="1:14" x14ac:dyDescent="0.45">
      <c r="A4971" s="30">
        <v>2025</v>
      </c>
      <c r="B4971" s="30" t="s">
        <v>10</v>
      </c>
      <c r="C4971" s="30" t="s">
        <v>46</v>
      </c>
      <c r="D4971" s="30" t="s">
        <v>47</v>
      </c>
      <c r="E4971" s="32" t="s">
        <v>715</v>
      </c>
      <c r="F4971" s="32" t="s">
        <v>57</v>
      </c>
      <c r="G4971" s="32" t="s">
        <v>50</v>
      </c>
      <c r="H4971" s="33">
        <v>5390</v>
      </c>
      <c r="I4971" s="34">
        <f>Table3[[#This Row],[Volume, kg.]]/1000</f>
        <v>5.39</v>
      </c>
      <c r="J4971" s="34">
        <v>0.30049999999999999</v>
      </c>
      <c r="K4971" s="34">
        <f t="shared" si="154"/>
        <v>1619.6949999999999</v>
      </c>
      <c r="L4971" s="34">
        <v>2.4</v>
      </c>
      <c r="M4971" s="34">
        <v>12936</v>
      </c>
      <c r="N4971" s="34">
        <f t="shared" si="155"/>
        <v>7.9866888519134775</v>
      </c>
    </row>
    <row r="4972" spans="1:14" x14ac:dyDescent="0.45">
      <c r="A4972" s="30">
        <v>2025</v>
      </c>
      <c r="B4972" s="30" t="s">
        <v>10</v>
      </c>
      <c r="C4972" s="30" t="s">
        <v>46</v>
      </c>
      <c r="D4972" s="30" t="s">
        <v>47</v>
      </c>
      <c r="E4972" s="32" t="s">
        <v>99</v>
      </c>
      <c r="F4972" s="32" t="s">
        <v>49</v>
      </c>
      <c r="G4972" s="32" t="s">
        <v>50</v>
      </c>
      <c r="H4972" s="33">
        <v>13810</v>
      </c>
      <c r="I4972" s="34">
        <f>Table3[[#This Row],[Volume, kg.]]/1000</f>
        <v>13.81</v>
      </c>
      <c r="J4972" s="34">
        <v>0.28399999999999997</v>
      </c>
      <c r="K4972" s="34">
        <f t="shared" si="154"/>
        <v>3922.0399999999995</v>
      </c>
      <c r="L4972" s="34">
        <v>2.2000000000000002</v>
      </c>
      <c r="M4972" s="34">
        <v>30382</v>
      </c>
      <c r="N4972" s="34">
        <f t="shared" si="155"/>
        <v>7.7464788732394378</v>
      </c>
    </row>
    <row r="4973" spans="1:14" x14ac:dyDescent="0.45">
      <c r="A4973" s="30">
        <v>2025</v>
      </c>
      <c r="B4973" s="30" t="s">
        <v>10</v>
      </c>
      <c r="C4973" s="30" t="s">
        <v>46</v>
      </c>
      <c r="D4973" s="30" t="s">
        <v>47</v>
      </c>
      <c r="E4973" s="32" t="s">
        <v>165</v>
      </c>
      <c r="F4973" s="32" t="s">
        <v>57</v>
      </c>
      <c r="G4973" s="32" t="s">
        <v>50</v>
      </c>
      <c r="H4973" s="33">
        <v>20530</v>
      </c>
      <c r="I4973" s="34">
        <f>Table3[[#This Row],[Volume, kg.]]/1000</f>
        <v>20.53</v>
      </c>
      <c r="J4973" s="34">
        <v>0.27860000000000001</v>
      </c>
      <c r="K4973" s="34">
        <f t="shared" si="154"/>
        <v>5719.6580000000004</v>
      </c>
      <c r="L4973" s="34">
        <v>2.25</v>
      </c>
      <c r="M4973" s="34">
        <v>46261.5</v>
      </c>
      <c r="N4973" s="34">
        <f t="shared" si="155"/>
        <v>8.0760947595118449</v>
      </c>
    </row>
    <row r="4974" spans="1:14" x14ac:dyDescent="0.45">
      <c r="A4974" s="30">
        <v>2025</v>
      </c>
      <c r="B4974" s="30" t="s">
        <v>10</v>
      </c>
      <c r="C4974" s="30" t="s">
        <v>46</v>
      </c>
      <c r="D4974" s="30" t="s">
        <v>47</v>
      </c>
      <c r="E4974" s="32" t="s">
        <v>219</v>
      </c>
      <c r="F4974" s="32" t="s">
        <v>57</v>
      </c>
      <c r="G4974" s="32" t="s">
        <v>50</v>
      </c>
      <c r="H4974" s="33">
        <v>8970</v>
      </c>
      <c r="I4974" s="34">
        <f>Table3[[#This Row],[Volume, kg.]]/1000</f>
        <v>8.9700000000000006</v>
      </c>
      <c r="J4974" s="34">
        <v>0.29299999999999998</v>
      </c>
      <c r="K4974" s="34">
        <f t="shared" si="154"/>
        <v>2628.21</v>
      </c>
      <c r="L4974" s="34">
        <v>2.2000000000000002</v>
      </c>
      <c r="M4974" s="34">
        <v>19734</v>
      </c>
      <c r="N4974" s="34">
        <f t="shared" si="155"/>
        <v>7.5085324232081918</v>
      </c>
    </row>
    <row r="4975" spans="1:14" x14ac:dyDescent="0.45">
      <c r="A4975" s="30">
        <v>2025</v>
      </c>
      <c r="B4975" s="30" t="s">
        <v>10</v>
      </c>
      <c r="C4975" s="30" t="s">
        <v>46</v>
      </c>
      <c r="D4975" s="30" t="s">
        <v>47</v>
      </c>
      <c r="E4975" s="32" t="s">
        <v>322</v>
      </c>
      <c r="F4975" s="32" t="s">
        <v>57</v>
      </c>
      <c r="G4975" s="32" t="s">
        <v>50</v>
      </c>
      <c r="H4975" s="33">
        <v>12300</v>
      </c>
      <c r="I4975" s="34">
        <f>Table3[[#This Row],[Volume, kg.]]/1000</f>
        <v>12.3</v>
      </c>
      <c r="J4975" s="34">
        <v>0.31010000000000004</v>
      </c>
      <c r="K4975" s="34">
        <f t="shared" si="154"/>
        <v>3814.2300000000005</v>
      </c>
      <c r="L4975" s="34">
        <v>2.4500000000000002</v>
      </c>
      <c r="M4975" s="34">
        <v>30135</v>
      </c>
      <c r="N4975" s="34">
        <f t="shared" si="155"/>
        <v>7.9006772009029342</v>
      </c>
    </row>
    <row r="4976" spans="1:14" x14ac:dyDescent="0.45">
      <c r="A4976" s="30">
        <v>2025</v>
      </c>
      <c r="B4976" s="30" t="s">
        <v>10</v>
      </c>
      <c r="C4976" s="30" t="s">
        <v>46</v>
      </c>
      <c r="D4976" s="30" t="s">
        <v>47</v>
      </c>
      <c r="E4976" s="32" t="s">
        <v>195</v>
      </c>
      <c r="F4976" s="32" t="s">
        <v>57</v>
      </c>
      <c r="G4976" s="32" t="s">
        <v>50</v>
      </c>
      <c r="H4976" s="33">
        <v>15800</v>
      </c>
      <c r="I4976" s="34">
        <f>Table3[[#This Row],[Volume, kg.]]/1000</f>
        <v>15.8</v>
      </c>
      <c r="J4976" s="34">
        <v>0.30170000000000002</v>
      </c>
      <c r="K4976" s="34">
        <f t="shared" si="154"/>
        <v>4766.8600000000006</v>
      </c>
      <c r="L4976" s="34">
        <v>2.2200000000000002</v>
      </c>
      <c r="M4976" s="34">
        <v>35050.5</v>
      </c>
      <c r="N4976" s="34">
        <f t="shared" si="155"/>
        <v>7.3583029499502821</v>
      </c>
    </row>
    <row r="4977" spans="1:14" x14ac:dyDescent="0.45">
      <c r="A4977" s="30">
        <v>2025</v>
      </c>
      <c r="B4977" s="30" t="s">
        <v>10</v>
      </c>
      <c r="C4977" s="30" t="s">
        <v>46</v>
      </c>
      <c r="D4977" s="30" t="s">
        <v>47</v>
      </c>
      <c r="E4977" s="32" t="s">
        <v>65</v>
      </c>
      <c r="F4977" s="32" t="s">
        <v>49</v>
      </c>
      <c r="G4977" s="32" t="s">
        <v>50</v>
      </c>
      <c r="H4977" s="33">
        <v>17120</v>
      </c>
      <c r="I4977" s="34">
        <f>Table3[[#This Row],[Volume, kg.]]/1000</f>
        <v>17.12</v>
      </c>
      <c r="J4977" s="34">
        <v>0.2797</v>
      </c>
      <c r="K4977" s="34">
        <f t="shared" si="154"/>
        <v>4788.4639999999999</v>
      </c>
      <c r="L4977" s="34">
        <v>2.1800000000000002</v>
      </c>
      <c r="M4977" s="34">
        <v>37407</v>
      </c>
      <c r="N4977" s="34">
        <f t="shared" si="155"/>
        <v>7.7940650697175551</v>
      </c>
    </row>
    <row r="4978" spans="1:14" x14ac:dyDescent="0.45">
      <c r="A4978" s="30">
        <v>2025</v>
      </c>
      <c r="B4978" s="30" t="s">
        <v>10</v>
      </c>
      <c r="C4978" s="30" t="s">
        <v>46</v>
      </c>
      <c r="D4978" s="30" t="s">
        <v>47</v>
      </c>
      <c r="E4978" s="32" t="s">
        <v>245</v>
      </c>
      <c r="F4978" s="32" t="s">
        <v>57</v>
      </c>
      <c r="G4978" s="32" t="s">
        <v>50</v>
      </c>
      <c r="H4978" s="33">
        <v>19790</v>
      </c>
      <c r="I4978" s="34">
        <f>Table3[[#This Row],[Volume, kg.]]/1000</f>
        <v>19.79</v>
      </c>
      <c r="J4978" s="34">
        <v>0.29570000000000002</v>
      </c>
      <c r="K4978" s="34">
        <f t="shared" si="154"/>
        <v>5851.9030000000002</v>
      </c>
      <c r="L4978" s="34">
        <v>2.2599999999999998</v>
      </c>
      <c r="M4978" s="34">
        <v>44817.5</v>
      </c>
      <c r="N4978" s="34">
        <f t="shared" si="155"/>
        <v>7.6428812986134584</v>
      </c>
    </row>
    <row r="4979" spans="1:14" x14ac:dyDescent="0.45">
      <c r="A4979" s="30">
        <v>2025</v>
      </c>
      <c r="B4979" s="30" t="s">
        <v>10</v>
      </c>
      <c r="C4979" s="30" t="s">
        <v>46</v>
      </c>
      <c r="D4979" s="30" t="s">
        <v>47</v>
      </c>
      <c r="E4979" s="32" t="s">
        <v>163</v>
      </c>
      <c r="F4979" s="32" t="s">
        <v>60</v>
      </c>
      <c r="G4979" s="32" t="s">
        <v>50</v>
      </c>
      <c r="H4979" s="33">
        <v>43500</v>
      </c>
      <c r="I4979" s="34">
        <f>Table3[[#This Row],[Volume, kg.]]/1000</f>
        <v>43.5</v>
      </c>
      <c r="J4979" s="34">
        <v>0.21969999999999998</v>
      </c>
      <c r="K4979" s="34">
        <f t="shared" si="154"/>
        <v>9556.9499999999989</v>
      </c>
      <c r="L4979" s="34">
        <v>1.83</v>
      </c>
      <c r="M4979" s="34">
        <v>79409.5</v>
      </c>
      <c r="N4979" s="34">
        <f t="shared" si="155"/>
        <v>8.3295402822030056</v>
      </c>
    </row>
    <row r="4980" spans="1:14" x14ac:dyDescent="0.45">
      <c r="A4980" s="30">
        <v>2025</v>
      </c>
      <c r="B4980" s="30" t="s">
        <v>10</v>
      </c>
      <c r="C4980" s="30" t="s">
        <v>46</v>
      </c>
      <c r="D4980" s="30" t="s">
        <v>47</v>
      </c>
      <c r="E4980" s="32" t="s">
        <v>172</v>
      </c>
      <c r="F4980" s="32" t="s">
        <v>57</v>
      </c>
      <c r="G4980" s="32" t="s">
        <v>50</v>
      </c>
      <c r="H4980" s="33">
        <v>132000</v>
      </c>
      <c r="I4980" s="34">
        <f>Table3[[#This Row],[Volume, kg.]]/1000</f>
        <v>132</v>
      </c>
      <c r="J4980" s="34">
        <v>0.26440000000000002</v>
      </c>
      <c r="K4980" s="34">
        <f t="shared" si="154"/>
        <v>34900.800000000003</v>
      </c>
      <c r="L4980" s="34">
        <v>2.1</v>
      </c>
      <c r="M4980" s="34">
        <v>276981</v>
      </c>
      <c r="N4980" s="34">
        <f t="shared" si="155"/>
        <v>7.9425113464447801</v>
      </c>
    </row>
    <row r="4981" spans="1:14" x14ac:dyDescent="0.45">
      <c r="A4981" s="30">
        <v>2025</v>
      </c>
      <c r="B4981" s="30" t="s">
        <v>10</v>
      </c>
      <c r="C4981" s="30" t="s">
        <v>46</v>
      </c>
      <c r="D4981" s="30" t="s">
        <v>47</v>
      </c>
      <c r="E4981" s="32" t="s">
        <v>372</v>
      </c>
      <c r="F4981" s="32" t="s">
        <v>49</v>
      </c>
      <c r="G4981" s="32" t="s">
        <v>50</v>
      </c>
      <c r="H4981" s="33">
        <v>6260</v>
      </c>
      <c r="I4981" s="34">
        <f>Table3[[#This Row],[Volume, kg.]]/1000</f>
        <v>6.26</v>
      </c>
      <c r="J4981" s="34">
        <v>0.27800000000000002</v>
      </c>
      <c r="K4981" s="34">
        <f t="shared" si="154"/>
        <v>1740.2800000000002</v>
      </c>
      <c r="L4981" s="34">
        <v>2.15</v>
      </c>
      <c r="M4981" s="34">
        <v>13459</v>
      </c>
      <c r="N4981" s="34">
        <f t="shared" si="155"/>
        <v>7.7338129496402868</v>
      </c>
    </row>
    <row r="4982" spans="1:14" x14ac:dyDescent="0.45">
      <c r="A4982" s="30">
        <v>2025</v>
      </c>
      <c r="B4982" s="30" t="s">
        <v>10</v>
      </c>
      <c r="C4982" s="30" t="s">
        <v>46</v>
      </c>
      <c r="D4982" s="30" t="s">
        <v>47</v>
      </c>
      <c r="E4982" s="32" t="s">
        <v>320</v>
      </c>
      <c r="F4982" s="32" t="s">
        <v>49</v>
      </c>
      <c r="G4982" s="32" t="s">
        <v>50</v>
      </c>
      <c r="H4982" s="33">
        <v>12560</v>
      </c>
      <c r="I4982" s="34">
        <f>Table3[[#This Row],[Volume, kg.]]/1000</f>
        <v>12.56</v>
      </c>
      <c r="J4982" s="34">
        <v>0.27600000000000002</v>
      </c>
      <c r="K4982" s="34">
        <f t="shared" si="154"/>
        <v>3466.5600000000004</v>
      </c>
      <c r="L4982" s="34">
        <v>2.1</v>
      </c>
      <c r="M4982" s="34">
        <v>26376</v>
      </c>
      <c r="N4982" s="34">
        <f t="shared" si="155"/>
        <v>7.6086956521739131</v>
      </c>
    </row>
    <row r="4983" spans="1:14" x14ac:dyDescent="0.45">
      <c r="A4983" s="30">
        <v>2025</v>
      </c>
      <c r="B4983" s="30" t="s">
        <v>10</v>
      </c>
      <c r="C4983" s="30" t="s">
        <v>46</v>
      </c>
      <c r="D4983" s="30" t="s">
        <v>47</v>
      </c>
      <c r="E4983" s="32" t="s">
        <v>301</v>
      </c>
      <c r="F4983" s="32" t="s">
        <v>60</v>
      </c>
      <c r="G4983" s="32" t="s">
        <v>50</v>
      </c>
      <c r="H4983" s="33">
        <v>37580</v>
      </c>
      <c r="I4983" s="34">
        <f>Table3[[#This Row],[Volume, kg.]]/1000</f>
        <v>37.58</v>
      </c>
      <c r="J4983" s="34">
        <v>0.29530000000000001</v>
      </c>
      <c r="K4983" s="34">
        <f t="shared" si="154"/>
        <v>11097.374</v>
      </c>
      <c r="L4983" s="34">
        <v>2.27</v>
      </c>
      <c r="M4983" s="34">
        <v>85370.5</v>
      </c>
      <c r="N4983" s="34">
        <f t="shared" si="155"/>
        <v>7.6870978665763632</v>
      </c>
    </row>
    <row r="4984" spans="1:14" x14ac:dyDescent="0.45">
      <c r="A4984" s="30">
        <v>2025</v>
      </c>
      <c r="B4984" s="30" t="s">
        <v>10</v>
      </c>
      <c r="C4984" s="30" t="s">
        <v>46</v>
      </c>
      <c r="D4984" s="30" t="s">
        <v>47</v>
      </c>
      <c r="E4984" s="32" t="s">
        <v>174</v>
      </c>
      <c r="F4984" s="32" t="s">
        <v>57</v>
      </c>
      <c r="G4984" s="32" t="s">
        <v>50</v>
      </c>
      <c r="H4984" s="33">
        <v>17790</v>
      </c>
      <c r="I4984" s="34">
        <f>Table3[[#This Row],[Volume, kg.]]/1000</f>
        <v>17.79</v>
      </c>
      <c r="J4984" s="34">
        <v>0.29139999999999999</v>
      </c>
      <c r="K4984" s="34">
        <f t="shared" si="154"/>
        <v>5184.0060000000003</v>
      </c>
      <c r="L4984" s="34">
        <v>2.37</v>
      </c>
      <c r="M4984" s="34">
        <v>42095.5</v>
      </c>
      <c r="N4984" s="34">
        <f t="shared" si="155"/>
        <v>8.1331503088538106</v>
      </c>
    </row>
    <row r="4985" spans="1:14" x14ac:dyDescent="0.45">
      <c r="A4985" s="30">
        <v>2025</v>
      </c>
      <c r="B4985" s="30" t="s">
        <v>10</v>
      </c>
      <c r="C4985" s="30" t="s">
        <v>46</v>
      </c>
      <c r="D4985" s="30" t="s">
        <v>47</v>
      </c>
      <c r="E4985" s="32" t="s">
        <v>325</v>
      </c>
      <c r="F4985" s="32" t="s">
        <v>60</v>
      </c>
      <c r="G4985" s="32" t="s">
        <v>50</v>
      </c>
      <c r="H4985" s="33">
        <v>12460</v>
      </c>
      <c r="I4985" s="34">
        <f>Table3[[#This Row],[Volume, kg.]]/1000</f>
        <v>12.46</v>
      </c>
      <c r="J4985" s="34">
        <v>0.29149999999999998</v>
      </c>
      <c r="K4985" s="34">
        <f t="shared" si="154"/>
        <v>3632.0899999999997</v>
      </c>
      <c r="L4985" s="34">
        <v>2.2000000000000002</v>
      </c>
      <c r="M4985" s="34">
        <v>27412</v>
      </c>
      <c r="N4985" s="34">
        <f t="shared" si="155"/>
        <v>7.5471698113207557</v>
      </c>
    </row>
    <row r="4986" spans="1:14" x14ac:dyDescent="0.45">
      <c r="A4986" s="30">
        <v>2025</v>
      </c>
      <c r="B4986" s="30" t="s">
        <v>10</v>
      </c>
      <c r="C4986" s="30" t="s">
        <v>46</v>
      </c>
      <c r="D4986" s="30" t="s">
        <v>47</v>
      </c>
      <c r="E4986" s="32" t="s">
        <v>51</v>
      </c>
      <c r="F4986" s="32" t="s">
        <v>49</v>
      </c>
      <c r="G4986" s="32" t="s">
        <v>50</v>
      </c>
      <c r="H4986" s="33">
        <v>51610</v>
      </c>
      <c r="I4986" s="34">
        <f>Table3[[#This Row],[Volume, kg.]]/1000</f>
        <v>51.61</v>
      </c>
      <c r="J4986" s="34">
        <v>0.28000000000000003</v>
      </c>
      <c r="K4986" s="34">
        <f t="shared" si="154"/>
        <v>14450.800000000001</v>
      </c>
      <c r="L4986" s="34">
        <v>2.21</v>
      </c>
      <c r="M4986" s="34">
        <v>114219.5</v>
      </c>
      <c r="N4986" s="34">
        <f t="shared" si="155"/>
        <v>7.8928571428571423</v>
      </c>
    </row>
    <row r="4987" spans="1:14" x14ac:dyDescent="0.45">
      <c r="A4987" s="30">
        <v>2025</v>
      </c>
      <c r="B4987" s="30" t="s">
        <v>10</v>
      </c>
      <c r="C4987" s="30" t="s">
        <v>46</v>
      </c>
      <c r="D4987" s="30" t="s">
        <v>47</v>
      </c>
      <c r="E4987" s="32" t="s">
        <v>462</v>
      </c>
      <c r="F4987" s="32" t="s">
        <v>49</v>
      </c>
      <c r="G4987" s="32" t="s">
        <v>50</v>
      </c>
      <c r="H4987" s="33">
        <v>39270</v>
      </c>
      <c r="I4987" s="34">
        <f>Table3[[#This Row],[Volume, kg.]]/1000</f>
        <v>39.270000000000003</v>
      </c>
      <c r="J4987" s="34">
        <v>0.26280000000000003</v>
      </c>
      <c r="K4987" s="34">
        <f t="shared" si="154"/>
        <v>10320.156000000001</v>
      </c>
      <c r="L4987" s="34">
        <v>2.04</v>
      </c>
      <c r="M4987" s="34">
        <v>80278</v>
      </c>
      <c r="N4987" s="34">
        <f t="shared" si="155"/>
        <v>7.7625570776255701</v>
      </c>
    </row>
    <row r="4988" spans="1:14" x14ac:dyDescent="0.45">
      <c r="A4988" s="30">
        <v>2025</v>
      </c>
      <c r="B4988" s="30" t="s">
        <v>10</v>
      </c>
      <c r="C4988" s="30" t="s">
        <v>46</v>
      </c>
      <c r="D4988" s="30" t="s">
        <v>47</v>
      </c>
      <c r="E4988" s="32" t="s">
        <v>179</v>
      </c>
      <c r="F4988" s="32" t="s">
        <v>60</v>
      </c>
      <c r="G4988" s="32" t="s">
        <v>50</v>
      </c>
      <c r="H4988" s="33">
        <v>10800</v>
      </c>
      <c r="I4988" s="34">
        <f>Table3[[#This Row],[Volume, kg.]]/1000</f>
        <v>10.8</v>
      </c>
      <c r="J4988" s="34">
        <v>0.30299999999999999</v>
      </c>
      <c r="K4988" s="34">
        <f t="shared" si="154"/>
        <v>3272.4</v>
      </c>
      <c r="L4988" s="34">
        <v>2.25</v>
      </c>
      <c r="M4988" s="34">
        <v>24300</v>
      </c>
      <c r="N4988" s="34">
        <f t="shared" si="155"/>
        <v>7.4257425742574261</v>
      </c>
    </row>
    <row r="4989" spans="1:14" x14ac:dyDescent="0.45">
      <c r="A4989" s="30">
        <v>2025</v>
      </c>
      <c r="B4989" s="30" t="s">
        <v>10</v>
      </c>
      <c r="C4989" s="30" t="s">
        <v>46</v>
      </c>
      <c r="D4989" s="30" t="s">
        <v>47</v>
      </c>
      <c r="E4989" s="32" t="s">
        <v>84</v>
      </c>
      <c r="F4989" s="32" t="s">
        <v>57</v>
      </c>
      <c r="G4989" s="32" t="s">
        <v>50</v>
      </c>
      <c r="H4989" s="33">
        <v>11420</v>
      </c>
      <c r="I4989" s="34">
        <f>Table3[[#This Row],[Volume, kg.]]/1000</f>
        <v>11.42</v>
      </c>
      <c r="J4989" s="34">
        <v>0.25239999999999996</v>
      </c>
      <c r="K4989" s="34">
        <f t="shared" si="154"/>
        <v>2882.4079999999994</v>
      </c>
      <c r="L4989" s="34">
        <v>2.0099999999999998</v>
      </c>
      <c r="M4989" s="34">
        <v>22991</v>
      </c>
      <c r="N4989" s="34">
        <f t="shared" si="155"/>
        <v>7.9635499207606975</v>
      </c>
    </row>
    <row r="4990" spans="1:14" x14ac:dyDescent="0.45">
      <c r="A4990" s="30">
        <v>2025</v>
      </c>
      <c r="B4990" s="30" t="s">
        <v>10</v>
      </c>
      <c r="C4990" s="30" t="s">
        <v>46</v>
      </c>
      <c r="D4990" s="30" t="s">
        <v>47</v>
      </c>
      <c r="E4990" s="32" t="s">
        <v>258</v>
      </c>
      <c r="F4990" s="32" t="s">
        <v>49</v>
      </c>
      <c r="G4990" s="32" t="s">
        <v>50</v>
      </c>
      <c r="H4990" s="33">
        <v>287990</v>
      </c>
      <c r="I4990" s="34">
        <f>Table3[[#This Row],[Volume, kg.]]/1000</f>
        <v>287.99</v>
      </c>
      <c r="J4990" s="34">
        <v>0.27940000000000004</v>
      </c>
      <c r="K4990" s="34">
        <f t="shared" si="154"/>
        <v>80464.406000000017</v>
      </c>
      <c r="L4990" s="34">
        <v>2.15</v>
      </c>
      <c r="M4990" s="34">
        <v>619463.5</v>
      </c>
      <c r="N4990" s="34">
        <f t="shared" si="155"/>
        <v>7.6950608446671422</v>
      </c>
    </row>
    <row r="4991" spans="1:14" x14ac:dyDescent="0.45">
      <c r="A4991" s="30">
        <v>2025</v>
      </c>
      <c r="B4991" s="30" t="s">
        <v>10</v>
      </c>
      <c r="C4991" s="30" t="s">
        <v>46</v>
      </c>
      <c r="D4991" s="30" t="s">
        <v>47</v>
      </c>
      <c r="E4991" s="32" t="s">
        <v>375</v>
      </c>
      <c r="F4991" s="32" t="s">
        <v>49</v>
      </c>
      <c r="G4991" s="32" t="s">
        <v>50</v>
      </c>
      <c r="H4991" s="33">
        <v>23110</v>
      </c>
      <c r="I4991" s="34">
        <f>Table3[[#This Row],[Volume, kg.]]/1000</f>
        <v>23.11</v>
      </c>
      <c r="J4991" s="34">
        <v>0.29799999999999999</v>
      </c>
      <c r="K4991" s="34">
        <f t="shared" si="154"/>
        <v>6886.78</v>
      </c>
      <c r="L4991" s="34">
        <v>2.27</v>
      </c>
      <c r="M4991" s="34">
        <v>52547.5</v>
      </c>
      <c r="N4991" s="34">
        <f t="shared" si="155"/>
        <v>7.6174496644295306</v>
      </c>
    </row>
    <row r="4992" spans="1:14" x14ac:dyDescent="0.45">
      <c r="A4992" s="30">
        <v>2025</v>
      </c>
      <c r="B4992" s="30" t="s">
        <v>10</v>
      </c>
      <c r="C4992" s="30" t="s">
        <v>46</v>
      </c>
      <c r="D4992" s="30" t="s">
        <v>47</v>
      </c>
      <c r="E4992" s="32" t="s">
        <v>363</v>
      </c>
      <c r="F4992" s="32" t="s">
        <v>60</v>
      </c>
      <c r="G4992" s="32" t="s">
        <v>50</v>
      </c>
      <c r="H4992" s="33">
        <v>16280</v>
      </c>
      <c r="I4992" s="34">
        <f>Table3[[#This Row],[Volume, kg.]]/1000</f>
        <v>16.28</v>
      </c>
      <c r="J4992" s="34">
        <v>0.2465</v>
      </c>
      <c r="K4992" s="34">
        <f t="shared" si="154"/>
        <v>4013.02</v>
      </c>
      <c r="L4992" s="34">
        <v>1.95</v>
      </c>
      <c r="M4992" s="34">
        <v>31746</v>
      </c>
      <c r="N4992" s="34">
        <f t="shared" si="155"/>
        <v>7.9107505070993911</v>
      </c>
    </row>
    <row r="4993" spans="1:14" x14ac:dyDescent="0.45">
      <c r="A4993" s="30">
        <v>2025</v>
      </c>
      <c r="B4993" s="30" t="s">
        <v>10</v>
      </c>
      <c r="C4993" s="30" t="s">
        <v>46</v>
      </c>
      <c r="D4993" s="30" t="s">
        <v>47</v>
      </c>
      <c r="E4993" s="32" t="s">
        <v>293</v>
      </c>
      <c r="F4993" s="32" t="s">
        <v>60</v>
      </c>
      <c r="G4993" s="32" t="s">
        <v>50</v>
      </c>
      <c r="H4993" s="33">
        <v>52700</v>
      </c>
      <c r="I4993" s="34">
        <f>Table3[[#This Row],[Volume, kg.]]/1000</f>
        <v>52.7</v>
      </c>
      <c r="J4993" s="34">
        <v>0.27329999999999999</v>
      </c>
      <c r="K4993" s="34">
        <f t="shared" si="154"/>
        <v>14402.91</v>
      </c>
      <c r="L4993" s="34">
        <v>2.14</v>
      </c>
      <c r="M4993" s="34">
        <v>112968</v>
      </c>
      <c r="N4993" s="34">
        <f t="shared" si="155"/>
        <v>7.8302231979509704</v>
      </c>
    </row>
    <row r="4994" spans="1:14" x14ac:dyDescent="0.45">
      <c r="A4994" s="30">
        <v>2025</v>
      </c>
      <c r="B4994" s="30" t="s">
        <v>10</v>
      </c>
      <c r="C4994" s="30" t="s">
        <v>46</v>
      </c>
      <c r="D4994" s="30" t="s">
        <v>47</v>
      </c>
      <c r="E4994" s="32" t="s">
        <v>242</v>
      </c>
      <c r="F4994" s="32" t="s">
        <v>60</v>
      </c>
      <c r="G4994" s="32" t="s">
        <v>50</v>
      </c>
      <c r="H4994" s="33">
        <v>53450</v>
      </c>
      <c r="I4994" s="34">
        <f>Table3[[#This Row],[Volume, kg.]]/1000</f>
        <v>53.45</v>
      </c>
      <c r="J4994" s="34">
        <v>0.27179999999999999</v>
      </c>
      <c r="K4994" s="34">
        <f t="shared" si="154"/>
        <v>14527.71</v>
      </c>
      <c r="L4994" s="34">
        <v>2.1</v>
      </c>
      <c r="M4994" s="34">
        <v>112471.5</v>
      </c>
      <c r="N4994" s="34">
        <f t="shared" si="155"/>
        <v>7.7262693156732896</v>
      </c>
    </row>
    <row r="4995" spans="1:14" x14ac:dyDescent="0.45">
      <c r="A4995" s="30">
        <v>2025</v>
      </c>
      <c r="B4995" s="30" t="s">
        <v>10</v>
      </c>
      <c r="C4995" s="30" t="s">
        <v>46</v>
      </c>
      <c r="D4995" s="30" t="s">
        <v>47</v>
      </c>
      <c r="E4995" s="32" t="s">
        <v>244</v>
      </c>
      <c r="F4995" s="32" t="s">
        <v>60</v>
      </c>
      <c r="G4995" s="32" t="s">
        <v>50</v>
      </c>
      <c r="H4995" s="33">
        <v>24100</v>
      </c>
      <c r="I4995" s="34">
        <f>Table3[[#This Row],[Volume, kg.]]/1000</f>
        <v>24.1</v>
      </c>
      <c r="J4995" s="34">
        <v>0.26129999999999998</v>
      </c>
      <c r="K4995" s="34">
        <f t="shared" ref="K4995:K5058" si="156">H4995*J4995</f>
        <v>6297.329999999999</v>
      </c>
      <c r="L4995" s="34">
        <v>2.04</v>
      </c>
      <c r="M4995" s="34">
        <v>49238</v>
      </c>
      <c r="N4995" s="34">
        <f t="shared" si="155"/>
        <v>7.80711825487945</v>
      </c>
    </row>
    <row r="4996" spans="1:14" x14ac:dyDescent="0.45">
      <c r="A4996" s="30">
        <v>2025</v>
      </c>
      <c r="B4996" s="30" t="s">
        <v>10</v>
      </c>
      <c r="C4996" s="30" t="s">
        <v>46</v>
      </c>
      <c r="D4996" s="30" t="s">
        <v>47</v>
      </c>
      <c r="E4996" s="32" t="s">
        <v>212</v>
      </c>
      <c r="F4996" s="32" t="s">
        <v>60</v>
      </c>
      <c r="G4996" s="32" t="s">
        <v>50</v>
      </c>
      <c r="H4996" s="33">
        <v>9170</v>
      </c>
      <c r="I4996" s="34">
        <f>Table3[[#This Row],[Volume, kg.]]/1000</f>
        <v>9.17</v>
      </c>
      <c r="J4996" s="34">
        <v>0.26050000000000001</v>
      </c>
      <c r="K4996" s="34">
        <f t="shared" si="156"/>
        <v>2388.7850000000003</v>
      </c>
      <c r="L4996" s="34">
        <v>2</v>
      </c>
      <c r="M4996" s="34">
        <v>18340</v>
      </c>
      <c r="N4996" s="34">
        <f t="shared" ref="N4996:N5059" si="157">L4996/J4996</f>
        <v>7.6775431861804222</v>
      </c>
    </row>
    <row r="4997" spans="1:14" x14ac:dyDescent="0.45">
      <c r="A4997" s="30">
        <v>2025</v>
      </c>
      <c r="B4997" s="30" t="s">
        <v>10</v>
      </c>
      <c r="C4997" s="30" t="s">
        <v>46</v>
      </c>
      <c r="D4997" s="30" t="s">
        <v>47</v>
      </c>
      <c r="E4997" s="32" t="s">
        <v>379</v>
      </c>
      <c r="F4997" s="32" t="s">
        <v>49</v>
      </c>
      <c r="G4997" s="32" t="s">
        <v>50</v>
      </c>
      <c r="H4997" s="33">
        <v>70320</v>
      </c>
      <c r="I4997" s="34">
        <f>Table3[[#This Row],[Volume, kg.]]/1000</f>
        <v>70.319999999999993</v>
      </c>
      <c r="J4997" s="34">
        <v>0.29289999999999999</v>
      </c>
      <c r="K4997" s="34">
        <f t="shared" si="156"/>
        <v>20596.727999999999</v>
      </c>
      <c r="L4997" s="34">
        <v>2.2000000000000002</v>
      </c>
      <c r="M4997" s="34">
        <v>154553</v>
      </c>
      <c r="N4997" s="34">
        <f t="shared" si="157"/>
        <v>7.5110959371799257</v>
      </c>
    </row>
    <row r="4998" spans="1:14" x14ac:dyDescent="0.45">
      <c r="A4998" s="30">
        <v>2025</v>
      </c>
      <c r="B4998" s="30" t="s">
        <v>10</v>
      </c>
      <c r="C4998" s="30" t="s">
        <v>46</v>
      </c>
      <c r="D4998" s="30" t="s">
        <v>47</v>
      </c>
      <c r="E4998" s="32" t="s">
        <v>164</v>
      </c>
      <c r="F4998" s="32" t="s">
        <v>49</v>
      </c>
      <c r="G4998" s="32" t="s">
        <v>50</v>
      </c>
      <c r="H4998" s="33">
        <v>19320</v>
      </c>
      <c r="I4998" s="34">
        <f>Table3[[#This Row],[Volume, kg.]]/1000</f>
        <v>19.32</v>
      </c>
      <c r="J4998" s="34">
        <v>0.27129999999999999</v>
      </c>
      <c r="K4998" s="34">
        <f t="shared" si="156"/>
        <v>5241.5159999999996</v>
      </c>
      <c r="L4998" s="34">
        <v>2.1</v>
      </c>
      <c r="M4998" s="34">
        <v>40637.5</v>
      </c>
      <c r="N4998" s="34">
        <f t="shared" si="157"/>
        <v>7.7405086619977892</v>
      </c>
    </row>
    <row r="4999" spans="1:14" x14ac:dyDescent="0.45">
      <c r="A4999" s="30">
        <v>2025</v>
      </c>
      <c r="B4999" s="30" t="s">
        <v>10</v>
      </c>
      <c r="C4999" s="30" t="s">
        <v>46</v>
      </c>
      <c r="D4999" s="30" t="s">
        <v>47</v>
      </c>
      <c r="E4999" s="32" t="s">
        <v>534</v>
      </c>
      <c r="F4999" s="32" t="s">
        <v>49</v>
      </c>
      <c r="G4999" s="32" t="s">
        <v>50</v>
      </c>
      <c r="H4999" s="33">
        <v>15400</v>
      </c>
      <c r="I4999" s="34">
        <f>Table3[[#This Row],[Volume, kg.]]/1000</f>
        <v>15.4</v>
      </c>
      <c r="J4999" s="34">
        <v>0.2631</v>
      </c>
      <c r="K4999" s="34">
        <f t="shared" si="156"/>
        <v>4051.74</v>
      </c>
      <c r="L4999" s="34">
        <v>2.16</v>
      </c>
      <c r="M4999" s="34">
        <v>33204</v>
      </c>
      <c r="N4999" s="34">
        <f t="shared" si="157"/>
        <v>8.2098061573546186</v>
      </c>
    </row>
    <row r="5000" spans="1:14" x14ac:dyDescent="0.45">
      <c r="A5000" s="30">
        <v>2025</v>
      </c>
      <c r="B5000" s="30" t="s">
        <v>10</v>
      </c>
      <c r="C5000" s="30" t="s">
        <v>46</v>
      </c>
      <c r="D5000" s="30" t="s">
        <v>47</v>
      </c>
      <c r="E5000" s="32" t="s">
        <v>220</v>
      </c>
      <c r="F5000" s="32" t="s">
        <v>49</v>
      </c>
      <c r="G5000" s="32" t="s">
        <v>50</v>
      </c>
      <c r="H5000" s="33">
        <v>128730</v>
      </c>
      <c r="I5000" s="34">
        <f>Table3[[#This Row],[Volume, kg.]]/1000</f>
        <v>128.72999999999999</v>
      </c>
      <c r="J5000" s="34">
        <v>0.249</v>
      </c>
      <c r="K5000" s="34">
        <f t="shared" si="156"/>
        <v>32053.77</v>
      </c>
      <c r="L5000" s="34">
        <v>2.0099999999999998</v>
      </c>
      <c r="M5000" s="34">
        <v>258637</v>
      </c>
      <c r="N5000" s="34">
        <f t="shared" si="157"/>
        <v>8.0722891566265051</v>
      </c>
    </row>
    <row r="5001" spans="1:14" x14ac:dyDescent="0.45">
      <c r="A5001" s="30">
        <v>2025</v>
      </c>
      <c r="B5001" s="30" t="s">
        <v>10</v>
      </c>
      <c r="C5001" s="30" t="s">
        <v>46</v>
      </c>
      <c r="D5001" s="30" t="s">
        <v>47</v>
      </c>
      <c r="E5001" s="32" t="s">
        <v>358</v>
      </c>
      <c r="F5001" s="32" t="s">
        <v>60</v>
      </c>
      <c r="G5001" s="32" t="s">
        <v>50</v>
      </c>
      <c r="H5001" s="33">
        <v>51060</v>
      </c>
      <c r="I5001" s="34">
        <f>Table3[[#This Row],[Volume, kg.]]/1000</f>
        <v>51.06</v>
      </c>
      <c r="J5001" s="34">
        <v>0.28079999999999999</v>
      </c>
      <c r="K5001" s="34">
        <f t="shared" si="156"/>
        <v>14337.647999999999</v>
      </c>
      <c r="L5001" s="34">
        <v>2.17</v>
      </c>
      <c r="M5001" s="34">
        <v>110914</v>
      </c>
      <c r="N5001" s="34">
        <f t="shared" si="157"/>
        <v>7.7279202279202277</v>
      </c>
    </row>
    <row r="5002" spans="1:14" x14ac:dyDescent="0.45">
      <c r="A5002" s="30">
        <v>2025</v>
      </c>
      <c r="B5002" s="30" t="s">
        <v>10</v>
      </c>
      <c r="C5002" s="30" t="s">
        <v>46</v>
      </c>
      <c r="D5002" s="30" t="s">
        <v>47</v>
      </c>
      <c r="E5002" s="32" t="s">
        <v>260</v>
      </c>
      <c r="F5002" s="32" t="s">
        <v>49</v>
      </c>
      <c r="G5002" s="32" t="s">
        <v>50</v>
      </c>
      <c r="H5002" s="33">
        <v>3100</v>
      </c>
      <c r="I5002" s="34">
        <f>Table3[[#This Row],[Volume, kg.]]/1000</f>
        <v>3.1</v>
      </c>
      <c r="J5002" s="34">
        <v>0.2535</v>
      </c>
      <c r="K5002" s="34">
        <f t="shared" si="156"/>
        <v>785.85</v>
      </c>
      <c r="L5002" s="34">
        <v>2</v>
      </c>
      <c r="M5002" s="34">
        <v>6200</v>
      </c>
      <c r="N5002" s="34">
        <f t="shared" si="157"/>
        <v>7.8895463510848129</v>
      </c>
    </row>
    <row r="5003" spans="1:14" x14ac:dyDescent="0.45">
      <c r="A5003" s="30">
        <v>2025</v>
      </c>
      <c r="B5003" s="30" t="s">
        <v>10</v>
      </c>
      <c r="C5003" s="30" t="s">
        <v>46</v>
      </c>
      <c r="D5003" s="30" t="s">
        <v>47</v>
      </c>
      <c r="E5003" s="32" t="s">
        <v>689</v>
      </c>
      <c r="F5003" s="32" t="s">
        <v>49</v>
      </c>
      <c r="G5003" s="32" t="s">
        <v>50</v>
      </c>
      <c r="H5003" s="33">
        <v>8090</v>
      </c>
      <c r="I5003" s="34">
        <f>Table3[[#This Row],[Volume, kg.]]/1000</f>
        <v>8.09</v>
      </c>
      <c r="J5003" s="34">
        <v>0.30299999999999999</v>
      </c>
      <c r="K5003" s="34">
        <f t="shared" si="156"/>
        <v>2451.27</v>
      </c>
      <c r="L5003" s="34">
        <v>2.4</v>
      </c>
      <c r="M5003" s="34">
        <v>19416</v>
      </c>
      <c r="N5003" s="34">
        <f t="shared" si="157"/>
        <v>7.9207920792079207</v>
      </c>
    </row>
    <row r="5004" spans="1:14" x14ac:dyDescent="0.45">
      <c r="A5004" s="30">
        <v>2025</v>
      </c>
      <c r="B5004" s="30" t="s">
        <v>10</v>
      </c>
      <c r="C5004" s="30" t="s">
        <v>46</v>
      </c>
      <c r="D5004" s="30" t="s">
        <v>47</v>
      </c>
      <c r="E5004" s="32" t="s">
        <v>191</v>
      </c>
      <c r="F5004" s="32" t="s">
        <v>49</v>
      </c>
      <c r="G5004" s="32" t="s">
        <v>50</v>
      </c>
      <c r="H5004" s="33">
        <v>6340</v>
      </c>
      <c r="I5004" s="34">
        <f>Table3[[#This Row],[Volume, kg.]]/1000</f>
        <v>6.34</v>
      </c>
      <c r="J5004" s="34">
        <v>0.27200000000000002</v>
      </c>
      <c r="K5004" s="34">
        <f t="shared" si="156"/>
        <v>1724.48</v>
      </c>
      <c r="L5004" s="34">
        <v>2.0499999999999998</v>
      </c>
      <c r="M5004" s="34">
        <v>12997</v>
      </c>
      <c r="N5004" s="34">
        <f t="shared" si="157"/>
        <v>7.5367647058823515</v>
      </c>
    </row>
    <row r="5005" spans="1:14" x14ac:dyDescent="0.45">
      <c r="A5005" s="30">
        <v>2025</v>
      </c>
      <c r="B5005" s="30" t="s">
        <v>10</v>
      </c>
      <c r="C5005" s="30" t="s">
        <v>46</v>
      </c>
      <c r="D5005" s="30" t="s">
        <v>47</v>
      </c>
      <c r="E5005" s="32" t="s">
        <v>291</v>
      </c>
      <c r="F5005" s="32" t="s">
        <v>57</v>
      </c>
      <c r="G5005" s="32" t="s">
        <v>50</v>
      </c>
      <c r="H5005" s="33">
        <v>127310</v>
      </c>
      <c r="I5005" s="34">
        <f>Table3[[#This Row],[Volume, kg.]]/1000</f>
        <v>127.31</v>
      </c>
      <c r="J5005" s="34">
        <v>0.27250000000000002</v>
      </c>
      <c r="K5005" s="34">
        <f t="shared" si="156"/>
        <v>34691.975000000006</v>
      </c>
      <c r="L5005" s="34">
        <v>2.11</v>
      </c>
      <c r="M5005" s="34">
        <v>269068</v>
      </c>
      <c r="N5005" s="34">
        <f t="shared" si="157"/>
        <v>7.7431192660550447</v>
      </c>
    </row>
    <row r="5006" spans="1:14" x14ac:dyDescent="0.45">
      <c r="A5006" s="30">
        <v>2025</v>
      </c>
      <c r="B5006" s="30" t="s">
        <v>10</v>
      </c>
      <c r="C5006" s="30" t="s">
        <v>46</v>
      </c>
      <c r="D5006" s="30" t="s">
        <v>47</v>
      </c>
      <c r="E5006" s="32" t="s">
        <v>352</v>
      </c>
      <c r="F5006" s="32" t="s">
        <v>54</v>
      </c>
      <c r="G5006" s="32" t="s">
        <v>50</v>
      </c>
      <c r="H5006" s="33">
        <v>61810</v>
      </c>
      <c r="I5006" s="34">
        <f>Table3[[#This Row],[Volume, kg.]]/1000</f>
        <v>61.81</v>
      </c>
      <c r="J5006" s="34">
        <v>0.27390000000000003</v>
      </c>
      <c r="K5006" s="34">
        <f t="shared" si="156"/>
        <v>16929.759000000002</v>
      </c>
      <c r="L5006" s="34">
        <v>2.09</v>
      </c>
      <c r="M5006" s="34">
        <v>129111</v>
      </c>
      <c r="N5006" s="34">
        <f t="shared" si="157"/>
        <v>7.6305220883534126</v>
      </c>
    </row>
    <row r="5007" spans="1:14" x14ac:dyDescent="0.45">
      <c r="A5007" s="30">
        <v>2025</v>
      </c>
      <c r="B5007" s="30" t="s">
        <v>10</v>
      </c>
      <c r="C5007" s="30" t="s">
        <v>46</v>
      </c>
      <c r="D5007" s="30" t="s">
        <v>47</v>
      </c>
      <c r="E5007" s="32" t="s">
        <v>465</v>
      </c>
      <c r="F5007" s="32" t="s">
        <v>57</v>
      </c>
      <c r="G5007" s="32" t="s">
        <v>50</v>
      </c>
      <c r="H5007" s="33">
        <v>9860</v>
      </c>
      <c r="I5007" s="34">
        <f>Table3[[#This Row],[Volume, kg.]]/1000</f>
        <v>9.86</v>
      </c>
      <c r="J5007" s="34">
        <v>0.25900000000000001</v>
      </c>
      <c r="K5007" s="34">
        <f t="shared" si="156"/>
        <v>2553.7400000000002</v>
      </c>
      <c r="L5007" s="34">
        <v>2.0499999999999998</v>
      </c>
      <c r="M5007" s="34">
        <v>20213</v>
      </c>
      <c r="N5007" s="34">
        <f t="shared" si="157"/>
        <v>7.9150579150579139</v>
      </c>
    </row>
    <row r="5008" spans="1:14" x14ac:dyDescent="0.45">
      <c r="A5008" s="30">
        <v>2025</v>
      </c>
      <c r="B5008" s="30" t="s">
        <v>10</v>
      </c>
      <c r="C5008" s="30" t="s">
        <v>46</v>
      </c>
      <c r="D5008" s="30" t="s">
        <v>47</v>
      </c>
      <c r="E5008" s="32" t="s">
        <v>110</v>
      </c>
      <c r="F5008" s="32" t="s">
        <v>57</v>
      </c>
      <c r="G5008" s="32" t="s">
        <v>50</v>
      </c>
      <c r="H5008" s="33">
        <v>7550</v>
      </c>
      <c r="I5008" s="34">
        <f>Table3[[#This Row],[Volume, kg.]]/1000</f>
        <v>7.55</v>
      </c>
      <c r="J5008" s="34">
        <v>0.309</v>
      </c>
      <c r="K5008" s="34">
        <f t="shared" si="156"/>
        <v>2332.9499999999998</v>
      </c>
      <c r="L5008" s="34">
        <v>2.25</v>
      </c>
      <c r="M5008" s="34">
        <v>16987.5</v>
      </c>
      <c r="N5008" s="34">
        <f t="shared" si="157"/>
        <v>7.2815533980582527</v>
      </c>
    </row>
    <row r="5009" spans="1:14" x14ac:dyDescent="0.45">
      <c r="A5009" s="30">
        <v>2025</v>
      </c>
      <c r="B5009" s="30" t="s">
        <v>10</v>
      </c>
      <c r="C5009" s="30" t="s">
        <v>46</v>
      </c>
      <c r="D5009" s="30" t="s">
        <v>47</v>
      </c>
      <c r="E5009" s="32" t="s">
        <v>162</v>
      </c>
      <c r="F5009" s="32" t="s">
        <v>49</v>
      </c>
      <c r="G5009" s="32" t="s">
        <v>50</v>
      </c>
      <c r="H5009" s="33">
        <v>198660</v>
      </c>
      <c r="I5009" s="34">
        <f>Table3[[#This Row],[Volume, kg.]]/1000</f>
        <v>198.66</v>
      </c>
      <c r="J5009" s="34">
        <v>0.2591</v>
      </c>
      <c r="K5009" s="34">
        <f t="shared" si="156"/>
        <v>51472.805999999997</v>
      </c>
      <c r="L5009" s="34">
        <v>2.02</v>
      </c>
      <c r="M5009" s="34">
        <v>400570</v>
      </c>
      <c r="N5009" s="34">
        <f t="shared" si="157"/>
        <v>7.796217676572752</v>
      </c>
    </row>
    <row r="5010" spans="1:14" x14ac:dyDescent="0.45">
      <c r="A5010" s="30">
        <v>2025</v>
      </c>
      <c r="B5010" s="30" t="s">
        <v>10</v>
      </c>
      <c r="C5010" s="30" t="s">
        <v>46</v>
      </c>
      <c r="D5010" s="30" t="s">
        <v>47</v>
      </c>
      <c r="E5010" s="32" t="s">
        <v>86</v>
      </c>
      <c r="F5010" s="32" t="s">
        <v>49</v>
      </c>
      <c r="G5010" s="32" t="s">
        <v>50</v>
      </c>
      <c r="H5010" s="33">
        <v>63190</v>
      </c>
      <c r="I5010" s="34">
        <f>Table3[[#This Row],[Volume, kg.]]/1000</f>
        <v>63.19</v>
      </c>
      <c r="J5010" s="34">
        <v>0.27929999999999999</v>
      </c>
      <c r="K5010" s="34">
        <f t="shared" si="156"/>
        <v>17648.967000000001</v>
      </c>
      <c r="L5010" s="34">
        <v>2.14</v>
      </c>
      <c r="M5010" s="34">
        <v>135206</v>
      </c>
      <c r="N5010" s="34">
        <f t="shared" si="157"/>
        <v>7.6620121732903694</v>
      </c>
    </row>
    <row r="5011" spans="1:14" x14ac:dyDescent="0.45">
      <c r="A5011" s="30">
        <v>2025</v>
      </c>
      <c r="B5011" s="30" t="s">
        <v>10</v>
      </c>
      <c r="C5011" s="30" t="s">
        <v>46</v>
      </c>
      <c r="D5011" s="30" t="s">
        <v>47</v>
      </c>
      <c r="E5011" s="32" t="s">
        <v>421</v>
      </c>
      <c r="F5011" s="32" t="s">
        <v>49</v>
      </c>
      <c r="G5011" s="32" t="s">
        <v>50</v>
      </c>
      <c r="H5011" s="33">
        <v>27770</v>
      </c>
      <c r="I5011" s="34">
        <f>Table3[[#This Row],[Volume, kg.]]/1000</f>
        <v>27.77</v>
      </c>
      <c r="J5011" s="34">
        <v>0.24789999999999998</v>
      </c>
      <c r="K5011" s="34">
        <f t="shared" si="156"/>
        <v>6884.1829999999991</v>
      </c>
      <c r="L5011" s="34">
        <v>1.95</v>
      </c>
      <c r="M5011" s="34">
        <v>54032.5</v>
      </c>
      <c r="N5011" s="34">
        <f t="shared" si="157"/>
        <v>7.8660750302541356</v>
      </c>
    </row>
    <row r="5012" spans="1:14" x14ac:dyDescent="0.45">
      <c r="A5012" s="30">
        <v>2025</v>
      </c>
      <c r="B5012" s="30" t="s">
        <v>10</v>
      </c>
      <c r="C5012" s="30" t="s">
        <v>46</v>
      </c>
      <c r="D5012" s="30" t="s">
        <v>47</v>
      </c>
      <c r="E5012" s="32" t="s">
        <v>167</v>
      </c>
      <c r="F5012" s="32" t="s">
        <v>49</v>
      </c>
      <c r="G5012" s="32" t="s">
        <v>50</v>
      </c>
      <c r="H5012" s="33">
        <v>115300</v>
      </c>
      <c r="I5012" s="34">
        <f>Table3[[#This Row],[Volume, kg.]]/1000</f>
        <v>115.3</v>
      </c>
      <c r="J5012" s="34">
        <v>0.27500000000000002</v>
      </c>
      <c r="K5012" s="34">
        <f t="shared" si="156"/>
        <v>31707.500000000004</v>
      </c>
      <c r="L5012" s="34">
        <v>2.14</v>
      </c>
      <c r="M5012" s="34">
        <v>246187.5</v>
      </c>
      <c r="N5012" s="34">
        <f t="shared" si="157"/>
        <v>7.7818181818181813</v>
      </c>
    </row>
    <row r="5013" spans="1:14" x14ac:dyDescent="0.45">
      <c r="A5013" s="30">
        <v>2025</v>
      </c>
      <c r="B5013" s="30" t="s">
        <v>10</v>
      </c>
      <c r="C5013" s="30" t="s">
        <v>46</v>
      </c>
      <c r="D5013" s="30" t="s">
        <v>47</v>
      </c>
      <c r="E5013" s="32" t="s">
        <v>329</v>
      </c>
      <c r="F5013" s="32" t="s">
        <v>49</v>
      </c>
      <c r="G5013" s="32" t="s">
        <v>50</v>
      </c>
      <c r="H5013" s="33">
        <v>76320</v>
      </c>
      <c r="I5013" s="34">
        <f>Table3[[#This Row],[Volume, kg.]]/1000</f>
        <v>76.319999999999993</v>
      </c>
      <c r="J5013" s="34">
        <v>0.27929999999999999</v>
      </c>
      <c r="K5013" s="34">
        <f t="shared" si="156"/>
        <v>21316.175999999999</v>
      </c>
      <c r="L5013" s="34">
        <v>2.21</v>
      </c>
      <c r="M5013" s="34">
        <v>169014</v>
      </c>
      <c r="N5013" s="34">
        <f t="shared" si="157"/>
        <v>7.9126387397064093</v>
      </c>
    </row>
    <row r="5014" spans="1:14" x14ac:dyDescent="0.45">
      <c r="A5014" s="30">
        <v>2025</v>
      </c>
      <c r="B5014" s="30" t="s">
        <v>10</v>
      </c>
      <c r="C5014" s="30" t="s">
        <v>46</v>
      </c>
      <c r="D5014" s="30" t="s">
        <v>47</v>
      </c>
      <c r="E5014" s="32" t="s">
        <v>190</v>
      </c>
      <c r="F5014" s="32" t="s">
        <v>81</v>
      </c>
      <c r="G5014" s="32" t="s">
        <v>50</v>
      </c>
      <c r="H5014" s="33">
        <v>117960</v>
      </c>
      <c r="I5014" s="34">
        <f>Table3[[#This Row],[Volume, kg.]]/1000</f>
        <v>117.96</v>
      </c>
      <c r="J5014" s="34">
        <v>0.26519999999999999</v>
      </c>
      <c r="K5014" s="34">
        <f t="shared" si="156"/>
        <v>31282.991999999998</v>
      </c>
      <c r="L5014" s="34">
        <v>2.06</v>
      </c>
      <c r="M5014" s="34">
        <v>243347.5</v>
      </c>
      <c r="N5014" s="34">
        <f t="shared" si="157"/>
        <v>7.7677224736048274</v>
      </c>
    </row>
    <row r="5015" spans="1:14" x14ac:dyDescent="0.45">
      <c r="A5015" s="30">
        <v>2025</v>
      </c>
      <c r="B5015" s="30" t="s">
        <v>10</v>
      </c>
      <c r="C5015" s="30" t="s">
        <v>46</v>
      </c>
      <c r="D5015" s="30" t="s">
        <v>47</v>
      </c>
      <c r="E5015" s="32" t="s">
        <v>241</v>
      </c>
      <c r="F5015" s="32" t="s">
        <v>57</v>
      </c>
      <c r="G5015" s="32" t="s">
        <v>50</v>
      </c>
      <c r="H5015" s="33">
        <v>77250</v>
      </c>
      <c r="I5015" s="34">
        <f>Table3[[#This Row],[Volume, kg.]]/1000</f>
        <v>77.25</v>
      </c>
      <c r="J5015" s="34">
        <v>0.28399999999999997</v>
      </c>
      <c r="K5015" s="34">
        <f t="shared" si="156"/>
        <v>21938.999999999996</v>
      </c>
      <c r="L5015" s="34">
        <v>2.17</v>
      </c>
      <c r="M5015" s="34">
        <v>167897</v>
      </c>
      <c r="N5015" s="34">
        <f t="shared" si="157"/>
        <v>7.6408450704225359</v>
      </c>
    </row>
    <row r="5016" spans="1:14" x14ac:dyDescent="0.45">
      <c r="A5016" s="30">
        <v>2025</v>
      </c>
      <c r="B5016" s="30" t="s">
        <v>10</v>
      </c>
      <c r="C5016" s="30" t="s">
        <v>46</v>
      </c>
      <c r="D5016" s="30" t="s">
        <v>47</v>
      </c>
      <c r="E5016" s="32" t="s">
        <v>333</v>
      </c>
      <c r="F5016" s="32" t="s">
        <v>57</v>
      </c>
      <c r="G5016" s="32" t="s">
        <v>50</v>
      </c>
      <c r="H5016" s="33">
        <v>12920</v>
      </c>
      <c r="I5016" s="34">
        <f>Table3[[#This Row],[Volume, kg.]]/1000</f>
        <v>12.92</v>
      </c>
      <c r="J5016" s="34">
        <v>0.2545</v>
      </c>
      <c r="K5016" s="34">
        <f t="shared" si="156"/>
        <v>3288.14</v>
      </c>
      <c r="L5016" s="34">
        <v>1.95</v>
      </c>
      <c r="M5016" s="34">
        <v>25194</v>
      </c>
      <c r="N5016" s="34">
        <f t="shared" si="157"/>
        <v>7.6620825147347738</v>
      </c>
    </row>
    <row r="5017" spans="1:14" x14ac:dyDescent="0.45">
      <c r="A5017" s="30">
        <v>2025</v>
      </c>
      <c r="B5017" s="30" t="s">
        <v>10</v>
      </c>
      <c r="C5017" s="30" t="s">
        <v>46</v>
      </c>
      <c r="D5017" s="30" t="s">
        <v>47</v>
      </c>
      <c r="E5017" s="32" t="s">
        <v>308</v>
      </c>
      <c r="F5017" s="32" t="s">
        <v>81</v>
      </c>
      <c r="G5017" s="32" t="s">
        <v>50</v>
      </c>
      <c r="H5017" s="33">
        <v>82150</v>
      </c>
      <c r="I5017" s="34">
        <f>Table3[[#This Row],[Volume, kg.]]/1000</f>
        <v>82.15</v>
      </c>
      <c r="J5017" s="34">
        <v>0.28420000000000001</v>
      </c>
      <c r="K5017" s="34">
        <f t="shared" si="156"/>
        <v>23347.030000000002</v>
      </c>
      <c r="L5017" s="34">
        <v>2.17</v>
      </c>
      <c r="M5017" s="34">
        <v>178130.5</v>
      </c>
      <c r="N5017" s="34">
        <f t="shared" si="157"/>
        <v>7.6354679802955658</v>
      </c>
    </row>
    <row r="5018" spans="1:14" x14ac:dyDescent="0.45">
      <c r="A5018" s="30">
        <v>2025</v>
      </c>
      <c r="B5018" s="30" t="s">
        <v>10</v>
      </c>
      <c r="C5018" s="30" t="s">
        <v>46</v>
      </c>
      <c r="D5018" s="30" t="s">
        <v>47</v>
      </c>
      <c r="E5018" s="32" t="s">
        <v>236</v>
      </c>
      <c r="F5018" s="32" t="s">
        <v>49</v>
      </c>
      <c r="G5018" s="32" t="s">
        <v>50</v>
      </c>
      <c r="H5018" s="33">
        <v>82920</v>
      </c>
      <c r="I5018" s="34">
        <f>Table3[[#This Row],[Volume, kg.]]/1000</f>
        <v>82.92</v>
      </c>
      <c r="J5018" s="34">
        <v>0.27440000000000003</v>
      </c>
      <c r="K5018" s="34">
        <f t="shared" si="156"/>
        <v>22753.248000000003</v>
      </c>
      <c r="L5018" s="34">
        <v>2.15</v>
      </c>
      <c r="M5018" s="34">
        <v>178485</v>
      </c>
      <c r="N5018" s="34">
        <f t="shared" si="157"/>
        <v>7.835276967930028</v>
      </c>
    </row>
    <row r="5019" spans="1:14" x14ac:dyDescent="0.45">
      <c r="A5019" s="30">
        <v>2025</v>
      </c>
      <c r="B5019" s="30" t="s">
        <v>10</v>
      </c>
      <c r="C5019" s="30" t="s">
        <v>46</v>
      </c>
      <c r="D5019" s="30" t="s">
        <v>47</v>
      </c>
      <c r="E5019" s="32" t="s">
        <v>111</v>
      </c>
      <c r="F5019" s="32" t="s">
        <v>60</v>
      </c>
      <c r="G5019" s="32" t="s">
        <v>50</v>
      </c>
      <c r="H5019" s="33">
        <v>39100</v>
      </c>
      <c r="I5019" s="34">
        <f>Table3[[#This Row],[Volume, kg.]]/1000</f>
        <v>39.1</v>
      </c>
      <c r="J5019" s="34">
        <v>0.2772</v>
      </c>
      <c r="K5019" s="34">
        <f t="shared" si="156"/>
        <v>10838.52</v>
      </c>
      <c r="L5019" s="34">
        <v>2.16</v>
      </c>
      <c r="M5019" s="34">
        <v>84650.5</v>
      </c>
      <c r="N5019" s="34">
        <f t="shared" si="157"/>
        <v>7.792207792207793</v>
      </c>
    </row>
    <row r="5020" spans="1:14" x14ac:dyDescent="0.45">
      <c r="A5020" s="30">
        <v>2025</v>
      </c>
      <c r="B5020" s="30" t="s">
        <v>10</v>
      </c>
      <c r="C5020" s="30" t="s">
        <v>46</v>
      </c>
      <c r="D5020" s="30" t="s">
        <v>47</v>
      </c>
      <c r="E5020" s="32" t="s">
        <v>527</v>
      </c>
      <c r="F5020" s="32" t="s">
        <v>60</v>
      </c>
      <c r="G5020" s="32" t="s">
        <v>50</v>
      </c>
      <c r="H5020" s="33">
        <v>33160</v>
      </c>
      <c r="I5020" s="34">
        <f>Table3[[#This Row],[Volume, kg.]]/1000</f>
        <v>33.159999999999997</v>
      </c>
      <c r="J5020" s="34">
        <v>0.27110000000000001</v>
      </c>
      <c r="K5020" s="34">
        <f t="shared" si="156"/>
        <v>8989.6759999999995</v>
      </c>
      <c r="L5020" s="34">
        <v>2.04</v>
      </c>
      <c r="M5020" s="34">
        <v>67658.5</v>
      </c>
      <c r="N5020" s="34">
        <f t="shared" si="157"/>
        <v>7.5248985614164514</v>
      </c>
    </row>
    <row r="5021" spans="1:14" x14ac:dyDescent="0.45">
      <c r="A5021" s="30">
        <v>2025</v>
      </c>
      <c r="B5021" s="30" t="s">
        <v>10</v>
      </c>
      <c r="C5021" s="30" t="s">
        <v>46</v>
      </c>
      <c r="D5021" s="30" t="s">
        <v>47</v>
      </c>
      <c r="E5021" s="32" t="s">
        <v>121</v>
      </c>
      <c r="F5021" s="32" t="s">
        <v>60</v>
      </c>
      <c r="G5021" s="32" t="s">
        <v>50</v>
      </c>
      <c r="H5021" s="33">
        <v>56500</v>
      </c>
      <c r="I5021" s="34">
        <f>Table3[[#This Row],[Volume, kg.]]/1000</f>
        <v>56.5</v>
      </c>
      <c r="J5021" s="34">
        <v>0.26700000000000002</v>
      </c>
      <c r="K5021" s="34">
        <f t="shared" si="156"/>
        <v>15085.5</v>
      </c>
      <c r="L5021" s="34">
        <v>2.09</v>
      </c>
      <c r="M5021" s="34">
        <v>117911.5</v>
      </c>
      <c r="N5021" s="34">
        <f t="shared" si="157"/>
        <v>7.8277153558052426</v>
      </c>
    </row>
    <row r="5022" spans="1:14" x14ac:dyDescent="0.45">
      <c r="A5022" s="30">
        <v>2025</v>
      </c>
      <c r="B5022" s="30" t="s">
        <v>10</v>
      </c>
      <c r="C5022" s="30" t="s">
        <v>46</v>
      </c>
      <c r="D5022" s="30" t="s">
        <v>47</v>
      </c>
      <c r="E5022" s="32" t="s">
        <v>59</v>
      </c>
      <c r="F5022" s="32" t="s">
        <v>60</v>
      </c>
      <c r="G5022" s="32" t="s">
        <v>50</v>
      </c>
      <c r="H5022" s="33">
        <v>39880</v>
      </c>
      <c r="I5022" s="34">
        <f>Table3[[#This Row],[Volume, kg.]]/1000</f>
        <v>39.880000000000003</v>
      </c>
      <c r="J5022" s="34">
        <v>0.2802</v>
      </c>
      <c r="K5022" s="34">
        <f t="shared" si="156"/>
        <v>11174.376</v>
      </c>
      <c r="L5022" s="34">
        <v>2.21</v>
      </c>
      <c r="M5022" s="34">
        <v>87947.5</v>
      </c>
      <c r="N5022" s="34">
        <f t="shared" si="157"/>
        <v>7.8872234118486793</v>
      </c>
    </row>
    <row r="5023" spans="1:14" x14ac:dyDescent="0.45">
      <c r="A5023" s="30">
        <v>2025</v>
      </c>
      <c r="B5023" s="30" t="s">
        <v>10</v>
      </c>
      <c r="C5023" s="30" t="s">
        <v>46</v>
      </c>
      <c r="D5023" s="30" t="s">
        <v>47</v>
      </c>
      <c r="E5023" s="32" t="s">
        <v>313</v>
      </c>
      <c r="F5023" s="32" t="s">
        <v>60</v>
      </c>
      <c r="G5023" s="32" t="s">
        <v>50</v>
      </c>
      <c r="H5023" s="33">
        <v>20320</v>
      </c>
      <c r="I5023" s="34">
        <f>Table3[[#This Row],[Volume, kg.]]/1000</f>
        <v>20.32</v>
      </c>
      <c r="J5023" s="34">
        <v>0.2571</v>
      </c>
      <c r="K5023" s="34">
        <f t="shared" si="156"/>
        <v>5224.2719999999999</v>
      </c>
      <c r="L5023" s="34">
        <v>2.0099999999999998</v>
      </c>
      <c r="M5023" s="34">
        <v>40869.5</v>
      </c>
      <c r="N5023" s="34">
        <f t="shared" si="157"/>
        <v>7.8179696616102676</v>
      </c>
    </row>
    <row r="5024" spans="1:14" x14ac:dyDescent="0.45">
      <c r="A5024" s="30">
        <v>2025</v>
      </c>
      <c r="B5024" s="30" t="s">
        <v>10</v>
      </c>
      <c r="C5024" s="30" t="s">
        <v>46</v>
      </c>
      <c r="D5024" s="30" t="s">
        <v>47</v>
      </c>
      <c r="E5024" s="32" t="s">
        <v>288</v>
      </c>
      <c r="F5024" s="32" t="s">
        <v>49</v>
      </c>
      <c r="G5024" s="32" t="s">
        <v>50</v>
      </c>
      <c r="H5024" s="33">
        <v>43270</v>
      </c>
      <c r="I5024" s="34">
        <f>Table3[[#This Row],[Volume, kg.]]/1000</f>
        <v>43.27</v>
      </c>
      <c r="J5024" s="34">
        <v>0.2999</v>
      </c>
      <c r="K5024" s="34">
        <f t="shared" si="156"/>
        <v>12976.673000000001</v>
      </c>
      <c r="L5024" s="34">
        <v>2.2999999999999998</v>
      </c>
      <c r="M5024" s="34">
        <v>99521</v>
      </c>
      <c r="N5024" s="34">
        <f t="shared" si="157"/>
        <v>7.6692230743581185</v>
      </c>
    </row>
    <row r="5025" spans="1:14" x14ac:dyDescent="0.45">
      <c r="A5025" s="30">
        <v>2025</v>
      </c>
      <c r="B5025" s="30" t="s">
        <v>10</v>
      </c>
      <c r="C5025" s="30" t="s">
        <v>46</v>
      </c>
      <c r="D5025" s="30" t="s">
        <v>47</v>
      </c>
      <c r="E5025" s="32" t="s">
        <v>70</v>
      </c>
      <c r="F5025" s="32" t="s">
        <v>49</v>
      </c>
      <c r="G5025" s="32" t="s">
        <v>50</v>
      </c>
      <c r="H5025" s="33">
        <v>325400</v>
      </c>
      <c r="I5025" s="34">
        <f>Table3[[#This Row],[Volume, kg.]]/1000</f>
        <v>325.39999999999998</v>
      </c>
      <c r="J5025" s="34">
        <v>0.27910000000000001</v>
      </c>
      <c r="K5025" s="34">
        <f t="shared" si="156"/>
        <v>90819.14</v>
      </c>
      <c r="L5025" s="34">
        <v>2.15</v>
      </c>
      <c r="M5025" s="34">
        <v>698675</v>
      </c>
      <c r="N5025" s="34">
        <f t="shared" si="157"/>
        <v>7.7033321390182721</v>
      </c>
    </row>
    <row r="5026" spans="1:14" x14ac:dyDescent="0.45">
      <c r="A5026" s="30">
        <v>2025</v>
      </c>
      <c r="B5026" s="30" t="s">
        <v>10</v>
      </c>
      <c r="C5026" s="30" t="s">
        <v>46</v>
      </c>
      <c r="D5026" s="30" t="s">
        <v>47</v>
      </c>
      <c r="E5026" s="32" t="s">
        <v>265</v>
      </c>
      <c r="F5026" s="32" t="s">
        <v>49</v>
      </c>
      <c r="G5026" s="32" t="s">
        <v>50</v>
      </c>
      <c r="H5026" s="33">
        <v>28950</v>
      </c>
      <c r="I5026" s="34">
        <f>Table3[[#This Row],[Volume, kg.]]/1000</f>
        <v>28.95</v>
      </c>
      <c r="J5026" s="34">
        <v>0.29299999999999998</v>
      </c>
      <c r="K5026" s="34">
        <f t="shared" si="156"/>
        <v>8482.35</v>
      </c>
      <c r="L5026" s="34">
        <v>2.29</v>
      </c>
      <c r="M5026" s="34">
        <v>66369</v>
      </c>
      <c r="N5026" s="34">
        <f t="shared" si="157"/>
        <v>7.815699658703072</v>
      </c>
    </row>
    <row r="5027" spans="1:14" x14ac:dyDescent="0.45">
      <c r="A5027" s="30">
        <v>2025</v>
      </c>
      <c r="B5027" s="30" t="s">
        <v>10</v>
      </c>
      <c r="C5027" s="30" t="s">
        <v>46</v>
      </c>
      <c r="D5027" s="30" t="s">
        <v>47</v>
      </c>
      <c r="E5027" s="32" t="s">
        <v>192</v>
      </c>
      <c r="F5027" s="32" t="s">
        <v>49</v>
      </c>
      <c r="G5027" s="32" t="s">
        <v>50</v>
      </c>
      <c r="H5027" s="33">
        <v>5570</v>
      </c>
      <c r="I5027" s="34">
        <f>Table3[[#This Row],[Volume, kg.]]/1000</f>
        <v>5.57</v>
      </c>
      <c r="J5027" s="34">
        <v>0.28449999999999998</v>
      </c>
      <c r="K5027" s="34">
        <f t="shared" si="156"/>
        <v>1584.665</v>
      </c>
      <c r="L5027" s="34">
        <v>2.1</v>
      </c>
      <c r="M5027" s="34">
        <v>11697</v>
      </c>
      <c r="N5027" s="34">
        <f t="shared" si="157"/>
        <v>7.3813708260105457</v>
      </c>
    </row>
    <row r="5028" spans="1:14" x14ac:dyDescent="0.45">
      <c r="A5028" s="30">
        <v>2025</v>
      </c>
      <c r="B5028" s="30" t="s">
        <v>10</v>
      </c>
      <c r="C5028" s="30" t="s">
        <v>46</v>
      </c>
      <c r="D5028" s="30" t="s">
        <v>47</v>
      </c>
      <c r="E5028" s="32" t="s">
        <v>277</v>
      </c>
      <c r="F5028" s="32" t="s">
        <v>60</v>
      </c>
      <c r="G5028" s="32" t="s">
        <v>50</v>
      </c>
      <c r="H5028" s="33">
        <v>23670</v>
      </c>
      <c r="I5028" s="34">
        <f>Table3[[#This Row],[Volume, kg.]]/1000</f>
        <v>23.67</v>
      </c>
      <c r="J5028" s="34">
        <v>0.23870000000000002</v>
      </c>
      <c r="K5028" s="34">
        <f t="shared" si="156"/>
        <v>5650.0290000000005</v>
      </c>
      <c r="L5028" s="34">
        <v>1.96</v>
      </c>
      <c r="M5028" s="34">
        <v>46409.5</v>
      </c>
      <c r="N5028" s="34">
        <f t="shared" si="157"/>
        <v>8.2111436950146626</v>
      </c>
    </row>
    <row r="5029" spans="1:14" x14ac:dyDescent="0.45">
      <c r="A5029" s="30">
        <v>2025</v>
      </c>
      <c r="B5029" s="30" t="s">
        <v>10</v>
      </c>
      <c r="C5029" s="30" t="s">
        <v>46</v>
      </c>
      <c r="D5029" s="30" t="s">
        <v>47</v>
      </c>
      <c r="E5029" s="32" t="s">
        <v>324</v>
      </c>
      <c r="F5029" s="32" t="s">
        <v>81</v>
      </c>
      <c r="G5029" s="32" t="s">
        <v>50</v>
      </c>
      <c r="H5029" s="33">
        <v>28790</v>
      </c>
      <c r="I5029" s="34">
        <f>Table3[[#This Row],[Volume, kg.]]/1000</f>
        <v>28.79</v>
      </c>
      <c r="J5029" s="34">
        <v>0.27010000000000001</v>
      </c>
      <c r="K5029" s="34">
        <f t="shared" si="156"/>
        <v>7776.1790000000001</v>
      </c>
      <c r="L5029" s="34">
        <v>2.0499999999999998</v>
      </c>
      <c r="M5029" s="34">
        <v>59136</v>
      </c>
      <c r="N5029" s="34">
        <f t="shared" si="157"/>
        <v>7.5897815623843012</v>
      </c>
    </row>
    <row r="5030" spans="1:14" x14ac:dyDescent="0.45">
      <c r="A5030" s="30">
        <v>2025</v>
      </c>
      <c r="B5030" s="30" t="s">
        <v>10</v>
      </c>
      <c r="C5030" s="30" t="s">
        <v>46</v>
      </c>
      <c r="D5030" s="30" t="s">
        <v>47</v>
      </c>
      <c r="E5030" s="32" t="s">
        <v>135</v>
      </c>
      <c r="F5030" s="32" t="s">
        <v>49</v>
      </c>
      <c r="G5030" s="32" t="s">
        <v>50</v>
      </c>
      <c r="H5030" s="33">
        <v>76890</v>
      </c>
      <c r="I5030" s="34">
        <f>Table3[[#This Row],[Volume, kg.]]/1000</f>
        <v>76.89</v>
      </c>
      <c r="J5030" s="34">
        <v>0.26079999999999998</v>
      </c>
      <c r="K5030" s="34">
        <f t="shared" si="156"/>
        <v>20052.911999999997</v>
      </c>
      <c r="L5030" s="34">
        <v>2.04</v>
      </c>
      <c r="M5030" s="34">
        <v>156553.5</v>
      </c>
      <c r="N5030" s="34">
        <f t="shared" si="157"/>
        <v>7.8220858895705527</v>
      </c>
    </row>
    <row r="5031" spans="1:14" x14ac:dyDescent="0.45">
      <c r="A5031" s="30">
        <v>2025</v>
      </c>
      <c r="B5031" s="30" t="s">
        <v>10</v>
      </c>
      <c r="C5031" s="30" t="s">
        <v>46</v>
      </c>
      <c r="D5031" s="30" t="s">
        <v>47</v>
      </c>
      <c r="E5031" s="32" t="s">
        <v>390</v>
      </c>
      <c r="F5031" s="32" t="s">
        <v>60</v>
      </c>
      <c r="G5031" s="32" t="s">
        <v>50</v>
      </c>
      <c r="H5031" s="33">
        <v>14250</v>
      </c>
      <c r="I5031" s="34">
        <f>Table3[[#This Row],[Volume, kg.]]/1000</f>
        <v>14.25</v>
      </c>
      <c r="J5031" s="34">
        <v>0.24149999999999999</v>
      </c>
      <c r="K5031" s="34">
        <f t="shared" si="156"/>
        <v>3441.375</v>
      </c>
      <c r="L5031" s="34">
        <v>1.95</v>
      </c>
      <c r="M5031" s="34">
        <v>27787.5</v>
      </c>
      <c r="N5031" s="34">
        <f t="shared" si="157"/>
        <v>8.0745341614906838</v>
      </c>
    </row>
    <row r="5032" spans="1:14" x14ac:dyDescent="0.45">
      <c r="A5032" s="30">
        <v>2025</v>
      </c>
      <c r="B5032" s="30" t="s">
        <v>10</v>
      </c>
      <c r="C5032" s="30" t="s">
        <v>46</v>
      </c>
      <c r="D5032" s="30" t="s">
        <v>47</v>
      </c>
      <c r="E5032" s="32" t="s">
        <v>144</v>
      </c>
      <c r="F5032" s="32" t="s">
        <v>49</v>
      </c>
      <c r="G5032" s="32" t="s">
        <v>50</v>
      </c>
      <c r="H5032" s="33">
        <v>16740</v>
      </c>
      <c r="I5032" s="34">
        <f>Table3[[#This Row],[Volume, kg.]]/1000</f>
        <v>16.739999999999998</v>
      </c>
      <c r="J5032" s="34">
        <v>0.27739999999999998</v>
      </c>
      <c r="K5032" s="34">
        <f t="shared" si="156"/>
        <v>4643.6759999999995</v>
      </c>
      <c r="L5032" s="34">
        <v>2.15</v>
      </c>
      <c r="M5032" s="34">
        <v>35991</v>
      </c>
      <c r="N5032" s="34">
        <f t="shared" si="157"/>
        <v>7.7505407354001443</v>
      </c>
    </row>
    <row r="5033" spans="1:14" x14ac:dyDescent="0.45">
      <c r="A5033" s="30">
        <v>2025</v>
      </c>
      <c r="B5033" s="30" t="s">
        <v>10</v>
      </c>
      <c r="C5033" s="30" t="s">
        <v>46</v>
      </c>
      <c r="D5033" s="30" t="s">
        <v>47</v>
      </c>
      <c r="E5033" s="32" t="s">
        <v>570</v>
      </c>
      <c r="F5033" s="32" t="s">
        <v>49</v>
      </c>
      <c r="G5033" s="32" t="s">
        <v>50</v>
      </c>
      <c r="H5033" s="33">
        <v>31440</v>
      </c>
      <c r="I5033" s="34">
        <f>Table3[[#This Row],[Volume, kg.]]/1000</f>
        <v>31.44</v>
      </c>
      <c r="J5033" s="34">
        <v>0.2752</v>
      </c>
      <c r="K5033" s="34">
        <f t="shared" si="156"/>
        <v>8652.2880000000005</v>
      </c>
      <c r="L5033" s="34">
        <v>2.14</v>
      </c>
      <c r="M5033" s="34">
        <v>67264.5</v>
      </c>
      <c r="N5033" s="34">
        <f t="shared" si="157"/>
        <v>7.7761627906976747</v>
      </c>
    </row>
    <row r="5034" spans="1:14" x14ac:dyDescent="0.45">
      <c r="A5034" s="30">
        <v>2025</v>
      </c>
      <c r="B5034" s="30" t="s">
        <v>10</v>
      </c>
      <c r="C5034" s="30" t="s">
        <v>46</v>
      </c>
      <c r="D5034" s="30" t="s">
        <v>47</v>
      </c>
      <c r="E5034" s="32" t="s">
        <v>76</v>
      </c>
      <c r="F5034" s="32" t="s">
        <v>60</v>
      </c>
      <c r="G5034" s="32" t="s">
        <v>50</v>
      </c>
      <c r="H5034" s="33">
        <v>134940</v>
      </c>
      <c r="I5034" s="34">
        <f>Table3[[#This Row],[Volume, kg.]]/1000</f>
        <v>134.94</v>
      </c>
      <c r="J5034" s="34">
        <v>0.26500000000000001</v>
      </c>
      <c r="K5034" s="34">
        <f t="shared" si="156"/>
        <v>35759.1</v>
      </c>
      <c r="L5034" s="34">
        <v>2.08</v>
      </c>
      <c r="M5034" s="34">
        <v>280936</v>
      </c>
      <c r="N5034" s="34">
        <f t="shared" si="157"/>
        <v>7.8490566037735849</v>
      </c>
    </row>
    <row r="5035" spans="1:14" x14ac:dyDescent="0.45">
      <c r="A5035" s="30">
        <v>2025</v>
      </c>
      <c r="B5035" s="30" t="s">
        <v>10</v>
      </c>
      <c r="C5035" s="30" t="s">
        <v>46</v>
      </c>
      <c r="D5035" s="30" t="s">
        <v>47</v>
      </c>
      <c r="E5035" s="32" t="s">
        <v>100</v>
      </c>
      <c r="F5035" s="32" t="s">
        <v>60</v>
      </c>
      <c r="G5035" s="32" t="s">
        <v>50</v>
      </c>
      <c r="H5035" s="33">
        <v>34300</v>
      </c>
      <c r="I5035" s="34">
        <f>Table3[[#This Row],[Volume, kg.]]/1000</f>
        <v>34.299999999999997</v>
      </c>
      <c r="J5035" s="34">
        <v>0.2762</v>
      </c>
      <c r="K5035" s="34">
        <f t="shared" si="156"/>
        <v>9473.66</v>
      </c>
      <c r="L5035" s="34">
        <v>2.1800000000000002</v>
      </c>
      <c r="M5035" s="34">
        <v>74820</v>
      </c>
      <c r="N5035" s="34">
        <f t="shared" si="157"/>
        <v>7.8928312816799426</v>
      </c>
    </row>
    <row r="5036" spans="1:14" x14ac:dyDescent="0.45">
      <c r="A5036" s="30">
        <v>2025</v>
      </c>
      <c r="B5036" s="30" t="s">
        <v>10</v>
      </c>
      <c r="C5036" s="30" t="s">
        <v>46</v>
      </c>
      <c r="D5036" s="30" t="s">
        <v>47</v>
      </c>
      <c r="E5036" s="32" t="s">
        <v>145</v>
      </c>
      <c r="F5036" s="32" t="s">
        <v>60</v>
      </c>
      <c r="G5036" s="32" t="s">
        <v>50</v>
      </c>
      <c r="H5036" s="33">
        <v>12410</v>
      </c>
      <c r="I5036" s="34">
        <f>Table3[[#This Row],[Volume, kg.]]/1000</f>
        <v>12.41</v>
      </c>
      <c r="J5036" s="34">
        <v>0.28850000000000003</v>
      </c>
      <c r="K5036" s="34">
        <f t="shared" si="156"/>
        <v>3580.2850000000003</v>
      </c>
      <c r="L5036" s="34">
        <v>2.25</v>
      </c>
      <c r="M5036" s="34">
        <v>27922.5</v>
      </c>
      <c r="N5036" s="34">
        <f t="shared" si="157"/>
        <v>7.7989601386481793</v>
      </c>
    </row>
    <row r="5037" spans="1:14" x14ac:dyDescent="0.45">
      <c r="A5037" s="30">
        <v>2025</v>
      </c>
      <c r="B5037" s="30" t="s">
        <v>10</v>
      </c>
      <c r="C5037" s="30" t="s">
        <v>46</v>
      </c>
      <c r="D5037" s="30" t="s">
        <v>47</v>
      </c>
      <c r="E5037" s="32" t="s">
        <v>283</v>
      </c>
      <c r="F5037" s="32" t="s">
        <v>49</v>
      </c>
      <c r="G5037" s="32" t="s">
        <v>50</v>
      </c>
      <c r="H5037" s="33">
        <v>124410</v>
      </c>
      <c r="I5037" s="34">
        <f>Table3[[#This Row],[Volume, kg.]]/1000</f>
        <v>124.41</v>
      </c>
      <c r="J5037" s="34">
        <v>0.27440000000000003</v>
      </c>
      <c r="K5037" s="34">
        <f t="shared" si="156"/>
        <v>34138.104000000007</v>
      </c>
      <c r="L5037" s="34">
        <v>2.1</v>
      </c>
      <c r="M5037" s="34">
        <v>261646.5</v>
      </c>
      <c r="N5037" s="34">
        <f t="shared" si="157"/>
        <v>7.6530612244897958</v>
      </c>
    </row>
    <row r="5038" spans="1:14" x14ac:dyDescent="0.45">
      <c r="A5038" s="30">
        <v>2025</v>
      </c>
      <c r="B5038" s="30" t="s">
        <v>10</v>
      </c>
      <c r="C5038" s="30" t="s">
        <v>46</v>
      </c>
      <c r="D5038" s="30" t="s">
        <v>47</v>
      </c>
      <c r="E5038" s="32" t="s">
        <v>268</v>
      </c>
      <c r="F5038" s="32" t="s">
        <v>57</v>
      </c>
      <c r="G5038" s="32" t="s">
        <v>50</v>
      </c>
      <c r="H5038" s="33">
        <v>26770</v>
      </c>
      <c r="I5038" s="34">
        <f>Table3[[#This Row],[Volume, kg.]]/1000</f>
        <v>26.77</v>
      </c>
      <c r="J5038" s="34">
        <v>0.30549999999999999</v>
      </c>
      <c r="K5038" s="34">
        <f t="shared" si="156"/>
        <v>8178.2349999999997</v>
      </c>
      <c r="L5038" s="34">
        <v>2.23</v>
      </c>
      <c r="M5038" s="34">
        <v>59731.5</v>
      </c>
      <c r="N5038" s="34">
        <f t="shared" si="157"/>
        <v>7.2995090016366611</v>
      </c>
    </row>
    <row r="5039" spans="1:14" x14ac:dyDescent="0.45">
      <c r="A5039" s="30">
        <v>2025</v>
      </c>
      <c r="B5039" s="30" t="s">
        <v>10</v>
      </c>
      <c r="C5039" s="30" t="s">
        <v>46</v>
      </c>
      <c r="D5039" s="30" t="s">
        <v>47</v>
      </c>
      <c r="E5039" s="32" t="s">
        <v>502</v>
      </c>
      <c r="F5039" s="32" t="s">
        <v>49</v>
      </c>
      <c r="G5039" s="32" t="s">
        <v>50</v>
      </c>
      <c r="H5039" s="33">
        <v>11590</v>
      </c>
      <c r="I5039" s="34">
        <f>Table3[[#This Row],[Volume, kg.]]/1000</f>
        <v>11.59</v>
      </c>
      <c r="J5039" s="34">
        <v>0.27100000000000002</v>
      </c>
      <c r="K5039" s="34">
        <f t="shared" si="156"/>
        <v>3140.8900000000003</v>
      </c>
      <c r="L5039" s="34">
        <v>2.15</v>
      </c>
      <c r="M5039" s="34">
        <v>24918.5</v>
      </c>
      <c r="N5039" s="34">
        <f t="shared" si="157"/>
        <v>7.9335793357933575</v>
      </c>
    </row>
    <row r="5040" spans="1:14" x14ac:dyDescent="0.45">
      <c r="A5040" s="30">
        <v>2025</v>
      </c>
      <c r="B5040" s="30" t="s">
        <v>10</v>
      </c>
      <c r="C5040" s="30" t="s">
        <v>46</v>
      </c>
      <c r="D5040" s="30" t="s">
        <v>47</v>
      </c>
      <c r="E5040" s="32" t="s">
        <v>122</v>
      </c>
      <c r="F5040" s="32" t="s">
        <v>49</v>
      </c>
      <c r="G5040" s="32" t="s">
        <v>50</v>
      </c>
      <c r="H5040" s="33">
        <v>9430</v>
      </c>
      <c r="I5040" s="34">
        <f>Table3[[#This Row],[Volume, kg.]]/1000</f>
        <v>9.43</v>
      </c>
      <c r="J5040" s="34">
        <v>0.25800000000000001</v>
      </c>
      <c r="K5040" s="34">
        <f t="shared" si="156"/>
        <v>2432.94</v>
      </c>
      <c r="L5040" s="34">
        <v>2</v>
      </c>
      <c r="M5040" s="34">
        <v>18905.5</v>
      </c>
      <c r="N5040" s="34">
        <f t="shared" si="157"/>
        <v>7.7519379844961236</v>
      </c>
    </row>
    <row r="5041" spans="1:14" x14ac:dyDescent="0.45">
      <c r="A5041" s="30">
        <v>2025</v>
      </c>
      <c r="B5041" s="30" t="s">
        <v>10</v>
      </c>
      <c r="C5041" s="30" t="s">
        <v>46</v>
      </c>
      <c r="D5041" s="30" t="s">
        <v>47</v>
      </c>
      <c r="E5041" s="32" t="s">
        <v>667</v>
      </c>
      <c r="F5041" s="32" t="s">
        <v>60</v>
      </c>
      <c r="G5041" s="32" t="s">
        <v>50</v>
      </c>
      <c r="H5041" s="33">
        <v>23680</v>
      </c>
      <c r="I5041" s="34">
        <f>Table3[[#This Row],[Volume, kg.]]/1000</f>
        <v>23.68</v>
      </c>
      <c r="J5041" s="34">
        <v>0.26879999999999998</v>
      </c>
      <c r="K5041" s="34">
        <f t="shared" si="156"/>
        <v>6365.1839999999993</v>
      </c>
      <c r="L5041" s="34">
        <v>2.1</v>
      </c>
      <c r="M5041" s="34">
        <v>49781</v>
      </c>
      <c r="N5041" s="34">
        <f t="shared" si="157"/>
        <v>7.8125000000000009</v>
      </c>
    </row>
    <row r="5042" spans="1:14" x14ac:dyDescent="0.45">
      <c r="A5042" s="30">
        <v>2025</v>
      </c>
      <c r="B5042" s="30" t="s">
        <v>10</v>
      </c>
      <c r="C5042" s="30" t="s">
        <v>46</v>
      </c>
      <c r="D5042" s="30" t="s">
        <v>47</v>
      </c>
      <c r="E5042" s="32" t="s">
        <v>171</v>
      </c>
      <c r="F5042" s="32" t="s">
        <v>49</v>
      </c>
      <c r="G5042" s="32" t="s">
        <v>50</v>
      </c>
      <c r="H5042" s="33">
        <v>24920</v>
      </c>
      <c r="I5042" s="34">
        <f>Table3[[#This Row],[Volume, kg.]]/1000</f>
        <v>24.92</v>
      </c>
      <c r="J5042" s="34">
        <v>0.27089999999999997</v>
      </c>
      <c r="K5042" s="34">
        <f t="shared" si="156"/>
        <v>6750.8279999999995</v>
      </c>
      <c r="L5042" s="34">
        <v>2.17</v>
      </c>
      <c r="M5042" s="34">
        <v>54158</v>
      </c>
      <c r="N5042" s="34">
        <f t="shared" si="157"/>
        <v>8.0103359173126627</v>
      </c>
    </row>
    <row r="5043" spans="1:14" x14ac:dyDescent="0.45">
      <c r="A5043" s="30">
        <v>2025</v>
      </c>
      <c r="B5043" s="30" t="s">
        <v>10</v>
      </c>
      <c r="C5043" s="30" t="s">
        <v>46</v>
      </c>
      <c r="D5043" s="30" t="s">
        <v>47</v>
      </c>
      <c r="E5043" s="32" t="s">
        <v>233</v>
      </c>
      <c r="F5043" s="32" t="s">
        <v>57</v>
      </c>
      <c r="G5043" s="32" t="s">
        <v>50</v>
      </c>
      <c r="H5043" s="33">
        <v>49890</v>
      </c>
      <c r="I5043" s="34">
        <f>Table3[[#This Row],[Volume, kg.]]/1000</f>
        <v>49.89</v>
      </c>
      <c r="J5043" s="34">
        <v>0.2974</v>
      </c>
      <c r="K5043" s="34">
        <f t="shared" si="156"/>
        <v>14837.286</v>
      </c>
      <c r="L5043" s="34">
        <v>2.21</v>
      </c>
      <c r="M5043" s="34">
        <v>110500.5</v>
      </c>
      <c r="N5043" s="34">
        <f t="shared" si="157"/>
        <v>7.4310692669804972</v>
      </c>
    </row>
    <row r="5044" spans="1:14" x14ac:dyDescent="0.45">
      <c r="A5044" s="30">
        <v>2025</v>
      </c>
      <c r="B5044" s="30" t="s">
        <v>10</v>
      </c>
      <c r="C5044" s="30" t="s">
        <v>46</v>
      </c>
      <c r="D5044" s="30" t="s">
        <v>47</v>
      </c>
      <c r="E5044" s="32" t="s">
        <v>275</v>
      </c>
      <c r="F5044" s="32" t="s">
        <v>54</v>
      </c>
      <c r="G5044" s="32" t="s">
        <v>50</v>
      </c>
      <c r="H5044" s="33">
        <v>58460</v>
      </c>
      <c r="I5044" s="34">
        <f>Table3[[#This Row],[Volume, kg.]]/1000</f>
        <v>58.46</v>
      </c>
      <c r="J5044" s="34">
        <v>0.26600000000000001</v>
      </c>
      <c r="K5044" s="34">
        <f t="shared" si="156"/>
        <v>15550.36</v>
      </c>
      <c r="L5044" s="34">
        <v>2.08</v>
      </c>
      <c r="M5044" s="34">
        <v>121579</v>
      </c>
      <c r="N5044" s="34">
        <f t="shared" si="157"/>
        <v>7.8195488721804507</v>
      </c>
    </row>
    <row r="5045" spans="1:14" x14ac:dyDescent="0.45">
      <c r="A5045" s="30">
        <v>2025</v>
      </c>
      <c r="B5045" s="30" t="s">
        <v>10</v>
      </c>
      <c r="C5045" s="30" t="s">
        <v>46</v>
      </c>
      <c r="D5045" s="30" t="s">
        <v>47</v>
      </c>
      <c r="E5045" s="32" t="s">
        <v>116</v>
      </c>
      <c r="F5045" s="32" t="s">
        <v>81</v>
      </c>
      <c r="G5045" s="32" t="s">
        <v>50</v>
      </c>
      <c r="H5045" s="33">
        <v>124520</v>
      </c>
      <c r="I5045" s="34">
        <f>Table3[[#This Row],[Volume, kg.]]/1000</f>
        <v>124.52</v>
      </c>
      <c r="J5045" s="34">
        <v>0.28989999999999999</v>
      </c>
      <c r="K5045" s="34">
        <f t="shared" si="156"/>
        <v>36098.347999999998</v>
      </c>
      <c r="L5045" s="34">
        <v>2.21</v>
      </c>
      <c r="M5045" s="34">
        <v>275128</v>
      </c>
      <c r="N5045" s="34">
        <f t="shared" si="157"/>
        <v>7.623318385650224</v>
      </c>
    </row>
    <row r="5046" spans="1:14" x14ac:dyDescent="0.45">
      <c r="A5046" s="30">
        <v>2025</v>
      </c>
      <c r="B5046" s="30" t="s">
        <v>10</v>
      </c>
      <c r="C5046" s="30" t="s">
        <v>46</v>
      </c>
      <c r="D5046" s="30" t="s">
        <v>47</v>
      </c>
      <c r="E5046" s="32" t="s">
        <v>186</v>
      </c>
      <c r="F5046" s="32" t="s">
        <v>64</v>
      </c>
      <c r="G5046" s="32" t="s">
        <v>50</v>
      </c>
      <c r="H5046" s="33">
        <v>19220</v>
      </c>
      <c r="I5046" s="34">
        <f>Table3[[#This Row],[Volume, kg.]]/1000</f>
        <v>19.22</v>
      </c>
      <c r="J5046" s="34">
        <v>0.192</v>
      </c>
      <c r="K5046" s="34">
        <f t="shared" si="156"/>
        <v>3690.2400000000002</v>
      </c>
      <c r="L5046" s="34">
        <v>1.7</v>
      </c>
      <c r="M5046" s="34">
        <v>32670</v>
      </c>
      <c r="N5046" s="34">
        <f t="shared" si="157"/>
        <v>8.8541666666666661</v>
      </c>
    </row>
    <row r="5047" spans="1:14" x14ac:dyDescent="0.45">
      <c r="A5047" s="30">
        <v>2025</v>
      </c>
      <c r="B5047" s="30" t="s">
        <v>10</v>
      </c>
      <c r="C5047" s="30" t="s">
        <v>46</v>
      </c>
      <c r="D5047" s="30" t="s">
        <v>47</v>
      </c>
      <c r="E5047" s="32" t="s">
        <v>394</v>
      </c>
      <c r="F5047" s="32" t="s">
        <v>64</v>
      </c>
      <c r="G5047" s="32" t="s">
        <v>50</v>
      </c>
      <c r="H5047" s="33">
        <v>163390</v>
      </c>
      <c r="I5047" s="34">
        <f>Table3[[#This Row],[Volume, kg.]]/1000</f>
        <v>163.38999999999999</v>
      </c>
      <c r="J5047" s="34">
        <v>0.2465</v>
      </c>
      <c r="K5047" s="34">
        <f t="shared" si="156"/>
        <v>40275.635000000002</v>
      </c>
      <c r="L5047" s="34">
        <v>1.97</v>
      </c>
      <c r="M5047" s="34">
        <v>321714.5</v>
      </c>
      <c r="N5047" s="34">
        <f t="shared" si="157"/>
        <v>7.991886409736308</v>
      </c>
    </row>
    <row r="5048" spans="1:14" x14ac:dyDescent="0.45">
      <c r="A5048" s="30">
        <v>2025</v>
      </c>
      <c r="B5048" s="30" t="s">
        <v>10</v>
      </c>
      <c r="C5048" s="30" t="s">
        <v>46</v>
      </c>
      <c r="D5048" s="30" t="s">
        <v>47</v>
      </c>
      <c r="E5048" s="32" t="s">
        <v>225</v>
      </c>
      <c r="F5048" s="32" t="s">
        <v>64</v>
      </c>
      <c r="G5048" s="32" t="s">
        <v>50</v>
      </c>
      <c r="H5048" s="33">
        <v>200100</v>
      </c>
      <c r="I5048" s="34">
        <f>Table3[[#This Row],[Volume, kg.]]/1000</f>
        <v>200.1</v>
      </c>
      <c r="J5048" s="34">
        <v>0.25569999999999998</v>
      </c>
      <c r="K5048" s="34">
        <f t="shared" si="156"/>
        <v>51165.57</v>
      </c>
      <c r="L5048" s="34">
        <v>2.04</v>
      </c>
      <c r="M5048" s="34">
        <v>408408</v>
      </c>
      <c r="N5048" s="34">
        <f t="shared" si="157"/>
        <v>7.9780993351583893</v>
      </c>
    </row>
    <row r="5049" spans="1:14" x14ac:dyDescent="0.45">
      <c r="A5049" s="30">
        <v>2025</v>
      </c>
      <c r="B5049" s="30" t="s">
        <v>10</v>
      </c>
      <c r="C5049" s="30" t="s">
        <v>46</v>
      </c>
      <c r="D5049" s="30" t="s">
        <v>47</v>
      </c>
      <c r="E5049" s="32" t="s">
        <v>581</v>
      </c>
      <c r="F5049" s="32" t="s">
        <v>64</v>
      </c>
      <c r="G5049" s="32" t="s">
        <v>50</v>
      </c>
      <c r="H5049" s="33">
        <v>65000</v>
      </c>
      <c r="I5049" s="34">
        <f>Table3[[#This Row],[Volume, kg.]]/1000</f>
        <v>65</v>
      </c>
      <c r="J5049" s="34">
        <v>0.2447</v>
      </c>
      <c r="K5049" s="34">
        <f t="shared" si="156"/>
        <v>15905.5</v>
      </c>
      <c r="L5049" s="34">
        <v>1.98</v>
      </c>
      <c r="M5049" s="34">
        <v>129002</v>
      </c>
      <c r="N5049" s="34">
        <f t="shared" si="157"/>
        <v>8.0915406620351451</v>
      </c>
    </row>
    <row r="5050" spans="1:14" x14ac:dyDescent="0.45">
      <c r="A5050" s="30">
        <v>2025</v>
      </c>
      <c r="B5050" s="30" t="s">
        <v>10</v>
      </c>
      <c r="C5050" s="30" t="s">
        <v>46</v>
      </c>
      <c r="D5050" s="30" t="s">
        <v>47</v>
      </c>
      <c r="E5050" s="32" t="s">
        <v>200</v>
      </c>
      <c r="F5050" s="32" t="s">
        <v>64</v>
      </c>
      <c r="G5050" s="32" t="s">
        <v>50</v>
      </c>
      <c r="H5050" s="33">
        <v>49540</v>
      </c>
      <c r="I5050" s="34">
        <f>Table3[[#This Row],[Volume, kg.]]/1000</f>
        <v>49.54</v>
      </c>
      <c r="J5050" s="34">
        <v>0.25489999999999996</v>
      </c>
      <c r="K5050" s="34">
        <f t="shared" si="156"/>
        <v>12627.745999999997</v>
      </c>
      <c r="L5050" s="34">
        <v>2.0099999999999998</v>
      </c>
      <c r="M5050" s="34">
        <v>99377.5</v>
      </c>
      <c r="N5050" s="34">
        <f t="shared" si="157"/>
        <v>7.8854452726559439</v>
      </c>
    </row>
    <row r="5051" spans="1:14" x14ac:dyDescent="0.45">
      <c r="A5051" s="30">
        <v>2025</v>
      </c>
      <c r="B5051" s="30" t="s">
        <v>10</v>
      </c>
      <c r="C5051" s="30" t="s">
        <v>46</v>
      </c>
      <c r="D5051" s="30" t="s">
        <v>47</v>
      </c>
      <c r="E5051" s="32" t="s">
        <v>304</v>
      </c>
      <c r="F5051" s="32" t="s">
        <v>64</v>
      </c>
      <c r="G5051" s="32" t="s">
        <v>50</v>
      </c>
      <c r="H5051" s="33">
        <v>77850</v>
      </c>
      <c r="I5051" s="34">
        <f>Table3[[#This Row],[Volume, kg.]]/1000</f>
        <v>77.849999999999994</v>
      </c>
      <c r="J5051" s="34">
        <v>0.24640000000000001</v>
      </c>
      <c r="K5051" s="34">
        <f t="shared" si="156"/>
        <v>19182.240000000002</v>
      </c>
      <c r="L5051" s="34">
        <v>2</v>
      </c>
      <c r="M5051" s="34">
        <v>156086.5</v>
      </c>
      <c r="N5051" s="34">
        <f t="shared" si="157"/>
        <v>8.1168831168831161</v>
      </c>
    </row>
    <row r="5052" spans="1:14" x14ac:dyDescent="0.45">
      <c r="A5052" s="30">
        <v>2025</v>
      </c>
      <c r="B5052" s="30" t="s">
        <v>10</v>
      </c>
      <c r="C5052" s="30" t="s">
        <v>46</v>
      </c>
      <c r="D5052" s="30" t="s">
        <v>47</v>
      </c>
      <c r="E5052" s="32" t="s">
        <v>206</v>
      </c>
      <c r="F5052" s="32" t="s">
        <v>81</v>
      </c>
      <c r="G5052" s="32" t="s">
        <v>50</v>
      </c>
      <c r="H5052" s="33">
        <v>345090</v>
      </c>
      <c r="I5052" s="34">
        <f>Table3[[#This Row],[Volume, kg.]]/1000</f>
        <v>345.09</v>
      </c>
      <c r="J5052" s="34">
        <v>0.26850000000000002</v>
      </c>
      <c r="K5052" s="34">
        <f t="shared" si="156"/>
        <v>92656.665000000008</v>
      </c>
      <c r="L5052" s="34">
        <v>2.12</v>
      </c>
      <c r="M5052" s="34">
        <v>733300.5</v>
      </c>
      <c r="N5052" s="34">
        <f t="shared" si="157"/>
        <v>7.8957169459962753</v>
      </c>
    </row>
    <row r="5053" spans="1:14" x14ac:dyDescent="0.45">
      <c r="A5053" s="30">
        <v>2025</v>
      </c>
      <c r="B5053" s="30" t="s">
        <v>10</v>
      </c>
      <c r="C5053" s="30" t="s">
        <v>46</v>
      </c>
      <c r="D5053" s="30" t="s">
        <v>47</v>
      </c>
      <c r="E5053" s="32" t="s">
        <v>350</v>
      </c>
      <c r="F5053" s="32" t="s">
        <v>49</v>
      </c>
      <c r="G5053" s="32" t="s">
        <v>50</v>
      </c>
      <c r="H5053" s="33">
        <v>16440</v>
      </c>
      <c r="I5053" s="34">
        <f>Table3[[#This Row],[Volume, kg.]]/1000</f>
        <v>16.440000000000001</v>
      </c>
      <c r="J5053" s="34">
        <v>0.2888</v>
      </c>
      <c r="K5053" s="34">
        <f t="shared" si="156"/>
        <v>4747.8720000000003</v>
      </c>
      <c r="L5053" s="34">
        <v>2.23</v>
      </c>
      <c r="M5053" s="34">
        <v>36648</v>
      </c>
      <c r="N5053" s="34">
        <f t="shared" si="157"/>
        <v>7.7216066481994456</v>
      </c>
    </row>
    <row r="5054" spans="1:14" x14ac:dyDescent="0.45">
      <c r="A5054" s="30">
        <v>2025</v>
      </c>
      <c r="B5054" s="30" t="s">
        <v>10</v>
      </c>
      <c r="C5054" s="30" t="s">
        <v>46</v>
      </c>
      <c r="D5054" s="30" t="s">
        <v>47</v>
      </c>
      <c r="E5054" s="32" t="s">
        <v>312</v>
      </c>
      <c r="F5054" s="32" t="s">
        <v>60</v>
      </c>
      <c r="G5054" s="32" t="s">
        <v>50</v>
      </c>
      <c r="H5054" s="33">
        <v>6590</v>
      </c>
      <c r="I5054" s="34">
        <f>Table3[[#This Row],[Volume, kg.]]/1000</f>
        <v>6.59</v>
      </c>
      <c r="J5054" s="34">
        <v>0.22850000000000001</v>
      </c>
      <c r="K5054" s="34">
        <f t="shared" si="156"/>
        <v>1505.8150000000001</v>
      </c>
      <c r="L5054" s="34">
        <v>1.9</v>
      </c>
      <c r="M5054" s="34">
        <v>12521</v>
      </c>
      <c r="N5054" s="34">
        <f t="shared" si="157"/>
        <v>8.3150984682713336</v>
      </c>
    </row>
    <row r="5055" spans="1:14" x14ac:dyDescent="0.45">
      <c r="A5055" s="30">
        <v>2025</v>
      </c>
      <c r="B5055" s="30" t="s">
        <v>10</v>
      </c>
      <c r="C5055" s="30" t="s">
        <v>46</v>
      </c>
      <c r="D5055" s="30" t="s">
        <v>47</v>
      </c>
      <c r="E5055" s="32" t="s">
        <v>548</v>
      </c>
      <c r="F5055" s="32" t="s">
        <v>49</v>
      </c>
      <c r="G5055" s="32" t="s">
        <v>50</v>
      </c>
      <c r="H5055" s="33">
        <v>149380</v>
      </c>
      <c r="I5055" s="34">
        <f>Table3[[#This Row],[Volume, kg.]]/1000</f>
        <v>149.38</v>
      </c>
      <c r="J5055" s="34">
        <v>0.28350000000000003</v>
      </c>
      <c r="K5055" s="34">
        <f t="shared" si="156"/>
        <v>42349.23</v>
      </c>
      <c r="L5055" s="34">
        <v>2.2000000000000002</v>
      </c>
      <c r="M5055" s="34">
        <v>329169.5</v>
      </c>
      <c r="N5055" s="34">
        <f t="shared" si="157"/>
        <v>7.7601410934744264</v>
      </c>
    </row>
    <row r="5056" spans="1:14" x14ac:dyDescent="0.45">
      <c r="A5056" s="30">
        <v>2025</v>
      </c>
      <c r="B5056" s="30" t="s">
        <v>10</v>
      </c>
      <c r="C5056" s="30" t="s">
        <v>46</v>
      </c>
      <c r="D5056" s="30" t="s">
        <v>47</v>
      </c>
      <c r="E5056" s="32" t="s">
        <v>342</v>
      </c>
      <c r="F5056" s="32" t="s">
        <v>81</v>
      </c>
      <c r="G5056" s="32" t="s">
        <v>50</v>
      </c>
      <c r="H5056" s="33">
        <v>56120</v>
      </c>
      <c r="I5056" s="34">
        <f>Table3[[#This Row],[Volume, kg.]]/1000</f>
        <v>56.12</v>
      </c>
      <c r="J5056" s="34">
        <v>0.27829999999999999</v>
      </c>
      <c r="K5056" s="34">
        <f t="shared" si="156"/>
        <v>15618.196</v>
      </c>
      <c r="L5056" s="34">
        <v>2.11</v>
      </c>
      <c r="M5056" s="34">
        <v>118343</v>
      </c>
      <c r="N5056" s="34">
        <f t="shared" si="157"/>
        <v>7.5817463169241819</v>
      </c>
    </row>
    <row r="5057" spans="1:14" x14ac:dyDescent="0.45">
      <c r="A5057" s="30">
        <v>2025</v>
      </c>
      <c r="B5057" s="30" t="s">
        <v>10</v>
      </c>
      <c r="C5057" s="30" t="s">
        <v>46</v>
      </c>
      <c r="D5057" s="30" t="s">
        <v>47</v>
      </c>
      <c r="E5057" s="32" t="s">
        <v>98</v>
      </c>
      <c r="F5057" s="32" t="s">
        <v>49</v>
      </c>
      <c r="G5057" s="32" t="s">
        <v>50</v>
      </c>
      <c r="H5057" s="33">
        <v>32420</v>
      </c>
      <c r="I5057" s="34">
        <f>Table3[[#This Row],[Volume, kg.]]/1000</f>
        <v>32.42</v>
      </c>
      <c r="J5057" s="34">
        <v>0.30399999999999999</v>
      </c>
      <c r="K5057" s="34">
        <f t="shared" si="156"/>
        <v>9855.68</v>
      </c>
      <c r="L5057" s="34">
        <v>2.39</v>
      </c>
      <c r="M5057" s="34">
        <v>77555</v>
      </c>
      <c r="N5057" s="34">
        <f t="shared" si="157"/>
        <v>7.8618421052631584</v>
      </c>
    </row>
    <row r="5058" spans="1:14" x14ac:dyDescent="0.45">
      <c r="A5058" s="30">
        <v>2025</v>
      </c>
      <c r="B5058" s="30" t="s">
        <v>10</v>
      </c>
      <c r="C5058" s="30" t="s">
        <v>46</v>
      </c>
      <c r="D5058" s="30" t="s">
        <v>47</v>
      </c>
      <c r="E5058" s="32" t="s">
        <v>354</v>
      </c>
      <c r="F5058" s="32" t="s">
        <v>60</v>
      </c>
      <c r="G5058" s="32" t="s">
        <v>50</v>
      </c>
      <c r="H5058" s="33">
        <v>7500</v>
      </c>
      <c r="I5058" s="34">
        <f>Table3[[#This Row],[Volume, kg.]]/1000</f>
        <v>7.5</v>
      </c>
      <c r="J5058" s="34">
        <v>0.27449999999999997</v>
      </c>
      <c r="K5058" s="34">
        <f t="shared" si="156"/>
        <v>2058.7499999999995</v>
      </c>
      <c r="L5058" s="34">
        <v>2.1</v>
      </c>
      <c r="M5058" s="34">
        <v>15750</v>
      </c>
      <c r="N5058" s="34">
        <f t="shared" si="157"/>
        <v>7.6502732240437172</v>
      </c>
    </row>
    <row r="5059" spans="1:14" x14ac:dyDescent="0.45">
      <c r="A5059" s="30">
        <v>2025</v>
      </c>
      <c r="B5059" s="30" t="s">
        <v>10</v>
      </c>
      <c r="C5059" s="30" t="s">
        <v>46</v>
      </c>
      <c r="D5059" s="30" t="s">
        <v>47</v>
      </c>
      <c r="E5059" s="32" t="s">
        <v>129</v>
      </c>
      <c r="F5059" s="32" t="s">
        <v>57</v>
      </c>
      <c r="G5059" s="32" t="s">
        <v>50</v>
      </c>
      <c r="H5059" s="33">
        <v>36870</v>
      </c>
      <c r="I5059" s="34">
        <f>Table3[[#This Row],[Volume, kg.]]/1000</f>
        <v>36.869999999999997</v>
      </c>
      <c r="J5059" s="34">
        <v>0.28689999999999999</v>
      </c>
      <c r="K5059" s="34">
        <f t="shared" ref="K5059:K5122" si="158">H5059*J5059</f>
        <v>10578.002999999999</v>
      </c>
      <c r="L5059" s="34">
        <v>2.19</v>
      </c>
      <c r="M5059" s="34">
        <v>80822</v>
      </c>
      <c r="N5059" s="34">
        <f t="shared" si="157"/>
        <v>7.6333217148832349</v>
      </c>
    </row>
    <row r="5060" spans="1:14" x14ac:dyDescent="0.45">
      <c r="A5060" s="30">
        <v>2025</v>
      </c>
      <c r="B5060" s="30" t="s">
        <v>10</v>
      </c>
      <c r="C5060" s="30" t="s">
        <v>46</v>
      </c>
      <c r="D5060" s="30" t="s">
        <v>47</v>
      </c>
      <c r="E5060" s="32" t="s">
        <v>80</v>
      </c>
      <c r="F5060" s="32" t="s">
        <v>81</v>
      </c>
      <c r="G5060" s="32" t="s">
        <v>50</v>
      </c>
      <c r="H5060" s="33">
        <v>217670</v>
      </c>
      <c r="I5060" s="34">
        <f>Table3[[#This Row],[Volume, kg.]]/1000</f>
        <v>217.67</v>
      </c>
      <c r="J5060" s="34">
        <v>0.2898</v>
      </c>
      <c r="K5060" s="34">
        <f t="shared" si="158"/>
        <v>63080.766000000003</v>
      </c>
      <c r="L5060" s="34">
        <v>2.2200000000000002</v>
      </c>
      <c r="M5060" s="34">
        <v>482574</v>
      </c>
      <c r="N5060" s="34">
        <f t="shared" ref="N5060:N5123" si="159">L5060/J5060</f>
        <v>7.6604554865424435</v>
      </c>
    </row>
    <row r="5061" spans="1:14" x14ac:dyDescent="0.45">
      <c r="A5061" s="30">
        <v>2025</v>
      </c>
      <c r="B5061" s="30" t="s">
        <v>10</v>
      </c>
      <c r="C5061" s="30" t="s">
        <v>46</v>
      </c>
      <c r="D5061" s="30" t="s">
        <v>47</v>
      </c>
      <c r="E5061" s="32" t="s">
        <v>374</v>
      </c>
      <c r="F5061" s="32" t="s">
        <v>81</v>
      </c>
      <c r="G5061" s="32" t="s">
        <v>50</v>
      </c>
      <c r="H5061" s="33">
        <v>49700</v>
      </c>
      <c r="I5061" s="34">
        <f>Table3[[#This Row],[Volume, kg.]]/1000</f>
        <v>49.7</v>
      </c>
      <c r="J5061" s="34">
        <v>0.29609999999999997</v>
      </c>
      <c r="K5061" s="34">
        <f t="shared" si="158"/>
        <v>14716.169999999998</v>
      </c>
      <c r="L5061" s="34">
        <v>2.23</v>
      </c>
      <c r="M5061" s="34">
        <v>110616.5</v>
      </c>
      <c r="N5061" s="34">
        <f t="shared" si="159"/>
        <v>7.5312394461330641</v>
      </c>
    </row>
    <row r="5062" spans="1:14" x14ac:dyDescent="0.45">
      <c r="A5062" s="30">
        <v>2025</v>
      </c>
      <c r="B5062" s="30" t="s">
        <v>10</v>
      </c>
      <c r="C5062" s="30" t="s">
        <v>46</v>
      </c>
      <c r="D5062" s="30" t="s">
        <v>47</v>
      </c>
      <c r="E5062" s="32" t="s">
        <v>296</v>
      </c>
      <c r="F5062" s="32" t="s">
        <v>60</v>
      </c>
      <c r="G5062" s="32" t="s">
        <v>50</v>
      </c>
      <c r="H5062" s="33">
        <v>19360</v>
      </c>
      <c r="I5062" s="34">
        <f>Table3[[#This Row],[Volume, kg.]]/1000</f>
        <v>19.36</v>
      </c>
      <c r="J5062" s="34">
        <v>0.27789999999999998</v>
      </c>
      <c r="K5062" s="34">
        <f t="shared" si="158"/>
        <v>5380.1439999999993</v>
      </c>
      <c r="L5062" s="34">
        <v>2.16</v>
      </c>
      <c r="M5062" s="34">
        <v>41793</v>
      </c>
      <c r="N5062" s="34">
        <f t="shared" si="159"/>
        <v>7.7725800647715015</v>
      </c>
    </row>
    <row r="5063" spans="1:14" x14ac:dyDescent="0.45">
      <c r="A5063" s="30">
        <v>2025</v>
      </c>
      <c r="B5063" s="30" t="s">
        <v>10</v>
      </c>
      <c r="C5063" s="30" t="s">
        <v>46</v>
      </c>
      <c r="D5063" s="30" t="s">
        <v>47</v>
      </c>
      <c r="E5063" s="32" t="s">
        <v>194</v>
      </c>
      <c r="F5063" s="32" t="s">
        <v>49</v>
      </c>
      <c r="G5063" s="32" t="s">
        <v>50</v>
      </c>
      <c r="H5063" s="33">
        <v>58700</v>
      </c>
      <c r="I5063" s="34">
        <f>Table3[[#This Row],[Volume, kg.]]/1000</f>
        <v>58.7</v>
      </c>
      <c r="J5063" s="34">
        <v>0.26700000000000002</v>
      </c>
      <c r="K5063" s="34">
        <f t="shared" si="158"/>
        <v>15672.900000000001</v>
      </c>
      <c r="L5063" s="34">
        <v>2.15</v>
      </c>
      <c r="M5063" s="34">
        <v>126451</v>
      </c>
      <c r="N5063" s="34">
        <f t="shared" si="159"/>
        <v>8.0524344569288377</v>
      </c>
    </row>
    <row r="5064" spans="1:14" x14ac:dyDescent="0.45">
      <c r="A5064" s="30">
        <v>2025</v>
      </c>
      <c r="B5064" s="30" t="s">
        <v>10</v>
      </c>
      <c r="C5064" s="30" t="s">
        <v>46</v>
      </c>
      <c r="D5064" s="30" t="s">
        <v>47</v>
      </c>
      <c r="E5064" s="32" t="s">
        <v>398</v>
      </c>
      <c r="F5064" s="32" t="s">
        <v>64</v>
      </c>
      <c r="G5064" s="32" t="s">
        <v>50</v>
      </c>
      <c r="H5064" s="33">
        <v>55010</v>
      </c>
      <c r="I5064" s="34">
        <f>Table3[[#This Row],[Volume, kg.]]/1000</f>
        <v>55.01</v>
      </c>
      <c r="J5064" s="34">
        <v>0.23469999999999999</v>
      </c>
      <c r="K5064" s="34">
        <f t="shared" si="158"/>
        <v>12910.847</v>
      </c>
      <c r="L5064" s="34">
        <v>1.9</v>
      </c>
      <c r="M5064" s="34">
        <v>104304.5</v>
      </c>
      <c r="N5064" s="34">
        <f t="shared" si="159"/>
        <v>8.0954409884959517</v>
      </c>
    </row>
    <row r="5065" spans="1:14" x14ac:dyDescent="0.45">
      <c r="A5065" s="30">
        <v>2025</v>
      </c>
      <c r="B5065" s="30" t="s">
        <v>10</v>
      </c>
      <c r="C5065" s="30" t="s">
        <v>46</v>
      </c>
      <c r="D5065" s="30" t="s">
        <v>47</v>
      </c>
      <c r="E5065" s="32" t="s">
        <v>572</v>
      </c>
      <c r="F5065" s="32" t="s">
        <v>64</v>
      </c>
      <c r="G5065" s="32" t="s">
        <v>50</v>
      </c>
      <c r="H5065" s="33">
        <v>77760</v>
      </c>
      <c r="I5065" s="34">
        <f>Table3[[#This Row],[Volume, kg.]]/1000</f>
        <v>77.760000000000005</v>
      </c>
      <c r="J5065" s="34">
        <v>0.2515</v>
      </c>
      <c r="K5065" s="34">
        <f t="shared" si="158"/>
        <v>19556.64</v>
      </c>
      <c r="L5065" s="34">
        <v>2.0099999999999998</v>
      </c>
      <c r="M5065" s="34">
        <v>156071.5</v>
      </c>
      <c r="N5065" s="34">
        <f t="shared" si="159"/>
        <v>7.9920477137176933</v>
      </c>
    </row>
    <row r="5066" spans="1:14" x14ac:dyDescent="0.45">
      <c r="A5066" s="30">
        <v>2025</v>
      </c>
      <c r="B5066" s="30" t="s">
        <v>10</v>
      </c>
      <c r="C5066" s="30" t="s">
        <v>46</v>
      </c>
      <c r="D5066" s="30" t="s">
        <v>47</v>
      </c>
      <c r="E5066" s="32" t="s">
        <v>584</v>
      </c>
      <c r="F5066" s="32" t="s">
        <v>64</v>
      </c>
      <c r="G5066" s="32" t="s">
        <v>50</v>
      </c>
      <c r="H5066" s="33">
        <v>129090</v>
      </c>
      <c r="I5066" s="34">
        <f>Table3[[#This Row],[Volume, kg.]]/1000</f>
        <v>129.09</v>
      </c>
      <c r="J5066" s="34">
        <v>0.25429999999999997</v>
      </c>
      <c r="K5066" s="34">
        <f t="shared" si="158"/>
        <v>32827.587</v>
      </c>
      <c r="L5066" s="34">
        <v>2</v>
      </c>
      <c r="M5066" s="34">
        <v>258642</v>
      </c>
      <c r="N5066" s="34">
        <f t="shared" si="159"/>
        <v>7.8647267007471502</v>
      </c>
    </row>
    <row r="5067" spans="1:14" x14ac:dyDescent="0.45">
      <c r="A5067" s="30">
        <v>2025</v>
      </c>
      <c r="B5067" s="30" t="s">
        <v>10</v>
      </c>
      <c r="C5067" s="30" t="s">
        <v>46</v>
      </c>
      <c r="D5067" s="30" t="s">
        <v>47</v>
      </c>
      <c r="E5067" s="32" t="s">
        <v>267</v>
      </c>
      <c r="F5067" s="32" t="s">
        <v>57</v>
      </c>
      <c r="G5067" s="32" t="s">
        <v>50</v>
      </c>
      <c r="H5067" s="33">
        <v>7650</v>
      </c>
      <c r="I5067" s="34">
        <f>Table3[[#This Row],[Volume, kg.]]/1000</f>
        <v>7.65</v>
      </c>
      <c r="J5067" s="34">
        <v>0.3024</v>
      </c>
      <c r="K5067" s="34">
        <f t="shared" si="158"/>
        <v>2313.36</v>
      </c>
      <c r="L5067" s="34">
        <v>2.31</v>
      </c>
      <c r="M5067" s="34">
        <v>17683.5</v>
      </c>
      <c r="N5067" s="34">
        <f t="shared" si="159"/>
        <v>7.6388888888888893</v>
      </c>
    </row>
    <row r="5068" spans="1:14" x14ac:dyDescent="0.45">
      <c r="A5068" s="30">
        <v>2025</v>
      </c>
      <c r="B5068" s="30" t="s">
        <v>10</v>
      </c>
      <c r="C5068" s="30" t="s">
        <v>46</v>
      </c>
      <c r="D5068" s="30" t="s">
        <v>102</v>
      </c>
      <c r="E5068" s="32" t="s">
        <v>103</v>
      </c>
      <c r="F5068" s="32" t="s">
        <v>104</v>
      </c>
      <c r="G5068" s="32" t="s">
        <v>105</v>
      </c>
      <c r="H5068" s="33">
        <v>191800</v>
      </c>
      <c r="I5068" s="34">
        <f>Table3[[#This Row],[Volume, kg.]]/1000</f>
        <v>191.8</v>
      </c>
      <c r="J5068" s="34">
        <v>0.26350000000000001</v>
      </c>
      <c r="K5068" s="34">
        <f t="shared" si="158"/>
        <v>50539.3</v>
      </c>
      <c r="L5068" s="34">
        <v>2.08</v>
      </c>
      <c r="M5068" s="34">
        <v>399311</v>
      </c>
      <c r="N5068" s="34">
        <f t="shared" si="159"/>
        <v>7.8937381404174571</v>
      </c>
    </row>
    <row r="5069" spans="1:14" x14ac:dyDescent="0.45">
      <c r="A5069" s="30">
        <v>2025</v>
      </c>
      <c r="B5069" s="30" t="s">
        <v>10</v>
      </c>
      <c r="C5069" s="30" t="s">
        <v>46</v>
      </c>
      <c r="D5069" s="30" t="s">
        <v>47</v>
      </c>
      <c r="E5069" s="32" t="s">
        <v>203</v>
      </c>
      <c r="F5069" s="32" t="s">
        <v>57</v>
      </c>
      <c r="G5069" s="32" t="s">
        <v>50</v>
      </c>
      <c r="H5069" s="33">
        <v>42820</v>
      </c>
      <c r="I5069" s="34">
        <f>Table3[[#This Row],[Volume, kg.]]/1000</f>
        <v>42.82</v>
      </c>
      <c r="J5069" s="34">
        <v>0.27160000000000001</v>
      </c>
      <c r="K5069" s="34">
        <f t="shared" si="158"/>
        <v>11629.912</v>
      </c>
      <c r="L5069" s="34">
        <v>2.11</v>
      </c>
      <c r="M5069" s="34">
        <v>90332</v>
      </c>
      <c r="N5069" s="34">
        <f t="shared" si="159"/>
        <v>7.7687776141384379</v>
      </c>
    </row>
    <row r="5070" spans="1:14" x14ac:dyDescent="0.45">
      <c r="A5070" s="30">
        <v>2025</v>
      </c>
      <c r="B5070" s="30" t="s">
        <v>10</v>
      </c>
      <c r="C5070" s="30" t="s">
        <v>46</v>
      </c>
      <c r="D5070" s="30" t="s">
        <v>47</v>
      </c>
      <c r="E5070" s="32" t="s">
        <v>261</v>
      </c>
      <c r="F5070" s="32" t="s">
        <v>81</v>
      </c>
      <c r="G5070" s="32" t="s">
        <v>50</v>
      </c>
      <c r="H5070" s="33">
        <v>74350</v>
      </c>
      <c r="I5070" s="34">
        <f>Table3[[#This Row],[Volume, kg.]]/1000</f>
        <v>74.349999999999994</v>
      </c>
      <c r="J5070" s="34">
        <v>0.27779999999999999</v>
      </c>
      <c r="K5070" s="34">
        <f t="shared" si="158"/>
        <v>20654.43</v>
      </c>
      <c r="L5070" s="34">
        <v>2.12</v>
      </c>
      <c r="M5070" s="34">
        <v>157954</v>
      </c>
      <c r="N5070" s="34">
        <f t="shared" si="159"/>
        <v>7.6313894888408935</v>
      </c>
    </row>
    <row r="5071" spans="1:14" x14ac:dyDescent="0.45">
      <c r="A5071" s="30">
        <v>2025</v>
      </c>
      <c r="B5071" s="30" t="s">
        <v>10</v>
      </c>
      <c r="C5071" s="30" t="s">
        <v>46</v>
      </c>
      <c r="D5071" s="30" t="s">
        <v>47</v>
      </c>
      <c r="E5071" s="32" t="s">
        <v>137</v>
      </c>
      <c r="F5071" s="32" t="s">
        <v>49</v>
      </c>
      <c r="G5071" s="32" t="s">
        <v>50</v>
      </c>
      <c r="H5071" s="33">
        <v>31770</v>
      </c>
      <c r="I5071" s="34">
        <f>Table3[[#This Row],[Volume, kg.]]/1000</f>
        <v>31.77</v>
      </c>
      <c r="J5071" s="34">
        <v>0.2707</v>
      </c>
      <c r="K5071" s="34">
        <f t="shared" si="158"/>
        <v>8600.1389999999992</v>
      </c>
      <c r="L5071" s="34">
        <v>2.0499999999999998</v>
      </c>
      <c r="M5071" s="34">
        <v>65133.5</v>
      </c>
      <c r="N5071" s="34">
        <f t="shared" si="159"/>
        <v>7.5729589951976353</v>
      </c>
    </row>
    <row r="5072" spans="1:14" x14ac:dyDescent="0.45">
      <c r="A5072" s="30">
        <v>2025</v>
      </c>
      <c r="B5072" s="30" t="s">
        <v>10</v>
      </c>
      <c r="C5072" s="30" t="s">
        <v>46</v>
      </c>
      <c r="D5072" s="30" t="s">
        <v>47</v>
      </c>
      <c r="E5072" s="32" t="s">
        <v>317</v>
      </c>
      <c r="F5072" s="32" t="s">
        <v>60</v>
      </c>
      <c r="G5072" s="32" t="s">
        <v>50</v>
      </c>
      <c r="H5072" s="33">
        <v>13710</v>
      </c>
      <c r="I5072" s="34">
        <f>Table3[[#This Row],[Volume, kg.]]/1000</f>
        <v>13.71</v>
      </c>
      <c r="J5072" s="34">
        <v>0.30149999999999999</v>
      </c>
      <c r="K5072" s="34">
        <f t="shared" si="158"/>
        <v>4133.5649999999996</v>
      </c>
      <c r="L5072" s="34">
        <v>2.4</v>
      </c>
      <c r="M5072" s="34">
        <v>32904</v>
      </c>
      <c r="N5072" s="34">
        <f t="shared" si="159"/>
        <v>7.9601990049751246</v>
      </c>
    </row>
    <row r="5073" spans="1:14" x14ac:dyDescent="0.45">
      <c r="A5073" s="30">
        <v>2025</v>
      </c>
      <c r="B5073" s="30" t="s">
        <v>10</v>
      </c>
      <c r="C5073" s="30" t="s">
        <v>46</v>
      </c>
      <c r="D5073" s="30" t="s">
        <v>47</v>
      </c>
      <c r="E5073" s="32" t="s">
        <v>474</v>
      </c>
      <c r="F5073" s="32" t="s">
        <v>60</v>
      </c>
      <c r="G5073" s="32" t="s">
        <v>50</v>
      </c>
      <c r="H5073" s="33">
        <v>11820</v>
      </c>
      <c r="I5073" s="34">
        <f>Table3[[#This Row],[Volume, kg.]]/1000</f>
        <v>11.82</v>
      </c>
      <c r="J5073" s="34">
        <v>0.27800000000000002</v>
      </c>
      <c r="K5073" s="34">
        <f t="shared" si="158"/>
        <v>3285.9600000000005</v>
      </c>
      <c r="L5073" s="34">
        <v>2.1</v>
      </c>
      <c r="M5073" s="34">
        <v>24822</v>
      </c>
      <c r="N5073" s="34">
        <f t="shared" si="159"/>
        <v>7.5539568345323733</v>
      </c>
    </row>
    <row r="5074" spans="1:14" x14ac:dyDescent="0.45">
      <c r="A5074" s="30">
        <v>2025</v>
      </c>
      <c r="B5074" s="30" t="s">
        <v>10</v>
      </c>
      <c r="C5074" s="30" t="s">
        <v>46</v>
      </c>
      <c r="D5074" s="30" t="s">
        <v>102</v>
      </c>
      <c r="E5074" s="32" t="s">
        <v>691</v>
      </c>
      <c r="F5074" s="32" t="s">
        <v>657</v>
      </c>
      <c r="G5074" s="32" t="s">
        <v>119</v>
      </c>
      <c r="H5074" s="33">
        <v>390830</v>
      </c>
      <c r="I5074" s="34">
        <f>Table3[[#This Row],[Volume, kg.]]/1000</f>
        <v>390.83</v>
      </c>
      <c r="J5074" s="34">
        <v>0.26979999999999998</v>
      </c>
      <c r="K5074" s="34">
        <f t="shared" si="158"/>
        <v>105445.93399999999</v>
      </c>
      <c r="L5074" s="34">
        <v>2.12</v>
      </c>
      <c r="M5074" s="34">
        <v>828448.5</v>
      </c>
      <c r="N5074" s="34">
        <f t="shared" si="159"/>
        <v>7.8576723498888077</v>
      </c>
    </row>
    <row r="5075" spans="1:14" x14ac:dyDescent="0.45">
      <c r="A5075" s="30">
        <v>2025</v>
      </c>
      <c r="B5075" s="30" t="s">
        <v>10</v>
      </c>
      <c r="C5075" s="30" t="s">
        <v>46</v>
      </c>
      <c r="D5075" s="30" t="s">
        <v>102</v>
      </c>
      <c r="E5075" s="32" t="s">
        <v>126</v>
      </c>
      <c r="F5075" s="32" t="s">
        <v>127</v>
      </c>
      <c r="G5075" s="32" t="s">
        <v>128</v>
      </c>
      <c r="H5075" s="33">
        <v>460850</v>
      </c>
      <c r="I5075" s="34">
        <f>Table3[[#This Row],[Volume, kg.]]/1000</f>
        <v>460.85</v>
      </c>
      <c r="J5075" s="34">
        <v>0.26379999999999998</v>
      </c>
      <c r="K5075" s="34">
        <f t="shared" si="158"/>
        <v>121572.23</v>
      </c>
      <c r="L5075" s="34">
        <v>2.09</v>
      </c>
      <c r="M5075" s="34">
        <v>963171.5</v>
      </c>
      <c r="N5075" s="34">
        <f t="shared" si="159"/>
        <v>7.9226686884003037</v>
      </c>
    </row>
    <row r="5076" spans="1:14" x14ac:dyDescent="0.45">
      <c r="A5076" s="30">
        <v>2025</v>
      </c>
      <c r="B5076" s="30" t="s">
        <v>10</v>
      </c>
      <c r="C5076" s="30" t="s">
        <v>46</v>
      </c>
      <c r="D5076" s="30" t="s">
        <v>47</v>
      </c>
      <c r="E5076" s="32" t="s">
        <v>335</v>
      </c>
      <c r="F5076" s="32" t="s">
        <v>54</v>
      </c>
      <c r="G5076" s="32" t="s">
        <v>50</v>
      </c>
      <c r="H5076" s="33">
        <v>98160</v>
      </c>
      <c r="I5076" s="34">
        <f>Table3[[#This Row],[Volume, kg.]]/1000</f>
        <v>98.16</v>
      </c>
      <c r="J5076" s="34">
        <v>0.28039999999999998</v>
      </c>
      <c r="K5076" s="34">
        <f t="shared" si="158"/>
        <v>27524.063999999998</v>
      </c>
      <c r="L5076" s="34">
        <v>2.1</v>
      </c>
      <c r="M5076" s="34">
        <v>206565.5</v>
      </c>
      <c r="N5076" s="34">
        <f t="shared" si="159"/>
        <v>7.4893009985734675</v>
      </c>
    </row>
    <row r="5077" spans="1:14" x14ac:dyDescent="0.45">
      <c r="A5077" s="30">
        <v>2025</v>
      </c>
      <c r="B5077" s="30" t="s">
        <v>10</v>
      </c>
      <c r="C5077" s="30" t="s">
        <v>46</v>
      </c>
      <c r="D5077" s="30" t="s">
        <v>47</v>
      </c>
      <c r="E5077" s="32" t="s">
        <v>318</v>
      </c>
      <c r="F5077" s="32" t="s">
        <v>60</v>
      </c>
      <c r="G5077" s="32" t="s">
        <v>50</v>
      </c>
      <c r="H5077" s="33">
        <v>20980</v>
      </c>
      <c r="I5077" s="34">
        <f>Table3[[#This Row],[Volume, kg.]]/1000</f>
        <v>20.98</v>
      </c>
      <c r="J5077" s="34">
        <v>0.28899999999999998</v>
      </c>
      <c r="K5077" s="34">
        <f t="shared" si="158"/>
        <v>6063.2199999999993</v>
      </c>
      <c r="L5077" s="34">
        <v>2.2599999999999998</v>
      </c>
      <c r="M5077" s="34">
        <v>47466.5</v>
      </c>
      <c r="N5077" s="34">
        <f t="shared" si="159"/>
        <v>7.820069204152249</v>
      </c>
    </row>
    <row r="5078" spans="1:14" x14ac:dyDescent="0.45">
      <c r="A5078" s="30">
        <v>2025</v>
      </c>
      <c r="B5078" s="30" t="s">
        <v>10</v>
      </c>
      <c r="C5078" s="30" t="s">
        <v>46</v>
      </c>
      <c r="D5078" s="30" t="s">
        <v>47</v>
      </c>
      <c r="E5078" s="32" t="s">
        <v>221</v>
      </c>
      <c r="F5078" s="32" t="s">
        <v>64</v>
      </c>
      <c r="G5078" s="32" t="s">
        <v>50</v>
      </c>
      <c r="H5078" s="33">
        <v>112750</v>
      </c>
      <c r="I5078" s="34">
        <f>Table3[[#This Row],[Volume, kg.]]/1000</f>
        <v>112.75</v>
      </c>
      <c r="J5078" s="34">
        <v>0.22690000000000002</v>
      </c>
      <c r="K5078" s="34">
        <f t="shared" si="158"/>
        <v>25582.975000000002</v>
      </c>
      <c r="L5078" s="34">
        <v>1.88</v>
      </c>
      <c r="M5078" s="34">
        <v>212120</v>
      </c>
      <c r="N5078" s="34">
        <f t="shared" si="159"/>
        <v>8.2855883649184658</v>
      </c>
    </row>
    <row r="5079" spans="1:14" x14ac:dyDescent="0.45">
      <c r="A5079" s="30">
        <v>2025</v>
      </c>
      <c r="B5079" s="30" t="s">
        <v>10</v>
      </c>
      <c r="C5079" s="30" t="s">
        <v>46</v>
      </c>
      <c r="D5079" s="30" t="s">
        <v>47</v>
      </c>
      <c r="E5079" s="32" t="s">
        <v>216</v>
      </c>
      <c r="F5079" s="32" t="s">
        <v>64</v>
      </c>
      <c r="G5079" s="32" t="s">
        <v>50</v>
      </c>
      <c r="H5079" s="33">
        <v>74550</v>
      </c>
      <c r="I5079" s="34">
        <f>Table3[[#This Row],[Volume, kg.]]/1000</f>
        <v>74.55</v>
      </c>
      <c r="J5079" s="34">
        <v>0.25690000000000002</v>
      </c>
      <c r="K5079" s="34">
        <f t="shared" si="158"/>
        <v>19151.895</v>
      </c>
      <c r="L5079" s="34">
        <v>2.0299999999999998</v>
      </c>
      <c r="M5079" s="34">
        <v>151482</v>
      </c>
      <c r="N5079" s="34">
        <f t="shared" si="159"/>
        <v>7.9019073569482279</v>
      </c>
    </row>
    <row r="5080" spans="1:14" x14ac:dyDescent="0.45">
      <c r="A5080" s="30">
        <v>2025</v>
      </c>
      <c r="B5080" s="30" t="s">
        <v>10</v>
      </c>
      <c r="C5080" s="30" t="s">
        <v>46</v>
      </c>
      <c r="D5080" s="30" t="s">
        <v>47</v>
      </c>
      <c r="E5080" s="32" t="s">
        <v>280</v>
      </c>
      <c r="F5080" s="32" t="s">
        <v>281</v>
      </c>
      <c r="G5080" s="32" t="s">
        <v>50</v>
      </c>
      <c r="H5080" s="33">
        <v>65540</v>
      </c>
      <c r="I5080" s="34">
        <f>Table3[[#This Row],[Volume, kg.]]/1000</f>
        <v>65.540000000000006</v>
      </c>
      <c r="J5080" s="34">
        <v>0.29089999999999999</v>
      </c>
      <c r="K5080" s="34">
        <f t="shared" si="158"/>
        <v>19065.585999999999</v>
      </c>
      <c r="L5080" s="34">
        <v>2.2000000000000002</v>
      </c>
      <c r="M5080" s="34">
        <v>144324.5</v>
      </c>
      <c r="N5080" s="34">
        <f t="shared" si="159"/>
        <v>7.5627363355104853</v>
      </c>
    </row>
    <row r="5081" spans="1:14" x14ac:dyDescent="0.45">
      <c r="A5081" s="30">
        <v>2025</v>
      </c>
      <c r="B5081" s="30" t="s">
        <v>10</v>
      </c>
      <c r="C5081" s="30" t="s">
        <v>46</v>
      </c>
      <c r="D5081" s="30" t="s">
        <v>47</v>
      </c>
      <c r="E5081" s="32" t="s">
        <v>602</v>
      </c>
      <c r="F5081" s="32" t="s">
        <v>49</v>
      </c>
      <c r="G5081" s="32" t="s">
        <v>50</v>
      </c>
      <c r="H5081" s="36">
        <v>16350</v>
      </c>
      <c r="I5081" s="34">
        <f>Table3[[#This Row],[Volume, kg.]]/1000</f>
        <v>16.350000000000001</v>
      </c>
      <c r="J5081" s="35">
        <v>0.26300000000000001</v>
      </c>
      <c r="K5081" s="34">
        <f t="shared" si="158"/>
        <v>4300.05</v>
      </c>
      <c r="L5081" s="35">
        <v>2.2000000000000002</v>
      </c>
      <c r="M5081" s="35">
        <v>35970</v>
      </c>
      <c r="N5081" s="34">
        <f t="shared" si="159"/>
        <v>8.3650190114068437</v>
      </c>
    </row>
    <row r="5082" spans="1:14" x14ac:dyDescent="0.45">
      <c r="A5082" s="30">
        <v>2025</v>
      </c>
      <c r="B5082" s="30" t="s">
        <v>10</v>
      </c>
      <c r="C5082" s="30" t="s">
        <v>46</v>
      </c>
      <c r="D5082" s="30" t="s">
        <v>47</v>
      </c>
      <c r="E5082" s="32" t="s">
        <v>204</v>
      </c>
      <c r="F5082" s="32" t="s">
        <v>49</v>
      </c>
      <c r="G5082" s="32" t="s">
        <v>50</v>
      </c>
      <c r="H5082" s="33">
        <v>74590</v>
      </c>
      <c r="I5082" s="34">
        <f>Table3[[#This Row],[Volume, kg.]]/1000</f>
        <v>74.59</v>
      </c>
      <c r="J5082" s="34">
        <v>0.2762</v>
      </c>
      <c r="K5082" s="34">
        <f t="shared" si="158"/>
        <v>20601.758000000002</v>
      </c>
      <c r="L5082" s="34">
        <v>2.13</v>
      </c>
      <c r="M5082" s="34">
        <v>158949.5</v>
      </c>
      <c r="N5082" s="34">
        <f t="shared" si="159"/>
        <v>7.7118030412744387</v>
      </c>
    </row>
    <row r="5083" spans="1:14" x14ac:dyDescent="0.45">
      <c r="A5083" s="30">
        <v>2025</v>
      </c>
      <c r="B5083" s="30" t="s">
        <v>10</v>
      </c>
      <c r="C5083" s="30" t="s">
        <v>46</v>
      </c>
      <c r="D5083" s="30" t="s">
        <v>47</v>
      </c>
      <c r="E5083" s="32" t="s">
        <v>540</v>
      </c>
      <c r="F5083" s="32" t="s">
        <v>49</v>
      </c>
      <c r="G5083" s="32" t="s">
        <v>50</v>
      </c>
      <c r="H5083" s="33">
        <v>9940</v>
      </c>
      <c r="I5083" s="34">
        <f>Table3[[#This Row],[Volume, kg.]]/1000</f>
        <v>9.94</v>
      </c>
      <c r="J5083" s="34">
        <v>0.29299999999999998</v>
      </c>
      <c r="K5083" s="34">
        <f t="shared" si="158"/>
        <v>2912.4199999999996</v>
      </c>
      <c r="L5083" s="34">
        <v>2.15</v>
      </c>
      <c r="M5083" s="34">
        <v>21371</v>
      </c>
      <c r="N5083" s="34">
        <f t="shared" si="159"/>
        <v>7.337883959044369</v>
      </c>
    </row>
    <row r="5084" spans="1:14" x14ac:dyDescent="0.45">
      <c r="A5084" s="30">
        <v>2025</v>
      </c>
      <c r="B5084" s="30" t="s">
        <v>10</v>
      </c>
      <c r="C5084" s="30" t="s">
        <v>46</v>
      </c>
      <c r="D5084" s="30" t="s">
        <v>47</v>
      </c>
      <c r="E5084" s="32" t="s">
        <v>211</v>
      </c>
      <c r="F5084" s="32" t="s">
        <v>57</v>
      </c>
      <c r="G5084" s="32" t="s">
        <v>50</v>
      </c>
      <c r="H5084" s="33">
        <v>14470</v>
      </c>
      <c r="I5084" s="34">
        <f>Table3[[#This Row],[Volume, kg.]]/1000</f>
        <v>14.47</v>
      </c>
      <c r="J5084" s="34">
        <v>0.2918</v>
      </c>
      <c r="K5084" s="34">
        <f t="shared" si="158"/>
        <v>4222.3460000000005</v>
      </c>
      <c r="L5084" s="34">
        <v>2.17</v>
      </c>
      <c r="M5084" s="34">
        <v>31378.5</v>
      </c>
      <c r="N5084" s="34">
        <f t="shared" si="159"/>
        <v>7.4366004112405752</v>
      </c>
    </row>
    <row r="5085" spans="1:14" x14ac:dyDescent="0.45">
      <c r="A5085" s="30">
        <v>2025</v>
      </c>
      <c r="B5085" s="30" t="s">
        <v>10</v>
      </c>
      <c r="C5085" s="30" t="s">
        <v>46</v>
      </c>
      <c r="D5085" s="30" t="s">
        <v>47</v>
      </c>
      <c r="E5085" s="32" t="s">
        <v>75</v>
      </c>
      <c r="F5085" s="32" t="s">
        <v>49</v>
      </c>
      <c r="G5085" s="32" t="s">
        <v>50</v>
      </c>
      <c r="H5085" s="33">
        <v>15790</v>
      </c>
      <c r="I5085" s="34">
        <f>Table3[[#This Row],[Volume, kg.]]/1000</f>
        <v>15.79</v>
      </c>
      <c r="J5085" s="34">
        <v>0.24460000000000001</v>
      </c>
      <c r="K5085" s="34">
        <f t="shared" si="158"/>
        <v>3862.2340000000004</v>
      </c>
      <c r="L5085" s="34">
        <v>1.99</v>
      </c>
      <c r="M5085" s="34">
        <v>31363</v>
      </c>
      <c r="N5085" s="34">
        <f t="shared" si="159"/>
        <v>8.1357318070318883</v>
      </c>
    </row>
    <row r="5086" spans="1:14" x14ac:dyDescent="0.45">
      <c r="A5086" s="30">
        <v>2025</v>
      </c>
      <c r="B5086" s="30" t="s">
        <v>10</v>
      </c>
      <c r="C5086" s="30" t="s">
        <v>46</v>
      </c>
      <c r="D5086" s="30" t="s">
        <v>47</v>
      </c>
      <c r="E5086" s="32" t="s">
        <v>97</v>
      </c>
      <c r="F5086" s="32" t="s">
        <v>49</v>
      </c>
      <c r="G5086" s="32" t="s">
        <v>50</v>
      </c>
      <c r="H5086" s="33">
        <v>58730</v>
      </c>
      <c r="I5086" s="34">
        <f>Table3[[#This Row],[Volume, kg.]]/1000</f>
        <v>58.73</v>
      </c>
      <c r="J5086" s="34">
        <v>0.26960000000000001</v>
      </c>
      <c r="K5086" s="34">
        <f t="shared" si="158"/>
        <v>15833.608</v>
      </c>
      <c r="L5086" s="34">
        <v>2.14</v>
      </c>
      <c r="M5086" s="34">
        <v>125786</v>
      </c>
      <c r="N5086" s="34">
        <f t="shared" si="159"/>
        <v>7.9376854599406528</v>
      </c>
    </row>
    <row r="5087" spans="1:14" x14ac:dyDescent="0.45">
      <c r="A5087" s="30">
        <v>2025</v>
      </c>
      <c r="B5087" s="30" t="s">
        <v>10</v>
      </c>
      <c r="C5087" s="30" t="s">
        <v>46</v>
      </c>
      <c r="D5087" s="30" t="s">
        <v>47</v>
      </c>
      <c r="E5087" s="32" t="s">
        <v>365</v>
      </c>
      <c r="F5087" s="32" t="s">
        <v>49</v>
      </c>
      <c r="G5087" s="32" t="s">
        <v>50</v>
      </c>
      <c r="H5087" s="33">
        <v>85920</v>
      </c>
      <c r="I5087" s="34">
        <f>Table3[[#This Row],[Volume, kg.]]/1000</f>
        <v>85.92</v>
      </c>
      <c r="J5087" s="34">
        <v>0.2606</v>
      </c>
      <c r="K5087" s="34">
        <f t="shared" si="158"/>
        <v>22390.752</v>
      </c>
      <c r="L5087" s="34">
        <v>2.0299999999999998</v>
      </c>
      <c r="M5087" s="34">
        <v>174201</v>
      </c>
      <c r="N5087" s="34">
        <f t="shared" si="159"/>
        <v>7.789716039907904</v>
      </c>
    </row>
    <row r="5088" spans="1:14" x14ac:dyDescent="0.45">
      <c r="A5088" s="30">
        <v>2025</v>
      </c>
      <c r="B5088" s="30" t="s">
        <v>10</v>
      </c>
      <c r="C5088" s="30" t="s">
        <v>46</v>
      </c>
      <c r="D5088" s="30" t="s">
        <v>47</v>
      </c>
      <c r="E5088" s="32" t="s">
        <v>96</v>
      </c>
      <c r="F5088" s="32" t="s">
        <v>49</v>
      </c>
      <c r="G5088" s="32" t="s">
        <v>50</v>
      </c>
      <c r="H5088" s="33">
        <v>7340</v>
      </c>
      <c r="I5088" s="34">
        <f>Table3[[#This Row],[Volume, kg.]]/1000</f>
        <v>7.34</v>
      </c>
      <c r="J5088" s="34">
        <v>0.29149999999999998</v>
      </c>
      <c r="K5088" s="34">
        <f t="shared" si="158"/>
        <v>2139.6099999999997</v>
      </c>
      <c r="L5088" s="34">
        <v>2.35</v>
      </c>
      <c r="M5088" s="34">
        <v>17249</v>
      </c>
      <c r="N5088" s="34">
        <f t="shared" si="159"/>
        <v>8.061749571183535</v>
      </c>
    </row>
    <row r="5089" spans="1:14" x14ac:dyDescent="0.45">
      <c r="A5089" s="30">
        <v>2025</v>
      </c>
      <c r="B5089" s="30" t="s">
        <v>10</v>
      </c>
      <c r="C5089" s="30" t="s">
        <v>46</v>
      </c>
      <c r="D5089" s="30" t="s">
        <v>102</v>
      </c>
      <c r="E5089" s="32" t="s">
        <v>710</v>
      </c>
      <c r="F5089" s="32" t="s">
        <v>189</v>
      </c>
      <c r="G5089" s="32" t="s">
        <v>128</v>
      </c>
      <c r="H5089" s="33">
        <v>291950</v>
      </c>
      <c r="I5089" s="34">
        <f>Table3[[#This Row],[Volume, kg.]]/1000</f>
        <v>291.95</v>
      </c>
      <c r="J5089" s="34">
        <v>0.24739999999999998</v>
      </c>
      <c r="K5089" s="34">
        <f t="shared" si="158"/>
        <v>72228.429999999993</v>
      </c>
      <c r="L5089" s="34">
        <v>1.99</v>
      </c>
      <c r="M5089" s="34">
        <v>581504</v>
      </c>
      <c r="N5089" s="34">
        <f t="shared" si="159"/>
        <v>8.0436540016168152</v>
      </c>
    </row>
    <row r="5090" spans="1:14" x14ac:dyDescent="0.45">
      <c r="A5090" s="30">
        <v>2025</v>
      </c>
      <c r="B5090" s="30" t="s">
        <v>10</v>
      </c>
      <c r="C5090" s="30" t="s">
        <v>46</v>
      </c>
      <c r="D5090" s="30" t="s">
        <v>47</v>
      </c>
      <c r="E5090" s="32" t="s">
        <v>518</v>
      </c>
      <c r="F5090" s="32" t="s">
        <v>49</v>
      </c>
      <c r="G5090" s="32" t="s">
        <v>50</v>
      </c>
      <c r="H5090" s="33">
        <v>9100</v>
      </c>
      <c r="I5090" s="34">
        <f>Table3[[#This Row],[Volume, kg.]]/1000</f>
        <v>9.1</v>
      </c>
      <c r="J5090" s="34">
        <v>0.28350000000000003</v>
      </c>
      <c r="K5090" s="34">
        <f t="shared" si="158"/>
        <v>2579.8500000000004</v>
      </c>
      <c r="L5090" s="34">
        <v>2.2999999999999998</v>
      </c>
      <c r="M5090" s="34">
        <v>20930</v>
      </c>
      <c r="N5090" s="34">
        <f t="shared" si="159"/>
        <v>8.1128747795414444</v>
      </c>
    </row>
    <row r="5091" spans="1:14" x14ac:dyDescent="0.45">
      <c r="A5091" s="30">
        <v>2025</v>
      </c>
      <c r="B5091" s="30" t="s">
        <v>10</v>
      </c>
      <c r="C5091" s="30" t="s">
        <v>46</v>
      </c>
      <c r="D5091" s="30" t="s">
        <v>47</v>
      </c>
      <c r="E5091" s="32" t="s">
        <v>87</v>
      </c>
      <c r="F5091" s="32" t="s">
        <v>49</v>
      </c>
      <c r="G5091" s="32" t="s">
        <v>50</v>
      </c>
      <c r="H5091" s="33">
        <v>21590</v>
      </c>
      <c r="I5091" s="34">
        <f>Table3[[#This Row],[Volume, kg.]]/1000</f>
        <v>21.59</v>
      </c>
      <c r="J5091" s="34">
        <v>0.26890000000000003</v>
      </c>
      <c r="K5091" s="34">
        <f t="shared" si="158"/>
        <v>5805.5510000000004</v>
      </c>
      <c r="L5091" s="34">
        <v>2.1</v>
      </c>
      <c r="M5091" s="34">
        <v>45267</v>
      </c>
      <c r="N5091" s="34">
        <f t="shared" si="159"/>
        <v>7.809594644849386</v>
      </c>
    </row>
    <row r="5092" spans="1:14" x14ac:dyDescent="0.45">
      <c r="A5092" s="30">
        <v>2025</v>
      </c>
      <c r="B5092" s="30" t="s">
        <v>10</v>
      </c>
      <c r="C5092" s="30" t="s">
        <v>46</v>
      </c>
      <c r="D5092" s="30" t="s">
        <v>47</v>
      </c>
      <c r="E5092" s="32" t="s">
        <v>155</v>
      </c>
      <c r="F5092" s="32" t="s">
        <v>64</v>
      </c>
      <c r="G5092" s="32" t="s">
        <v>50</v>
      </c>
      <c r="H5092" s="33">
        <v>61490</v>
      </c>
      <c r="I5092" s="34">
        <f>Table3[[#This Row],[Volume, kg.]]/1000</f>
        <v>61.49</v>
      </c>
      <c r="J5092" s="34">
        <v>0.25579999999999997</v>
      </c>
      <c r="K5092" s="34">
        <f t="shared" si="158"/>
        <v>15729.141999999998</v>
      </c>
      <c r="L5092" s="34">
        <v>1.99</v>
      </c>
      <c r="M5092" s="34">
        <v>122647</v>
      </c>
      <c r="N5092" s="34">
        <f t="shared" si="159"/>
        <v>7.7795152462861621</v>
      </c>
    </row>
    <row r="5093" spans="1:14" x14ac:dyDescent="0.45">
      <c r="A5093" s="30">
        <v>2025</v>
      </c>
      <c r="B5093" s="30" t="s">
        <v>10</v>
      </c>
      <c r="C5093" s="30" t="s">
        <v>46</v>
      </c>
      <c r="D5093" s="30" t="s">
        <v>47</v>
      </c>
      <c r="E5093" s="32" t="s">
        <v>441</v>
      </c>
      <c r="F5093" s="32" t="s">
        <v>64</v>
      </c>
      <c r="G5093" s="32" t="s">
        <v>50</v>
      </c>
      <c r="H5093" s="33">
        <v>170610</v>
      </c>
      <c r="I5093" s="34">
        <f>Table3[[#This Row],[Volume, kg.]]/1000</f>
        <v>170.61</v>
      </c>
      <c r="J5093" s="34">
        <v>0.24079999999999999</v>
      </c>
      <c r="K5093" s="34">
        <f t="shared" si="158"/>
        <v>41082.887999999999</v>
      </c>
      <c r="L5093" s="34">
        <v>1.93</v>
      </c>
      <c r="M5093" s="34">
        <v>329156.5</v>
      </c>
      <c r="N5093" s="34">
        <f t="shared" si="159"/>
        <v>8.014950166112957</v>
      </c>
    </row>
    <row r="5094" spans="1:14" x14ac:dyDescent="0.45">
      <c r="A5094" s="30">
        <v>2025</v>
      </c>
      <c r="B5094" s="30" t="s">
        <v>10</v>
      </c>
      <c r="C5094" s="30" t="s">
        <v>46</v>
      </c>
      <c r="D5094" s="30" t="s">
        <v>47</v>
      </c>
      <c r="E5094" s="32" t="s">
        <v>285</v>
      </c>
      <c r="F5094" s="32" t="s">
        <v>49</v>
      </c>
      <c r="G5094" s="32" t="s">
        <v>50</v>
      </c>
      <c r="H5094" s="33">
        <v>37960</v>
      </c>
      <c r="I5094" s="34">
        <f>Table3[[#This Row],[Volume, kg.]]/1000</f>
        <v>37.96</v>
      </c>
      <c r="J5094" s="34">
        <v>0.27060000000000001</v>
      </c>
      <c r="K5094" s="34">
        <f t="shared" si="158"/>
        <v>10271.976000000001</v>
      </c>
      <c r="L5094" s="34">
        <v>2.14</v>
      </c>
      <c r="M5094" s="34">
        <v>81046</v>
      </c>
      <c r="N5094" s="34">
        <f t="shared" si="159"/>
        <v>7.908351810790835</v>
      </c>
    </row>
    <row r="5095" spans="1:14" x14ac:dyDescent="0.45">
      <c r="A5095" s="30">
        <v>2025</v>
      </c>
      <c r="B5095" s="30" t="s">
        <v>10</v>
      </c>
      <c r="C5095" s="30" t="s">
        <v>46</v>
      </c>
      <c r="D5095" s="30" t="s">
        <v>47</v>
      </c>
      <c r="E5095" s="32" t="s">
        <v>428</v>
      </c>
      <c r="F5095" s="32" t="s">
        <v>64</v>
      </c>
      <c r="G5095" s="32" t="s">
        <v>50</v>
      </c>
      <c r="H5095" s="33">
        <v>8130</v>
      </c>
      <c r="I5095" s="34">
        <f>Table3[[#This Row],[Volume, kg.]]/1000</f>
        <v>8.1300000000000008</v>
      </c>
      <c r="J5095" s="34">
        <v>0.24149999999999999</v>
      </c>
      <c r="K5095" s="34">
        <f t="shared" si="158"/>
        <v>1963.395</v>
      </c>
      <c r="L5095" s="34">
        <v>1.95</v>
      </c>
      <c r="M5095" s="34">
        <v>15853.5</v>
      </c>
      <c r="N5095" s="34">
        <f t="shared" si="159"/>
        <v>8.0745341614906838</v>
      </c>
    </row>
    <row r="5096" spans="1:14" x14ac:dyDescent="0.45">
      <c r="A5096" s="30">
        <v>2025</v>
      </c>
      <c r="B5096" s="30" t="s">
        <v>10</v>
      </c>
      <c r="C5096" s="30" t="s">
        <v>46</v>
      </c>
      <c r="D5096" s="30" t="s">
        <v>47</v>
      </c>
      <c r="E5096" s="32" t="s">
        <v>430</v>
      </c>
      <c r="F5096" s="32" t="s">
        <v>49</v>
      </c>
      <c r="G5096" s="32" t="s">
        <v>50</v>
      </c>
      <c r="H5096" s="33">
        <v>3850</v>
      </c>
      <c r="I5096" s="34">
        <f>Table3[[#This Row],[Volume, kg.]]/1000</f>
        <v>3.85</v>
      </c>
      <c r="J5096" s="34">
        <v>0.26500000000000001</v>
      </c>
      <c r="K5096" s="34">
        <f t="shared" si="158"/>
        <v>1020.25</v>
      </c>
      <c r="L5096" s="34">
        <v>2.0499999999999998</v>
      </c>
      <c r="M5096" s="34">
        <v>7892.5</v>
      </c>
      <c r="N5096" s="34">
        <f t="shared" si="159"/>
        <v>7.7358490566037723</v>
      </c>
    </row>
    <row r="5097" spans="1:14" x14ac:dyDescent="0.45">
      <c r="A5097" s="30">
        <v>2025</v>
      </c>
      <c r="B5097" s="30" t="s">
        <v>10</v>
      </c>
      <c r="C5097" s="30" t="s">
        <v>46</v>
      </c>
      <c r="D5097" s="30" t="s">
        <v>47</v>
      </c>
      <c r="E5097" s="32" t="s">
        <v>314</v>
      </c>
      <c r="F5097" s="32" t="s">
        <v>57</v>
      </c>
      <c r="G5097" s="32" t="s">
        <v>50</v>
      </c>
      <c r="H5097" s="33">
        <v>119560</v>
      </c>
      <c r="I5097" s="34">
        <f>Table3[[#This Row],[Volume, kg.]]/1000</f>
        <v>119.56</v>
      </c>
      <c r="J5097" s="34">
        <v>0.27750000000000002</v>
      </c>
      <c r="K5097" s="34">
        <f t="shared" si="158"/>
        <v>33177.9</v>
      </c>
      <c r="L5097" s="34">
        <v>2.16</v>
      </c>
      <c r="M5097" s="34">
        <v>257973.5</v>
      </c>
      <c r="N5097" s="34">
        <f t="shared" si="159"/>
        <v>7.7837837837837833</v>
      </c>
    </row>
    <row r="5098" spans="1:14" x14ac:dyDescent="0.45">
      <c r="A5098" s="30">
        <v>2025</v>
      </c>
      <c r="B5098" s="30" t="s">
        <v>10</v>
      </c>
      <c r="C5098" s="30" t="s">
        <v>46</v>
      </c>
      <c r="D5098" s="30" t="s">
        <v>47</v>
      </c>
      <c r="E5098" s="32" t="s">
        <v>315</v>
      </c>
      <c r="F5098" s="32" t="s">
        <v>134</v>
      </c>
      <c r="G5098" s="32" t="s">
        <v>50</v>
      </c>
      <c r="H5098" s="33">
        <v>323720</v>
      </c>
      <c r="I5098" s="34">
        <f>Table3[[#This Row],[Volume, kg.]]/1000</f>
        <v>323.72000000000003</v>
      </c>
      <c r="J5098" s="34">
        <v>0.24940000000000001</v>
      </c>
      <c r="K5098" s="34">
        <f t="shared" si="158"/>
        <v>80735.767999999996</v>
      </c>
      <c r="L5098" s="34">
        <v>2.0099999999999998</v>
      </c>
      <c r="M5098" s="34">
        <v>651681</v>
      </c>
      <c r="N5098" s="34">
        <f t="shared" si="159"/>
        <v>8.0593424218123477</v>
      </c>
    </row>
    <row r="5099" spans="1:14" x14ac:dyDescent="0.45">
      <c r="A5099" s="30">
        <v>2025</v>
      </c>
      <c r="B5099" s="30" t="s">
        <v>10</v>
      </c>
      <c r="C5099" s="30" t="s">
        <v>46</v>
      </c>
      <c r="D5099" s="30" t="s">
        <v>47</v>
      </c>
      <c r="E5099" s="32" t="s">
        <v>227</v>
      </c>
      <c r="F5099" s="32" t="s">
        <v>57</v>
      </c>
      <c r="G5099" s="32" t="s">
        <v>50</v>
      </c>
      <c r="H5099" s="33">
        <v>22280</v>
      </c>
      <c r="I5099" s="34">
        <f>Table3[[#This Row],[Volume, kg.]]/1000</f>
        <v>22.28</v>
      </c>
      <c r="J5099" s="34">
        <v>0.30329999999999996</v>
      </c>
      <c r="K5099" s="34">
        <f t="shared" si="158"/>
        <v>6757.5239999999994</v>
      </c>
      <c r="L5099" s="34">
        <v>2.2799999999999998</v>
      </c>
      <c r="M5099" s="34">
        <v>50817</v>
      </c>
      <c r="N5099" s="34">
        <f t="shared" si="159"/>
        <v>7.5173095944609303</v>
      </c>
    </row>
    <row r="5100" spans="1:14" x14ac:dyDescent="0.45">
      <c r="A5100" s="30">
        <v>2025</v>
      </c>
      <c r="B5100" s="30" t="s">
        <v>10</v>
      </c>
      <c r="C5100" s="30" t="s">
        <v>46</v>
      </c>
      <c r="D5100" s="30" t="s">
        <v>47</v>
      </c>
      <c r="E5100" s="32" t="s">
        <v>509</v>
      </c>
      <c r="F5100" s="32" t="s">
        <v>49</v>
      </c>
      <c r="G5100" s="32" t="s">
        <v>50</v>
      </c>
      <c r="H5100" s="33">
        <v>21150</v>
      </c>
      <c r="I5100" s="34">
        <f>Table3[[#This Row],[Volume, kg.]]/1000</f>
        <v>21.15</v>
      </c>
      <c r="J5100" s="34">
        <v>0.26950000000000002</v>
      </c>
      <c r="K5100" s="34">
        <f t="shared" si="158"/>
        <v>5699.9250000000002</v>
      </c>
      <c r="L5100" s="34">
        <v>2.0499999999999998</v>
      </c>
      <c r="M5100" s="34">
        <v>43357.5</v>
      </c>
      <c r="N5100" s="34">
        <f t="shared" si="159"/>
        <v>7.6066790352504627</v>
      </c>
    </row>
    <row r="5101" spans="1:14" x14ac:dyDescent="0.45">
      <c r="A5101" s="30">
        <v>2025</v>
      </c>
      <c r="B5101" s="30" t="s">
        <v>10</v>
      </c>
      <c r="C5101" s="30" t="s">
        <v>46</v>
      </c>
      <c r="D5101" s="30" t="s">
        <v>47</v>
      </c>
      <c r="E5101" s="32" t="s">
        <v>159</v>
      </c>
      <c r="F5101" s="32" t="s">
        <v>81</v>
      </c>
      <c r="G5101" s="32" t="s">
        <v>50</v>
      </c>
      <c r="H5101" s="33">
        <v>125420</v>
      </c>
      <c r="I5101" s="34">
        <f>Table3[[#This Row],[Volume, kg.]]/1000</f>
        <v>125.42</v>
      </c>
      <c r="J5101" s="34">
        <v>0.25409999999999999</v>
      </c>
      <c r="K5101" s="34">
        <f t="shared" si="158"/>
        <v>31869.221999999998</v>
      </c>
      <c r="L5101" s="34">
        <v>2</v>
      </c>
      <c r="M5101" s="34">
        <v>250677</v>
      </c>
      <c r="N5101" s="34">
        <f t="shared" si="159"/>
        <v>7.8709169618260528</v>
      </c>
    </row>
    <row r="5102" spans="1:14" x14ac:dyDescent="0.45">
      <c r="A5102" s="30">
        <v>2025</v>
      </c>
      <c r="B5102" s="30" t="s">
        <v>10</v>
      </c>
      <c r="C5102" s="30" t="s">
        <v>46</v>
      </c>
      <c r="D5102" s="30" t="s">
        <v>47</v>
      </c>
      <c r="E5102" s="32" t="s">
        <v>562</v>
      </c>
      <c r="F5102" s="32" t="s">
        <v>64</v>
      </c>
      <c r="G5102" s="32" t="s">
        <v>50</v>
      </c>
      <c r="H5102" s="33">
        <v>66770</v>
      </c>
      <c r="I5102" s="34">
        <f>Table3[[#This Row],[Volume, kg.]]/1000</f>
        <v>66.77</v>
      </c>
      <c r="J5102" s="34">
        <v>0.25309999999999999</v>
      </c>
      <c r="K5102" s="34">
        <f t="shared" si="158"/>
        <v>16899.487000000001</v>
      </c>
      <c r="L5102" s="34">
        <v>2.04</v>
      </c>
      <c r="M5102" s="34">
        <v>136282.5</v>
      </c>
      <c r="N5102" s="34">
        <f t="shared" si="159"/>
        <v>8.0600553141050977</v>
      </c>
    </row>
    <row r="5103" spans="1:14" x14ac:dyDescent="0.45">
      <c r="A5103" s="30">
        <v>2025</v>
      </c>
      <c r="B5103" s="30" t="s">
        <v>10</v>
      </c>
      <c r="C5103" s="30" t="s">
        <v>46</v>
      </c>
      <c r="D5103" s="30" t="s">
        <v>47</v>
      </c>
      <c r="E5103" s="32" t="s">
        <v>228</v>
      </c>
      <c r="F5103" s="32" t="s">
        <v>64</v>
      </c>
      <c r="G5103" s="32" t="s">
        <v>50</v>
      </c>
      <c r="H5103" s="33">
        <v>77300</v>
      </c>
      <c r="I5103" s="34">
        <f>Table3[[#This Row],[Volume, kg.]]/1000</f>
        <v>77.3</v>
      </c>
      <c r="J5103" s="34">
        <v>0.24979999999999999</v>
      </c>
      <c r="K5103" s="34">
        <f t="shared" si="158"/>
        <v>19309.54</v>
      </c>
      <c r="L5103" s="34">
        <v>1.99</v>
      </c>
      <c r="M5103" s="34">
        <v>153752.5</v>
      </c>
      <c r="N5103" s="34">
        <f t="shared" si="159"/>
        <v>7.9663730984787833</v>
      </c>
    </row>
    <row r="5104" spans="1:14" x14ac:dyDescent="0.45">
      <c r="A5104" s="30">
        <v>2025</v>
      </c>
      <c r="B5104" s="30" t="s">
        <v>10</v>
      </c>
      <c r="C5104" s="30" t="s">
        <v>46</v>
      </c>
      <c r="D5104" s="30" t="s">
        <v>47</v>
      </c>
      <c r="E5104" s="32" t="s">
        <v>61</v>
      </c>
      <c r="F5104" s="32" t="s">
        <v>57</v>
      </c>
      <c r="G5104" s="32" t="s">
        <v>50</v>
      </c>
      <c r="H5104" s="33">
        <v>9710</v>
      </c>
      <c r="I5104" s="34">
        <f>Table3[[#This Row],[Volume, kg.]]/1000</f>
        <v>9.7100000000000009</v>
      </c>
      <c r="J5104" s="34">
        <v>0.28320000000000001</v>
      </c>
      <c r="K5104" s="34">
        <f t="shared" si="158"/>
        <v>2749.8719999999998</v>
      </c>
      <c r="L5104" s="34">
        <v>2.2200000000000002</v>
      </c>
      <c r="M5104" s="34">
        <v>21558.5</v>
      </c>
      <c r="N5104" s="34">
        <f t="shared" si="159"/>
        <v>7.8389830508474585</v>
      </c>
    </row>
    <row r="5105" spans="1:14" x14ac:dyDescent="0.45">
      <c r="A5105" s="30">
        <v>2025</v>
      </c>
      <c r="B5105" s="30" t="s">
        <v>10</v>
      </c>
      <c r="C5105" s="30" t="s">
        <v>46</v>
      </c>
      <c r="D5105" s="30" t="s">
        <v>47</v>
      </c>
      <c r="E5105" s="32" t="s">
        <v>101</v>
      </c>
      <c r="F5105" s="32" t="s">
        <v>64</v>
      </c>
      <c r="G5105" s="32" t="s">
        <v>50</v>
      </c>
      <c r="H5105" s="33">
        <v>76840</v>
      </c>
      <c r="I5105" s="34">
        <f>Table3[[#This Row],[Volume, kg.]]/1000</f>
        <v>76.84</v>
      </c>
      <c r="J5105" s="34">
        <v>0.24890000000000001</v>
      </c>
      <c r="K5105" s="34">
        <f t="shared" si="158"/>
        <v>19125.476000000002</v>
      </c>
      <c r="L5105" s="34">
        <v>2.02</v>
      </c>
      <c r="M5105" s="34">
        <v>155268.5</v>
      </c>
      <c r="N5105" s="34">
        <f t="shared" si="159"/>
        <v>8.1157091201285656</v>
      </c>
    </row>
    <row r="5106" spans="1:14" x14ac:dyDescent="0.45">
      <c r="A5106" s="30">
        <v>2025</v>
      </c>
      <c r="B5106" s="30" t="s">
        <v>10</v>
      </c>
      <c r="C5106" s="30" t="s">
        <v>46</v>
      </c>
      <c r="D5106" s="30" t="s">
        <v>47</v>
      </c>
      <c r="E5106" s="32" t="s">
        <v>347</v>
      </c>
      <c r="F5106" s="32" t="s">
        <v>49</v>
      </c>
      <c r="G5106" s="32" t="s">
        <v>50</v>
      </c>
      <c r="H5106" s="33">
        <v>14860</v>
      </c>
      <c r="I5106" s="34">
        <f>Table3[[#This Row],[Volume, kg.]]/1000</f>
        <v>14.86</v>
      </c>
      <c r="J5106" s="34">
        <v>0.32090000000000002</v>
      </c>
      <c r="K5106" s="34">
        <f t="shared" si="158"/>
        <v>4768.5740000000005</v>
      </c>
      <c r="L5106" s="34">
        <v>2.34</v>
      </c>
      <c r="M5106" s="34">
        <v>34734</v>
      </c>
      <c r="N5106" s="34">
        <f t="shared" si="159"/>
        <v>7.2919912745403543</v>
      </c>
    </row>
    <row r="5107" spans="1:14" x14ac:dyDescent="0.45">
      <c r="A5107" s="30">
        <v>2025</v>
      </c>
      <c r="B5107" s="30" t="s">
        <v>10</v>
      </c>
      <c r="C5107" s="30" t="s">
        <v>46</v>
      </c>
      <c r="D5107" s="30" t="s">
        <v>47</v>
      </c>
      <c r="E5107" s="32" t="s">
        <v>309</v>
      </c>
      <c r="F5107" s="32" t="s">
        <v>81</v>
      </c>
      <c r="G5107" s="32" t="s">
        <v>50</v>
      </c>
      <c r="H5107" s="33">
        <v>25250</v>
      </c>
      <c r="I5107" s="34">
        <f>Table3[[#This Row],[Volume, kg.]]/1000</f>
        <v>25.25</v>
      </c>
      <c r="J5107" s="34">
        <v>0.30180000000000001</v>
      </c>
      <c r="K5107" s="34">
        <f t="shared" si="158"/>
        <v>7620.4500000000007</v>
      </c>
      <c r="L5107" s="34">
        <v>2.2599999999999998</v>
      </c>
      <c r="M5107" s="34">
        <v>57147</v>
      </c>
      <c r="N5107" s="34">
        <f t="shared" si="159"/>
        <v>7.4884029158383028</v>
      </c>
    </row>
    <row r="5108" spans="1:14" x14ac:dyDescent="0.45">
      <c r="A5108" s="30">
        <v>2025</v>
      </c>
      <c r="B5108" s="30" t="s">
        <v>10</v>
      </c>
      <c r="C5108" s="30" t="s">
        <v>46</v>
      </c>
      <c r="D5108" s="30" t="s">
        <v>47</v>
      </c>
      <c r="E5108" s="32" t="s">
        <v>510</v>
      </c>
      <c r="F5108" s="32" t="s">
        <v>49</v>
      </c>
      <c r="G5108" s="32" t="s">
        <v>50</v>
      </c>
      <c r="H5108" s="33">
        <v>29630</v>
      </c>
      <c r="I5108" s="34">
        <f>Table3[[#This Row],[Volume, kg.]]/1000</f>
        <v>29.63</v>
      </c>
      <c r="J5108" s="34">
        <v>0.26989999999999997</v>
      </c>
      <c r="K5108" s="34">
        <f t="shared" si="158"/>
        <v>7997.1369999999988</v>
      </c>
      <c r="L5108" s="34">
        <v>2.08</v>
      </c>
      <c r="M5108" s="34">
        <v>61707.5</v>
      </c>
      <c r="N5108" s="34">
        <f t="shared" si="159"/>
        <v>7.7065579844386818</v>
      </c>
    </row>
    <row r="5109" spans="1:14" x14ac:dyDescent="0.45">
      <c r="A5109" s="30">
        <v>2025</v>
      </c>
      <c r="B5109" s="30" t="s">
        <v>10</v>
      </c>
      <c r="C5109" s="30" t="s">
        <v>46</v>
      </c>
      <c r="D5109" s="30" t="s">
        <v>47</v>
      </c>
      <c r="E5109" s="32" t="s">
        <v>136</v>
      </c>
      <c r="F5109" s="32" t="s">
        <v>49</v>
      </c>
      <c r="G5109" s="32" t="s">
        <v>50</v>
      </c>
      <c r="H5109" s="33">
        <v>3970</v>
      </c>
      <c r="I5109" s="34">
        <f>Table3[[#This Row],[Volume, kg.]]/1000</f>
        <v>3.97</v>
      </c>
      <c r="J5109" s="34">
        <v>0.28649999999999998</v>
      </c>
      <c r="K5109" s="34">
        <f t="shared" si="158"/>
        <v>1137.405</v>
      </c>
      <c r="L5109" s="34">
        <v>2.25</v>
      </c>
      <c r="M5109" s="34">
        <v>8932.5</v>
      </c>
      <c r="N5109" s="34">
        <f t="shared" si="159"/>
        <v>7.8534031413612571</v>
      </c>
    </row>
    <row r="5110" spans="1:14" x14ac:dyDescent="0.45">
      <c r="A5110" s="30">
        <v>2025</v>
      </c>
      <c r="B5110" s="30" t="s">
        <v>10</v>
      </c>
      <c r="C5110" s="30" t="s">
        <v>46</v>
      </c>
      <c r="D5110" s="30" t="s">
        <v>47</v>
      </c>
      <c r="E5110" s="32" t="s">
        <v>53</v>
      </c>
      <c r="F5110" s="32" t="s">
        <v>54</v>
      </c>
      <c r="G5110" s="32" t="s">
        <v>50</v>
      </c>
      <c r="H5110" s="33">
        <v>130420</v>
      </c>
      <c r="I5110" s="34">
        <f>Table3[[#This Row],[Volume, kg.]]/1000</f>
        <v>130.41999999999999</v>
      </c>
      <c r="J5110" s="34">
        <v>0.25079999999999997</v>
      </c>
      <c r="K5110" s="34">
        <f t="shared" si="158"/>
        <v>32709.335999999996</v>
      </c>
      <c r="L5110" s="34">
        <v>2.0499999999999998</v>
      </c>
      <c r="M5110" s="34">
        <v>267849.5</v>
      </c>
      <c r="N5110" s="34">
        <f t="shared" si="159"/>
        <v>8.1738437001594892</v>
      </c>
    </row>
    <row r="5111" spans="1:14" x14ac:dyDescent="0.45">
      <c r="A5111" s="30">
        <v>2025</v>
      </c>
      <c r="B5111" s="30" t="s">
        <v>10</v>
      </c>
      <c r="C5111" s="30" t="s">
        <v>46</v>
      </c>
      <c r="D5111" s="30" t="s">
        <v>47</v>
      </c>
      <c r="E5111" s="32" t="s">
        <v>120</v>
      </c>
      <c r="F5111" s="32" t="s">
        <v>49</v>
      </c>
      <c r="G5111" s="32" t="s">
        <v>50</v>
      </c>
      <c r="H5111" s="33">
        <v>11620</v>
      </c>
      <c r="I5111" s="34">
        <f>Table3[[#This Row],[Volume, kg.]]/1000</f>
        <v>11.62</v>
      </c>
      <c r="J5111" s="34">
        <v>0.26910000000000001</v>
      </c>
      <c r="K5111" s="34">
        <f t="shared" si="158"/>
        <v>3126.942</v>
      </c>
      <c r="L5111" s="34">
        <v>2.16</v>
      </c>
      <c r="M5111" s="34">
        <v>25088.5</v>
      </c>
      <c r="N5111" s="34">
        <f t="shared" si="159"/>
        <v>8.0267558528428093</v>
      </c>
    </row>
    <row r="5112" spans="1:14" x14ac:dyDescent="0.45">
      <c r="A5112" s="30">
        <v>2025</v>
      </c>
      <c r="B5112" s="30" t="s">
        <v>10</v>
      </c>
      <c r="C5112" s="30" t="s">
        <v>46</v>
      </c>
      <c r="D5112" s="30" t="s">
        <v>47</v>
      </c>
      <c r="E5112" s="32" t="s">
        <v>151</v>
      </c>
      <c r="F5112" s="32" t="s">
        <v>60</v>
      </c>
      <c r="G5112" s="32" t="s">
        <v>50</v>
      </c>
      <c r="H5112" s="33">
        <v>268410</v>
      </c>
      <c r="I5112" s="34">
        <f>Table3[[#This Row],[Volume, kg.]]/1000</f>
        <v>268.41000000000003</v>
      </c>
      <c r="J5112" s="34">
        <v>0.26090000000000002</v>
      </c>
      <c r="K5112" s="34">
        <f t="shared" si="158"/>
        <v>70028.169000000009</v>
      </c>
      <c r="L5112" s="34">
        <v>2.06</v>
      </c>
      <c r="M5112" s="34">
        <v>553722.5</v>
      </c>
      <c r="N5112" s="34">
        <f t="shared" si="159"/>
        <v>7.8957454963587574</v>
      </c>
    </row>
    <row r="5113" spans="1:14" x14ac:dyDescent="0.45">
      <c r="A5113" s="30">
        <v>2025</v>
      </c>
      <c r="B5113" s="30" t="s">
        <v>10</v>
      </c>
      <c r="C5113" s="30" t="s">
        <v>46</v>
      </c>
      <c r="D5113" s="30" t="s">
        <v>47</v>
      </c>
      <c r="E5113" s="32" t="s">
        <v>130</v>
      </c>
      <c r="F5113" s="32" t="s">
        <v>64</v>
      </c>
      <c r="G5113" s="32" t="s">
        <v>50</v>
      </c>
      <c r="H5113" s="33">
        <v>39150</v>
      </c>
      <c r="I5113" s="34">
        <f>Table3[[#This Row],[Volume, kg.]]/1000</f>
        <v>39.15</v>
      </c>
      <c r="J5113" s="34">
        <v>0.22870000000000001</v>
      </c>
      <c r="K5113" s="34">
        <f t="shared" si="158"/>
        <v>8953.6050000000014</v>
      </c>
      <c r="L5113" s="34">
        <v>1.89</v>
      </c>
      <c r="M5113" s="34">
        <v>74077</v>
      </c>
      <c r="N5113" s="34">
        <f t="shared" si="159"/>
        <v>8.2641014429383457</v>
      </c>
    </row>
    <row r="5114" spans="1:14" x14ac:dyDescent="0.45">
      <c r="A5114" s="30">
        <v>2025</v>
      </c>
      <c r="B5114" s="30" t="s">
        <v>10</v>
      </c>
      <c r="C5114" s="30" t="s">
        <v>46</v>
      </c>
      <c r="D5114" s="30" t="s">
        <v>47</v>
      </c>
      <c r="E5114" s="32" t="s">
        <v>408</v>
      </c>
      <c r="F5114" s="32" t="s">
        <v>238</v>
      </c>
      <c r="G5114" s="32" t="s">
        <v>50</v>
      </c>
      <c r="H5114" s="33">
        <v>14380</v>
      </c>
      <c r="I5114" s="34">
        <f>Table3[[#This Row],[Volume, kg.]]/1000</f>
        <v>14.38</v>
      </c>
      <c r="J5114" s="34">
        <v>0.26350000000000001</v>
      </c>
      <c r="K5114" s="34">
        <f t="shared" si="158"/>
        <v>3789.13</v>
      </c>
      <c r="L5114" s="34">
        <v>2</v>
      </c>
      <c r="M5114" s="34">
        <v>28760</v>
      </c>
      <c r="N5114" s="34">
        <f t="shared" si="159"/>
        <v>7.5901328273244779</v>
      </c>
    </row>
    <row r="5115" spans="1:14" x14ac:dyDescent="0.45">
      <c r="A5115" s="30">
        <v>2025</v>
      </c>
      <c r="B5115" s="30" t="s">
        <v>10</v>
      </c>
      <c r="C5115" s="30" t="s">
        <v>46</v>
      </c>
      <c r="D5115" s="30" t="s">
        <v>47</v>
      </c>
      <c r="E5115" s="32" t="s">
        <v>270</v>
      </c>
      <c r="F5115" s="32" t="s">
        <v>49</v>
      </c>
      <c r="G5115" s="32" t="s">
        <v>50</v>
      </c>
      <c r="H5115" s="33">
        <v>78380</v>
      </c>
      <c r="I5115" s="34">
        <f>Table3[[#This Row],[Volume, kg.]]/1000</f>
        <v>78.38</v>
      </c>
      <c r="J5115" s="34">
        <v>0.25370000000000004</v>
      </c>
      <c r="K5115" s="34">
        <f t="shared" si="158"/>
        <v>19885.006000000001</v>
      </c>
      <c r="L5115" s="34">
        <v>2.02</v>
      </c>
      <c r="M5115" s="34">
        <v>158345</v>
      </c>
      <c r="N5115" s="34">
        <f t="shared" si="159"/>
        <v>7.9621600315333056</v>
      </c>
    </row>
    <row r="5116" spans="1:14" x14ac:dyDescent="0.45">
      <c r="A5116" s="30">
        <v>2025</v>
      </c>
      <c r="B5116" s="30" t="s">
        <v>10</v>
      </c>
      <c r="C5116" s="30" t="s">
        <v>46</v>
      </c>
      <c r="D5116" s="30" t="s">
        <v>102</v>
      </c>
      <c r="E5116" s="32" t="s">
        <v>658</v>
      </c>
      <c r="F5116" s="32" t="s">
        <v>64</v>
      </c>
      <c r="G5116" s="32" t="s">
        <v>50</v>
      </c>
      <c r="H5116" s="33">
        <v>122800</v>
      </c>
      <c r="I5116" s="34">
        <f>Table3[[#This Row],[Volume, kg.]]/1000</f>
        <v>122.8</v>
      </c>
      <c r="J5116" s="34">
        <v>0.24590000000000001</v>
      </c>
      <c r="K5116" s="34">
        <f t="shared" si="158"/>
        <v>30196.52</v>
      </c>
      <c r="L5116" s="34">
        <v>2</v>
      </c>
      <c r="M5116" s="34">
        <v>245576.5</v>
      </c>
      <c r="N5116" s="34">
        <f t="shared" si="159"/>
        <v>8.1333875559170394</v>
      </c>
    </row>
    <row r="5117" spans="1:14" x14ac:dyDescent="0.45">
      <c r="A5117" s="30">
        <v>2025</v>
      </c>
      <c r="B5117" s="30" t="s">
        <v>10</v>
      </c>
      <c r="C5117" s="30" t="s">
        <v>46</v>
      </c>
      <c r="D5117" s="30" t="s">
        <v>47</v>
      </c>
      <c r="E5117" s="32" t="s">
        <v>133</v>
      </c>
      <c r="F5117" s="32" t="s">
        <v>134</v>
      </c>
      <c r="G5117" s="32" t="s">
        <v>50</v>
      </c>
      <c r="H5117" s="33">
        <v>139000</v>
      </c>
      <c r="I5117" s="34">
        <f>Table3[[#This Row],[Volume, kg.]]/1000</f>
        <v>139</v>
      </c>
      <c r="J5117" s="34">
        <v>0.25840000000000002</v>
      </c>
      <c r="K5117" s="34">
        <f t="shared" si="158"/>
        <v>35917.600000000006</v>
      </c>
      <c r="L5117" s="34">
        <v>2.0499999999999998</v>
      </c>
      <c r="M5117" s="34">
        <v>285343.5</v>
      </c>
      <c r="N5117" s="34">
        <f t="shared" si="159"/>
        <v>7.9334365325077387</v>
      </c>
    </row>
    <row r="5118" spans="1:14" x14ac:dyDescent="0.45">
      <c r="A5118" s="30">
        <v>2025</v>
      </c>
      <c r="B5118" s="30" t="s">
        <v>10</v>
      </c>
      <c r="C5118" s="30" t="s">
        <v>46</v>
      </c>
      <c r="D5118" s="30" t="s">
        <v>47</v>
      </c>
      <c r="E5118" s="32" t="s">
        <v>252</v>
      </c>
      <c r="F5118" s="32" t="s">
        <v>49</v>
      </c>
      <c r="G5118" s="32" t="s">
        <v>50</v>
      </c>
      <c r="H5118" s="33">
        <v>111670</v>
      </c>
      <c r="I5118" s="34">
        <f>Table3[[#This Row],[Volume, kg.]]/1000</f>
        <v>111.67</v>
      </c>
      <c r="J5118" s="34">
        <v>0.28029999999999999</v>
      </c>
      <c r="K5118" s="34">
        <f t="shared" si="158"/>
        <v>31301.100999999999</v>
      </c>
      <c r="L5118" s="34">
        <v>2.1800000000000002</v>
      </c>
      <c r="M5118" s="34">
        <v>243517.5</v>
      </c>
      <c r="N5118" s="34">
        <f t="shared" si="159"/>
        <v>7.7773813770959697</v>
      </c>
    </row>
    <row r="5119" spans="1:14" x14ac:dyDescent="0.45">
      <c r="A5119" s="30">
        <v>2025</v>
      </c>
      <c r="B5119" s="30" t="s">
        <v>10</v>
      </c>
      <c r="C5119" s="30" t="s">
        <v>46</v>
      </c>
      <c r="D5119" s="30" t="s">
        <v>47</v>
      </c>
      <c r="E5119" s="32" t="s">
        <v>95</v>
      </c>
      <c r="F5119" s="32" t="s">
        <v>49</v>
      </c>
      <c r="G5119" s="32" t="s">
        <v>50</v>
      </c>
      <c r="H5119" s="33">
        <v>62220</v>
      </c>
      <c r="I5119" s="34">
        <f>Table3[[#This Row],[Volume, kg.]]/1000</f>
        <v>62.22</v>
      </c>
      <c r="J5119" s="34">
        <v>0.25579999999999997</v>
      </c>
      <c r="K5119" s="34">
        <f t="shared" si="158"/>
        <v>15915.875999999998</v>
      </c>
      <c r="L5119" s="34">
        <v>2.0299999999999998</v>
      </c>
      <c r="M5119" s="34">
        <v>126446.5</v>
      </c>
      <c r="N5119" s="34">
        <f t="shared" si="159"/>
        <v>7.9358874120406568</v>
      </c>
    </row>
    <row r="5120" spans="1:14" x14ac:dyDescent="0.45">
      <c r="A5120" s="30">
        <v>2025</v>
      </c>
      <c r="B5120" s="30" t="s">
        <v>10</v>
      </c>
      <c r="C5120" s="30" t="s">
        <v>46</v>
      </c>
      <c r="D5120" s="30" t="s">
        <v>47</v>
      </c>
      <c r="E5120" s="32" t="s">
        <v>205</v>
      </c>
      <c r="F5120" s="32" t="s">
        <v>49</v>
      </c>
      <c r="G5120" s="32" t="s">
        <v>50</v>
      </c>
      <c r="H5120" s="33">
        <v>92580</v>
      </c>
      <c r="I5120" s="34">
        <f>Table3[[#This Row],[Volume, kg.]]/1000</f>
        <v>92.58</v>
      </c>
      <c r="J5120" s="34">
        <v>0.2631</v>
      </c>
      <c r="K5120" s="34">
        <f t="shared" si="158"/>
        <v>24357.797999999999</v>
      </c>
      <c r="L5120" s="34">
        <v>2.0499999999999998</v>
      </c>
      <c r="M5120" s="34">
        <v>189614.5</v>
      </c>
      <c r="N5120" s="34">
        <f t="shared" si="159"/>
        <v>7.7917141771189655</v>
      </c>
    </row>
    <row r="5121" spans="1:14" x14ac:dyDescent="0.45">
      <c r="A5121" s="30">
        <v>2025</v>
      </c>
      <c r="B5121" s="30" t="s">
        <v>10</v>
      </c>
      <c r="C5121" s="30" t="s">
        <v>46</v>
      </c>
      <c r="D5121" s="30" t="s">
        <v>47</v>
      </c>
      <c r="E5121" s="32" t="s">
        <v>439</v>
      </c>
      <c r="F5121" s="32" t="s">
        <v>64</v>
      </c>
      <c r="G5121" s="32" t="s">
        <v>50</v>
      </c>
      <c r="H5121" s="33">
        <v>102630</v>
      </c>
      <c r="I5121" s="34">
        <f>Table3[[#This Row],[Volume, kg.]]/1000</f>
        <v>102.63</v>
      </c>
      <c r="J5121" s="34">
        <v>0.25989999999999996</v>
      </c>
      <c r="K5121" s="34">
        <f t="shared" si="158"/>
        <v>26673.536999999997</v>
      </c>
      <c r="L5121" s="34">
        <v>2.0299999999999998</v>
      </c>
      <c r="M5121" s="34">
        <v>208202.5</v>
      </c>
      <c r="N5121" s="34">
        <f t="shared" si="159"/>
        <v>7.810696421700654</v>
      </c>
    </row>
    <row r="5122" spans="1:14" x14ac:dyDescent="0.45">
      <c r="A5122" s="30">
        <v>2025</v>
      </c>
      <c r="B5122" s="30" t="s">
        <v>10</v>
      </c>
      <c r="C5122" s="30" t="s">
        <v>46</v>
      </c>
      <c r="D5122" s="30" t="s">
        <v>47</v>
      </c>
      <c r="E5122" s="32" t="s">
        <v>409</v>
      </c>
      <c r="F5122" s="32" t="s">
        <v>57</v>
      </c>
      <c r="G5122" s="32" t="s">
        <v>50</v>
      </c>
      <c r="H5122" s="33">
        <v>15760</v>
      </c>
      <c r="I5122" s="34">
        <f>Table3[[#This Row],[Volume, kg.]]/1000</f>
        <v>15.76</v>
      </c>
      <c r="J5122" s="34">
        <v>0.26300000000000001</v>
      </c>
      <c r="K5122" s="34">
        <f t="shared" si="158"/>
        <v>4144.88</v>
      </c>
      <c r="L5122" s="34">
        <v>2.0499999999999998</v>
      </c>
      <c r="M5122" s="34">
        <v>32308</v>
      </c>
      <c r="N5122" s="34">
        <f t="shared" si="159"/>
        <v>7.7946768060836495</v>
      </c>
    </row>
    <row r="5123" spans="1:14" x14ac:dyDescent="0.45">
      <c r="A5123" s="30">
        <v>2025</v>
      </c>
      <c r="B5123" s="30" t="s">
        <v>10</v>
      </c>
      <c r="C5123" s="30" t="s">
        <v>46</v>
      </c>
      <c r="D5123" s="30" t="s">
        <v>47</v>
      </c>
      <c r="E5123" s="32" t="s">
        <v>434</v>
      </c>
      <c r="F5123" s="32" t="s">
        <v>57</v>
      </c>
      <c r="G5123" s="32" t="s">
        <v>50</v>
      </c>
      <c r="H5123" s="33">
        <v>41970</v>
      </c>
      <c r="I5123" s="34">
        <f>Table3[[#This Row],[Volume, kg.]]/1000</f>
        <v>41.97</v>
      </c>
      <c r="J5123" s="34">
        <v>0.27800000000000002</v>
      </c>
      <c r="K5123" s="34">
        <f t="shared" ref="K5123:K5186" si="160">H5123*J5123</f>
        <v>11667.660000000002</v>
      </c>
      <c r="L5123" s="34">
        <v>2.13</v>
      </c>
      <c r="M5123" s="34">
        <v>89477.5</v>
      </c>
      <c r="N5123" s="34">
        <f t="shared" si="159"/>
        <v>7.6618705035971209</v>
      </c>
    </row>
    <row r="5124" spans="1:14" x14ac:dyDescent="0.45">
      <c r="A5124" s="30">
        <v>2025</v>
      </c>
      <c r="B5124" s="30" t="s">
        <v>10</v>
      </c>
      <c r="C5124" s="30" t="s">
        <v>46</v>
      </c>
      <c r="D5124" s="30" t="s">
        <v>47</v>
      </c>
      <c r="E5124" s="32" t="s">
        <v>452</v>
      </c>
      <c r="F5124" s="32" t="s">
        <v>134</v>
      </c>
      <c r="G5124" s="32" t="s">
        <v>50</v>
      </c>
      <c r="H5124" s="33">
        <v>153960</v>
      </c>
      <c r="I5124" s="34">
        <f>Table3[[#This Row],[Volume, kg.]]/1000</f>
        <v>153.96</v>
      </c>
      <c r="J5124" s="34">
        <v>0.26769999999999999</v>
      </c>
      <c r="K5124" s="34">
        <f t="shared" si="160"/>
        <v>41215.091999999997</v>
      </c>
      <c r="L5124" s="34">
        <v>2.09</v>
      </c>
      <c r="M5124" s="34">
        <v>321303.5</v>
      </c>
      <c r="N5124" s="34">
        <f t="shared" ref="N5124:N5187" si="161">L5124/J5124</f>
        <v>7.8072469181920052</v>
      </c>
    </row>
    <row r="5125" spans="1:14" x14ac:dyDescent="0.45">
      <c r="A5125" s="30">
        <v>2025</v>
      </c>
      <c r="B5125" s="30" t="s">
        <v>10</v>
      </c>
      <c r="C5125" s="30" t="s">
        <v>46</v>
      </c>
      <c r="D5125" s="30" t="s">
        <v>47</v>
      </c>
      <c r="E5125" s="32" t="s">
        <v>489</v>
      </c>
      <c r="F5125" s="32" t="s">
        <v>81</v>
      </c>
      <c r="G5125" s="32" t="s">
        <v>50</v>
      </c>
      <c r="H5125" s="33">
        <v>9870</v>
      </c>
      <c r="I5125" s="34">
        <f>Table3[[#This Row],[Volume, kg.]]/1000</f>
        <v>9.8699999999999992</v>
      </c>
      <c r="J5125" s="34">
        <v>0.28199999999999997</v>
      </c>
      <c r="K5125" s="34">
        <f t="shared" si="160"/>
        <v>2783.3399999999997</v>
      </c>
      <c r="L5125" s="34">
        <v>2.2999999999999998</v>
      </c>
      <c r="M5125" s="34">
        <v>22701</v>
      </c>
      <c r="N5125" s="34">
        <f t="shared" si="161"/>
        <v>8.1560283687943258</v>
      </c>
    </row>
    <row r="5126" spans="1:14" x14ac:dyDescent="0.45">
      <c r="A5126" s="30">
        <v>2025</v>
      </c>
      <c r="B5126" s="30" t="s">
        <v>10</v>
      </c>
      <c r="C5126" s="30" t="s">
        <v>46</v>
      </c>
      <c r="D5126" s="30" t="s">
        <v>47</v>
      </c>
      <c r="E5126" s="32" t="s">
        <v>513</v>
      </c>
      <c r="F5126" s="32" t="s">
        <v>57</v>
      </c>
      <c r="G5126" s="32" t="s">
        <v>50</v>
      </c>
      <c r="H5126" s="33">
        <v>6240</v>
      </c>
      <c r="I5126" s="34">
        <f>Table3[[#This Row],[Volume, kg.]]/1000</f>
        <v>6.24</v>
      </c>
      <c r="J5126" s="34">
        <v>0.28499999999999998</v>
      </c>
      <c r="K5126" s="34">
        <f t="shared" si="160"/>
        <v>1778.3999999999999</v>
      </c>
      <c r="L5126" s="34">
        <v>2.2000000000000002</v>
      </c>
      <c r="M5126" s="34">
        <v>13728</v>
      </c>
      <c r="N5126" s="34">
        <f t="shared" si="161"/>
        <v>7.719298245614036</v>
      </c>
    </row>
    <row r="5127" spans="1:14" x14ac:dyDescent="0.45">
      <c r="A5127" s="30">
        <v>2025</v>
      </c>
      <c r="B5127" s="30" t="s">
        <v>10</v>
      </c>
      <c r="C5127" s="30" t="s">
        <v>46</v>
      </c>
      <c r="D5127" s="30" t="s">
        <v>47</v>
      </c>
      <c r="E5127" s="32" t="s">
        <v>524</v>
      </c>
      <c r="F5127" s="32" t="s">
        <v>49</v>
      </c>
      <c r="G5127" s="32" t="s">
        <v>50</v>
      </c>
      <c r="H5127" s="33">
        <v>16440</v>
      </c>
      <c r="I5127" s="34">
        <f>Table3[[#This Row],[Volume, kg.]]/1000</f>
        <v>16.440000000000001</v>
      </c>
      <c r="J5127" s="34">
        <v>0.32350000000000001</v>
      </c>
      <c r="K5127" s="34">
        <f t="shared" si="160"/>
        <v>5318.34</v>
      </c>
      <c r="L5127" s="34">
        <v>2.5</v>
      </c>
      <c r="M5127" s="34">
        <v>41100</v>
      </c>
      <c r="N5127" s="34">
        <f t="shared" si="161"/>
        <v>7.727975270479134</v>
      </c>
    </row>
    <row r="5128" spans="1:14" x14ac:dyDescent="0.45">
      <c r="A5128" s="30">
        <v>2025</v>
      </c>
      <c r="B5128" s="30" t="s">
        <v>10</v>
      </c>
      <c r="C5128" s="30" t="s">
        <v>46</v>
      </c>
      <c r="D5128" s="30" t="s">
        <v>47</v>
      </c>
      <c r="E5128" s="32" t="s">
        <v>587</v>
      </c>
      <c r="F5128" s="32" t="s">
        <v>223</v>
      </c>
      <c r="G5128" s="32" t="s">
        <v>50</v>
      </c>
      <c r="H5128" s="33">
        <v>123340</v>
      </c>
      <c r="I5128" s="34">
        <f>Table3[[#This Row],[Volume, kg.]]/1000</f>
        <v>123.34</v>
      </c>
      <c r="J5128" s="34">
        <v>0.2492</v>
      </c>
      <c r="K5128" s="34">
        <f t="shared" si="160"/>
        <v>30736.328000000001</v>
      </c>
      <c r="L5128" s="34">
        <v>1.99</v>
      </c>
      <c r="M5128" s="34">
        <v>245915</v>
      </c>
      <c r="N5128" s="34">
        <f t="shared" si="161"/>
        <v>7.9855537720706256</v>
      </c>
    </row>
    <row r="5129" spans="1:14" x14ac:dyDescent="0.45">
      <c r="A5129" s="30">
        <v>2025</v>
      </c>
      <c r="B5129" s="30" t="s">
        <v>10</v>
      </c>
      <c r="C5129" s="30" t="s">
        <v>46</v>
      </c>
      <c r="D5129" s="30" t="s">
        <v>47</v>
      </c>
      <c r="E5129" s="32" t="s">
        <v>588</v>
      </c>
      <c r="F5129" s="32" t="s">
        <v>223</v>
      </c>
      <c r="G5129" s="32" t="s">
        <v>50</v>
      </c>
      <c r="H5129" s="33">
        <v>194430</v>
      </c>
      <c r="I5129" s="34">
        <f>Table3[[#This Row],[Volume, kg.]]/1000</f>
        <v>194.43</v>
      </c>
      <c r="J5129" s="34">
        <v>0.25780000000000003</v>
      </c>
      <c r="K5129" s="34">
        <f t="shared" si="160"/>
        <v>50124.054000000004</v>
      </c>
      <c r="L5129" s="34">
        <v>2.04</v>
      </c>
      <c r="M5129" s="34">
        <v>396286.5</v>
      </c>
      <c r="N5129" s="34">
        <f t="shared" si="161"/>
        <v>7.9131109387121796</v>
      </c>
    </row>
    <row r="5130" spans="1:14" x14ac:dyDescent="0.45">
      <c r="A5130" s="30">
        <v>2025</v>
      </c>
      <c r="B5130" s="30" t="s">
        <v>10</v>
      </c>
      <c r="C5130" s="30" t="s">
        <v>46</v>
      </c>
      <c r="D5130" s="30" t="s">
        <v>47</v>
      </c>
      <c r="E5130" s="32" t="s">
        <v>591</v>
      </c>
      <c r="F5130" s="32" t="s">
        <v>223</v>
      </c>
      <c r="G5130" s="32" t="s">
        <v>50</v>
      </c>
      <c r="H5130" s="33">
        <v>73370</v>
      </c>
      <c r="I5130" s="34">
        <f>Table3[[#This Row],[Volume, kg.]]/1000</f>
        <v>73.37</v>
      </c>
      <c r="J5130" s="34">
        <v>0.26899999999999996</v>
      </c>
      <c r="K5130" s="34">
        <f t="shared" si="160"/>
        <v>19736.53</v>
      </c>
      <c r="L5130" s="34">
        <v>2.09</v>
      </c>
      <c r="M5130" s="34">
        <v>153584</v>
      </c>
      <c r="N5130" s="34">
        <f t="shared" si="161"/>
        <v>7.7695167286245361</v>
      </c>
    </row>
    <row r="5131" spans="1:14" x14ac:dyDescent="0.45">
      <c r="A5131" s="30">
        <v>2025</v>
      </c>
      <c r="B5131" s="30" t="s">
        <v>10</v>
      </c>
      <c r="C5131" s="30" t="s">
        <v>46</v>
      </c>
      <c r="D5131" s="30" t="s">
        <v>47</v>
      </c>
      <c r="E5131" s="32" t="s">
        <v>592</v>
      </c>
      <c r="F5131" s="32" t="s">
        <v>223</v>
      </c>
      <c r="G5131" s="32" t="s">
        <v>50</v>
      </c>
      <c r="H5131" s="33">
        <v>176310</v>
      </c>
      <c r="I5131" s="34">
        <f>Table3[[#This Row],[Volume, kg.]]/1000</f>
        <v>176.31</v>
      </c>
      <c r="J5131" s="34">
        <v>0.23989999999999997</v>
      </c>
      <c r="K5131" s="34">
        <f t="shared" si="160"/>
        <v>42296.768999999993</v>
      </c>
      <c r="L5131" s="34">
        <v>1.93</v>
      </c>
      <c r="M5131" s="34">
        <v>340924.5</v>
      </c>
      <c r="N5131" s="34">
        <f t="shared" si="161"/>
        <v>8.0450187578157575</v>
      </c>
    </row>
    <row r="5132" spans="1:14" x14ac:dyDescent="0.45">
      <c r="A5132" s="30">
        <v>2025</v>
      </c>
      <c r="B5132" s="30" t="s">
        <v>10</v>
      </c>
      <c r="C5132" s="30" t="s">
        <v>46</v>
      </c>
      <c r="D5132" s="30" t="s">
        <v>47</v>
      </c>
      <c r="E5132" s="32" t="s">
        <v>593</v>
      </c>
      <c r="F5132" s="32" t="s">
        <v>49</v>
      </c>
      <c r="G5132" s="32" t="s">
        <v>50</v>
      </c>
      <c r="H5132" s="33">
        <v>47430</v>
      </c>
      <c r="I5132" s="34">
        <f>Table3[[#This Row],[Volume, kg.]]/1000</f>
        <v>47.43</v>
      </c>
      <c r="J5132" s="34">
        <v>0.26750000000000002</v>
      </c>
      <c r="K5132" s="34">
        <f t="shared" si="160"/>
        <v>12687.525000000001</v>
      </c>
      <c r="L5132" s="34">
        <v>2.0699999999999998</v>
      </c>
      <c r="M5132" s="34">
        <v>98218.5</v>
      </c>
      <c r="N5132" s="34">
        <f t="shared" si="161"/>
        <v>7.7383177570093444</v>
      </c>
    </row>
    <row r="5133" spans="1:14" x14ac:dyDescent="0.45">
      <c r="A5133" s="30">
        <v>2025</v>
      </c>
      <c r="B5133" s="30" t="s">
        <v>10</v>
      </c>
      <c r="C5133" s="30" t="s">
        <v>46</v>
      </c>
      <c r="D5133" s="30" t="s">
        <v>47</v>
      </c>
      <c r="E5133" s="32" t="s">
        <v>612</v>
      </c>
      <c r="F5133" s="32" t="s">
        <v>57</v>
      </c>
      <c r="G5133" s="32" t="s">
        <v>50</v>
      </c>
      <c r="H5133" s="33">
        <v>196910</v>
      </c>
      <c r="I5133" s="34">
        <f>Table3[[#This Row],[Volume, kg.]]/1000</f>
        <v>196.91</v>
      </c>
      <c r="J5133" s="34">
        <v>0.28920000000000001</v>
      </c>
      <c r="K5133" s="34">
        <f t="shared" si="160"/>
        <v>56946.372000000003</v>
      </c>
      <c r="L5133" s="34">
        <v>2.23</v>
      </c>
      <c r="M5133" s="34">
        <v>439144.5</v>
      </c>
      <c r="N5133" s="34">
        <f t="shared" si="161"/>
        <v>7.7109266943291832</v>
      </c>
    </row>
    <row r="5134" spans="1:14" x14ac:dyDescent="0.45">
      <c r="A5134" s="30">
        <v>2025</v>
      </c>
      <c r="B5134" s="30" t="s">
        <v>10</v>
      </c>
      <c r="C5134" s="30" t="s">
        <v>46</v>
      </c>
      <c r="D5134" s="30" t="s">
        <v>47</v>
      </c>
      <c r="E5134" s="32" t="s">
        <v>632</v>
      </c>
      <c r="F5134" s="32" t="s">
        <v>134</v>
      </c>
      <c r="G5134" s="32" t="s">
        <v>50</v>
      </c>
      <c r="H5134" s="33">
        <v>80410</v>
      </c>
      <c r="I5134" s="34">
        <f>Table3[[#This Row],[Volume, kg.]]/1000</f>
        <v>80.41</v>
      </c>
      <c r="J5134" s="34">
        <v>0.25469999999999998</v>
      </c>
      <c r="K5134" s="34">
        <f t="shared" si="160"/>
        <v>20480.427</v>
      </c>
      <c r="L5134" s="34">
        <v>2</v>
      </c>
      <c r="M5134" s="34">
        <v>160799</v>
      </c>
      <c r="N5134" s="34">
        <f t="shared" si="161"/>
        <v>7.8523753435414214</v>
      </c>
    </row>
    <row r="5135" spans="1:14" x14ac:dyDescent="0.45">
      <c r="A5135" s="30">
        <v>2025</v>
      </c>
      <c r="B5135" s="30" t="s">
        <v>10</v>
      </c>
      <c r="C5135" s="30" t="s">
        <v>46</v>
      </c>
      <c r="D5135" s="30" t="s">
        <v>47</v>
      </c>
      <c r="E5135" s="32" t="s">
        <v>633</v>
      </c>
      <c r="F5135" s="32" t="s">
        <v>64</v>
      </c>
      <c r="G5135" s="32" t="s">
        <v>50</v>
      </c>
      <c r="H5135" s="33">
        <v>133460</v>
      </c>
      <c r="I5135" s="34">
        <f>Table3[[#This Row],[Volume, kg.]]/1000</f>
        <v>133.46</v>
      </c>
      <c r="J5135" s="34">
        <v>0.24230000000000002</v>
      </c>
      <c r="K5135" s="34">
        <f t="shared" si="160"/>
        <v>32337.358000000004</v>
      </c>
      <c r="L5135" s="34">
        <v>1.94</v>
      </c>
      <c r="M5135" s="34">
        <v>259245.5</v>
      </c>
      <c r="N5135" s="34">
        <f t="shared" si="161"/>
        <v>8.0066033842344186</v>
      </c>
    </row>
    <row r="5136" spans="1:14" x14ac:dyDescent="0.45">
      <c r="A5136" s="30">
        <v>2025</v>
      </c>
      <c r="B5136" s="30" t="s">
        <v>10</v>
      </c>
      <c r="C5136" s="30" t="s">
        <v>46</v>
      </c>
      <c r="D5136" s="30" t="s">
        <v>47</v>
      </c>
      <c r="E5136" s="32" t="s">
        <v>636</v>
      </c>
      <c r="F5136" s="32" t="s">
        <v>64</v>
      </c>
      <c r="G5136" s="32" t="s">
        <v>50</v>
      </c>
      <c r="H5136" s="33">
        <v>12990</v>
      </c>
      <c r="I5136" s="34">
        <f>Table3[[#This Row],[Volume, kg.]]/1000</f>
        <v>12.99</v>
      </c>
      <c r="J5136" s="34">
        <v>0.2225</v>
      </c>
      <c r="K5136" s="34">
        <f t="shared" si="160"/>
        <v>2890.2750000000001</v>
      </c>
      <c r="L5136" s="34">
        <v>1.8</v>
      </c>
      <c r="M5136" s="34">
        <v>23382</v>
      </c>
      <c r="N5136" s="34">
        <f t="shared" si="161"/>
        <v>8.0898876404494384</v>
      </c>
    </row>
    <row r="5137" spans="1:14" x14ac:dyDescent="0.45">
      <c r="A5137" s="30">
        <v>2025</v>
      </c>
      <c r="B5137" s="30" t="s">
        <v>10</v>
      </c>
      <c r="C5137" s="30" t="s">
        <v>46</v>
      </c>
      <c r="D5137" s="30" t="s">
        <v>47</v>
      </c>
      <c r="E5137" s="32" t="s">
        <v>648</v>
      </c>
      <c r="F5137" s="32" t="s">
        <v>57</v>
      </c>
      <c r="G5137" s="32" t="s">
        <v>50</v>
      </c>
      <c r="H5137" s="33">
        <v>46760</v>
      </c>
      <c r="I5137" s="34">
        <f>Table3[[#This Row],[Volume, kg.]]/1000</f>
        <v>46.76</v>
      </c>
      <c r="J5137" s="34">
        <v>0.25129999999999997</v>
      </c>
      <c r="K5137" s="34">
        <f t="shared" si="160"/>
        <v>11750.787999999999</v>
      </c>
      <c r="L5137" s="34">
        <v>2.02</v>
      </c>
      <c r="M5137" s="34">
        <v>94352</v>
      </c>
      <c r="N5137" s="34">
        <f t="shared" si="161"/>
        <v>8.0382013529645846</v>
      </c>
    </row>
    <row r="5138" spans="1:14" x14ac:dyDescent="0.45">
      <c r="A5138" s="30">
        <v>2025</v>
      </c>
      <c r="B5138" s="30" t="s">
        <v>10</v>
      </c>
      <c r="C5138" s="30" t="s">
        <v>46</v>
      </c>
      <c r="D5138" s="30" t="s">
        <v>47</v>
      </c>
      <c r="E5138" s="32" t="s">
        <v>649</v>
      </c>
      <c r="F5138" s="32" t="s">
        <v>223</v>
      </c>
      <c r="G5138" s="32" t="s">
        <v>50</v>
      </c>
      <c r="H5138" s="33">
        <v>239170</v>
      </c>
      <c r="I5138" s="34">
        <f>Table3[[#This Row],[Volume, kg.]]/1000</f>
        <v>239.17</v>
      </c>
      <c r="J5138" s="34">
        <v>0.253</v>
      </c>
      <c r="K5138" s="34">
        <f t="shared" si="160"/>
        <v>60510.01</v>
      </c>
      <c r="L5138" s="34">
        <v>2.0099999999999998</v>
      </c>
      <c r="M5138" s="34">
        <v>481459.5</v>
      </c>
      <c r="N5138" s="34">
        <f t="shared" si="161"/>
        <v>7.9446640316205528</v>
      </c>
    </row>
    <row r="5139" spans="1:14" x14ac:dyDescent="0.45">
      <c r="A5139" s="30">
        <v>2025</v>
      </c>
      <c r="B5139" s="30" t="s">
        <v>10</v>
      </c>
      <c r="C5139" s="30" t="s">
        <v>46</v>
      </c>
      <c r="D5139" s="30" t="s">
        <v>47</v>
      </c>
      <c r="E5139" s="32" t="s">
        <v>650</v>
      </c>
      <c r="F5139" s="32" t="s">
        <v>238</v>
      </c>
      <c r="G5139" s="32" t="s">
        <v>50</v>
      </c>
      <c r="H5139" s="33">
        <v>67000</v>
      </c>
      <c r="I5139" s="34">
        <f>Table3[[#This Row],[Volume, kg.]]/1000</f>
        <v>67</v>
      </c>
      <c r="J5139" s="34">
        <v>0.2757</v>
      </c>
      <c r="K5139" s="34">
        <f t="shared" si="160"/>
        <v>18471.900000000001</v>
      </c>
      <c r="L5139" s="34">
        <v>2.09</v>
      </c>
      <c r="M5139" s="34">
        <v>140280</v>
      </c>
      <c r="N5139" s="34">
        <f t="shared" si="161"/>
        <v>7.5807036634022484</v>
      </c>
    </row>
    <row r="5140" spans="1:14" x14ac:dyDescent="0.45">
      <c r="A5140" s="30">
        <v>2025</v>
      </c>
      <c r="B5140" s="30" t="s">
        <v>10</v>
      </c>
      <c r="C5140" s="30" t="s">
        <v>46</v>
      </c>
      <c r="D5140" s="30" t="s">
        <v>47</v>
      </c>
      <c r="E5140" s="32" t="s">
        <v>672</v>
      </c>
      <c r="F5140" s="32" t="s">
        <v>134</v>
      </c>
      <c r="G5140" s="32" t="s">
        <v>50</v>
      </c>
      <c r="H5140" s="33">
        <v>54840</v>
      </c>
      <c r="I5140" s="34">
        <f>Table3[[#This Row],[Volume, kg.]]/1000</f>
        <v>54.84</v>
      </c>
      <c r="J5140" s="34">
        <v>0.27539999999999998</v>
      </c>
      <c r="K5140" s="34">
        <f t="shared" si="160"/>
        <v>15102.936</v>
      </c>
      <c r="L5140" s="34">
        <v>2.13</v>
      </c>
      <c r="M5140" s="34">
        <v>117018.5</v>
      </c>
      <c r="N5140" s="34">
        <f t="shared" si="161"/>
        <v>7.7342047930283231</v>
      </c>
    </row>
    <row r="5141" spans="1:14" x14ac:dyDescent="0.45">
      <c r="A5141" s="30">
        <v>2025</v>
      </c>
      <c r="B5141" s="30" t="s">
        <v>10</v>
      </c>
      <c r="C5141" s="30" t="s">
        <v>46</v>
      </c>
      <c r="D5141" s="30" t="s">
        <v>47</v>
      </c>
      <c r="E5141" s="32" t="s">
        <v>673</v>
      </c>
      <c r="F5141" s="32" t="s">
        <v>49</v>
      </c>
      <c r="G5141" s="32" t="s">
        <v>50</v>
      </c>
      <c r="H5141" s="33">
        <v>5540</v>
      </c>
      <c r="I5141" s="34">
        <f>Table3[[#This Row],[Volume, kg.]]/1000</f>
        <v>5.54</v>
      </c>
      <c r="J5141" s="34">
        <v>0.254</v>
      </c>
      <c r="K5141" s="34">
        <f t="shared" si="160"/>
        <v>1407.16</v>
      </c>
      <c r="L5141" s="34">
        <v>2</v>
      </c>
      <c r="M5141" s="34">
        <v>11080</v>
      </c>
      <c r="N5141" s="34">
        <f t="shared" si="161"/>
        <v>7.8740157480314963</v>
      </c>
    </row>
    <row r="5142" spans="1:14" x14ac:dyDescent="0.45">
      <c r="A5142" s="30">
        <v>2025</v>
      </c>
      <c r="B5142" s="30" t="s">
        <v>10</v>
      </c>
      <c r="C5142" s="30" t="s">
        <v>46</v>
      </c>
      <c r="D5142" s="30" t="s">
        <v>47</v>
      </c>
      <c r="E5142" s="32" t="s">
        <v>676</v>
      </c>
      <c r="F5142" s="32" t="s">
        <v>60</v>
      </c>
      <c r="G5142" s="32" t="s">
        <v>50</v>
      </c>
      <c r="H5142" s="33">
        <v>21800</v>
      </c>
      <c r="I5142" s="34">
        <f>Table3[[#This Row],[Volume, kg.]]/1000</f>
        <v>21.8</v>
      </c>
      <c r="J5142" s="34">
        <v>0.29830000000000001</v>
      </c>
      <c r="K5142" s="34">
        <f t="shared" si="160"/>
        <v>6502.9400000000005</v>
      </c>
      <c r="L5142" s="34">
        <v>2.29</v>
      </c>
      <c r="M5142" s="34">
        <v>49959.5</v>
      </c>
      <c r="N5142" s="34">
        <f t="shared" si="161"/>
        <v>7.6768354006034194</v>
      </c>
    </row>
    <row r="5143" spans="1:14" x14ac:dyDescent="0.45">
      <c r="A5143" s="30">
        <v>2025</v>
      </c>
      <c r="B5143" s="30" t="s">
        <v>10</v>
      </c>
      <c r="C5143" s="30" t="s">
        <v>46</v>
      </c>
      <c r="D5143" s="30" t="s">
        <v>47</v>
      </c>
      <c r="E5143" s="32" t="s">
        <v>677</v>
      </c>
      <c r="F5143" s="32" t="s">
        <v>49</v>
      </c>
      <c r="G5143" s="32" t="s">
        <v>50</v>
      </c>
      <c r="H5143" s="33">
        <v>27390</v>
      </c>
      <c r="I5143" s="34">
        <f>Table3[[#This Row],[Volume, kg.]]/1000</f>
        <v>27.39</v>
      </c>
      <c r="J5143" s="34">
        <v>0.26390000000000002</v>
      </c>
      <c r="K5143" s="34">
        <f t="shared" si="160"/>
        <v>7228.2210000000005</v>
      </c>
      <c r="L5143" s="34">
        <v>2.0299999999999998</v>
      </c>
      <c r="M5143" s="34">
        <v>55478</v>
      </c>
      <c r="N5143" s="34">
        <f t="shared" si="161"/>
        <v>7.6923076923076907</v>
      </c>
    </row>
    <row r="5144" spans="1:14" x14ac:dyDescent="0.45">
      <c r="A5144" s="30">
        <v>2025</v>
      </c>
      <c r="B5144" s="30" t="s">
        <v>10</v>
      </c>
      <c r="C5144" s="30" t="s">
        <v>46</v>
      </c>
      <c r="D5144" s="30" t="s">
        <v>47</v>
      </c>
      <c r="E5144" s="32" t="s">
        <v>716</v>
      </c>
      <c r="F5144" s="32" t="s">
        <v>134</v>
      </c>
      <c r="G5144" s="32" t="s">
        <v>50</v>
      </c>
      <c r="H5144" s="33">
        <v>11800</v>
      </c>
      <c r="I5144" s="34">
        <f>Table3[[#This Row],[Volume, kg.]]/1000</f>
        <v>11.8</v>
      </c>
      <c r="J5144" s="34">
        <v>0.23899999999999999</v>
      </c>
      <c r="K5144" s="34">
        <f t="shared" si="160"/>
        <v>2820.2</v>
      </c>
      <c r="L5144" s="34">
        <v>1.95</v>
      </c>
      <c r="M5144" s="34">
        <v>23010</v>
      </c>
      <c r="N5144" s="34">
        <f t="shared" si="161"/>
        <v>8.1589958158995817</v>
      </c>
    </row>
    <row r="5145" spans="1:14" x14ac:dyDescent="0.45">
      <c r="A5145" s="30">
        <v>2025</v>
      </c>
      <c r="B5145" s="30" t="s">
        <v>10</v>
      </c>
      <c r="C5145" s="30" t="s">
        <v>46</v>
      </c>
      <c r="D5145" s="30" t="s">
        <v>47</v>
      </c>
      <c r="E5145" s="32" t="s">
        <v>717</v>
      </c>
      <c r="F5145" s="32" t="s">
        <v>223</v>
      </c>
      <c r="G5145" s="32" t="s">
        <v>50</v>
      </c>
      <c r="H5145" s="33">
        <v>155700</v>
      </c>
      <c r="I5145" s="34">
        <f>Table3[[#This Row],[Volume, kg.]]/1000</f>
        <v>155.69999999999999</v>
      </c>
      <c r="J5145" s="34">
        <v>0.2455</v>
      </c>
      <c r="K5145" s="34">
        <f t="shared" si="160"/>
        <v>38224.35</v>
      </c>
      <c r="L5145" s="34">
        <v>1.95</v>
      </c>
      <c r="M5145" s="34">
        <v>303854.5</v>
      </c>
      <c r="N5145" s="34">
        <f t="shared" si="161"/>
        <v>7.9429735234215881</v>
      </c>
    </row>
    <row r="5146" spans="1:14" x14ac:dyDescent="0.45">
      <c r="A5146" s="30">
        <v>2025</v>
      </c>
      <c r="B5146" s="30" t="s">
        <v>10</v>
      </c>
      <c r="C5146" s="30" t="s">
        <v>46</v>
      </c>
      <c r="D5146" s="30" t="s">
        <v>47</v>
      </c>
      <c r="E5146" s="32" t="s">
        <v>713</v>
      </c>
      <c r="F5146" s="32" t="s">
        <v>64</v>
      </c>
      <c r="G5146" s="32" t="s">
        <v>50</v>
      </c>
      <c r="H5146" s="33">
        <v>9630</v>
      </c>
      <c r="I5146" s="34">
        <f>Table3[[#This Row],[Volume, kg.]]/1000</f>
        <v>9.6300000000000008</v>
      </c>
      <c r="J5146" s="34">
        <v>0.2495</v>
      </c>
      <c r="K5146" s="34">
        <f t="shared" si="160"/>
        <v>2402.6849999999999</v>
      </c>
      <c r="L5146" s="34">
        <v>2</v>
      </c>
      <c r="M5146" s="34">
        <v>19260</v>
      </c>
      <c r="N5146" s="34">
        <f t="shared" si="161"/>
        <v>8.0160320641282556</v>
      </c>
    </row>
    <row r="5147" spans="1:14" x14ac:dyDescent="0.45">
      <c r="A5147" s="30">
        <v>2025</v>
      </c>
      <c r="B5147" s="30" t="s">
        <v>10</v>
      </c>
      <c r="C5147" s="30" t="s">
        <v>46</v>
      </c>
      <c r="D5147" s="30" t="s">
        <v>47</v>
      </c>
      <c r="E5147" s="32" t="s">
        <v>714</v>
      </c>
      <c r="F5147" s="32" t="s">
        <v>238</v>
      </c>
      <c r="G5147" s="32" t="s">
        <v>50</v>
      </c>
      <c r="H5147" s="33">
        <v>50240</v>
      </c>
      <c r="I5147" s="34">
        <f>Table3[[#This Row],[Volume, kg.]]/1000</f>
        <v>50.24</v>
      </c>
      <c r="J5147" s="34">
        <v>0.25679999999999997</v>
      </c>
      <c r="K5147" s="34">
        <f t="shared" si="160"/>
        <v>12901.631999999998</v>
      </c>
      <c r="L5147" s="34">
        <v>2.08</v>
      </c>
      <c r="M5147" s="34">
        <v>104680</v>
      </c>
      <c r="N5147" s="34">
        <f t="shared" si="161"/>
        <v>8.099688473520251</v>
      </c>
    </row>
    <row r="5148" spans="1:14" x14ac:dyDescent="0.45">
      <c r="A5148" s="30">
        <v>2025</v>
      </c>
      <c r="B5148" s="30" t="s">
        <v>10</v>
      </c>
      <c r="C5148" s="30" t="s">
        <v>46</v>
      </c>
      <c r="D5148" s="30" t="s">
        <v>47</v>
      </c>
      <c r="E5148" s="32" t="s">
        <v>718</v>
      </c>
      <c r="F5148" s="32" t="s">
        <v>60</v>
      </c>
      <c r="G5148" s="32" t="s">
        <v>50</v>
      </c>
      <c r="H5148" s="33">
        <v>93260</v>
      </c>
      <c r="I5148" s="34">
        <f>Table3[[#This Row],[Volume, kg.]]/1000</f>
        <v>93.26</v>
      </c>
      <c r="J5148" s="34">
        <v>0.26419999999999999</v>
      </c>
      <c r="K5148" s="34">
        <f t="shared" si="160"/>
        <v>24639.291999999998</v>
      </c>
      <c r="L5148" s="34">
        <v>2.1</v>
      </c>
      <c r="M5148" s="34">
        <v>196270</v>
      </c>
      <c r="N5148" s="34">
        <f t="shared" si="161"/>
        <v>7.948523845571537</v>
      </c>
    </row>
    <row r="5149" spans="1:14" x14ac:dyDescent="0.45">
      <c r="A5149" s="30">
        <v>2025</v>
      </c>
      <c r="B5149" s="30" t="s">
        <v>10</v>
      </c>
      <c r="C5149" s="30" t="s">
        <v>46</v>
      </c>
      <c r="D5149" s="30" t="s">
        <v>47</v>
      </c>
      <c r="E5149" s="32" t="s">
        <v>719</v>
      </c>
      <c r="F5149" s="32" t="s">
        <v>81</v>
      </c>
      <c r="G5149" s="32" t="s">
        <v>50</v>
      </c>
      <c r="H5149" s="33">
        <v>22630</v>
      </c>
      <c r="I5149" s="34">
        <f>Table3[[#This Row],[Volume, kg.]]/1000</f>
        <v>22.63</v>
      </c>
      <c r="J5149" s="34">
        <v>0.27</v>
      </c>
      <c r="K5149" s="34">
        <f t="shared" si="160"/>
        <v>6110.1</v>
      </c>
      <c r="L5149" s="34">
        <v>2.0499999999999998</v>
      </c>
      <c r="M5149" s="34">
        <v>46391.5</v>
      </c>
      <c r="N5149" s="34">
        <f t="shared" si="161"/>
        <v>7.5925925925925917</v>
      </c>
    </row>
    <row r="5150" spans="1:14" x14ac:dyDescent="0.45">
      <c r="A5150" s="30">
        <v>2025</v>
      </c>
      <c r="B5150" s="30" t="s">
        <v>10</v>
      </c>
      <c r="C5150" s="30" t="s">
        <v>46</v>
      </c>
      <c r="D5150" s="30" t="s">
        <v>47</v>
      </c>
      <c r="E5150" s="32" t="s">
        <v>720</v>
      </c>
      <c r="F5150" s="32" t="s">
        <v>64</v>
      </c>
      <c r="G5150" s="32" t="s">
        <v>50</v>
      </c>
      <c r="H5150" s="33">
        <v>22270</v>
      </c>
      <c r="I5150" s="34">
        <f>Table3[[#This Row],[Volume, kg.]]/1000</f>
        <v>22.27</v>
      </c>
      <c r="J5150" s="34">
        <v>0.25629999999999997</v>
      </c>
      <c r="K5150" s="34">
        <f t="shared" si="160"/>
        <v>5707.8009999999995</v>
      </c>
      <c r="L5150" s="34">
        <v>1.97</v>
      </c>
      <c r="M5150" s="34">
        <v>43969.5</v>
      </c>
      <c r="N5150" s="34">
        <f t="shared" si="161"/>
        <v>7.6863051111978162</v>
      </c>
    </row>
    <row r="5151" spans="1:14" x14ac:dyDescent="0.45">
      <c r="A5151" s="30">
        <v>2025</v>
      </c>
      <c r="B5151" s="30" t="s">
        <v>10</v>
      </c>
      <c r="C5151" s="30" t="s">
        <v>46</v>
      </c>
      <c r="D5151" s="30" t="s">
        <v>47</v>
      </c>
      <c r="E5151" s="32" t="s">
        <v>721</v>
      </c>
      <c r="F5151" s="32" t="s">
        <v>49</v>
      </c>
      <c r="G5151" s="32" t="s">
        <v>50</v>
      </c>
      <c r="H5151" s="33">
        <v>16500</v>
      </c>
      <c r="I5151" s="34">
        <f>Table3[[#This Row],[Volume, kg.]]/1000</f>
        <v>16.5</v>
      </c>
      <c r="J5151" s="34">
        <v>0.29549999999999998</v>
      </c>
      <c r="K5151" s="34">
        <f t="shared" si="160"/>
        <v>4875.75</v>
      </c>
      <c r="L5151" s="34">
        <v>2.2000000000000002</v>
      </c>
      <c r="M5151" s="34">
        <v>36300</v>
      </c>
      <c r="N5151" s="34">
        <f t="shared" si="161"/>
        <v>7.4450084602368873</v>
      </c>
    </row>
    <row r="5152" spans="1:14" x14ac:dyDescent="0.45">
      <c r="A5152" s="30">
        <v>2025</v>
      </c>
      <c r="B5152" s="30" t="s">
        <v>10</v>
      </c>
      <c r="C5152" s="30" t="s">
        <v>46</v>
      </c>
      <c r="D5152" s="30" t="s">
        <v>47</v>
      </c>
      <c r="E5152" s="32" t="s">
        <v>722</v>
      </c>
      <c r="F5152" s="32" t="s">
        <v>49</v>
      </c>
      <c r="G5152" s="32" t="s">
        <v>50</v>
      </c>
      <c r="H5152" s="33">
        <v>11140</v>
      </c>
      <c r="I5152" s="34">
        <f>Table3[[#This Row],[Volume, kg.]]/1000</f>
        <v>11.14</v>
      </c>
      <c r="J5152" s="34">
        <v>0.26750000000000002</v>
      </c>
      <c r="K5152" s="34">
        <f t="shared" si="160"/>
        <v>2979.9500000000003</v>
      </c>
      <c r="L5152" s="34">
        <v>2.0499999999999998</v>
      </c>
      <c r="M5152" s="34">
        <v>22837</v>
      </c>
      <c r="N5152" s="34">
        <f t="shared" si="161"/>
        <v>7.6635514018691575</v>
      </c>
    </row>
    <row r="5153" spans="1:14" x14ac:dyDescent="0.45">
      <c r="A5153" s="30">
        <v>2025</v>
      </c>
      <c r="B5153" s="30" t="s">
        <v>11</v>
      </c>
      <c r="C5153" s="30" t="s">
        <v>46</v>
      </c>
      <c r="D5153" s="30" t="s">
        <v>102</v>
      </c>
      <c r="E5153" s="31" t="s">
        <v>188</v>
      </c>
      <c r="F5153" s="32" t="s">
        <v>189</v>
      </c>
      <c r="G5153" s="32" t="s">
        <v>128</v>
      </c>
      <c r="H5153" s="33">
        <v>579940</v>
      </c>
      <c r="I5153" s="34">
        <f>Table3[[#This Row],[Volume, kg.]]/1000</f>
        <v>579.94000000000005</v>
      </c>
      <c r="J5153" s="34">
        <v>0.22920000000000001</v>
      </c>
      <c r="K5153" s="34">
        <f t="shared" si="160"/>
        <v>132922.24800000002</v>
      </c>
      <c r="L5153" s="34">
        <v>1.86</v>
      </c>
      <c r="M5153" s="34">
        <v>1078858</v>
      </c>
      <c r="N5153" s="34">
        <f t="shared" si="161"/>
        <v>8.1151832460732987</v>
      </c>
    </row>
    <row r="5154" spans="1:14" x14ac:dyDescent="0.45">
      <c r="A5154" s="30">
        <v>2025</v>
      </c>
      <c r="B5154" s="30" t="s">
        <v>11</v>
      </c>
      <c r="C5154" s="30" t="s">
        <v>46</v>
      </c>
      <c r="D5154" s="30" t="s">
        <v>102</v>
      </c>
      <c r="E5154" s="31" t="s">
        <v>336</v>
      </c>
      <c r="F5154" s="32" t="s">
        <v>114</v>
      </c>
      <c r="G5154" s="32" t="s">
        <v>108</v>
      </c>
      <c r="H5154" s="33">
        <v>543160</v>
      </c>
      <c r="I5154" s="34">
        <f>Table3[[#This Row],[Volume, kg.]]/1000</f>
        <v>543.16</v>
      </c>
      <c r="J5154" s="34">
        <v>0.2349</v>
      </c>
      <c r="K5154" s="34">
        <f t="shared" si="160"/>
        <v>127588.284</v>
      </c>
      <c r="L5154" s="34">
        <v>1.89</v>
      </c>
      <c r="M5154" s="34">
        <v>1024892</v>
      </c>
      <c r="N5154" s="34">
        <f t="shared" si="161"/>
        <v>8.0459770114942533</v>
      </c>
    </row>
    <row r="5155" spans="1:14" x14ac:dyDescent="0.45">
      <c r="A5155" s="30">
        <v>2025</v>
      </c>
      <c r="B5155" s="30" t="s">
        <v>11</v>
      </c>
      <c r="C5155" s="30" t="s">
        <v>46</v>
      </c>
      <c r="D5155" s="30" t="s">
        <v>102</v>
      </c>
      <c r="E5155" s="31" t="s">
        <v>622</v>
      </c>
      <c r="F5155" s="32" t="s">
        <v>238</v>
      </c>
      <c r="G5155" s="32" t="s">
        <v>50</v>
      </c>
      <c r="H5155" s="33">
        <v>118180</v>
      </c>
      <c r="I5155" s="34">
        <f>Table3[[#This Row],[Volume, kg.]]/1000</f>
        <v>118.18</v>
      </c>
      <c r="J5155" s="34">
        <v>0.25719999999999998</v>
      </c>
      <c r="K5155" s="34">
        <f t="shared" si="160"/>
        <v>30395.895999999997</v>
      </c>
      <c r="L5155" s="34">
        <v>1.97</v>
      </c>
      <c r="M5155" s="34">
        <v>233137</v>
      </c>
      <c r="N5155" s="34">
        <f t="shared" si="161"/>
        <v>7.6594090202177298</v>
      </c>
    </row>
    <row r="5156" spans="1:14" x14ac:dyDescent="0.45">
      <c r="A5156" s="30">
        <v>2025</v>
      </c>
      <c r="B5156" s="30" t="s">
        <v>11</v>
      </c>
      <c r="C5156" s="30" t="s">
        <v>46</v>
      </c>
      <c r="D5156" s="30" t="s">
        <v>47</v>
      </c>
      <c r="E5156" s="31" t="s">
        <v>181</v>
      </c>
      <c r="F5156" s="32" t="s">
        <v>57</v>
      </c>
      <c r="G5156" s="32" t="s">
        <v>50</v>
      </c>
      <c r="H5156" s="33">
        <v>33010</v>
      </c>
      <c r="I5156" s="34">
        <f>Table3[[#This Row],[Volume, kg.]]/1000</f>
        <v>33.01</v>
      </c>
      <c r="J5156" s="34">
        <v>0.27010000000000001</v>
      </c>
      <c r="K5156" s="34">
        <f t="shared" si="160"/>
        <v>8916.0010000000002</v>
      </c>
      <c r="L5156" s="34">
        <v>2.14</v>
      </c>
      <c r="M5156" s="34">
        <v>70674.5</v>
      </c>
      <c r="N5156" s="34">
        <f t="shared" si="161"/>
        <v>7.9229914846353209</v>
      </c>
    </row>
    <row r="5157" spans="1:14" x14ac:dyDescent="0.45">
      <c r="A5157" s="30">
        <v>2025</v>
      </c>
      <c r="B5157" s="30" t="s">
        <v>11</v>
      </c>
      <c r="C5157" s="30" t="s">
        <v>46</v>
      </c>
      <c r="D5157" s="30" t="s">
        <v>47</v>
      </c>
      <c r="E5157" s="31" t="s">
        <v>232</v>
      </c>
      <c r="F5157" s="32" t="s">
        <v>49</v>
      </c>
      <c r="G5157" s="32" t="s">
        <v>50</v>
      </c>
      <c r="H5157" s="33">
        <v>5790</v>
      </c>
      <c r="I5157" s="34">
        <f>Table3[[#This Row],[Volume, kg.]]/1000</f>
        <v>5.79</v>
      </c>
      <c r="J5157" s="34">
        <v>0.23749999999999999</v>
      </c>
      <c r="K5157" s="34">
        <f t="shared" si="160"/>
        <v>1375.125</v>
      </c>
      <c r="L5157" s="34">
        <v>1.9</v>
      </c>
      <c r="M5157" s="34">
        <v>11001</v>
      </c>
      <c r="N5157" s="34">
        <f t="shared" si="161"/>
        <v>8</v>
      </c>
    </row>
    <row r="5158" spans="1:14" x14ac:dyDescent="0.45">
      <c r="A5158" s="30">
        <v>2025</v>
      </c>
      <c r="B5158" s="30" t="s">
        <v>11</v>
      </c>
      <c r="C5158" s="30" t="s">
        <v>46</v>
      </c>
      <c r="D5158" s="30" t="s">
        <v>47</v>
      </c>
      <c r="E5158" s="31" t="s">
        <v>213</v>
      </c>
      <c r="F5158" s="32" t="s">
        <v>49</v>
      </c>
      <c r="G5158" s="32" t="s">
        <v>50</v>
      </c>
      <c r="H5158" s="33">
        <v>29760</v>
      </c>
      <c r="I5158" s="34">
        <f>Table3[[#This Row],[Volume, kg.]]/1000</f>
        <v>29.76</v>
      </c>
      <c r="J5158" s="34">
        <v>0.26039999999999996</v>
      </c>
      <c r="K5158" s="34">
        <f t="shared" si="160"/>
        <v>7749.503999999999</v>
      </c>
      <c r="L5158" s="34">
        <v>2.0099999999999998</v>
      </c>
      <c r="M5158" s="34">
        <v>59768</v>
      </c>
      <c r="N5158" s="34">
        <f t="shared" si="161"/>
        <v>7.7188940092165899</v>
      </c>
    </row>
    <row r="5159" spans="1:14" x14ac:dyDescent="0.45">
      <c r="A5159" s="30">
        <v>2025</v>
      </c>
      <c r="B5159" s="30" t="s">
        <v>11</v>
      </c>
      <c r="C5159" s="30" t="s">
        <v>46</v>
      </c>
      <c r="D5159" s="30" t="s">
        <v>47</v>
      </c>
      <c r="E5159" s="31" t="s">
        <v>69</v>
      </c>
      <c r="F5159" s="32" t="s">
        <v>49</v>
      </c>
      <c r="G5159" s="32" t="s">
        <v>50</v>
      </c>
      <c r="H5159" s="33">
        <v>77740</v>
      </c>
      <c r="I5159" s="34">
        <f>Table3[[#This Row],[Volume, kg.]]/1000</f>
        <v>77.739999999999995</v>
      </c>
      <c r="J5159" s="34">
        <v>0.2477</v>
      </c>
      <c r="K5159" s="34">
        <f t="shared" si="160"/>
        <v>19256.198</v>
      </c>
      <c r="L5159" s="34">
        <v>2</v>
      </c>
      <c r="M5159" s="34">
        <v>155278</v>
      </c>
      <c r="N5159" s="34">
        <f t="shared" si="161"/>
        <v>8.0742834073475986</v>
      </c>
    </row>
    <row r="5160" spans="1:14" x14ac:dyDescent="0.45">
      <c r="A5160" s="30">
        <v>2025</v>
      </c>
      <c r="B5160" s="30" t="s">
        <v>11</v>
      </c>
      <c r="C5160" s="30" t="s">
        <v>46</v>
      </c>
      <c r="D5160" s="30" t="s">
        <v>47</v>
      </c>
      <c r="E5160" s="31" t="s">
        <v>264</v>
      </c>
      <c r="F5160" s="32" t="s">
        <v>49</v>
      </c>
      <c r="G5160" s="32" t="s">
        <v>50</v>
      </c>
      <c r="H5160" s="33">
        <v>16760</v>
      </c>
      <c r="I5160" s="34">
        <f>Table3[[#This Row],[Volume, kg.]]/1000</f>
        <v>16.760000000000002</v>
      </c>
      <c r="J5160" s="34">
        <v>0.26200000000000001</v>
      </c>
      <c r="K5160" s="34">
        <f t="shared" si="160"/>
        <v>4391.12</v>
      </c>
      <c r="L5160" s="34">
        <v>2.1</v>
      </c>
      <c r="M5160" s="34">
        <v>35196</v>
      </c>
      <c r="N5160" s="34">
        <f t="shared" si="161"/>
        <v>8.0152671755725198</v>
      </c>
    </row>
    <row r="5161" spans="1:14" x14ac:dyDescent="0.45">
      <c r="A5161" s="30">
        <v>2025</v>
      </c>
      <c r="B5161" s="30" t="s">
        <v>11</v>
      </c>
      <c r="C5161" s="30" t="s">
        <v>46</v>
      </c>
      <c r="D5161" s="30" t="s">
        <v>47</v>
      </c>
      <c r="E5161" s="31" t="s">
        <v>52</v>
      </c>
      <c r="F5161" s="32" t="s">
        <v>49</v>
      </c>
      <c r="G5161" s="32" t="s">
        <v>50</v>
      </c>
      <c r="H5161" s="33">
        <v>9830</v>
      </c>
      <c r="I5161" s="34">
        <f>Table3[[#This Row],[Volume, kg.]]/1000</f>
        <v>9.83</v>
      </c>
      <c r="J5161" s="34">
        <v>0.1946</v>
      </c>
      <c r="K5161" s="34">
        <f t="shared" si="160"/>
        <v>1912.9179999999999</v>
      </c>
      <c r="L5161" s="34">
        <v>1.78</v>
      </c>
      <c r="M5161" s="34">
        <v>17482</v>
      </c>
      <c r="N5161" s="34">
        <f t="shared" si="161"/>
        <v>9.1469681397738949</v>
      </c>
    </row>
    <row r="5162" spans="1:14" x14ac:dyDescent="0.45">
      <c r="A5162" s="30">
        <v>2025</v>
      </c>
      <c r="B5162" s="30" t="s">
        <v>11</v>
      </c>
      <c r="C5162" s="30" t="s">
        <v>46</v>
      </c>
      <c r="D5162" s="30" t="s">
        <v>47</v>
      </c>
      <c r="E5162" s="31" t="s">
        <v>327</v>
      </c>
      <c r="F5162" s="32" t="s">
        <v>49</v>
      </c>
      <c r="G5162" s="32" t="s">
        <v>50</v>
      </c>
      <c r="H5162" s="33">
        <v>40810</v>
      </c>
      <c r="I5162" s="34">
        <f>Table3[[#This Row],[Volume, kg.]]/1000</f>
        <v>40.81</v>
      </c>
      <c r="J5162" s="34">
        <v>0.26019999999999999</v>
      </c>
      <c r="K5162" s="34">
        <f t="shared" si="160"/>
        <v>10618.761999999999</v>
      </c>
      <c r="L5162" s="34">
        <v>2.0299999999999998</v>
      </c>
      <c r="M5162" s="34">
        <v>82843.5</v>
      </c>
      <c r="N5162" s="34">
        <f t="shared" si="161"/>
        <v>7.8016910069177552</v>
      </c>
    </row>
    <row r="5163" spans="1:14" x14ac:dyDescent="0.45">
      <c r="A5163" s="30">
        <v>2025</v>
      </c>
      <c r="B5163" s="30" t="s">
        <v>11</v>
      </c>
      <c r="C5163" s="30" t="s">
        <v>46</v>
      </c>
      <c r="D5163" s="30" t="s">
        <v>47</v>
      </c>
      <c r="E5163" s="31" t="s">
        <v>433</v>
      </c>
      <c r="F5163" s="32" t="s">
        <v>49</v>
      </c>
      <c r="G5163" s="32" t="s">
        <v>50</v>
      </c>
      <c r="H5163" s="33">
        <v>24770</v>
      </c>
      <c r="I5163" s="34">
        <f>Table3[[#This Row],[Volume, kg.]]/1000</f>
        <v>24.77</v>
      </c>
      <c r="J5163" s="34">
        <v>0.26530000000000004</v>
      </c>
      <c r="K5163" s="34">
        <f t="shared" si="160"/>
        <v>6571.4810000000007</v>
      </c>
      <c r="L5163" s="34">
        <v>2.04</v>
      </c>
      <c r="M5163" s="34">
        <v>50430.5</v>
      </c>
      <c r="N5163" s="34">
        <f t="shared" si="161"/>
        <v>7.6894082171127014</v>
      </c>
    </row>
    <row r="5164" spans="1:14" x14ac:dyDescent="0.45">
      <c r="A5164" s="30">
        <v>2025</v>
      </c>
      <c r="B5164" s="30" t="s">
        <v>11</v>
      </c>
      <c r="C5164" s="30" t="s">
        <v>46</v>
      </c>
      <c r="D5164" s="30" t="s">
        <v>47</v>
      </c>
      <c r="E5164" s="31" t="s">
        <v>48</v>
      </c>
      <c r="F5164" s="32" t="s">
        <v>49</v>
      </c>
      <c r="G5164" s="32" t="s">
        <v>50</v>
      </c>
      <c r="H5164" s="33">
        <v>27700</v>
      </c>
      <c r="I5164" s="34">
        <f>Table3[[#This Row],[Volume, kg.]]/1000</f>
        <v>27.7</v>
      </c>
      <c r="J5164" s="34">
        <v>0.24</v>
      </c>
      <c r="K5164" s="34">
        <f t="shared" si="160"/>
        <v>6648</v>
      </c>
      <c r="L5164" s="34">
        <v>1.93</v>
      </c>
      <c r="M5164" s="34">
        <v>53455.5</v>
      </c>
      <c r="N5164" s="34">
        <f t="shared" si="161"/>
        <v>8.0416666666666661</v>
      </c>
    </row>
    <row r="5165" spans="1:14" x14ac:dyDescent="0.45">
      <c r="A5165" s="30">
        <v>2025</v>
      </c>
      <c r="B5165" s="30" t="s">
        <v>11</v>
      </c>
      <c r="C5165" s="30" t="s">
        <v>46</v>
      </c>
      <c r="D5165" s="30" t="s">
        <v>47</v>
      </c>
      <c r="E5165" s="31" t="s">
        <v>149</v>
      </c>
      <c r="F5165" s="32" t="s">
        <v>49</v>
      </c>
      <c r="G5165" s="32" t="s">
        <v>50</v>
      </c>
      <c r="H5165" s="33">
        <v>8340</v>
      </c>
      <c r="I5165" s="34">
        <f>Table3[[#This Row],[Volume, kg.]]/1000</f>
        <v>8.34</v>
      </c>
      <c r="J5165" s="34">
        <v>0.253</v>
      </c>
      <c r="K5165" s="34">
        <f t="shared" si="160"/>
        <v>2110.02</v>
      </c>
      <c r="L5165" s="34">
        <v>2</v>
      </c>
      <c r="M5165" s="34">
        <v>16680</v>
      </c>
      <c r="N5165" s="34">
        <f t="shared" si="161"/>
        <v>7.9051383399209483</v>
      </c>
    </row>
    <row r="5166" spans="1:14" x14ac:dyDescent="0.45">
      <c r="A5166" s="30">
        <v>2025</v>
      </c>
      <c r="B5166" s="30" t="s">
        <v>11</v>
      </c>
      <c r="C5166" s="30" t="s">
        <v>46</v>
      </c>
      <c r="D5166" s="30" t="s">
        <v>47</v>
      </c>
      <c r="E5166" s="31" t="s">
        <v>246</v>
      </c>
      <c r="F5166" s="32" t="s">
        <v>49</v>
      </c>
      <c r="G5166" s="32" t="s">
        <v>50</v>
      </c>
      <c r="H5166" s="33">
        <v>1260</v>
      </c>
      <c r="I5166" s="34">
        <f>Table3[[#This Row],[Volume, kg.]]/1000</f>
        <v>1.26</v>
      </c>
      <c r="J5166" s="34">
        <v>0.27600000000000002</v>
      </c>
      <c r="K5166" s="34">
        <f t="shared" si="160"/>
        <v>347.76000000000005</v>
      </c>
      <c r="L5166" s="34">
        <v>2.1</v>
      </c>
      <c r="M5166" s="34">
        <v>2646</v>
      </c>
      <c r="N5166" s="34">
        <f t="shared" si="161"/>
        <v>7.6086956521739131</v>
      </c>
    </row>
    <row r="5167" spans="1:14" x14ac:dyDescent="0.45">
      <c r="A5167" s="30">
        <v>2025</v>
      </c>
      <c r="B5167" s="30" t="s">
        <v>11</v>
      </c>
      <c r="C5167" s="30" t="s">
        <v>46</v>
      </c>
      <c r="D5167" s="30" t="s">
        <v>47</v>
      </c>
      <c r="E5167" s="31" t="s">
        <v>383</v>
      </c>
      <c r="F5167" s="32" t="s">
        <v>49</v>
      </c>
      <c r="G5167" s="32" t="s">
        <v>50</v>
      </c>
      <c r="H5167" s="33">
        <v>1760</v>
      </c>
      <c r="I5167" s="34">
        <f>Table3[[#This Row],[Volume, kg.]]/1000</f>
        <v>1.76</v>
      </c>
      <c r="J5167" s="34">
        <v>0.253</v>
      </c>
      <c r="K5167" s="34">
        <f t="shared" si="160"/>
        <v>445.28000000000003</v>
      </c>
      <c r="L5167" s="34">
        <v>1.95</v>
      </c>
      <c r="M5167" s="34">
        <v>3432</v>
      </c>
      <c r="N5167" s="34">
        <f t="shared" si="161"/>
        <v>7.7075098814229248</v>
      </c>
    </row>
    <row r="5168" spans="1:14" x14ac:dyDescent="0.45">
      <c r="A5168" s="30">
        <v>2025</v>
      </c>
      <c r="B5168" s="30" t="s">
        <v>11</v>
      </c>
      <c r="C5168" s="30" t="s">
        <v>46</v>
      </c>
      <c r="D5168" s="30" t="s">
        <v>47</v>
      </c>
      <c r="E5168" s="31" t="s">
        <v>208</v>
      </c>
      <c r="F5168" s="32" t="s">
        <v>49</v>
      </c>
      <c r="G5168" s="32" t="s">
        <v>50</v>
      </c>
      <c r="H5168" s="33">
        <v>8660</v>
      </c>
      <c r="I5168" s="34">
        <f>Table3[[#This Row],[Volume, kg.]]/1000</f>
        <v>8.66</v>
      </c>
      <c r="J5168" s="34">
        <v>0.23949999999999999</v>
      </c>
      <c r="K5168" s="34">
        <f t="shared" si="160"/>
        <v>2074.0699999999997</v>
      </c>
      <c r="L5168" s="34">
        <v>1.9</v>
      </c>
      <c r="M5168" s="34">
        <v>16454</v>
      </c>
      <c r="N5168" s="34">
        <f t="shared" si="161"/>
        <v>7.9331941544885174</v>
      </c>
    </row>
    <row r="5169" spans="1:14" x14ac:dyDescent="0.45">
      <c r="A5169" s="30">
        <v>2025</v>
      </c>
      <c r="B5169" s="30" t="s">
        <v>11</v>
      </c>
      <c r="C5169" s="30" t="s">
        <v>46</v>
      </c>
      <c r="D5169" s="30" t="s">
        <v>47</v>
      </c>
      <c r="E5169" s="31" t="s">
        <v>182</v>
      </c>
      <c r="F5169" s="32" t="s">
        <v>81</v>
      </c>
      <c r="G5169" s="32" t="s">
        <v>50</v>
      </c>
      <c r="H5169" s="33">
        <v>12310</v>
      </c>
      <c r="I5169" s="34">
        <f>Table3[[#This Row],[Volume, kg.]]/1000</f>
        <v>12.31</v>
      </c>
      <c r="J5169" s="34">
        <v>0.20449999999999999</v>
      </c>
      <c r="K5169" s="34">
        <f t="shared" si="160"/>
        <v>2517.395</v>
      </c>
      <c r="L5169" s="34">
        <v>1.7</v>
      </c>
      <c r="M5169" s="34">
        <v>20927</v>
      </c>
      <c r="N5169" s="34">
        <f t="shared" si="161"/>
        <v>8.3129584352078236</v>
      </c>
    </row>
    <row r="5170" spans="1:14" x14ac:dyDescent="0.45">
      <c r="A5170" s="30">
        <v>2025</v>
      </c>
      <c r="B5170" s="30" t="s">
        <v>11</v>
      </c>
      <c r="C5170" s="30" t="s">
        <v>46</v>
      </c>
      <c r="D5170" s="30" t="s">
        <v>47</v>
      </c>
      <c r="E5170" s="31" t="s">
        <v>303</v>
      </c>
      <c r="F5170" s="32" t="s">
        <v>57</v>
      </c>
      <c r="G5170" s="32" t="s">
        <v>50</v>
      </c>
      <c r="H5170" s="33">
        <v>17080</v>
      </c>
      <c r="I5170" s="34">
        <f>Table3[[#This Row],[Volume, kg.]]/1000</f>
        <v>17.079999999999998</v>
      </c>
      <c r="J5170" s="34">
        <v>0.27179999999999999</v>
      </c>
      <c r="K5170" s="34">
        <f t="shared" si="160"/>
        <v>4642.3440000000001</v>
      </c>
      <c r="L5170" s="34">
        <v>2.12</v>
      </c>
      <c r="M5170" s="34">
        <v>36250</v>
      </c>
      <c r="N5170" s="34">
        <f t="shared" si="161"/>
        <v>7.7998528329654162</v>
      </c>
    </row>
    <row r="5171" spans="1:14" x14ac:dyDescent="0.45">
      <c r="A5171" s="30">
        <v>2025</v>
      </c>
      <c r="B5171" s="30" t="s">
        <v>11</v>
      </c>
      <c r="C5171" s="30" t="s">
        <v>46</v>
      </c>
      <c r="D5171" s="30" t="s">
        <v>47</v>
      </c>
      <c r="E5171" s="31" t="s">
        <v>163</v>
      </c>
      <c r="F5171" s="32" t="s">
        <v>60</v>
      </c>
      <c r="G5171" s="32" t="s">
        <v>50</v>
      </c>
      <c r="H5171" s="33">
        <v>32640</v>
      </c>
      <c r="I5171" s="34">
        <f>Table3[[#This Row],[Volume, kg.]]/1000</f>
        <v>32.64</v>
      </c>
      <c r="J5171" s="34">
        <v>0.24230000000000002</v>
      </c>
      <c r="K5171" s="34">
        <f t="shared" si="160"/>
        <v>7908.6720000000005</v>
      </c>
      <c r="L5171" s="34">
        <v>1.91</v>
      </c>
      <c r="M5171" s="34">
        <v>62367.5</v>
      </c>
      <c r="N5171" s="34">
        <f t="shared" si="161"/>
        <v>7.882789929839042</v>
      </c>
    </row>
    <row r="5172" spans="1:14" x14ac:dyDescent="0.45">
      <c r="A5172" s="30">
        <v>2025</v>
      </c>
      <c r="B5172" s="30" t="s">
        <v>11</v>
      </c>
      <c r="C5172" s="30" t="s">
        <v>46</v>
      </c>
      <c r="D5172" s="30" t="s">
        <v>47</v>
      </c>
      <c r="E5172" s="31" t="s">
        <v>156</v>
      </c>
      <c r="F5172" s="32" t="s">
        <v>49</v>
      </c>
      <c r="G5172" s="32" t="s">
        <v>50</v>
      </c>
      <c r="H5172" s="33">
        <v>16120</v>
      </c>
      <c r="I5172" s="34">
        <f>Table3[[#This Row],[Volume, kg.]]/1000</f>
        <v>16.12</v>
      </c>
      <c r="J5172" s="34">
        <v>0.24859999999999999</v>
      </c>
      <c r="K5172" s="34">
        <f t="shared" si="160"/>
        <v>4007.4319999999998</v>
      </c>
      <c r="L5172" s="34">
        <v>1.94</v>
      </c>
      <c r="M5172" s="34">
        <v>31294</v>
      </c>
      <c r="N5172" s="34">
        <f t="shared" si="161"/>
        <v>7.8037007240547069</v>
      </c>
    </row>
    <row r="5173" spans="1:14" x14ac:dyDescent="0.45">
      <c r="A5173" s="30">
        <v>2025</v>
      </c>
      <c r="B5173" s="30" t="s">
        <v>11</v>
      </c>
      <c r="C5173" s="30" t="s">
        <v>46</v>
      </c>
      <c r="D5173" s="30" t="s">
        <v>47</v>
      </c>
      <c r="E5173" s="31" t="s">
        <v>172</v>
      </c>
      <c r="F5173" s="32" t="s">
        <v>57</v>
      </c>
      <c r="G5173" s="32" t="s">
        <v>50</v>
      </c>
      <c r="H5173" s="33">
        <v>44870</v>
      </c>
      <c r="I5173" s="34">
        <f>Table3[[#This Row],[Volume, kg.]]/1000</f>
        <v>44.87</v>
      </c>
      <c r="J5173" s="34">
        <v>0.25719999999999998</v>
      </c>
      <c r="K5173" s="34">
        <f t="shared" si="160"/>
        <v>11540.563999999998</v>
      </c>
      <c r="L5173" s="34">
        <v>2</v>
      </c>
      <c r="M5173" s="34">
        <v>89560</v>
      </c>
      <c r="N5173" s="34">
        <f t="shared" si="161"/>
        <v>7.7760497667185078</v>
      </c>
    </row>
    <row r="5174" spans="1:14" x14ac:dyDescent="0.45">
      <c r="A5174" s="30">
        <v>2025</v>
      </c>
      <c r="B5174" s="30" t="s">
        <v>11</v>
      </c>
      <c r="C5174" s="30" t="s">
        <v>46</v>
      </c>
      <c r="D5174" s="30" t="s">
        <v>47</v>
      </c>
      <c r="E5174" s="31" t="s">
        <v>170</v>
      </c>
      <c r="F5174" s="32" t="s">
        <v>49</v>
      </c>
      <c r="G5174" s="32" t="s">
        <v>50</v>
      </c>
      <c r="H5174" s="33">
        <v>108030</v>
      </c>
      <c r="I5174" s="34">
        <f>Table3[[#This Row],[Volume, kg.]]/1000</f>
        <v>108.03</v>
      </c>
      <c r="J5174" s="34">
        <v>0.25869999999999999</v>
      </c>
      <c r="K5174" s="34">
        <f t="shared" si="160"/>
        <v>27947.360999999997</v>
      </c>
      <c r="L5174" s="34">
        <v>2.02</v>
      </c>
      <c r="M5174" s="34">
        <v>218412.5</v>
      </c>
      <c r="N5174" s="34">
        <f t="shared" si="161"/>
        <v>7.8082721298801703</v>
      </c>
    </row>
    <row r="5175" spans="1:14" x14ac:dyDescent="0.45">
      <c r="A5175" s="30">
        <v>2025</v>
      </c>
      <c r="B5175" s="30" t="s">
        <v>11</v>
      </c>
      <c r="C5175" s="30" t="s">
        <v>46</v>
      </c>
      <c r="D5175" s="30" t="s">
        <v>47</v>
      </c>
      <c r="E5175" s="31" t="s">
        <v>320</v>
      </c>
      <c r="F5175" s="32" t="s">
        <v>49</v>
      </c>
      <c r="G5175" s="32" t="s">
        <v>50</v>
      </c>
      <c r="H5175" s="33">
        <v>32270</v>
      </c>
      <c r="I5175" s="34">
        <f>Table3[[#This Row],[Volume, kg.]]/1000</f>
        <v>32.270000000000003</v>
      </c>
      <c r="J5175" s="34">
        <v>0.28789999999999999</v>
      </c>
      <c r="K5175" s="34">
        <f t="shared" si="160"/>
        <v>9290.5329999999994</v>
      </c>
      <c r="L5175" s="34">
        <v>2.13</v>
      </c>
      <c r="M5175" s="34">
        <v>68819.5</v>
      </c>
      <c r="N5175" s="34">
        <f t="shared" si="161"/>
        <v>7.3984022229940951</v>
      </c>
    </row>
    <row r="5176" spans="1:14" x14ac:dyDescent="0.45">
      <c r="A5176" s="30">
        <v>2025</v>
      </c>
      <c r="B5176" s="30" t="s">
        <v>11</v>
      </c>
      <c r="C5176" s="30" t="s">
        <v>46</v>
      </c>
      <c r="D5176" s="30" t="s">
        <v>47</v>
      </c>
      <c r="E5176" s="31" t="s">
        <v>301</v>
      </c>
      <c r="F5176" s="32" t="s">
        <v>60</v>
      </c>
      <c r="G5176" s="32" t="s">
        <v>50</v>
      </c>
      <c r="H5176" s="33">
        <v>49730</v>
      </c>
      <c r="I5176" s="34">
        <f>Table3[[#This Row],[Volume, kg.]]/1000</f>
        <v>49.73</v>
      </c>
      <c r="J5176" s="34">
        <v>0.23180000000000001</v>
      </c>
      <c r="K5176" s="34">
        <f t="shared" si="160"/>
        <v>11527.414000000001</v>
      </c>
      <c r="L5176" s="34">
        <v>1.89</v>
      </c>
      <c r="M5176" s="34">
        <v>93874.5</v>
      </c>
      <c r="N5176" s="34">
        <f t="shared" si="161"/>
        <v>8.1535806729939591</v>
      </c>
    </row>
    <row r="5177" spans="1:14" x14ac:dyDescent="0.45">
      <c r="A5177" s="30">
        <v>2025</v>
      </c>
      <c r="B5177" s="30" t="s">
        <v>11</v>
      </c>
      <c r="C5177" s="30" t="s">
        <v>46</v>
      </c>
      <c r="D5177" s="30" t="s">
        <v>47</v>
      </c>
      <c r="E5177" s="31" t="s">
        <v>325</v>
      </c>
      <c r="F5177" s="32" t="s">
        <v>60</v>
      </c>
      <c r="G5177" s="32" t="s">
        <v>50</v>
      </c>
      <c r="H5177" s="33">
        <v>35420</v>
      </c>
      <c r="I5177" s="34">
        <f>Table3[[#This Row],[Volume, kg.]]/1000</f>
        <v>35.42</v>
      </c>
      <c r="J5177" s="34">
        <v>0.26700000000000002</v>
      </c>
      <c r="K5177" s="34">
        <f t="shared" si="160"/>
        <v>9457.1400000000012</v>
      </c>
      <c r="L5177" s="34">
        <v>2.0299999999999998</v>
      </c>
      <c r="M5177" s="34">
        <v>72014.5</v>
      </c>
      <c r="N5177" s="34">
        <f t="shared" si="161"/>
        <v>7.6029962546816465</v>
      </c>
    </row>
    <row r="5178" spans="1:14" x14ac:dyDescent="0.45">
      <c r="A5178" s="30">
        <v>2025</v>
      </c>
      <c r="B5178" s="30" t="s">
        <v>11</v>
      </c>
      <c r="C5178" s="30" t="s">
        <v>46</v>
      </c>
      <c r="D5178" s="30" t="s">
        <v>47</v>
      </c>
      <c r="E5178" s="31" t="s">
        <v>51</v>
      </c>
      <c r="F5178" s="32" t="s">
        <v>49</v>
      </c>
      <c r="G5178" s="32" t="s">
        <v>50</v>
      </c>
      <c r="H5178" s="33">
        <v>28120</v>
      </c>
      <c r="I5178" s="34">
        <f>Table3[[#This Row],[Volume, kg.]]/1000</f>
        <v>28.12</v>
      </c>
      <c r="J5178" s="34">
        <v>0.22969999999999999</v>
      </c>
      <c r="K5178" s="34">
        <f t="shared" si="160"/>
        <v>6459.1639999999998</v>
      </c>
      <c r="L5178" s="34">
        <v>1.89</v>
      </c>
      <c r="M5178" s="34">
        <v>53271</v>
      </c>
      <c r="N5178" s="34">
        <f t="shared" si="161"/>
        <v>8.2281236395298212</v>
      </c>
    </row>
    <row r="5179" spans="1:14" x14ac:dyDescent="0.45">
      <c r="A5179" s="30">
        <v>2025</v>
      </c>
      <c r="B5179" s="30" t="s">
        <v>11</v>
      </c>
      <c r="C5179" s="30" t="s">
        <v>46</v>
      </c>
      <c r="D5179" s="30" t="s">
        <v>47</v>
      </c>
      <c r="E5179" s="31" t="s">
        <v>462</v>
      </c>
      <c r="F5179" s="32" t="s">
        <v>49</v>
      </c>
      <c r="G5179" s="32" t="s">
        <v>50</v>
      </c>
      <c r="H5179" s="33">
        <v>44020</v>
      </c>
      <c r="I5179" s="34">
        <f>Table3[[#This Row],[Volume, kg.]]/1000</f>
        <v>44.02</v>
      </c>
      <c r="J5179" s="34">
        <v>0.22719999999999999</v>
      </c>
      <c r="K5179" s="34">
        <f t="shared" si="160"/>
        <v>10001.343999999999</v>
      </c>
      <c r="L5179" s="34">
        <v>1.92</v>
      </c>
      <c r="M5179" s="34">
        <v>84320</v>
      </c>
      <c r="N5179" s="34">
        <f t="shared" si="161"/>
        <v>8.4507042253521121</v>
      </c>
    </row>
    <row r="5180" spans="1:14" x14ac:dyDescent="0.45">
      <c r="A5180" s="30">
        <v>2025</v>
      </c>
      <c r="B5180" s="30" t="s">
        <v>11</v>
      </c>
      <c r="C5180" s="30" t="s">
        <v>46</v>
      </c>
      <c r="D5180" s="30" t="s">
        <v>47</v>
      </c>
      <c r="E5180" s="31" t="s">
        <v>179</v>
      </c>
      <c r="F5180" s="32" t="s">
        <v>60</v>
      </c>
      <c r="G5180" s="32" t="s">
        <v>50</v>
      </c>
      <c r="H5180" s="33">
        <v>18860</v>
      </c>
      <c r="I5180" s="34">
        <f>Table3[[#This Row],[Volume, kg.]]/1000</f>
        <v>18.86</v>
      </c>
      <c r="J5180" s="34">
        <v>0.26960000000000001</v>
      </c>
      <c r="K5180" s="34">
        <f t="shared" si="160"/>
        <v>5084.6559999999999</v>
      </c>
      <c r="L5180" s="34">
        <v>2.1</v>
      </c>
      <c r="M5180" s="34">
        <v>39606</v>
      </c>
      <c r="N5180" s="34">
        <f t="shared" si="161"/>
        <v>7.7893175074183976</v>
      </c>
    </row>
    <row r="5181" spans="1:14" x14ac:dyDescent="0.45">
      <c r="A5181" s="30">
        <v>2025</v>
      </c>
      <c r="B5181" s="30" t="s">
        <v>11</v>
      </c>
      <c r="C5181" s="30" t="s">
        <v>46</v>
      </c>
      <c r="D5181" s="30" t="s">
        <v>47</v>
      </c>
      <c r="E5181" s="31" t="s">
        <v>258</v>
      </c>
      <c r="F5181" s="32" t="s">
        <v>49</v>
      </c>
      <c r="G5181" s="32" t="s">
        <v>50</v>
      </c>
      <c r="H5181" s="33">
        <v>310190</v>
      </c>
      <c r="I5181" s="34">
        <f>Table3[[#This Row],[Volume, kg.]]/1000</f>
        <v>310.19</v>
      </c>
      <c r="J5181" s="34">
        <v>0.25030000000000002</v>
      </c>
      <c r="K5181" s="34">
        <f t="shared" si="160"/>
        <v>77640.557000000001</v>
      </c>
      <c r="L5181" s="34">
        <v>1.97</v>
      </c>
      <c r="M5181" s="34">
        <v>609618.5</v>
      </c>
      <c r="N5181" s="34">
        <f t="shared" si="161"/>
        <v>7.8705553335996798</v>
      </c>
    </row>
    <row r="5182" spans="1:14" x14ac:dyDescent="0.45">
      <c r="A5182" s="30">
        <v>2025</v>
      </c>
      <c r="B5182" s="30" t="s">
        <v>11</v>
      </c>
      <c r="C5182" s="30" t="s">
        <v>46</v>
      </c>
      <c r="D5182" s="30" t="s">
        <v>47</v>
      </c>
      <c r="E5182" s="31" t="s">
        <v>375</v>
      </c>
      <c r="F5182" s="32" t="s">
        <v>49</v>
      </c>
      <c r="G5182" s="32" t="s">
        <v>50</v>
      </c>
      <c r="H5182" s="33">
        <v>25000</v>
      </c>
      <c r="I5182" s="34">
        <f>Table3[[#This Row],[Volume, kg.]]/1000</f>
        <v>25</v>
      </c>
      <c r="J5182" s="34">
        <v>0.255</v>
      </c>
      <c r="K5182" s="34">
        <f t="shared" si="160"/>
        <v>6375</v>
      </c>
      <c r="L5182" s="34">
        <v>1.97</v>
      </c>
      <c r="M5182" s="34">
        <v>49136</v>
      </c>
      <c r="N5182" s="34">
        <f t="shared" si="161"/>
        <v>7.7254901960784315</v>
      </c>
    </row>
    <row r="5183" spans="1:14" x14ac:dyDescent="0.45">
      <c r="A5183" s="30">
        <v>2025</v>
      </c>
      <c r="B5183" s="30" t="s">
        <v>11</v>
      </c>
      <c r="C5183" s="30" t="s">
        <v>46</v>
      </c>
      <c r="D5183" s="30" t="s">
        <v>47</v>
      </c>
      <c r="E5183" s="31" t="s">
        <v>363</v>
      </c>
      <c r="F5183" s="32" t="s">
        <v>60</v>
      </c>
      <c r="G5183" s="32" t="s">
        <v>50</v>
      </c>
      <c r="H5183" s="33">
        <v>7790</v>
      </c>
      <c r="I5183" s="34">
        <f>Table3[[#This Row],[Volume, kg.]]/1000</f>
        <v>7.79</v>
      </c>
      <c r="J5183" s="34">
        <v>0.245</v>
      </c>
      <c r="K5183" s="34">
        <f t="shared" si="160"/>
        <v>1908.55</v>
      </c>
      <c r="L5183" s="34">
        <v>1.95</v>
      </c>
      <c r="M5183" s="34">
        <v>15190.5</v>
      </c>
      <c r="N5183" s="34">
        <f t="shared" si="161"/>
        <v>7.9591836734693882</v>
      </c>
    </row>
    <row r="5184" spans="1:14" x14ac:dyDescent="0.45">
      <c r="A5184" s="30">
        <v>2025</v>
      </c>
      <c r="B5184" s="30" t="s">
        <v>11</v>
      </c>
      <c r="C5184" s="30" t="s">
        <v>46</v>
      </c>
      <c r="D5184" s="30" t="s">
        <v>47</v>
      </c>
      <c r="E5184" s="31" t="s">
        <v>166</v>
      </c>
      <c r="F5184" s="32" t="s">
        <v>49</v>
      </c>
      <c r="G5184" s="32" t="s">
        <v>50</v>
      </c>
      <c r="H5184" s="33">
        <v>11770</v>
      </c>
      <c r="I5184" s="34">
        <f>Table3[[#This Row],[Volume, kg.]]/1000</f>
        <v>11.77</v>
      </c>
      <c r="J5184" s="34">
        <v>0.2293</v>
      </c>
      <c r="K5184" s="34">
        <f t="shared" si="160"/>
        <v>2698.8609999999999</v>
      </c>
      <c r="L5184" s="34">
        <v>1.85</v>
      </c>
      <c r="M5184" s="34">
        <v>21774.5</v>
      </c>
      <c r="N5184" s="34">
        <f t="shared" si="161"/>
        <v>8.068033144352377</v>
      </c>
    </row>
    <row r="5185" spans="1:14" x14ac:dyDescent="0.45">
      <c r="A5185" s="30">
        <v>2025</v>
      </c>
      <c r="B5185" s="30" t="s">
        <v>11</v>
      </c>
      <c r="C5185" s="30" t="s">
        <v>46</v>
      </c>
      <c r="D5185" s="30" t="s">
        <v>47</v>
      </c>
      <c r="E5185" s="31" t="s">
        <v>242</v>
      </c>
      <c r="F5185" s="32" t="s">
        <v>60</v>
      </c>
      <c r="G5185" s="32" t="s">
        <v>50</v>
      </c>
      <c r="H5185" s="33">
        <v>23210</v>
      </c>
      <c r="I5185" s="34">
        <f>Table3[[#This Row],[Volume, kg.]]/1000</f>
        <v>23.21</v>
      </c>
      <c r="J5185" s="34">
        <v>0.24760000000000001</v>
      </c>
      <c r="K5185" s="34">
        <f t="shared" si="160"/>
        <v>5746.7960000000003</v>
      </c>
      <c r="L5185" s="34">
        <v>1.97</v>
      </c>
      <c r="M5185" s="34">
        <v>45638.5</v>
      </c>
      <c r="N5185" s="34">
        <f t="shared" si="161"/>
        <v>7.9563812600969301</v>
      </c>
    </row>
    <row r="5186" spans="1:14" x14ac:dyDescent="0.45">
      <c r="A5186" s="30">
        <v>2025</v>
      </c>
      <c r="B5186" s="30" t="s">
        <v>11</v>
      </c>
      <c r="C5186" s="30" t="s">
        <v>46</v>
      </c>
      <c r="D5186" s="30" t="s">
        <v>47</v>
      </c>
      <c r="E5186" s="31" t="s">
        <v>244</v>
      </c>
      <c r="F5186" s="32" t="s">
        <v>60</v>
      </c>
      <c r="G5186" s="32" t="s">
        <v>50</v>
      </c>
      <c r="H5186" s="33">
        <v>3160</v>
      </c>
      <c r="I5186" s="34">
        <f>Table3[[#This Row],[Volume, kg.]]/1000</f>
        <v>3.16</v>
      </c>
      <c r="J5186" s="34">
        <v>0.25929999999999997</v>
      </c>
      <c r="K5186" s="34">
        <f t="shared" si="160"/>
        <v>819.38799999999992</v>
      </c>
      <c r="L5186" s="34">
        <v>2</v>
      </c>
      <c r="M5186" s="34">
        <v>6320</v>
      </c>
      <c r="N5186" s="34">
        <f t="shared" si="161"/>
        <v>7.7130736598534524</v>
      </c>
    </row>
    <row r="5187" spans="1:14" x14ac:dyDescent="0.45">
      <c r="A5187" s="30">
        <v>2025</v>
      </c>
      <c r="B5187" s="30" t="s">
        <v>11</v>
      </c>
      <c r="C5187" s="30" t="s">
        <v>46</v>
      </c>
      <c r="D5187" s="30" t="s">
        <v>47</v>
      </c>
      <c r="E5187" s="31" t="s">
        <v>379</v>
      </c>
      <c r="F5187" s="32" t="s">
        <v>49</v>
      </c>
      <c r="G5187" s="32" t="s">
        <v>50</v>
      </c>
      <c r="H5187" s="33">
        <v>10340</v>
      </c>
      <c r="I5187" s="34">
        <f>Table3[[#This Row],[Volume, kg.]]/1000</f>
        <v>10.34</v>
      </c>
      <c r="J5187" s="34">
        <v>0.22359999999999999</v>
      </c>
      <c r="K5187" s="34">
        <f t="shared" ref="K5187:K5250" si="162">H5187*J5187</f>
        <v>2312.0239999999999</v>
      </c>
      <c r="L5187" s="34">
        <v>1.93</v>
      </c>
      <c r="M5187" s="34">
        <v>19934</v>
      </c>
      <c r="N5187" s="34">
        <f t="shared" si="161"/>
        <v>8.631484794275492</v>
      </c>
    </row>
    <row r="5188" spans="1:14" x14ac:dyDescent="0.45">
      <c r="A5188" s="30">
        <v>2025</v>
      </c>
      <c r="B5188" s="30" t="s">
        <v>11</v>
      </c>
      <c r="C5188" s="30" t="s">
        <v>46</v>
      </c>
      <c r="D5188" s="30" t="s">
        <v>47</v>
      </c>
      <c r="E5188" s="31" t="s">
        <v>164</v>
      </c>
      <c r="F5188" s="32" t="s">
        <v>49</v>
      </c>
      <c r="G5188" s="32" t="s">
        <v>50</v>
      </c>
      <c r="H5188" s="33">
        <v>10200</v>
      </c>
      <c r="I5188" s="34">
        <f>Table3[[#This Row],[Volume, kg.]]/1000</f>
        <v>10.199999999999999</v>
      </c>
      <c r="J5188" s="34">
        <v>0.22850000000000001</v>
      </c>
      <c r="K5188" s="34">
        <f t="shared" si="162"/>
        <v>2330.7000000000003</v>
      </c>
      <c r="L5188" s="34">
        <v>1.94</v>
      </c>
      <c r="M5188" s="34">
        <v>19780</v>
      </c>
      <c r="N5188" s="34">
        <f t="shared" ref="N5188:N5251" si="163">L5188/J5188</f>
        <v>8.4901531728665205</v>
      </c>
    </row>
    <row r="5189" spans="1:14" x14ac:dyDescent="0.45">
      <c r="A5189" s="30">
        <v>2025</v>
      </c>
      <c r="B5189" s="30" t="s">
        <v>11</v>
      </c>
      <c r="C5189" s="30" t="s">
        <v>46</v>
      </c>
      <c r="D5189" s="30" t="s">
        <v>47</v>
      </c>
      <c r="E5189" s="31" t="s">
        <v>534</v>
      </c>
      <c r="F5189" s="32" t="s">
        <v>49</v>
      </c>
      <c r="G5189" s="32" t="s">
        <v>50</v>
      </c>
      <c r="H5189" s="33">
        <v>7930</v>
      </c>
      <c r="I5189" s="34">
        <f>Table3[[#This Row],[Volume, kg.]]/1000</f>
        <v>7.93</v>
      </c>
      <c r="J5189" s="34">
        <v>0.19969999999999999</v>
      </c>
      <c r="K5189" s="34">
        <f t="shared" si="162"/>
        <v>1583.6209999999999</v>
      </c>
      <c r="L5189" s="34">
        <v>1.7</v>
      </c>
      <c r="M5189" s="34">
        <v>13481</v>
      </c>
      <c r="N5189" s="34">
        <f t="shared" si="163"/>
        <v>8.5127691537305967</v>
      </c>
    </row>
    <row r="5190" spans="1:14" x14ac:dyDescent="0.45">
      <c r="A5190" s="30">
        <v>2025</v>
      </c>
      <c r="B5190" s="30" t="s">
        <v>11</v>
      </c>
      <c r="C5190" s="30" t="s">
        <v>46</v>
      </c>
      <c r="D5190" s="30" t="s">
        <v>47</v>
      </c>
      <c r="E5190" s="31" t="s">
        <v>220</v>
      </c>
      <c r="F5190" s="32" t="s">
        <v>49</v>
      </c>
      <c r="G5190" s="32" t="s">
        <v>50</v>
      </c>
      <c r="H5190" s="33">
        <v>46370</v>
      </c>
      <c r="I5190" s="34">
        <f>Table3[[#This Row],[Volume, kg.]]/1000</f>
        <v>46.37</v>
      </c>
      <c r="J5190" s="34">
        <v>0.2354</v>
      </c>
      <c r="K5190" s="34">
        <f t="shared" si="162"/>
        <v>10915.498</v>
      </c>
      <c r="L5190" s="34">
        <v>1.9</v>
      </c>
      <c r="M5190" s="34">
        <v>88323.5</v>
      </c>
      <c r="N5190" s="34">
        <f t="shared" si="163"/>
        <v>8.0713678844519965</v>
      </c>
    </row>
    <row r="5191" spans="1:14" x14ac:dyDescent="0.45">
      <c r="A5191" s="30">
        <v>2025</v>
      </c>
      <c r="B5191" s="30" t="s">
        <v>11</v>
      </c>
      <c r="C5191" s="30" t="s">
        <v>46</v>
      </c>
      <c r="D5191" s="30" t="s">
        <v>47</v>
      </c>
      <c r="E5191" s="31" t="s">
        <v>260</v>
      </c>
      <c r="F5191" s="32" t="s">
        <v>49</v>
      </c>
      <c r="G5191" s="32" t="s">
        <v>50</v>
      </c>
      <c r="H5191" s="33">
        <v>38080</v>
      </c>
      <c r="I5191" s="34">
        <f>Table3[[#This Row],[Volume, kg.]]/1000</f>
        <v>38.08</v>
      </c>
      <c r="J5191" s="34">
        <v>0.23879999999999998</v>
      </c>
      <c r="K5191" s="34">
        <f t="shared" si="162"/>
        <v>9093.503999999999</v>
      </c>
      <c r="L5191" s="34">
        <v>1.91</v>
      </c>
      <c r="M5191" s="34">
        <v>72613.5</v>
      </c>
      <c r="N5191" s="34">
        <f t="shared" si="163"/>
        <v>7.9983249581239537</v>
      </c>
    </row>
    <row r="5192" spans="1:14" x14ac:dyDescent="0.45">
      <c r="A5192" s="30">
        <v>2025</v>
      </c>
      <c r="B5192" s="30" t="s">
        <v>11</v>
      </c>
      <c r="C5192" s="30" t="s">
        <v>46</v>
      </c>
      <c r="D5192" s="30" t="s">
        <v>47</v>
      </c>
      <c r="E5192" s="31" t="s">
        <v>187</v>
      </c>
      <c r="F5192" s="32" t="s">
        <v>54</v>
      </c>
      <c r="G5192" s="32" t="s">
        <v>50</v>
      </c>
      <c r="H5192" s="33">
        <v>25670</v>
      </c>
      <c r="I5192" s="34">
        <f>Table3[[#This Row],[Volume, kg.]]/1000</f>
        <v>25.67</v>
      </c>
      <c r="J5192" s="34">
        <v>0.26350000000000001</v>
      </c>
      <c r="K5192" s="34">
        <f t="shared" si="162"/>
        <v>6764.0450000000001</v>
      </c>
      <c r="L5192" s="34">
        <v>2.1</v>
      </c>
      <c r="M5192" s="34">
        <v>53907</v>
      </c>
      <c r="N5192" s="34">
        <f t="shared" si="163"/>
        <v>7.9696394686907022</v>
      </c>
    </row>
    <row r="5193" spans="1:14" x14ac:dyDescent="0.45">
      <c r="A5193" s="30">
        <v>2025</v>
      </c>
      <c r="B5193" s="30" t="s">
        <v>11</v>
      </c>
      <c r="C5193" s="30" t="s">
        <v>46</v>
      </c>
      <c r="D5193" s="30" t="s">
        <v>47</v>
      </c>
      <c r="E5193" s="31" t="s">
        <v>191</v>
      </c>
      <c r="F5193" s="32" t="s">
        <v>49</v>
      </c>
      <c r="G5193" s="32" t="s">
        <v>50</v>
      </c>
      <c r="H5193" s="33">
        <v>8690</v>
      </c>
      <c r="I5193" s="34">
        <f>Table3[[#This Row],[Volume, kg.]]/1000</f>
        <v>8.69</v>
      </c>
      <c r="J5193" s="34">
        <v>0.2535</v>
      </c>
      <c r="K5193" s="34">
        <f t="shared" si="162"/>
        <v>2202.915</v>
      </c>
      <c r="L5193" s="34">
        <v>2.0499999999999998</v>
      </c>
      <c r="M5193" s="34">
        <v>17814.5</v>
      </c>
      <c r="N5193" s="34">
        <f t="shared" si="163"/>
        <v>8.0867850098619325</v>
      </c>
    </row>
    <row r="5194" spans="1:14" x14ac:dyDescent="0.45">
      <c r="A5194" s="30">
        <v>2025</v>
      </c>
      <c r="B5194" s="30" t="s">
        <v>11</v>
      </c>
      <c r="C5194" s="30" t="s">
        <v>46</v>
      </c>
      <c r="D5194" s="30" t="s">
        <v>47</v>
      </c>
      <c r="E5194" s="31" t="s">
        <v>291</v>
      </c>
      <c r="F5194" s="32" t="s">
        <v>57</v>
      </c>
      <c r="G5194" s="32" t="s">
        <v>50</v>
      </c>
      <c r="H5194" s="33">
        <v>740</v>
      </c>
      <c r="I5194" s="34">
        <f>Table3[[#This Row],[Volume, kg.]]/1000</f>
        <v>0.74</v>
      </c>
      <c r="J5194" s="34">
        <v>0.2465</v>
      </c>
      <c r="K5194" s="34">
        <f t="shared" si="162"/>
        <v>182.41</v>
      </c>
      <c r="L5194" s="34">
        <v>2</v>
      </c>
      <c r="M5194" s="34">
        <v>1480</v>
      </c>
      <c r="N5194" s="34">
        <f t="shared" si="163"/>
        <v>8.1135902636916839</v>
      </c>
    </row>
    <row r="5195" spans="1:14" x14ac:dyDescent="0.45">
      <c r="A5195" s="30">
        <v>2025</v>
      </c>
      <c r="B5195" s="30" t="s">
        <v>11</v>
      </c>
      <c r="C5195" s="30" t="s">
        <v>46</v>
      </c>
      <c r="D5195" s="30" t="s">
        <v>47</v>
      </c>
      <c r="E5195" s="31" t="s">
        <v>352</v>
      </c>
      <c r="F5195" s="32" t="s">
        <v>54</v>
      </c>
      <c r="G5195" s="32" t="s">
        <v>50</v>
      </c>
      <c r="H5195" s="33">
        <v>35820</v>
      </c>
      <c r="I5195" s="34">
        <f>Table3[[#This Row],[Volume, kg.]]/1000</f>
        <v>35.82</v>
      </c>
      <c r="J5195" s="34">
        <v>0.22600000000000001</v>
      </c>
      <c r="K5195" s="34">
        <f t="shared" si="162"/>
        <v>8095.3200000000006</v>
      </c>
      <c r="L5195" s="34">
        <v>1.84</v>
      </c>
      <c r="M5195" s="34">
        <v>65757.5</v>
      </c>
      <c r="N5195" s="34">
        <f t="shared" si="163"/>
        <v>8.1415929203539825</v>
      </c>
    </row>
    <row r="5196" spans="1:14" x14ac:dyDescent="0.45">
      <c r="A5196" s="30">
        <v>2025</v>
      </c>
      <c r="B5196" s="30" t="s">
        <v>11</v>
      </c>
      <c r="C5196" s="30" t="s">
        <v>46</v>
      </c>
      <c r="D5196" s="30" t="s">
        <v>47</v>
      </c>
      <c r="E5196" s="31" t="s">
        <v>465</v>
      </c>
      <c r="F5196" s="32" t="s">
        <v>57</v>
      </c>
      <c r="G5196" s="32" t="s">
        <v>50</v>
      </c>
      <c r="H5196" s="33">
        <v>63370</v>
      </c>
      <c r="I5196" s="34">
        <f>Table3[[#This Row],[Volume, kg.]]/1000</f>
        <v>63.37</v>
      </c>
      <c r="J5196" s="34">
        <v>0.26289999999999997</v>
      </c>
      <c r="K5196" s="34">
        <f t="shared" si="162"/>
        <v>16659.972999999998</v>
      </c>
      <c r="L5196" s="34">
        <v>2.0499999999999998</v>
      </c>
      <c r="M5196" s="34">
        <v>129829.5</v>
      </c>
      <c r="N5196" s="34">
        <f t="shared" si="163"/>
        <v>7.7976416888550784</v>
      </c>
    </row>
    <row r="5197" spans="1:14" x14ac:dyDescent="0.45">
      <c r="A5197" s="30">
        <v>2025</v>
      </c>
      <c r="B5197" s="30" t="s">
        <v>11</v>
      </c>
      <c r="C5197" s="30" t="s">
        <v>46</v>
      </c>
      <c r="D5197" s="30" t="s">
        <v>47</v>
      </c>
      <c r="E5197" s="31" t="s">
        <v>162</v>
      </c>
      <c r="F5197" s="32" t="s">
        <v>49</v>
      </c>
      <c r="G5197" s="32" t="s">
        <v>50</v>
      </c>
      <c r="H5197" s="33">
        <v>43780</v>
      </c>
      <c r="I5197" s="34">
        <f>Table3[[#This Row],[Volume, kg.]]/1000</f>
        <v>43.78</v>
      </c>
      <c r="J5197" s="34">
        <v>0.252</v>
      </c>
      <c r="K5197" s="34">
        <f t="shared" si="162"/>
        <v>11032.56</v>
      </c>
      <c r="L5197" s="34">
        <v>1.99</v>
      </c>
      <c r="M5197" s="34">
        <v>87080</v>
      </c>
      <c r="N5197" s="34">
        <f t="shared" si="163"/>
        <v>7.8968253968253963</v>
      </c>
    </row>
    <row r="5198" spans="1:14" x14ac:dyDescent="0.45">
      <c r="A5198" s="30">
        <v>2025</v>
      </c>
      <c r="B5198" s="30" t="s">
        <v>11</v>
      </c>
      <c r="C5198" s="30" t="s">
        <v>46</v>
      </c>
      <c r="D5198" s="30" t="s">
        <v>47</v>
      </c>
      <c r="E5198" s="31" t="s">
        <v>142</v>
      </c>
      <c r="F5198" s="32" t="s">
        <v>57</v>
      </c>
      <c r="G5198" s="32" t="s">
        <v>50</v>
      </c>
      <c r="H5198" s="33">
        <v>33950</v>
      </c>
      <c r="I5198" s="34">
        <f>Table3[[#This Row],[Volume, kg.]]/1000</f>
        <v>33.950000000000003</v>
      </c>
      <c r="J5198" s="34">
        <v>0.25869999999999999</v>
      </c>
      <c r="K5198" s="34">
        <f t="shared" si="162"/>
        <v>8782.8649999999998</v>
      </c>
      <c r="L5198" s="34">
        <v>2</v>
      </c>
      <c r="M5198" s="34">
        <v>67900</v>
      </c>
      <c r="N5198" s="34">
        <f t="shared" si="163"/>
        <v>7.7309625048318518</v>
      </c>
    </row>
    <row r="5199" spans="1:14" x14ac:dyDescent="0.45">
      <c r="A5199" s="30">
        <v>2025</v>
      </c>
      <c r="B5199" s="30" t="s">
        <v>11</v>
      </c>
      <c r="C5199" s="30" t="s">
        <v>46</v>
      </c>
      <c r="D5199" s="30" t="s">
        <v>47</v>
      </c>
      <c r="E5199" s="31" t="s">
        <v>86</v>
      </c>
      <c r="F5199" s="32" t="s">
        <v>49</v>
      </c>
      <c r="G5199" s="32" t="s">
        <v>50</v>
      </c>
      <c r="H5199" s="33">
        <v>90310</v>
      </c>
      <c r="I5199" s="34">
        <f>Table3[[#This Row],[Volume, kg.]]/1000</f>
        <v>90.31</v>
      </c>
      <c r="J5199" s="34">
        <v>0.22210000000000002</v>
      </c>
      <c r="K5199" s="34">
        <f t="shared" si="162"/>
        <v>20057.851000000002</v>
      </c>
      <c r="L5199" s="34">
        <v>1.85</v>
      </c>
      <c r="M5199" s="34">
        <v>166989</v>
      </c>
      <c r="N5199" s="34">
        <f t="shared" si="163"/>
        <v>8.329581269698334</v>
      </c>
    </row>
    <row r="5200" spans="1:14" x14ac:dyDescent="0.45">
      <c r="A5200" s="30">
        <v>2025</v>
      </c>
      <c r="B5200" s="30" t="s">
        <v>11</v>
      </c>
      <c r="C5200" s="30" t="s">
        <v>46</v>
      </c>
      <c r="D5200" s="30" t="s">
        <v>47</v>
      </c>
      <c r="E5200" s="31" t="s">
        <v>421</v>
      </c>
      <c r="F5200" s="32" t="s">
        <v>49</v>
      </c>
      <c r="G5200" s="32" t="s">
        <v>50</v>
      </c>
      <c r="H5200" s="33">
        <v>14970</v>
      </c>
      <c r="I5200" s="34">
        <f>Table3[[#This Row],[Volume, kg.]]/1000</f>
        <v>14.97</v>
      </c>
      <c r="J5200" s="34">
        <v>0.24530000000000002</v>
      </c>
      <c r="K5200" s="34">
        <f t="shared" si="162"/>
        <v>3672.1410000000001</v>
      </c>
      <c r="L5200" s="34">
        <v>1.92</v>
      </c>
      <c r="M5200" s="34">
        <v>28798</v>
      </c>
      <c r="N5200" s="34">
        <f t="shared" si="163"/>
        <v>7.8271504280472879</v>
      </c>
    </row>
    <row r="5201" spans="1:14" x14ac:dyDescent="0.45">
      <c r="A5201" s="30">
        <v>2025</v>
      </c>
      <c r="B5201" s="30" t="s">
        <v>11</v>
      </c>
      <c r="C5201" s="30" t="s">
        <v>46</v>
      </c>
      <c r="D5201" s="30" t="s">
        <v>47</v>
      </c>
      <c r="E5201" s="31" t="s">
        <v>167</v>
      </c>
      <c r="F5201" s="32" t="s">
        <v>49</v>
      </c>
      <c r="G5201" s="32" t="s">
        <v>50</v>
      </c>
      <c r="H5201" s="33">
        <v>17270</v>
      </c>
      <c r="I5201" s="34">
        <f>Table3[[#This Row],[Volume, kg.]]/1000</f>
        <v>17.27</v>
      </c>
      <c r="J5201" s="34">
        <v>0.26300000000000001</v>
      </c>
      <c r="K5201" s="34">
        <f t="shared" si="162"/>
        <v>4542.01</v>
      </c>
      <c r="L5201" s="34">
        <v>2.06</v>
      </c>
      <c r="M5201" s="34">
        <v>35539.5</v>
      </c>
      <c r="N5201" s="34">
        <f t="shared" si="163"/>
        <v>7.832699619771863</v>
      </c>
    </row>
    <row r="5202" spans="1:14" x14ac:dyDescent="0.45">
      <c r="A5202" s="30">
        <v>2025</v>
      </c>
      <c r="B5202" s="30" t="s">
        <v>11</v>
      </c>
      <c r="C5202" s="30" t="s">
        <v>46</v>
      </c>
      <c r="D5202" s="30" t="s">
        <v>47</v>
      </c>
      <c r="E5202" s="31" t="s">
        <v>329</v>
      </c>
      <c r="F5202" s="32" t="s">
        <v>49</v>
      </c>
      <c r="G5202" s="32" t="s">
        <v>50</v>
      </c>
      <c r="H5202" s="33">
        <v>21580</v>
      </c>
      <c r="I5202" s="34">
        <f>Table3[[#This Row],[Volume, kg.]]/1000</f>
        <v>21.58</v>
      </c>
      <c r="J5202" s="34">
        <v>0.21809999999999999</v>
      </c>
      <c r="K5202" s="34">
        <f t="shared" si="162"/>
        <v>4706.598</v>
      </c>
      <c r="L5202" s="34">
        <v>1.83</v>
      </c>
      <c r="M5202" s="34">
        <v>39561.5</v>
      </c>
      <c r="N5202" s="34">
        <f t="shared" si="163"/>
        <v>8.390646492434664</v>
      </c>
    </row>
    <row r="5203" spans="1:14" x14ac:dyDescent="0.45">
      <c r="A5203" s="30">
        <v>2025</v>
      </c>
      <c r="B5203" s="30" t="s">
        <v>11</v>
      </c>
      <c r="C5203" s="30" t="s">
        <v>46</v>
      </c>
      <c r="D5203" s="30" t="s">
        <v>47</v>
      </c>
      <c r="E5203" s="31" t="s">
        <v>190</v>
      </c>
      <c r="F5203" s="32" t="s">
        <v>81</v>
      </c>
      <c r="G5203" s="32" t="s">
        <v>50</v>
      </c>
      <c r="H5203" s="33">
        <v>58090</v>
      </c>
      <c r="I5203" s="34">
        <f>Table3[[#This Row],[Volume, kg.]]/1000</f>
        <v>58.09</v>
      </c>
      <c r="J5203" s="34">
        <v>0.2535</v>
      </c>
      <c r="K5203" s="34">
        <f t="shared" si="162"/>
        <v>14725.815000000001</v>
      </c>
      <c r="L5203" s="34">
        <v>1.99</v>
      </c>
      <c r="M5203" s="34">
        <v>115435</v>
      </c>
      <c r="N5203" s="34">
        <f t="shared" si="163"/>
        <v>7.8500986193293887</v>
      </c>
    </row>
    <row r="5204" spans="1:14" x14ac:dyDescent="0.45">
      <c r="A5204" s="30">
        <v>2025</v>
      </c>
      <c r="B5204" s="30" t="s">
        <v>11</v>
      </c>
      <c r="C5204" s="30" t="s">
        <v>46</v>
      </c>
      <c r="D5204" s="30" t="s">
        <v>47</v>
      </c>
      <c r="E5204" s="31" t="s">
        <v>466</v>
      </c>
      <c r="F5204" s="32" t="s">
        <v>57</v>
      </c>
      <c r="G5204" s="32" t="s">
        <v>50</v>
      </c>
      <c r="H5204" s="33">
        <v>2480</v>
      </c>
      <c r="I5204" s="34">
        <f>Table3[[#This Row],[Volume, kg.]]/1000</f>
        <v>2.48</v>
      </c>
      <c r="J5204" s="34">
        <v>0.17829999999999999</v>
      </c>
      <c r="K5204" s="34">
        <f t="shared" si="162"/>
        <v>442.18399999999997</v>
      </c>
      <c r="L5204" s="34">
        <v>1.65</v>
      </c>
      <c r="M5204" s="34">
        <v>4092</v>
      </c>
      <c r="N5204" s="34">
        <f t="shared" si="163"/>
        <v>9.2540661805945046</v>
      </c>
    </row>
    <row r="5205" spans="1:14" x14ac:dyDescent="0.45">
      <c r="A5205" s="30">
        <v>2025</v>
      </c>
      <c r="B5205" s="30" t="s">
        <v>11</v>
      </c>
      <c r="C5205" s="30" t="s">
        <v>46</v>
      </c>
      <c r="D5205" s="30" t="s">
        <v>47</v>
      </c>
      <c r="E5205" s="31" t="s">
        <v>176</v>
      </c>
      <c r="F5205" s="32" t="s">
        <v>49</v>
      </c>
      <c r="G5205" s="32" t="s">
        <v>50</v>
      </c>
      <c r="H5205" s="33">
        <v>16990</v>
      </c>
      <c r="I5205" s="34">
        <f>Table3[[#This Row],[Volume, kg.]]/1000</f>
        <v>16.989999999999998</v>
      </c>
      <c r="J5205" s="34">
        <v>0.26739999999999997</v>
      </c>
      <c r="K5205" s="34">
        <f t="shared" si="162"/>
        <v>4543.1259999999993</v>
      </c>
      <c r="L5205" s="34">
        <v>2.0299999999999998</v>
      </c>
      <c r="M5205" s="34">
        <v>34485.5</v>
      </c>
      <c r="N5205" s="34">
        <f t="shared" si="163"/>
        <v>7.5916230366492146</v>
      </c>
    </row>
    <row r="5206" spans="1:14" x14ac:dyDescent="0.45">
      <c r="A5206" s="30">
        <v>2025</v>
      </c>
      <c r="B5206" s="30" t="s">
        <v>11</v>
      </c>
      <c r="C5206" s="30" t="s">
        <v>46</v>
      </c>
      <c r="D5206" s="30" t="s">
        <v>47</v>
      </c>
      <c r="E5206" s="31" t="s">
        <v>241</v>
      </c>
      <c r="F5206" s="32" t="s">
        <v>57</v>
      </c>
      <c r="G5206" s="32" t="s">
        <v>50</v>
      </c>
      <c r="H5206" s="33">
        <v>8840</v>
      </c>
      <c r="I5206" s="34">
        <f>Table3[[#This Row],[Volume, kg.]]/1000</f>
        <v>8.84</v>
      </c>
      <c r="J5206" s="34">
        <v>0.2155</v>
      </c>
      <c r="K5206" s="34">
        <f t="shared" si="162"/>
        <v>1905.02</v>
      </c>
      <c r="L5206" s="34">
        <v>1.8</v>
      </c>
      <c r="M5206" s="34">
        <v>15912</v>
      </c>
      <c r="N5206" s="34">
        <f t="shared" si="163"/>
        <v>8.3526682134570773</v>
      </c>
    </row>
    <row r="5207" spans="1:14" x14ac:dyDescent="0.45">
      <c r="A5207" s="30">
        <v>2025</v>
      </c>
      <c r="B5207" s="30" t="s">
        <v>11</v>
      </c>
      <c r="C5207" s="30" t="s">
        <v>46</v>
      </c>
      <c r="D5207" s="30" t="s">
        <v>47</v>
      </c>
      <c r="E5207" s="31" t="s">
        <v>263</v>
      </c>
      <c r="F5207" s="32" t="s">
        <v>81</v>
      </c>
      <c r="G5207" s="32" t="s">
        <v>50</v>
      </c>
      <c r="H5207" s="33">
        <v>14080</v>
      </c>
      <c r="I5207" s="34">
        <f>Table3[[#This Row],[Volume, kg.]]/1000</f>
        <v>14.08</v>
      </c>
      <c r="J5207" s="34">
        <v>0.27399999999999997</v>
      </c>
      <c r="K5207" s="34">
        <f t="shared" si="162"/>
        <v>3857.9199999999996</v>
      </c>
      <c r="L5207" s="34">
        <v>2.0499999999999998</v>
      </c>
      <c r="M5207" s="34">
        <v>28864</v>
      </c>
      <c r="N5207" s="34">
        <f t="shared" si="163"/>
        <v>7.4817518248175183</v>
      </c>
    </row>
    <row r="5208" spans="1:14" x14ac:dyDescent="0.45">
      <c r="A5208" s="30">
        <v>2025</v>
      </c>
      <c r="B5208" s="30" t="s">
        <v>11</v>
      </c>
      <c r="C5208" s="30" t="s">
        <v>46</v>
      </c>
      <c r="D5208" s="30" t="s">
        <v>47</v>
      </c>
      <c r="E5208" s="31" t="s">
        <v>236</v>
      </c>
      <c r="F5208" s="32" t="s">
        <v>49</v>
      </c>
      <c r="G5208" s="32" t="s">
        <v>50</v>
      </c>
      <c r="H5208" s="33">
        <v>93400</v>
      </c>
      <c r="I5208" s="34">
        <f>Table3[[#This Row],[Volume, kg.]]/1000</f>
        <v>93.4</v>
      </c>
      <c r="J5208" s="34">
        <v>0.23760000000000001</v>
      </c>
      <c r="K5208" s="34">
        <f t="shared" si="162"/>
        <v>22191.84</v>
      </c>
      <c r="L5208" s="34">
        <v>1.93</v>
      </c>
      <c r="M5208" s="34">
        <v>180555.5</v>
      </c>
      <c r="N5208" s="34">
        <f t="shared" si="163"/>
        <v>8.1228956228956228</v>
      </c>
    </row>
    <row r="5209" spans="1:14" x14ac:dyDescent="0.45">
      <c r="A5209" s="30">
        <v>2025</v>
      </c>
      <c r="B5209" s="30" t="s">
        <v>11</v>
      </c>
      <c r="C5209" s="30" t="s">
        <v>46</v>
      </c>
      <c r="D5209" s="30" t="s">
        <v>47</v>
      </c>
      <c r="E5209" s="31" t="s">
        <v>111</v>
      </c>
      <c r="F5209" s="32" t="s">
        <v>60</v>
      </c>
      <c r="G5209" s="32" t="s">
        <v>50</v>
      </c>
      <c r="H5209" s="33">
        <v>30280</v>
      </c>
      <c r="I5209" s="34">
        <f>Table3[[#This Row],[Volume, kg.]]/1000</f>
        <v>30.28</v>
      </c>
      <c r="J5209" s="34">
        <v>0.2525</v>
      </c>
      <c r="K5209" s="34">
        <f t="shared" si="162"/>
        <v>7645.7</v>
      </c>
      <c r="L5209" s="34">
        <v>1.97</v>
      </c>
      <c r="M5209" s="34">
        <v>59703</v>
      </c>
      <c r="N5209" s="34">
        <f t="shared" si="163"/>
        <v>7.8019801980198018</v>
      </c>
    </row>
    <row r="5210" spans="1:14" x14ac:dyDescent="0.45">
      <c r="A5210" s="30">
        <v>2025</v>
      </c>
      <c r="B5210" s="30" t="s">
        <v>11</v>
      </c>
      <c r="C5210" s="30" t="s">
        <v>46</v>
      </c>
      <c r="D5210" s="30" t="s">
        <v>47</v>
      </c>
      <c r="E5210" s="31" t="s">
        <v>388</v>
      </c>
      <c r="F5210" s="32" t="s">
        <v>134</v>
      </c>
      <c r="G5210" s="32" t="s">
        <v>50</v>
      </c>
      <c r="H5210" s="33">
        <v>45050</v>
      </c>
      <c r="I5210" s="34">
        <f>Table3[[#This Row],[Volume, kg.]]/1000</f>
        <v>45.05</v>
      </c>
      <c r="J5210" s="34">
        <v>0.23559999999999998</v>
      </c>
      <c r="K5210" s="34">
        <f t="shared" si="162"/>
        <v>10613.779999999999</v>
      </c>
      <c r="L5210" s="34">
        <v>1.88</v>
      </c>
      <c r="M5210" s="34">
        <v>84616.5</v>
      </c>
      <c r="N5210" s="34">
        <f t="shared" si="163"/>
        <v>7.9796264855687609</v>
      </c>
    </row>
    <row r="5211" spans="1:14" x14ac:dyDescent="0.45">
      <c r="A5211" s="30">
        <v>2025</v>
      </c>
      <c r="B5211" s="30" t="s">
        <v>11</v>
      </c>
      <c r="C5211" s="30" t="s">
        <v>46</v>
      </c>
      <c r="D5211" s="30" t="s">
        <v>47</v>
      </c>
      <c r="E5211" s="31" t="s">
        <v>313</v>
      </c>
      <c r="F5211" s="32" t="s">
        <v>60</v>
      </c>
      <c r="G5211" s="32" t="s">
        <v>50</v>
      </c>
      <c r="H5211" s="33">
        <v>65140</v>
      </c>
      <c r="I5211" s="34">
        <f>Table3[[#This Row],[Volume, kg.]]/1000</f>
        <v>65.14</v>
      </c>
      <c r="J5211" s="34">
        <v>0.2397</v>
      </c>
      <c r="K5211" s="34">
        <f t="shared" si="162"/>
        <v>15614.057999999999</v>
      </c>
      <c r="L5211" s="34">
        <v>1.92</v>
      </c>
      <c r="M5211" s="34">
        <v>124919</v>
      </c>
      <c r="N5211" s="34">
        <f t="shared" si="163"/>
        <v>8.0100125156445561</v>
      </c>
    </row>
    <row r="5212" spans="1:14" x14ac:dyDescent="0.45">
      <c r="A5212" s="30">
        <v>2025</v>
      </c>
      <c r="B5212" s="30" t="s">
        <v>11</v>
      </c>
      <c r="C5212" s="30" t="s">
        <v>46</v>
      </c>
      <c r="D5212" s="30" t="s">
        <v>47</v>
      </c>
      <c r="E5212" s="31" t="s">
        <v>288</v>
      </c>
      <c r="F5212" s="32" t="s">
        <v>49</v>
      </c>
      <c r="G5212" s="32" t="s">
        <v>50</v>
      </c>
      <c r="H5212" s="33">
        <v>16790</v>
      </c>
      <c r="I5212" s="34">
        <f>Table3[[#This Row],[Volume, kg.]]/1000</f>
        <v>16.79</v>
      </c>
      <c r="J5212" s="34">
        <v>0.22500000000000001</v>
      </c>
      <c r="K5212" s="34">
        <f t="shared" si="162"/>
        <v>3777.75</v>
      </c>
      <c r="L5212" s="34">
        <v>1.85</v>
      </c>
      <c r="M5212" s="34">
        <v>31061.5</v>
      </c>
      <c r="N5212" s="34">
        <f t="shared" si="163"/>
        <v>8.2222222222222232</v>
      </c>
    </row>
    <row r="5213" spans="1:14" x14ac:dyDescent="0.45">
      <c r="A5213" s="30">
        <v>2025</v>
      </c>
      <c r="B5213" s="30" t="s">
        <v>11</v>
      </c>
      <c r="C5213" s="30" t="s">
        <v>46</v>
      </c>
      <c r="D5213" s="30" t="s">
        <v>47</v>
      </c>
      <c r="E5213" s="31" t="s">
        <v>70</v>
      </c>
      <c r="F5213" s="32" t="s">
        <v>49</v>
      </c>
      <c r="G5213" s="32" t="s">
        <v>50</v>
      </c>
      <c r="H5213" s="33">
        <v>362540</v>
      </c>
      <c r="I5213" s="34">
        <f>Table3[[#This Row],[Volume, kg.]]/1000</f>
        <v>362.54</v>
      </c>
      <c r="J5213" s="34">
        <v>0.26390000000000002</v>
      </c>
      <c r="K5213" s="34">
        <f t="shared" si="162"/>
        <v>95674.306000000011</v>
      </c>
      <c r="L5213" s="34">
        <v>2.06</v>
      </c>
      <c r="M5213" s="34">
        <v>745385</v>
      </c>
      <c r="N5213" s="34">
        <f t="shared" si="163"/>
        <v>7.8059871163319432</v>
      </c>
    </row>
    <row r="5214" spans="1:14" x14ac:dyDescent="0.45">
      <c r="A5214" s="30">
        <v>2025</v>
      </c>
      <c r="B5214" s="30" t="s">
        <v>11</v>
      </c>
      <c r="C5214" s="30" t="s">
        <v>46</v>
      </c>
      <c r="D5214" s="30" t="s">
        <v>47</v>
      </c>
      <c r="E5214" s="31" t="s">
        <v>265</v>
      </c>
      <c r="F5214" s="32" t="s">
        <v>49</v>
      </c>
      <c r="G5214" s="32" t="s">
        <v>50</v>
      </c>
      <c r="H5214" s="33">
        <v>97510</v>
      </c>
      <c r="I5214" s="34">
        <f>Table3[[#This Row],[Volume, kg.]]/1000</f>
        <v>97.51</v>
      </c>
      <c r="J5214" s="34">
        <v>0.26390000000000002</v>
      </c>
      <c r="K5214" s="34">
        <f t="shared" si="162"/>
        <v>25732.889000000003</v>
      </c>
      <c r="L5214" s="34">
        <v>2.0699999999999998</v>
      </c>
      <c r="M5214" s="34">
        <v>201470.5</v>
      </c>
      <c r="N5214" s="34">
        <f t="shared" si="163"/>
        <v>7.8438802576733595</v>
      </c>
    </row>
    <row r="5215" spans="1:14" x14ac:dyDescent="0.45">
      <c r="A5215" s="30">
        <v>2025</v>
      </c>
      <c r="B5215" s="30" t="s">
        <v>11</v>
      </c>
      <c r="C5215" s="30" t="s">
        <v>46</v>
      </c>
      <c r="D5215" s="30" t="s">
        <v>47</v>
      </c>
      <c r="E5215" s="31" t="s">
        <v>192</v>
      </c>
      <c r="F5215" s="32" t="s">
        <v>49</v>
      </c>
      <c r="G5215" s="32" t="s">
        <v>50</v>
      </c>
      <c r="H5215" s="33">
        <v>5590</v>
      </c>
      <c r="I5215" s="34">
        <f>Table3[[#This Row],[Volume, kg.]]/1000</f>
        <v>5.59</v>
      </c>
      <c r="J5215" s="34">
        <v>0.22750000000000001</v>
      </c>
      <c r="K5215" s="34">
        <f t="shared" si="162"/>
        <v>1271.7250000000001</v>
      </c>
      <c r="L5215" s="34">
        <v>1.95</v>
      </c>
      <c r="M5215" s="34">
        <v>10900.5</v>
      </c>
      <c r="N5215" s="34">
        <f t="shared" si="163"/>
        <v>8.5714285714285712</v>
      </c>
    </row>
    <row r="5216" spans="1:14" x14ac:dyDescent="0.45">
      <c r="A5216" s="30">
        <v>2025</v>
      </c>
      <c r="B5216" s="30" t="s">
        <v>11</v>
      </c>
      <c r="C5216" s="30" t="s">
        <v>46</v>
      </c>
      <c r="D5216" s="30" t="s">
        <v>47</v>
      </c>
      <c r="E5216" s="31" t="s">
        <v>324</v>
      </c>
      <c r="F5216" s="32" t="s">
        <v>81</v>
      </c>
      <c r="G5216" s="32" t="s">
        <v>50</v>
      </c>
      <c r="H5216" s="33">
        <v>6200</v>
      </c>
      <c r="I5216" s="34">
        <f>Table3[[#This Row],[Volume, kg.]]/1000</f>
        <v>6.2</v>
      </c>
      <c r="J5216" s="34">
        <v>0.22450000000000001</v>
      </c>
      <c r="K5216" s="34">
        <f t="shared" si="162"/>
        <v>1391.9</v>
      </c>
      <c r="L5216" s="34">
        <v>1.9</v>
      </c>
      <c r="M5216" s="34">
        <v>11780</v>
      </c>
      <c r="N5216" s="34">
        <f t="shared" si="163"/>
        <v>8.463251670378618</v>
      </c>
    </row>
    <row r="5217" spans="1:14" x14ac:dyDescent="0.45">
      <c r="A5217" s="30">
        <v>2025</v>
      </c>
      <c r="B5217" s="30" t="s">
        <v>11</v>
      </c>
      <c r="C5217" s="30" t="s">
        <v>46</v>
      </c>
      <c r="D5217" s="30" t="s">
        <v>47</v>
      </c>
      <c r="E5217" s="31" t="s">
        <v>135</v>
      </c>
      <c r="F5217" s="32" t="s">
        <v>49</v>
      </c>
      <c r="G5217" s="32" t="s">
        <v>50</v>
      </c>
      <c r="H5217" s="33">
        <v>113530</v>
      </c>
      <c r="I5217" s="34">
        <f>Table3[[#This Row],[Volume, kg.]]/1000</f>
        <v>113.53</v>
      </c>
      <c r="J5217" s="34">
        <v>0.2482</v>
      </c>
      <c r="K5217" s="34">
        <f t="shared" si="162"/>
        <v>28178.146000000001</v>
      </c>
      <c r="L5217" s="34">
        <v>2</v>
      </c>
      <c r="M5217" s="34">
        <v>227142</v>
      </c>
      <c r="N5217" s="34">
        <f t="shared" si="163"/>
        <v>8.058017727639001</v>
      </c>
    </row>
    <row r="5218" spans="1:14" x14ac:dyDescent="0.45">
      <c r="A5218" s="30">
        <v>2025</v>
      </c>
      <c r="B5218" s="30" t="s">
        <v>11</v>
      </c>
      <c r="C5218" s="30" t="s">
        <v>46</v>
      </c>
      <c r="D5218" s="30" t="s">
        <v>47</v>
      </c>
      <c r="E5218" s="31" t="s">
        <v>125</v>
      </c>
      <c r="F5218" s="32" t="s">
        <v>60</v>
      </c>
      <c r="G5218" s="32" t="s">
        <v>50</v>
      </c>
      <c r="H5218" s="33">
        <v>2590</v>
      </c>
      <c r="I5218" s="34">
        <f>Table3[[#This Row],[Volume, kg.]]/1000</f>
        <v>2.59</v>
      </c>
      <c r="J5218" s="34">
        <v>0.19450000000000001</v>
      </c>
      <c r="K5218" s="34">
        <f t="shared" si="162"/>
        <v>503.755</v>
      </c>
      <c r="L5218" s="34">
        <v>1.65</v>
      </c>
      <c r="M5218" s="34">
        <v>4273.5</v>
      </c>
      <c r="N5218" s="34">
        <f t="shared" si="163"/>
        <v>8.4832904884318765</v>
      </c>
    </row>
    <row r="5219" spans="1:14" x14ac:dyDescent="0.45">
      <c r="A5219" s="30">
        <v>2025</v>
      </c>
      <c r="B5219" s="30" t="s">
        <v>11</v>
      </c>
      <c r="C5219" s="30" t="s">
        <v>46</v>
      </c>
      <c r="D5219" s="30" t="s">
        <v>47</v>
      </c>
      <c r="E5219" s="31" t="s">
        <v>144</v>
      </c>
      <c r="F5219" s="32" t="s">
        <v>49</v>
      </c>
      <c r="G5219" s="32" t="s">
        <v>50</v>
      </c>
      <c r="H5219" s="33">
        <v>38700</v>
      </c>
      <c r="I5219" s="34">
        <f>Table3[[#This Row],[Volume, kg.]]/1000</f>
        <v>38.700000000000003</v>
      </c>
      <c r="J5219" s="34">
        <v>0.25600000000000001</v>
      </c>
      <c r="K5219" s="34">
        <f t="shared" si="162"/>
        <v>9907.2000000000007</v>
      </c>
      <c r="L5219" s="34">
        <v>1.99</v>
      </c>
      <c r="M5219" s="34">
        <v>76904</v>
      </c>
      <c r="N5219" s="34">
        <f t="shared" si="163"/>
        <v>7.7734375</v>
      </c>
    </row>
    <row r="5220" spans="1:14" x14ac:dyDescent="0.45">
      <c r="A5220" s="30">
        <v>2025</v>
      </c>
      <c r="B5220" s="30" t="s">
        <v>11</v>
      </c>
      <c r="C5220" s="30" t="s">
        <v>46</v>
      </c>
      <c r="D5220" s="30" t="s">
        <v>47</v>
      </c>
      <c r="E5220" s="31" t="s">
        <v>100</v>
      </c>
      <c r="F5220" s="32" t="s">
        <v>60</v>
      </c>
      <c r="G5220" s="32" t="s">
        <v>50</v>
      </c>
      <c r="H5220" s="33">
        <v>33420</v>
      </c>
      <c r="I5220" s="34">
        <f>Table3[[#This Row],[Volume, kg.]]/1000</f>
        <v>33.42</v>
      </c>
      <c r="J5220" s="34">
        <v>0.24239999999999998</v>
      </c>
      <c r="K5220" s="34">
        <f t="shared" si="162"/>
        <v>8101.0079999999989</v>
      </c>
      <c r="L5220" s="34">
        <v>1.94</v>
      </c>
      <c r="M5220" s="34">
        <v>64950</v>
      </c>
      <c r="N5220" s="34">
        <f t="shared" si="163"/>
        <v>8.003300330033003</v>
      </c>
    </row>
    <row r="5221" spans="1:14" x14ac:dyDescent="0.45">
      <c r="A5221" s="30">
        <v>2025</v>
      </c>
      <c r="B5221" s="30" t="s">
        <v>11</v>
      </c>
      <c r="C5221" s="30" t="s">
        <v>46</v>
      </c>
      <c r="D5221" s="30" t="s">
        <v>47</v>
      </c>
      <c r="E5221" s="31" t="s">
        <v>283</v>
      </c>
      <c r="F5221" s="32" t="s">
        <v>49</v>
      </c>
      <c r="G5221" s="32" t="s">
        <v>50</v>
      </c>
      <c r="H5221" s="33">
        <v>14930</v>
      </c>
      <c r="I5221" s="34">
        <f>Table3[[#This Row],[Volume, kg.]]/1000</f>
        <v>14.93</v>
      </c>
      <c r="J5221" s="34">
        <v>0.28339999999999999</v>
      </c>
      <c r="K5221" s="34">
        <f t="shared" si="162"/>
        <v>4231.1619999999994</v>
      </c>
      <c r="L5221" s="34">
        <v>2.11</v>
      </c>
      <c r="M5221" s="34">
        <v>31466.5</v>
      </c>
      <c r="N5221" s="34">
        <f t="shared" si="163"/>
        <v>7.4453069865913903</v>
      </c>
    </row>
    <row r="5222" spans="1:14" x14ac:dyDescent="0.45">
      <c r="A5222" s="30">
        <v>2025</v>
      </c>
      <c r="B5222" s="30" t="s">
        <v>11</v>
      </c>
      <c r="C5222" s="30" t="s">
        <v>46</v>
      </c>
      <c r="D5222" s="30" t="s">
        <v>47</v>
      </c>
      <c r="E5222" s="31" t="s">
        <v>299</v>
      </c>
      <c r="F5222" s="32" t="s">
        <v>49</v>
      </c>
      <c r="G5222" s="32" t="s">
        <v>50</v>
      </c>
      <c r="H5222" s="33">
        <v>4660</v>
      </c>
      <c r="I5222" s="34">
        <f>Table3[[#This Row],[Volume, kg.]]/1000</f>
        <v>4.66</v>
      </c>
      <c r="J5222" s="34">
        <v>0.217</v>
      </c>
      <c r="K5222" s="34">
        <f t="shared" si="162"/>
        <v>1011.22</v>
      </c>
      <c r="L5222" s="34">
        <v>1.8</v>
      </c>
      <c r="M5222" s="34">
        <v>8388</v>
      </c>
      <c r="N5222" s="34">
        <f t="shared" si="163"/>
        <v>8.2949308755760374</v>
      </c>
    </row>
    <row r="5223" spans="1:14" x14ac:dyDescent="0.45">
      <c r="A5223" s="30">
        <v>2025</v>
      </c>
      <c r="B5223" s="30" t="s">
        <v>11</v>
      </c>
      <c r="C5223" s="30" t="s">
        <v>46</v>
      </c>
      <c r="D5223" s="30" t="s">
        <v>47</v>
      </c>
      <c r="E5223" s="31" t="s">
        <v>147</v>
      </c>
      <c r="F5223" s="32" t="s">
        <v>57</v>
      </c>
      <c r="G5223" s="32" t="s">
        <v>50</v>
      </c>
      <c r="H5223" s="33">
        <v>9230</v>
      </c>
      <c r="I5223" s="34">
        <f>Table3[[#This Row],[Volume, kg.]]/1000</f>
        <v>9.23</v>
      </c>
      <c r="J5223" s="34">
        <v>0.22769999999999999</v>
      </c>
      <c r="K5223" s="34">
        <f t="shared" si="162"/>
        <v>2101.6709999999998</v>
      </c>
      <c r="L5223" s="34">
        <v>1.85</v>
      </c>
      <c r="M5223" s="34">
        <v>17075.5</v>
      </c>
      <c r="N5223" s="34">
        <f t="shared" si="163"/>
        <v>8.1247255160298639</v>
      </c>
    </row>
    <row r="5224" spans="1:14" x14ac:dyDescent="0.45">
      <c r="A5224" s="30">
        <v>2025</v>
      </c>
      <c r="B5224" s="30" t="s">
        <v>11</v>
      </c>
      <c r="C5224" s="30" t="s">
        <v>46</v>
      </c>
      <c r="D5224" s="30" t="s">
        <v>47</v>
      </c>
      <c r="E5224" s="31" t="s">
        <v>502</v>
      </c>
      <c r="F5224" s="32" t="s">
        <v>49</v>
      </c>
      <c r="G5224" s="32" t="s">
        <v>50</v>
      </c>
      <c r="H5224" s="33">
        <v>12400</v>
      </c>
      <c r="I5224" s="34">
        <f>Table3[[#This Row],[Volume, kg.]]/1000</f>
        <v>12.4</v>
      </c>
      <c r="J5224" s="34">
        <v>0.23949999999999999</v>
      </c>
      <c r="K5224" s="34">
        <f t="shared" si="162"/>
        <v>2969.7999999999997</v>
      </c>
      <c r="L5224" s="34">
        <v>1.95</v>
      </c>
      <c r="M5224" s="34">
        <v>24180</v>
      </c>
      <c r="N5224" s="34">
        <f t="shared" si="163"/>
        <v>8.1419624217119004</v>
      </c>
    </row>
    <row r="5225" spans="1:14" x14ac:dyDescent="0.45">
      <c r="A5225" s="30">
        <v>2025</v>
      </c>
      <c r="B5225" s="30" t="s">
        <v>11</v>
      </c>
      <c r="C5225" s="30" t="s">
        <v>46</v>
      </c>
      <c r="D5225" s="30" t="s">
        <v>47</v>
      </c>
      <c r="E5225" s="31" t="s">
        <v>122</v>
      </c>
      <c r="F5225" s="32" t="s">
        <v>49</v>
      </c>
      <c r="G5225" s="32" t="s">
        <v>50</v>
      </c>
      <c r="H5225" s="33">
        <v>11650</v>
      </c>
      <c r="I5225" s="34">
        <f>Table3[[#This Row],[Volume, kg.]]/1000</f>
        <v>11.65</v>
      </c>
      <c r="J5225" s="34">
        <v>0.23980000000000001</v>
      </c>
      <c r="K5225" s="34">
        <f t="shared" si="162"/>
        <v>2793.67</v>
      </c>
      <c r="L5225" s="34">
        <v>1.88</v>
      </c>
      <c r="M5225" s="34">
        <v>21942</v>
      </c>
      <c r="N5225" s="34">
        <f t="shared" si="163"/>
        <v>7.8398665554628852</v>
      </c>
    </row>
    <row r="5226" spans="1:14" x14ac:dyDescent="0.45">
      <c r="A5226" s="30">
        <v>2025</v>
      </c>
      <c r="B5226" s="30" t="s">
        <v>11</v>
      </c>
      <c r="C5226" s="30" t="s">
        <v>46</v>
      </c>
      <c r="D5226" s="30" t="s">
        <v>47</v>
      </c>
      <c r="E5226" s="31" t="s">
        <v>210</v>
      </c>
      <c r="F5226" s="32" t="s">
        <v>60</v>
      </c>
      <c r="G5226" s="32" t="s">
        <v>50</v>
      </c>
      <c r="H5226" s="33">
        <v>9920</v>
      </c>
      <c r="I5226" s="34">
        <f>Table3[[#This Row],[Volume, kg.]]/1000</f>
        <v>9.92</v>
      </c>
      <c r="J5226" s="34">
        <v>0.23350000000000001</v>
      </c>
      <c r="K5226" s="34">
        <f t="shared" si="162"/>
        <v>2316.3200000000002</v>
      </c>
      <c r="L5226" s="34">
        <v>1.85</v>
      </c>
      <c r="M5226" s="34">
        <v>18352</v>
      </c>
      <c r="N5226" s="34">
        <f t="shared" si="163"/>
        <v>7.9229122055674521</v>
      </c>
    </row>
    <row r="5227" spans="1:14" x14ac:dyDescent="0.45">
      <c r="A5227" s="30">
        <v>2025</v>
      </c>
      <c r="B5227" s="30" t="s">
        <v>11</v>
      </c>
      <c r="C5227" s="30" t="s">
        <v>46</v>
      </c>
      <c r="D5227" s="30" t="s">
        <v>47</v>
      </c>
      <c r="E5227" s="31" t="s">
        <v>253</v>
      </c>
      <c r="F5227" s="32" t="s">
        <v>57</v>
      </c>
      <c r="G5227" s="32" t="s">
        <v>50</v>
      </c>
      <c r="H5227" s="33">
        <v>14040</v>
      </c>
      <c r="I5227" s="34">
        <f>Table3[[#This Row],[Volume, kg.]]/1000</f>
        <v>14.04</v>
      </c>
      <c r="J5227" s="34">
        <v>0.25120000000000003</v>
      </c>
      <c r="K5227" s="34">
        <f t="shared" si="162"/>
        <v>3526.8480000000004</v>
      </c>
      <c r="L5227" s="34">
        <v>1.97</v>
      </c>
      <c r="M5227" s="34">
        <v>27724</v>
      </c>
      <c r="N5227" s="34">
        <f t="shared" si="163"/>
        <v>7.8423566878980884</v>
      </c>
    </row>
    <row r="5228" spans="1:14" x14ac:dyDescent="0.45">
      <c r="A5228" s="30">
        <v>2025</v>
      </c>
      <c r="B5228" s="30" t="s">
        <v>11</v>
      </c>
      <c r="C5228" s="30" t="s">
        <v>46</v>
      </c>
      <c r="D5228" s="30" t="s">
        <v>47</v>
      </c>
      <c r="E5228" s="31" t="s">
        <v>171</v>
      </c>
      <c r="F5228" s="32" t="s">
        <v>49</v>
      </c>
      <c r="G5228" s="32" t="s">
        <v>50</v>
      </c>
      <c r="H5228" s="33">
        <v>8790</v>
      </c>
      <c r="I5228" s="34">
        <f>Table3[[#This Row],[Volume, kg.]]/1000</f>
        <v>8.7899999999999991</v>
      </c>
      <c r="J5228" s="34">
        <v>0.20149999999999998</v>
      </c>
      <c r="K5228" s="34">
        <f t="shared" si="162"/>
        <v>1771.1849999999999</v>
      </c>
      <c r="L5228" s="34">
        <v>1.7</v>
      </c>
      <c r="M5228" s="34">
        <v>14943</v>
      </c>
      <c r="N5228" s="34">
        <f t="shared" si="163"/>
        <v>8.4367245657568244</v>
      </c>
    </row>
    <row r="5229" spans="1:14" x14ac:dyDescent="0.45">
      <c r="A5229" s="30">
        <v>2025</v>
      </c>
      <c r="B5229" s="30" t="s">
        <v>11</v>
      </c>
      <c r="C5229" s="30" t="s">
        <v>46</v>
      </c>
      <c r="D5229" s="30" t="s">
        <v>47</v>
      </c>
      <c r="E5229" s="31" t="s">
        <v>233</v>
      </c>
      <c r="F5229" s="32" t="s">
        <v>57</v>
      </c>
      <c r="G5229" s="32" t="s">
        <v>50</v>
      </c>
      <c r="H5229" s="33">
        <v>10140</v>
      </c>
      <c r="I5229" s="34">
        <f>Table3[[#This Row],[Volume, kg.]]/1000</f>
        <v>10.14</v>
      </c>
      <c r="J5229" s="34">
        <v>0.28399999999999997</v>
      </c>
      <c r="K5229" s="34">
        <f t="shared" si="162"/>
        <v>2879.7599999999998</v>
      </c>
      <c r="L5229" s="34">
        <v>2.0499999999999998</v>
      </c>
      <c r="M5229" s="34">
        <v>20787</v>
      </c>
      <c r="N5229" s="34">
        <f t="shared" si="163"/>
        <v>7.21830985915493</v>
      </c>
    </row>
    <row r="5230" spans="1:14" x14ac:dyDescent="0.45">
      <c r="A5230" s="30">
        <v>2025</v>
      </c>
      <c r="B5230" s="30" t="s">
        <v>11</v>
      </c>
      <c r="C5230" s="30" t="s">
        <v>46</v>
      </c>
      <c r="D5230" s="30" t="s">
        <v>47</v>
      </c>
      <c r="E5230" s="31" t="s">
        <v>445</v>
      </c>
      <c r="F5230" s="32" t="s">
        <v>49</v>
      </c>
      <c r="G5230" s="32" t="s">
        <v>50</v>
      </c>
      <c r="H5230" s="33">
        <v>23560</v>
      </c>
      <c r="I5230" s="34">
        <f>Table3[[#This Row],[Volume, kg.]]/1000</f>
        <v>23.56</v>
      </c>
      <c r="J5230" s="34">
        <v>0.25140000000000001</v>
      </c>
      <c r="K5230" s="34">
        <f t="shared" si="162"/>
        <v>5922.9840000000004</v>
      </c>
      <c r="L5230" s="34">
        <v>2.0299999999999998</v>
      </c>
      <c r="M5230" s="34">
        <v>47847</v>
      </c>
      <c r="N5230" s="34">
        <f t="shared" si="163"/>
        <v>8.074781225139219</v>
      </c>
    </row>
    <row r="5231" spans="1:14" x14ac:dyDescent="0.45">
      <c r="A5231" s="30">
        <v>2025</v>
      </c>
      <c r="B5231" s="30" t="s">
        <v>11</v>
      </c>
      <c r="C5231" s="30" t="s">
        <v>46</v>
      </c>
      <c r="D5231" s="30" t="s">
        <v>47</v>
      </c>
      <c r="E5231" s="31" t="s">
        <v>90</v>
      </c>
      <c r="F5231" s="32" t="s">
        <v>49</v>
      </c>
      <c r="G5231" s="32" t="s">
        <v>50</v>
      </c>
      <c r="H5231" s="33">
        <v>77790</v>
      </c>
      <c r="I5231" s="34">
        <f>Table3[[#This Row],[Volume, kg.]]/1000</f>
        <v>77.790000000000006</v>
      </c>
      <c r="J5231" s="34">
        <v>0.23850000000000002</v>
      </c>
      <c r="K5231" s="34">
        <f t="shared" si="162"/>
        <v>18552.915000000001</v>
      </c>
      <c r="L5231" s="34">
        <v>1.94</v>
      </c>
      <c r="M5231" s="34">
        <v>151226</v>
      </c>
      <c r="N5231" s="34">
        <f t="shared" si="163"/>
        <v>8.1341719077568122</v>
      </c>
    </row>
    <row r="5232" spans="1:14" x14ac:dyDescent="0.45">
      <c r="A5232" s="30">
        <v>2025</v>
      </c>
      <c r="B5232" s="30" t="s">
        <v>11</v>
      </c>
      <c r="C5232" s="30" t="s">
        <v>46</v>
      </c>
      <c r="D5232" s="30" t="s">
        <v>47</v>
      </c>
      <c r="E5232" s="31" t="s">
        <v>275</v>
      </c>
      <c r="F5232" s="32" t="s">
        <v>54</v>
      </c>
      <c r="G5232" s="32" t="s">
        <v>50</v>
      </c>
      <c r="H5232" s="33">
        <v>23780</v>
      </c>
      <c r="I5232" s="34">
        <f>Table3[[#This Row],[Volume, kg.]]/1000</f>
        <v>23.78</v>
      </c>
      <c r="J5232" s="34">
        <v>0.21850000000000003</v>
      </c>
      <c r="K5232" s="34">
        <f t="shared" si="162"/>
        <v>5195.93</v>
      </c>
      <c r="L5232" s="34">
        <v>1.79</v>
      </c>
      <c r="M5232" s="34">
        <v>42597</v>
      </c>
      <c r="N5232" s="34">
        <f t="shared" si="163"/>
        <v>8.1922196796338671</v>
      </c>
    </row>
    <row r="5233" spans="1:14" x14ac:dyDescent="0.45">
      <c r="A5233" s="30">
        <v>2025</v>
      </c>
      <c r="B5233" s="30" t="s">
        <v>11</v>
      </c>
      <c r="C5233" s="30" t="s">
        <v>46</v>
      </c>
      <c r="D5233" s="30" t="s">
        <v>47</v>
      </c>
      <c r="E5233" s="31" t="s">
        <v>88</v>
      </c>
      <c r="F5233" s="32" t="s">
        <v>49</v>
      </c>
      <c r="G5233" s="32" t="s">
        <v>50</v>
      </c>
      <c r="H5233" s="33">
        <v>12550</v>
      </c>
      <c r="I5233" s="34">
        <f>Table3[[#This Row],[Volume, kg.]]/1000</f>
        <v>12.55</v>
      </c>
      <c r="J5233" s="34">
        <v>0.26100000000000001</v>
      </c>
      <c r="K5233" s="34">
        <f t="shared" si="162"/>
        <v>3275.55</v>
      </c>
      <c r="L5233" s="34">
        <v>2</v>
      </c>
      <c r="M5233" s="34">
        <v>25100</v>
      </c>
      <c r="N5233" s="34">
        <f t="shared" si="163"/>
        <v>7.6628352490421454</v>
      </c>
    </row>
    <row r="5234" spans="1:14" x14ac:dyDescent="0.45">
      <c r="A5234" s="30">
        <v>2025</v>
      </c>
      <c r="B5234" s="30" t="s">
        <v>11</v>
      </c>
      <c r="C5234" s="30" t="s">
        <v>46</v>
      </c>
      <c r="D5234" s="30" t="s">
        <v>47</v>
      </c>
      <c r="E5234" s="31" t="s">
        <v>681</v>
      </c>
      <c r="F5234" s="32" t="s">
        <v>49</v>
      </c>
      <c r="G5234" s="32" t="s">
        <v>50</v>
      </c>
      <c r="H5234" s="33">
        <v>22870</v>
      </c>
      <c r="I5234" s="34">
        <f>Table3[[#This Row],[Volume, kg.]]/1000</f>
        <v>22.87</v>
      </c>
      <c r="J5234" s="34">
        <v>0.25950000000000001</v>
      </c>
      <c r="K5234" s="34">
        <f t="shared" si="162"/>
        <v>5934.7650000000003</v>
      </c>
      <c r="L5234" s="34">
        <v>1.98</v>
      </c>
      <c r="M5234" s="34">
        <v>45203</v>
      </c>
      <c r="N5234" s="34">
        <f t="shared" si="163"/>
        <v>7.6300578034682074</v>
      </c>
    </row>
    <row r="5235" spans="1:14" x14ac:dyDescent="0.45">
      <c r="A5235" s="30">
        <v>2025</v>
      </c>
      <c r="B5235" s="30" t="s">
        <v>11</v>
      </c>
      <c r="C5235" s="30" t="s">
        <v>46</v>
      </c>
      <c r="D5235" s="30" t="s">
        <v>47</v>
      </c>
      <c r="E5235" s="31" t="s">
        <v>573</v>
      </c>
      <c r="F5235" s="32" t="s">
        <v>49</v>
      </c>
      <c r="G5235" s="32" t="s">
        <v>50</v>
      </c>
      <c r="H5235" s="33">
        <v>35590</v>
      </c>
      <c r="I5235" s="34">
        <f>Table3[[#This Row],[Volume, kg.]]/1000</f>
        <v>35.590000000000003</v>
      </c>
      <c r="J5235" s="34">
        <v>0.25069999999999998</v>
      </c>
      <c r="K5235" s="34">
        <f t="shared" si="162"/>
        <v>8922.4129999999986</v>
      </c>
      <c r="L5235" s="34">
        <v>1.96</v>
      </c>
      <c r="M5235" s="34">
        <v>69878.5</v>
      </c>
      <c r="N5235" s="34">
        <f t="shared" si="163"/>
        <v>7.8181092939768657</v>
      </c>
    </row>
    <row r="5236" spans="1:14" x14ac:dyDescent="0.45">
      <c r="A5236" s="30">
        <v>2025</v>
      </c>
      <c r="B5236" s="30" t="s">
        <v>11</v>
      </c>
      <c r="C5236" s="30" t="s">
        <v>46</v>
      </c>
      <c r="D5236" s="30" t="s">
        <v>47</v>
      </c>
      <c r="E5236" s="31" t="s">
        <v>346</v>
      </c>
      <c r="F5236" s="32" t="s">
        <v>49</v>
      </c>
      <c r="G5236" s="32" t="s">
        <v>50</v>
      </c>
      <c r="H5236" s="33">
        <v>128760</v>
      </c>
      <c r="I5236" s="34">
        <f>Table3[[#This Row],[Volume, kg.]]/1000</f>
        <v>128.76</v>
      </c>
      <c r="J5236" s="34">
        <v>0.25780000000000003</v>
      </c>
      <c r="K5236" s="34">
        <f t="shared" si="162"/>
        <v>33194.328000000001</v>
      </c>
      <c r="L5236" s="34">
        <v>2.0299999999999998</v>
      </c>
      <c r="M5236" s="34">
        <v>260772.5</v>
      </c>
      <c r="N5236" s="34">
        <f t="shared" si="163"/>
        <v>7.8743211792086871</v>
      </c>
    </row>
    <row r="5237" spans="1:14" x14ac:dyDescent="0.45">
      <c r="A5237" s="30">
        <v>2025</v>
      </c>
      <c r="B5237" s="30" t="s">
        <v>11</v>
      </c>
      <c r="C5237" s="30" t="s">
        <v>46</v>
      </c>
      <c r="D5237" s="30" t="s">
        <v>47</v>
      </c>
      <c r="E5237" s="31" t="s">
        <v>116</v>
      </c>
      <c r="F5237" s="32" t="s">
        <v>81</v>
      </c>
      <c r="G5237" s="32" t="s">
        <v>50</v>
      </c>
      <c r="H5237" s="33">
        <v>57100</v>
      </c>
      <c r="I5237" s="34">
        <f>Table3[[#This Row],[Volume, kg.]]/1000</f>
        <v>57.1</v>
      </c>
      <c r="J5237" s="34">
        <v>0.25950000000000001</v>
      </c>
      <c r="K5237" s="34">
        <f t="shared" si="162"/>
        <v>14817.45</v>
      </c>
      <c r="L5237" s="34">
        <v>2.02</v>
      </c>
      <c r="M5237" s="34">
        <v>115548</v>
      </c>
      <c r="N5237" s="34">
        <f t="shared" si="163"/>
        <v>7.7842003853564545</v>
      </c>
    </row>
    <row r="5238" spans="1:14" x14ac:dyDescent="0.45">
      <c r="A5238" s="30">
        <v>2025</v>
      </c>
      <c r="B5238" s="30" t="s">
        <v>11</v>
      </c>
      <c r="C5238" s="30" t="s">
        <v>46</v>
      </c>
      <c r="D5238" s="30" t="s">
        <v>47</v>
      </c>
      <c r="E5238" s="31" t="s">
        <v>394</v>
      </c>
      <c r="F5238" s="32" t="s">
        <v>64</v>
      </c>
      <c r="G5238" s="32" t="s">
        <v>50</v>
      </c>
      <c r="H5238" s="33">
        <v>38790</v>
      </c>
      <c r="I5238" s="34">
        <f>Table3[[#This Row],[Volume, kg.]]/1000</f>
        <v>38.79</v>
      </c>
      <c r="J5238" s="34">
        <v>0.23309999999999997</v>
      </c>
      <c r="K5238" s="34">
        <f t="shared" si="162"/>
        <v>9041.9489999999987</v>
      </c>
      <c r="L5238" s="34">
        <v>1.85</v>
      </c>
      <c r="M5238" s="34">
        <v>71743</v>
      </c>
      <c r="N5238" s="34">
        <f t="shared" si="163"/>
        <v>7.9365079365079376</v>
      </c>
    </row>
    <row r="5239" spans="1:14" x14ac:dyDescent="0.45">
      <c r="A5239" s="30">
        <v>2025</v>
      </c>
      <c r="B5239" s="30" t="s">
        <v>11</v>
      </c>
      <c r="C5239" s="30" t="s">
        <v>46</v>
      </c>
      <c r="D5239" s="30" t="s">
        <v>47</v>
      </c>
      <c r="E5239" s="31" t="s">
        <v>581</v>
      </c>
      <c r="F5239" s="32" t="s">
        <v>64</v>
      </c>
      <c r="G5239" s="32" t="s">
        <v>50</v>
      </c>
      <c r="H5239" s="33">
        <v>12050</v>
      </c>
      <c r="I5239" s="34">
        <f>Table3[[#This Row],[Volume, kg.]]/1000</f>
        <v>12.05</v>
      </c>
      <c r="J5239" s="34">
        <v>0.21299999999999999</v>
      </c>
      <c r="K5239" s="34">
        <f t="shared" si="162"/>
        <v>2566.65</v>
      </c>
      <c r="L5239" s="34">
        <v>1.85</v>
      </c>
      <c r="M5239" s="34">
        <v>22292.5</v>
      </c>
      <c r="N5239" s="34">
        <f t="shared" si="163"/>
        <v>8.6854460093896719</v>
      </c>
    </row>
    <row r="5240" spans="1:14" x14ac:dyDescent="0.45">
      <c r="A5240" s="30">
        <v>2025</v>
      </c>
      <c r="B5240" s="30" t="s">
        <v>11</v>
      </c>
      <c r="C5240" s="30" t="s">
        <v>46</v>
      </c>
      <c r="D5240" s="30" t="s">
        <v>47</v>
      </c>
      <c r="E5240" s="31" t="s">
        <v>262</v>
      </c>
      <c r="F5240" s="32" t="s">
        <v>81</v>
      </c>
      <c r="G5240" s="32" t="s">
        <v>50</v>
      </c>
      <c r="H5240" s="33">
        <v>45170</v>
      </c>
      <c r="I5240" s="34">
        <f>Table3[[#This Row],[Volume, kg.]]/1000</f>
        <v>45.17</v>
      </c>
      <c r="J5240" s="34">
        <v>0.2422</v>
      </c>
      <c r="K5240" s="34">
        <f t="shared" si="162"/>
        <v>10940.173999999999</v>
      </c>
      <c r="L5240" s="34">
        <v>1.97</v>
      </c>
      <c r="M5240" s="34">
        <v>88830</v>
      </c>
      <c r="N5240" s="34">
        <f t="shared" si="163"/>
        <v>8.133773740710156</v>
      </c>
    </row>
    <row r="5241" spans="1:14" x14ac:dyDescent="0.45">
      <c r="A5241" s="30">
        <v>2025</v>
      </c>
      <c r="B5241" s="30" t="s">
        <v>11</v>
      </c>
      <c r="C5241" s="30" t="s">
        <v>46</v>
      </c>
      <c r="D5241" s="30" t="s">
        <v>47</v>
      </c>
      <c r="E5241" s="31" t="s">
        <v>197</v>
      </c>
      <c r="F5241" s="32" t="s">
        <v>57</v>
      </c>
      <c r="G5241" s="32" t="s">
        <v>50</v>
      </c>
      <c r="H5241" s="33">
        <v>90400</v>
      </c>
      <c r="I5241" s="34">
        <f>Table3[[#This Row],[Volume, kg.]]/1000</f>
        <v>90.4</v>
      </c>
      <c r="J5241" s="34">
        <v>0.26429999999999998</v>
      </c>
      <c r="K5241" s="34">
        <f t="shared" si="162"/>
        <v>23892.719999999998</v>
      </c>
      <c r="L5241" s="34">
        <v>2.0699999999999998</v>
      </c>
      <c r="M5241" s="34">
        <v>187236.5</v>
      </c>
      <c r="N5241" s="34">
        <f t="shared" si="163"/>
        <v>7.8320090805902387</v>
      </c>
    </row>
    <row r="5242" spans="1:14" x14ac:dyDescent="0.45">
      <c r="A5242" s="30">
        <v>2025</v>
      </c>
      <c r="B5242" s="30" t="s">
        <v>11</v>
      </c>
      <c r="C5242" s="30" t="s">
        <v>46</v>
      </c>
      <c r="D5242" s="30" t="s">
        <v>47</v>
      </c>
      <c r="E5242" s="31" t="s">
        <v>206</v>
      </c>
      <c r="F5242" s="32" t="s">
        <v>81</v>
      </c>
      <c r="G5242" s="32" t="s">
        <v>50</v>
      </c>
      <c r="H5242" s="33">
        <v>85810</v>
      </c>
      <c r="I5242" s="34">
        <f>Table3[[#This Row],[Volume, kg.]]/1000</f>
        <v>85.81</v>
      </c>
      <c r="J5242" s="34">
        <v>0.2364</v>
      </c>
      <c r="K5242" s="34">
        <f t="shared" si="162"/>
        <v>20285.484</v>
      </c>
      <c r="L5242" s="34">
        <v>1.89</v>
      </c>
      <c r="M5242" s="34">
        <v>162111.5</v>
      </c>
      <c r="N5242" s="34">
        <f t="shared" si="163"/>
        <v>7.9949238578680202</v>
      </c>
    </row>
    <row r="5243" spans="1:14" x14ac:dyDescent="0.45">
      <c r="A5243" s="30">
        <v>2025</v>
      </c>
      <c r="B5243" s="30" t="s">
        <v>11</v>
      </c>
      <c r="C5243" s="30" t="s">
        <v>46</v>
      </c>
      <c r="D5243" s="30" t="s">
        <v>47</v>
      </c>
      <c r="E5243" s="31" t="s">
        <v>350</v>
      </c>
      <c r="F5243" s="32" t="s">
        <v>49</v>
      </c>
      <c r="G5243" s="32" t="s">
        <v>50</v>
      </c>
      <c r="H5243" s="33">
        <v>8470</v>
      </c>
      <c r="I5243" s="34">
        <f>Table3[[#This Row],[Volume, kg.]]/1000</f>
        <v>8.4700000000000006</v>
      </c>
      <c r="J5243" s="34">
        <v>0.20749999999999999</v>
      </c>
      <c r="K5243" s="34">
        <f t="shared" si="162"/>
        <v>1757.5249999999999</v>
      </c>
      <c r="L5243" s="34">
        <v>1.75</v>
      </c>
      <c r="M5243" s="34">
        <v>14822.5</v>
      </c>
      <c r="N5243" s="34">
        <f t="shared" si="163"/>
        <v>8.4337349397590362</v>
      </c>
    </row>
    <row r="5244" spans="1:14" x14ac:dyDescent="0.45">
      <c r="A5244" s="30">
        <v>2025</v>
      </c>
      <c r="B5244" s="30" t="s">
        <v>11</v>
      </c>
      <c r="C5244" s="30" t="s">
        <v>46</v>
      </c>
      <c r="D5244" s="30" t="s">
        <v>47</v>
      </c>
      <c r="E5244" s="31" t="s">
        <v>395</v>
      </c>
      <c r="F5244" s="32" t="s">
        <v>81</v>
      </c>
      <c r="G5244" s="32" t="s">
        <v>50</v>
      </c>
      <c r="H5244" s="33">
        <v>47020</v>
      </c>
      <c r="I5244" s="34">
        <f>Table3[[#This Row],[Volume, kg.]]/1000</f>
        <v>47.02</v>
      </c>
      <c r="J5244" s="34">
        <v>0.23319999999999999</v>
      </c>
      <c r="K5244" s="34">
        <f t="shared" si="162"/>
        <v>10965.064</v>
      </c>
      <c r="L5244" s="34">
        <v>1.9</v>
      </c>
      <c r="M5244" s="34">
        <v>89219.5</v>
      </c>
      <c r="N5244" s="34">
        <f t="shared" si="163"/>
        <v>8.1475128644939971</v>
      </c>
    </row>
    <row r="5245" spans="1:14" x14ac:dyDescent="0.45">
      <c r="A5245" s="30">
        <v>2025</v>
      </c>
      <c r="B5245" s="30" t="s">
        <v>11</v>
      </c>
      <c r="C5245" s="30" t="s">
        <v>46</v>
      </c>
      <c r="D5245" s="30" t="s">
        <v>47</v>
      </c>
      <c r="E5245" s="31" t="s">
        <v>312</v>
      </c>
      <c r="F5245" s="32" t="s">
        <v>60</v>
      </c>
      <c r="G5245" s="32" t="s">
        <v>50</v>
      </c>
      <c r="H5245" s="33">
        <v>2780</v>
      </c>
      <c r="I5245" s="34">
        <f>Table3[[#This Row],[Volume, kg.]]/1000</f>
        <v>2.78</v>
      </c>
      <c r="J5245" s="34">
        <v>0.25700000000000001</v>
      </c>
      <c r="K5245" s="34">
        <f t="shared" si="162"/>
        <v>714.46</v>
      </c>
      <c r="L5245" s="34">
        <v>2.1</v>
      </c>
      <c r="M5245" s="34">
        <v>5838</v>
      </c>
      <c r="N5245" s="34">
        <f t="shared" si="163"/>
        <v>8.1712062256809332</v>
      </c>
    </row>
    <row r="5246" spans="1:14" x14ac:dyDescent="0.45">
      <c r="A5246" s="30">
        <v>2025</v>
      </c>
      <c r="B5246" s="30" t="s">
        <v>11</v>
      </c>
      <c r="C5246" s="30" t="s">
        <v>46</v>
      </c>
      <c r="D5246" s="30" t="s">
        <v>47</v>
      </c>
      <c r="E5246" s="31" t="s">
        <v>548</v>
      </c>
      <c r="F5246" s="32" t="s">
        <v>49</v>
      </c>
      <c r="G5246" s="32" t="s">
        <v>50</v>
      </c>
      <c r="H5246" s="33">
        <v>27380</v>
      </c>
      <c r="I5246" s="34">
        <f>Table3[[#This Row],[Volume, kg.]]/1000</f>
        <v>27.38</v>
      </c>
      <c r="J5246" s="34">
        <v>0.2412</v>
      </c>
      <c r="K5246" s="34">
        <f t="shared" si="162"/>
        <v>6604.0559999999996</v>
      </c>
      <c r="L5246" s="34">
        <v>1.9</v>
      </c>
      <c r="M5246" s="34">
        <v>52022</v>
      </c>
      <c r="N5246" s="34">
        <f t="shared" si="163"/>
        <v>7.8772802653399667</v>
      </c>
    </row>
    <row r="5247" spans="1:14" x14ac:dyDescent="0.45">
      <c r="A5247" s="30">
        <v>2025</v>
      </c>
      <c r="B5247" s="30" t="s">
        <v>11</v>
      </c>
      <c r="C5247" s="30" t="s">
        <v>46</v>
      </c>
      <c r="D5247" s="30" t="s">
        <v>47</v>
      </c>
      <c r="E5247" s="31" t="s">
        <v>342</v>
      </c>
      <c r="F5247" s="32" t="s">
        <v>81</v>
      </c>
      <c r="G5247" s="32" t="s">
        <v>50</v>
      </c>
      <c r="H5247" s="33">
        <v>55290</v>
      </c>
      <c r="I5247" s="34">
        <f>Table3[[#This Row],[Volume, kg.]]/1000</f>
        <v>55.29</v>
      </c>
      <c r="J5247" s="34">
        <v>0.27979999999999999</v>
      </c>
      <c r="K5247" s="34">
        <f t="shared" si="162"/>
        <v>15470.142</v>
      </c>
      <c r="L5247" s="34">
        <v>2.14</v>
      </c>
      <c r="M5247" s="34">
        <v>118161</v>
      </c>
      <c r="N5247" s="34">
        <f t="shared" si="163"/>
        <v>7.6483202287348115</v>
      </c>
    </row>
    <row r="5248" spans="1:14" x14ac:dyDescent="0.45">
      <c r="A5248" s="30">
        <v>2025</v>
      </c>
      <c r="B5248" s="30" t="s">
        <v>11</v>
      </c>
      <c r="C5248" s="30" t="s">
        <v>46</v>
      </c>
      <c r="D5248" s="30" t="s">
        <v>47</v>
      </c>
      <c r="E5248" s="31" t="s">
        <v>98</v>
      </c>
      <c r="F5248" s="32" t="s">
        <v>49</v>
      </c>
      <c r="G5248" s="32" t="s">
        <v>50</v>
      </c>
      <c r="H5248" s="33">
        <v>43600</v>
      </c>
      <c r="I5248" s="34">
        <f>Table3[[#This Row],[Volume, kg.]]/1000</f>
        <v>43.6</v>
      </c>
      <c r="J5248" s="34">
        <v>0.22889999999999999</v>
      </c>
      <c r="K5248" s="34">
        <f t="shared" si="162"/>
        <v>9980.0399999999991</v>
      </c>
      <c r="L5248" s="34">
        <v>1.93</v>
      </c>
      <c r="M5248" s="34">
        <v>84349</v>
      </c>
      <c r="N5248" s="34">
        <f t="shared" si="163"/>
        <v>8.4316295325469639</v>
      </c>
    </row>
    <row r="5249" spans="1:14" x14ac:dyDescent="0.45">
      <c r="A5249" s="30">
        <v>2025</v>
      </c>
      <c r="B5249" s="30" t="s">
        <v>11</v>
      </c>
      <c r="C5249" s="30" t="s">
        <v>46</v>
      </c>
      <c r="D5249" s="30" t="s">
        <v>47</v>
      </c>
      <c r="E5249" s="31" t="s">
        <v>63</v>
      </c>
      <c r="F5249" s="32" t="s">
        <v>64</v>
      </c>
      <c r="G5249" s="32" t="s">
        <v>50</v>
      </c>
      <c r="H5249" s="33">
        <v>21430</v>
      </c>
      <c r="I5249" s="34">
        <f>Table3[[#This Row],[Volume, kg.]]/1000</f>
        <v>21.43</v>
      </c>
      <c r="J5249" s="34">
        <v>0.23180000000000001</v>
      </c>
      <c r="K5249" s="34">
        <f t="shared" si="162"/>
        <v>4967.4740000000002</v>
      </c>
      <c r="L5249" s="34">
        <v>1.85</v>
      </c>
      <c r="M5249" s="34">
        <v>39626.5</v>
      </c>
      <c r="N5249" s="34">
        <f t="shared" si="163"/>
        <v>7.9810181190681622</v>
      </c>
    </row>
    <row r="5250" spans="1:14" x14ac:dyDescent="0.45">
      <c r="A5250" s="30">
        <v>2025</v>
      </c>
      <c r="B5250" s="30" t="s">
        <v>11</v>
      </c>
      <c r="C5250" s="30" t="s">
        <v>46</v>
      </c>
      <c r="D5250" s="30" t="s">
        <v>47</v>
      </c>
      <c r="E5250" s="31" t="s">
        <v>129</v>
      </c>
      <c r="F5250" s="32" t="s">
        <v>57</v>
      </c>
      <c r="G5250" s="32" t="s">
        <v>50</v>
      </c>
      <c r="H5250" s="33">
        <v>3030</v>
      </c>
      <c r="I5250" s="34">
        <f>Table3[[#This Row],[Volume, kg.]]/1000</f>
        <v>3.03</v>
      </c>
      <c r="J5250" s="34">
        <v>0.27050000000000002</v>
      </c>
      <c r="K5250" s="34">
        <f t="shared" si="162"/>
        <v>819.61500000000001</v>
      </c>
      <c r="L5250" s="34">
        <v>2.0499999999999998</v>
      </c>
      <c r="M5250" s="34">
        <v>6211.5</v>
      </c>
      <c r="N5250" s="34">
        <f t="shared" si="163"/>
        <v>7.578558225508317</v>
      </c>
    </row>
    <row r="5251" spans="1:14" x14ac:dyDescent="0.45">
      <c r="A5251" s="30">
        <v>2025</v>
      </c>
      <c r="B5251" s="30" t="s">
        <v>11</v>
      </c>
      <c r="C5251" s="30" t="s">
        <v>46</v>
      </c>
      <c r="D5251" s="30" t="s">
        <v>47</v>
      </c>
      <c r="E5251" s="31" t="s">
        <v>80</v>
      </c>
      <c r="F5251" s="32" t="s">
        <v>81</v>
      </c>
      <c r="G5251" s="32" t="s">
        <v>50</v>
      </c>
      <c r="H5251" s="33">
        <v>98590</v>
      </c>
      <c r="I5251" s="34">
        <f>Table3[[#This Row],[Volume, kg.]]/1000</f>
        <v>98.59</v>
      </c>
      <c r="J5251" s="34">
        <v>0.24179999999999999</v>
      </c>
      <c r="K5251" s="34">
        <f t="shared" ref="K5251:K5314" si="164">H5251*J5251</f>
        <v>23839.061999999998</v>
      </c>
      <c r="L5251" s="34">
        <v>1.97</v>
      </c>
      <c r="M5251" s="34">
        <v>193942.5</v>
      </c>
      <c r="N5251" s="34">
        <f t="shared" si="163"/>
        <v>8.1472291149710507</v>
      </c>
    </row>
    <row r="5252" spans="1:14" x14ac:dyDescent="0.45">
      <c r="A5252" s="30">
        <v>2025</v>
      </c>
      <c r="B5252" s="30" t="s">
        <v>11</v>
      </c>
      <c r="C5252" s="30" t="s">
        <v>46</v>
      </c>
      <c r="D5252" s="30" t="s">
        <v>47</v>
      </c>
      <c r="E5252" s="31" t="s">
        <v>398</v>
      </c>
      <c r="F5252" s="32" t="s">
        <v>64</v>
      </c>
      <c r="G5252" s="32" t="s">
        <v>50</v>
      </c>
      <c r="H5252" s="33">
        <v>12880</v>
      </c>
      <c r="I5252" s="34">
        <f>Table3[[#This Row],[Volume, kg.]]/1000</f>
        <v>12.88</v>
      </c>
      <c r="J5252" s="34">
        <v>0.21249999999999999</v>
      </c>
      <c r="K5252" s="34">
        <f t="shared" si="164"/>
        <v>2737</v>
      </c>
      <c r="L5252" s="34">
        <v>1.85</v>
      </c>
      <c r="M5252" s="34">
        <v>23828</v>
      </c>
      <c r="N5252" s="34">
        <f t="shared" ref="N5252:N5315" si="165">L5252/J5252</f>
        <v>8.7058823529411775</v>
      </c>
    </row>
    <row r="5253" spans="1:14" x14ac:dyDescent="0.45">
      <c r="A5253" s="30">
        <v>2025</v>
      </c>
      <c r="B5253" s="30" t="s">
        <v>11</v>
      </c>
      <c r="C5253" s="30" t="s">
        <v>46</v>
      </c>
      <c r="D5253" s="30" t="s">
        <v>47</v>
      </c>
      <c r="E5253" s="31" t="s">
        <v>267</v>
      </c>
      <c r="F5253" s="32" t="s">
        <v>57</v>
      </c>
      <c r="G5253" s="32" t="s">
        <v>50</v>
      </c>
      <c r="H5253" s="33">
        <v>8830</v>
      </c>
      <c r="I5253" s="34">
        <f>Table3[[#This Row],[Volume, kg.]]/1000</f>
        <v>8.83</v>
      </c>
      <c r="J5253" s="34">
        <v>0.22089999999999999</v>
      </c>
      <c r="K5253" s="34">
        <f t="shared" si="164"/>
        <v>1950.5469999999998</v>
      </c>
      <c r="L5253" s="34">
        <v>1.86</v>
      </c>
      <c r="M5253" s="34">
        <v>16428.5</v>
      </c>
      <c r="N5253" s="34">
        <f t="shared" si="165"/>
        <v>8.4200995925758271</v>
      </c>
    </row>
    <row r="5254" spans="1:14" x14ac:dyDescent="0.45">
      <c r="A5254" s="30">
        <v>2025</v>
      </c>
      <c r="B5254" s="30" t="s">
        <v>11</v>
      </c>
      <c r="C5254" s="30" t="s">
        <v>46</v>
      </c>
      <c r="D5254" s="30" t="s">
        <v>102</v>
      </c>
      <c r="E5254" s="31" t="s">
        <v>103</v>
      </c>
      <c r="F5254" s="32" t="s">
        <v>104</v>
      </c>
      <c r="G5254" s="32" t="s">
        <v>105</v>
      </c>
      <c r="H5254" s="33">
        <v>592930</v>
      </c>
      <c r="I5254" s="34">
        <f>Table3[[#This Row],[Volume, kg.]]/1000</f>
        <v>592.92999999999995</v>
      </c>
      <c r="J5254" s="34">
        <v>0.22920000000000001</v>
      </c>
      <c r="K5254" s="34">
        <f t="shared" si="164"/>
        <v>135899.55600000001</v>
      </c>
      <c r="L5254" s="34">
        <v>1.86</v>
      </c>
      <c r="M5254" s="34">
        <v>1102273.5</v>
      </c>
      <c r="N5254" s="34">
        <f t="shared" si="165"/>
        <v>8.1151832460732987</v>
      </c>
    </row>
    <row r="5255" spans="1:14" x14ac:dyDescent="0.45">
      <c r="A5255" s="30">
        <v>2025</v>
      </c>
      <c r="B5255" s="30" t="s">
        <v>11</v>
      </c>
      <c r="C5255" s="30" t="s">
        <v>46</v>
      </c>
      <c r="D5255" s="30" t="s">
        <v>47</v>
      </c>
      <c r="E5255" s="31" t="s">
        <v>203</v>
      </c>
      <c r="F5255" s="32" t="s">
        <v>57</v>
      </c>
      <c r="G5255" s="32" t="s">
        <v>50</v>
      </c>
      <c r="H5255" s="33">
        <v>47790</v>
      </c>
      <c r="I5255" s="34">
        <f>Table3[[#This Row],[Volume, kg.]]/1000</f>
        <v>47.79</v>
      </c>
      <c r="J5255" s="34">
        <v>0.23050000000000001</v>
      </c>
      <c r="K5255" s="34">
        <f t="shared" si="164"/>
        <v>11015.595000000001</v>
      </c>
      <c r="L5255" s="34">
        <v>1.89</v>
      </c>
      <c r="M5255" s="34">
        <v>90189</v>
      </c>
      <c r="N5255" s="34">
        <f t="shared" si="165"/>
        <v>8.1995661605206074</v>
      </c>
    </row>
    <row r="5256" spans="1:14" x14ac:dyDescent="0.45">
      <c r="A5256" s="30">
        <v>2025</v>
      </c>
      <c r="B5256" s="30" t="s">
        <v>11</v>
      </c>
      <c r="C5256" s="30" t="s">
        <v>46</v>
      </c>
      <c r="D5256" s="30" t="s">
        <v>47</v>
      </c>
      <c r="E5256" s="31" t="s">
        <v>261</v>
      </c>
      <c r="F5256" s="32" t="s">
        <v>81</v>
      </c>
      <c r="G5256" s="32" t="s">
        <v>50</v>
      </c>
      <c r="H5256" s="33">
        <v>30000</v>
      </c>
      <c r="I5256" s="34">
        <f>Table3[[#This Row],[Volume, kg.]]/1000</f>
        <v>30</v>
      </c>
      <c r="J5256" s="34">
        <v>0.23699999999999999</v>
      </c>
      <c r="K5256" s="34">
        <f t="shared" si="164"/>
        <v>7110</v>
      </c>
      <c r="L5256" s="34">
        <v>1.9</v>
      </c>
      <c r="M5256" s="34">
        <v>57000</v>
      </c>
      <c r="N5256" s="34">
        <f t="shared" si="165"/>
        <v>8.0168776371308024</v>
      </c>
    </row>
    <row r="5257" spans="1:14" x14ac:dyDescent="0.45">
      <c r="A5257" s="30">
        <v>2025</v>
      </c>
      <c r="B5257" s="30" t="s">
        <v>11</v>
      </c>
      <c r="C5257" s="30" t="s">
        <v>46</v>
      </c>
      <c r="D5257" s="30" t="s">
        <v>47</v>
      </c>
      <c r="E5257" s="31" t="s">
        <v>137</v>
      </c>
      <c r="F5257" s="32" t="s">
        <v>49</v>
      </c>
      <c r="G5257" s="32" t="s">
        <v>50</v>
      </c>
      <c r="H5257" s="33">
        <v>51780</v>
      </c>
      <c r="I5257" s="34">
        <f>Table3[[#This Row],[Volume, kg.]]/1000</f>
        <v>51.78</v>
      </c>
      <c r="J5257" s="34">
        <v>0.26140000000000002</v>
      </c>
      <c r="K5257" s="34">
        <f t="shared" si="164"/>
        <v>13535.292000000001</v>
      </c>
      <c r="L5257" s="34">
        <v>2.04</v>
      </c>
      <c r="M5257" s="34">
        <v>105404.5</v>
      </c>
      <c r="N5257" s="34">
        <f t="shared" si="165"/>
        <v>7.8041315990818667</v>
      </c>
    </row>
    <row r="5258" spans="1:14" x14ac:dyDescent="0.45">
      <c r="A5258" s="30">
        <v>2025</v>
      </c>
      <c r="B5258" s="30" t="s">
        <v>11</v>
      </c>
      <c r="C5258" s="30" t="s">
        <v>46</v>
      </c>
      <c r="D5258" s="30" t="s">
        <v>47</v>
      </c>
      <c r="E5258" s="31" t="s">
        <v>274</v>
      </c>
      <c r="F5258" s="32" t="s">
        <v>49</v>
      </c>
      <c r="G5258" s="32" t="s">
        <v>50</v>
      </c>
      <c r="H5258" s="33">
        <v>6970</v>
      </c>
      <c r="I5258" s="34">
        <f>Table3[[#This Row],[Volume, kg.]]/1000</f>
        <v>6.97</v>
      </c>
      <c r="J5258" s="34">
        <v>0.21760000000000002</v>
      </c>
      <c r="K5258" s="34">
        <f t="shared" si="164"/>
        <v>1516.672</v>
      </c>
      <c r="L5258" s="34">
        <v>1.8</v>
      </c>
      <c r="M5258" s="34">
        <v>12541.5</v>
      </c>
      <c r="N5258" s="34">
        <f t="shared" si="165"/>
        <v>8.2720588235294112</v>
      </c>
    </row>
    <row r="5259" spans="1:14" x14ac:dyDescent="0.45">
      <c r="A5259" s="30">
        <v>2025</v>
      </c>
      <c r="B5259" s="30" t="s">
        <v>11</v>
      </c>
      <c r="C5259" s="30" t="s">
        <v>46</v>
      </c>
      <c r="D5259" s="30" t="s">
        <v>102</v>
      </c>
      <c r="E5259" s="31" t="s">
        <v>691</v>
      </c>
      <c r="F5259" s="32" t="s">
        <v>657</v>
      </c>
      <c r="G5259" s="32" t="s">
        <v>119</v>
      </c>
      <c r="H5259" s="33">
        <v>503720</v>
      </c>
      <c r="I5259" s="34">
        <f>Table3[[#This Row],[Volume, kg.]]/1000</f>
        <v>503.72</v>
      </c>
      <c r="J5259" s="34">
        <v>0.23600000000000002</v>
      </c>
      <c r="K5259" s="34">
        <f t="shared" si="164"/>
        <v>118877.92000000001</v>
      </c>
      <c r="L5259" s="34">
        <v>1.91</v>
      </c>
      <c r="M5259" s="34">
        <v>964033</v>
      </c>
      <c r="N5259" s="34">
        <f t="shared" si="165"/>
        <v>8.0932203389830502</v>
      </c>
    </row>
    <row r="5260" spans="1:14" x14ac:dyDescent="0.45">
      <c r="A5260" s="30">
        <v>2025</v>
      </c>
      <c r="B5260" s="30" t="s">
        <v>11</v>
      </c>
      <c r="C5260" s="30" t="s">
        <v>46</v>
      </c>
      <c r="D5260" s="30" t="s">
        <v>102</v>
      </c>
      <c r="E5260" s="31" t="s">
        <v>126</v>
      </c>
      <c r="F5260" s="32" t="s">
        <v>127</v>
      </c>
      <c r="G5260" s="32" t="s">
        <v>128</v>
      </c>
      <c r="H5260" s="33">
        <v>1485290</v>
      </c>
      <c r="I5260" s="34">
        <f>Table3[[#This Row],[Volume, kg.]]/1000</f>
        <v>1485.29</v>
      </c>
      <c r="J5260" s="34">
        <v>0.2298</v>
      </c>
      <c r="K5260" s="34">
        <f t="shared" si="164"/>
        <v>341319.64199999999</v>
      </c>
      <c r="L5260" s="34">
        <v>1.89</v>
      </c>
      <c r="M5260" s="34">
        <v>2799913.5</v>
      </c>
      <c r="N5260" s="34">
        <f t="shared" si="165"/>
        <v>8.2245430809399469</v>
      </c>
    </row>
    <row r="5261" spans="1:14" x14ac:dyDescent="0.45">
      <c r="A5261" s="30">
        <v>2025</v>
      </c>
      <c r="B5261" s="30" t="s">
        <v>11</v>
      </c>
      <c r="C5261" s="30" t="s">
        <v>46</v>
      </c>
      <c r="D5261" s="30" t="s">
        <v>47</v>
      </c>
      <c r="E5261" s="31" t="s">
        <v>526</v>
      </c>
      <c r="F5261" s="32" t="s">
        <v>49</v>
      </c>
      <c r="G5261" s="32" t="s">
        <v>50</v>
      </c>
      <c r="H5261" s="33">
        <v>40630</v>
      </c>
      <c r="I5261" s="34">
        <f>Table3[[#This Row],[Volume, kg.]]/1000</f>
        <v>40.630000000000003</v>
      </c>
      <c r="J5261" s="34">
        <v>0.27929999999999999</v>
      </c>
      <c r="K5261" s="34">
        <f t="shared" si="164"/>
        <v>11347.958999999999</v>
      </c>
      <c r="L5261" s="34">
        <v>2.14</v>
      </c>
      <c r="M5261" s="34">
        <v>86949</v>
      </c>
      <c r="N5261" s="34">
        <f t="shared" si="165"/>
        <v>7.6620121732903694</v>
      </c>
    </row>
    <row r="5262" spans="1:14" x14ac:dyDescent="0.45">
      <c r="A5262" s="30">
        <v>2025</v>
      </c>
      <c r="B5262" s="30" t="s">
        <v>11</v>
      </c>
      <c r="C5262" s="30" t="s">
        <v>46</v>
      </c>
      <c r="D5262" s="30" t="s">
        <v>47</v>
      </c>
      <c r="E5262" s="31" t="s">
        <v>668</v>
      </c>
      <c r="F5262" s="32" t="s">
        <v>60</v>
      </c>
      <c r="G5262" s="32" t="s">
        <v>50</v>
      </c>
      <c r="H5262" s="33">
        <v>8080</v>
      </c>
      <c r="I5262" s="34">
        <f>Table3[[#This Row],[Volume, kg.]]/1000</f>
        <v>8.08</v>
      </c>
      <c r="J5262" s="34">
        <v>0.27050000000000002</v>
      </c>
      <c r="K5262" s="34">
        <f t="shared" si="164"/>
        <v>2185.6400000000003</v>
      </c>
      <c r="L5262" s="34">
        <v>2.15</v>
      </c>
      <c r="M5262" s="34">
        <v>17372</v>
      </c>
      <c r="N5262" s="34">
        <f t="shared" si="165"/>
        <v>7.948243992606284</v>
      </c>
    </row>
    <row r="5263" spans="1:14" x14ac:dyDescent="0.45">
      <c r="A5263" s="30">
        <v>2025</v>
      </c>
      <c r="B5263" s="30" t="s">
        <v>11</v>
      </c>
      <c r="C5263" s="30" t="s">
        <v>46</v>
      </c>
      <c r="D5263" s="30" t="s">
        <v>47</v>
      </c>
      <c r="E5263" s="31" t="s">
        <v>335</v>
      </c>
      <c r="F5263" s="32" t="s">
        <v>54</v>
      </c>
      <c r="G5263" s="32" t="s">
        <v>50</v>
      </c>
      <c r="H5263" s="33">
        <v>170000</v>
      </c>
      <c r="I5263" s="34">
        <f>Table3[[#This Row],[Volume, kg.]]/1000</f>
        <v>170</v>
      </c>
      <c r="J5263" s="34">
        <v>0.27440000000000003</v>
      </c>
      <c r="K5263" s="34">
        <f t="shared" si="164"/>
        <v>46648.000000000007</v>
      </c>
      <c r="L5263" s="34">
        <v>2.1</v>
      </c>
      <c r="M5263" s="34">
        <v>356198</v>
      </c>
      <c r="N5263" s="34">
        <f t="shared" si="165"/>
        <v>7.6530612244897958</v>
      </c>
    </row>
    <row r="5264" spans="1:14" x14ac:dyDescent="0.45">
      <c r="A5264" s="30">
        <v>2025</v>
      </c>
      <c r="B5264" s="30" t="s">
        <v>11</v>
      </c>
      <c r="C5264" s="30" t="s">
        <v>46</v>
      </c>
      <c r="D5264" s="30" t="s">
        <v>47</v>
      </c>
      <c r="E5264" s="31" t="s">
        <v>476</v>
      </c>
      <c r="F5264" s="32" t="s">
        <v>49</v>
      </c>
      <c r="G5264" s="32" t="s">
        <v>50</v>
      </c>
      <c r="H5264" s="33">
        <v>15740</v>
      </c>
      <c r="I5264" s="34">
        <f>Table3[[#This Row],[Volume, kg.]]/1000</f>
        <v>15.74</v>
      </c>
      <c r="J5264" s="34">
        <v>0.23379999999999998</v>
      </c>
      <c r="K5264" s="34">
        <f t="shared" si="164"/>
        <v>3680.0119999999997</v>
      </c>
      <c r="L5264" s="34">
        <v>1.88</v>
      </c>
      <c r="M5264" s="34">
        <v>29516.5</v>
      </c>
      <c r="N5264" s="34">
        <f t="shared" si="165"/>
        <v>8.0410607356715147</v>
      </c>
    </row>
    <row r="5265" spans="1:14" x14ac:dyDescent="0.45">
      <c r="A5265" s="30">
        <v>2025</v>
      </c>
      <c r="B5265" s="30" t="s">
        <v>11</v>
      </c>
      <c r="C5265" s="30" t="s">
        <v>46</v>
      </c>
      <c r="D5265" s="30" t="s">
        <v>47</v>
      </c>
      <c r="E5265" s="31" t="s">
        <v>507</v>
      </c>
      <c r="F5265" s="32" t="s">
        <v>60</v>
      </c>
      <c r="G5265" s="32" t="s">
        <v>50</v>
      </c>
      <c r="H5265" s="33">
        <v>7150</v>
      </c>
      <c r="I5265" s="34">
        <f>Table3[[#This Row],[Volume, kg.]]/1000</f>
        <v>7.15</v>
      </c>
      <c r="J5265" s="34">
        <v>0.2445</v>
      </c>
      <c r="K5265" s="34">
        <f t="shared" si="164"/>
        <v>1748.175</v>
      </c>
      <c r="L5265" s="34">
        <v>2</v>
      </c>
      <c r="M5265" s="34">
        <v>14300</v>
      </c>
      <c r="N5265" s="34">
        <f t="shared" si="165"/>
        <v>8.1799591002044991</v>
      </c>
    </row>
    <row r="5266" spans="1:14" x14ac:dyDescent="0.45">
      <c r="A5266" s="30">
        <v>2025</v>
      </c>
      <c r="B5266" s="30" t="s">
        <v>11</v>
      </c>
      <c r="C5266" s="30" t="s">
        <v>46</v>
      </c>
      <c r="D5266" s="30" t="s">
        <v>47</v>
      </c>
      <c r="E5266" s="31" t="s">
        <v>221</v>
      </c>
      <c r="F5266" s="32" t="s">
        <v>64</v>
      </c>
      <c r="G5266" s="32" t="s">
        <v>50</v>
      </c>
      <c r="H5266" s="33">
        <v>48550</v>
      </c>
      <c r="I5266" s="34">
        <f>Table3[[#This Row],[Volume, kg.]]/1000</f>
        <v>48.55</v>
      </c>
      <c r="J5266" s="34">
        <v>0.23139999999999999</v>
      </c>
      <c r="K5266" s="34">
        <f t="shared" si="164"/>
        <v>11234.47</v>
      </c>
      <c r="L5266" s="34">
        <v>1.84</v>
      </c>
      <c r="M5266" s="34">
        <v>89268</v>
      </c>
      <c r="N5266" s="34">
        <f t="shared" si="165"/>
        <v>7.9515989628349182</v>
      </c>
    </row>
    <row r="5267" spans="1:14" x14ac:dyDescent="0.45">
      <c r="A5267" s="30">
        <v>2025</v>
      </c>
      <c r="B5267" s="30" t="s">
        <v>11</v>
      </c>
      <c r="C5267" s="30" t="s">
        <v>46</v>
      </c>
      <c r="D5267" s="30" t="s">
        <v>47</v>
      </c>
      <c r="E5267" s="31" t="s">
        <v>216</v>
      </c>
      <c r="F5267" s="32" t="s">
        <v>64</v>
      </c>
      <c r="G5267" s="32" t="s">
        <v>50</v>
      </c>
      <c r="H5267" s="33">
        <v>57910</v>
      </c>
      <c r="I5267" s="34">
        <f>Table3[[#This Row],[Volume, kg.]]/1000</f>
        <v>57.91</v>
      </c>
      <c r="J5267" s="34">
        <v>0.22289999999999999</v>
      </c>
      <c r="K5267" s="34">
        <f t="shared" si="164"/>
        <v>12908.138999999999</v>
      </c>
      <c r="L5267" s="34">
        <v>1.81</v>
      </c>
      <c r="M5267" s="34">
        <v>104908</v>
      </c>
      <c r="N5267" s="34">
        <f t="shared" si="165"/>
        <v>8.1202332884701676</v>
      </c>
    </row>
    <row r="5268" spans="1:14" x14ac:dyDescent="0.45">
      <c r="A5268" s="30">
        <v>2025</v>
      </c>
      <c r="B5268" s="30" t="s">
        <v>11</v>
      </c>
      <c r="C5268" s="30" t="s">
        <v>46</v>
      </c>
      <c r="D5268" s="30" t="s">
        <v>47</v>
      </c>
      <c r="E5268" s="31" t="s">
        <v>669</v>
      </c>
      <c r="F5268" s="32" t="s">
        <v>81</v>
      </c>
      <c r="G5268" s="32" t="s">
        <v>50</v>
      </c>
      <c r="H5268" s="33">
        <v>9860</v>
      </c>
      <c r="I5268" s="34">
        <f>Table3[[#This Row],[Volume, kg.]]/1000</f>
        <v>9.86</v>
      </c>
      <c r="J5268" s="34">
        <v>0.28499999999999998</v>
      </c>
      <c r="K5268" s="34">
        <f t="shared" si="164"/>
        <v>2810.1</v>
      </c>
      <c r="L5268" s="34">
        <v>2.2000000000000002</v>
      </c>
      <c r="M5268" s="34">
        <v>21692</v>
      </c>
      <c r="N5268" s="34">
        <f t="shared" si="165"/>
        <v>7.719298245614036</v>
      </c>
    </row>
    <row r="5269" spans="1:14" x14ac:dyDescent="0.45">
      <c r="A5269" s="30">
        <v>2025</v>
      </c>
      <c r="B5269" s="30" t="s">
        <v>11</v>
      </c>
      <c r="C5269" s="30" t="s">
        <v>46</v>
      </c>
      <c r="D5269" s="30" t="s">
        <v>47</v>
      </c>
      <c r="E5269" s="31" t="s">
        <v>280</v>
      </c>
      <c r="F5269" s="32" t="s">
        <v>281</v>
      </c>
      <c r="G5269" s="32" t="s">
        <v>50</v>
      </c>
      <c r="H5269" s="33">
        <v>149600</v>
      </c>
      <c r="I5269" s="34">
        <f>Table3[[#This Row],[Volume, kg.]]/1000</f>
        <v>149.6</v>
      </c>
      <c r="J5269" s="34">
        <v>0.24859999999999999</v>
      </c>
      <c r="K5269" s="34">
        <f t="shared" si="164"/>
        <v>37190.559999999998</v>
      </c>
      <c r="L5269" s="34">
        <v>1.99</v>
      </c>
      <c r="M5269" s="34">
        <v>298158</v>
      </c>
      <c r="N5269" s="34">
        <f t="shared" si="165"/>
        <v>8.0048270313757044</v>
      </c>
    </row>
    <row r="5270" spans="1:14" x14ac:dyDescent="0.45">
      <c r="A5270" s="30">
        <v>2025</v>
      </c>
      <c r="B5270" s="30" t="s">
        <v>11</v>
      </c>
      <c r="C5270" s="30" t="s">
        <v>46</v>
      </c>
      <c r="D5270" s="30" t="s">
        <v>47</v>
      </c>
      <c r="E5270" s="31" t="s">
        <v>602</v>
      </c>
      <c r="F5270" s="32" t="s">
        <v>49</v>
      </c>
      <c r="G5270" s="32" t="s">
        <v>50</v>
      </c>
      <c r="H5270" s="33">
        <v>13330</v>
      </c>
      <c r="I5270" s="34">
        <f>Table3[[#This Row],[Volume, kg.]]/1000</f>
        <v>13.33</v>
      </c>
      <c r="J5270" s="34">
        <v>0.19899999999999998</v>
      </c>
      <c r="K5270" s="34">
        <f t="shared" si="164"/>
        <v>2652.6699999999996</v>
      </c>
      <c r="L5270" s="34">
        <v>1.7</v>
      </c>
      <c r="M5270" s="34">
        <v>22661</v>
      </c>
      <c r="N5270" s="34">
        <f t="shared" si="165"/>
        <v>8.542713567839197</v>
      </c>
    </row>
    <row r="5271" spans="1:14" x14ac:dyDescent="0.45">
      <c r="A5271" s="30">
        <v>2025</v>
      </c>
      <c r="B5271" s="30" t="s">
        <v>11</v>
      </c>
      <c r="C5271" s="30" t="s">
        <v>46</v>
      </c>
      <c r="D5271" s="30" t="s">
        <v>47</v>
      </c>
      <c r="E5271" s="31" t="s">
        <v>259</v>
      </c>
      <c r="F5271" s="32" t="s">
        <v>54</v>
      </c>
      <c r="G5271" s="32" t="s">
        <v>50</v>
      </c>
      <c r="H5271" s="33">
        <v>12260</v>
      </c>
      <c r="I5271" s="34">
        <f>Table3[[#This Row],[Volume, kg.]]/1000</f>
        <v>12.26</v>
      </c>
      <c r="J5271" s="34">
        <v>0.2525</v>
      </c>
      <c r="K5271" s="34">
        <f t="shared" si="164"/>
        <v>3095.65</v>
      </c>
      <c r="L5271" s="34">
        <v>1.9</v>
      </c>
      <c r="M5271" s="34">
        <v>23294</v>
      </c>
      <c r="N5271" s="34">
        <f t="shared" si="165"/>
        <v>7.5247524752475243</v>
      </c>
    </row>
    <row r="5272" spans="1:14" x14ac:dyDescent="0.45">
      <c r="A5272" s="30">
        <v>2025</v>
      </c>
      <c r="B5272" s="30" t="s">
        <v>11</v>
      </c>
      <c r="C5272" s="30" t="s">
        <v>46</v>
      </c>
      <c r="D5272" s="30" t="s">
        <v>47</v>
      </c>
      <c r="E5272" s="31" t="s">
        <v>549</v>
      </c>
      <c r="F5272" s="32" t="s">
        <v>49</v>
      </c>
      <c r="G5272" s="32" t="s">
        <v>50</v>
      </c>
      <c r="H5272" s="33">
        <v>54740</v>
      </c>
      <c r="I5272" s="34">
        <f>Table3[[#This Row],[Volume, kg.]]/1000</f>
        <v>54.74</v>
      </c>
      <c r="J5272" s="34">
        <v>0.21100000000000002</v>
      </c>
      <c r="K5272" s="34">
        <f t="shared" si="164"/>
        <v>11550.140000000001</v>
      </c>
      <c r="L5272" s="34">
        <v>1.78</v>
      </c>
      <c r="M5272" s="34">
        <v>97661</v>
      </c>
      <c r="N5272" s="34">
        <f t="shared" si="165"/>
        <v>8.4360189573459703</v>
      </c>
    </row>
    <row r="5273" spans="1:14" x14ac:dyDescent="0.45">
      <c r="A5273" s="30">
        <v>2025</v>
      </c>
      <c r="B5273" s="30" t="s">
        <v>11</v>
      </c>
      <c r="C5273" s="30" t="s">
        <v>46</v>
      </c>
      <c r="D5273" s="30" t="s">
        <v>47</v>
      </c>
      <c r="E5273" s="31" t="s">
        <v>477</v>
      </c>
      <c r="F5273" s="32" t="s">
        <v>54</v>
      </c>
      <c r="G5273" s="32" t="s">
        <v>50</v>
      </c>
      <c r="H5273" s="33">
        <v>10590</v>
      </c>
      <c r="I5273" s="34">
        <f>Table3[[#This Row],[Volume, kg.]]/1000</f>
        <v>10.59</v>
      </c>
      <c r="J5273" s="34">
        <v>0.2515</v>
      </c>
      <c r="K5273" s="34">
        <f t="shared" si="164"/>
        <v>2663.3850000000002</v>
      </c>
      <c r="L5273" s="34">
        <v>1.95</v>
      </c>
      <c r="M5273" s="34">
        <v>20650.5</v>
      </c>
      <c r="N5273" s="34">
        <f t="shared" si="165"/>
        <v>7.7534791252485089</v>
      </c>
    </row>
    <row r="5274" spans="1:14" x14ac:dyDescent="0.45">
      <c r="A5274" s="30">
        <v>2025</v>
      </c>
      <c r="B5274" s="30" t="s">
        <v>11</v>
      </c>
      <c r="C5274" s="30" t="s">
        <v>46</v>
      </c>
      <c r="D5274" s="30" t="s">
        <v>47</v>
      </c>
      <c r="E5274" s="31" t="s">
        <v>204</v>
      </c>
      <c r="F5274" s="32" t="s">
        <v>49</v>
      </c>
      <c r="G5274" s="32" t="s">
        <v>50</v>
      </c>
      <c r="H5274" s="33">
        <v>81140</v>
      </c>
      <c r="I5274" s="34">
        <f>Table3[[#This Row],[Volume, kg.]]/1000</f>
        <v>81.14</v>
      </c>
      <c r="J5274" s="34">
        <v>0.23699999999999999</v>
      </c>
      <c r="K5274" s="34">
        <f t="shared" si="164"/>
        <v>19230.18</v>
      </c>
      <c r="L5274" s="34">
        <v>1.89</v>
      </c>
      <c r="M5274" s="34">
        <v>153193.5</v>
      </c>
      <c r="N5274" s="34">
        <f t="shared" si="165"/>
        <v>7.9746835443037973</v>
      </c>
    </row>
    <row r="5275" spans="1:14" x14ac:dyDescent="0.45">
      <c r="A5275" s="30">
        <v>2025</v>
      </c>
      <c r="B5275" s="30" t="s">
        <v>11</v>
      </c>
      <c r="C5275" s="30" t="s">
        <v>46</v>
      </c>
      <c r="D5275" s="30" t="s">
        <v>47</v>
      </c>
      <c r="E5275" s="31" t="s">
        <v>403</v>
      </c>
      <c r="F5275" s="32" t="s">
        <v>60</v>
      </c>
      <c r="G5275" s="32" t="s">
        <v>50</v>
      </c>
      <c r="H5275" s="33">
        <v>18970</v>
      </c>
      <c r="I5275" s="34">
        <f>Table3[[#This Row],[Volume, kg.]]/1000</f>
        <v>18.97</v>
      </c>
      <c r="J5275" s="34">
        <v>0.2364</v>
      </c>
      <c r="K5275" s="34">
        <f t="shared" si="164"/>
        <v>4484.5079999999998</v>
      </c>
      <c r="L5275" s="34">
        <v>1.88</v>
      </c>
      <c r="M5275" s="34">
        <v>35652</v>
      </c>
      <c r="N5275" s="34">
        <f t="shared" si="165"/>
        <v>7.9526226734348562</v>
      </c>
    </row>
    <row r="5276" spans="1:14" x14ac:dyDescent="0.45">
      <c r="A5276" s="30">
        <v>2025</v>
      </c>
      <c r="B5276" s="30" t="s">
        <v>11</v>
      </c>
      <c r="C5276" s="30" t="s">
        <v>46</v>
      </c>
      <c r="D5276" s="30" t="s">
        <v>102</v>
      </c>
      <c r="E5276" s="31" t="s">
        <v>157</v>
      </c>
      <c r="F5276" s="32" t="s">
        <v>127</v>
      </c>
      <c r="G5276" s="32" t="s">
        <v>128</v>
      </c>
      <c r="H5276" s="33">
        <v>87810</v>
      </c>
      <c r="I5276" s="34">
        <f>Table3[[#This Row],[Volume, kg.]]/1000</f>
        <v>87.81</v>
      </c>
      <c r="J5276" s="34">
        <v>0.2273</v>
      </c>
      <c r="K5276" s="34">
        <f t="shared" si="164"/>
        <v>19959.213</v>
      </c>
      <c r="L5276" s="34">
        <v>1.9</v>
      </c>
      <c r="M5276" s="34">
        <v>166815</v>
      </c>
      <c r="N5276" s="34">
        <f t="shared" si="165"/>
        <v>8.358996920369556</v>
      </c>
    </row>
    <row r="5277" spans="1:14" x14ac:dyDescent="0.45">
      <c r="A5277" s="30">
        <v>2025</v>
      </c>
      <c r="B5277" s="30" t="s">
        <v>11</v>
      </c>
      <c r="C5277" s="30" t="s">
        <v>46</v>
      </c>
      <c r="D5277" s="30" t="s">
        <v>47</v>
      </c>
      <c r="E5277" s="31" t="s">
        <v>75</v>
      </c>
      <c r="F5277" s="32" t="s">
        <v>49</v>
      </c>
      <c r="G5277" s="32" t="s">
        <v>50</v>
      </c>
      <c r="H5277" s="33">
        <v>43370</v>
      </c>
      <c r="I5277" s="34">
        <f>Table3[[#This Row],[Volume, kg.]]/1000</f>
        <v>43.37</v>
      </c>
      <c r="J5277" s="34">
        <v>0.23379999999999998</v>
      </c>
      <c r="K5277" s="34">
        <f t="shared" si="164"/>
        <v>10139.905999999999</v>
      </c>
      <c r="L5277" s="34">
        <v>1.92</v>
      </c>
      <c r="M5277" s="34">
        <v>83200.5</v>
      </c>
      <c r="N5277" s="34">
        <f t="shared" si="165"/>
        <v>8.2121471343028229</v>
      </c>
    </row>
    <row r="5278" spans="1:14" x14ac:dyDescent="0.45">
      <c r="A5278" s="30">
        <v>2025</v>
      </c>
      <c r="B5278" s="30" t="s">
        <v>11</v>
      </c>
      <c r="C5278" s="30" t="s">
        <v>46</v>
      </c>
      <c r="D5278" s="30" t="s">
        <v>47</v>
      </c>
      <c r="E5278" s="31" t="s">
        <v>97</v>
      </c>
      <c r="F5278" s="32" t="s">
        <v>49</v>
      </c>
      <c r="G5278" s="32" t="s">
        <v>50</v>
      </c>
      <c r="H5278" s="33">
        <v>8070</v>
      </c>
      <c r="I5278" s="34">
        <f>Table3[[#This Row],[Volume, kg.]]/1000</f>
        <v>8.07</v>
      </c>
      <c r="J5278" s="34">
        <v>0.26</v>
      </c>
      <c r="K5278" s="34">
        <f t="shared" si="164"/>
        <v>2098.2000000000003</v>
      </c>
      <c r="L5278" s="34">
        <v>2</v>
      </c>
      <c r="M5278" s="34">
        <v>16140</v>
      </c>
      <c r="N5278" s="34">
        <f t="shared" si="165"/>
        <v>7.6923076923076916</v>
      </c>
    </row>
    <row r="5279" spans="1:14" x14ac:dyDescent="0.45">
      <c r="A5279" s="30">
        <v>2025</v>
      </c>
      <c r="B5279" s="30" t="s">
        <v>11</v>
      </c>
      <c r="C5279" s="30" t="s">
        <v>46</v>
      </c>
      <c r="D5279" s="30" t="s">
        <v>47</v>
      </c>
      <c r="E5279" s="31" t="s">
        <v>355</v>
      </c>
      <c r="F5279" s="32" t="s">
        <v>60</v>
      </c>
      <c r="G5279" s="32" t="s">
        <v>50</v>
      </c>
      <c r="H5279" s="33">
        <v>55000</v>
      </c>
      <c r="I5279" s="34">
        <f>Table3[[#This Row],[Volume, kg.]]/1000</f>
        <v>55</v>
      </c>
      <c r="J5279" s="34">
        <v>0.20860000000000001</v>
      </c>
      <c r="K5279" s="34">
        <f t="shared" si="164"/>
        <v>11473</v>
      </c>
      <c r="L5279" s="34">
        <v>1.75</v>
      </c>
      <c r="M5279" s="34">
        <v>96272.5</v>
      </c>
      <c r="N5279" s="34">
        <f t="shared" si="165"/>
        <v>8.3892617449664435</v>
      </c>
    </row>
    <row r="5280" spans="1:14" x14ac:dyDescent="0.45">
      <c r="A5280" s="30">
        <v>2025</v>
      </c>
      <c r="B5280" s="30" t="s">
        <v>11</v>
      </c>
      <c r="C5280" s="30" t="s">
        <v>46</v>
      </c>
      <c r="D5280" s="30" t="s">
        <v>47</v>
      </c>
      <c r="E5280" s="31" t="s">
        <v>345</v>
      </c>
      <c r="F5280" s="32" t="s">
        <v>81</v>
      </c>
      <c r="G5280" s="32" t="s">
        <v>50</v>
      </c>
      <c r="H5280" s="33">
        <v>18280</v>
      </c>
      <c r="I5280" s="34">
        <f>Table3[[#This Row],[Volume, kg.]]/1000</f>
        <v>18.28</v>
      </c>
      <c r="J5280" s="34">
        <v>0.21050000000000002</v>
      </c>
      <c r="K5280" s="34">
        <f t="shared" si="164"/>
        <v>3847.9400000000005</v>
      </c>
      <c r="L5280" s="34">
        <v>1.75</v>
      </c>
      <c r="M5280" s="34">
        <v>31990</v>
      </c>
      <c r="N5280" s="34">
        <f t="shared" si="165"/>
        <v>8.3135391923990483</v>
      </c>
    </row>
    <row r="5281" spans="1:14" x14ac:dyDescent="0.45">
      <c r="A5281" s="30">
        <v>2025</v>
      </c>
      <c r="B5281" s="30" t="s">
        <v>11</v>
      </c>
      <c r="C5281" s="30" t="s">
        <v>46</v>
      </c>
      <c r="D5281" s="30" t="s">
        <v>47</v>
      </c>
      <c r="E5281" s="31" t="s">
        <v>365</v>
      </c>
      <c r="F5281" s="32" t="s">
        <v>49</v>
      </c>
      <c r="G5281" s="32" t="s">
        <v>50</v>
      </c>
      <c r="H5281" s="33">
        <v>116290</v>
      </c>
      <c r="I5281" s="34">
        <f>Table3[[#This Row],[Volume, kg.]]/1000</f>
        <v>116.29</v>
      </c>
      <c r="J5281" s="34">
        <v>0.27489999999999998</v>
      </c>
      <c r="K5281" s="34">
        <f t="shared" si="164"/>
        <v>31968.120999999999</v>
      </c>
      <c r="L5281" s="34">
        <v>2.11</v>
      </c>
      <c r="M5281" s="34">
        <v>244895</v>
      </c>
      <c r="N5281" s="34">
        <f t="shared" si="165"/>
        <v>7.6755183703164791</v>
      </c>
    </row>
    <row r="5282" spans="1:14" x14ac:dyDescent="0.45">
      <c r="A5282" s="30">
        <v>2025</v>
      </c>
      <c r="B5282" s="30" t="s">
        <v>11</v>
      </c>
      <c r="C5282" s="30" t="s">
        <v>46</v>
      </c>
      <c r="D5282" s="30" t="s">
        <v>47</v>
      </c>
      <c r="E5282" s="31" t="s">
        <v>273</v>
      </c>
      <c r="F5282" s="32" t="s">
        <v>49</v>
      </c>
      <c r="G5282" s="32" t="s">
        <v>50</v>
      </c>
      <c r="H5282" s="33">
        <v>17210</v>
      </c>
      <c r="I5282" s="34">
        <f>Table3[[#This Row],[Volume, kg.]]/1000</f>
        <v>17.21</v>
      </c>
      <c r="J5282" s="34">
        <v>0.25309999999999999</v>
      </c>
      <c r="K5282" s="34">
        <f t="shared" si="164"/>
        <v>4355.8509999999997</v>
      </c>
      <c r="L5282" s="34">
        <v>1.96</v>
      </c>
      <c r="M5282" s="34">
        <v>33745.5</v>
      </c>
      <c r="N5282" s="34">
        <f t="shared" si="165"/>
        <v>7.7439747135519559</v>
      </c>
    </row>
    <row r="5283" spans="1:14" x14ac:dyDescent="0.45">
      <c r="A5283" s="30">
        <v>2025</v>
      </c>
      <c r="B5283" s="30" t="s">
        <v>11</v>
      </c>
      <c r="C5283" s="30" t="s">
        <v>46</v>
      </c>
      <c r="D5283" s="30" t="s">
        <v>47</v>
      </c>
      <c r="E5283" s="31" t="s">
        <v>96</v>
      </c>
      <c r="F5283" s="32" t="s">
        <v>49</v>
      </c>
      <c r="G5283" s="32" t="s">
        <v>50</v>
      </c>
      <c r="H5283" s="33">
        <v>5900</v>
      </c>
      <c r="I5283" s="34">
        <f>Table3[[#This Row],[Volume, kg.]]/1000</f>
        <v>5.9</v>
      </c>
      <c r="J5283" s="34">
        <v>0.24600000000000002</v>
      </c>
      <c r="K5283" s="34">
        <f t="shared" si="164"/>
        <v>1451.4</v>
      </c>
      <c r="L5283" s="34">
        <v>2</v>
      </c>
      <c r="M5283" s="34">
        <v>11800</v>
      </c>
      <c r="N5283" s="34">
        <f t="shared" si="165"/>
        <v>8.1300813008130071</v>
      </c>
    </row>
    <row r="5284" spans="1:14" x14ac:dyDescent="0.45">
      <c r="A5284" s="30">
        <v>2025</v>
      </c>
      <c r="B5284" s="30" t="s">
        <v>11</v>
      </c>
      <c r="C5284" s="30" t="s">
        <v>46</v>
      </c>
      <c r="D5284" s="30" t="s">
        <v>47</v>
      </c>
      <c r="E5284" s="31" t="s">
        <v>369</v>
      </c>
      <c r="F5284" s="32" t="s">
        <v>57</v>
      </c>
      <c r="G5284" s="32" t="s">
        <v>50</v>
      </c>
      <c r="H5284" s="33">
        <v>21190</v>
      </c>
      <c r="I5284" s="34">
        <f>Table3[[#This Row],[Volume, kg.]]/1000</f>
        <v>21.19</v>
      </c>
      <c r="J5284" s="34">
        <v>0.21710000000000002</v>
      </c>
      <c r="K5284" s="34">
        <f t="shared" si="164"/>
        <v>4600.3490000000002</v>
      </c>
      <c r="L5284" s="34">
        <v>1.82</v>
      </c>
      <c r="M5284" s="34">
        <v>38660.5</v>
      </c>
      <c r="N5284" s="34">
        <f t="shared" si="165"/>
        <v>8.3832335329341312</v>
      </c>
    </row>
    <row r="5285" spans="1:14" x14ac:dyDescent="0.45">
      <c r="A5285" s="30">
        <v>2025</v>
      </c>
      <c r="B5285" s="30" t="s">
        <v>11</v>
      </c>
      <c r="C5285" s="30" t="s">
        <v>46</v>
      </c>
      <c r="D5285" s="30" t="s">
        <v>102</v>
      </c>
      <c r="E5285" s="31" t="s">
        <v>710</v>
      </c>
      <c r="F5285" s="32" t="s">
        <v>189</v>
      </c>
      <c r="G5285" s="32" t="s">
        <v>128</v>
      </c>
      <c r="H5285" s="33">
        <v>582100</v>
      </c>
      <c r="I5285" s="34">
        <f>Table3[[#This Row],[Volume, kg.]]/1000</f>
        <v>582.1</v>
      </c>
      <c r="J5285" s="34">
        <v>0.2263</v>
      </c>
      <c r="K5285" s="34">
        <f t="shared" si="164"/>
        <v>131729.23000000001</v>
      </c>
      <c r="L5285" s="34">
        <v>1.86</v>
      </c>
      <c r="M5285" s="34">
        <v>1083029.5</v>
      </c>
      <c r="N5285" s="34">
        <f t="shared" si="165"/>
        <v>8.2191780821917817</v>
      </c>
    </row>
    <row r="5286" spans="1:14" x14ac:dyDescent="0.45">
      <c r="A5286" s="30">
        <v>2025</v>
      </c>
      <c r="B5286" s="30" t="s">
        <v>11</v>
      </c>
      <c r="C5286" s="30" t="s">
        <v>46</v>
      </c>
      <c r="D5286" s="30" t="s">
        <v>47</v>
      </c>
      <c r="E5286" s="31" t="s">
        <v>87</v>
      </c>
      <c r="F5286" s="32" t="s">
        <v>49</v>
      </c>
      <c r="G5286" s="32" t="s">
        <v>50</v>
      </c>
      <c r="H5286" s="33">
        <v>9710</v>
      </c>
      <c r="I5286" s="34">
        <f>Table3[[#This Row],[Volume, kg.]]/1000</f>
        <v>9.7100000000000009</v>
      </c>
      <c r="J5286" s="34">
        <v>0.21559999999999999</v>
      </c>
      <c r="K5286" s="34">
        <f t="shared" si="164"/>
        <v>2093.4759999999997</v>
      </c>
      <c r="L5286" s="34">
        <v>1.79</v>
      </c>
      <c r="M5286" s="34">
        <v>17421.5</v>
      </c>
      <c r="N5286" s="34">
        <f t="shared" si="165"/>
        <v>8.3024118738404464</v>
      </c>
    </row>
    <row r="5287" spans="1:14" x14ac:dyDescent="0.45">
      <c r="A5287" s="30">
        <v>2025</v>
      </c>
      <c r="B5287" s="30" t="s">
        <v>11</v>
      </c>
      <c r="C5287" s="30" t="s">
        <v>46</v>
      </c>
      <c r="D5287" s="30" t="s">
        <v>47</v>
      </c>
      <c r="E5287" s="31" t="s">
        <v>441</v>
      </c>
      <c r="F5287" s="32" t="s">
        <v>64</v>
      </c>
      <c r="G5287" s="32" t="s">
        <v>50</v>
      </c>
      <c r="H5287" s="33">
        <v>21120</v>
      </c>
      <c r="I5287" s="34">
        <f>Table3[[#This Row],[Volume, kg.]]/1000</f>
        <v>21.12</v>
      </c>
      <c r="J5287" s="34">
        <v>0.23010000000000003</v>
      </c>
      <c r="K5287" s="34">
        <f t="shared" si="164"/>
        <v>4859.7120000000004</v>
      </c>
      <c r="L5287" s="34">
        <v>1.85</v>
      </c>
      <c r="M5287" s="34">
        <v>39072</v>
      </c>
      <c r="N5287" s="34">
        <f t="shared" si="165"/>
        <v>8.039982616253802</v>
      </c>
    </row>
    <row r="5288" spans="1:14" x14ac:dyDescent="0.45">
      <c r="A5288" s="30">
        <v>2025</v>
      </c>
      <c r="B5288" s="30" t="s">
        <v>11</v>
      </c>
      <c r="C5288" s="30" t="s">
        <v>46</v>
      </c>
      <c r="D5288" s="30" t="s">
        <v>47</v>
      </c>
      <c r="E5288" s="31" t="s">
        <v>285</v>
      </c>
      <c r="F5288" s="32" t="s">
        <v>49</v>
      </c>
      <c r="G5288" s="32" t="s">
        <v>50</v>
      </c>
      <c r="H5288" s="33">
        <v>15560</v>
      </c>
      <c r="I5288" s="34">
        <f>Table3[[#This Row],[Volume, kg.]]/1000</f>
        <v>15.56</v>
      </c>
      <c r="J5288" s="34">
        <v>0.2122</v>
      </c>
      <c r="K5288" s="34">
        <f t="shared" si="164"/>
        <v>3301.8319999999999</v>
      </c>
      <c r="L5288" s="34">
        <v>1.83</v>
      </c>
      <c r="M5288" s="34">
        <v>28496</v>
      </c>
      <c r="N5288" s="34">
        <f t="shared" si="165"/>
        <v>8.6239396795475969</v>
      </c>
    </row>
    <row r="5289" spans="1:14" x14ac:dyDescent="0.45">
      <c r="A5289" s="30">
        <v>2025</v>
      </c>
      <c r="B5289" s="30" t="s">
        <v>11</v>
      </c>
      <c r="C5289" s="30" t="s">
        <v>46</v>
      </c>
      <c r="D5289" s="30" t="s">
        <v>47</v>
      </c>
      <c r="E5289" s="31" t="s">
        <v>428</v>
      </c>
      <c r="F5289" s="32" t="s">
        <v>64</v>
      </c>
      <c r="G5289" s="32" t="s">
        <v>50</v>
      </c>
      <c r="H5289" s="33">
        <v>9710</v>
      </c>
      <c r="I5289" s="34">
        <f>Table3[[#This Row],[Volume, kg.]]/1000</f>
        <v>9.7100000000000009</v>
      </c>
      <c r="J5289" s="34">
        <v>0.23250000000000001</v>
      </c>
      <c r="K5289" s="34">
        <f t="shared" si="164"/>
        <v>2257.5750000000003</v>
      </c>
      <c r="L5289" s="34">
        <v>1.95</v>
      </c>
      <c r="M5289" s="34">
        <v>18934.5</v>
      </c>
      <c r="N5289" s="34">
        <f t="shared" si="165"/>
        <v>8.387096774193548</v>
      </c>
    </row>
    <row r="5290" spans="1:14" x14ac:dyDescent="0.45">
      <c r="A5290" s="30">
        <v>2025</v>
      </c>
      <c r="B5290" s="30" t="s">
        <v>11</v>
      </c>
      <c r="C5290" s="30" t="s">
        <v>46</v>
      </c>
      <c r="D5290" s="30" t="s">
        <v>47</v>
      </c>
      <c r="E5290" s="31" t="s">
        <v>315</v>
      </c>
      <c r="F5290" s="32" t="s">
        <v>134</v>
      </c>
      <c r="G5290" s="32" t="s">
        <v>50</v>
      </c>
      <c r="H5290" s="33">
        <v>167970</v>
      </c>
      <c r="I5290" s="34">
        <f>Table3[[#This Row],[Volume, kg.]]/1000</f>
        <v>167.97</v>
      </c>
      <c r="J5290" s="34">
        <v>0.2384</v>
      </c>
      <c r="K5290" s="34">
        <f t="shared" si="164"/>
        <v>40044.048000000003</v>
      </c>
      <c r="L5290" s="34">
        <v>1.98</v>
      </c>
      <c r="M5290" s="34">
        <v>332588</v>
      </c>
      <c r="N5290" s="34">
        <f t="shared" si="165"/>
        <v>8.3053691275167782</v>
      </c>
    </row>
    <row r="5291" spans="1:14" x14ac:dyDescent="0.45">
      <c r="A5291" s="30">
        <v>2025</v>
      </c>
      <c r="B5291" s="30" t="s">
        <v>11</v>
      </c>
      <c r="C5291" s="30" t="s">
        <v>46</v>
      </c>
      <c r="D5291" s="30" t="s">
        <v>47</v>
      </c>
      <c r="E5291" s="31" t="s">
        <v>509</v>
      </c>
      <c r="F5291" s="32" t="s">
        <v>49</v>
      </c>
      <c r="G5291" s="32" t="s">
        <v>50</v>
      </c>
      <c r="H5291" s="33">
        <v>6010</v>
      </c>
      <c r="I5291" s="34">
        <f>Table3[[#This Row],[Volume, kg.]]/1000</f>
        <v>6.01</v>
      </c>
      <c r="J5291" s="34">
        <v>0.29749999999999999</v>
      </c>
      <c r="K5291" s="34">
        <f t="shared" si="164"/>
        <v>1787.9749999999999</v>
      </c>
      <c r="L5291" s="34">
        <v>2.2000000000000002</v>
      </c>
      <c r="M5291" s="34">
        <v>13222</v>
      </c>
      <c r="N5291" s="34">
        <f t="shared" si="165"/>
        <v>7.3949579831932786</v>
      </c>
    </row>
    <row r="5292" spans="1:14" x14ac:dyDescent="0.45">
      <c r="A5292" s="30">
        <v>2025</v>
      </c>
      <c r="B5292" s="30" t="s">
        <v>11</v>
      </c>
      <c r="C5292" s="30" t="s">
        <v>46</v>
      </c>
      <c r="D5292" s="30" t="s">
        <v>47</v>
      </c>
      <c r="E5292" s="31" t="s">
        <v>159</v>
      </c>
      <c r="F5292" s="32" t="s">
        <v>81</v>
      </c>
      <c r="G5292" s="32" t="s">
        <v>50</v>
      </c>
      <c r="H5292" s="33">
        <v>114650</v>
      </c>
      <c r="I5292" s="34">
        <f>Table3[[#This Row],[Volume, kg.]]/1000</f>
        <v>114.65</v>
      </c>
      <c r="J5292" s="34">
        <v>0.22940000000000002</v>
      </c>
      <c r="K5292" s="34">
        <f t="shared" si="164"/>
        <v>26300.710000000003</v>
      </c>
      <c r="L5292" s="34">
        <v>1.84</v>
      </c>
      <c r="M5292" s="34">
        <v>210940</v>
      </c>
      <c r="N5292" s="34">
        <f t="shared" si="165"/>
        <v>8.0209241499564072</v>
      </c>
    </row>
    <row r="5293" spans="1:14" x14ac:dyDescent="0.45">
      <c r="A5293" s="30">
        <v>2025</v>
      </c>
      <c r="B5293" s="30" t="s">
        <v>11</v>
      </c>
      <c r="C5293" s="30" t="s">
        <v>46</v>
      </c>
      <c r="D5293" s="30" t="s">
        <v>47</v>
      </c>
      <c r="E5293" s="31" t="s">
        <v>228</v>
      </c>
      <c r="F5293" s="32" t="s">
        <v>64</v>
      </c>
      <c r="G5293" s="32" t="s">
        <v>50</v>
      </c>
      <c r="H5293" s="33">
        <v>25770</v>
      </c>
      <c r="I5293" s="34">
        <f>Table3[[#This Row],[Volume, kg.]]/1000</f>
        <v>25.77</v>
      </c>
      <c r="J5293" s="34">
        <v>0.22690000000000002</v>
      </c>
      <c r="K5293" s="34">
        <f t="shared" si="164"/>
        <v>5847.2130000000006</v>
      </c>
      <c r="L5293" s="34">
        <v>1.85</v>
      </c>
      <c r="M5293" s="34">
        <v>47674.5</v>
      </c>
      <c r="N5293" s="34">
        <f t="shared" si="165"/>
        <v>8.1533715293080657</v>
      </c>
    </row>
    <row r="5294" spans="1:14" x14ac:dyDescent="0.45">
      <c r="A5294" s="30">
        <v>2025</v>
      </c>
      <c r="B5294" s="30" t="s">
        <v>11</v>
      </c>
      <c r="C5294" s="30" t="s">
        <v>46</v>
      </c>
      <c r="D5294" s="30" t="s">
        <v>47</v>
      </c>
      <c r="E5294" s="31" t="s">
        <v>101</v>
      </c>
      <c r="F5294" s="32" t="s">
        <v>64</v>
      </c>
      <c r="G5294" s="32" t="s">
        <v>50</v>
      </c>
      <c r="H5294" s="33">
        <v>11260</v>
      </c>
      <c r="I5294" s="34">
        <f>Table3[[#This Row],[Volume, kg.]]/1000</f>
        <v>11.26</v>
      </c>
      <c r="J5294" s="34">
        <v>0.2</v>
      </c>
      <c r="K5294" s="34">
        <f t="shared" si="164"/>
        <v>2252</v>
      </c>
      <c r="L5294" s="34">
        <v>1.7</v>
      </c>
      <c r="M5294" s="34">
        <v>19142</v>
      </c>
      <c r="N5294" s="34">
        <f t="shared" si="165"/>
        <v>8.5</v>
      </c>
    </row>
    <row r="5295" spans="1:14" x14ac:dyDescent="0.45">
      <c r="A5295" s="30">
        <v>2025</v>
      </c>
      <c r="B5295" s="30" t="s">
        <v>11</v>
      </c>
      <c r="C5295" s="30" t="s">
        <v>46</v>
      </c>
      <c r="D5295" s="30" t="s">
        <v>47</v>
      </c>
      <c r="E5295" s="31" t="s">
        <v>146</v>
      </c>
      <c r="F5295" s="32" t="s">
        <v>64</v>
      </c>
      <c r="G5295" s="32" t="s">
        <v>50</v>
      </c>
      <c r="H5295" s="33">
        <v>11390</v>
      </c>
      <c r="I5295" s="34">
        <f>Table3[[#This Row],[Volume, kg.]]/1000</f>
        <v>11.39</v>
      </c>
      <c r="J5295" s="34">
        <v>0.24149999999999999</v>
      </c>
      <c r="K5295" s="34">
        <f t="shared" si="164"/>
        <v>2750.6849999999999</v>
      </c>
      <c r="L5295" s="34">
        <v>1.9</v>
      </c>
      <c r="M5295" s="34">
        <v>21641</v>
      </c>
      <c r="N5295" s="34">
        <f t="shared" si="165"/>
        <v>7.8674948240165632</v>
      </c>
    </row>
    <row r="5296" spans="1:14" x14ac:dyDescent="0.45">
      <c r="A5296" s="30">
        <v>2025</v>
      </c>
      <c r="B5296" s="30" t="s">
        <v>11</v>
      </c>
      <c r="C5296" s="30" t="s">
        <v>46</v>
      </c>
      <c r="D5296" s="30" t="s">
        <v>47</v>
      </c>
      <c r="E5296" s="31" t="s">
        <v>286</v>
      </c>
      <c r="F5296" s="32" t="s">
        <v>49</v>
      </c>
      <c r="G5296" s="32" t="s">
        <v>50</v>
      </c>
      <c r="H5296" s="33">
        <v>5540</v>
      </c>
      <c r="I5296" s="34">
        <f>Table3[[#This Row],[Volume, kg.]]/1000</f>
        <v>5.54</v>
      </c>
      <c r="J5296" s="34">
        <v>0.20550000000000002</v>
      </c>
      <c r="K5296" s="34">
        <f t="shared" si="164"/>
        <v>1138.47</v>
      </c>
      <c r="L5296" s="34">
        <v>1.8</v>
      </c>
      <c r="M5296" s="34">
        <v>9972</v>
      </c>
      <c r="N5296" s="34">
        <f t="shared" si="165"/>
        <v>8.7591240875912408</v>
      </c>
    </row>
    <row r="5297" spans="1:14" x14ac:dyDescent="0.45">
      <c r="A5297" s="30">
        <v>2025</v>
      </c>
      <c r="B5297" s="30" t="s">
        <v>11</v>
      </c>
      <c r="C5297" s="30" t="s">
        <v>46</v>
      </c>
      <c r="D5297" s="30" t="s">
        <v>47</v>
      </c>
      <c r="E5297" s="31" t="s">
        <v>309</v>
      </c>
      <c r="F5297" s="32" t="s">
        <v>81</v>
      </c>
      <c r="G5297" s="32" t="s">
        <v>50</v>
      </c>
      <c r="H5297" s="33">
        <v>52180</v>
      </c>
      <c r="I5297" s="34">
        <f>Table3[[#This Row],[Volume, kg.]]/1000</f>
        <v>52.18</v>
      </c>
      <c r="J5297" s="34">
        <v>0.26329999999999998</v>
      </c>
      <c r="K5297" s="34">
        <f t="shared" si="164"/>
        <v>13738.993999999999</v>
      </c>
      <c r="L5297" s="34">
        <v>2.0299999999999998</v>
      </c>
      <c r="M5297" s="34">
        <v>106004.5</v>
      </c>
      <c r="N5297" s="34">
        <f t="shared" si="165"/>
        <v>7.7098366881883784</v>
      </c>
    </row>
    <row r="5298" spans="1:14" x14ac:dyDescent="0.45">
      <c r="A5298" s="30">
        <v>2025</v>
      </c>
      <c r="B5298" s="30" t="s">
        <v>11</v>
      </c>
      <c r="C5298" s="30" t="s">
        <v>46</v>
      </c>
      <c r="D5298" s="30" t="s">
        <v>47</v>
      </c>
      <c r="E5298" s="31" t="s">
        <v>510</v>
      </c>
      <c r="F5298" s="32" t="s">
        <v>49</v>
      </c>
      <c r="G5298" s="32" t="s">
        <v>50</v>
      </c>
      <c r="H5298" s="33">
        <v>9150</v>
      </c>
      <c r="I5298" s="34">
        <f>Table3[[#This Row],[Volume, kg.]]/1000</f>
        <v>9.15</v>
      </c>
      <c r="J5298" s="34">
        <v>0.252</v>
      </c>
      <c r="K5298" s="34">
        <f t="shared" si="164"/>
        <v>2305.8000000000002</v>
      </c>
      <c r="L5298" s="34">
        <v>1.95</v>
      </c>
      <c r="M5298" s="34">
        <v>17842.5</v>
      </c>
      <c r="N5298" s="34">
        <f t="shared" si="165"/>
        <v>7.7380952380952381</v>
      </c>
    </row>
    <row r="5299" spans="1:14" x14ac:dyDescent="0.45">
      <c r="A5299" s="30">
        <v>2025</v>
      </c>
      <c r="B5299" s="30" t="s">
        <v>11</v>
      </c>
      <c r="C5299" s="30" t="s">
        <v>46</v>
      </c>
      <c r="D5299" s="30" t="s">
        <v>47</v>
      </c>
      <c r="E5299" s="31" t="s">
        <v>136</v>
      </c>
      <c r="F5299" s="32" t="s">
        <v>49</v>
      </c>
      <c r="G5299" s="32" t="s">
        <v>50</v>
      </c>
      <c r="H5299" s="33">
        <v>14930</v>
      </c>
      <c r="I5299" s="34">
        <f>Table3[[#This Row],[Volume, kg.]]/1000</f>
        <v>14.93</v>
      </c>
      <c r="J5299" s="34">
        <v>0.27589999999999998</v>
      </c>
      <c r="K5299" s="34">
        <f t="shared" si="164"/>
        <v>4119.1869999999999</v>
      </c>
      <c r="L5299" s="34">
        <v>2.0299999999999998</v>
      </c>
      <c r="M5299" s="34">
        <v>30382</v>
      </c>
      <c r="N5299" s="34">
        <f t="shared" si="165"/>
        <v>7.3577383109822394</v>
      </c>
    </row>
    <row r="5300" spans="1:14" x14ac:dyDescent="0.45">
      <c r="A5300" s="30">
        <v>2025</v>
      </c>
      <c r="B5300" s="30" t="s">
        <v>11</v>
      </c>
      <c r="C5300" s="30" t="s">
        <v>46</v>
      </c>
      <c r="D5300" s="30" t="s">
        <v>47</v>
      </c>
      <c r="E5300" s="31" t="s">
        <v>575</v>
      </c>
      <c r="F5300" s="32" t="s">
        <v>64</v>
      </c>
      <c r="G5300" s="32" t="s">
        <v>50</v>
      </c>
      <c r="H5300" s="33">
        <v>11160</v>
      </c>
      <c r="I5300" s="34">
        <f>Table3[[#This Row],[Volume, kg.]]/1000</f>
        <v>11.16</v>
      </c>
      <c r="J5300" s="34">
        <v>0.24399999999999999</v>
      </c>
      <c r="K5300" s="34">
        <f t="shared" si="164"/>
        <v>2723.04</v>
      </c>
      <c r="L5300" s="34">
        <v>1.9</v>
      </c>
      <c r="M5300" s="34">
        <v>21204</v>
      </c>
      <c r="N5300" s="34">
        <f t="shared" si="165"/>
        <v>7.7868852459016393</v>
      </c>
    </row>
    <row r="5301" spans="1:14" x14ac:dyDescent="0.45">
      <c r="A5301" s="30">
        <v>2025</v>
      </c>
      <c r="B5301" s="30" t="s">
        <v>11</v>
      </c>
      <c r="C5301" s="30" t="s">
        <v>46</v>
      </c>
      <c r="D5301" s="30" t="s">
        <v>47</v>
      </c>
      <c r="E5301" s="31" t="s">
        <v>53</v>
      </c>
      <c r="F5301" s="32" t="s">
        <v>54</v>
      </c>
      <c r="G5301" s="32" t="s">
        <v>50</v>
      </c>
      <c r="H5301" s="33">
        <v>31650</v>
      </c>
      <c r="I5301" s="34">
        <f>Table3[[#This Row],[Volume, kg.]]/1000</f>
        <v>31.65</v>
      </c>
      <c r="J5301" s="34">
        <v>0.23070000000000002</v>
      </c>
      <c r="K5301" s="34">
        <f t="shared" si="164"/>
        <v>7301.6550000000007</v>
      </c>
      <c r="L5301" s="34">
        <v>1.85</v>
      </c>
      <c r="M5301" s="34">
        <v>58644</v>
      </c>
      <c r="N5301" s="34">
        <f t="shared" si="165"/>
        <v>8.0190723883831811</v>
      </c>
    </row>
    <row r="5302" spans="1:14" x14ac:dyDescent="0.45">
      <c r="A5302" s="30">
        <v>2025</v>
      </c>
      <c r="B5302" s="30" t="s">
        <v>11</v>
      </c>
      <c r="C5302" s="30" t="s">
        <v>46</v>
      </c>
      <c r="D5302" s="30" t="s">
        <v>47</v>
      </c>
      <c r="E5302" s="31" t="s">
        <v>151</v>
      </c>
      <c r="F5302" s="32" t="s">
        <v>60</v>
      </c>
      <c r="G5302" s="32" t="s">
        <v>50</v>
      </c>
      <c r="H5302" s="33">
        <v>21160</v>
      </c>
      <c r="I5302" s="34">
        <f>Table3[[#This Row],[Volume, kg.]]/1000</f>
        <v>21.16</v>
      </c>
      <c r="J5302" s="34">
        <v>0.2606</v>
      </c>
      <c r="K5302" s="34">
        <f t="shared" si="164"/>
        <v>5514.2960000000003</v>
      </c>
      <c r="L5302" s="34">
        <v>2.0099999999999998</v>
      </c>
      <c r="M5302" s="34">
        <v>42634.5</v>
      </c>
      <c r="N5302" s="34">
        <f t="shared" si="165"/>
        <v>7.7129700690713729</v>
      </c>
    </row>
    <row r="5303" spans="1:14" x14ac:dyDescent="0.45">
      <c r="A5303" s="30">
        <v>2025</v>
      </c>
      <c r="B5303" s="30" t="s">
        <v>11</v>
      </c>
      <c r="C5303" s="30" t="s">
        <v>46</v>
      </c>
      <c r="D5303" s="30" t="s">
        <v>47</v>
      </c>
      <c r="E5303" s="31" t="s">
        <v>422</v>
      </c>
      <c r="F5303" s="32" t="s">
        <v>134</v>
      </c>
      <c r="G5303" s="32" t="s">
        <v>50</v>
      </c>
      <c r="H5303" s="33">
        <v>27420</v>
      </c>
      <c r="I5303" s="34">
        <f>Table3[[#This Row],[Volume, kg.]]/1000</f>
        <v>27.42</v>
      </c>
      <c r="J5303" s="34">
        <v>0.25750000000000001</v>
      </c>
      <c r="K5303" s="34">
        <f t="shared" si="164"/>
        <v>7060.6500000000005</v>
      </c>
      <c r="L5303" s="34">
        <v>2.0299999999999998</v>
      </c>
      <c r="M5303" s="34">
        <v>55632</v>
      </c>
      <c r="N5303" s="34">
        <f t="shared" si="165"/>
        <v>7.8834951456310671</v>
      </c>
    </row>
    <row r="5304" spans="1:14" x14ac:dyDescent="0.45">
      <c r="A5304" s="30">
        <v>2025</v>
      </c>
      <c r="B5304" s="30" t="s">
        <v>11</v>
      </c>
      <c r="C5304" s="30" t="s">
        <v>46</v>
      </c>
      <c r="D5304" s="30" t="s">
        <v>102</v>
      </c>
      <c r="E5304" s="31" t="s">
        <v>658</v>
      </c>
      <c r="F5304" s="32" t="s">
        <v>64</v>
      </c>
      <c r="G5304" s="32" t="s">
        <v>50</v>
      </c>
      <c r="H5304" s="33">
        <v>118140</v>
      </c>
      <c r="I5304" s="34">
        <f>Table3[[#This Row],[Volume, kg.]]/1000</f>
        <v>118.14</v>
      </c>
      <c r="J5304" s="34">
        <v>0.23769999999999999</v>
      </c>
      <c r="K5304" s="34">
        <f t="shared" si="164"/>
        <v>28081.878000000001</v>
      </c>
      <c r="L5304" s="34">
        <v>1.93</v>
      </c>
      <c r="M5304" s="34">
        <v>228546.5</v>
      </c>
      <c r="N5304" s="34">
        <f t="shared" si="165"/>
        <v>8.1194783340344969</v>
      </c>
    </row>
    <row r="5305" spans="1:14" x14ac:dyDescent="0.45">
      <c r="A5305" s="30">
        <v>2025</v>
      </c>
      <c r="B5305" s="30" t="s">
        <v>11</v>
      </c>
      <c r="C5305" s="30" t="s">
        <v>46</v>
      </c>
      <c r="D5305" s="30" t="s">
        <v>47</v>
      </c>
      <c r="E5305" s="31" t="s">
        <v>133</v>
      </c>
      <c r="F5305" s="32" t="s">
        <v>134</v>
      </c>
      <c r="G5305" s="32" t="s">
        <v>50</v>
      </c>
      <c r="H5305" s="33">
        <v>38760</v>
      </c>
      <c r="I5305" s="34">
        <f>Table3[[#This Row],[Volume, kg.]]/1000</f>
        <v>38.76</v>
      </c>
      <c r="J5305" s="34">
        <v>0.24410000000000001</v>
      </c>
      <c r="K5305" s="34">
        <f t="shared" si="164"/>
        <v>9461.3160000000007</v>
      </c>
      <c r="L5305" s="34">
        <v>1.95</v>
      </c>
      <c r="M5305" s="34">
        <v>75768.5</v>
      </c>
      <c r="N5305" s="34">
        <f t="shared" si="165"/>
        <v>7.9885292912740677</v>
      </c>
    </row>
    <row r="5306" spans="1:14" x14ac:dyDescent="0.45">
      <c r="A5306" s="30">
        <v>2025</v>
      </c>
      <c r="B5306" s="30" t="s">
        <v>11</v>
      </c>
      <c r="C5306" s="30" t="s">
        <v>46</v>
      </c>
      <c r="D5306" s="30" t="s">
        <v>47</v>
      </c>
      <c r="E5306" s="31" t="s">
        <v>252</v>
      </c>
      <c r="F5306" s="32" t="s">
        <v>49</v>
      </c>
      <c r="G5306" s="32" t="s">
        <v>50</v>
      </c>
      <c r="H5306" s="33">
        <v>72150</v>
      </c>
      <c r="I5306" s="34">
        <f>Table3[[#This Row],[Volume, kg.]]/1000</f>
        <v>72.150000000000006</v>
      </c>
      <c r="J5306" s="34">
        <v>0.2409</v>
      </c>
      <c r="K5306" s="34">
        <f t="shared" si="164"/>
        <v>17380.935000000001</v>
      </c>
      <c r="L5306" s="34">
        <v>1.94</v>
      </c>
      <c r="M5306" s="34">
        <v>139968.5</v>
      </c>
      <c r="N5306" s="34">
        <f t="shared" si="165"/>
        <v>8.0531340805313398</v>
      </c>
    </row>
    <row r="5307" spans="1:14" x14ac:dyDescent="0.45">
      <c r="A5307" s="30">
        <v>2025</v>
      </c>
      <c r="B5307" s="30" t="s">
        <v>11</v>
      </c>
      <c r="C5307" s="30" t="s">
        <v>46</v>
      </c>
      <c r="D5307" s="30" t="s">
        <v>47</v>
      </c>
      <c r="E5307" s="31" t="s">
        <v>95</v>
      </c>
      <c r="F5307" s="32" t="s">
        <v>49</v>
      </c>
      <c r="G5307" s="32" t="s">
        <v>50</v>
      </c>
      <c r="H5307" s="33">
        <v>29560</v>
      </c>
      <c r="I5307" s="34">
        <f>Table3[[#This Row],[Volume, kg.]]/1000</f>
        <v>29.56</v>
      </c>
      <c r="J5307" s="34">
        <v>0.23980000000000001</v>
      </c>
      <c r="K5307" s="34">
        <f t="shared" si="164"/>
        <v>7088.4880000000003</v>
      </c>
      <c r="L5307" s="34">
        <v>1.96</v>
      </c>
      <c r="M5307" s="34">
        <v>57945.5</v>
      </c>
      <c r="N5307" s="34">
        <f t="shared" si="165"/>
        <v>8.1734778982485405</v>
      </c>
    </row>
    <row r="5308" spans="1:14" x14ac:dyDescent="0.45">
      <c r="A5308" s="30">
        <v>2025</v>
      </c>
      <c r="B5308" s="30" t="s">
        <v>11</v>
      </c>
      <c r="C5308" s="30" t="s">
        <v>46</v>
      </c>
      <c r="D5308" s="30" t="s">
        <v>47</v>
      </c>
      <c r="E5308" s="31" t="s">
        <v>205</v>
      </c>
      <c r="F5308" s="32" t="s">
        <v>49</v>
      </c>
      <c r="G5308" s="32" t="s">
        <v>50</v>
      </c>
      <c r="H5308" s="33">
        <v>57510</v>
      </c>
      <c r="I5308" s="34">
        <f>Table3[[#This Row],[Volume, kg.]]/1000</f>
        <v>57.51</v>
      </c>
      <c r="J5308" s="34">
        <v>0.22969999999999999</v>
      </c>
      <c r="K5308" s="34">
        <f t="shared" si="164"/>
        <v>13210.046999999999</v>
      </c>
      <c r="L5308" s="34">
        <v>1.86</v>
      </c>
      <c r="M5308" s="34">
        <v>106963</v>
      </c>
      <c r="N5308" s="34">
        <f t="shared" si="165"/>
        <v>8.0975185023944292</v>
      </c>
    </row>
    <row r="5309" spans="1:14" x14ac:dyDescent="0.45">
      <c r="A5309" s="30">
        <v>2025</v>
      </c>
      <c r="B5309" s="30" t="s">
        <v>11</v>
      </c>
      <c r="C5309" s="30" t="s">
        <v>46</v>
      </c>
      <c r="D5309" s="30" t="s">
        <v>47</v>
      </c>
      <c r="E5309" s="31" t="s">
        <v>439</v>
      </c>
      <c r="F5309" s="32" t="s">
        <v>64</v>
      </c>
      <c r="G5309" s="32" t="s">
        <v>50</v>
      </c>
      <c r="H5309" s="33">
        <v>66080</v>
      </c>
      <c r="I5309" s="34">
        <f>Table3[[#This Row],[Volume, kg.]]/1000</f>
        <v>66.08</v>
      </c>
      <c r="J5309" s="34">
        <v>0.23449999999999999</v>
      </c>
      <c r="K5309" s="34">
        <f t="shared" si="164"/>
        <v>15495.759999999998</v>
      </c>
      <c r="L5309" s="34">
        <v>1.95</v>
      </c>
      <c r="M5309" s="34">
        <v>129180</v>
      </c>
      <c r="N5309" s="34">
        <f t="shared" si="165"/>
        <v>8.3155650319829419</v>
      </c>
    </row>
    <row r="5310" spans="1:14" x14ac:dyDescent="0.45">
      <c r="A5310" s="30">
        <v>2025</v>
      </c>
      <c r="B5310" s="30" t="s">
        <v>11</v>
      </c>
      <c r="C5310" s="30" t="s">
        <v>46</v>
      </c>
      <c r="D5310" s="30" t="s">
        <v>47</v>
      </c>
      <c r="E5310" s="31" t="s">
        <v>409</v>
      </c>
      <c r="F5310" s="32" t="s">
        <v>57</v>
      </c>
      <c r="G5310" s="32" t="s">
        <v>50</v>
      </c>
      <c r="H5310" s="33">
        <v>39250</v>
      </c>
      <c r="I5310" s="34">
        <f>Table3[[#This Row],[Volume, kg.]]/1000</f>
        <v>39.25</v>
      </c>
      <c r="J5310" s="34">
        <v>0.24640000000000001</v>
      </c>
      <c r="K5310" s="34">
        <f t="shared" si="164"/>
        <v>9671.2000000000007</v>
      </c>
      <c r="L5310" s="34">
        <v>1.93</v>
      </c>
      <c r="M5310" s="34">
        <v>75671.5</v>
      </c>
      <c r="N5310" s="34">
        <f t="shared" si="165"/>
        <v>7.832792207792207</v>
      </c>
    </row>
    <row r="5311" spans="1:14" x14ac:dyDescent="0.45">
      <c r="A5311" s="30">
        <v>2025</v>
      </c>
      <c r="B5311" s="30" t="s">
        <v>11</v>
      </c>
      <c r="C5311" s="30" t="s">
        <v>46</v>
      </c>
      <c r="D5311" s="30" t="s">
        <v>102</v>
      </c>
      <c r="E5311" s="31" t="s">
        <v>418</v>
      </c>
      <c r="F5311" s="32" t="s">
        <v>104</v>
      </c>
      <c r="G5311" s="32" t="s">
        <v>105</v>
      </c>
      <c r="H5311" s="33">
        <v>309760</v>
      </c>
      <c r="I5311" s="34">
        <f>Table3[[#This Row],[Volume, kg.]]/1000</f>
        <v>309.76</v>
      </c>
      <c r="J5311" s="34">
        <v>0.22519999999999998</v>
      </c>
      <c r="K5311" s="34">
        <f t="shared" si="164"/>
        <v>69757.95199999999</v>
      </c>
      <c r="L5311" s="34">
        <v>1.9</v>
      </c>
      <c r="M5311" s="34">
        <v>588774</v>
      </c>
      <c r="N5311" s="34">
        <f t="shared" si="165"/>
        <v>8.4369449378330383</v>
      </c>
    </row>
    <row r="5312" spans="1:14" x14ac:dyDescent="0.45">
      <c r="A5312" s="30">
        <v>2025</v>
      </c>
      <c r="B5312" s="30" t="s">
        <v>11</v>
      </c>
      <c r="C5312" s="30" t="s">
        <v>46</v>
      </c>
      <c r="D5312" s="30" t="s">
        <v>47</v>
      </c>
      <c r="E5312" s="31" t="s">
        <v>434</v>
      </c>
      <c r="F5312" s="32" t="s">
        <v>57</v>
      </c>
      <c r="G5312" s="32" t="s">
        <v>50</v>
      </c>
      <c r="H5312" s="33">
        <v>68060</v>
      </c>
      <c r="I5312" s="34">
        <f>Table3[[#This Row],[Volume, kg.]]/1000</f>
        <v>68.06</v>
      </c>
      <c r="J5312" s="34">
        <v>0.2651</v>
      </c>
      <c r="K5312" s="34">
        <f t="shared" si="164"/>
        <v>18042.706000000002</v>
      </c>
      <c r="L5312" s="34">
        <v>2.02</v>
      </c>
      <c r="M5312" s="34">
        <v>137517.5</v>
      </c>
      <c r="N5312" s="34">
        <f t="shared" si="165"/>
        <v>7.6197661259901928</v>
      </c>
    </row>
    <row r="5313" spans="1:14" x14ac:dyDescent="0.45">
      <c r="A5313" s="30">
        <v>2025</v>
      </c>
      <c r="B5313" s="30" t="s">
        <v>11</v>
      </c>
      <c r="C5313" s="30" t="s">
        <v>46</v>
      </c>
      <c r="D5313" s="30" t="s">
        <v>47</v>
      </c>
      <c r="E5313" s="31" t="s">
        <v>452</v>
      </c>
      <c r="F5313" s="32" t="s">
        <v>134</v>
      </c>
      <c r="G5313" s="32" t="s">
        <v>50</v>
      </c>
      <c r="H5313" s="33">
        <v>179160</v>
      </c>
      <c r="I5313" s="34">
        <f>Table3[[#This Row],[Volume, kg.]]/1000</f>
        <v>179.16</v>
      </c>
      <c r="J5313" s="34">
        <v>0.21030000000000001</v>
      </c>
      <c r="K5313" s="34">
        <f t="shared" si="164"/>
        <v>37677.348000000005</v>
      </c>
      <c r="L5313" s="34">
        <v>1.78</v>
      </c>
      <c r="M5313" s="34">
        <v>319288</v>
      </c>
      <c r="N5313" s="34">
        <f t="shared" si="165"/>
        <v>8.4640989063242973</v>
      </c>
    </row>
    <row r="5314" spans="1:14" x14ac:dyDescent="0.45">
      <c r="A5314" s="30">
        <v>2025</v>
      </c>
      <c r="B5314" s="30" t="s">
        <v>11</v>
      </c>
      <c r="C5314" s="30" t="s">
        <v>46</v>
      </c>
      <c r="D5314" s="30" t="s">
        <v>47</v>
      </c>
      <c r="E5314" s="31" t="s">
        <v>603</v>
      </c>
      <c r="F5314" s="32" t="s">
        <v>49</v>
      </c>
      <c r="G5314" s="32" t="s">
        <v>50</v>
      </c>
      <c r="H5314" s="33">
        <v>44060</v>
      </c>
      <c r="I5314" s="34">
        <f>Table3[[#This Row],[Volume, kg.]]/1000</f>
        <v>44.06</v>
      </c>
      <c r="J5314" s="34">
        <v>0.2366</v>
      </c>
      <c r="K5314" s="34">
        <f t="shared" si="164"/>
        <v>10424.596</v>
      </c>
      <c r="L5314" s="34">
        <v>1.97</v>
      </c>
      <c r="M5314" s="34">
        <v>86995</v>
      </c>
      <c r="N5314" s="34">
        <f t="shared" si="165"/>
        <v>8.326289095519865</v>
      </c>
    </row>
    <row r="5315" spans="1:14" x14ac:dyDescent="0.45">
      <c r="A5315" s="30">
        <v>2025</v>
      </c>
      <c r="B5315" s="30" t="s">
        <v>11</v>
      </c>
      <c r="C5315" s="30" t="s">
        <v>46</v>
      </c>
      <c r="D5315" s="30" t="s">
        <v>47</v>
      </c>
      <c r="E5315" s="31" t="s">
        <v>692</v>
      </c>
      <c r="F5315" s="32" t="s">
        <v>81</v>
      </c>
      <c r="G5315" s="32" t="s">
        <v>50</v>
      </c>
      <c r="H5315" s="33">
        <v>10330</v>
      </c>
      <c r="I5315" s="34">
        <f>Table3[[#This Row],[Volume, kg.]]/1000</f>
        <v>10.33</v>
      </c>
      <c r="J5315" s="34">
        <v>0.21</v>
      </c>
      <c r="K5315" s="34">
        <f t="shared" ref="K5315:K5351" si="166">H5315*J5315</f>
        <v>2169.2999999999997</v>
      </c>
      <c r="L5315" s="34">
        <v>1.8</v>
      </c>
      <c r="M5315" s="34">
        <v>18594</v>
      </c>
      <c r="N5315" s="34">
        <f t="shared" si="165"/>
        <v>8.5714285714285712</v>
      </c>
    </row>
    <row r="5316" spans="1:14" x14ac:dyDescent="0.45">
      <c r="A5316" s="30">
        <v>2025</v>
      </c>
      <c r="B5316" s="30" t="s">
        <v>11</v>
      </c>
      <c r="C5316" s="30" t="s">
        <v>46</v>
      </c>
      <c r="D5316" s="30" t="s">
        <v>102</v>
      </c>
      <c r="E5316" s="31" t="s">
        <v>552</v>
      </c>
      <c r="F5316" s="32" t="s">
        <v>238</v>
      </c>
      <c r="G5316" s="32" t="s">
        <v>50</v>
      </c>
      <c r="H5316" s="33">
        <v>213440</v>
      </c>
      <c r="I5316" s="34">
        <f>Table3[[#This Row],[Volume, kg.]]/1000</f>
        <v>213.44</v>
      </c>
      <c r="J5316" s="34">
        <v>0.22949999999999998</v>
      </c>
      <c r="K5316" s="34">
        <f t="shared" si="166"/>
        <v>48984.479999999996</v>
      </c>
      <c r="L5316" s="34">
        <v>1.96</v>
      </c>
      <c r="M5316" s="34">
        <v>419302.5</v>
      </c>
      <c r="N5316" s="34">
        <f t="shared" ref="N5316:N5351" si="167">L5316/J5316</f>
        <v>8.5403050108932472</v>
      </c>
    </row>
    <row r="5317" spans="1:14" x14ac:dyDescent="0.45">
      <c r="A5317" s="30">
        <v>2025</v>
      </c>
      <c r="B5317" s="30" t="s">
        <v>11</v>
      </c>
      <c r="C5317" s="30" t="s">
        <v>46</v>
      </c>
      <c r="D5317" s="30" t="s">
        <v>47</v>
      </c>
      <c r="E5317" s="31" t="s">
        <v>588</v>
      </c>
      <c r="F5317" s="32" t="s">
        <v>223</v>
      </c>
      <c r="G5317" s="32" t="s">
        <v>50</v>
      </c>
      <c r="H5317" s="33">
        <v>73740</v>
      </c>
      <c r="I5317" s="34">
        <f>Table3[[#This Row],[Volume, kg.]]/1000</f>
        <v>73.739999999999995</v>
      </c>
      <c r="J5317" s="34">
        <v>0.2349</v>
      </c>
      <c r="K5317" s="34">
        <f t="shared" si="166"/>
        <v>17321.525999999998</v>
      </c>
      <c r="L5317" s="34">
        <v>1.88</v>
      </c>
      <c r="M5317" s="34">
        <v>138769</v>
      </c>
      <c r="N5317" s="34">
        <f t="shared" si="167"/>
        <v>8.0034057045551297</v>
      </c>
    </row>
    <row r="5318" spans="1:14" x14ac:dyDescent="0.45">
      <c r="A5318" s="30">
        <v>2025</v>
      </c>
      <c r="B5318" s="30" t="s">
        <v>11</v>
      </c>
      <c r="C5318" s="30" t="s">
        <v>46</v>
      </c>
      <c r="D5318" s="30" t="s">
        <v>47</v>
      </c>
      <c r="E5318" s="31" t="s">
        <v>589</v>
      </c>
      <c r="F5318" s="32" t="s">
        <v>81</v>
      </c>
      <c r="G5318" s="32" t="s">
        <v>50</v>
      </c>
      <c r="H5318" s="33">
        <v>15360</v>
      </c>
      <c r="I5318" s="34">
        <f>Table3[[#This Row],[Volume, kg.]]/1000</f>
        <v>15.36</v>
      </c>
      <c r="J5318" s="34">
        <v>0.21789999999999998</v>
      </c>
      <c r="K5318" s="34">
        <f t="shared" si="166"/>
        <v>3346.9439999999995</v>
      </c>
      <c r="L5318" s="34">
        <v>1.83</v>
      </c>
      <c r="M5318" s="34">
        <v>28158</v>
      </c>
      <c r="N5318" s="34">
        <f t="shared" si="167"/>
        <v>8.3983478659935766</v>
      </c>
    </row>
    <row r="5319" spans="1:14" x14ac:dyDescent="0.45">
      <c r="A5319" s="30">
        <v>2025</v>
      </c>
      <c r="B5319" s="30" t="s">
        <v>11</v>
      </c>
      <c r="C5319" s="30" t="s">
        <v>46</v>
      </c>
      <c r="D5319" s="30" t="s">
        <v>47</v>
      </c>
      <c r="E5319" s="31" t="s">
        <v>591</v>
      </c>
      <c r="F5319" s="32" t="s">
        <v>223</v>
      </c>
      <c r="G5319" s="32" t="s">
        <v>50</v>
      </c>
      <c r="H5319" s="33">
        <v>11230</v>
      </c>
      <c r="I5319" s="34">
        <f>Table3[[#This Row],[Volume, kg.]]/1000</f>
        <v>11.23</v>
      </c>
      <c r="J5319" s="34">
        <v>0.183</v>
      </c>
      <c r="K5319" s="34">
        <f t="shared" si="166"/>
        <v>2055.09</v>
      </c>
      <c r="L5319" s="34">
        <v>1.65</v>
      </c>
      <c r="M5319" s="34">
        <v>18529.5</v>
      </c>
      <c r="N5319" s="34">
        <f t="shared" si="167"/>
        <v>9.0163934426229506</v>
      </c>
    </row>
    <row r="5320" spans="1:14" x14ac:dyDescent="0.45">
      <c r="A5320" s="30">
        <v>2025</v>
      </c>
      <c r="B5320" s="30" t="s">
        <v>11</v>
      </c>
      <c r="C5320" s="30" t="s">
        <v>46</v>
      </c>
      <c r="D5320" s="30" t="s">
        <v>47</v>
      </c>
      <c r="E5320" s="31" t="s">
        <v>592</v>
      </c>
      <c r="F5320" s="32" t="s">
        <v>223</v>
      </c>
      <c r="G5320" s="32" t="s">
        <v>50</v>
      </c>
      <c r="H5320" s="33">
        <v>102510</v>
      </c>
      <c r="I5320" s="34">
        <f>Table3[[#This Row],[Volume, kg.]]/1000</f>
        <v>102.51</v>
      </c>
      <c r="J5320" s="34">
        <v>0.2253</v>
      </c>
      <c r="K5320" s="34">
        <f t="shared" si="166"/>
        <v>23095.503000000001</v>
      </c>
      <c r="L5320" s="34">
        <v>1.84</v>
      </c>
      <c r="M5320" s="34">
        <v>188554</v>
      </c>
      <c r="N5320" s="34">
        <f t="shared" si="167"/>
        <v>8.166888592987128</v>
      </c>
    </row>
    <row r="5321" spans="1:14" x14ac:dyDescent="0.45">
      <c r="A5321" s="30">
        <v>2025</v>
      </c>
      <c r="B5321" s="30" t="s">
        <v>11</v>
      </c>
      <c r="C5321" s="30" t="s">
        <v>46</v>
      </c>
      <c r="D5321" s="30" t="s">
        <v>47</v>
      </c>
      <c r="E5321" s="31" t="s">
        <v>593</v>
      </c>
      <c r="F5321" s="32" t="s">
        <v>49</v>
      </c>
      <c r="G5321" s="32" t="s">
        <v>50</v>
      </c>
      <c r="H5321" s="33">
        <v>29990</v>
      </c>
      <c r="I5321" s="34">
        <f>Table3[[#This Row],[Volume, kg.]]/1000</f>
        <v>29.99</v>
      </c>
      <c r="J5321" s="34">
        <v>0.22969999999999999</v>
      </c>
      <c r="K5321" s="34">
        <f t="shared" si="166"/>
        <v>6888.7029999999995</v>
      </c>
      <c r="L5321" s="34">
        <v>1.87</v>
      </c>
      <c r="M5321" s="34">
        <v>56111.5</v>
      </c>
      <c r="N5321" s="34">
        <f t="shared" si="167"/>
        <v>8.1410535481062265</v>
      </c>
    </row>
    <row r="5322" spans="1:14" x14ac:dyDescent="0.45">
      <c r="A5322" s="30">
        <v>2025</v>
      </c>
      <c r="B5322" s="30" t="s">
        <v>11</v>
      </c>
      <c r="C5322" s="30" t="s">
        <v>46</v>
      </c>
      <c r="D5322" s="30" t="s">
        <v>47</v>
      </c>
      <c r="E5322" s="31" t="s">
        <v>612</v>
      </c>
      <c r="F5322" s="32" t="s">
        <v>57</v>
      </c>
      <c r="G5322" s="32" t="s">
        <v>50</v>
      </c>
      <c r="H5322" s="33">
        <v>88160</v>
      </c>
      <c r="I5322" s="34">
        <f>Table3[[#This Row],[Volume, kg.]]/1000</f>
        <v>88.16</v>
      </c>
      <c r="J5322" s="34">
        <v>0.22589999999999999</v>
      </c>
      <c r="K5322" s="34">
        <f t="shared" si="166"/>
        <v>19915.343999999997</v>
      </c>
      <c r="L5322" s="34">
        <v>1.82</v>
      </c>
      <c r="M5322" s="34">
        <v>160724.5</v>
      </c>
      <c r="N5322" s="34">
        <f t="shared" si="167"/>
        <v>8.0566622399291727</v>
      </c>
    </row>
    <row r="5323" spans="1:14" x14ac:dyDescent="0.45">
      <c r="A5323" s="30">
        <v>2025</v>
      </c>
      <c r="B5323" s="30" t="s">
        <v>11</v>
      </c>
      <c r="C5323" s="30" t="s">
        <v>46</v>
      </c>
      <c r="D5323" s="30" t="s">
        <v>47</v>
      </c>
      <c r="E5323" s="31" t="s">
        <v>594</v>
      </c>
      <c r="F5323" s="32" t="s">
        <v>223</v>
      </c>
      <c r="G5323" s="32" t="s">
        <v>50</v>
      </c>
      <c r="H5323" s="33">
        <v>16400</v>
      </c>
      <c r="I5323" s="34">
        <f>Table3[[#This Row],[Volume, kg.]]/1000</f>
        <v>16.399999999999999</v>
      </c>
      <c r="J5323" s="34">
        <v>0.29849999999999999</v>
      </c>
      <c r="K5323" s="34">
        <f t="shared" si="166"/>
        <v>4895.3999999999996</v>
      </c>
      <c r="L5323" s="34">
        <v>2.2000000000000002</v>
      </c>
      <c r="M5323" s="34">
        <v>36080</v>
      </c>
      <c r="N5323" s="34">
        <f t="shared" si="167"/>
        <v>7.3701842546063663</v>
      </c>
    </row>
    <row r="5324" spans="1:14" x14ac:dyDescent="0.45">
      <c r="A5324" s="30">
        <v>2025</v>
      </c>
      <c r="B5324" s="30" t="s">
        <v>11</v>
      </c>
      <c r="C5324" s="30" t="s">
        <v>46</v>
      </c>
      <c r="D5324" s="30" t="s">
        <v>47</v>
      </c>
      <c r="E5324" s="31" t="s">
        <v>595</v>
      </c>
      <c r="F5324" s="32" t="s">
        <v>64</v>
      </c>
      <c r="G5324" s="32" t="s">
        <v>50</v>
      </c>
      <c r="H5324" s="33">
        <v>21430</v>
      </c>
      <c r="I5324" s="34">
        <f>Table3[[#This Row],[Volume, kg.]]/1000</f>
        <v>21.43</v>
      </c>
      <c r="J5324" s="34">
        <v>0.21190000000000001</v>
      </c>
      <c r="K5324" s="34">
        <f t="shared" si="166"/>
        <v>4541.0169999999998</v>
      </c>
      <c r="L5324" s="34">
        <v>1.85</v>
      </c>
      <c r="M5324" s="34">
        <v>39602</v>
      </c>
      <c r="N5324" s="34">
        <f t="shared" si="167"/>
        <v>8.7305332704105716</v>
      </c>
    </row>
    <row r="5325" spans="1:14" x14ac:dyDescent="0.45">
      <c r="A5325" s="30">
        <v>2025</v>
      </c>
      <c r="B5325" s="30" t="s">
        <v>11</v>
      </c>
      <c r="C5325" s="30" t="s">
        <v>46</v>
      </c>
      <c r="D5325" s="30" t="s">
        <v>47</v>
      </c>
      <c r="E5325" s="31" t="s">
        <v>606</v>
      </c>
      <c r="F5325" s="32" t="s">
        <v>49</v>
      </c>
      <c r="G5325" s="32" t="s">
        <v>50</v>
      </c>
      <c r="H5325" s="33">
        <v>16660</v>
      </c>
      <c r="I5325" s="34">
        <f>Table3[[#This Row],[Volume, kg.]]/1000</f>
        <v>16.66</v>
      </c>
      <c r="J5325" s="34">
        <v>0.19649999999999998</v>
      </c>
      <c r="K5325" s="34">
        <f t="shared" si="166"/>
        <v>3273.6899999999996</v>
      </c>
      <c r="L5325" s="34">
        <v>1.7</v>
      </c>
      <c r="M5325" s="34">
        <v>28322</v>
      </c>
      <c r="N5325" s="34">
        <f t="shared" si="167"/>
        <v>8.6513994910941481</v>
      </c>
    </row>
    <row r="5326" spans="1:14" x14ac:dyDescent="0.45">
      <c r="A5326" s="30">
        <v>2025</v>
      </c>
      <c r="B5326" s="30" t="s">
        <v>11</v>
      </c>
      <c r="C5326" s="30" t="s">
        <v>46</v>
      </c>
      <c r="D5326" s="30" t="s">
        <v>47</v>
      </c>
      <c r="E5326" s="31" t="s">
        <v>619</v>
      </c>
      <c r="F5326" s="32" t="s">
        <v>81</v>
      </c>
      <c r="G5326" s="32" t="s">
        <v>50</v>
      </c>
      <c r="H5326" s="33">
        <v>118680</v>
      </c>
      <c r="I5326" s="34">
        <f>Table3[[#This Row],[Volume, kg.]]/1000</f>
        <v>118.68</v>
      </c>
      <c r="J5326" s="34">
        <v>0.2762</v>
      </c>
      <c r="K5326" s="34">
        <f t="shared" si="166"/>
        <v>32779.415999999997</v>
      </c>
      <c r="L5326" s="34">
        <v>2.12</v>
      </c>
      <c r="M5326" s="34">
        <v>251631.5</v>
      </c>
      <c r="N5326" s="34">
        <f t="shared" si="167"/>
        <v>7.6755973931933381</v>
      </c>
    </row>
    <row r="5327" spans="1:14" x14ac:dyDescent="0.45">
      <c r="A5327" s="30">
        <v>2025</v>
      </c>
      <c r="B5327" s="30" t="s">
        <v>11</v>
      </c>
      <c r="C5327" s="30" t="s">
        <v>46</v>
      </c>
      <c r="D5327" s="30" t="s">
        <v>47</v>
      </c>
      <c r="E5327" s="31" t="s">
        <v>620</v>
      </c>
      <c r="F5327" s="32" t="s">
        <v>134</v>
      </c>
      <c r="G5327" s="32" t="s">
        <v>50</v>
      </c>
      <c r="H5327" s="33">
        <v>33260</v>
      </c>
      <c r="I5327" s="34">
        <f>Table3[[#This Row],[Volume, kg.]]/1000</f>
        <v>33.26</v>
      </c>
      <c r="J5327" s="34">
        <v>0.214</v>
      </c>
      <c r="K5327" s="34">
        <f t="shared" si="166"/>
        <v>7117.6399999999994</v>
      </c>
      <c r="L5327" s="34">
        <v>1.75</v>
      </c>
      <c r="M5327" s="34">
        <v>58205</v>
      </c>
      <c r="N5327" s="34">
        <f t="shared" si="167"/>
        <v>8.1775700934579447</v>
      </c>
    </row>
    <row r="5328" spans="1:14" x14ac:dyDescent="0.45">
      <c r="A5328" s="30">
        <v>2025</v>
      </c>
      <c r="B5328" s="30" t="s">
        <v>11</v>
      </c>
      <c r="C5328" s="30" t="s">
        <v>46</v>
      </c>
      <c r="D5328" s="30" t="s">
        <v>47</v>
      </c>
      <c r="E5328" s="31" t="s">
        <v>632</v>
      </c>
      <c r="F5328" s="32" t="s">
        <v>134</v>
      </c>
      <c r="G5328" s="32" t="s">
        <v>50</v>
      </c>
      <c r="H5328" s="33">
        <v>189720</v>
      </c>
      <c r="I5328" s="34">
        <f>Table3[[#This Row],[Volume, kg.]]/1000</f>
        <v>189.72</v>
      </c>
      <c r="J5328" s="34">
        <v>0.22870000000000001</v>
      </c>
      <c r="K5328" s="34">
        <f t="shared" si="166"/>
        <v>43388.964</v>
      </c>
      <c r="L5328" s="34">
        <v>1.88</v>
      </c>
      <c r="M5328" s="34">
        <v>357043.5</v>
      </c>
      <c r="N5328" s="34">
        <f t="shared" si="167"/>
        <v>8.2203760384783546</v>
      </c>
    </row>
    <row r="5329" spans="1:14" x14ac:dyDescent="0.45">
      <c r="A5329" s="30">
        <v>2025</v>
      </c>
      <c r="B5329" s="30" t="s">
        <v>11</v>
      </c>
      <c r="C5329" s="30" t="s">
        <v>46</v>
      </c>
      <c r="D5329" s="30" t="s">
        <v>47</v>
      </c>
      <c r="E5329" s="31" t="s">
        <v>659</v>
      </c>
      <c r="F5329" s="32" t="s">
        <v>49</v>
      </c>
      <c r="G5329" s="32" t="s">
        <v>50</v>
      </c>
      <c r="H5329" s="33">
        <v>8290</v>
      </c>
      <c r="I5329" s="34">
        <f>Table3[[#This Row],[Volume, kg.]]/1000</f>
        <v>8.2899999999999991</v>
      </c>
      <c r="J5329" s="34">
        <v>0.247</v>
      </c>
      <c r="K5329" s="34">
        <f t="shared" si="166"/>
        <v>2047.6299999999999</v>
      </c>
      <c r="L5329" s="34">
        <v>2.0499999999999998</v>
      </c>
      <c r="M5329" s="34">
        <v>16994.5</v>
      </c>
      <c r="N5329" s="34">
        <f t="shared" si="167"/>
        <v>8.2995951417004044</v>
      </c>
    </row>
    <row r="5330" spans="1:14" x14ac:dyDescent="0.45">
      <c r="A5330" s="30">
        <v>2025</v>
      </c>
      <c r="B5330" s="30" t="s">
        <v>11</v>
      </c>
      <c r="C5330" s="30" t="s">
        <v>46</v>
      </c>
      <c r="D5330" s="30" t="s">
        <v>47</v>
      </c>
      <c r="E5330" s="31" t="s">
        <v>636</v>
      </c>
      <c r="F5330" s="32" t="s">
        <v>64</v>
      </c>
      <c r="G5330" s="32" t="s">
        <v>50</v>
      </c>
      <c r="H5330" s="33">
        <v>40260</v>
      </c>
      <c r="I5330" s="34">
        <f>Table3[[#This Row],[Volume, kg.]]/1000</f>
        <v>40.26</v>
      </c>
      <c r="J5330" s="34">
        <v>0.2369</v>
      </c>
      <c r="K5330" s="34">
        <f t="shared" si="166"/>
        <v>9537.5939999999991</v>
      </c>
      <c r="L5330" s="34">
        <v>1.95</v>
      </c>
      <c r="M5330" s="34">
        <v>78376</v>
      </c>
      <c r="N5330" s="34">
        <f t="shared" si="167"/>
        <v>8.2313212325875895</v>
      </c>
    </row>
    <row r="5331" spans="1:14" x14ac:dyDescent="0.45">
      <c r="A5331" s="30">
        <v>2025</v>
      </c>
      <c r="B5331" s="30" t="s">
        <v>11</v>
      </c>
      <c r="C5331" s="30" t="s">
        <v>46</v>
      </c>
      <c r="D5331" s="30" t="s">
        <v>47</v>
      </c>
      <c r="E5331" s="31" t="s">
        <v>648</v>
      </c>
      <c r="F5331" s="32" t="s">
        <v>57</v>
      </c>
      <c r="G5331" s="32" t="s">
        <v>50</v>
      </c>
      <c r="H5331" s="33">
        <v>14180</v>
      </c>
      <c r="I5331" s="34">
        <f>Table3[[#This Row],[Volume, kg.]]/1000</f>
        <v>14.18</v>
      </c>
      <c r="J5331" s="34">
        <v>0.23550000000000001</v>
      </c>
      <c r="K5331" s="34">
        <f t="shared" si="166"/>
        <v>3339.3900000000003</v>
      </c>
      <c r="L5331" s="34">
        <v>2</v>
      </c>
      <c r="M5331" s="34">
        <v>28360</v>
      </c>
      <c r="N5331" s="34">
        <f t="shared" si="167"/>
        <v>8.4925690021231421</v>
      </c>
    </row>
    <row r="5332" spans="1:14" x14ac:dyDescent="0.45">
      <c r="A5332" s="30">
        <v>2025</v>
      </c>
      <c r="B5332" s="30" t="s">
        <v>11</v>
      </c>
      <c r="C5332" s="30" t="s">
        <v>46</v>
      </c>
      <c r="D5332" s="30" t="s">
        <v>47</v>
      </c>
      <c r="E5332" s="31" t="s">
        <v>649</v>
      </c>
      <c r="F5332" s="32" t="s">
        <v>223</v>
      </c>
      <c r="G5332" s="32" t="s">
        <v>50</v>
      </c>
      <c r="H5332" s="33">
        <v>49940</v>
      </c>
      <c r="I5332" s="34">
        <f>Table3[[#This Row],[Volume, kg.]]/1000</f>
        <v>49.94</v>
      </c>
      <c r="J5332" s="34">
        <v>0.22239999999999999</v>
      </c>
      <c r="K5332" s="34">
        <f t="shared" si="166"/>
        <v>11106.655999999999</v>
      </c>
      <c r="L5332" s="34">
        <v>1.87</v>
      </c>
      <c r="M5332" s="34">
        <v>93456</v>
      </c>
      <c r="N5332" s="34">
        <f t="shared" si="167"/>
        <v>8.4082733812949648</v>
      </c>
    </row>
    <row r="5333" spans="1:14" x14ac:dyDescent="0.45">
      <c r="A5333" s="30">
        <v>2025</v>
      </c>
      <c r="B5333" s="30" t="s">
        <v>11</v>
      </c>
      <c r="C5333" s="30" t="s">
        <v>46</v>
      </c>
      <c r="D5333" s="30" t="s">
        <v>47</v>
      </c>
      <c r="E5333" s="31" t="s">
        <v>651</v>
      </c>
      <c r="F5333" s="32" t="s">
        <v>223</v>
      </c>
      <c r="G5333" s="32" t="s">
        <v>50</v>
      </c>
      <c r="H5333" s="33">
        <v>69440</v>
      </c>
      <c r="I5333" s="34">
        <f>Table3[[#This Row],[Volume, kg.]]/1000</f>
        <v>69.44</v>
      </c>
      <c r="J5333" s="34">
        <v>0.2102</v>
      </c>
      <c r="K5333" s="34">
        <f t="shared" si="166"/>
        <v>14596.288</v>
      </c>
      <c r="L5333" s="34">
        <v>1.81</v>
      </c>
      <c r="M5333" s="34">
        <v>125670.5</v>
      </c>
      <c r="N5333" s="34">
        <f t="shared" si="167"/>
        <v>8.6108468125594673</v>
      </c>
    </row>
    <row r="5334" spans="1:14" x14ac:dyDescent="0.45">
      <c r="A5334" s="30">
        <v>2025</v>
      </c>
      <c r="B5334" s="30" t="s">
        <v>11</v>
      </c>
      <c r="C5334" s="30" t="s">
        <v>46</v>
      </c>
      <c r="D5334" s="30" t="s">
        <v>47</v>
      </c>
      <c r="E5334" s="31" t="s">
        <v>663</v>
      </c>
      <c r="F5334" s="32" t="s">
        <v>49</v>
      </c>
      <c r="G5334" s="32" t="s">
        <v>50</v>
      </c>
      <c r="H5334" s="33">
        <v>24500</v>
      </c>
      <c r="I5334" s="34">
        <f>Table3[[#This Row],[Volume, kg.]]/1000</f>
        <v>24.5</v>
      </c>
      <c r="J5334" s="34">
        <v>0.21820000000000001</v>
      </c>
      <c r="K5334" s="34">
        <f t="shared" si="166"/>
        <v>5345.9000000000005</v>
      </c>
      <c r="L5334" s="34">
        <v>1.85</v>
      </c>
      <c r="M5334" s="34">
        <v>45320</v>
      </c>
      <c r="N5334" s="34">
        <f t="shared" si="167"/>
        <v>8.4784601283226397</v>
      </c>
    </row>
    <row r="5335" spans="1:14" x14ac:dyDescent="0.45">
      <c r="A5335" s="30">
        <v>2025</v>
      </c>
      <c r="B5335" s="30" t="s">
        <v>11</v>
      </c>
      <c r="C5335" s="30" t="s">
        <v>46</v>
      </c>
      <c r="D5335" s="30" t="s">
        <v>47</v>
      </c>
      <c r="E5335" s="31" t="s">
        <v>673</v>
      </c>
      <c r="F5335" s="32" t="s">
        <v>49</v>
      </c>
      <c r="G5335" s="32" t="s">
        <v>50</v>
      </c>
      <c r="H5335" s="33">
        <v>9450</v>
      </c>
      <c r="I5335" s="34">
        <f>Table3[[#This Row],[Volume, kg.]]/1000</f>
        <v>9.4499999999999993</v>
      </c>
      <c r="J5335" s="34">
        <v>0.22699999999999998</v>
      </c>
      <c r="K5335" s="34">
        <f t="shared" si="166"/>
        <v>2145.1499999999996</v>
      </c>
      <c r="L5335" s="34">
        <v>1.85</v>
      </c>
      <c r="M5335" s="34">
        <v>17482.5</v>
      </c>
      <c r="N5335" s="34">
        <f t="shared" si="167"/>
        <v>8.1497797356828201</v>
      </c>
    </row>
    <row r="5336" spans="1:14" x14ac:dyDescent="0.45">
      <c r="A5336" s="30">
        <v>2025</v>
      </c>
      <c r="B5336" s="30" t="s">
        <v>11</v>
      </c>
      <c r="C5336" s="30" t="s">
        <v>46</v>
      </c>
      <c r="D5336" s="30" t="s">
        <v>47</v>
      </c>
      <c r="E5336" s="31" t="s">
        <v>676</v>
      </c>
      <c r="F5336" s="32" t="s">
        <v>60</v>
      </c>
      <c r="G5336" s="32" t="s">
        <v>50</v>
      </c>
      <c r="H5336" s="33">
        <v>18270</v>
      </c>
      <c r="I5336" s="34">
        <f>Table3[[#This Row],[Volume, kg.]]/1000</f>
        <v>18.27</v>
      </c>
      <c r="J5336" s="34">
        <v>0.25340000000000001</v>
      </c>
      <c r="K5336" s="34">
        <f t="shared" si="166"/>
        <v>4629.6180000000004</v>
      </c>
      <c r="L5336" s="34">
        <v>2.0699999999999998</v>
      </c>
      <c r="M5336" s="34">
        <v>37748.5</v>
      </c>
      <c r="N5336" s="34">
        <f t="shared" si="167"/>
        <v>8.1689029202841343</v>
      </c>
    </row>
    <row r="5337" spans="1:14" x14ac:dyDescent="0.45">
      <c r="A5337" s="30">
        <v>2025</v>
      </c>
      <c r="B5337" s="30" t="s">
        <v>11</v>
      </c>
      <c r="C5337" s="30" t="s">
        <v>46</v>
      </c>
      <c r="D5337" s="30" t="s">
        <v>47</v>
      </c>
      <c r="E5337" s="31" t="s">
        <v>677</v>
      </c>
      <c r="F5337" s="32" t="s">
        <v>49</v>
      </c>
      <c r="G5337" s="32" t="s">
        <v>50</v>
      </c>
      <c r="H5337" s="33">
        <v>25400</v>
      </c>
      <c r="I5337" s="34">
        <f>Table3[[#This Row],[Volume, kg.]]/1000</f>
        <v>25.4</v>
      </c>
      <c r="J5337" s="34">
        <v>0.20649999999999999</v>
      </c>
      <c r="K5337" s="34">
        <f t="shared" si="166"/>
        <v>5245.0999999999995</v>
      </c>
      <c r="L5337" s="34">
        <v>1.76</v>
      </c>
      <c r="M5337" s="34">
        <v>44770</v>
      </c>
      <c r="N5337" s="34">
        <f t="shared" si="167"/>
        <v>8.5230024213075062</v>
      </c>
    </row>
    <row r="5338" spans="1:14" x14ac:dyDescent="0.45">
      <c r="A5338" s="30">
        <v>2025</v>
      </c>
      <c r="B5338" s="30" t="s">
        <v>11</v>
      </c>
      <c r="C5338" s="30" t="s">
        <v>46</v>
      </c>
      <c r="D5338" s="30" t="s">
        <v>102</v>
      </c>
      <c r="E5338" s="31" t="s">
        <v>695</v>
      </c>
      <c r="F5338" s="32" t="s">
        <v>696</v>
      </c>
      <c r="G5338" s="32" t="s">
        <v>557</v>
      </c>
      <c r="H5338" s="33">
        <v>652510</v>
      </c>
      <c r="I5338" s="34">
        <f>Table3[[#This Row],[Volume, kg.]]/1000</f>
        <v>652.51</v>
      </c>
      <c r="J5338" s="34">
        <v>0.2059</v>
      </c>
      <c r="K5338" s="34">
        <f t="shared" si="166"/>
        <v>134351.80900000001</v>
      </c>
      <c r="L5338" s="34">
        <v>1.77</v>
      </c>
      <c r="M5338" s="34">
        <v>1155988.5</v>
      </c>
      <c r="N5338" s="34">
        <f t="shared" si="167"/>
        <v>8.5964060223409415</v>
      </c>
    </row>
    <row r="5339" spans="1:14" x14ac:dyDescent="0.45">
      <c r="A5339" s="30">
        <v>2025</v>
      </c>
      <c r="B5339" s="30" t="s">
        <v>11</v>
      </c>
      <c r="C5339" s="30" t="s">
        <v>46</v>
      </c>
      <c r="D5339" s="30" t="s">
        <v>47</v>
      </c>
      <c r="E5339" s="31" t="s">
        <v>686</v>
      </c>
      <c r="F5339" s="32" t="s">
        <v>49</v>
      </c>
      <c r="G5339" s="32" t="s">
        <v>50</v>
      </c>
      <c r="H5339" s="33">
        <v>78270</v>
      </c>
      <c r="I5339" s="34">
        <f>Table3[[#This Row],[Volume, kg.]]/1000</f>
        <v>78.27</v>
      </c>
      <c r="J5339" s="34">
        <v>0.2102</v>
      </c>
      <c r="K5339" s="34">
        <f t="shared" si="166"/>
        <v>16452.353999999999</v>
      </c>
      <c r="L5339" s="34">
        <v>1.75</v>
      </c>
      <c r="M5339" s="34">
        <v>136671.5</v>
      </c>
      <c r="N5339" s="34">
        <f t="shared" si="167"/>
        <v>8.3254043767840145</v>
      </c>
    </row>
    <row r="5340" spans="1:14" x14ac:dyDescent="0.45">
      <c r="A5340" s="30">
        <v>2025</v>
      </c>
      <c r="B5340" s="30" t="s">
        <v>11</v>
      </c>
      <c r="C5340" s="30" t="s">
        <v>46</v>
      </c>
      <c r="D5340" s="30" t="s">
        <v>47</v>
      </c>
      <c r="E5340" s="31" t="s">
        <v>687</v>
      </c>
      <c r="F5340" s="32" t="s">
        <v>49</v>
      </c>
      <c r="G5340" s="32" t="s">
        <v>50</v>
      </c>
      <c r="H5340" s="33">
        <v>15610</v>
      </c>
      <c r="I5340" s="34">
        <f>Table3[[#This Row],[Volume, kg.]]/1000</f>
        <v>15.61</v>
      </c>
      <c r="J5340" s="34">
        <v>0.2465</v>
      </c>
      <c r="K5340" s="34">
        <f t="shared" si="166"/>
        <v>3847.8649999999998</v>
      </c>
      <c r="L5340" s="34">
        <v>1.95</v>
      </c>
      <c r="M5340" s="34">
        <v>30439.5</v>
      </c>
      <c r="N5340" s="34">
        <f t="shared" si="167"/>
        <v>7.9107505070993911</v>
      </c>
    </row>
    <row r="5341" spans="1:14" x14ac:dyDescent="0.45">
      <c r="A5341" s="30">
        <v>2025</v>
      </c>
      <c r="B5341" s="30" t="s">
        <v>11</v>
      </c>
      <c r="C5341" s="30" t="s">
        <v>46</v>
      </c>
      <c r="D5341" s="30" t="s">
        <v>102</v>
      </c>
      <c r="E5341" s="31" t="s">
        <v>697</v>
      </c>
      <c r="F5341" s="32" t="s">
        <v>107</v>
      </c>
      <c r="G5341" s="32" t="s">
        <v>108</v>
      </c>
      <c r="H5341" s="33">
        <v>530700</v>
      </c>
      <c r="I5341" s="34">
        <f>Table3[[#This Row],[Volume, kg.]]/1000</f>
        <v>530.70000000000005</v>
      </c>
      <c r="J5341" s="34">
        <v>0.22940000000000002</v>
      </c>
      <c r="K5341" s="34">
        <f t="shared" si="166"/>
        <v>121742.58000000002</v>
      </c>
      <c r="L5341" s="34">
        <v>1.87</v>
      </c>
      <c r="M5341" s="34">
        <v>990476.5</v>
      </c>
      <c r="N5341" s="34">
        <f t="shared" si="167"/>
        <v>8.1517000871839578</v>
      </c>
    </row>
    <row r="5342" spans="1:14" x14ac:dyDescent="0.45">
      <c r="A5342" s="30">
        <v>2025</v>
      </c>
      <c r="B5342" s="30" t="s">
        <v>11</v>
      </c>
      <c r="C5342" s="30" t="s">
        <v>46</v>
      </c>
      <c r="D5342" s="30" t="s">
        <v>47</v>
      </c>
      <c r="E5342" s="31" t="s">
        <v>698</v>
      </c>
      <c r="F5342" s="32" t="s">
        <v>57</v>
      </c>
      <c r="G5342" s="32" t="s">
        <v>50</v>
      </c>
      <c r="H5342" s="33">
        <v>7920</v>
      </c>
      <c r="I5342" s="34">
        <f>Table3[[#This Row],[Volume, kg.]]/1000</f>
        <v>7.92</v>
      </c>
      <c r="J5342" s="34">
        <v>0.26600000000000001</v>
      </c>
      <c r="K5342" s="34">
        <f t="shared" si="166"/>
        <v>2106.7200000000003</v>
      </c>
      <c r="L5342" s="34">
        <v>2.0499999999999998</v>
      </c>
      <c r="M5342" s="34">
        <v>16236</v>
      </c>
      <c r="N5342" s="34">
        <f t="shared" si="167"/>
        <v>7.7067669172932316</v>
      </c>
    </row>
    <row r="5343" spans="1:14" x14ac:dyDescent="0.45">
      <c r="A5343" s="30">
        <v>2025</v>
      </c>
      <c r="B5343" s="30" t="s">
        <v>11</v>
      </c>
      <c r="C5343" s="30" t="s">
        <v>46</v>
      </c>
      <c r="D5343" s="30" t="s">
        <v>102</v>
      </c>
      <c r="E5343" s="31" t="s">
        <v>706</v>
      </c>
      <c r="F5343" s="32" t="s">
        <v>349</v>
      </c>
      <c r="G5343" s="32" t="s">
        <v>105</v>
      </c>
      <c r="H5343" s="33">
        <v>576560</v>
      </c>
      <c r="I5343" s="34">
        <f>Table3[[#This Row],[Volume, kg.]]/1000</f>
        <v>576.55999999999995</v>
      </c>
      <c r="J5343" s="34">
        <v>0.21840000000000001</v>
      </c>
      <c r="K5343" s="34">
        <f t="shared" si="166"/>
        <v>125920.70400000001</v>
      </c>
      <c r="L5343" s="34">
        <v>1.85</v>
      </c>
      <c r="M5343" s="34">
        <v>1065587</v>
      </c>
      <c r="N5343" s="34">
        <f t="shared" si="167"/>
        <v>8.4706959706959708</v>
      </c>
    </row>
    <row r="5344" spans="1:14" x14ac:dyDescent="0.45">
      <c r="A5344" s="30">
        <v>2025</v>
      </c>
      <c r="B5344" s="30" t="s">
        <v>11</v>
      </c>
      <c r="C5344" s="30" t="s">
        <v>46</v>
      </c>
      <c r="D5344" s="30" t="s">
        <v>102</v>
      </c>
      <c r="E5344" s="31" t="s">
        <v>707</v>
      </c>
      <c r="F5344" s="32" t="s">
        <v>331</v>
      </c>
      <c r="G5344" s="32" t="s">
        <v>105</v>
      </c>
      <c r="H5344" s="33">
        <v>174820</v>
      </c>
      <c r="I5344" s="34">
        <f>Table3[[#This Row],[Volume, kg.]]/1000</f>
        <v>174.82</v>
      </c>
      <c r="J5344" s="34">
        <v>0.22239999999999999</v>
      </c>
      <c r="K5344" s="34">
        <f t="shared" si="166"/>
        <v>38879.968000000001</v>
      </c>
      <c r="L5344" s="34">
        <v>1.83</v>
      </c>
      <c r="M5344" s="34">
        <v>320353</v>
      </c>
      <c r="N5344" s="34">
        <f t="shared" si="167"/>
        <v>8.2284172661870514</v>
      </c>
    </row>
    <row r="5345" spans="1:14" x14ac:dyDescent="0.45">
      <c r="A5345" s="30">
        <v>2025</v>
      </c>
      <c r="B5345" s="30" t="s">
        <v>11</v>
      </c>
      <c r="C5345" s="30" t="s">
        <v>46</v>
      </c>
      <c r="D5345" s="30" t="s">
        <v>47</v>
      </c>
      <c r="E5345" s="31" t="s">
        <v>717</v>
      </c>
      <c r="F5345" s="32" t="s">
        <v>223</v>
      </c>
      <c r="G5345" s="32" t="s">
        <v>50</v>
      </c>
      <c r="H5345" s="33">
        <v>45230</v>
      </c>
      <c r="I5345" s="34">
        <f>Table3[[#This Row],[Volume, kg.]]/1000</f>
        <v>45.23</v>
      </c>
      <c r="J5345" s="34">
        <v>0.25059999999999999</v>
      </c>
      <c r="K5345" s="34">
        <f t="shared" si="166"/>
        <v>11334.637999999999</v>
      </c>
      <c r="L5345" s="34">
        <v>1.95</v>
      </c>
      <c r="M5345" s="34">
        <v>88248</v>
      </c>
      <c r="N5345" s="34">
        <f t="shared" si="167"/>
        <v>7.7813248204309655</v>
      </c>
    </row>
    <row r="5346" spans="1:14" x14ac:dyDescent="0.45">
      <c r="A5346" s="30">
        <v>2025</v>
      </c>
      <c r="B5346" s="30" t="s">
        <v>11</v>
      </c>
      <c r="C5346" s="30" t="s">
        <v>46</v>
      </c>
      <c r="D5346" s="30" t="s">
        <v>47</v>
      </c>
      <c r="E5346" s="31" t="s">
        <v>714</v>
      </c>
      <c r="F5346" s="32" t="s">
        <v>238</v>
      </c>
      <c r="G5346" s="32" t="s">
        <v>50</v>
      </c>
      <c r="H5346" s="33">
        <v>30340</v>
      </c>
      <c r="I5346" s="34">
        <f>Table3[[#This Row],[Volume, kg.]]/1000</f>
        <v>30.34</v>
      </c>
      <c r="J5346" s="34">
        <v>0.21660000000000001</v>
      </c>
      <c r="K5346" s="34">
        <f t="shared" si="166"/>
        <v>6571.6440000000002</v>
      </c>
      <c r="L5346" s="34">
        <v>1.78</v>
      </c>
      <c r="M5346" s="34">
        <v>53900</v>
      </c>
      <c r="N5346" s="34">
        <f t="shared" si="167"/>
        <v>8.2179132040627874</v>
      </c>
    </row>
    <row r="5347" spans="1:14" x14ac:dyDescent="0.45">
      <c r="A5347" s="30">
        <v>2025</v>
      </c>
      <c r="B5347" s="30" t="s">
        <v>11</v>
      </c>
      <c r="C5347" s="30" t="s">
        <v>46</v>
      </c>
      <c r="D5347" s="30" t="s">
        <v>47</v>
      </c>
      <c r="E5347" s="31" t="s">
        <v>719</v>
      </c>
      <c r="F5347" s="32" t="s">
        <v>81</v>
      </c>
      <c r="G5347" s="32" t="s">
        <v>50</v>
      </c>
      <c r="H5347" s="33">
        <v>12330</v>
      </c>
      <c r="I5347" s="34">
        <f>Table3[[#This Row],[Volume, kg.]]/1000</f>
        <v>12.33</v>
      </c>
      <c r="J5347" s="34">
        <v>0.26950000000000002</v>
      </c>
      <c r="K5347" s="34">
        <f t="shared" si="166"/>
        <v>3322.9350000000004</v>
      </c>
      <c r="L5347" s="34">
        <v>2</v>
      </c>
      <c r="M5347" s="34">
        <v>24660</v>
      </c>
      <c r="N5347" s="34">
        <f t="shared" si="167"/>
        <v>7.4211502782931351</v>
      </c>
    </row>
    <row r="5348" spans="1:14" x14ac:dyDescent="0.45">
      <c r="A5348" s="30">
        <v>2025</v>
      </c>
      <c r="B5348" s="30" t="s">
        <v>11</v>
      </c>
      <c r="C5348" s="30" t="s">
        <v>46</v>
      </c>
      <c r="D5348" s="30" t="s">
        <v>47</v>
      </c>
      <c r="E5348" s="31" t="s">
        <v>721</v>
      </c>
      <c r="F5348" s="32" t="s">
        <v>49</v>
      </c>
      <c r="G5348" s="32" t="s">
        <v>50</v>
      </c>
      <c r="H5348" s="33">
        <v>28820</v>
      </c>
      <c r="I5348" s="34">
        <f>Table3[[#This Row],[Volume, kg.]]/1000</f>
        <v>28.82</v>
      </c>
      <c r="J5348" s="34">
        <v>0.25650000000000001</v>
      </c>
      <c r="K5348" s="34">
        <f t="shared" si="166"/>
        <v>7392.33</v>
      </c>
      <c r="L5348" s="34">
        <v>1.98</v>
      </c>
      <c r="M5348" s="34">
        <v>57068.5</v>
      </c>
      <c r="N5348" s="34">
        <f t="shared" si="167"/>
        <v>7.7192982456140351</v>
      </c>
    </row>
    <row r="5349" spans="1:14" x14ac:dyDescent="0.45">
      <c r="A5349" s="30">
        <v>2025</v>
      </c>
      <c r="B5349" s="30" t="s">
        <v>11</v>
      </c>
      <c r="C5349" s="30" t="s">
        <v>46</v>
      </c>
      <c r="D5349" s="30" t="s">
        <v>47</v>
      </c>
      <c r="E5349" s="31" t="s">
        <v>723</v>
      </c>
      <c r="F5349" s="32" t="s">
        <v>49</v>
      </c>
      <c r="G5349" s="32" t="s">
        <v>50</v>
      </c>
      <c r="H5349" s="33">
        <v>32080</v>
      </c>
      <c r="I5349" s="34">
        <f>Table3[[#This Row],[Volume, kg.]]/1000</f>
        <v>32.08</v>
      </c>
      <c r="J5349" s="34">
        <v>0.23430000000000001</v>
      </c>
      <c r="K5349" s="34">
        <f t="shared" si="166"/>
        <v>7516.3440000000001</v>
      </c>
      <c r="L5349" s="34">
        <v>1.92</v>
      </c>
      <c r="M5349" s="34">
        <v>61675</v>
      </c>
      <c r="N5349" s="34">
        <f t="shared" si="167"/>
        <v>8.1946222791293213</v>
      </c>
    </row>
    <row r="5350" spans="1:14" x14ac:dyDescent="0.45">
      <c r="A5350" s="30">
        <v>2025</v>
      </c>
      <c r="B5350" s="30" t="s">
        <v>11</v>
      </c>
      <c r="C5350" s="30" t="s">
        <v>46</v>
      </c>
      <c r="D5350" s="30" t="s">
        <v>47</v>
      </c>
      <c r="E5350" s="31" t="s">
        <v>724</v>
      </c>
      <c r="F5350" s="32" t="s">
        <v>64</v>
      </c>
      <c r="G5350" s="32" t="s">
        <v>50</v>
      </c>
      <c r="H5350" s="33">
        <v>35020</v>
      </c>
      <c r="I5350" s="34">
        <f>Table3[[#This Row],[Volume, kg.]]/1000</f>
        <v>35.020000000000003</v>
      </c>
      <c r="J5350" s="34">
        <v>0.21579999999999999</v>
      </c>
      <c r="K5350" s="34">
        <f t="shared" si="166"/>
        <v>7557.3159999999998</v>
      </c>
      <c r="L5350" s="34">
        <v>1.81</v>
      </c>
      <c r="M5350" s="34">
        <v>63298</v>
      </c>
      <c r="N5350" s="34">
        <f t="shared" si="167"/>
        <v>8.3873957367933283</v>
      </c>
    </row>
    <row r="5351" spans="1:14" x14ac:dyDescent="0.45">
      <c r="A5351" s="30">
        <v>2025</v>
      </c>
      <c r="B5351" s="30" t="s">
        <v>11</v>
      </c>
      <c r="C5351" s="30" t="s">
        <v>46</v>
      </c>
      <c r="D5351" s="30" t="s">
        <v>47</v>
      </c>
      <c r="E5351" s="31" t="s">
        <v>725</v>
      </c>
      <c r="F5351" s="32" t="s">
        <v>49</v>
      </c>
      <c r="G5351" s="32" t="s">
        <v>50</v>
      </c>
      <c r="H5351" s="33">
        <v>51860</v>
      </c>
      <c r="I5351" s="34">
        <f>Table3[[#This Row],[Volume, kg.]]/1000</f>
        <v>51.86</v>
      </c>
      <c r="J5351" s="34">
        <v>0.23350000000000001</v>
      </c>
      <c r="K5351" s="34">
        <f t="shared" si="166"/>
        <v>12109.310000000001</v>
      </c>
      <c r="L5351" s="34">
        <v>1.87</v>
      </c>
      <c r="M5351" s="34">
        <v>96853.5</v>
      </c>
      <c r="N5351" s="34">
        <f t="shared" si="167"/>
        <v>8.0085653104925054</v>
      </c>
    </row>
    <row r="5352" spans="1:14" x14ac:dyDescent="0.45">
      <c r="A5352" s="30">
        <v>2025</v>
      </c>
      <c r="B5352" s="30" t="s">
        <v>12</v>
      </c>
      <c r="C5352" s="30" t="s">
        <v>46</v>
      </c>
      <c r="D5352" s="30" t="s">
        <v>102</v>
      </c>
      <c r="E5352" s="31" t="s">
        <v>239</v>
      </c>
      <c r="F5352" s="32" t="s">
        <v>240</v>
      </c>
      <c r="G5352" s="32" t="s">
        <v>50</v>
      </c>
      <c r="H5352" s="33">
        <v>37090</v>
      </c>
      <c r="I5352" s="34">
        <f>Table3[[#This Row],[Volume, kg.]]/1000</f>
        <v>37.090000000000003</v>
      </c>
      <c r="J5352" s="34">
        <v>0.18510000000000001</v>
      </c>
      <c r="K5352" s="34">
        <f>H5352*J5352</f>
        <v>6865.3590000000004</v>
      </c>
      <c r="L5352" s="34">
        <v>1.59</v>
      </c>
      <c r="M5352" s="34">
        <v>58932</v>
      </c>
      <c r="N5352" s="34">
        <f>L5352/J5352</f>
        <v>8.589951377633712</v>
      </c>
    </row>
    <row r="5353" spans="1:14" x14ac:dyDescent="0.45">
      <c r="A5353" s="30">
        <v>2025</v>
      </c>
      <c r="B5353" s="30" t="s">
        <v>12</v>
      </c>
      <c r="C5353" s="30" t="s">
        <v>46</v>
      </c>
      <c r="D5353" s="30" t="s">
        <v>102</v>
      </c>
      <c r="E5353" s="31" t="s">
        <v>188</v>
      </c>
      <c r="F5353" s="32" t="s">
        <v>189</v>
      </c>
      <c r="G5353" s="32" t="s">
        <v>128</v>
      </c>
      <c r="H5353" s="33">
        <v>756640</v>
      </c>
      <c r="I5353" s="34">
        <f>Table3[[#This Row],[Volume, kg.]]/1000</f>
        <v>756.64</v>
      </c>
      <c r="J5353" s="34">
        <v>0.21539999999999998</v>
      </c>
      <c r="K5353" s="34">
        <f t="shared" ref="K5353:K5416" si="168">H5353*J5353</f>
        <v>162980.25599999999</v>
      </c>
      <c r="L5353" s="34">
        <v>1.76</v>
      </c>
      <c r="M5353" s="34">
        <v>1328981.5</v>
      </c>
      <c r="N5353" s="34">
        <f t="shared" ref="N5353:N5416" si="169">L5353/J5353</f>
        <v>8.1708449396471696</v>
      </c>
    </row>
    <row r="5354" spans="1:14" x14ac:dyDescent="0.45">
      <c r="A5354" s="30">
        <v>2025</v>
      </c>
      <c r="B5354" s="30" t="s">
        <v>12</v>
      </c>
      <c r="C5354" s="30" t="s">
        <v>46</v>
      </c>
      <c r="D5354" s="30" t="s">
        <v>102</v>
      </c>
      <c r="E5354" s="31" t="s">
        <v>222</v>
      </c>
      <c r="F5354" s="32" t="s">
        <v>223</v>
      </c>
      <c r="G5354" s="32" t="s">
        <v>50</v>
      </c>
      <c r="H5354" s="33">
        <v>668910</v>
      </c>
      <c r="I5354" s="34">
        <f>Table3[[#This Row],[Volume, kg.]]/1000</f>
        <v>668.91</v>
      </c>
      <c r="J5354" s="34">
        <v>0.19239999999999999</v>
      </c>
      <c r="K5354" s="34">
        <f t="shared" si="168"/>
        <v>128698.28399999999</v>
      </c>
      <c r="L5354" s="34">
        <v>1.66</v>
      </c>
      <c r="M5354" s="34">
        <v>1112242.5</v>
      </c>
      <c r="N5354" s="34">
        <f t="shared" si="169"/>
        <v>8.6278586278586271</v>
      </c>
    </row>
    <row r="5355" spans="1:14" x14ac:dyDescent="0.45">
      <c r="A5355" s="30">
        <v>2025</v>
      </c>
      <c r="B5355" s="30" t="s">
        <v>12</v>
      </c>
      <c r="C5355" s="30" t="s">
        <v>46</v>
      </c>
      <c r="D5355" s="30" t="s">
        <v>102</v>
      </c>
      <c r="E5355" s="31" t="s">
        <v>336</v>
      </c>
      <c r="F5355" s="32" t="s">
        <v>114</v>
      </c>
      <c r="G5355" s="32" t="s">
        <v>108</v>
      </c>
      <c r="H5355" s="33">
        <v>755600</v>
      </c>
      <c r="I5355" s="34">
        <f>Table3[[#This Row],[Volume, kg.]]/1000</f>
        <v>755.6</v>
      </c>
      <c r="J5355" s="34">
        <v>0.21539999999999998</v>
      </c>
      <c r="K5355" s="34">
        <f t="shared" si="168"/>
        <v>162756.24</v>
      </c>
      <c r="L5355" s="34">
        <v>1.73</v>
      </c>
      <c r="M5355" s="34">
        <v>1305448.5</v>
      </c>
      <c r="N5355" s="34">
        <f t="shared" si="169"/>
        <v>8.0315691736304551</v>
      </c>
    </row>
    <row r="5356" spans="1:14" x14ac:dyDescent="0.45">
      <c r="A5356" s="30">
        <v>2025</v>
      </c>
      <c r="B5356" s="30" t="s">
        <v>12</v>
      </c>
      <c r="C5356" s="30" t="s">
        <v>46</v>
      </c>
      <c r="D5356" s="30" t="s">
        <v>102</v>
      </c>
      <c r="E5356" s="31" t="s">
        <v>726</v>
      </c>
      <c r="F5356" s="32" t="s">
        <v>727</v>
      </c>
      <c r="G5356" s="32" t="s">
        <v>728</v>
      </c>
      <c r="H5356" s="33">
        <v>111340</v>
      </c>
      <c r="I5356" s="34">
        <f>Table3[[#This Row],[Volume, kg.]]/1000</f>
        <v>111.34</v>
      </c>
      <c r="J5356" s="34">
        <v>0.17460000000000001</v>
      </c>
      <c r="K5356" s="34">
        <f t="shared" si="168"/>
        <v>19439.964</v>
      </c>
      <c r="L5356" s="34">
        <v>1.54</v>
      </c>
      <c r="M5356" s="34">
        <v>171273.5</v>
      </c>
      <c r="N5356" s="34">
        <f t="shared" si="169"/>
        <v>8.8201603665521198</v>
      </c>
    </row>
    <row r="5357" spans="1:14" x14ac:dyDescent="0.45">
      <c r="A5357" s="30">
        <v>2025</v>
      </c>
      <c r="B5357" s="30" t="s">
        <v>12</v>
      </c>
      <c r="C5357" s="30" t="s">
        <v>46</v>
      </c>
      <c r="D5357" s="30" t="s">
        <v>47</v>
      </c>
      <c r="E5357" s="31" t="s">
        <v>729</v>
      </c>
      <c r="F5357" s="32" t="s">
        <v>49</v>
      </c>
      <c r="G5357" s="32" t="s">
        <v>50</v>
      </c>
      <c r="H5357" s="33">
        <v>7440</v>
      </c>
      <c r="I5357" s="34">
        <f>Table3[[#This Row],[Volume, kg.]]/1000</f>
        <v>7.44</v>
      </c>
      <c r="J5357" s="34">
        <v>0.1535</v>
      </c>
      <c r="K5357" s="34">
        <f t="shared" si="168"/>
        <v>1142.04</v>
      </c>
      <c r="L5357" s="34">
        <v>1.45</v>
      </c>
      <c r="M5357" s="34">
        <v>10788</v>
      </c>
      <c r="N5357" s="34">
        <f t="shared" si="169"/>
        <v>9.4462540716612384</v>
      </c>
    </row>
    <row r="5358" spans="1:14" x14ac:dyDescent="0.45">
      <c r="A5358" s="30">
        <v>2025</v>
      </c>
      <c r="B5358" s="30" t="s">
        <v>12</v>
      </c>
      <c r="C5358" s="30" t="s">
        <v>46</v>
      </c>
      <c r="D5358" s="30" t="s">
        <v>47</v>
      </c>
      <c r="E5358" s="31" t="s">
        <v>426</v>
      </c>
      <c r="F5358" s="32" t="s">
        <v>49</v>
      </c>
      <c r="G5358" s="32" t="s">
        <v>50</v>
      </c>
      <c r="H5358" s="33">
        <v>1100</v>
      </c>
      <c r="I5358" s="34">
        <f>Table3[[#This Row],[Volume, kg.]]/1000</f>
        <v>1.1000000000000001</v>
      </c>
      <c r="J5358" s="34">
        <v>0.22</v>
      </c>
      <c r="K5358" s="34">
        <f t="shared" si="168"/>
        <v>242</v>
      </c>
      <c r="L5358" s="34">
        <v>1.8</v>
      </c>
      <c r="M5358" s="34">
        <v>1980</v>
      </c>
      <c r="N5358" s="34">
        <f t="shared" si="169"/>
        <v>8.1818181818181817</v>
      </c>
    </row>
    <row r="5359" spans="1:14" x14ac:dyDescent="0.45">
      <c r="A5359" s="30">
        <v>2025</v>
      </c>
      <c r="B5359" s="30" t="s">
        <v>12</v>
      </c>
      <c r="C5359" s="30" t="s">
        <v>46</v>
      </c>
      <c r="D5359" s="30" t="s">
        <v>47</v>
      </c>
      <c r="E5359" s="31" t="s">
        <v>213</v>
      </c>
      <c r="F5359" s="32" t="s">
        <v>49</v>
      </c>
      <c r="G5359" s="32" t="s">
        <v>50</v>
      </c>
      <c r="H5359" s="33">
        <v>88290</v>
      </c>
      <c r="I5359" s="34">
        <f>Table3[[#This Row],[Volume, kg.]]/1000</f>
        <v>88.29</v>
      </c>
      <c r="J5359" s="34">
        <v>0.22239999999999999</v>
      </c>
      <c r="K5359" s="34">
        <f t="shared" si="168"/>
        <v>19635.696</v>
      </c>
      <c r="L5359" s="34">
        <v>1.78</v>
      </c>
      <c r="M5359" s="34">
        <v>157293</v>
      </c>
      <c r="N5359" s="34">
        <f t="shared" si="169"/>
        <v>8.0035971223021587</v>
      </c>
    </row>
    <row r="5360" spans="1:14" x14ac:dyDescent="0.45">
      <c r="A5360" s="30">
        <v>2025</v>
      </c>
      <c r="B5360" s="30" t="s">
        <v>12</v>
      </c>
      <c r="C5360" s="30" t="s">
        <v>46</v>
      </c>
      <c r="D5360" s="30" t="s">
        <v>47</v>
      </c>
      <c r="E5360" s="31" t="s">
        <v>69</v>
      </c>
      <c r="F5360" s="32" t="s">
        <v>49</v>
      </c>
      <c r="G5360" s="32" t="s">
        <v>50</v>
      </c>
      <c r="H5360" s="33">
        <v>108050</v>
      </c>
      <c r="I5360" s="34">
        <f>Table3[[#This Row],[Volume, kg.]]/1000</f>
        <v>108.05</v>
      </c>
      <c r="J5360" s="34">
        <v>0.21690000000000001</v>
      </c>
      <c r="K5360" s="34">
        <f t="shared" si="168"/>
        <v>23436.045000000002</v>
      </c>
      <c r="L5360" s="34">
        <v>1.77</v>
      </c>
      <c r="M5360" s="34">
        <v>190856.5</v>
      </c>
      <c r="N5360" s="34">
        <f t="shared" si="169"/>
        <v>8.1604426002766246</v>
      </c>
    </row>
    <row r="5361" spans="1:14" x14ac:dyDescent="0.45">
      <c r="A5361" s="30">
        <v>2025</v>
      </c>
      <c r="B5361" s="30" t="s">
        <v>12</v>
      </c>
      <c r="C5361" s="30" t="s">
        <v>46</v>
      </c>
      <c r="D5361" s="30" t="s">
        <v>47</v>
      </c>
      <c r="E5361" s="31" t="s">
        <v>326</v>
      </c>
      <c r="F5361" s="32" t="s">
        <v>57</v>
      </c>
      <c r="G5361" s="32" t="s">
        <v>50</v>
      </c>
      <c r="H5361" s="33">
        <v>192230</v>
      </c>
      <c r="I5361" s="34">
        <f>Table3[[#This Row],[Volume, kg.]]/1000</f>
        <v>192.23</v>
      </c>
      <c r="J5361" s="34">
        <v>0.22409999999999999</v>
      </c>
      <c r="K5361" s="34">
        <f t="shared" si="168"/>
        <v>43078.743000000002</v>
      </c>
      <c r="L5361" s="34">
        <v>1.78</v>
      </c>
      <c r="M5361" s="34">
        <v>341445.5</v>
      </c>
      <c r="N5361" s="34">
        <f t="shared" si="169"/>
        <v>7.9428826416778229</v>
      </c>
    </row>
    <row r="5362" spans="1:14" x14ac:dyDescent="0.45">
      <c r="A5362" s="30">
        <v>2025</v>
      </c>
      <c r="B5362" s="30" t="s">
        <v>12</v>
      </c>
      <c r="C5362" s="30" t="s">
        <v>46</v>
      </c>
      <c r="D5362" s="30" t="s">
        <v>47</v>
      </c>
      <c r="E5362" s="31" t="s">
        <v>52</v>
      </c>
      <c r="F5362" s="32" t="s">
        <v>49</v>
      </c>
      <c r="G5362" s="32" t="s">
        <v>50</v>
      </c>
      <c r="H5362" s="33">
        <v>6890</v>
      </c>
      <c r="I5362" s="34">
        <f>Table3[[#This Row],[Volume, kg.]]/1000</f>
        <v>6.89</v>
      </c>
      <c r="J5362" s="34">
        <v>0.22600000000000001</v>
      </c>
      <c r="K5362" s="34">
        <f t="shared" si="168"/>
        <v>1557.14</v>
      </c>
      <c r="L5362" s="34">
        <v>1.85</v>
      </c>
      <c r="M5362" s="34">
        <v>12746.5</v>
      </c>
      <c r="N5362" s="34">
        <f t="shared" si="169"/>
        <v>8.1858407079646014</v>
      </c>
    </row>
    <row r="5363" spans="1:14" x14ac:dyDescent="0.45">
      <c r="A5363" s="30">
        <v>2025</v>
      </c>
      <c r="B5363" s="30" t="s">
        <v>12</v>
      </c>
      <c r="C5363" s="30" t="s">
        <v>46</v>
      </c>
      <c r="D5363" s="30" t="s">
        <v>47</v>
      </c>
      <c r="E5363" s="31" t="s">
        <v>85</v>
      </c>
      <c r="F5363" s="32" t="s">
        <v>49</v>
      </c>
      <c r="G5363" s="32" t="s">
        <v>50</v>
      </c>
      <c r="H5363" s="33">
        <v>57880</v>
      </c>
      <c r="I5363" s="34">
        <f>Table3[[#This Row],[Volume, kg.]]/1000</f>
        <v>57.88</v>
      </c>
      <c r="J5363" s="34">
        <v>0.23089999999999999</v>
      </c>
      <c r="K5363" s="34">
        <f t="shared" si="168"/>
        <v>13364.492</v>
      </c>
      <c r="L5363" s="34">
        <v>1.8</v>
      </c>
      <c r="M5363" s="34">
        <v>103951.5</v>
      </c>
      <c r="N5363" s="34">
        <f t="shared" si="169"/>
        <v>7.79558250324816</v>
      </c>
    </row>
    <row r="5364" spans="1:14" x14ac:dyDescent="0.45">
      <c r="A5364" s="30">
        <v>2025</v>
      </c>
      <c r="B5364" s="30" t="s">
        <v>12</v>
      </c>
      <c r="C5364" s="30" t="s">
        <v>46</v>
      </c>
      <c r="D5364" s="30" t="s">
        <v>47</v>
      </c>
      <c r="E5364" s="31" t="s">
        <v>381</v>
      </c>
      <c r="F5364" s="32" t="s">
        <v>49</v>
      </c>
      <c r="G5364" s="32" t="s">
        <v>50</v>
      </c>
      <c r="H5364" s="33">
        <v>43360</v>
      </c>
      <c r="I5364" s="34">
        <f>Table3[[#This Row],[Volume, kg.]]/1000</f>
        <v>43.36</v>
      </c>
      <c r="J5364" s="34">
        <v>0.2102</v>
      </c>
      <c r="K5364" s="34">
        <f t="shared" si="168"/>
        <v>9114.271999999999</v>
      </c>
      <c r="L5364" s="34">
        <v>1.71</v>
      </c>
      <c r="M5364" s="34">
        <v>73953.5</v>
      </c>
      <c r="N5364" s="34">
        <f t="shared" si="169"/>
        <v>8.135109419600381</v>
      </c>
    </row>
    <row r="5365" spans="1:14" x14ac:dyDescent="0.45">
      <c r="A5365" s="30">
        <v>2025</v>
      </c>
      <c r="B5365" s="30" t="s">
        <v>12</v>
      </c>
      <c r="C5365" s="30" t="s">
        <v>46</v>
      </c>
      <c r="D5365" s="30" t="s">
        <v>47</v>
      </c>
      <c r="E5365" s="31" t="s">
        <v>382</v>
      </c>
      <c r="F5365" s="32" t="s">
        <v>60</v>
      </c>
      <c r="G5365" s="32" t="s">
        <v>50</v>
      </c>
      <c r="H5365" s="33">
        <v>12340</v>
      </c>
      <c r="I5365" s="34">
        <f>Table3[[#This Row],[Volume, kg.]]/1000</f>
        <v>12.34</v>
      </c>
      <c r="J5365" s="34">
        <v>0.1855</v>
      </c>
      <c r="K5365" s="34">
        <f t="shared" si="168"/>
        <v>2289.0700000000002</v>
      </c>
      <c r="L5365" s="34">
        <v>1.65</v>
      </c>
      <c r="M5365" s="34">
        <v>20361</v>
      </c>
      <c r="N5365" s="34">
        <f t="shared" si="169"/>
        <v>8.8948787061994601</v>
      </c>
    </row>
    <row r="5366" spans="1:14" x14ac:dyDescent="0.45">
      <c r="A5366" s="30">
        <v>2025</v>
      </c>
      <c r="B5366" s="30" t="s">
        <v>12</v>
      </c>
      <c r="C5366" s="30" t="s">
        <v>46</v>
      </c>
      <c r="D5366" s="30" t="s">
        <v>47</v>
      </c>
      <c r="E5366" s="31" t="s">
        <v>433</v>
      </c>
      <c r="F5366" s="32" t="s">
        <v>49</v>
      </c>
      <c r="G5366" s="32" t="s">
        <v>50</v>
      </c>
      <c r="H5366" s="33">
        <v>22560</v>
      </c>
      <c r="I5366" s="34">
        <f>Table3[[#This Row],[Volume, kg.]]/1000</f>
        <v>22.56</v>
      </c>
      <c r="J5366" s="34">
        <v>0.18410000000000001</v>
      </c>
      <c r="K5366" s="34">
        <f t="shared" si="168"/>
        <v>4153.2960000000003</v>
      </c>
      <c r="L5366" s="34">
        <v>1.63</v>
      </c>
      <c r="M5366" s="34">
        <v>36754</v>
      </c>
      <c r="N5366" s="34">
        <f t="shared" si="169"/>
        <v>8.8538837588267238</v>
      </c>
    </row>
    <row r="5367" spans="1:14" x14ac:dyDescent="0.45">
      <c r="A5367" s="30">
        <v>2025</v>
      </c>
      <c r="B5367" s="30" t="s">
        <v>12</v>
      </c>
      <c r="C5367" s="30" t="s">
        <v>46</v>
      </c>
      <c r="D5367" s="30" t="s">
        <v>47</v>
      </c>
      <c r="E5367" s="31" t="s">
        <v>235</v>
      </c>
      <c r="F5367" s="32" t="s">
        <v>57</v>
      </c>
      <c r="G5367" s="32" t="s">
        <v>50</v>
      </c>
      <c r="H5367" s="33">
        <v>24240</v>
      </c>
      <c r="I5367" s="34">
        <f>Table3[[#This Row],[Volume, kg.]]/1000</f>
        <v>24.24</v>
      </c>
      <c r="J5367" s="34">
        <v>0.2006</v>
      </c>
      <c r="K5367" s="34">
        <f t="shared" si="168"/>
        <v>4862.5439999999999</v>
      </c>
      <c r="L5367" s="34">
        <v>1.71</v>
      </c>
      <c r="M5367" s="34">
        <v>41391</v>
      </c>
      <c r="N5367" s="34">
        <f t="shared" si="169"/>
        <v>8.5244267198404788</v>
      </c>
    </row>
    <row r="5368" spans="1:14" x14ac:dyDescent="0.45">
      <c r="A5368" s="30">
        <v>2025</v>
      </c>
      <c r="B5368" s="30" t="s">
        <v>12</v>
      </c>
      <c r="C5368" s="30" t="s">
        <v>46</v>
      </c>
      <c r="D5368" s="30" t="s">
        <v>47</v>
      </c>
      <c r="E5368" s="31" t="s">
        <v>48</v>
      </c>
      <c r="F5368" s="32" t="s">
        <v>49</v>
      </c>
      <c r="G5368" s="32" t="s">
        <v>50</v>
      </c>
      <c r="H5368" s="33">
        <v>7790</v>
      </c>
      <c r="I5368" s="34">
        <f>Table3[[#This Row],[Volume, kg.]]/1000</f>
        <v>7.79</v>
      </c>
      <c r="J5368" s="34">
        <v>0.21899999999999997</v>
      </c>
      <c r="K5368" s="34">
        <f t="shared" si="168"/>
        <v>1706.0099999999998</v>
      </c>
      <c r="L5368" s="34">
        <v>1.75</v>
      </c>
      <c r="M5368" s="34">
        <v>13632.5</v>
      </c>
      <c r="N5368" s="34">
        <f t="shared" si="169"/>
        <v>7.9908675799086772</v>
      </c>
    </row>
    <row r="5369" spans="1:14" x14ac:dyDescent="0.45">
      <c r="A5369" s="30">
        <v>2025</v>
      </c>
      <c r="B5369" s="30" t="s">
        <v>12</v>
      </c>
      <c r="C5369" s="30" t="s">
        <v>46</v>
      </c>
      <c r="D5369" s="30" t="s">
        <v>47</v>
      </c>
      <c r="E5369" s="31" t="s">
        <v>149</v>
      </c>
      <c r="F5369" s="32" t="s">
        <v>49</v>
      </c>
      <c r="G5369" s="32" t="s">
        <v>50</v>
      </c>
      <c r="H5369" s="33">
        <v>68510</v>
      </c>
      <c r="I5369" s="34">
        <f>Table3[[#This Row],[Volume, kg.]]/1000</f>
        <v>68.510000000000005</v>
      </c>
      <c r="J5369" s="34">
        <v>0.20660000000000001</v>
      </c>
      <c r="K5369" s="34">
        <f t="shared" si="168"/>
        <v>14154.166000000001</v>
      </c>
      <c r="L5369" s="34">
        <v>1.71</v>
      </c>
      <c r="M5369" s="34">
        <v>117276</v>
      </c>
      <c r="N5369" s="34">
        <f t="shared" si="169"/>
        <v>8.2768635043562444</v>
      </c>
    </row>
    <row r="5370" spans="1:14" x14ac:dyDescent="0.45">
      <c r="A5370" s="30">
        <v>2025</v>
      </c>
      <c r="B5370" s="30" t="s">
        <v>12</v>
      </c>
      <c r="C5370" s="30" t="s">
        <v>46</v>
      </c>
      <c r="D5370" s="30" t="s">
        <v>47</v>
      </c>
      <c r="E5370" s="31" t="s">
        <v>383</v>
      </c>
      <c r="F5370" s="32" t="s">
        <v>49</v>
      </c>
      <c r="G5370" s="32" t="s">
        <v>50</v>
      </c>
      <c r="H5370" s="33">
        <v>5290</v>
      </c>
      <c r="I5370" s="34">
        <f>Table3[[#This Row],[Volume, kg.]]/1000</f>
        <v>5.29</v>
      </c>
      <c r="J5370" s="34">
        <v>0.22149999999999997</v>
      </c>
      <c r="K5370" s="34">
        <f t="shared" si="168"/>
        <v>1171.7349999999999</v>
      </c>
      <c r="L5370" s="34">
        <v>1.75</v>
      </c>
      <c r="M5370" s="34">
        <v>9257.5</v>
      </c>
      <c r="N5370" s="34">
        <f t="shared" si="169"/>
        <v>7.9006772009029351</v>
      </c>
    </row>
    <row r="5371" spans="1:14" x14ac:dyDescent="0.45">
      <c r="A5371" s="30">
        <v>2025</v>
      </c>
      <c r="B5371" s="30" t="s">
        <v>12</v>
      </c>
      <c r="C5371" s="30" t="s">
        <v>46</v>
      </c>
      <c r="D5371" s="30" t="s">
        <v>47</v>
      </c>
      <c r="E5371" s="31" t="s">
        <v>208</v>
      </c>
      <c r="F5371" s="32" t="s">
        <v>49</v>
      </c>
      <c r="G5371" s="32" t="s">
        <v>50</v>
      </c>
      <c r="H5371" s="33">
        <v>163820</v>
      </c>
      <c r="I5371" s="34">
        <f>Table3[[#This Row],[Volume, kg.]]/1000</f>
        <v>163.82</v>
      </c>
      <c r="J5371" s="34">
        <v>0.20050000000000001</v>
      </c>
      <c r="K5371" s="34">
        <f t="shared" si="168"/>
        <v>32845.910000000003</v>
      </c>
      <c r="L5371" s="34">
        <v>1.68</v>
      </c>
      <c r="M5371" s="34">
        <v>274443.5</v>
      </c>
      <c r="N5371" s="34">
        <f t="shared" si="169"/>
        <v>8.3790523690773053</v>
      </c>
    </row>
    <row r="5372" spans="1:14" x14ac:dyDescent="0.45">
      <c r="A5372" s="30">
        <v>2025</v>
      </c>
      <c r="B5372" s="30" t="s">
        <v>12</v>
      </c>
      <c r="C5372" s="30" t="s">
        <v>46</v>
      </c>
      <c r="D5372" s="30" t="s">
        <v>47</v>
      </c>
      <c r="E5372" s="31" t="s">
        <v>226</v>
      </c>
      <c r="F5372" s="32" t="s">
        <v>60</v>
      </c>
      <c r="G5372" s="32" t="s">
        <v>50</v>
      </c>
      <c r="H5372" s="33">
        <v>1590</v>
      </c>
      <c r="I5372" s="34">
        <f>Table3[[#This Row],[Volume, kg.]]/1000</f>
        <v>1.59</v>
      </c>
      <c r="J5372" s="34">
        <v>0.23149999999999998</v>
      </c>
      <c r="K5372" s="34">
        <f t="shared" si="168"/>
        <v>368.08499999999998</v>
      </c>
      <c r="L5372" s="34">
        <v>1.75</v>
      </c>
      <c r="M5372" s="34">
        <v>2782.5</v>
      </c>
      <c r="N5372" s="34">
        <f t="shared" si="169"/>
        <v>7.5593952483801301</v>
      </c>
    </row>
    <row r="5373" spans="1:14" x14ac:dyDescent="0.45">
      <c r="A5373" s="30">
        <v>2025</v>
      </c>
      <c r="B5373" s="30" t="s">
        <v>12</v>
      </c>
      <c r="C5373" s="30" t="s">
        <v>46</v>
      </c>
      <c r="D5373" s="30" t="s">
        <v>47</v>
      </c>
      <c r="E5373" s="31" t="s">
        <v>219</v>
      </c>
      <c r="F5373" s="32" t="s">
        <v>57</v>
      </c>
      <c r="G5373" s="32" t="s">
        <v>50</v>
      </c>
      <c r="H5373" s="33">
        <v>2750</v>
      </c>
      <c r="I5373" s="34">
        <f>Table3[[#This Row],[Volume, kg.]]/1000</f>
        <v>2.75</v>
      </c>
      <c r="J5373" s="34">
        <v>0.20949999999999999</v>
      </c>
      <c r="K5373" s="34">
        <f t="shared" si="168"/>
        <v>576.125</v>
      </c>
      <c r="L5373" s="34">
        <v>1.75</v>
      </c>
      <c r="M5373" s="34">
        <v>4812.5</v>
      </c>
      <c r="N5373" s="34">
        <f t="shared" si="169"/>
        <v>8.3532219570405726</v>
      </c>
    </row>
    <row r="5374" spans="1:14" x14ac:dyDescent="0.45">
      <c r="A5374" s="30">
        <v>2025</v>
      </c>
      <c r="B5374" s="30" t="s">
        <v>12</v>
      </c>
      <c r="C5374" s="30" t="s">
        <v>46</v>
      </c>
      <c r="D5374" s="30" t="s">
        <v>47</v>
      </c>
      <c r="E5374" s="31" t="s">
        <v>182</v>
      </c>
      <c r="F5374" s="32" t="s">
        <v>81</v>
      </c>
      <c r="G5374" s="32" t="s">
        <v>50</v>
      </c>
      <c r="H5374" s="33">
        <v>13320</v>
      </c>
      <c r="I5374" s="34">
        <f>Table3[[#This Row],[Volume, kg.]]/1000</f>
        <v>13.32</v>
      </c>
      <c r="J5374" s="34">
        <v>0.24850000000000003</v>
      </c>
      <c r="K5374" s="34">
        <f t="shared" si="168"/>
        <v>3310.0200000000004</v>
      </c>
      <c r="L5374" s="34">
        <v>1.95</v>
      </c>
      <c r="M5374" s="34">
        <v>25974</v>
      </c>
      <c r="N5374" s="34">
        <f t="shared" si="169"/>
        <v>7.8470824949698175</v>
      </c>
    </row>
    <row r="5375" spans="1:14" x14ac:dyDescent="0.45">
      <c r="A5375" s="30">
        <v>2025</v>
      </c>
      <c r="B5375" s="30" t="s">
        <v>12</v>
      </c>
      <c r="C5375" s="30" t="s">
        <v>46</v>
      </c>
      <c r="D5375" s="30" t="s">
        <v>47</v>
      </c>
      <c r="E5375" s="31" t="s">
        <v>82</v>
      </c>
      <c r="F5375" s="32" t="s">
        <v>57</v>
      </c>
      <c r="G5375" s="32" t="s">
        <v>50</v>
      </c>
      <c r="H5375" s="33">
        <v>5210</v>
      </c>
      <c r="I5375" s="34">
        <f>Table3[[#This Row],[Volume, kg.]]/1000</f>
        <v>5.21</v>
      </c>
      <c r="J5375" s="34">
        <v>0.24</v>
      </c>
      <c r="K5375" s="34">
        <f t="shared" si="168"/>
        <v>1250.3999999999999</v>
      </c>
      <c r="L5375" s="34">
        <v>1.85</v>
      </c>
      <c r="M5375" s="34">
        <v>9638.5</v>
      </c>
      <c r="N5375" s="34">
        <f t="shared" si="169"/>
        <v>7.7083333333333339</v>
      </c>
    </row>
    <row r="5376" spans="1:14" x14ac:dyDescent="0.45">
      <c r="A5376" s="30">
        <v>2025</v>
      </c>
      <c r="B5376" s="30" t="s">
        <v>12</v>
      </c>
      <c r="C5376" s="30" t="s">
        <v>46</v>
      </c>
      <c r="D5376" s="30" t="s">
        <v>47</v>
      </c>
      <c r="E5376" s="31" t="s">
        <v>65</v>
      </c>
      <c r="F5376" s="32" t="s">
        <v>49</v>
      </c>
      <c r="G5376" s="32" t="s">
        <v>50</v>
      </c>
      <c r="H5376" s="33">
        <v>11180</v>
      </c>
      <c r="I5376" s="34">
        <f>Table3[[#This Row],[Volume, kg.]]/1000</f>
        <v>11.18</v>
      </c>
      <c r="J5376" s="34">
        <v>0.20850000000000002</v>
      </c>
      <c r="K5376" s="34">
        <f t="shared" si="168"/>
        <v>2331.0300000000002</v>
      </c>
      <c r="L5376" s="34">
        <v>1.7</v>
      </c>
      <c r="M5376" s="34">
        <v>19006</v>
      </c>
      <c r="N5376" s="34">
        <f t="shared" si="169"/>
        <v>8.1534772182254187</v>
      </c>
    </row>
    <row r="5377" spans="1:14" x14ac:dyDescent="0.45">
      <c r="A5377" s="30">
        <v>2025</v>
      </c>
      <c r="B5377" s="30" t="s">
        <v>12</v>
      </c>
      <c r="C5377" s="30" t="s">
        <v>46</v>
      </c>
      <c r="D5377" s="30" t="s">
        <v>47</v>
      </c>
      <c r="E5377" s="31" t="s">
        <v>245</v>
      </c>
      <c r="F5377" s="32" t="s">
        <v>57</v>
      </c>
      <c r="G5377" s="32" t="s">
        <v>50</v>
      </c>
      <c r="H5377" s="33">
        <v>27090</v>
      </c>
      <c r="I5377" s="34">
        <f>Table3[[#This Row],[Volume, kg.]]/1000</f>
        <v>27.09</v>
      </c>
      <c r="J5377" s="34">
        <v>0.2114</v>
      </c>
      <c r="K5377" s="34">
        <f t="shared" si="168"/>
        <v>5726.826</v>
      </c>
      <c r="L5377" s="34">
        <v>1.72</v>
      </c>
      <c r="M5377" s="34">
        <v>46501.5</v>
      </c>
      <c r="N5377" s="34">
        <f t="shared" si="169"/>
        <v>8.1362346263008511</v>
      </c>
    </row>
    <row r="5378" spans="1:14" x14ac:dyDescent="0.45">
      <c r="A5378" s="30">
        <v>2025</v>
      </c>
      <c r="B5378" s="30" t="s">
        <v>12</v>
      </c>
      <c r="C5378" s="30" t="s">
        <v>46</v>
      </c>
      <c r="D5378" s="30" t="s">
        <v>47</v>
      </c>
      <c r="E5378" s="31" t="s">
        <v>229</v>
      </c>
      <c r="F5378" s="32" t="s">
        <v>57</v>
      </c>
      <c r="G5378" s="32" t="s">
        <v>50</v>
      </c>
      <c r="H5378" s="33">
        <v>12390</v>
      </c>
      <c r="I5378" s="34">
        <f>Table3[[#This Row],[Volume, kg.]]/1000</f>
        <v>12.39</v>
      </c>
      <c r="J5378" s="34">
        <v>0.24100000000000002</v>
      </c>
      <c r="K5378" s="34">
        <f t="shared" si="168"/>
        <v>2985.9900000000002</v>
      </c>
      <c r="L5378" s="34">
        <v>1.82</v>
      </c>
      <c r="M5378" s="34">
        <v>22610</v>
      </c>
      <c r="N5378" s="34">
        <f t="shared" si="169"/>
        <v>7.5518672199170123</v>
      </c>
    </row>
    <row r="5379" spans="1:14" x14ac:dyDescent="0.45">
      <c r="A5379" s="30">
        <v>2025</v>
      </c>
      <c r="B5379" s="30" t="s">
        <v>12</v>
      </c>
      <c r="C5379" s="30" t="s">
        <v>46</v>
      </c>
      <c r="D5379" s="30" t="s">
        <v>47</v>
      </c>
      <c r="E5379" s="31" t="s">
        <v>251</v>
      </c>
      <c r="F5379" s="32" t="s">
        <v>49</v>
      </c>
      <c r="G5379" s="32" t="s">
        <v>50</v>
      </c>
      <c r="H5379" s="33">
        <v>13770</v>
      </c>
      <c r="I5379" s="34">
        <f>Table3[[#This Row],[Volume, kg.]]/1000</f>
        <v>13.77</v>
      </c>
      <c r="J5379" s="34">
        <v>0.18049999999999999</v>
      </c>
      <c r="K5379" s="34">
        <f t="shared" si="168"/>
        <v>2485.4850000000001</v>
      </c>
      <c r="L5379" s="34">
        <v>1.6</v>
      </c>
      <c r="M5379" s="34">
        <v>22032</v>
      </c>
      <c r="N5379" s="34">
        <f t="shared" si="169"/>
        <v>8.86426592797784</v>
      </c>
    </row>
    <row r="5380" spans="1:14" x14ac:dyDescent="0.45">
      <c r="A5380" s="30">
        <v>2025</v>
      </c>
      <c r="B5380" s="30" t="s">
        <v>12</v>
      </c>
      <c r="C5380" s="30" t="s">
        <v>46</v>
      </c>
      <c r="D5380" s="30" t="s">
        <v>47</v>
      </c>
      <c r="E5380" s="31" t="s">
        <v>655</v>
      </c>
      <c r="F5380" s="32" t="s">
        <v>49</v>
      </c>
      <c r="G5380" s="32" t="s">
        <v>50</v>
      </c>
      <c r="H5380" s="33">
        <v>6420</v>
      </c>
      <c r="I5380" s="34">
        <f>Table3[[#This Row],[Volume, kg.]]/1000</f>
        <v>6.42</v>
      </c>
      <c r="J5380" s="34">
        <v>0.22500000000000001</v>
      </c>
      <c r="K5380" s="34">
        <f t="shared" si="168"/>
        <v>1444.5</v>
      </c>
      <c r="L5380" s="34">
        <v>1.82</v>
      </c>
      <c r="M5380" s="34">
        <v>11681</v>
      </c>
      <c r="N5380" s="34">
        <f t="shared" si="169"/>
        <v>8.0888888888888886</v>
      </c>
    </row>
    <row r="5381" spans="1:14" x14ac:dyDescent="0.45">
      <c r="A5381" s="30">
        <v>2025</v>
      </c>
      <c r="B5381" s="30" t="s">
        <v>12</v>
      </c>
      <c r="C5381" s="30" t="s">
        <v>46</v>
      </c>
      <c r="D5381" s="30" t="s">
        <v>47</v>
      </c>
      <c r="E5381" s="31" t="s">
        <v>320</v>
      </c>
      <c r="F5381" s="32" t="s">
        <v>49</v>
      </c>
      <c r="G5381" s="32" t="s">
        <v>50</v>
      </c>
      <c r="H5381" s="33">
        <v>11390</v>
      </c>
      <c r="I5381" s="34">
        <f>Table3[[#This Row],[Volume, kg.]]/1000</f>
        <v>11.39</v>
      </c>
      <c r="J5381" s="34">
        <v>0.21539999999999998</v>
      </c>
      <c r="K5381" s="34">
        <f t="shared" si="168"/>
        <v>2453.4059999999999</v>
      </c>
      <c r="L5381" s="34">
        <v>1.77</v>
      </c>
      <c r="M5381" s="34">
        <v>20113</v>
      </c>
      <c r="N5381" s="34">
        <f t="shared" si="169"/>
        <v>8.2172701949860727</v>
      </c>
    </row>
    <row r="5382" spans="1:14" x14ac:dyDescent="0.45">
      <c r="A5382" s="30">
        <v>2025</v>
      </c>
      <c r="B5382" s="30" t="s">
        <v>12</v>
      </c>
      <c r="C5382" s="30" t="s">
        <v>46</v>
      </c>
      <c r="D5382" s="30" t="s">
        <v>47</v>
      </c>
      <c r="E5382" s="31" t="s">
        <v>301</v>
      </c>
      <c r="F5382" s="32" t="s">
        <v>60</v>
      </c>
      <c r="G5382" s="32" t="s">
        <v>50</v>
      </c>
      <c r="H5382" s="33">
        <v>32290</v>
      </c>
      <c r="I5382" s="34">
        <f>Table3[[#This Row],[Volume, kg.]]/1000</f>
        <v>32.29</v>
      </c>
      <c r="J5382" s="34">
        <v>0.24350000000000002</v>
      </c>
      <c r="K5382" s="34">
        <f t="shared" si="168"/>
        <v>7862.6150000000007</v>
      </c>
      <c r="L5382" s="34">
        <v>1.92</v>
      </c>
      <c r="M5382" s="34">
        <v>62008.5</v>
      </c>
      <c r="N5382" s="34">
        <f t="shared" si="169"/>
        <v>7.8850102669404505</v>
      </c>
    </row>
    <row r="5383" spans="1:14" x14ac:dyDescent="0.45">
      <c r="A5383" s="30">
        <v>2025</v>
      </c>
      <c r="B5383" s="30" t="s">
        <v>12</v>
      </c>
      <c r="C5383" s="30" t="s">
        <v>46</v>
      </c>
      <c r="D5383" s="30" t="s">
        <v>47</v>
      </c>
      <c r="E5383" s="31" t="s">
        <v>51</v>
      </c>
      <c r="F5383" s="32" t="s">
        <v>49</v>
      </c>
      <c r="G5383" s="32" t="s">
        <v>50</v>
      </c>
      <c r="H5383" s="33">
        <v>11410</v>
      </c>
      <c r="I5383" s="34">
        <f>Table3[[#This Row],[Volume, kg.]]/1000</f>
        <v>11.41</v>
      </c>
      <c r="J5383" s="34">
        <v>0.184</v>
      </c>
      <c r="K5383" s="34">
        <f t="shared" si="168"/>
        <v>2099.44</v>
      </c>
      <c r="L5383" s="34">
        <v>1.5</v>
      </c>
      <c r="M5383" s="34">
        <v>17115</v>
      </c>
      <c r="N5383" s="34">
        <f t="shared" si="169"/>
        <v>8.1521739130434785</v>
      </c>
    </row>
    <row r="5384" spans="1:14" x14ac:dyDescent="0.45">
      <c r="A5384" s="30">
        <v>2025</v>
      </c>
      <c r="B5384" s="30" t="s">
        <v>12</v>
      </c>
      <c r="C5384" s="30" t="s">
        <v>46</v>
      </c>
      <c r="D5384" s="30" t="s">
        <v>47</v>
      </c>
      <c r="E5384" s="31" t="s">
        <v>258</v>
      </c>
      <c r="F5384" s="32" t="s">
        <v>49</v>
      </c>
      <c r="G5384" s="32" t="s">
        <v>50</v>
      </c>
      <c r="H5384" s="33">
        <v>204520</v>
      </c>
      <c r="I5384" s="34">
        <f>Table3[[#This Row],[Volume, kg.]]/1000</f>
        <v>204.52</v>
      </c>
      <c r="J5384" s="34">
        <v>0.2132</v>
      </c>
      <c r="K5384" s="34">
        <f t="shared" si="168"/>
        <v>43603.663999999997</v>
      </c>
      <c r="L5384" s="34">
        <v>1.74</v>
      </c>
      <c r="M5384" s="34">
        <v>355110</v>
      </c>
      <c r="N5384" s="34">
        <f t="shared" si="169"/>
        <v>8.1613508442776741</v>
      </c>
    </row>
    <row r="5385" spans="1:14" x14ac:dyDescent="0.45">
      <c r="A5385" s="30">
        <v>2025</v>
      </c>
      <c r="B5385" s="30" t="s">
        <v>12</v>
      </c>
      <c r="C5385" s="30" t="s">
        <v>46</v>
      </c>
      <c r="D5385" s="30" t="s">
        <v>47</v>
      </c>
      <c r="E5385" s="31" t="s">
        <v>375</v>
      </c>
      <c r="F5385" s="32" t="s">
        <v>49</v>
      </c>
      <c r="G5385" s="32" t="s">
        <v>50</v>
      </c>
      <c r="H5385" s="33">
        <v>12160</v>
      </c>
      <c r="I5385" s="34">
        <f>Table3[[#This Row],[Volume, kg.]]/1000</f>
        <v>12.16</v>
      </c>
      <c r="J5385" s="34">
        <v>0.223</v>
      </c>
      <c r="K5385" s="34">
        <f t="shared" si="168"/>
        <v>2711.68</v>
      </c>
      <c r="L5385" s="34">
        <v>1.75</v>
      </c>
      <c r="M5385" s="34">
        <v>21280</v>
      </c>
      <c r="N5385" s="34">
        <f t="shared" si="169"/>
        <v>7.8475336322869955</v>
      </c>
    </row>
    <row r="5386" spans="1:14" x14ac:dyDescent="0.45">
      <c r="A5386" s="30">
        <v>2025</v>
      </c>
      <c r="B5386" s="30" t="s">
        <v>12</v>
      </c>
      <c r="C5386" s="30" t="s">
        <v>46</v>
      </c>
      <c r="D5386" s="30" t="s">
        <v>47</v>
      </c>
      <c r="E5386" s="31" t="s">
        <v>166</v>
      </c>
      <c r="F5386" s="32" t="s">
        <v>49</v>
      </c>
      <c r="G5386" s="32" t="s">
        <v>50</v>
      </c>
      <c r="H5386" s="33">
        <v>15350</v>
      </c>
      <c r="I5386" s="34">
        <f>Table3[[#This Row],[Volume, kg.]]/1000</f>
        <v>15.35</v>
      </c>
      <c r="J5386" s="34">
        <v>0.23329999999999998</v>
      </c>
      <c r="K5386" s="34">
        <f t="shared" si="168"/>
        <v>3581.1549999999997</v>
      </c>
      <c r="L5386" s="34">
        <v>1.84</v>
      </c>
      <c r="M5386" s="34">
        <v>28282.5</v>
      </c>
      <c r="N5386" s="34">
        <f t="shared" si="169"/>
        <v>7.8868409772824704</v>
      </c>
    </row>
    <row r="5387" spans="1:14" x14ac:dyDescent="0.45">
      <c r="A5387" s="30">
        <v>2025</v>
      </c>
      <c r="B5387" s="30" t="s">
        <v>12</v>
      </c>
      <c r="C5387" s="30" t="s">
        <v>46</v>
      </c>
      <c r="D5387" s="30" t="s">
        <v>47</v>
      </c>
      <c r="E5387" s="31" t="s">
        <v>293</v>
      </c>
      <c r="F5387" s="32" t="s">
        <v>60</v>
      </c>
      <c r="G5387" s="32" t="s">
        <v>50</v>
      </c>
      <c r="H5387" s="33">
        <v>8340</v>
      </c>
      <c r="I5387" s="34">
        <f>Table3[[#This Row],[Volume, kg.]]/1000</f>
        <v>8.34</v>
      </c>
      <c r="J5387" s="34">
        <v>0.254</v>
      </c>
      <c r="K5387" s="34">
        <f t="shared" si="168"/>
        <v>2118.36</v>
      </c>
      <c r="L5387" s="34">
        <v>1.85</v>
      </c>
      <c r="M5387" s="34">
        <v>15429</v>
      </c>
      <c r="N5387" s="34">
        <f t="shared" si="169"/>
        <v>7.2834645669291342</v>
      </c>
    </row>
    <row r="5388" spans="1:14" x14ac:dyDescent="0.45">
      <c r="A5388" s="30">
        <v>2025</v>
      </c>
      <c r="B5388" s="30" t="s">
        <v>12</v>
      </c>
      <c r="C5388" s="30" t="s">
        <v>46</v>
      </c>
      <c r="D5388" s="30" t="s">
        <v>47</v>
      </c>
      <c r="E5388" s="31" t="s">
        <v>242</v>
      </c>
      <c r="F5388" s="32" t="s">
        <v>60</v>
      </c>
      <c r="G5388" s="32" t="s">
        <v>50</v>
      </c>
      <c r="H5388" s="33">
        <v>10740</v>
      </c>
      <c r="I5388" s="34">
        <f>Table3[[#This Row],[Volume, kg.]]/1000</f>
        <v>10.74</v>
      </c>
      <c r="J5388" s="34">
        <v>0.23899999999999999</v>
      </c>
      <c r="K5388" s="34">
        <f t="shared" si="168"/>
        <v>2566.8599999999997</v>
      </c>
      <c r="L5388" s="34">
        <v>1.9</v>
      </c>
      <c r="M5388" s="34">
        <v>20406</v>
      </c>
      <c r="N5388" s="34">
        <f t="shared" si="169"/>
        <v>7.9497907949790791</v>
      </c>
    </row>
    <row r="5389" spans="1:14" x14ac:dyDescent="0.45">
      <c r="A5389" s="30">
        <v>2025</v>
      </c>
      <c r="B5389" s="30" t="s">
        <v>12</v>
      </c>
      <c r="C5389" s="30" t="s">
        <v>46</v>
      </c>
      <c r="D5389" s="30" t="s">
        <v>47</v>
      </c>
      <c r="E5389" s="31" t="s">
        <v>384</v>
      </c>
      <c r="F5389" s="32" t="s">
        <v>60</v>
      </c>
      <c r="G5389" s="32" t="s">
        <v>50</v>
      </c>
      <c r="H5389" s="33">
        <v>8820</v>
      </c>
      <c r="I5389" s="34">
        <f>Table3[[#This Row],[Volume, kg.]]/1000</f>
        <v>8.82</v>
      </c>
      <c r="J5389" s="34">
        <v>0.24249999999999999</v>
      </c>
      <c r="K5389" s="34">
        <f t="shared" si="168"/>
        <v>2138.85</v>
      </c>
      <c r="L5389" s="34">
        <v>1.9</v>
      </c>
      <c r="M5389" s="34">
        <v>16758</v>
      </c>
      <c r="N5389" s="34">
        <f t="shared" si="169"/>
        <v>7.8350515463917523</v>
      </c>
    </row>
    <row r="5390" spans="1:14" x14ac:dyDescent="0.45">
      <c r="A5390" s="30">
        <v>2025</v>
      </c>
      <c r="B5390" s="30" t="s">
        <v>12</v>
      </c>
      <c r="C5390" s="30" t="s">
        <v>46</v>
      </c>
      <c r="D5390" s="30" t="s">
        <v>47</v>
      </c>
      <c r="E5390" s="31" t="s">
        <v>244</v>
      </c>
      <c r="F5390" s="32" t="s">
        <v>60</v>
      </c>
      <c r="G5390" s="32" t="s">
        <v>50</v>
      </c>
      <c r="H5390" s="33">
        <v>10760</v>
      </c>
      <c r="I5390" s="34">
        <f>Table3[[#This Row],[Volume, kg.]]/1000</f>
        <v>10.76</v>
      </c>
      <c r="J5390" s="34">
        <v>0.19239999999999999</v>
      </c>
      <c r="K5390" s="34">
        <f t="shared" si="168"/>
        <v>2070.2239999999997</v>
      </c>
      <c r="L5390" s="34">
        <v>1.67</v>
      </c>
      <c r="M5390" s="34">
        <v>17918</v>
      </c>
      <c r="N5390" s="34">
        <f t="shared" si="169"/>
        <v>8.6798336798336795</v>
      </c>
    </row>
    <row r="5391" spans="1:14" x14ac:dyDescent="0.45">
      <c r="A5391" s="30">
        <v>2025</v>
      </c>
      <c r="B5391" s="30" t="s">
        <v>12</v>
      </c>
      <c r="C5391" s="30" t="s">
        <v>46</v>
      </c>
      <c r="D5391" s="30" t="s">
        <v>47</v>
      </c>
      <c r="E5391" s="31" t="s">
        <v>256</v>
      </c>
      <c r="F5391" s="32" t="s">
        <v>81</v>
      </c>
      <c r="G5391" s="32" t="s">
        <v>50</v>
      </c>
      <c r="H5391" s="33">
        <v>19840</v>
      </c>
      <c r="I5391" s="34">
        <f>Table3[[#This Row],[Volume, kg.]]/1000</f>
        <v>19.84</v>
      </c>
      <c r="J5391" s="34">
        <v>0.22640000000000002</v>
      </c>
      <c r="K5391" s="34">
        <f t="shared" si="168"/>
        <v>4491.7760000000007</v>
      </c>
      <c r="L5391" s="34">
        <v>1.8</v>
      </c>
      <c r="M5391" s="34">
        <v>35712</v>
      </c>
      <c r="N5391" s="34">
        <f t="shared" si="169"/>
        <v>7.9505300353356887</v>
      </c>
    </row>
    <row r="5392" spans="1:14" x14ac:dyDescent="0.45">
      <c r="A5392" s="30">
        <v>2025</v>
      </c>
      <c r="B5392" s="30" t="s">
        <v>12</v>
      </c>
      <c r="C5392" s="30" t="s">
        <v>46</v>
      </c>
      <c r="D5392" s="30" t="s">
        <v>47</v>
      </c>
      <c r="E5392" s="31" t="s">
        <v>212</v>
      </c>
      <c r="F5392" s="32" t="s">
        <v>60</v>
      </c>
      <c r="G5392" s="32" t="s">
        <v>50</v>
      </c>
      <c r="H5392" s="33">
        <v>24950</v>
      </c>
      <c r="I5392" s="34">
        <f>Table3[[#This Row],[Volume, kg.]]/1000</f>
        <v>24.95</v>
      </c>
      <c r="J5392" s="34">
        <v>0.2024</v>
      </c>
      <c r="K5392" s="34">
        <f t="shared" si="168"/>
        <v>5049.88</v>
      </c>
      <c r="L5392" s="34">
        <v>1.72</v>
      </c>
      <c r="M5392" s="34">
        <v>42842.5</v>
      </c>
      <c r="N5392" s="34">
        <f t="shared" si="169"/>
        <v>8.4980237154150196</v>
      </c>
    </row>
    <row r="5393" spans="1:14" x14ac:dyDescent="0.45">
      <c r="A5393" s="30">
        <v>2025</v>
      </c>
      <c r="B5393" s="30" t="s">
        <v>12</v>
      </c>
      <c r="C5393" s="30" t="s">
        <v>46</v>
      </c>
      <c r="D5393" s="30" t="s">
        <v>47</v>
      </c>
      <c r="E5393" s="31" t="s">
        <v>380</v>
      </c>
      <c r="F5393" s="32" t="s">
        <v>49</v>
      </c>
      <c r="G5393" s="32" t="s">
        <v>50</v>
      </c>
      <c r="H5393" s="33">
        <v>27560</v>
      </c>
      <c r="I5393" s="34">
        <f>Table3[[#This Row],[Volume, kg.]]/1000</f>
        <v>27.56</v>
      </c>
      <c r="J5393" s="34">
        <v>0.17949999999999999</v>
      </c>
      <c r="K5393" s="34">
        <f t="shared" si="168"/>
        <v>4947.0199999999995</v>
      </c>
      <c r="L5393" s="34">
        <v>1.6</v>
      </c>
      <c r="M5393" s="34">
        <v>44007.5</v>
      </c>
      <c r="N5393" s="34">
        <f t="shared" si="169"/>
        <v>8.9136490250696383</v>
      </c>
    </row>
    <row r="5394" spans="1:14" x14ac:dyDescent="0.45">
      <c r="A5394" s="30">
        <v>2025</v>
      </c>
      <c r="B5394" s="30" t="s">
        <v>12</v>
      </c>
      <c r="C5394" s="30" t="s">
        <v>46</v>
      </c>
      <c r="D5394" s="30" t="s">
        <v>47</v>
      </c>
      <c r="E5394" s="31" t="s">
        <v>379</v>
      </c>
      <c r="F5394" s="32" t="s">
        <v>49</v>
      </c>
      <c r="G5394" s="32" t="s">
        <v>50</v>
      </c>
      <c r="H5394" s="33">
        <v>6610</v>
      </c>
      <c r="I5394" s="34">
        <f>Table3[[#This Row],[Volume, kg.]]/1000</f>
        <v>6.61</v>
      </c>
      <c r="J5394" s="34">
        <v>0.215</v>
      </c>
      <c r="K5394" s="34">
        <f t="shared" si="168"/>
        <v>1421.15</v>
      </c>
      <c r="L5394" s="34">
        <v>1.8</v>
      </c>
      <c r="M5394" s="34">
        <v>11898</v>
      </c>
      <c r="N5394" s="34">
        <f t="shared" si="169"/>
        <v>8.3720930232558146</v>
      </c>
    </row>
    <row r="5395" spans="1:14" x14ac:dyDescent="0.45">
      <c r="A5395" s="30">
        <v>2025</v>
      </c>
      <c r="B5395" s="30" t="s">
        <v>12</v>
      </c>
      <c r="C5395" s="30" t="s">
        <v>46</v>
      </c>
      <c r="D5395" s="30" t="s">
        <v>47</v>
      </c>
      <c r="E5395" s="31" t="s">
        <v>164</v>
      </c>
      <c r="F5395" s="32" t="s">
        <v>49</v>
      </c>
      <c r="G5395" s="32" t="s">
        <v>50</v>
      </c>
      <c r="H5395" s="33">
        <v>60910</v>
      </c>
      <c r="I5395" s="34">
        <f>Table3[[#This Row],[Volume, kg.]]/1000</f>
        <v>60.91</v>
      </c>
      <c r="J5395" s="34">
        <v>0.2107</v>
      </c>
      <c r="K5395" s="34">
        <f t="shared" si="168"/>
        <v>12833.736999999999</v>
      </c>
      <c r="L5395" s="34">
        <v>1.74</v>
      </c>
      <c r="M5395" s="34">
        <v>105768</v>
      </c>
      <c r="N5395" s="34">
        <f t="shared" si="169"/>
        <v>8.2581869957285239</v>
      </c>
    </row>
    <row r="5396" spans="1:14" x14ac:dyDescent="0.45">
      <c r="A5396" s="30">
        <v>2025</v>
      </c>
      <c r="B5396" s="30" t="s">
        <v>12</v>
      </c>
      <c r="C5396" s="30" t="s">
        <v>46</v>
      </c>
      <c r="D5396" s="30" t="s">
        <v>47</v>
      </c>
      <c r="E5396" s="31" t="s">
        <v>358</v>
      </c>
      <c r="F5396" s="32" t="s">
        <v>60</v>
      </c>
      <c r="G5396" s="32" t="s">
        <v>50</v>
      </c>
      <c r="H5396" s="33">
        <v>10270</v>
      </c>
      <c r="I5396" s="34">
        <f>Table3[[#This Row],[Volume, kg.]]/1000</f>
        <v>10.27</v>
      </c>
      <c r="J5396" s="34">
        <v>0.2545</v>
      </c>
      <c r="K5396" s="34">
        <f t="shared" si="168"/>
        <v>2613.7150000000001</v>
      </c>
      <c r="L5396" s="34">
        <v>1.95</v>
      </c>
      <c r="M5396" s="34">
        <v>20026.5</v>
      </c>
      <c r="N5396" s="34">
        <f t="shared" si="169"/>
        <v>7.6620825147347738</v>
      </c>
    </row>
    <row r="5397" spans="1:14" x14ac:dyDescent="0.45">
      <c r="A5397" s="30">
        <v>2025</v>
      </c>
      <c r="B5397" s="30" t="s">
        <v>12</v>
      </c>
      <c r="C5397" s="30" t="s">
        <v>46</v>
      </c>
      <c r="D5397" s="30" t="s">
        <v>47</v>
      </c>
      <c r="E5397" s="31" t="s">
        <v>464</v>
      </c>
      <c r="F5397" s="32" t="s">
        <v>57</v>
      </c>
      <c r="G5397" s="32" t="s">
        <v>50</v>
      </c>
      <c r="H5397" s="33">
        <v>12610</v>
      </c>
      <c r="I5397" s="34">
        <f>Table3[[#This Row],[Volume, kg.]]/1000</f>
        <v>12.61</v>
      </c>
      <c r="J5397" s="34">
        <v>0.21299999999999999</v>
      </c>
      <c r="K5397" s="34">
        <f t="shared" si="168"/>
        <v>2685.93</v>
      </c>
      <c r="L5397" s="34">
        <v>1.7</v>
      </c>
      <c r="M5397" s="34">
        <v>21437</v>
      </c>
      <c r="N5397" s="34">
        <f t="shared" si="169"/>
        <v>7.981220657276995</v>
      </c>
    </row>
    <row r="5398" spans="1:14" x14ac:dyDescent="0.45">
      <c r="A5398" s="30">
        <v>2025</v>
      </c>
      <c r="B5398" s="30" t="s">
        <v>12</v>
      </c>
      <c r="C5398" s="30" t="s">
        <v>46</v>
      </c>
      <c r="D5398" s="30" t="s">
        <v>47</v>
      </c>
      <c r="E5398" s="31" t="s">
        <v>260</v>
      </c>
      <c r="F5398" s="32" t="s">
        <v>49</v>
      </c>
      <c r="G5398" s="32" t="s">
        <v>50</v>
      </c>
      <c r="H5398" s="33">
        <v>58610</v>
      </c>
      <c r="I5398" s="34">
        <f>Table3[[#This Row],[Volume, kg.]]/1000</f>
        <v>58.61</v>
      </c>
      <c r="J5398" s="34">
        <v>0.20569999999999999</v>
      </c>
      <c r="K5398" s="34">
        <f t="shared" si="168"/>
        <v>12056.076999999999</v>
      </c>
      <c r="L5398" s="34">
        <v>1.7</v>
      </c>
      <c r="M5398" s="34">
        <v>99574</v>
      </c>
      <c r="N5398" s="34">
        <f t="shared" si="169"/>
        <v>8.2644628099173563</v>
      </c>
    </row>
    <row r="5399" spans="1:14" x14ac:dyDescent="0.45">
      <c r="A5399" s="30">
        <v>2025</v>
      </c>
      <c r="B5399" s="30" t="s">
        <v>12</v>
      </c>
      <c r="C5399" s="30" t="s">
        <v>46</v>
      </c>
      <c r="D5399" s="30" t="s">
        <v>47</v>
      </c>
      <c r="E5399" s="31" t="s">
        <v>689</v>
      </c>
      <c r="F5399" s="32" t="s">
        <v>49</v>
      </c>
      <c r="G5399" s="32" t="s">
        <v>50</v>
      </c>
      <c r="H5399" s="33">
        <v>8450</v>
      </c>
      <c r="I5399" s="34">
        <f>Table3[[#This Row],[Volume, kg.]]/1000</f>
        <v>8.4499999999999993</v>
      </c>
      <c r="J5399" s="34">
        <v>0.19070000000000001</v>
      </c>
      <c r="K5399" s="34">
        <f t="shared" si="168"/>
        <v>1611.415</v>
      </c>
      <c r="L5399" s="34">
        <v>1.59</v>
      </c>
      <c r="M5399" s="34">
        <v>13425</v>
      </c>
      <c r="N5399" s="34">
        <f t="shared" si="169"/>
        <v>8.3377031987414796</v>
      </c>
    </row>
    <row r="5400" spans="1:14" x14ac:dyDescent="0.45">
      <c r="A5400" s="30">
        <v>2025</v>
      </c>
      <c r="B5400" s="30" t="s">
        <v>12</v>
      </c>
      <c r="C5400" s="30" t="s">
        <v>46</v>
      </c>
      <c r="D5400" s="30" t="s">
        <v>47</v>
      </c>
      <c r="E5400" s="31" t="s">
        <v>187</v>
      </c>
      <c r="F5400" s="32" t="s">
        <v>54</v>
      </c>
      <c r="G5400" s="32" t="s">
        <v>50</v>
      </c>
      <c r="H5400" s="33">
        <v>207810</v>
      </c>
      <c r="I5400" s="34">
        <f>Table3[[#This Row],[Volume, kg.]]/1000</f>
        <v>207.81</v>
      </c>
      <c r="J5400" s="34">
        <v>0.22010000000000002</v>
      </c>
      <c r="K5400" s="34">
        <f t="shared" si="168"/>
        <v>45738.981000000007</v>
      </c>
      <c r="L5400" s="34">
        <v>1.74</v>
      </c>
      <c r="M5400" s="34">
        <v>361090.5</v>
      </c>
      <c r="N5400" s="34">
        <f t="shared" si="169"/>
        <v>7.905497501135847</v>
      </c>
    </row>
    <row r="5401" spans="1:14" x14ac:dyDescent="0.45">
      <c r="A5401" s="30">
        <v>2025</v>
      </c>
      <c r="B5401" s="30" t="s">
        <v>12</v>
      </c>
      <c r="C5401" s="30" t="s">
        <v>46</v>
      </c>
      <c r="D5401" s="30" t="s">
        <v>47</v>
      </c>
      <c r="E5401" s="31" t="s">
        <v>191</v>
      </c>
      <c r="F5401" s="32" t="s">
        <v>49</v>
      </c>
      <c r="G5401" s="32" t="s">
        <v>50</v>
      </c>
      <c r="H5401" s="33">
        <v>41200</v>
      </c>
      <c r="I5401" s="34">
        <f>Table3[[#This Row],[Volume, kg.]]/1000</f>
        <v>41.2</v>
      </c>
      <c r="J5401" s="34">
        <v>0.19589999999999999</v>
      </c>
      <c r="K5401" s="34">
        <f t="shared" si="168"/>
        <v>8071.08</v>
      </c>
      <c r="L5401" s="34">
        <v>1.67</v>
      </c>
      <c r="M5401" s="34">
        <v>68965</v>
      </c>
      <c r="N5401" s="34">
        <f t="shared" si="169"/>
        <v>8.5247575293517102</v>
      </c>
    </row>
    <row r="5402" spans="1:14" x14ac:dyDescent="0.45">
      <c r="A5402" s="30">
        <v>2025</v>
      </c>
      <c r="B5402" s="30" t="s">
        <v>12</v>
      </c>
      <c r="C5402" s="30" t="s">
        <v>46</v>
      </c>
      <c r="D5402" s="30" t="s">
        <v>47</v>
      </c>
      <c r="E5402" s="31" t="s">
        <v>352</v>
      </c>
      <c r="F5402" s="32" t="s">
        <v>54</v>
      </c>
      <c r="G5402" s="32" t="s">
        <v>50</v>
      </c>
      <c r="H5402" s="33">
        <v>153210</v>
      </c>
      <c r="I5402" s="34">
        <f>Table3[[#This Row],[Volume, kg.]]/1000</f>
        <v>153.21</v>
      </c>
      <c r="J5402" s="34">
        <v>0.20449999999999999</v>
      </c>
      <c r="K5402" s="34">
        <f t="shared" si="168"/>
        <v>31331.445</v>
      </c>
      <c r="L5402" s="34">
        <v>1.72</v>
      </c>
      <c r="M5402" s="34">
        <v>263511</v>
      </c>
      <c r="N5402" s="34">
        <f t="shared" si="169"/>
        <v>8.4107579462102695</v>
      </c>
    </row>
    <row r="5403" spans="1:14" x14ac:dyDescent="0.45">
      <c r="A5403" s="30">
        <v>2025</v>
      </c>
      <c r="B5403" s="30" t="s">
        <v>12</v>
      </c>
      <c r="C5403" s="30" t="s">
        <v>46</v>
      </c>
      <c r="D5403" s="30" t="s">
        <v>47</v>
      </c>
      <c r="E5403" s="31" t="s">
        <v>110</v>
      </c>
      <c r="F5403" s="32" t="s">
        <v>57</v>
      </c>
      <c r="G5403" s="32" t="s">
        <v>50</v>
      </c>
      <c r="H5403" s="33">
        <v>12120</v>
      </c>
      <c r="I5403" s="34">
        <f>Table3[[#This Row],[Volume, kg.]]/1000</f>
        <v>12.12</v>
      </c>
      <c r="J5403" s="34">
        <v>0.2248</v>
      </c>
      <c r="K5403" s="34">
        <f t="shared" si="168"/>
        <v>2724.576</v>
      </c>
      <c r="L5403" s="34">
        <v>1.77</v>
      </c>
      <c r="M5403" s="34">
        <v>21414</v>
      </c>
      <c r="N5403" s="34">
        <f t="shared" si="169"/>
        <v>7.8736654804270465</v>
      </c>
    </row>
    <row r="5404" spans="1:14" x14ac:dyDescent="0.45">
      <c r="A5404" s="30">
        <v>2025</v>
      </c>
      <c r="B5404" s="30" t="s">
        <v>12</v>
      </c>
      <c r="C5404" s="30" t="s">
        <v>46</v>
      </c>
      <c r="D5404" s="30" t="s">
        <v>47</v>
      </c>
      <c r="E5404" s="31" t="s">
        <v>142</v>
      </c>
      <c r="F5404" s="32" t="s">
        <v>57</v>
      </c>
      <c r="G5404" s="32" t="s">
        <v>50</v>
      </c>
      <c r="H5404" s="33">
        <v>67920</v>
      </c>
      <c r="I5404" s="34">
        <f>Table3[[#This Row],[Volume, kg.]]/1000</f>
        <v>67.92</v>
      </c>
      <c r="J5404" s="34">
        <v>0.22739999999999999</v>
      </c>
      <c r="K5404" s="34">
        <f t="shared" si="168"/>
        <v>15445.008</v>
      </c>
      <c r="L5404" s="34">
        <v>1.8</v>
      </c>
      <c r="M5404" s="34">
        <v>122334</v>
      </c>
      <c r="N5404" s="34">
        <f t="shared" si="169"/>
        <v>7.9155672823219003</v>
      </c>
    </row>
    <row r="5405" spans="1:14" x14ac:dyDescent="0.45">
      <c r="A5405" s="30">
        <v>2025</v>
      </c>
      <c r="B5405" s="30" t="s">
        <v>12</v>
      </c>
      <c r="C5405" s="30" t="s">
        <v>46</v>
      </c>
      <c r="D5405" s="30" t="s">
        <v>47</v>
      </c>
      <c r="E5405" s="31" t="s">
        <v>86</v>
      </c>
      <c r="F5405" s="32" t="s">
        <v>49</v>
      </c>
      <c r="G5405" s="32" t="s">
        <v>50</v>
      </c>
      <c r="H5405" s="33">
        <v>20950</v>
      </c>
      <c r="I5405" s="34">
        <f>Table3[[#This Row],[Volume, kg.]]/1000</f>
        <v>20.95</v>
      </c>
      <c r="J5405" s="34">
        <v>0.1827</v>
      </c>
      <c r="K5405" s="34">
        <f t="shared" si="168"/>
        <v>3827.5650000000001</v>
      </c>
      <c r="L5405" s="34">
        <v>1.62</v>
      </c>
      <c r="M5405" s="34">
        <v>33973</v>
      </c>
      <c r="N5405" s="34">
        <f t="shared" si="169"/>
        <v>8.8669950738916263</v>
      </c>
    </row>
    <row r="5406" spans="1:14" x14ac:dyDescent="0.45">
      <c r="A5406" s="30">
        <v>2025</v>
      </c>
      <c r="B5406" s="30" t="s">
        <v>12</v>
      </c>
      <c r="C5406" s="30" t="s">
        <v>46</v>
      </c>
      <c r="D5406" s="30" t="s">
        <v>47</v>
      </c>
      <c r="E5406" s="31" t="s">
        <v>431</v>
      </c>
      <c r="F5406" s="32" t="s">
        <v>49</v>
      </c>
      <c r="G5406" s="32" t="s">
        <v>50</v>
      </c>
      <c r="H5406" s="33">
        <v>22360</v>
      </c>
      <c r="I5406" s="34">
        <f>Table3[[#This Row],[Volume, kg.]]/1000</f>
        <v>22.36</v>
      </c>
      <c r="J5406" s="34">
        <v>0.16829999999999998</v>
      </c>
      <c r="K5406" s="34">
        <f t="shared" si="168"/>
        <v>3763.1879999999996</v>
      </c>
      <c r="L5406" s="34">
        <v>1.54</v>
      </c>
      <c r="M5406" s="34">
        <v>34324</v>
      </c>
      <c r="N5406" s="34">
        <f t="shared" si="169"/>
        <v>9.1503267973856222</v>
      </c>
    </row>
    <row r="5407" spans="1:14" x14ac:dyDescent="0.45">
      <c r="A5407" s="30">
        <v>2025</v>
      </c>
      <c r="B5407" s="30" t="s">
        <v>12</v>
      </c>
      <c r="C5407" s="30" t="s">
        <v>46</v>
      </c>
      <c r="D5407" s="30" t="s">
        <v>47</v>
      </c>
      <c r="E5407" s="31" t="s">
        <v>167</v>
      </c>
      <c r="F5407" s="32" t="s">
        <v>49</v>
      </c>
      <c r="G5407" s="32" t="s">
        <v>50</v>
      </c>
      <c r="H5407" s="33">
        <v>120230</v>
      </c>
      <c r="I5407" s="34">
        <f>Table3[[#This Row],[Volume, kg.]]/1000</f>
        <v>120.23</v>
      </c>
      <c r="J5407" s="34">
        <v>0.2039</v>
      </c>
      <c r="K5407" s="34">
        <f t="shared" si="168"/>
        <v>24514.897000000001</v>
      </c>
      <c r="L5407" s="34">
        <v>1.69</v>
      </c>
      <c r="M5407" s="34">
        <v>203509</v>
      </c>
      <c r="N5407" s="34">
        <f t="shared" si="169"/>
        <v>8.2883766552231481</v>
      </c>
    </row>
    <row r="5408" spans="1:14" x14ac:dyDescent="0.45">
      <c r="A5408" s="30">
        <v>2025</v>
      </c>
      <c r="B5408" s="30" t="s">
        <v>12</v>
      </c>
      <c r="C5408" s="30" t="s">
        <v>46</v>
      </c>
      <c r="D5408" s="30" t="s">
        <v>47</v>
      </c>
      <c r="E5408" s="31" t="s">
        <v>329</v>
      </c>
      <c r="F5408" s="32" t="s">
        <v>49</v>
      </c>
      <c r="G5408" s="32" t="s">
        <v>50</v>
      </c>
      <c r="H5408" s="33">
        <v>36840</v>
      </c>
      <c r="I5408" s="34">
        <f>Table3[[#This Row],[Volume, kg.]]/1000</f>
        <v>36.840000000000003</v>
      </c>
      <c r="J5408" s="34">
        <v>0.20430000000000001</v>
      </c>
      <c r="K5408" s="34">
        <f t="shared" si="168"/>
        <v>7526.4120000000003</v>
      </c>
      <c r="L5408" s="34">
        <v>1.72</v>
      </c>
      <c r="M5408" s="34">
        <v>63340.5</v>
      </c>
      <c r="N5408" s="34">
        <f t="shared" si="169"/>
        <v>8.4189916789035735</v>
      </c>
    </row>
    <row r="5409" spans="1:14" x14ac:dyDescent="0.45">
      <c r="A5409" s="30">
        <v>2025</v>
      </c>
      <c r="B5409" s="30" t="s">
        <v>12</v>
      </c>
      <c r="C5409" s="30" t="s">
        <v>46</v>
      </c>
      <c r="D5409" s="30" t="s">
        <v>47</v>
      </c>
      <c r="E5409" s="31" t="s">
        <v>190</v>
      </c>
      <c r="F5409" s="32" t="s">
        <v>81</v>
      </c>
      <c r="G5409" s="32" t="s">
        <v>50</v>
      </c>
      <c r="H5409" s="33">
        <v>9380</v>
      </c>
      <c r="I5409" s="34">
        <f>Table3[[#This Row],[Volume, kg.]]/1000</f>
        <v>9.3800000000000008</v>
      </c>
      <c r="J5409" s="34">
        <v>0.17550000000000002</v>
      </c>
      <c r="K5409" s="34">
        <f t="shared" si="168"/>
        <v>1646.19</v>
      </c>
      <c r="L5409" s="34">
        <v>1.55</v>
      </c>
      <c r="M5409" s="34">
        <v>14539</v>
      </c>
      <c r="N5409" s="34">
        <f t="shared" si="169"/>
        <v>8.8319088319088319</v>
      </c>
    </row>
    <row r="5410" spans="1:14" x14ac:dyDescent="0.45">
      <c r="A5410" s="30">
        <v>2025</v>
      </c>
      <c r="B5410" s="30" t="s">
        <v>12</v>
      </c>
      <c r="C5410" s="30" t="s">
        <v>46</v>
      </c>
      <c r="D5410" s="30" t="s">
        <v>47</v>
      </c>
      <c r="E5410" s="31" t="s">
        <v>498</v>
      </c>
      <c r="F5410" s="32" t="s">
        <v>49</v>
      </c>
      <c r="G5410" s="32" t="s">
        <v>50</v>
      </c>
      <c r="H5410" s="33">
        <v>12430</v>
      </c>
      <c r="I5410" s="34">
        <f>Table3[[#This Row],[Volume, kg.]]/1000</f>
        <v>12.43</v>
      </c>
      <c r="J5410" s="34">
        <v>0.2505</v>
      </c>
      <c r="K5410" s="34">
        <f t="shared" si="168"/>
        <v>3113.7150000000001</v>
      </c>
      <c r="L5410" s="34">
        <v>1.95</v>
      </c>
      <c r="M5410" s="34">
        <v>24238.5</v>
      </c>
      <c r="N5410" s="34">
        <f t="shared" si="169"/>
        <v>7.7844311377245505</v>
      </c>
    </row>
    <row r="5411" spans="1:14" x14ac:dyDescent="0.45">
      <c r="A5411" s="30">
        <v>2025</v>
      </c>
      <c r="B5411" s="30" t="s">
        <v>12</v>
      </c>
      <c r="C5411" s="30" t="s">
        <v>46</v>
      </c>
      <c r="D5411" s="30" t="s">
        <v>47</v>
      </c>
      <c r="E5411" s="31" t="s">
        <v>132</v>
      </c>
      <c r="F5411" s="32" t="s">
        <v>49</v>
      </c>
      <c r="G5411" s="32" t="s">
        <v>50</v>
      </c>
      <c r="H5411" s="33">
        <v>3030</v>
      </c>
      <c r="I5411" s="34">
        <f>Table3[[#This Row],[Volume, kg.]]/1000</f>
        <v>3.03</v>
      </c>
      <c r="J5411" s="34">
        <v>0.20699999999999999</v>
      </c>
      <c r="K5411" s="34">
        <f t="shared" si="168"/>
        <v>627.20999999999992</v>
      </c>
      <c r="L5411" s="34">
        <v>1.75</v>
      </c>
      <c r="M5411" s="34">
        <v>5302.5</v>
      </c>
      <c r="N5411" s="34">
        <f t="shared" si="169"/>
        <v>8.454106280193237</v>
      </c>
    </row>
    <row r="5412" spans="1:14" x14ac:dyDescent="0.45">
      <c r="A5412" s="30">
        <v>2025</v>
      </c>
      <c r="B5412" s="30" t="s">
        <v>12</v>
      </c>
      <c r="C5412" s="30" t="s">
        <v>46</v>
      </c>
      <c r="D5412" s="30" t="s">
        <v>47</v>
      </c>
      <c r="E5412" s="31" t="s">
        <v>466</v>
      </c>
      <c r="F5412" s="32" t="s">
        <v>57</v>
      </c>
      <c r="G5412" s="32" t="s">
        <v>50</v>
      </c>
      <c r="H5412" s="33">
        <v>16500</v>
      </c>
      <c r="I5412" s="34">
        <f>Table3[[#This Row],[Volume, kg.]]/1000</f>
        <v>16.5</v>
      </c>
      <c r="J5412" s="34">
        <v>0.26</v>
      </c>
      <c r="K5412" s="34">
        <f t="shared" si="168"/>
        <v>4290</v>
      </c>
      <c r="L5412" s="34">
        <v>1.9</v>
      </c>
      <c r="M5412" s="34">
        <v>31340</v>
      </c>
      <c r="N5412" s="34">
        <f t="shared" si="169"/>
        <v>7.3076923076923075</v>
      </c>
    </row>
    <row r="5413" spans="1:14" x14ac:dyDescent="0.45">
      <c r="A5413" s="30">
        <v>2025</v>
      </c>
      <c r="B5413" s="30" t="s">
        <v>12</v>
      </c>
      <c r="C5413" s="30" t="s">
        <v>46</v>
      </c>
      <c r="D5413" s="30" t="s">
        <v>47</v>
      </c>
      <c r="E5413" s="31" t="s">
        <v>241</v>
      </c>
      <c r="F5413" s="32" t="s">
        <v>57</v>
      </c>
      <c r="G5413" s="32" t="s">
        <v>50</v>
      </c>
      <c r="H5413" s="33">
        <v>14310</v>
      </c>
      <c r="I5413" s="34">
        <f>Table3[[#This Row],[Volume, kg.]]/1000</f>
        <v>14.31</v>
      </c>
      <c r="J5413" s="34">
        <v>0.2475</v>
      </c>
      <c r="K5413" s="34">
        <f t="shared" si="168"/>
        <v>3541.7249999999999</v>
      </c>
      <c r="L5413" s="34">
        <v>1.92</v>
      </c>
      <c r="M5413" s="34">
        <v>27488.5</v>
      </c>
      <c r="N5413" s="34">
        <f t="shared" si="169"/>
        <v>7.7575757575757578</v>
      </c>
    </row>
    <row r="5414" spans="1:14" x14ac:dyDescent="0.45">
      <c r="A5414" s="30">
        <v>2025</v>
      </c>
      <c r="B5414" s="30" t="s">
        <v>12</v>
      </c>
      <c r="C5414" s="30" t="s">
        <v>46</v>
      </c>
      <c r="D5414" s="30" t="s">
        <v>47</v>
      </c>
      <c r="E5414" s="31" t="s">
        <v>333</v>
      </c>
      <c r="F5414" s="32" t="s">
        <v>57</v>
      </c>
      <c r="G5414" s="32" t="s">
        <v>50</v>
      </c>
      <c r="H5414" s="33">
        <v>123700</v>
      </c>
      <c r="I5414" s="34">
        <f>Table3[[#This Row],[Volume, kg.]]/1000</f>
        <v>123.7</v>
      </c>
      <c r="J5414" s="34">
        <v>0.20579999999999998</v>
      </c>
      <c r="K5414" s="34">
        <f t="shared" si="168"/>
        <v>25457.46</v>
      </c>
      <c r="L5414" s="34">
        <v>1.68</v>
      </c>
      <c r="M5414" s="34">
        <v>207294</v>
      </c>
      <c r="N5414" s="34">
        <f t="shared" si="169"/>
        <v>8.1632653061224492</v>
      </c>
    </row>
    <row r="5415" spans="1:14" x14ac:dyDescent="0.45">
      <c r="A5415" s="30">
        <v>2025</v>
      </c>
      <c r="B5415" s="30" t="s">
        <v>12</v>
      </c>
      <c r="C5415" s="30" t="s">
        <v>46</v>
      </c>
      <c r="D5415" s="30" t="s">
        <v>47</v>
      </c>
      <c r="E5415" s="31" t="s">
        <v>230</v>
      </c>
      <c r="F5415" s="32" t="s">
        <v>49</v>
      </c>
      <c r="G5415" s="32" t="s">
        <v>50</v>
      </c>
      <c r="H5415" s="33">
        <v>7990</v>
      </c>
      <c r="I5415" s="34">
        <f>Table3[[#This Row],[Volume, kg.]]/1000</f>
        <v>7.99</v>
      </c>
      <c r="J5415" s="34">
        <v>0.18629999999999999</v>
      </c>
      <c r="K5415" s="34">
        <f t="shared" si="168"/>
        <v>1488.537</v>
      </c>
      <c r="L5415" s="34">
        <v>1.65</v>
      </c>
      <c r="M5415" s="34">
        <v>13183.5</v>
      </c>
      <c r="N5415" s="34">
        <f t="shared" si="169"/>
        <v>8.8566827697262482</v>
      </c>
    </row>
    <row r="5416" spans="1:14" x14ac:dyDescent="0.45">
      <c r="A5416" s="30">
        <v>2025</v>
      </c>
      <c r="B5416" s="30" t="s">
        <v>12</v>
      </c>
      <c r="C5416" s="30" t="s">
        <v>46</v>
      </c>
      <c r="D5416" s="30" t="s">
        <v>47</v>
      </c>
      <c r="E5416" s="31" t="s">
        <v>236</v>
      </c>
      <c r="F5416" s="32" t="s">
        <v>49</v>
      </c>
      <c r="G5416" s="32" t="s">
        <v>50</v>
      </c>
      <c r="H5416" s="33">
        <v>97480</v>
      </c>
      <c r="I5416" s="34">
        <f>Table3[[#This Row],[Volume, kg.]]/1000</f>
        <v>97.48</v>
      </c>
      <c r="J5416" s="34">
        <v>0.22219999999999998</v>
      </c>
      <c r="K5416" s="34">
        <f t="shared" si="168"/>
        <v>21660.055999999997</v>
      </c>
      <c r="L5416" s="34">
        <v>1.79</v>
      </c>
      <c r="M5416" s="34">
        <v>174746</v>
      </c>
      <c r="N5416" s="34">
        <f t="shared" si="169"/>
        <v>8.0558055805580562</v>
      </c>
    </row>
    <row r="5417" spans="1:14" x14ac:dyDescent="0.45">
      <c r="A5417" s="30">
        <v>2025</v>
      </c>
      <c r="B5417" s="30" t="s">
        <v>12</v>
      </c>
      <c r="C5417" s="30" t="s">
        <v>46</v>
      </c>
      <c r="D5417" s="30" t="s">
        <v>47</v>
      </c>
      <c r="E5417" s="31" t="s">
        <v>152</v>
      </c>
      <c r="F5417" s="32" t="s">
        <v>60</v>
      </c>
      <c r="G5417" s="32" t="s">
        <v>50</v>
      </c>
      <c r="H5417" s="33">
        <v>10410</v>
      </c>
      <c r="I5417" s="34">
        <f>Table3[[#This Row],[Volume, kg.]]/1000</f>
        <v>10.41</v>
      </c>
      <c r="J5417" s="34">
        <v>0.23350000000000001</v>
      </c>
      <c r="K5417" s="34">
        <f t="shared" ref="K5417:K5480" si="170">H5417*J5417</f>
        <v>2430.7350000000001</v>
      </c>
      <c r="L5417" s="34">
        <v>1.85</v>
      </c>
      <c r="M5417" s="34">
        <v>19258.5</v>
      </c>
      <c r="N5417" s="34">
        <f t="shared" ref="N5417:N5480" si="171">L5417/J5417</f>
        <v>7.9229122055674521</v>
      </c>
    </row>
    <row r="5418" spans="1:14" x14ac:dyDescent="0.45">
      <c r="A5418" s="30">
        <v>2025</v>
      </c>
      <c r="B5418" s="30" t="s">
        <v>12</v>
      </c>
      <c r="C5418" s="30" t="s">
        <v>46</v>
      </c>
      <c r="D5418" s="30" t="s">
        <v>47</v>
      </c>
      <c r="E5418" s="31" t="s">
        <v>111</v>
      </c>
      <c r="F5418" s="32" t="s">
        <v>60</v>
      </c>
      <c r="G5418" s="32" t="s">
        <v>50</v>
      </c>
      <c r="H5418" s="33">
        <v>10580</v>
      </c>
      <c r="I5418" s="34">
        <f>Table3[[#This Row],[Volume, kg.]]/1000</f>
        <v>10.58</v>
      </c>
      <c r="J5418" s="34">
        <v>0.24129999999999999</v>
      </c>
      <c r="K5418" s="34">
        <f t="shared" si="170"/>
        <v>2552.9539999999997</v>
      </c>
      <c r="L5418" s="34">
        <v>1.86</v>
      </c>
      <c r="M5418" s="34">
        <v>19686</v>
      </c>
      <c r="N5418" s="34">
        <f t="shared" si="171"/>
        <v>7.7082469954413604</v>
      </c>
    </row>
    <row r="5419" spans="1:14" x14ac:dyDescent="0.45">
      <c r="A5419" s="30">
        <v>2025</v>
      </c>
      <c r="B5419" s="30" t="s">
        <v>12</v>
      </c>
      <c r="C5419" s="30" t="s">
        <v>46</v>
      </c>
      <c r="D5419" s="30" t="s">
        <v>47</v>
      </c>
      <c r="E5419" s="31" t="s">
        <v>121</v>
      </c>
      <c r="F5419" s="32" t="s">
        <v>60</v>
      </c>
      <c r="G5419" s="32" t="s">
        <v>50</v>
      </c>
      <c r="H5419" s="33">
        <v>9770</v>
      </c>
      <c r="I5419" s="34">
        <f>Table3[[#This Row],[Volume, kg.]]/1000</f>
        <v>9.77</v>
      </c>
      <c r="J5419" s="34">
        <v>0.21899999999999997</v>
      </c>
      <c r="K5419" s="34">
        <f t="shared" si="170"/>
        <v>2139.6299999999997</v>
      </c>
      <c r="L5419" s="34">
        <v>1.7</v>
      </c>
      <c r="M5419" s="34">
        <v>16609</v>
      </c>
      <c r="N5419" s="34">
        <f t="shared" si="171"/>
        <v>7.7625570776255719</v>
      </c>
    </row>
    <row r="5420" spans="1:14" x14ac:dyDescent="0.45">
      <c r="A5420" s="30">
        <v>2025</v>
      </c>
      <c r="B5420" s="30" t="s">
        <v>12</v>
      </c>
      <c r="C5420" s="30" t="s">
        <v>46</v>
      </c>
      <c r="D5420" s="30" t="s">
        <v>47</v>
      </c>
      <c r="E5420" s="31" t="s">
        <v>499</v>
      </c>
      <c r="F5420" s="32" t="s">
        <v>81</v>
      </c>
      <c r="G5420" s="32" t="s">
        <v>50</v>
      </c>
      <c r="H5420" s="33">
        <v>7140</v>
      </c>
      <c r="I5420" s="34">
        <f>Table3[[#This Row],[Volume, kg.]]/1000</f>
        <v>7.14</v>
      </c>
      <c r="J5420" s="34">
        <v>0.23699999999999999</v>
      </c>
      <c r="K5420" s="34">
        <f t="shared" si="170"/>
        <v>1692.1799999999998</v>
      </c>
      <c r="L5420" s="34">
        <v>1.85</v>
      </c>
      <c r="M5420" s="34">
        <v>13209</v>
      </c>
      <c r="N5420" s="34">
        <f t="shared" si="171"/>
        <v>7.8059071729957816</v>
      </c>
    </row>
    <row r="5421" spans="1:14" x14ac:dyDescent="0.45">
      <c r="A5421" s="30">
        <v>2025</v>
      </c>
      <c r="B5421" s="30" t="s">
        <v>12</v>
      </c>
      <c r="C5421" s="30" t="s">
        <v>46</v>
      </c>
      <c r="D5421" s="30" t="s">
        <v>47</v>
      </c>
      <c r="E5421" s="31" t="s">
        <v>288</v>
      </c>
      <c r="F5421" s="32" t="s">
        <v>49</v>
      </c>
      <c r="G5421" s="32" t="s">
        <v>50</v>
      </c>
      <c r="H5421" s="33">
        <v>73190</v>
      </c>
      <c r="I5421" s="34">
        <f>Table3[[#This Row],[Volume, kg.]]/1000</f>
        <v>73.19</v>
      </c>
      <c r="J5421" s="34">
        <v>0.23860000000000001</v>
      </c>
      <c r="K5421" s="34">
        <f t="shared" si="170"/>
        <v>17463.134000000002</v>
      </c>
      <c r="L5421" s="34">
        <v>1.89</v>
      </c>
      <c r="M5421" s="34">
        <v>138019.5</v>
      </c>
      <c r="N5421" s="34">
        <f t="shared" si="171"/>
        <v>7.9212070410729245</v>
      </c>
    </row>
    <row r="5422" spans="1:14" x14ac:dyDescent="0.45">
      <c r="A5422" s="30">
        <v>2025</v>
      </c>
      <c r="B5422" s="30" t="s">
        <v>12</v>
      </c>
      <c r="C5422" s="30" t="s">
        <v>46</v>
      </c>
      <c r="D5422" s="30" t="s">
        <v>47</v>
      </c>
      <c r="E5422" s="31" t="s">
        <v>70</v>
      </c>
      <c r="F5422" s="32" t="s">
        <v>49</v>
      </c>
      <c r="G5422" s="32" t="s">
        <v>50</v>
      </c>
      <c r="H5422" s="33">
        <v>393780</v>
      </c>
      <c r="I5422" s="34">
        <f>Table3[[#This Row],[Volume, kg.]]/1000</f>
        <v>393.78</v>
      </c>
      <c r="J5422" s="34">
        <v>0.22190000000000001</v>
      </c>
      <c r="K5422" s="34">
        <f t="shared" si="170"/>
        <v>87379.782000000007</v>
      </c>
      <c r="L5422" s="34">
        <v>1.77</v>
      </c>
      <c r="M5422" s="34">
        <v>696515</v>
      </c>
      <c r="N5422" s="34">
        <f t="shared" si="171"/>
        <v>7.9765660207300586</v>
      </c>
    </row>
    <row r="5423" spans="1:14" x14ac:dyDescent="0.45">
      <c r="A5423" s="30">
        <v>2025</v>
      </c>
      <c r="B5423" s="30" t="s">
        <v>12</v>
      </c>
      <c r="C5423" s="30" t="s">
        <v>46</v>
      </c>
      <c r="D5423" s="30" t="s">
        <v>47</v>
      </c>
      <c r="E5423" s="31" t="s">
        <v>467</v>
      </c>
      <c r="F5423" s="32" t="s">
        <v>57</v>
      </c>
      <c r="G5423" s="32" t="s">
        <v>50</v>
      </c>
      <c r="H5423" s="33">
        <v>5380</v>
      </c>
      <c r="I5423" s="34">
        <f>Table3[[#This Row],[Volume, kg.]]/1000</f>
        <v>5.38</v>
      </c>
      <c r="J5423" s="34">
        <v>0.20850000000000002</v>
      </c>
      <c r="K5423" s="34">
        <f t="shared" si="170"/>
        <v>1121.73</v>
      </c>
      <c r="L5423" s="34">
        <v>1.75</v>
      </c>
      <c r="M5423" s="34">
        <v>9415</v>
      </c>
      <c r="N5423" s="34">
        <f t="shared" si="171"/>
        <v>8.3932853717026372</v>
      </c>
    </row>
    <row r="5424" spans="1:14" x14ac:dyDescent="0.45">
      <c r="A5424" s="30">
        <v>2025</v>
      </c>
      <c r="B5424" s="30" t="s">
        <v>12</v>
      </c>
      <c r="C5424" s="30" t="s">
        <v>46</v>
      </c>
      <c r="D5424" s="30" t="s">
        <v>47</v>
      </c>
      <c r="E5424" s="31" t="s">
        <v>192</v>
      </c>
      <c r="F5424" s="32" t="s">
        <v>49</v>
      </c>
      <c r="G5424" s="32" t="s">
        <v>50</v>
      </c>
      <c r="H5424" s="33">
        <v>4730</v>
      </c>
      <c r="I5424" s="34">
        <f>Table3[[#This Row],[Volume, kg.]]/1000</f>
        <v>4.7300000000000004</v>
      </c>
      <c r="J5424" s="34">
        <v>0.16800000000000001</v>
      </c>
      <c r="K5424" s="34">
        <f t="shared" si="170"/>
        <v>794.6400000000001</v>
      </c>
      <c r="L5424" s="34">
        <v>1.55</v>
      </c>
      <c r="M5424" s="34">
        <v>7331.5</v>
      </c>
      <c r="N5424" s="34">
        <f t="shared" si="171"/>
        <v>9.2261904761904763</v>
      </c>
    </row>
    <row r="5425" spans="1:14" x14ac:dyDescent="0.45">
      <c r="A5425" s="30">
        <v>2025</v>
      </c>
      <c r="B5425" s="30" t="s">
        <v>12</v>
      </c>
      <c r="C5425" s="30" t="s">
        <v>46</v>
      </c>
      <c r="D5425" s="30" t="s">
        <v>47</v>
      </c>
      <c r="E5425" s="31" t="s">
        <v>324</v>
      </c>
      <c r="F5425" s="32" t="s">
        <v>81</v>
      </c>
      <c r="G5425" s="32" t="s">
        <v>50</v>
      </c>
      <c r="H5425" s="33">
        <v>5980</v>
      </c>
      <c r="I5425" s="34">
        <f>Table3[[#This Row],[Volume, kg.]]/1000</f>
        <v>5.98</v>
      </c>
      <c r="J5425" s="34">
        <v>0.29249999999999998</v>
      </c>
      <c r="K5425" s="34">
        <f t="shared" si="170"/>
        <v>1749.1499999999999</v>
      </c>
      <c r="L5425" s="34">
        <v>2.15</v>
      </c>
      <c r="M5425" s="34">
        <v>12857</v>
      </c>
      <c r="N5425" s="34">
        <f t="shared" si="171"/>
        <v>7.350427350427351</v>
      </c>
    </row>
    <row r="5426" spans="1:14" x14ac:dyDescent="0.45">
      <c r="A5426" s="30">
        <v>2025</v>
      </c>
      <c r="B5426" s="30" t="s">
        <v>12</v>
      </c>
      <c r="C5426" s="30" t="s">
        <v>46</v>
      </c>
      <c r="D5426" s="30" t="s">
        <v>47</v>
      </c>
      <c r="E5426" s="31" t="s">
        <v>135</v>
      </c>
      <c r="F5426" s="32" t="s">
        <v>49</v>
      </c>
      <c r="G5426" s="32" t="s">
        <v>50</v>
      </c>
      <c r="H5426" s="33">
        <v>77790</v>
      </c>
      <c r="I5426" s="34">
        <f>Table3[[#This Row],[Volume, kg.]]/1000</f>
        <v>77.790000000000006</v>
      </c>
      <c r="J5426" s="34">
        <v>0.22699999999999998</v>
      </c>
      <c r="K5426" s="34">
        <f t="shared" si="170"/>
        <v>17658.329999999998</v>
      </c>
      <c r="L5426" s="34">
        <v>1.77</v>
      </c>
      <c r="M5426" s="34">
        <v>137845.5</v>
      </c>
      <c r="N5426" s="34">
        <f t="shared" si="171"/>
        <v>7.7973568281938332</v>
      </c>
    </row>
    <row r="5427" spans="1:14" x14ac:dyDescent="0.45">
      <c r="A5427" s="30">
        <v>2025</v>
      </c>
      <c r="B5427" s="30" t="s">
        <v>12</v>
      </c>
      <c r="C5427" s="30" t="s">
        <v>46</v>
      </c>
      <c r="D5427" s="30" t="s">
        <v>47</v>
      </c>
      <c r="E5427" s="31" t="s">
        <v>144</v>
      </c>
      <c r="F5427" s="32" t="s">
        <v>49</v>
      </c>
      <c r="G5427" s="32" t="s">
        <v>50</v>
      </c>
      <c r="H5427" s="33">
        <v>94570</v>
      </c>
      <c r="I5427" s="34">
        <f>Table3[[#This Row],[Volume, kg.]]/1000</f>
        <v>94.57</v>
      </c>
      <c r="J5427" s="34">
        <v>0.22450000000000001</v>
      </c>
      <c r="K5427" s="34">
        <f t="shared" si="170"/>
        <v>21230.965</v>
      </c>
      <c r="L5427" s="34">
        <v>1.8</v>
      </c>
      <c r="M5427" s="34">
        <v>170305</v>
      </c>
      <c r="N5427" s="34">
        <f t="shared" si="171"/>
        <v>8.0178173719376389</v>
      </c>
    </row>
    <row r="5428" spans="1:14" x14ac:dyDescent="0.45">
      <c r="A5428" s="30">
        <v>2025</v>
      </c>
      <c r="B5428" s="30" t="s">
        <v>12</v>
      </c>
      <c r="C5428" s="30" t="s">
        <v>46</v>
      </c>
      <c r="D5428" s="30" t="s">
        <v>47</v>
      </c>
      <c r="E5428" s="31" t="s">
        <v>570</v>
      </c>
      <c r="F5428" s="32" t="s">
        <v>49</v>
      </c>
      <c r="G5428" s="32" t="s">
        <v>50</v>
      </c>
      <c r="H5428" s="33">
        <v>22450</v>
      </c>
      <c r="I5428" s="34">
        <f>Table3[[#This Row],[Volume, kg.]]/1000</f>
        <v>22.45</v>
      </c>
      <c r="J5428" s="34">
        <v>0.20079999999999998</v>
      </c>
      <c r="K5428" s="34">
        <f t="shared" si="170"/>
        <v>4507.9599999999991</v>
      </c>
      <c r="L5428" s="34">
        <v>1.65</v>
      </c>
      <c r="M5428" s="34">
        <v>37042.5</v>
      </c>
      <c r="N5428" s="34">
        <f t="shared" si="171"/>
        <v>8.2171314741035868</v>
      </c>
    </row>
    <row r="5429" spans="1:14" x14ac:dyDescent="0.45">
      <c r="A5429" s="30">
        <v>2025</v>
      </c>
      <c r="B5429" s="30" t="s">
        <v>12</v>
      </c>
      <c r="C5429" s="30" t="s">
        <v>46</v>
      </c>
      <c r="D5429" s="30" t="s">
        <v>47</v>
      </c>
      <c r="E5429" s="31" t="s">
        <v>100</v>
      </c>
      <c r="F5429" s="32" t="s">
        <v>60</v>
      </c>
      <c r="G5429" s="32" t="s">
        <v>50</v>
      </c>
      <c r="H5429" s="33">
        <v>20020</v>
      </c>
      <c r="I5429" s="34">
        <f>Table3[[#This Row],[Volume, kg.]]/1000</f>
        <v>20.02</v>
      </c>
      <c r="J5429" s="34">
        <v>0.2311</v>
      </c>
      <c r="K5429" s="34">
        <f t="shared" si="170"/>
        <v>4626.6220000000003</v>
      </c>
      <c r="L5429" s="34">
        <v>1.82</v>
      </c>
      <c r="M5429" s="34">
        <v>36491</v>
      </c>
      <c r="N5429" s="34">
        <f t="shared" si="171"/>
        <v>7.8753786239723063</v>
      </c>
    </row>
    <row r="5430" spans="1:14" x14ac:dyDescent="0.45">
      <c r="A5430" s="30">
        <v>2025</v>
      </c>
      <c r="B5430" s="30" t="s">
        <v>12</v>
      </c>
      <c r="C5430" s="30" t="s">
        <v>46</v>
      </c>
      <c r="D5430" s="30" t="s">
        <v>47</v>
      </c>
      <c r="E5430" s="31" t="s">
        <v>268</v>
      </c>
      <c r="F5430" s="32" t="s">
        <v>57</v>
      </c>
      <c r="G5430" s="32" t="s">
        <v>50</v>
      </c>
      <c r="H5430" s="33">
        <v>58760</v>
      </c>
      <c r="I5430" s="34">
        <f>Table3[[#This Row],[Volume, kg.]]/1000</f>
        <v>58.76</v>
      </c>
      <c r="J5430" s="34">
        <v>0.26390000000000002</v>
      </c>
      <c r="K5430" s="34">
        <f t="shared" si="170"/>
        <v>15506.764000000001</v>
      </c>
      <c r="L5430" s="34">
        <v>1.93</v>
      </c>
      <c r="M5430" s="34">
        <v>113379</v>
      </c>
      <c r="N5430" s="34">
        <f t="shared" si="171"/>
        <v>7.3133762788935197</v>
      </c>
    </row>
    <row r="5431" spans="1:14" x14ac:dyDescent="0.45">
      <c r="A5431" s="30">
        <v>2025</v>
      </c>
      <c r="B5431" s="30" t="s">
        <v>12</v>
      </c>
      <c r="C5431" s="30" t="s">
        <v>46</v>
      </c>
      <c r="D5431" s="30" t="s">
        <v>47</v>
      </c>
      <c r="E5431" s="31" t="s">
        <v>147</v>
      </c>
      <c r="F5431" s="32" t="s">
        <v>57</v>
      </c>
      <c r="G5431" s="32" t="s">
        <v>50</v>
      </c>
      <c r="H5431" s="33">
        <v>13940</v>
      </c>
      <c r="I5431" s="34">
        <f>Table3[[#This Row],[Volume, kg.]]/1000</f>
        <v>13.94</v>
      </c>
      <c r="J5431" s="34">
        <v>0.21629999999999999</v>
      </c>
      <c r="K5431" s="34">
        <f t="shared" si="170"/>
        <v>3015.2219999999998</v>
      </c>
      <c r="L5431" s="34">
        <v>1.78</v>
      </c>
      <c r="M5431" s="34">
        <v>24866</v>
      </c>
      <c r="N5431" s="34">
        <f t="shared" si="171"/>
        <v>8.2293111419325022</v>
      </c>
    </row>
    <row r="5432" spans="1:14" x14ac:dyDescent="0.45">
      <c r="A5432" s="30">
        <v>2025</v>
      </c>
      <c r="B5432" s="30" t="s">
        <v>12</v>
      </c>
      <c r="C5432" s="30" t="s">
        <v>46</v>
      </c>
      <c r="D5432" s="30" t="s">
        <v>47</v>
      </c>
      <c r="E5432" s="31" t="s">
        <v>253</v>
      </c>
      <c r="F5432" s="32" t="s">
        <v>57</v>
      </c>
      <c r="G5432" s="32" t="s">
        <v>50</v>
      </c>
      <c r="H5432" s="33">
        <v>26080</v>
      </c>
      <c r="I5432" s="34">
        <f>Table3[[#This Row],[Volume, kg.]]/1000</f>
        <v>26.08</v>
      </c>
      <c r="J5432" s="34">
        <v>0.2432</v>
      </c>
      <c r="K5432" s="34">
        <f t="shared" si="170"/>
        <v>6342.6559999999999</v>
      </c>
      <c r="L5432" s="34">
        <v>1.85</v>
      </c>
      <c r="M5432" s="34">
        <v>48274.5</v>
      </c>
      <c r="N5432" s="34">
        <f t="shared" si="171"/>
        <v>7.6069078947368425</v>
      </c>
    </row>
    <row r="5433" spans="1:14" x14ac:dyDescent="0.45">
      <c r="A5433" s="30">
        <v>2025</v>
      </c>
      <c r="B5433" s="30" t="s">
        <v>12</v>
      </c>
      <c r="C5433" s="30" t="s">
        <v>46</v>
      </c>
      <c r="D5433" s="30" t="s">
        <v>47</v>
      </c>
      <c r="E5433" s="31" t="s">
        <v>171</v>
      </c>
      <c r="F5433" s="32" t="s">
        <v>49</v>
      </c>
      <c r="G5433" s="32" t="s">
        <v>50</v>
      </c>
      <c r="H5433" s="33">
        <v>22530</v>
      </c>
      <c r="I5433" s="34">
        <f>Table3[[#This Row],[Volume, kg.]]/1000</f>
        <v>22.53</v>
      </c>
      <c r="J5433" s="34">
        <v>0.2029</v>
      </c>
      <c r="K5433" s="34">
        <f t="shared" si="170"/>
        <v>4571.3369999999995</v>
      </c>
      <c r="L5433" s="34">
        <v>1.7</v>
      </c>
      <c r="M5433" s="34">
        <v>38354</v>
      </c>
      <c r="N5433" s="34">
        <f t="shared" si="171"/>
        <v>8.3785115820601277</v>
      </c>
    </row>
    <row r="5434" spans="1:14" x14ac:dyDescent="0.45">
      <c r="A5434" s="30">
        <v>2025</v>
      </c>
      <c r="B5434" s="30" t="s">
        <v>12</v>
      </c>
      <c r="C5434" s="30" t="s">
        <v>46</v>
      </c>
      <c r="D5434" s="30" t="s">
        <v>47</v>
      </c>
      <c r="E5434" s="31" t="s">
        <v>233</v>
      </c>
      <c r="F5434" s="32" t="s">
        <v>57</v>
      </c>
      <c r="G5434" s="32" t="s">
        <v>50</v>
      </c>
      <c r="H5434" s="33">
        <v>76340</v>
      </c>
      <c r="I5434" s="34">
        <f>Table3[[#This Row],[Volume, kg.]]/1000</f>
        <v>76.34</v>
      </c>
      <c r="J5434" s="34">
        <v>0.2225</v>
      </c>
      <c r="K5434" s="34">
        <f t="shared" si="170"/>
        <v>16985.650000000001</v>
      </c>
      <c r="L5434" s="34">
        <v>1.79</v>
      </c>
      <c r="M5434" s="34">
        <v>136504</v>
      </c>
      <c r="N5434" s="34">
        <f t="shared" si="171"/>
        <v>8.0449438202247183</v>
      </c>
    </row>
    <row r="5435" spans="1:14" x14ac:dyDescent="0.45">
      <c r="A5435" s="30">
        <v>2025</v>
      </c>
      <c r="B5435" s="30" t="s">
        <v>12</v>
      </c>
      <c r="C5435" s="30" t="s">
        <v>46</v>
      </c>
      <c r="D5435" s="30" t="s">
        <v>47</v>
      </c>
      <c r="E5435" s="31" t="s">
        <v>275</v>
      </c>
      <c r="F5435" s="32" t="s">
        <v>54</v>
      </c>
      <c r="G5435" s="32" t="s">
        <v>50</v>
      </c>
      <c r="H5435" s="33">
        <v>57370</v>
      </c>
      <c r="I5435" s="34">
        <f>Table3[[#This Row],[Volume, kg.]]/1000</f>
        <v>57.37</v>
      </c>
      <c r="J5435" s="34">
        <v>0.22120000000000001</v>
      </c>
      <c r="K5435" s="34">
        <f t="shared" si="170"/>
        <v>12690.244000000001</v>
      </c>
      <c r="L5435" s="34">
        <v>1.75</v>
      </c>
      <c r="M5435" s="34">
        <v>100436</v>
      </c>
      <c r="N5435" s="34">
        <f t="shared" si="171"/>
        <v>7.9113924050632907</v>
      </c>
    </row>
    <row r="5436" spans="1:14" x14ac:dyDescent="0.45">
      <c r="A5436" s="30">
        <v>2025</v>
      </c>
      <c r="B5436" s="30" t="s">
        <v>12</v>
      </c>
      <c r="C5436" s="30" t="s">
        <v>46</v>
      </c>
      <c r="D5436" s="30" t="s">
        <v>47</v>
      </c>
      <c r="E5436" s="31" t="s">
        <v>88</v>
      </c>
      <c r="F5436" s="32" t="s">
        <v>49</v>
      </c>
      <c r="G5436" s="32" t="s">
        <v>50</v>
      </c>
      <c r="H5436" s="33">
        <v>8690</v>
      </c>
      <c r="I5436" s="34">
        <f>Table3[[#This Row],[Volume, kg.]]/1000</f>
        <v>8.69</v>
      </c>
      <c r="J5436" s="34">
        <v>0.2235</v>
      </c>
      <c r="K5436" s="34">
        <f t="shared" si="170"/>
        <v>1942.2150000000001</v>
      </c>
      <c r="L5436" s="34">
        <v>1.8</v>
      </c>
      <c r="M5436" s="34">
        <v>15642</v>
      </c>
      <c r="N5436" s="34">
        <f t="shared" si="171"/>
        <v>8.053691275167786</v>
      </c>
    </row>
    <row r="5437" spans="1:14" x14ac:dyDescent="0.45">
      <c r="A5437" s="30">
        <v>2025</v>
      </c>
      <c r="B5437" s="30" t="s">
        <v>12</v>
      </c>
      <c r="C5437" s="30" t="s">
        <v>46</v>
      </c>
      <c r="D5437" s="30" t="s">
        <v>47</v>
      </c>
      <c r="E5437" s="31" t="s">
        <v>599</v>
      </c>
      <c r="F5437" s="32" t="s">
        <v>57</v>
      </c>
      <c r="G5437" s="32" t="s">
        <v>50</v>
      </c>
      <c r="H5437" s="33">
        <v>9410</v>
      </c>
      <c r="I5437" s="34">
        <f>Table3[[#This Row],[Volume, kg.]]/1000</f>
        <v>9.41</v>
      </c>
      <c r="J5437" s="34">
        <v>0.17949999999999999</v>
      </c>
      <c r="K5437" s="34">
        <f t="shared" si="170"/>
        <v>1689.095</v>
      </c>
      <c r="L5437" s="34">
        <v>1.6</v>
      </c>
      <c r="M5437" s="34">
        <v>15056</v>
      </c>
      <c r="N5437" s="34">
        <f t="shared" si="171"/>
        <v>8.9136490250696383</v>
      </c>
    </row>
    <row r="5438" spans="1:14" x14ac:dyDescent="0.45">
      <c r="A5438" s="30">
        <v>2025</v>
      </c>
      <c r="B5438" s="30" t="s">
        <v>12</v>
      </c>
      <c r="C5438" s="30" t="s">
        <v>46</v>
      </c>
      <c r="D5438" s="30" t="s">
        <v>47</v>
      </c>
      <c r="E5438" s="31" t="s">
        <v>361</v>
      </c>
      <c r="F5438" s="32" t="s">
        <v>57</v>
      </c>
      <c r="G5438" s="32" t="s">
        <v>50</v>
      </c>
      <c r="H5438" s="33">
        <v>4430</v>
      </c>
      <c r="I5438" s="34">
        <f>Table3[[#This Row],[Volume, kg.]]/1000</f>
        <v>4.43</v>
      </c>
      <c r="J5438" s="34">
        <v>0.20300000000000001</v>
      </c>
      <c r="K5438" s="34">
        <f t="shared" si="170"/>
        <v>899.29000000000008</v>
      </c>
      <c r="L5438" s="34">
        <v>1.7</v>
      </c>
      <c r="M5438" s="34">
        <v>7531</v>
      </c>
      <c r="N5438" s="34">
        <f t="shared" si="171"/>
        <v>8.3743842364532011</v>
      </c>
    </row>
    <row r="5439" spans="1:14" x14ac:dyDescent="0.45">
      <c r="A5439" s="30">
        <v>2025</v>
      </c>
      <c r="B5439" s="30" t="s">
        <v>12</v>
      </c>
      <c r="C5439" s="30" t="s">
        <v>46</v>
      </c>
      <c r="D5439" s="30" t="s">
        <v>47</v>
      </c>
      <c r="E5439" s="31" t="s">
        <v>681</v>
      </c>
      <c r="F5439" s="32" t="s">
        <v>49</v>
      </c>
      <c r="G5439" s="32" t="s">
        <v>50</v>
      </c>
      <c r="H5439" s="33">
        <v>28550</v>
      </c>
      <c r="I5439" s="34">
        <f>Table3[[#This Row],[Volume, kg.]]/1000</f>
        <v>28.55</v>
      </c>
      <c r="J5439" s="34">
        <v>0.221</v>
      </c>
      <c r="K5439" s="34">
        <f t="shared" si="170"/>
        <v>6309.55</v>
      </c>
      <c r="L5439" s="34">
        <v>1.8</v>
      </c>
      <c r="M5439" s="34">
        <v>51499</v>
      </c>
      <c r="N5439" s="34">
        <f t="shared" si="171"/>
        <v>8.1447963800904972</v>
      </c>
    </row>
    <row r="5440" spans="1:14" x14ac:dyDescent="0.45">
      <c r="A5440" s="30">
        <v>2025</v>
      </c>
      <c r="B5440" s="30" t="s">
        <v>12</v>
      </c>
      <c r="C5440" s="30" t="s">
        <v>46</v>
      </c>
      <c r="D5440" s="30" t="s">
        <v>47</v>
      </c>
      <c r="E5440" s="31" t="s">
        <v>637</v>
      </c>
      <c r="F5440" s="32" t="s">
        <v>60</v>
      </c>
      <c r="G5440" s="32" t="s">
        <v>50</v>
      </c>
      <c r="H5440" s="33">
        <v>25030</v>
      </c>
      <c r="I5440" s="34">
        <f>Table3[[#This Row],[Volume, kg.]]/1000</f>
        <v>25.03</v>
      </c>
      <c r="J5440" s="34">
        <v>0.23420000000000002</v>
      </c>
      <c r="K5440" s="34">
        <f t="shared" si="170"/>
        <v>5862.0260000000007</v>
      </c>
      <c r="L5440" s="34">
        <v>1.78</v>
      </c>
      <c r="M5440" s="34">
        <v>44667</v>
      </c>
      <c r="N5440" s="34">
        <f t="shared" si="171"/>
        <v>7.6003415883859944</v>
      </c>
    </row>
    <row r="5441" spans="1:14" x14ac:dyDescent="0.45">
      <c r="A5441" s="30">
        <v>2025</v>
      </c>
      <c r="B5441" s="30" t="s">
        <v>12</v>
      </c>
      <c r="C5441" s="30" t="s">
        <v>46</v>
      </c>
      <c r="D5441" s="30" t="s">
        <v>47</v>
      </c>
      <c r="E5441" s="31" t="s">
        <v>573</v>
      </c>
      <c r="F5441" s="32" t="s">
        <v>49</v>
      </c>
      <c r="G5441" s="32" t="s">
        <v>50</v>
      </c>
      <c r="H5441" s="33">
        <v>7750</v>
      </c>
      <c r="I5441" s="34">
        <f>Table3[[#This Row],[Volume, kg.]]/1000</f>
        <v>7.75</v>
      </c>
      <c r="J5441" s="34">
        <v>0.215</v>
      </c>
      <c r="K5441" s="34">
        <f t="shared" si="170"/>
        <v>1666.25</v>
      </c>
      <c r="L5441" s="34">
        <v>1.8</v>
      </c>
      <c r="M5441" s="34">
        <v>13950</v>
      </c>
      <c r="N5441" s="34">
        <f t="shared" si="171"/>
        <v>8.3720930232558146</v>
      </c>
    </row>
    <row r="5442" spans="1:14" x14ac:dyDescent="0.45">
      <c r="A5442" s="30">
        <v>2025</v>
      </c>
      <c r="B5442" s="30" t="s">
        <v>12</v>
      </c>
      <c r="C5442" s="30" t="s">
        <v>46</v>
      </c>
      <c r="D5442" s="30" t="s">
        <v>47</v>
      </c>
      <c r="E5442" s="31" t="s">
        <v>153</v>
      </c>
      <c r="F5442" s="32" t="s">
        <v>57</v>
      </c>
      <c r="G5442" s="32" t="s">
        <v>50</v>
      </c>
      <c r="H5442" s="33">
        <v>14800</v>
      </c>
      <c r="I5442" s="34">
        <f>Table3[[#This Row],[Volume, kg.]]/1000</f>
        <v>14.8</v>
      </c>
      <c r="J5442" s="34">
        <v>0.19640000000000002</v>
      </c>
      <c r="K5442" s="34">
        <f t="shared" si="170"/>
        <v>2906.7200000000003</v>
      </c>
      <c r="L5442" s="34">
        <v>1.69</v>
      </c>
      <c r="M5442" s="34">
        <v>24955</v>
      </c>
      <c r="N5442" s="34">
        <f t="shared" si="171"/>
        <v>8.6048879837067194</v>
      </c>
    </row>
    <row r="5443" spans="1:14" x14ac:dyDescent="0.45">
      <c r="A5443" s="30">
        <v>2025</v>
      </c>
      <c r="B5443" s="30" t="s">
        <v>12</v>
      </c>
      <c r="C5443" s="30" t="s">
        <v>46</v>
      </c>
      <c r="D5443" s="30" t="s">
        <v>47</v>
      </c>
      <c r="E5443" s="31" t="s">
        <v>346</v>
      </c>
      <c r="F5443" s="32" t="s">
        <v>49</v>
      </c>
      <c r="G5443" s="32" t="s">
        <v>50</v>
      </c>
      <c r="H5443" s="33">
        <v>10800</v>
      </c>
      <c r="I5443" s="34">
        <f>Table3[[#This Row],[Volume, kg.]]/1000</f>
        <v>10.8</v>
      </c>
      <c r="J5443" s="34">
        <v>0.22600000000000001</v>
      </c>
      <c r="K5443" s="34">
        <f t="shared" si="170"/>
        <v>2440.8000000000002</v>
      </c>
      <c r="L5443" s="34">
        <v>1.85</v>
      </c>
      <c r="M5443" s="34">
        <v>19980</v>
      </c>
      <c r="N5443" s="34">
        <f t="shared" si="171"/>
        <v>8.1858407079646014</v>
      </c>
    </row>
    <row r="5444" spans="1:14" x14ac:dyDescent="0.45">
      <c r="A5444" s="30">
        <v>2025</v>
      </c>
      <c r="B5444" s="30" t="s">
        <v>12</v>
      </c>
      <c r="C5444" s="30" t="s">
        <v>46</v>
      </c>
      <c r="D5444" s="30" t="s">
        <v>47</v>
      </c>
      <c r="E5444" s="31" t="s">
        <v>225</v>
      </c>
      <c r="F5444" s="32" t="s">
        <v>64</v>
      </c>
      <c r="G5444" s="32" t="s">
        <v>50</v>
      </c>
      <c r="H5444" s="33">
        <v>40150</v>
      </c>
      <c r="I5444" s="34">
        <f>Table3[[#This Row],[Volume, kg.]]/1000</f>
        <v>40.15</v>
      </c>
      <c r="J5444" s="34">
        <v>0.19600000000000001</v>
      </c>
      <c r="K5444" s="34">
        <f t="shared" si="170"/>
        <v>7869.4000000000005</v>
      </c>
      <c r="L5444" s="34">
        <v>1.67</v>
      </c>
      <c r="M5444" s="34">
        <v>66895</v>
      </c>
      <c r="N5444" s="34">
        <f t="shared" si="171"/>
        <v>8.520408163265305</v>
      </c>
    </row>
    <row r="5445" spans="1:14" x14ac:dyDescent="0.45">
      <c r="A5445" s="30">
        <v>2025</v>
      </c>
      <c r="B5445" s="30" t="s">
        <v>12</v>
      </c>
      <c r="C5445" s="30" t="s">
        <v>46</v>
      </c>
      <c r="D5445" s="30" t="s">
        <v>47</v>
      </c>
      <c r="E5445" s="31" t="s">
        <v>581</v>
      </c>
      <c r="F5445" s="32" t="s">
        <v>64</v>
      </c>
      <c r="G5445" s="32" t="s">
        <v>50</v>
      </c>
      <c r="H5445" s="33">
        <v>19030</v>
      </c>
      <c r="I5445" s="34">
        <f>Table3[[#This Row],[Volume, kg.]]/1000</f>
        <v>19.03</v>
      </c>
      <c r="J5445" s="34">
        <v>0.22829999999999998</v>
      </c>
      <c r="K5445" s="34">
        <f t="shared" si="170"/>
        <v>4344.549</v>
      </c>
      <c r="L5445" s="34">
        <v>1.83</v>
      </c>
      <c r="M5445" s="34">
        <v>34800</v>
      </c>
      <c r="N5445" s="34">
        <f t="shared" si="171"/>
        <v>8.015768725361367</v>
      </c>
    </row>
    <row r="5446" spans="1:14" x14ac:dyDescent="0.45">
      <c r="A5446" s="30">
        <v>2025</v>
      </c>
      <c r="B5446" s="30" t="s">
        <v>12</v>
      </c>
      <c r="C5446" s="30" t="s">
        <v>46</v>
      </c>
      <c r="D5446" s="30" t="s">
        <v>47</v>
      </c>
      <c r="E5446" s="31" t="s">
        <v>262</v>
      </c>
      <c r="F5446" s="32" t="s">
        <v>81</v>
      </c>
      <c r="G5446" s="32" t="s">
        <v>50</v>
      </c>
      <c r="H5446" s="33">
        <v>11230</v>
      </c>
      <c r="I5446" s="34">
        <f>Table3[[#This Row],[Volume, kg.]]/1000</f>
        <v>11.23</v>
      </c>
      <c r="J5446" s="34">
        <v>0.193</v>
      </c>
      <c r="K5446" s="34">
        <f t="shared" si="170"/>
        <v>2167.39</v>
      </c>
      <c r="L5446" s="34">
        <v>1.6</v>
      </c>
      <c r="M5446" s="34">
        <v>17968</v>
      </c>
      <c r="N5446" s="34">
        <f t="shared" si="171"/>
        <v>8.2901554404145088</v>
      </c>
    </row>
    <row r="5447" spans="1:14" x14ac:dyDescent="0.45">
      <c r="A5447" s="30">
        <v>2025</v>
      </c>
      <c r="B5447" s="30" t="s">
        <v>12</v>
      </c>
      <c r="C5447" s="30" t="s">
        <v>46</v>
      </c>
      <c r="D5447" s="30" t="s">
        <v>47</v>
      </c>
      <c r="E5447" s="31" t="s">
        <v>197</v>
      </c>
      <c r="F5447" s="32" t="s">
        <v>57</v>
      </c>
      <c r="G5447" s="32" t="s">
        <v>50</v>
      </c>
      <c r="H5447" s="33">
        <v>97630</v>
      </c>
      <c r="I5447" s="34">
        <f>Table3[[#This Row],[Volume, kg.]]/1000</f>
        <v>97.63</v>
      </c>
      <c r="J5447" s="34">
        <v>0.20370000000000002</v>
      </c>
      <c r="K5447" s="34">
        <f t="shared" si="170"/>
        <v>19887.231000000003</v>
      </c>
      <c r="L5447" s="34">
        <v>1.7</v>
      </c>
      <c r="M5447" s="34">
        <v>166183.5</v>
      </c>
      <c r="N5447" s="34">
        <f t="shared" si="171"/>
        <v>8.3456062837506124</v>
      </c>
    </row>
    <row r="5448" spans="1:14" x14ac:dyDescent="0.45">
      <c r="A5448" s="30">
        <v>2025</v>
      </c>
      <c r="B5448" s="30" t="s">
        <v>12</v>
      </c>
      <c r="C5448" s="30" t="s">
        <v>46</v>
      </c>
      <c r="D5448" s="30" t="s">
        <v>47</v>
      </c>
      <c r="E5448" s="31" t="s">
        <v>206</v>
      </c>
      <c r="F5448" s="32" t="s">
        <v>81</v>
      </c>
      <c r="G5448" s="32" t="s">
        <v>50</v>
      </c>
      <c r="H5448" s="33">
        <v>194530</v>
      </c>
      <c r="I5448" s="34">
        <f>Table3[[#This Row],[Volume, kg.]]/1000</f>
        <v>194.53</v>
      </c>
      <c r="J5448" s="34">
        <v>0.20250000000000001</v>
      </c>
      <c r="K5448" s="34">
        <f t="shared" si="170"/>
        <v>39392.325000000004</v>
      </c>
      <c r="L5448" s="34">
        <v>1.66</v>
      </c>
      <c r="M5448" s="34">
        <v>323523.5</v>
      </c>
      <c r="N5448" s="34">
        <f t="shared" si="171"/>
        <v>8.19753086419753</v>
      </c>
    </row>
    <row r="5449" spans="1:14" x14ac:dyDescent="0.45">
      <c r="A5449" s="30">
        <v>2025</v>
      </c>
      <c r="B5449" s="30" t="s">
        <v>12</v>
      </c>
      <c r="C5449" s="30" t="s">
        <v>46</v>
      </c>
      <c r="D5449" s="30" t="s">
        <v>47</v>
      </c>
      <c r="E5449" s="31" t="s">
        <v>350</v>
      </c>
      <c r="F5449" s="32" t="s">
        <v>49</v>
      </c>
      <c r="G5449" s="32" t="s">
        <v>50</v>
      </c>
      <c r="H5449" s="33">
        <v>23630</v>
      </c>
      <c r="I5449" s="34">
        <f>Table3[[#This Row],[Volume, kg.]]/1000</f>
        <v>23.63</v>
      </c>
      <c r="J5449" s="34">
        <v>0.22690000000000002</v>
      </c>
      <c r="K5449" s="34">
        <f t="shared" si="170"/>
        <v>5361.6470000000008</v>
      </c>
      <c r="L5449" s="34">
        <v>1.83</v>
      </c>
      <c r="M5449" s="34">
        <v>43296</v>
      </c>
      <c r="N5449" s="34">
        <f t="shared" si="171"/>
        <v>8.0652269722344645</v>
      </c>
    </row>
    <row r="5450" spans="1:14" x14ac:dyDescent="0.45">
      <c r="A5450" s="30">
        <v>2025</v>
      </c>
      <c r="B5450" s="30" t="s">
        <v>12</v>
      </c>
      <c r="C5450" s="30" t="s">
        <v>46</v>
      </c>
      <c r="D5450" s="30" t="s">
        <v>47</v>
      </c>
      <c r="E5450" s="31" t="s">
        <v>395</v>
      </c>
      <c r="F5450" s="32" t="s">
        <v>81</v>
      </c>
      <c r="G5450" s="32" t="s">
        <v>50</v>
      </c>
      <c r="H5450" s="33">
        <v>255110</v>
      </c>
      <c r="I5450" s="34">
        <f>Table3[[#This Row],[Volume, kg.]]/1000</f>
        <v>255.11</v>
      </c>
      <c r="J5450" s="34">
        <v>0.1913</v>
      </c>
      <c r="K5450" s="34">
        <f t="shared" si="170"/>
        <v>48802.542999999998</v>
      </c>
      <c r="L5450" s="34">
        <v>1.64</v>
      </c>
      <c r="M5450" s="34">
        <v>417729</v>
      </c>
      <c r="N5450" s="34">
        <f t="shared" si="171"/>
        <v>8.5729221118661787</v>
      </c>
    </row>
    <row r="5451" spans="1:14" x14ac:dyDescent="0.45">
      <c r="A5451" s="30">
        <v>2025</v>
      </c>
      <c r="B5451" s="30" t="s">
        <v>12</v>
      </c>
      <c r="C5451" s="30" t="s">
        <v>46</v>
      </c>
      <c r="D5451" s="30" t="s">
        <v>47</v>
      </c>
      <c r="E5451" s="31" t="s">
        <v>548</v>
      </c>
      <c r="F5451" s="32" t="s">
        <v>49</v>
      </c>
      <c r="G5451" s="32" t="s">
        <v>50</v>
      </c>
      <c r="H5451" s="33">
        <v>59090</v>
      </c>
      <c r="I5451" s="34">
        <f>Table3[[#This Row],[Volume, kg.]]/1000</f>
        <v>59.09</v>
      </c>
      <c r="J5451" s="34">
        <v>0.22570000000000001</v>
      </c>
      <c r="K5451" s="34">
        <f t="shared" si="170"/>
        <v>13336.613000000001</v>
      </c>
      <c r="L5451" s="34">
        <v>1.8</v>
      </c>
      <c r="M5451" s="34">
        <v>106105</v>
      </c>
      <c r="N5451" s="34">
        <f t="shared" si="171"/>
        <v>7.9751883030571555</v>
      </c>
    </row>
    <row r="5452" spans="1:14" x14ac:dyDescent="0.45">
      <c r="A5452" s="30">
        <v>2025</v>
      </c>
      <c r="B5452" s="30" t="s">
        <v>12</v>
      </c>
      <c r="C5452" s="30" t="s">
        <v>46</v>
      </c>
      <c r="D5452" s="30" t="s">
        <v>47</v>
      </c>
      <c r="E5452" s="31" t="s">
        <v>342</v>
      </c>
      <c r="F5452" s="32" t="s">
        <v>81</v>
      </c>
      <c r="G5452" s="32" t="s">
        <v>50</v>
      </c>
      <c r="H5452" s="33">
        <v>52640</v>
      </c>
      <c r="I5452" s="34">
        <f>Table3[[#This Row],[Volume, kg.]]/1000</f>
        <v>52.64</v>
      </c>
      <c r="J5452" s="34">
        <v>0.22550000000000001</v>
      </c>
      <c r="K5452" s="34">
        <f t="shared" si="170"/>
        <v>11870.32</v>
      </c>
      <c r="L5452" s="34">
        <v>1.84</v>
      </c>
      <c r="M5452" s="34">
        <v>96633</v>
      </c>
      <c r="N5452" s="34">
        <f t="shared" si="171"/>
        <v>8.159645232815965</v>
      </c>
    </row>
    <row r="5453" spans="1:14" x14ac:dyDescent="0.45">
      <c r="A5453" s="30">
        <v>2025</v>
      </c>
      <c r="B5453" s="30" t="s">
        <v>12</v>
      </c>
      <c r="C5453" s="30" t="s">
        <v>46</v>
      </c>
      <c r="D5453" s="30" t="s">
        <v>47</v>
      </c>
      <c r="E5453" s="31" t="s">
        <v>98</v>
      </c>
      <c r="F5453" s="32" t="s">
        <v>49</v>
      </c>
      <c r="G5453" s="32" t="s">
        <v>50</v>
      </c>
      <c r="H5453" s="33">
        <v>86250</v>
      </c>
      <c r="I5453" s="34">
        <f>Table3[[#This Row],[Volume, kg.]]/1000</f>
        <v>86.25</v>
      </c>
      <c r="J5453" s="34">
        <v>0.21760000000000002</v>
      </c>
      <c r="K5453" s="34">
        <f t="shared" si="170"/>
        <v>18768</v>
      </c>
      <c r="L5453" s="34">
        <v>1.75</v>
      </c>
      <c r="M5453" s="34">
        <v>151044</v>
      </c>
      <c r="N5453" s="34">
        <f t="shared" si="171"/>
        <v>8.0422794117647047</v>
      </c>
    </row>
    <row r="5454" spans="1:14" x14ac:dyDescent="0.45">
      <c r="A5454" s="30">
        <v>2025</v>
      </c>
      <c r="B5454" s="30" t="s">
        <v>12</v>
      </c>
      <c r="C5454" s="30" t="s">
        <v>46</v>
      </c>
      <c r="D5454" s="30" t="s">
        <v>47</v>
      </c>
      <c r="E5454" s="31" t="s">
        <v>63</v>
      </c>
      <c r="F5454" s="32" t="s">
        <v>64</v>
      </c>
      <c r="G5454" s="32" t="s">
        <v>50</v>
      </c>
      <c r="H5454" s="33">
        <v>32480</v>
      </c>
      <c r="I5454" s="34">
        <f>Table3[[#This Row],[Volume, kg.]]/1000</f>
        <v>32.479999999999997</v>
      </c>
      <c r="J5454" s="34">
        <v>0.19640000000000002</v>
      </c>
      <c r="K5454" s="34">
        <f t="shared" si="170"/>
        <v>6379.072000000001</v>
      </c>
      <c r="L5454" s="34">
        <v>1.7</v>
      </c>
      <c r="M5454" s="34">
        <v>55201</v>
      </c>
      <c r="N5454" s="34">
        <f t="shared" si="171"/>
        <v>8.6558044806517298</v>
      </c>
    </row>
    <row r="5455" spans="1:14" x14ac:dyDescent="0.45">
      <c r="A5455" s="30">
        <v>2025</v>
      </c>
      <c r="B5455" s="30" t="s">
        <v>12</v>
      </c>
      <c r="C5455" s="30" t="s">
        <v>46</v>
      </c>
      <c r="D5455" s="30" t="s">
        <v>47</v>
      </c>
      <c r="E5455" s="31" t="s">
        <v>354</v>
      </c>
      <c r="F5455" s="32" t="s">
        <v>60</v>
      </c>
      <c r="G5455" s="32" t="s">
        <v>50</v>
      </c>
      <c r="H5455" s="33">
        <v>6980</v>
      </c>
      <c r="I5455" s="34">
        <f>Table3[[#This Row],[Volume, kg.]]/1000</f>
        <v>6.98</v>
      </c>
      <c r="J5455" s="34">
        <v>0.20949999999999999</v>
      </c>
      <c r="K5455" s="34">
        <f t="shared" si="170"/>
        <v>1462.31</v>
      </c>
      <c r="L5455" s="34">
        <v>1.75</v>
      </c>
      <c r="M5455" s="34">
        <v>12215</v>
      </c>
      <c r="N5455" s="34">
        <f t="shared" si="171"/>
        <v>8.3532219570405726</v>
      </c>
    </row>
    <row r="5456" spans="1:14" x14ac:dyDescent="0.45">
      <c r="A5456" s="30">
        <v>2025</v>
      </c>
      <c r="B5456" s="30" t="s">
        <v>12</v>
      </c>
      <c r="C5456" s="30" t="s">
        <v>46</v>
      </c>
      <c r="D5456" s="30" t="s">
        <v>47</v>
      </c>
      <c r="E5456" s="31" t="s">
        <v>129</v>
      </c>
      <c r="F5456" s="32" t="s">
        <v>57</v>
      </c>
      <c r="G5456" s="32" t="s">
        <v>50</v>
      </c>
      <c r="H5456" s="33">
        <v>3760</v>
      </c>
      <c r="I5456" s="34">
        <f>Table3[[#This Row],[Volume, kg.]]/1000</f>
        <v>3.76</v>
      </c>
      <c r="J5456" s="34">
        <v>0.19500000000000001</v>
      </c>
      <c r="K5456" s="34">
        <f t="shared" si="170"/>
        <v>733.2</v>
      </c>
      <c r="L5456" s="34">
        <v>1.7</v>
      </c>
      <c r="M5456" s="34">
        <v>6392</v>
      </c>
      <c r="N5456" s="34">
        <f t="shared" si="171"/>
        <v>8.7179487179487172</v>
      </c>
    </row>
    <row r="5457" spans="1:14" x14ac:dyDescent="0.45">
      <c r="A5457" s="30">
        <v>2025</v>
      </c>
      <c r="B5457" s="30" t="s">
        <v>12</v>
      </c>
      <c r="C5457" s="30" t="s">
        <v>46</v>
      </c>
      <c r="D5457" s="30" t="s">
        <v>47</v>
      </c>
      <c r="E5457" s="31" t="s">
        <v>80</v>
      </c>
      <c r="F5457" s="32" t="s">
        <v>81</v>
      </c>
      <c r="G5457" s="32" t="s">
        <v>50</v>
      </c>
      <c r="H5457" s="33">
        <v>72600</v>
      </c>
      <c r="I5457" s="34">
        <f>Table3[[#This Row],[Volume, kg.]]/1000</f>
        <v>72.599999999999994</v>
      </c>
      <c r="J5457" s="34">
        <v>0.22390000000000002</v>
      </c>
      <c r="K5457" s="34">
        <f t="shared" si="170"/>
        <v>16255.140000000001</v>
      </c>
      <c r="L5457" s="34">
        <v>1.78</v>
      </c>
      <c r="M5457" s="34">
        <v>129082</v>
      </c>
      <c r="N5457" s="34">
        <f t="shared" si="171"/>
        <v>7.9499776686020542</v>
      </c>
    </row>
    <row r="5458" spans="1:14" x14ac:dyDescent="0.45">
      <c r="A5458" s="30">
        <v>2025</v>
      </c>
      <c r="B5458" s="30" t="s">
        <v>12</v>
      </c>
      <c r="C5458" s="30" t="s">
        <v>46</v>
      </c>
      <c r="D5458" s="30" t="s">
        <v>47</v>
      </c>
      <c r="E5458" s="31" t="s">
        <v>398</v>
      </c>
      <c r="F5458" s="32" t="s">
        <v>64</v>
      </c>
      <c r="G5458" s="32" t="s">
        <v>50</v>
      </c>
      <c r="H5458" s="33">
        <v>22530</v>
      </c>
      <c r="I5458" s="34">
        <f>Table3[[#This Row],[Volume, kg.]]/1000</f>
        <v>22.53</v>
      </c>
      <c r="J5458" s="34">
        <v>0.21899999999999997</v>
      </c>
      <c r="K5458" s="34">
        <f t="shared" si="170"/>
        <v>4934.07</v>
      </c>
      <c r="L5458" s="34">
        <v>1.76</v>
      </c>
      <c r="M5458" s="34">
        <v>39691.5</v>
      </c>
      <c r="N5458" s="34">
        <f t="shared" si="171"/>
        <v>8.0365296803652981</v>
      </c>
    </row>
    <row r="5459" spans="1:14" x14ac:dyDescent="0.45">
      <c r="A5459" s="30">
        <v>2025</v>
      </c>
      <c r="B5459" s="30" t="s">
        <v>12</v>
      </c>
      <c r="C5459" s="30" t="s">
        <v>46</v>
      </c>
      <c r="D5459" s="30" t="s">
        <v>47</v>
      </c>
      <c r="E5459" s="31" t="s">
        <v>584</v>
      </c>
      <c r="F5459" s="32" t="s">
        <v>64</v>
      </c>
      <c r="G5459" s="32" t="s">
        <v>50</v>
      </c>
      <c r="H5459" s="33">
        <v>87600</v>
      </c>
      <c r="I5459" s="34">
        <f>Table3[[#This Row],[Volume, kg.]]/1000</f>
        <v>87.6</v>
      </c>
      <c r="J5459" s="34">
        <v>0.22600000000000001</v>
      </c>
      <c r="K5459" s="34">
        <f t="shared" si="170"/>
        <v>19797.600000000002</v>
      </c>
      <c r="L5459" s="34">
        <v>1.81</v>
      </c>
      <c r="M5459" s="34">
        <v>158137</v>
      </c>
      <c r="N5459" s="34">
        <f t="shared" si="171"/>
        <v>8.0088495575221241</v>
      </c>
    </row>
    <row r="5460" spans="1:14" x14ac:dyDescent="0.45">
      <c r="A5460" s="30">
        <v>2025</v>
      </c>
      <c r="B5460" s="30" t="s">
        <v>12</v>
      </c>
      <c r="C5460" s="30" t="s">
        <v>46</v>
      </c>
      <c r="D5460" s="30" t="s">
        <v>47</v>
      </c>
      <c r="E5460" s="31" t="s">
        <v>267</v>
      </c>
      <c r="F5460" s="32" t="s">
        <v>57</v>
      </c>
      <c r="G5460" s="32" t="s">
        <v>50</v>
      </c>
      <c r="H5460" s="33">
        <v>16090</v>
      </c>
      <c r="I5460" s="34">
        <f>Table3[[#This Row],[Volume, kg.]]/1000</f>
        <v>16.09</v>
      </c>
      <c r="J5460" s="34">
        <v>0.20860000000000001</v>
      </c>
      <c r="K5460" s="34">
        <f t="shared" si="170"/>
        <v>3356.3740000000003</v>
      </c>
      <c r="L5460" s="34">
        <v>1.7</v>
      </c>
      <c r="M5460" s="34">
        <v>27383</v>
      </c>
      <c r="N5460" s="34">
        <f t="shared" si="171"/>
        <v>8.1495685522531147</v>
      </c>
    </row>
    <row r="5461" spans="1:14" x14ac:dyDescent="0.45">
      <c r="A5461" s="30">
        <v>2025</v>
      </c>
      <c r="B5461" s="30" t="s">
        <v>12</v>
      </c>
      <c r="C5461" s="30" t="s">
        <v>46</v>
      </c>
      <c r="D5461" s="30" t="s">
        <v>102</v>
      </c>
      <c r="E5461" s="31" t="s">
        <v>103</v>
      </c>
      <c r="F5461" s="32" t="s">
        <v>104</v>
      </c>
      <c r="G5461" s="32" t="s">
        <v>105</v>
      </c>
      <c r="H5461" s="33">
        <v>615430</v>
      </c>
      <c r="I5461" s="34">
        <f>Table3[[#This Row],[Volume, kg.]]/1000</f>
        <v>615.42999999999995</v>
      </c>
      <c r="J5461" s="34">
        <v>0.2</v>
      </c>
      <c r="K5461" s="34">
        <f t="shared" si="170"/>
        <v>123086</v>
      </c>
      <c r="L5461" s="34">
        <v>1.66</v>
      </c>
      <c r="M5461" s="34">
        <v>1021441</v>
      </c>
      <c r="N5461" s="34">
        <f t="shared" si="171"/>
        <v>8.2999999999999989</v>
      </c>
    </row>
    <row r="5462" spans="1:14" x14ac:dyDescent="0.45">
      <c r="A5462" s="30">
        <v>2025</v>
      </c>
      <c r="B5462" s="30" t="s">
        <v>12</v>
      </c>
      <c r="C5462" s="30" t="s">
        <v>46</v>
      </c>
      <c r="D5462" s="30" t="s">
        <v>47</v>
      </c>
      <c r="E5462" s="31" t="s">
        <v>203</v>
      </c>
      <c r="F5462" s="32" t="s">
        <v>57</v>
      </c>
      <c r="G5462" s="32" t="s">
        <v>50</v>
      </c>
      <c r="H5462" s="33">
        <v>40680</v>
      </c>
      <c r="I5462" s="34">
        <f>Table3[[#This Row],[Volume, kg.]]/1000</f>
        <v>40.68</v>
      </c>
      <c r="J5462" s="34">
        <v>0.2041</v>
      </c>
      <c r="K5462" s="34">
        <f t="shared" si="170"/>
        <v>8302.7880000000005</v>
      </c>
      <c r="L5462" s="34">
        <v>1.7</v>
      </c>
      <c r="M5462" s="34">
        <v>69303</v>
      </c>
      <c r="N5462" s="34">
        <f t="shared" si="171"/>
        <v>8.329250367466928</v>
      </c>
    </row>
    <row r="5463" spans="1:14" x14ac:dyDescent="0.45">
      <c r="A5463" s="30">
        <v>2025</v>
      </c>
      <c r="B5463" s="30" t="s">
        <v>12</v>
      </c>
      <c r="C5463" s="30" t="s">
        <v>46</v>
      </c>
      <c r="D5463" s="30" t="s">
        <v>47</v>
      </c>
      <c r="E5463" s="31" t="s">
        <v>137</v>
      </c>
      <c r="F5463" s="32" t="s">
        <v>49</v>
      </c>
      <c r="G5463" s="32" t="s">
        <v>50</v>
      </c>
      <c r="H5463" s="33">
        <v>63600</v>
      </c>
      <c r="I5463" s="34">
        <f>Table3[[#This Row],[Volume, kg.]]/1000</f>
        <v>63.6</v>
      </c>
      <c r="J5463" s="34">
        <v>0.2341</v>
      </c>
      <c r="K5463" s="34">
        <f t="shared" si="170"/>
        <v>14888.76</v>
      </c>
      <c r="L5463" s="34">
        <v>1.8</v>
      </c>
      <c r="M5463" s="34">
        <v>114446.5</v>
      </c>
      <c r="N5463" s="34">
        <f t="shared" si="171"/>
        <v>7.6890217855617262</v>
      </c>
    </row>
    <row r="5464" spans="1:14" x14ac:dyDescent="0.45">
      <c r="A5464" s="30">
        <v>2025</v>
      </c>
      <c r="B5464" s="30" t="s">
        <v>12</v>
      </c>
      <c r="C5464" s="30" t="s">
        <v>46</v>
      </c>
      <c r="D5464" s="30" t="s">
        <v>47</v>
      </c>
      <c r="E5464" s="31" t="s">
        <v>58</v>
      </c>
      <c r="F5464" s="32" t="s">
        <v>49</v>
      </c>
      <c r="G5464" s="32" t="s">
        <v>50</v>
      </c>
      <c r="H5464" s="33">
        <v>5910</v>
      </c>
      <c r="I5464" s="34">
        <f>Table3[[#This Row],[Volume, kg.]]/1000</f>
        <v>5.91</v>
      </c>
      <c r="J5464" s="34">
        <v>0.2165</v>
      </c>
      <c r="K5464" s="34">
        <f t="shared" si="170"/>
        <v>1279.5150000000001</v>
      </c>
      <c r="L5464" s="34">
        <v>1.8</v>
      </c>
      <c r="M5464" s="34">
        <v>10638</v>
      </c>
      <c r="N5464" s="34">
        <f t="shared" si="171"/>
        <v>8.3140877598152425</v>
      </c>
    </row>
    <row r="5465" spans="1:14" x14ac:dyDescent="0.45">
      <c r="A5465" s="30">
        <v>2025</v>
      </c>
      <c r="B5465" s="30" t="s">
        <v>12</v>
      </c>
      <c r="C5465" s="30" t="s">
        <v>46</v>
      </c>
      <c r="D5465" s="30" t="s">
        <v>102</v>
      </c>
      <c r="E5465" s="31" t="s">
        <v>691</v>
      </c>
      <c r="F5465" s="32" t="s">
        <v>657</v>
      </c>
      <c r="G5465" s="32" t="s">
        <v>119</v>
      </c>
      <c r="H5465" s="33">
        <v>1388060</v>
      </c>
      <c r="I5465" s="34">
        <f>Table3[[#This Row],[Volume, kg.]]/1000</f>
        <v>1388.06</v>
      </c>
      <c r="J5465" s="34">
        <v>0.20469999999999999</v>
      </c>
      <c r="K5465" s="34">
        <f t="shared" si="170"/>
        <v>284135.88199999998</v>
      </c>
      <c r="L5465" s="34">
        <v>1.7</v>
      </c>
      <c r="M5465" s="34">
        <v>2356574</v>
      </c>
      <c r="N5465" s="34">
        <f t="shared" si="171"/>
        <v>8.3048363458720083</v>
      </c>
    </row>
    <row r="5466" spans="1:14" x14ac:dyDescent="0.45">
      <c r="A5466" s="30">
        <v>2025</v>
      </c>
      <c r="B5466" s="30" t="s">
        <v>12</v>
      </c>
      <c r="C5466" s="30" t="s">
        <v>46</v>
      </c>
      <c r="D5466" s="30" t="s">
        <v>102</v>
      </c>
      <c r="E5466" s="31" t="s">
        <v>126</v>
      </c>
      <c r="F5466" s="32" t="s">
        <v>127</v>
      </c>
      <c r="G5466" s="32" t="s">
        <v>128</v>
      </c>
      <c r="H5466" s="33">
        <v>1995260</v>
      </c>
      <c r="I5466" s="34">
        <f>Table3[[#This Row],[Volume, kg.]]/1000</f>
        <v>1995.26</v>
      </c>
      <c r="J5466" s="34">
        <v>0.20010000000000003</v>
      </c>
      <c r="K5466" s="34">
        <f t="shared" si="170"/>
        <v>399251.52600000007</v>
      </c>
      <c r="L5466" s="34">
        <v>1.68</v>
      </c>
      <c r="M5466" s="34">
        <v>3347648</v>
      </c>
      <c r="N5466" s="34">
        <f t="shared" si="171"/>
        <v>8.395802098950524</v>
      </c>
    </row>
    <row r="5467" spans="1:14" x14ac:dyDescent="0.45">
      <c r="A5467" s="30">
        <v>2025</v>
      </c>
      <c r="B5467" s="30" t="s">
        <v>12</v>
      </c>
      <c r="C5467" s="30" t="s">
        <v>46</v>
      </c>
      <c r="D5467" s="30" t="s">
        <v>47</v>
      </c>
      <c r="E5467" s="31" t="s">
        <v>335</v>
      </c>
      <c r="F5467" s="32" t="s">
        <v>54</v>
      </c>
      <c r="G5467" s="32" t="s">
        <v>50</v>
      </c>
      <c r="H5467" s="33">
        <v>14440</v>
      </c>
      <c r="I5467" s="34">
        <f>Table3[[#This Row],[Volume, kg.]]/1000</f>
        <v>14.44</v>
      </c>
      <c r="J5467" s="34">
        <v>0.215</v>
      </c>
      <c r="K5467" s="34">
        <f t="shared" si="170"/>
        <v>3104.6</v>
      </c>
      <c r="L5467" s="34">
        <v>1.8</v>
      </c>
      <c r="M5467" s="34">
        <v>25992</v>
      </c>
      <c r="N5467" s="34">
        <f t="shared" si="171"/>
        <v>8.3720930232558146</v>
      </c>
    </row>
    <row r="5468" spans="1:14" x14ac:dyDescent="0.45">
      <c r="A5468" s="30">
        <v>2025</v>
      </c>
      <c r="B5468" s="30" t="s">
        <v>12</v>
      </c>
      <c r="C5468" s="30" t="s">
        <v>46</v>
      </c>
      <c r="D5468" s="30" t="s">
        <v>47</v>
      </c>
      <c r="E5468" s="31" t="s">
        <v>318</v>
      </c>
      <c r="F5468" s="32" t="s">
        <v>60</v>
      </c>
      <c r="G5468" s="32" t="s">
        <v>50</v>
      </c>
      <c r="H5468" s="33">
        <v>39990</v>
      </c>
      <c r="I5468" s="34">
        <f>Table3[[#This Row],[Volume, kg.]]/1000</f>
        <v>39.99</v>
      </c>
      <c r="J5468" s="34">
        <v>0.22649999999999998</v>
      </c>
      <c r="K5468" s="34">
        <f t="shared" si="170"/>
        <v>9057.7349999999988</v>
      </c>
      <c r="L5468" s="34">
        <v>1.79</v>
      </c>
      <c r="M5468" s="34">
        <v>71509.5</v>
      </c>
      <c r="N5468" s="34">
        <f t="shared" si="171"/>
        <v>7.9028697571743942</v>
      </c>
    </row>
    <row r="5469" spans="1:14" x14ac:dyDescent="0.45">
      <c r="A5469" s="30">
        <v>2025</v>
      </c>
      <c r="B5469" s="30" t="s">
        <v>12</v>
      </c>
      <c r="C5469" s="30" t="s">
        <v>46</v>
      </c>
      <c r="D5469" s="30" t="s">
        <v>47</v>
      </c>
      <c r="E5469" s="31" t="s">
        <v>216</v>
      </c>
      <c r="F5469" s="32" t="s">
        <v>64</v>
      </c>
      <c r="G5469" s="32" t="s">
        <v>50</v>
      </c>
      <c r="H5469" s="33">
        <v>55460</v>
      </c>
      <c r="I5469" s="34">
        <f>Table3[[#This Row],[Volume, kg.]]/1000</f>
        <v>55.46</v>
      </c>
      <c r="J5469" s="34">
        <v>0.18909999999999999</v>
      </c>
      <c r="K5469" s="34">
        <f t="shared" si="170"/>
        <v>10487.485999999999</v>
      </c>
      <c r="L5469" s="34">
        <v>1.59</v>
      </c>
      <c r="M5469" s="34">
        <v>88352</v>
      </c>
      <c r="N5469" s="34">
        <f t="shared" si="171"/>
        <v>8.4082496033844532</v>
      </c>
    </row>
    <row r="5470" spans="1:14" x14ac:dyDescent="0.45">
      <c r="A5470" s="30">
        <v>2025</v>
      </c>
      <c r="B5470" s="30" t="s">
        <v>12</v>
      </c>
      <c r="C5470" s="30" t="s">
        <v>46</v>
      </c>
      <c r="D5470" s="30" t="s">
        <v>47</v>
      </c>
      <c r="E5470" s="31" t="s">
        <v>109</v>
      </c>
      <c r="F5470" s="32" t="s">
        <v>60</v>
      </c>
      <c r="G5470" s="32" t="s">
        <v>50</v>
      </c>
      <c r="H5470" s="33">
        <v>10700</v>
      </c>
      <c r="I5470" s="34">
        <f>Table3[[#This Row],[Volume, kg.]]/1000</f>
        <v>10.7</v>
      </c>
      <c r="J5470" s="34">
        <v>0.218</v>
      </c>
      <c r="K5470" s="34">
        <f t="shared" si="170"/>
        <v>2332.6</v>
      </c>
      <c r="L5470" s="34">
        <v>1.8</v>
      </c>
      <c r="M5470" s="34">
        <v>19260</v>
      </c>
      <c r="N5470" s="34">
        <f t="shared" si="171"/>
        <v>8.2568807339449535</v>
      </c>
    </row>
    <row r="5471" spans="1:14" x14ac:dyDescent="0.45">
      <c r="A5471" s="30">
        <v>2025</v>
      </c>
      <c r="B5471" s="30" t="s">
        <v>12</v>
      </c>
      <c r="C5471" s="30" t="s">
        <v>46</v>
      </c>
      <c r="D5471" s="30" t="s">
        <v>47</v>
      </c>
      <c r="E5471" s="31" t="s">
        <v>280</v>
      </c>
      <c r="F5471" s="32" t="s">
        <v>281</v>
      </c>
      <c r="G5471" s="32" t="s">
        <v>50</v>
      </c>
      <c r="H5471" s="33">
        <v>96960</v>
      </c>
      <c r="I5471" s="34">
        <f>Table3[[#This Row],[Volume, kg.]]/1000</f>
        <v>96.96</v>
      </c>
      <c r="J5471" s="34">
        <v>0.23420000000000002</v>
      </c>
      <c r="K5471" s="34">
        <f t="shared" si="170"/>
        <v>22708.032000000003</v>
      </c>
      <c r="L5471" s="34">
        <v>1.84</v>
      </c>
      <c r="M5471" s="34">
        <v>178309</v>
      </c>
      <c r="N5471" s="34">
        <f t="shared" si="171"/>
        <v>7.8565328778821515</v>
      </c>
    </row>
    <row r="5472" spans="1:14" x14ac:dyDescent="0.45">
      <c r="A5472" s="30">
        <v>2025</v>
      </c>
      <c r="B5472" s="30" t="s">
        <v>12</v>
      </c>
      <c r="C5472" s="30" t="s">
        <v>46</v>
      </c>
      <c r="D5472" s="30" t="s">
        <v>47</v>
      </c>
      <c r="E5472" s="31" t="s">
        <v>307</v>
      </c>
      <c r="F5472" s="32" t="s">
        <v>81</v>
      </c>
      <c r="G5472" s="32" t="s">
        <v>50</v>
      </c>
      <c r="H5472" s="33">
        <v>7240</v>
      </c>
      <c r="I5472" s="34">
        <f>Table3[[#This Row],[Volume, kg.]]/1000</f>
        <v>7.24</v>
      </c>
      <c r="J5472" s="34">
        <v>0.182</v>
      </c>
      <c r="K5472" s="34">
        <f t="shared" si="170"/>
        <v>1317.68</v>
      </c>
      <c r="L5472" s="34">
        <v>1.6</v>
      </c>
      <c r="M5472" s="34">
        <v>11584</v>
      </c>
      <c r="N5472" s="34">
        <f t="shared" si="171"/>
        <v>8.791208791208792</v>
      </c>
    </row>
    <row r="5473" spans="1:14" x14ac:dyDescent="0.45">
      <c r="A5473" s="30">
        <v>2025</v>
      </c>
      <c r="B5473" s="30" t="s">
        <v>12</v>
      </c>
      <c r="C5473" s="30" t="s">
        <v>46</v>
      </c>
      <c r="D5473" s="30" t="s">
        <v>47</v>
      </c>
      <c r="E5473" s="31" t="s">
        <v>243</v>
      </c>
      <c r="F5473" s="32" t="s">
        <v>60</v>
      </c>
      <c r="G5473" s="32" t="s">
        <v>50</v>
      </c>
      <c r="H5473" s="33">
        <v>12180</v>
      </c>
      <c r="I5473" s="34">
        <f>Table3[[#This Row],[Volume, kg.]]/1000</f>
        <v>12.18</v>
      </c>
      <c r="J5473" s="34">
        <v>0.23449999999999999</v>
      </c>
      <c r="K5473" s="34">
        <f t="shared" si="170"/>
        <v>2856.21</v>
      </c>
      <c r="L5473" s="34">
        <v>1.85</v>
      </c>
      <c r="M5473" s="34">
        <v>22533</v>
      </c>
      <c r="N5473" s="34">
        <f t="shared" si="171"/>
        <v>7.889125799573562</v>
      </c>
    </row>
    <row r="5474" spans="1:14" x14ac:dyDescent="0.45">
      <c r="A5474" s="30">
        <v>2025</v>
      </c>
      <c r="B5474" s="30" t="s">
        <v>12</v>
      </c>
      <c r="C5474" s="30" t="s">
        <v>46</v>
      </c>
      <c r="D5474" s="30" t="s">
        <v>47</v>
      </c>
      <c r="E5474" s="31" t="s">
        <v>204</v>
      </c>
      <c r="F5474" s="32" t="s">
        <v>49</v>
      </c>
      <c r="G5474" s="32" t="s">
        <v>50</v>
      </c>
      <c r="H5474" s="33">
        <v>61070</v>
      </c>
      <c r="I5474" s="34">
        <f>Table3[[#This Row],[Volume, kg.]]/1000</f>
        <v>61.07</v>
      </c>
      <c r="J5474" s="34">
        <v>0.2011</v>
      </c>
      <c r="K5474" s="34">
        <f t="shared" si="170"/>
        <v>12281.177</v>
      </c>
      <c r="L5474" s="34">
        <v>1.69</v>
      </c>
      <c r="M5474" s="34">
        <v>103243.5</v>
      </c>
      <c r="N5474" s="34">
        <f t="shared" si="171"/>
        <v>8.4037792143212329</v>
      </c>
    </row>
    <row r="5475" spans="1:14" x14ac:dyDescent="0.45">
      <c r="A5475" s="30">
        <v>2025</v>
      </c>
      <c r="B5475" s="30" t="s">
        <v>12</v>
      </c>
      <c r="C5475" s="30" t="s">
        <v>46</v>
      </c>
      <c r="D5475" s="30" t="s">
        <v>47</v>
      </c>
      <c r="E5475" s="31" t="s">
        <v>403</v>
      </c>
      <c r="F5475" s="32" t="s">
        <v>60</v>
      </c>
      <c r="G5475" s="32" t="s">
        <v>50</v>
      </c>
      <c r="H5475" s="33">
        <v>62830</v>
      </c>
      <c r="I5475" s="34">
        <f>Table3[[#This Row],[Volume, kg.]]/1000</f>
        <v>62.83</v>
      </c>
      <c r="J5475" s="34">
        <v>0.215</v>
      </c>
      <c r="K5475" s="34">
        <f t="shared" si="170"/>
        <v>13508.449999999999</v>
      </c>
      <c r="L5475" s="34">
        <v>1.74</v>
      </c>
      <c r="M5475" s="34">
        <v>109511</v>
      </c>
      <c r="N5475" s="34">
        <f t="shared" si="171"/>
        <v>8.0930232558139537</v>
      </c>
    </row>
    <row r="5476" spans="1:14" x14ac:dyDescent="0.45">
      <c r="A5476" s="30">
        <v>2025</v>
      </c>
      <c r="B5476" s="30" t="s">
        <v>12</v>
      </c>
      <c r="C5476" s="30" t="s">
        <v>46</v>
      </c>
      <c r="D5476" s="30" t="s">
        <v>102</v>
      </c>
      <c r="E5476" s="31" t="s">
        <v>157</v>
      </c>
      <c r="F5476" s="32" t="s">
        <v>127</v>
      </c>
      <c r="G5476" s="32" t="s">
        <v>128</v>
      </c>
      <c r="H5476" s="33">
        <v>118410</v>
      </c>
      <c r="I5476" s="34">
        <f>Table3[[#This Row],[Volume, kg.]]/1000</f>
        <v>118.41</v>
      </c>
      <c r="J5476" s="34">
        <v>0.21530000000000002</v>
      </c>
      <c r="K5476" s="34">
        <f t="shared" si="170"/>
        <v>25493.673000000003</v>
      </c>
      <c r="L5476" s="34">
        <v>1.76</v>
      </c>
      <c r="M5476" s="34">
        <v>208702</v>
      </c>
      <c r="N5476" s="34">
        <f t="shared" si="171"/>
        <v>8.1746400371574541</v>
      </c>
    </row>
    <row r="5477" spans="1:14" x14ac:dyDescent="0.45">
      <c r="A5477" s="30">
        <v>2025</v>
      </c>
      <c r="B5477" s="30" t="s">
        <v>12</v>
      </c>
      <c r="C5477" s="30" t="s">
        <v>46</v>
      </c>
      <c r="D5477" s="30" t="s">
        <v>47</v>
      </c>
      <c r="E5477" s="31" t="s">
        <v>97</v>
      </c>
      <c r="F5477" s="32" t="s">
        <v>49</v>
      </c>
      <c r="G5477" s="32" t="s">
        <v>50</v>
      </c>
      <c r="H5477" s="33">
        <v>111500</v>
      </c>
      <c r="I5477" s="34">
        <f>Table3[[#This Row],[Volume, kg.]]/1000</f>
        <v>111.5</v>
      </c>
      <c r="J5477" s="34">
        <v>0.21879999999999999</v>
      </c>
      <c r="K5477" s="34">
        <f t="shared" si="170"/>
        <v>24396.2</v>
      </c>
      <c r="L5477" s="34">
        <v>1.8</v>
      </c>
      <c r="M5477" s="34">
        <v>200631</v>
      </c>
      <c r="N5477" s="34">
        <f t="shared" si="171"/>
        <v>8.2266910420475323</v>
      </c>
    </row>
    <row r="5478" spans="1:14" x14ac:dyDescent="0.45">
      <c r="A5478" s="30">
        <v>2025</v>
      </c>
      <c r="B5478" s="30" t="s">
        <v>12</v>
      </c>
      <c r="C5478" s="30" t="s">
        <v>46</v>
      </c>
      <c r="D5478" s="30" t="s">
        <v>47</v>
      </c>
      <c r="E5478" s="31" t="s">
        <v>345</v>
      </c>
      <c r="F5478" s="32" t="s">
        <v>81</v>
      </c>
      <c r="G5478" s="32" t="s">
        <v>50</v>
      </c>
      <c r="H5478" s="33">
        <v>83240</v>
      </c>
      <c r="I5478" s="34">
        <f>Table3[[#This Row],[Volume, kg.]]/1000</f>
        <v>83.24</v>
      </c>
      <c r="J5478" s="34">
        <v>0.2225</v>
      </c>
      <c r="K5478" s="34">
        <f t="shared" si="170"/>
        <v>18520.900000000001</v>
      </c>
      <c r="L5478" s="34">
        <v>1.76</v>
      </c>
      <c r="M5478" s="34">
        <v>146887</v>
      </c>
      <c r="N5478" s="34">
        <f t="shared" si="171"/>
        <v>7.9101123595505616</v>
      </c>
    </row>
    <row r="5479" spans="1:14" x14ac:dyDescent="0.45">
      <c r="A5479" s="30">
        <v>2025</v>
      </c>
      <c r="B5479" s="30" t="s">
        <v>12</v>
      </c>
      <c r="C5479" s="30" t="s">
        <v>46</v>
      </c>
      <c r="D5479" s="30" t="s">
        <v>47</v>
      </c>
      <c r="E5479" s="31" t="s">
        <v>365</v>
      </c>
      <c r="F5479" s="32" t="s">
        <v>49</v>
      </c>
      <c r="G5479" s="32" t="s">
        <v>50</v>
      </c>
      <c r="H5479" s="33">
        <v>23980</v>
      </c>
      <c r="I5479" s="34">
        <f>Table3[[#This Row],[Volume, kg.]]/1000</f>
        <v>23.98</v>
      </c>
      <c r="J5479" s="34">
        <v>0.28120000000000001</v>
      </c>
      <c r="K5479" s="34">
        <f t="shared" si="170"/>
        <v>6743.1760000000004</v>
      </c>
      <c r="L5479" s="34">
        <v>2.1</v>
      </c>
      <c r="M5479" s="34">
        <v>50299</v>
      </c>
      <c r="N5479" s="34">
        <f t="shared" si="171"/>
        <v>7.4679943100995736</v>
      </c>
    </row>
    <row r="5480" spans="1:14" x14ac:dyDescent="0.45">
      <c r="A5480" s="30">
        <v>2025</v>
      </c>
      <c r="B5480" s="30" t="s">
        <v>12</v>
      </c>
      <c r="C5480" s="30" t="s">
        <v>46</v>
      </c>
      <c r="D5480" s="30" t="s">
        <v>47</v>
      </c>
      <c r="E5480" s="31" t="s">
        <v>273</v>
      </c>
      <c r="F5480" s="32" t="s">
        <v>49</v>
      </c>
      <c r="G5480" s="32" t="s">
        <v>50</v>
      </c>
      <c r="H5480" s="33">
        <v>20640</v>
      </c>
      <c r="I5480" s="34">
        <f>Table3[[#This Row],[Volume, kg.]]/1000</f>
        <v>20.64</v>
      </c>
      <c r="J5480" s="34">
        <v>0.23480000000000001</v>
      </c>
      <c r="K5480" s="34">
        <f t="shared" si="170"/>
        <v>4846.2719999999999</v>
      </c>
      <c r="L5480" s="34">
        <v>1.84</v>
      </c>
      <c r="M5480" s="34">
        <v>38058.5</v>
      </c>
      <c r="N5480" s="34">
        <f t="shared" si="171"/>
        <v>7.8364565587734241</v>
      </c>
    </row>
    <row r="5481" spans="1:14" x14ac:dyDescent="0.45">
      <c r="A5481" s="30">
        <v>2025</v>
      </c>
      <c r="B5481" s="30" t="s">
        <v>12</v>
      </c>
      <c r="C5481" s="30" t="s">
        <v>46</v>
      </c>
      <c r="D5481" s="30" t="s">
        <v>47</v>
      </c>
      <c r="E5481" s="31" t="s">
        <v>369</v>
      </c>
      <c r="F5481" s="32" t="s">
        <v>57</v>
      </c>
      <c r="G5481" s="32" t="s">
        <v>50</v>
      </c>
      <c r="H5481" s="33">
        <v>8250</v>
      </c>
      <c r="I5481" s="34">
        <f>Table3[[#This Row],[Volume, kg.]]/1000</f>
        <v>8.25</v>
      </c>
      <c r="J5481" s="34">
        <v>0.16469999999999999</v>
      </c>
      <c r="K5481" s="34">
        <f t="shared" ref="K5481:K5544" si="172">H5481*J5481</f>
        <v>1358.7749999999999</v>
      </c>
      <c r="L5481" s="34">
        <v>1.45</v>
      </c>
      <c r="M5481" s="34">
        <v>11962.5</v>
      </c>
      <c r="N5481" s="34">
        <f t="shared" ref="N5481:N5544" si="173">L5481/J5481</f>
        <v>8.8038858530661823</v>
      </c>
    </row>
    <row r="5482" spans="1:14" x14ac:dyDescent="0.45">
      <c r="A5482" s="30">
        <v>2025</v>
      </c>
      <c r="B5482" s="30" t="s">
        <v>12</v>
      </c>
      <c r="C5482" s="30" t="s">
        <v>46</v>
      </c>
      <c r="D5482" s="30" t="s">
        <v>102</v>
      </c>
      <c r="E5482" s="31" t="s">
        <v>730</v>
      </c>
      <c r="F5482" s="32" t="s">
        <v>487</v>
      </c>
      <c r="G5482" s="32" t="s">
        <v>341</v>
      </c>
      <c r="H5482" s="33">
        <v>369980</v>
      </c>
      <c r="I5482" s="34">
        <f>Table3[[#This Row],[Volume, kg.]]/1000</f>
        <v>369.98</v>
      </c>
      <c r="J5482" s="34">
        <v>0.20440000000000003</v>
      </c>
      <c r="K5482" s="34">
        <f t="shared" si="172"/>
        <v>75623.912000000011</v>
      </c>
      <c r="L5482" s="34">
        <v>1.72</v>
      </c>
      <c r="M5482" s="34">
        <v>636671</v>
      </c>
      <c r="N5482" s="34">
        <f t="shared" si="173"/>
        <v>8.4148727984344411</v>
      </c>
    </row>
    <row r="5483" spans="1:14" x14ac:dyDescent="0.45">
      <c r="A5483" s="30">
        <v>2025</v>
      </c>
      <c r="B5483" s="30" t="s">
        <v>12</v>
      </c>
      <c r="C5483" s="30" t="s">
        <v>46</v>
      </c>
      <c r="D5483" s="30" t="s">
        <v>102</v>
      </c>
      <c r="E5483" s="31" t="s">
        <v>710</v>
      </c>
      <c r="F5483" s="32" t="s">
        <v>189</v>
      </c>
      <c r="G5483" s="32" t="s">
        <v>128</v>
      </c>
      <c r="H5483" s="33">
        <v>872520</v>
      </c>
      <c r="I5483" s="34">
        <f>Table3[[#This Row],[Volume, kg.]]/1000</f>
        <v>872.52</v>
      </c>
      <c r="J5483" s="34">
        <v>0.20469999999999999</v>
      </c>
      <c r="K5483" s="34">
        <f t="shared" si="172"/>
        <v>178604.84399999998</v>
      </c>
      <c r="L5483" s="34">
        <v>1.69</v>
      </c>
      <c r="M5483" s="34">
        <v>1478408.5</v>
      </c>
      <c r="N5483" s="34">
        <f t="shared" si="173"/>
        <v>8.255984367366878</v>
      </c>
    </row>
    <row r="5484" spans="1:14" x14ac:dyDescent="0.45">
      <c r="A5484" s="30">
        <v>2025</v>
      </c>
      <c r="B5484" s="30" t="s">
        <v>12</v>
      </c>
      <c r="C5484" s="30" t="s">
        <v>46</v>
      </c>
      <c r="D5484" s="30" t="s">
        <v>47</v>
      </c>
      <c r="E5484" s="31" t="s">
        <v>87</v>
      </c>
      <c r="F5484" s="32" t="s">
        <v>49</v>
      </c>
      <c r="G5484" s="32" t="s">
        <v>50</v>
      </c>
      <c r="H5484" s="33">
        <v>34770</v>
      </c>
      <c r="I5484" s="34">
        <f>Table3[[#This Row],[Volume, kg.]]/1000</f>
        <v>34.770000000000003</v>
      </c>
      <c r="J5484" s="34">
        <v>0.21809999999999999</v>
      </c>
      <c r="K5484" s="34">
        <f t="shared" si="172"/>
        <v>7583.3369999999995</v>
      </c>
      <c r="L5484" s="34">
        <v>1.74</v>
      </c>
      <c r="M5484" s="34">
        <v>60430.5</v>
      </c>
      <c r="N5484" s="34">
        <f t="shared" si="173"/>
        <v>7.9779917469050901</v>
      </c>
    </row>
    <row r="5485" spans="1:14" x14ac:dyDescent="0.45">
      <c r="A5485" s="30">
        <v>2025</v>
      </c>
      <c r="B5485" s="30" t="s">
        <v>12</v>
      </c>
      <c r="C5485" s="30" t="s">
        <v>46</v>
      </c>
      <c r="D5485" s="30" t="s">
        <v>47</v>
      </c>
      <c r="E5485" s="31" t="s">
        <v>441</v>
      </c>
      <c r="F5485" s="32" t="s">
        <v>64</v>
      </c>
      <c r="G5485" s="32" t="s">
        <v>50</v>
      </c>
      <c r="H5485" s="33">
        <v>181670</v>
      </c>
      <c r="I5485" s="34">
        <f>Table3[[#This Row],[Volume, kg.]]/1000</f>
        <v>181.67</v>
      </c>
      <c r="J5485" s="34">
        <v>0.22949999999999998</v>
      </c>
      <c r="K5485" s="34">
        <f t="shared" si="172"/>
        <v>41693.264999999999</v>
      </c>
      <c r="L5485" s="34">
        <v>1.81</v>
      </c>
      <c r="M5485" s="34">
        <v>329700.5</v>
      </c>
      <c r="N5485" s="34">
        <f t="shared" si="173"/>
        <v>7.8867102396514168</v>
      </c>
    </row>
    <row r="5486" spans="1:14" x14ac:dyDescent="0.45">
      <c r="A5486" s="30">
        <v>2025</v>
      </c>
      <c r="B5486" s="30" t="s">
        <v>12</v>
      </c>
      <c r="C5486" s="30" t="s">
        <v>46</v>
      </c>
      <c r="D5486" s="30" t="s">
        <v>47</v>
      </c>
      <c r="E5486" s="31" t="s">
        <v>508</v>
      </c>
      <c r="F5486" s="32" t="s">
        <v>60</v>
      </c>
      <c r="G5486" s="32" t="s">
        <v>50</v>
      </c>
      <c r="H5486" s="33">
        <v>11490</v>
      </c>
      <c r="I5486" s="34">
        <f>Table3[[#This Row],[Volume, kg.]]/1000</f>
        <v>11.49</v>
      </c>
      <c r="J5486" s="34">
        <v>0.18149999999999999</v>
      </c>
      <c r="K5486" s="34">
        <f t="shared" si="172"/>
        <v>2085.4349999999999</v>
      </c>
      <c r="L5486" s="34">
        <v>1.55</v>
      </c>
      <c r="M5486" s="34">
        <v>17809.5</v>
      </c>
      <c r="N5486" s="34">
        <f t="shared" si="173"/>
        <v>8.5399449035812669</v>
      </c>
    </row>
    <row r="5487" spans="1:14" x14ac:dyDescent="0.45">
      <c r="A5487" s="30">
        <v>2025</v>
      </c>
      <c r="B5487" s="30" t="s">
        <v>12</v>
      </c>
      <c r="C5487" s="30" t="s">
        <v>46</v>
      </c>
      <c r="D5487" s="30" t="s">
        <v>47</v>
      </c>
      <c r="E5487" s="31" t="s">
        <v>453</v>
      </c>
      <c r="F5487" s="32" t="s">
        <v>57</v>
      </c>
      <c r="G5487" s="32" t="s">
        <v>50</v>
      </c>
      <c r="H5487" s="33">
        <v>30550</v>
      </c>
      <c r="I5487" s="34">
        <f>Table3[[#This Row],[Volume, kg.]]/1000</f>
        <v>30.55</v>
      </c>
      <c r="J5487" s="34">
        <v>0.20780000000000001</v>
      </c>
      <c r="K5487" s="34">
        <f t="shared" si="172"/>
        <v>6348.29</v>
      </c>
      <c r="L5487" s="34">
        <v>1.73</v>
      </c>
      <c r="M5487" s="34">
        <v>52995</v>
      </c>
      <c r="N5487" s="34">
        <f t="shared" si="173"/>
        <v>8.3253128007699697</v>
      </c>
    </row>
    <row r="5488" spans="1:14" x14ac:dyDescent="0.45">
      <c r="A5488" s="30">
        <v>2025</v>
      </c>
      <c r="B5488" s="30" t="s">
        <v>12</v>
      </c>
      <c r="C5488" s="30" t="s">
        <v>46</v>
      </c>
      <c r="D5488" s="30" t="s">
        <v>47</v>
      </c>
      <c r="E5488" s="31" t="s">
        <v>315</v>
      </c>
      <c r="F5488" s="32" t="s">
        <v>134</v>
      </c>
      <c r="G5488" s="32" t="s">
        <v>50</v>
      </c>
      <c r="H5488" s="33">
        <v>242500</v>
      </c>
      <c r="I5488" s="34">
        <f>Table3[[#This Row],[Volume, kg.]]/1000</f>
        <v>242.5</v>
      </c>
      <c r="J5488" s="34">
        <v>0.20550000000000002</v>
      </c>
      <c r="K5488" s="34">
        <f t="shared" si="172"/>
        <v>49833.750000000007</v>
      </c>
      <c r="L5488" s="34">
        <v>1.69</v>
      </c>
      <c r="M5488" s="34">
        <v>410808.5</v>
      </c>
      <c r="N5488" s="34">
        <f t="shared" si="173"/>
        <v>8.2238442822384421</v>
      </c>
    </row>
    <row r="5489" spans="1:14" x14ac:dyDescent="0.45">
      <c r="A5489" s="30">
        <v>2025</v>
      </c>
      <c r="B5489" s="30" t="s">
        <v>12</v>
      </c>
      <c r="C5489" s="30" t="s">
        <v>46</v>
      </c>
      <c r="D5489" s="30" t="s">
        <v>47</v>
      </c>
      <c r="E5489" s="31" t="s">
        <v>66</v>
      </c>
      <c r="F5489" s="32" t="s">
        <v>49</v>
      </c>
      <c r="G5489" s="32" t="s">
        <v>50</v>
      </c>
      <c r="H5489" s="33">
        <v>18640</v>
      </c>
      <c r="I5489" s="34">
        <f>Table3[[#This Row],[Volume, kg.]]/1000</f>
        <v>18.64</v>
      </c>
      <c r="J5489" s="34">
        <v>0.22589999999999999</v>
      </c>
      <c r="K5489" s="34">
        <f t="shared" si="172"/>
        <v>4210.7759999999998</v>
      </c>
      <c r="L5489" s="34">
        <v>1.72</v>
      </c>
      <c r="M5489" s="34">
        <v>32044.5</v>
      </c>
      <c r="N5489" s="34">
        <f t="shared" si="173"/>
        <v>7.613988490482515</v>
      </c>
    </row>
    <row r="5490" spans="1:14" x14ac:dyDescent="0.45">
      <c r="A5490" s="30">
        <v>2025</v>
      </c>
      <c r="B5490" s="30" t="s">
        <v>12</v>
      </c>
      <c r="C5490" s="30" t="s">
        <v>46</v>
      </c>
      <c r="D5490" s="30" t="s">
        <v>47</v>
      </c>
      <c r="E5490" s="31" t="s">
        <v>159</v>
      </c>
      <c r="F5490" s="32" t="s">
        <v>81</v>
      </c>
      <c r="G5490" s="32" t="s">
        <v>50</v>
      </c>
      <c r="H5490" s="33">
        <v>32900</v>
      </c>
      <c r="I5490" s="34">
        <f>Table3[[#This Row],[Volume, kg.]]/1000</f>
        <v>32.9</v>
      </c>
      <c r="J5490" s="34">
        <v>0.1772</v>
      </c>
      <c r="K5490" s="34">
        <f t="shared" si="172"/>
        <v>5829.88</v>
      </c>
      <c r="L5490" s="34">
        <v>1.57</v>
      </c>
      <c r="M5490" s="34">
        <v>51768</v>
      </c>
      <c r="N5490" s="34">
        <f t="shared" si="173"/>
        <v>8.8600451467268631</v>
      </c>
    </row>
    <row r="5491" spans="1:14" x14ac:dyDescent="0.45">
      <c r="A5491" s="30">
        <v>2025</v>
      </c>
      <c r="B5491" s="30" t="s">
        <v>12</v>
      </c>
      <c r="C5491" s="30" t="s">
        <v>46</v>
      </c>
      <c r="D5491" s="30" t="s">
        <v>47</v>
      </c>
      <c r="E5491" s="31" t="s">
        <v>562</v>
      </c>
      <c r="F5491" s="32" t="s">
        <v>64</v>
      </c>
      <c r="G5491" s="32" t="s">
        <v>50</v>
      </c>
      <c r="H5491" s="33">
        <v>63710</v>
      </c>
      <c r="I5491" s="34">
        <f>Table3[[#This Row],[Volume, kg.]]/1000</f>
        <v>63.71</v>
      </c>
      <c r="J5491" s="34">
        <v>0.20760000000000001</v>
      </c>
      <c r="K5491" s="34">
        <f t="shared" si="172"/>
        <v>13226.196</v>
      </c>
      <c r="L5491" s="34">
        <v>1.74</v>
      </c>
      <c r="M5491" s="34">
        <v>110556</v>
      </c>
      <c r="N5491" s="34">
        <f t="shared" si="173"/>
        <v>8.3815028901734099</v>
      </c>
    </row>
    <row r="5492" spans="1:14" x14ac:dyDescent="0.45">
      <c r="A5492" s="30">
        <v>2025</v>
      </c>
      <c r="B5492" s="30" t="s">
        <v>12</v>
      </c>
      <c r="C5492" s="30" t="s">
        <v>46</v>
      </c>
      <c r="D5492" s="30" t="s">
        <v>47</v>
      </c>
      <c r="E5492" s="31" t="s">
        <v>228</v>
      </c>
      <c r="F5492" s="32" t="s">
        <v>64</v>
      </c>
      <c r="G5492" s="32" t="s">
        <v>50</v>
      </c>
      <c r="H5492" s="33">
        <v>123690</v>
      </c>
      <c r="I5492" s="34">
        <f>Table3[[#This Row],[Volume, kg.]]/1000</f>
        <v>123.69</v>
      </c>
      <c r="J5492" s="34">
        <v>0.20949999999999999</v>
      </c>
      <c r="K5492" s="34">
        <f t="shared" si="172"/>
        <v>25913.055</v>
      </c>
      <c r="L5492" s="34">
        <v>1.72</v>
      </c>
      <c r="M5492" s="34">
        <v>213127.5</v>
      </c>
      <c r="N5492" s="34">
        <f t="shared" si="173"/>
        <v>8.2100238663484486</v>
      </c>
    </row>
    <row r="5493" spans="1:14" x14ac:dyDescent="0.45">
      <c r="A5493" s="30">
        <v>2025</v>
      </c>
      <c r="B5493" s="30" t="s">
        <v>12</v>
      </c>
      <c r="C5493" s="30" t="s">
        <v>46</v>
      </c>
      <c r="D5493" s="30" t="s">
        <v>47</v>
      </c>
      <c r="E5493" s="31" t="s">
        <v>61</v>
      </c>
      <c r="F5493" s="32" t="s">
        <v>57</v>
      </c>
      <c r="G5493" s="32" t="s">
        <v>50</v>
      </c>
      <c r="H5493" s="33">
        <v>8460</v>
      </c>
      <c r="I5493" s="34">
        <f>Table3[[#This Row],[Volume, kg.]]/1000</f>
        <v>8.4600000000000009</v>
      </c>
      <c r="J5493" s="34">
        <v>0.23100000000000001</v>
      </c>
      <c r="K5493" s="34">
        <f t="shared" si="172"/>
        <v>1954.26</v>
      </c>
      <c r="L5493" s="34">
        <v>1.8</v>
      </c>
      <c r="M5493" s="34">
        <v>15228</v>
      </c>
      <c r="N5493" s="34">
        <f t="shared" si="173"/>
        <v>7.7922077922077921</v>
      </c>
    </row>
    <row r="5494" spans="1:14" x14ac:dyDescent="0.45">
      <c r="A5494" s="30">
        <v>2025</v>
      </c>
      <c r="B5494" s="30" t="s">
        <v>12</v>
      </c>
      <c r="C5494" s="30" t="s">
        <v>46</v>
      </c>
      <c r="D5494" s="30" t="s">
        <v>47</v>
      </c>
      <c r="E5494" s="31" t="s">
        <v>101</v>
      </c>
      <c r="F5494" s="32" t="s">
        <v>64</v>
      </c>
      <c r="G5494" s="32" t="s">
        <v>50</v>
      </c>
      <c r="H5494" s="33">
        <v>30300</v>
      </c>
      <c r="I5494" s="34">
        <f>Table3[[#This Row],[Volume, kg.]]/1000</f>
        <v>30.3</v>
      </c>
      <c r="J5494" s="34">
        <v>0.21590000000000001</v>
      </c>
      <c r="K5494" s="34">
        <f t="shared" si="172"/>
        <v>6541.77</v>
      </c>
      <c r="L5494" s="34">
        <v>1.74</v>
      </c>
      <c r="M5494" s="34">
        <v>52833</v>
      </c>
      <c r="N5494" s="34">
        <f t="shared" si="173"/>
        <v>8.0592867068087077</v>
      </c>
    </row>
    <row r="5495" spans="1:14" x14ac:dyDescent="0.45">
      <c r="A5495" s="30">
        <v>2025</v>
      </c>
      <c r="B5495" s="30" t="s">
        <v>12</v>
      </c>
      <c r="C5495" s="30" t="s">
        <v>46</v>
      </c>
      <c r="D5495" s="30" t="s">
        <v>47</v>
      </c>
      <c r="E5495" s="31" t="s">
        <v>146</v>
      </c>
      <c r="F5495" s="32" t="s">
        <v>64</v>
      </c>
      <c r="G5495" s="32" t="s">
        <v>50</v>
      </c>
      <c r="H5495" s="33">
        <v>42380</v>
      </c>
      <c r="I5495" s="34">
        <f>Table3[[#This Row],[Volume, kg.]]/1000</f>
        <v>42.38</v>
      </c>
      <c r="J5495" s="34">
        <v>0.21710000000000002</v>
      </c>
      <c r="K5495" s="34">
        <f t="shared" si="172"/>
        <v>9200.6980000000003</v>
      </c>
      <c r="L5495" s="34">
        <v>1.76</v>
      </c>
      <c r="M5495" s="34">
        <v>74635.5</v>
      </c>
      <c r="N5495" s="34">
        <f t="shared" si="173"/>
        <v>8.1068631966835554</v>
      </c>
    </row>
    <row r="5496" spans="1:14" x14ac:dyDescent="0.45">
      <c r="A5496" s="30">
        <v>2025</v>
      </c>
      <c r="B5496" s="30" t="s">
        <v>12</v>
      </c>
      <c r="C5496" s="30" t="s">
        <v>46</v>
      </c>
      <c r="D5496" s="30" t="s">
        <v>47</v>
      </c>
      <c r="E5496" s="31" t="s">
        <v>161</v>
      </c>
      <c r="F5496" s="32" t="s">
        <v>57</v>
      </c>
      <c r="G5496" s="32" t="s">
        <v>50</v>
      </c>
      <c r="H5496" s="33">
        <v>6640</v>
      </c>
      <c r="I5496" s="34">
        <f>Table3[[#This Row],[Volume, kg.]]/1000</f>
        <v>6.64</v>
      </c>
      <c r="J5496" s="34">
        <v>0.215</v>
      </c>
      <c r="K5496" s="34">
        <f t="shared" si="172"/>
        <v>1427.6</v>
      </c>
      <c r="L5496" s="34">
        <v>1.8</v>
      </c>
      <c r="M5496" s="34">
        <v>11952</v>
      </c>
      <c r="N5496" s="34">
        <f t="shared" si="173"/>
        <v>8.3720930232558146</v>
      </c>
    </row>
    <row r="5497" spans="1:14" x14ac:dyDescent="0.45">
      <c r="A5497" s="30">
        <v>2025</v>
      </c>
      <c r="B5497" s="30" t="s">
        <v>12</v>
      </c>
      <c r="C5497" s="30" t="s">
        <v>46</v>
      </c>
      <c r="D5497" s="30" t="s">
        <v>47</v>
      </c>
      <c r="E5497" s="31" t="s">
        <v>309</v>
      </c>
      <c r="F5497" s="32" t="s">
        <v>81</v>
      </c>
      <c r="G5497" s="32" t="s">
        <v>50</v>
      </c>
      <c r="H5497" s="33">
        <v>76790</v>
      </c>
      <c r="I5497" s="34">
        <f>Table3[[#This Row],[Volume, kg.]]/1000</f>
        <v>76.790000000000006</v>
      </c>
      <c r="J5497" s="34">
        <v>0.2291</v>
      </c>
      <c r="K5497" s="34">
        <f t="shared" si="172"/>
        <v>17592.589</v>
      </c>
      <c r="L5497" s="34">
        <v>1.83</v>
      </c>
      <c r="M5497" s="34">
        <v>140480.5</v>
      </c>
      <c r="N5497" s="34">
        <f t="shared" si="173"/>
        <v>7.9877782627673506</v>
      </c>
    </row>
    <row r="5498" spans="1:14" x14ac:dyDescent="0.45">
      <c r="A5498" s="30">
        <v>2025</v>
      </c>
      <c r="B5498" s="30" t="s">
        <v>12</v>
      </c>
      <c r="C5498" s="30" t="s">
        <v>46</v>
      </c>
      <c r="D5498" s="30" t="s">
        <v>47</v>
      </c>
      <c r="E5498" s="31" t="s">
        <v>510</v>
      </c>
      <c r="F5498" s="32" t="s">
        <v>49</v>
      </c>
      <c r="G5498" s="32" t="s">
        <v>50</v>
      </c>
      <c r="H5498" s="33">
        <v>30150</v>
      </c>
      <c r="I5498" s="34">
        <f>Table3[[#This Row],[Volume, kg.]]/1000</f>
        <v>30.15</v>
      </c>
      <c r="J5498" s="34">
        <v>0.19320000000000001</v>
      </c>
      <c r="K5498" s="34">
        <f t="shared" si="172"/>
        <v>5824.9800000000005</v>
      </c>
      <c r="L5498" s="34">
        <v>1.66</v>
      </c>
      <c r="M5498" s="34">
        <v>50015</v>
      </c>
      <c r="N5498" s="34">
        <f t="shared" si="173"/>
        <v>8.5921325051759823</v>
      </c>
    </row>
    <row r="5499" spans="1:14" x14ac:dyDescent="0.45">
      <c r="A5499" s="30">
        <v>2025</v>
      </c>
      <c r="B5499" s="30" t="s">
        <v>12</v>
      </c>
      <c r="C5499" s="30" t="s">
        <v>46</v>
      </c>
      <c r="D5499" s="30" t="s">
        <v>47</v>
      </c>
      <c r="E5499" s="31" t="s">
        <v>575</v>
      </c>
      <c r="F5499" s="32" t="s">
        <v>64</v>
      </c>
      <c r="G5499" s="32" t="s">
        <v>50</v>
      </c>
      <c r="H5499" s="33">
        <v>3790</v>
      </c>
      <c r="I5499" s="34">
        <f>Table3[[#This Row],[Volume, kg.]]/1000</f>
        <v>3.79</v>
      </c>
      <c r="J5499" s="34">
        <v>0.14800000000000002</v>
      </c>
      <c r="K5499" s="34">
        <f t="shared" si="172"/>
        <v>560.92000000000007</v>
      </c>
      <c r="L5499" s="34">
        <v>1.45</v>
      </c>
      <c r="M5499" s="34">
        <v>5495.5</v>
      </c>
      <c r="N5499" s="34">
        <f t="shared" si="173"/>
        <v>9.7972972972972965</v>
      </c>
    </row>
    <row r="5500" spans="1:14" x14ac:dyDescent="0.45">
      <c r="A5500" s="30">
        <v>2025</v>
      </c>
      <c r="B5500" s="30" t="s">
        <v>12</v>
      </c>
      <c r="C5500" s="30" t="s">
        <v>46</v>
      </c>
      <c r="D5500" s="30" t="s">
        <v>47</v>
      </c>
      <c r="E5500" s="31" t="s">
        <v>91</v>
      </c>
      <c r="F5500" s="32" t="s">
        <v>60</v>
      </c>
      <c r="G5500" s="32" t="s">
        <v>50</v>
      </c>
      <c r="H5500" s="33">
        <v>3940</v>
      </c>
      <c r="I5500" s="34">
        <f>Table3[[#This Row],[Volume, kg.]]/1000</f>
        <v>3.94</v>
      </c>
      <c r="J5500" s="34">
        <v>0.20600000000000002</v>
      </c>
      <c r="K5500" s="34">
        <f t="shared" si="172"/>
        <v>811.6400000000001</v>
      </c>
      <c r="L5500" s="34">
        <v>1.75</v>
      </c>
      <c r="M5500" s="34">
        <v>6895</v>
      </c>
      <c r="N5500" s="34">
        <f t="shared" si="173"/>
        <v>8.4951456310679596</v>
      </c>
    </row>
    <row r="5501" spans="1:14" x14ac:dyDescent="0.45">
      <c r="A5501" s="30">
        <v>2025</v>
      </c>
      <c r="B5501" s="30" t="s">
        <v>12</v>
      </c>
      <c r="C5501" s="30" t="s">
        <v>46</v>
      </c>
      <c r="D5501" s="30" t="s">
        <v>47</v>
      </c>
      <c r="E5501" s="31" t="s">
        <v>457</v>
      </c>
      <c r="F5501" s="32" t="s">
        <v>49</v>
      </c>
      <c r="G5501" s="32" t="s">
        <v>50</v>
      </c>
      <c r="H5501" s="33">
        <v>7450</v>
      </c>
      <c r="I5501" s="34">
        <f>Table3[[#This Row],[Volume, kg.]]/1000</f>
        <v>7.45</v>
      </c>
      <c r="J5501" s="34">
        <v>0.16949999999999998</v>
      </c>
      <c r="K5501" s="34">
        <f t="shared" si="172"/>
        <v>1262.7749999999999</v>
      </c>
      <c r="L5501" s="34">
        <v>1.55</v>
      </c>
      <c r="M5501" s="34">
        <v>11547.5</v>
      </c>
      <c r="N5501" s="34">
        <f t="shared" si="173"/>
        <v>9.1445427728613584</v>
      </c>
    </row>
    <row r="5502" spans="1:14" x14ac:dyDescent="0.45">
      <c r="A5502" s="30">
        <v>2025</v>
      </c>
      <c r="B5502" s="30" t="s">
        <v>12</v>
      </c>
      <c r="C5502" s="30" t="s">
        <v>46</v>
      </c>
      <c r="D5502" s="30" t="s">
        <v>47</v>
      </c>
      <c r="E5502" s="31" t="s">
        <v>522</v>
      </c>
      <c r="F5502" s="32" t="s">
        <v>64</v>
      </c>
      <c r="G5502" s="32" t="s">
        <v>50</v>
      </c>
      <c r="H5502" s="33">
        <v>10860</v>
      </c>
      <c r="I5502" s="34">
        <f>Table3[[#This Row],[Volume, kg.]]/1000</f>
        <v>10.86</v>
      </c>
      <c r="J5502" s="34">
        <v>0.20949999999999999</v>
      </c>
      <c r="K5502" s="34">
        <f t="shared" si="172"/>
        <v>2275.17</v>
      </c>
      <c r="L5502" s="34">
        <v>1.75</v>
      </c>
      <c r="M5502" s="34">
        <v>19005</v>
      </c>
      <c r="N5502" s="34">
        <f t="shared" si="173"/>
        <v>8.3532219570405726</v>
      </c>
    </row>
    <row r="5503" spans="1:14" x14ac:dyDescent="0.45">
      <c r="A5503" s="30">
        <v>2025</v>
      </c>
      <c r="B5503" s="30" t="s">
        <v>12</v>
      </c>
      <c r="C5503" s="30" t="s">
        <v>46</v>
      </c>
      <c r="D5503" s="30" t="s">
        <v>47</v>
      </c>
      <c r="E5503" s="31" t="s">
        <v>53</v>
      </c>
      <c r="F5503" s="32" t="s">
        <v>54</v>
      </c>
      <c r="G5503" s="32" t="s">
        <v>50</v>
      </c>
      <c r="H5503" s="33">
        <v>29160</v>
      </c>
      <c r="I5503" s="34">
        <f>Table3[[#This Row],[Volume, kg.]]/1000</f>
        <v>29.16</v>
      </c>
      <c r="J5503" s="34">
        <v>0.22989999999999999</v>
      </c>
      <c r="K5503" s="34">
        <f t="shared" si="172"/>
        <v>6703.884</v>
      </c>
      <c r="L5503" s="34">
        <v>1.85</v>
      </c>
      <c r="M5503" s="34">
        <v>53866.5</v>
      </c>
      <c r="N5503" s="34">
        <f t="shared" si="173"/>
        <v>8.0469769464984786</v>
      </c>
    </row>
    <row r="5504" spans="1:14" x14ac:dyDescent="0.45">
      <c r="A5504" s="30">
        <v>2025</v>
      </c>
      <c r="B5504" s="30" t="s">
        <v>12</v>
      </c>
      <c r="C5504" s="30" t="s">
        <v>46</v>
      </c>
      <c r="D5504" s="30" t="s">
        <v>47</v>
      </c>
      <c r="E5504" s="31" t="s">
        <v>151</v>
      </c>
      <c r="F5504" s="32" t="s">
        <v>60</v>
      </c>
      <c r="G5504" s="32" t="s">
        <v>50</v>
      </c>
      <c r="H5504" s="33">
        <v>44010</v>
      </c>
      <c r="I5504" s="34">
        <f>Table3[[#This Row],[Volume, kg.]]/1000</f>
        <v>44.01</v>
      </c>
      <c r="J5504" s="34">
        <v>0.20269999999999999</v>
      </c>
      <c r="K5504" s="34">
        <f t="shared" si="172"/>
        <v>8920.8269999999993</v>
      </c>
      <c r="L5504" s="34">
        <v>1.71</v>
      </c>
      <c r="M5504" s="34">
        <v>75292.5</v>
      </c>
      <c r="N5504" s="34">
        <f t="shared" si="173"/>
        <v>8.4361124814997535</v>
      </c>
    </row>
    <row r="5505" spans="1:14" x14ac:dyDescent="0.45">
      <c r="A5505" s="30">
        <v>2025</v>
      </c>
      <c r="B5505" s="30" t="s">
        <v>12</v>
      </c>
      <c r="C5505" s="30" t="s">
        <v>46</v>
      </c>
      <c r="D5505" s="30" t="s">
        <v>47</v>
      </c>
      <c r="E5505" s="31" t="s">
        <v>408</v>
      </c>
      <c r="F5505" s="32" t="s">
        <v>238</v>
      </c>
      <c r="G5505" s="32" t="s">
        <v>50</v>
      </c>
      <c r="H5505" s="33">
        <v>56340</v>
      </c>
      <c r="I5505" s="34">
        <f>Table3[[#This Row],[Volume, kg.]]/1000</f>
        <v>56.34</v>
      </c>
      <c r="J5505" s="34">
        <v>0.2223</v>
      </c>
      <c r="K5505" s="34">
        <f t="shared" si="172"/>
        <v>12524.382</v>
      </c>
      <c r="L5505" s="34">
        <v>1.8</v>
      </c>
      <c r="M5505" s="34">
        <v>101347</v>
      </c>
      <c r="N5505" s="34">
        <f t="shared" si="173"/>
        <v>8.097165991902834</v>
      </c>
    </row>
    <row r="5506" spans="1:14" x14ac:dyDescent="0.45">
      <c r="A5506" s="30">
        <v>2025</v>
      </c>
      <c r="B5506" s="30" t="s">
        <v>12</v>
      </c>
      <c r="C5506" s="30" t="s">
        <v>46</v>
      </c>
      <c r="D5506" s="30" t="s">
        <v>47</v>
      </c>
      <c r="E5506" s="31" t="s">
        <v>422</v>
      </c>
      <c r="F5506" s="32" t="s">
        <v>134</v>
      </c>
      <c r="G5506" s="32" t="s">
        <v>50</v>
      </c>
      <c r="H5506" s="33">
        <v>23590</v>
      </c>
      <c r="I5506" s="34">
        <f>Table3[[#This Row],[Volume, kg.]]/1000</f>
        <v>23.59</v>
      </c>
      <c r="J5506" s="34">
        <v>0.21530000000000002</v>
      </c>
      <c r="K5506" s="34">
        <f t="shared" si="172"/>
        <v>5078.9270000000006</v>
      </c>
      <c r="L5506" s="34">
        <v>1.75</v>
      </c>
      <c r="M5506" s="34">
        <v>41282.5</v>
      </c>
      <c r="N5506" s="34">
        <f t="shared" si="173"/>
        <v>8.1281932187645136</v>
      </c>
    </row>
    <row r="5507" spans="1:14" x14ac:dyDescent="0.45">
      <c r="A5507" s="30">
        <v>2025</v>
      </c>
      <c r="B5507" s="30" t="s">
        <v>12</v>
      </c>
      <c r="C5507" s="30" t="s">
        <v>46</v>
      </c>
      <c r="D5507" s="30" t="s">
        <v>47</v>
      </c>
      <c r="E5507" s="31" t="s">
        <v>133</v>
      </c>
      <c r="F5507" s="32" t="s">
        <v>134</v>
      </c>
      <c r="G5507" s="32" t="s">
        <v>50</v>
      </c>
      <c r="H5507" s="33">
        <v>97740</v>
      </c>
      <c r="I5507" s="34">
        <f>Table3[[#This Row],[Volume, kg.]]/1000</f>
        <v>97.74</v>
      </c>
      <c r="J5507" s="34">
        <v>0.20370000000000002</v>
      </c>
      <c r="K5507" s="34">
        <f t="shared" si="172"/>
        <v>19909.638000000003</v>
      </c>
      <c r="L5507" s="34">
        <v>1.69</v>
      </c>
      <c r="M5507" s="34">
        <v>164947</v>
      </c>
      <c r="N5507" s="34">
        <f t="shared" si="173"/>
        <v>8.2965144820814913</v>
      </c>
    </row>
    <row r="5508" spans="1:14" x14ac:dyDescent="0.45">
      <c r="A5508" s="30">
        <v>2025</v>
      </c>
      <c r="B5508" s="30" t="s">
        <v>12</v>
      </c>
      <c r="C5508" s="30" t="s">
        <v>46</v>
      </c>
      <c r="D5508" s="30" t="s">
        <v>47</v>
      </c>
      <c r="E5508" s="31" t="s">
        <v>78</v>
      </c>
      <c r="F5508" s="32" t="s">
        <v>49</v>
      </c>
      <c r="G5508" s="32" t="s">
        <v>50</v>
      </c>
      <c r="H5508" s="33">
        <v>3340</v>
      </c>
      <c r="I5508" s="34">
        <f>Table3[[#This Row],[Volume, kg.]]/1000</f>
        <v>3.34</v>
      </c>
      <c r="J5508" s="34">
        <v>0.20699999999999999</v>
      </c>
      <c r="K5508" s="34">
        <f t="shared" si="172"/>
        <v>691.38</v>
      </c>
      <c r="L5508" s="34">
        <v>1.65</v>
      </c>
      <c r="M5508" s="34">
        <v>5511</v>
      </c>
      <c r="N5508" s="34">
        <f t="shared" si="173"/>
        <v>7.9710144927536231</v>
      </c>
    </row>
    <row r="5509" spans="1:14" x14ac:dyDescent="0.45">
      <c r="A5509" s="30">
        <v>2025</v>
      </c>
      <c r="B5509" s="30" t="s">
        <v>12</v>
      </c>
      <c r="C5509" s="30" t="s">
        <v>46</v>
      </c>
      <c r="D5509" s="30" t="s">
        <v>47</v>
      </c>
      <c r="E5509" s="31" t="s">
        <v>252</v>
      </c>
      <c r="F5509" s="32" t="s">
        <v>49</v>
      </c>
      <c r="G5509" s="32" t="s">
        <v>50</v>
      </c>
      <c r="H5509" s="33">
        <v>10150</v>
      </c>
      <c r="I5509" s="34">
        <f>Table3[[#This Row],[Volume, kg.]]/1000</f>
        <v>10.15</v>
      </c>
      <c r="J5509" s="34">
        <v>0.18539999999999998</v>
      </c>
      <c r="K5509" s="34">
        <f t="shared" si="172"/>
        <v>1881.8099999999997</v>
      </c>
      <c r="L5509" s="34">
        <v>1.63</v>
      </c>
      <c r="M5509" s="34">
        <v>16581</v>
      </c>
      <c r="N5509" s="34">
        <f t="shared" si="173"/>
        <v>8.7918015102481117</v>
      </c>
    </row>
    <row r="5510" spans="1:14" x14ac:dyDescent="0.45">
      <c r="A5510" s="30">
        <v>2025</v>
      </c>
      <c r="B5510" s="30" t="s">
        <v>12</v>
      </c>
      <c r="C5510" s="30" t="s">
        <v>46</v>
      </c>
      <c r="D5510" s="30" t="s">
        <v>47</v>
      </c>
      <c r="E5510" s="31" t="s">
        <v>95</v>
      </c>
      <c r="F5510" s="32" t="s">
        <v>49</v>
      </c>
      <c r="G5510" s="32" t="s">
        <v>50</v>
      </c>
      <c r="H5510" s="33">
        <v>50640</v>
      </c>
      <c r="I5510" s="34">
        <f>Table3[[#This Row],[Volume, kg.]]/1000</f>
        <v>50.64</v>
      </c>
      <c r="J5510" s="34">
        <v>0.20559999999999998</v>
      </c>
      <c r="K5510" s="34">
        <f t="shared" si="172"/>
        <v>10411.583999999999</v>
      </c>
      <c r="L5510" s="34">
        <v>1.68</v>
      </c>
      <c r="M5510" s="34">
        <v>85110</v>
      </c>
      <c r="N5510" s="34">
        <f t="shared" si="173"/>
        <v>8.171206225680935</v>
      </c>
    </row>
    <row r="5511" spans="1:14" x14ac:dyDescent="0.45">
      <c r="A5511" s="30">
        <v>2025</v>
      </c>
      <c r="B5511" s="30" t="s">
        <v>12</v>
      </c>
      <c r="C5511" s="30" t="s">
        <v>46</v>
      </c>
      <c r="D5511" s="30" t="s">
        <v>47</v>
      </c>
      <c r="E5511" s="31" t="s">
        <v>205</v>
      </c>
      <c r="F5511" s="32" t="s">
        <v>49</v>
      </c>
      <c r="G5511" s="32" t="s">
        <v>50</v>
      </c>
      <c r="H5511" s="33">
        <v>15590</v>
      </c>
      <c r="I5511" s="34">
        <f>Table3[[#This Row],[Volume, kg.]]/1000</f>
        <v>15.59</v>
      </c>
      <c r="J5511" s="34">
        <v>0.25019999999999998</v>
      </c>
      <c r="K5511" s="34">
        <f t="shared" si="172"/>
        <v>3900.6179999999995</v>
      </c>
      <c r="L5511" s="34">
        <v>1.83</v>
      </c>
      <c r="M5511" s="34">
        <v>28586.5</v>
      </c>
      <c r="N5511" s="34">
        <f t="shared" si="173"/>
        <v>7.3141486810551566</v>
      </c>
    </row>
    <row r="5512" spans="1:14" x14ac:dyDescent="0.45">
      <c r="A5512" s="30">
        <v>2025</v>
      </c>
      <c r="B5512" s="30" t="s">
        <v>12</v>
      </c>
      <c r="C5512" s="30" t="s">
        <v>46</v>
      </c>
      <c r="D5512" s="30" t="s">
        <v>102</v>
      </c>
      <c r="E5512" s="31" t="s">
        <v>366</v>
      </c>
      <c r="F5512" s="32" t="s">
        <v>367</v>
      </c>
      <c r="G5512" s="32" t="s">
        <v>368</v>
      </c>
      <c r="H5512" s="33">
        <v>423620</v>
      </c>
      <c r="I5512" s="34">
        <f>Table3[[#This Row],[Volume, kg.]]/1000</f>
        <v>423.62</v>
      </c>
      <c r="J5512" s="34">
        <v>0.19170000000000001</v>
      </c>
      <c r="K5512" s="34">
        <f t="shared" si="172"/>
        <v>81207.953999999998</v>
      </c>
      <c r="L5512" s="34">
        <v>1.66</v>
      </c>
      <c r="M5512" s="34">
        <v>702064</v>
      </c>
      <c r="N5512" s="34">
        <f t="shared" si="173"/>
        <v>8.6593635889410532</v>
      </c>
    </row>
    <row r="5513" spans="1:14" x14ac:dyDescent="0.45">
      <c r="A5513" s="30">
        <v>2025</v>
      </c>
      <c r="B5513" s="30" t="s">
        <v>12</v>
      </c>
      <c r="C5513" s="30" t="s">
        <v>46</v>
      </c>
      <c r="D5513" s="30" t="s">
        <v>47</v>
      </c>
      <c r="E5513" s="31" t="s">
        <v>413</v>
      </c>
      <c r="F5513" s="32" t="s">
        <v>49</v>
      </c>
      <c r="G5513" s="32" t="s">
        <v>50</v>
      </c>
      <c r="H5513" s="33">
        <v>21200</v>
      </c>
      <c r="I5513" s="34">
        <f>Table3[[#This Row],[Volume, kg.]]/1000</f>
        <v>21.2</v>
      </c>
      <c r="J5513" s="34">
        <v>0.15460000000000002</v>
      </c>
      <c r="K5513" s="34">
        <f t="shared" si="172"/>
        <v>3277.5200000000004</v>
      </c>
      <c r="L5513" s="34">
        <v>1.44</v>
      </c>
      <c r="M5513" s="34">
        <v>30512</v>
      </c>
      <c r="N5513" s="34">
        <f t="shared" si="173"/>
        <v>9.3143596377749009</v>
      </c>
    </row>
    <row r="5514" spans="1:14" x14ac:dyDescent="0.45">
      <c r="A5514" s="30">
        <v>2025</v>
      </c>
      <c r="B5514" s="30" t="s">
        <v>12</v>
      </c>
      <c r="C5514" s="30" t="s">
        <v>46</v>
      </c>
      <c r="D5514" s="30" t="s">
        <v>102</v>
      </c>
      <c r="E5514" s="31" t="s">
        <v>418</v>
      </c>
      <c r="F5514" s="32" t="s">
        <v>104</v>
      </c>
      <c r="G5514" s="32" t="s">
        <v>105</v>
      </c>
      <c r="H5514" s="33">
        <v>791390</v>
      </c>
      <c r="I5514" s="34">
        <f>Table3[[#This Row],[Volume, kg.]]/1000</f>
        <v>791.39</v>
      </c>
      <c r="J5514" s="34">
        <v>0.21289999999999998</v>
      </c>
      <c r="K5514" s="34">
        <f t="shared" si="172"/>
        <v>168486.93099999998</v>
      </c>
      <c r="L5514" s="34">
        <v>1.75</v>
      </c>
      <c r="M5514" s="34">
        <v>1383496</v>
      </c>
      <c r="N5514" s="34">
        <f t="shared" si="173"/>
        <v>8.2198215124471599</v>
      </c>
    </row>
    <row r="5515" spans="1:14" x14ac:dyDescent="0.45">
      <c r="A5515" s="30">
        <v>2025</v>
      </c>
      <c r="B5515" s="30" t="s">
        <v>12</v>
      </c>
      <c r="C5515" s="30" t="s">
        <v>46</v>
      </c>
      <c r="D5515" s="30" t="s">
        <v>47</v>
      </c>
      <c r="E5515" s="31" t="s">
        <v>434</v>
      </c>
      <c r="F5515" s="32" t="s">
        <v>57</v>
      </c>
      <c r="G5515" s="32" t="s">
        <v>50</v>
      </c>
      <c r="H5515" s="33">
        <v>88520</v>
      </c>
      <c r="I5515" s="34">
        <f>Table3[[#This Row],[Volume, kg.]]/1000</f>
        <v>88.52</v>
      </c>
      <c r="J5515" s="34">
        <v>0.18260000000000001</v>
      </c>
      <c r="K5515" s="34">
        <f t="shared" si="172"/>
        <v>16163.752</v>
      </c>
      <c r="L5515" s="34">
        <v>1.61</v>
      </c>
      <c r="M5515" s="34">
        <v>142333</v>
      </c>
      <c r="N5515" s="34">
        <f t="shared" si="173"/>
        <v>8.8170865279299022</v>
      </c>
    </row>
    <row r="5516" spans="1:14" x14ac:dyDescent="0.45">
      <c r="A5516" s="30">
        <v>2025</v>
      </c>
      <c r="B5516" s="30" t="s">
        <v>12</v>
      </c>
      <c r="C5516" s="30" t="s">
        <v>46</v>
      </c>
      <c r="D5516" s="30" t="s">
        <v>47</v>
      </c>
      <c r="E5516" s="31" t="s">
        <v>452</v>
      </c>
      <c r="F5516" s="32" t="s">
        <v>134</v>
      </c>
      <c r="G5516" s="32" t="s">
        <v>50</v>
      </c>
      <c r="H5516" s="33">
        <v>245210</v>
      </c>
      <c r="I5516" s="34">
        <f>Table3[[#This Row],[Volume, kg.]]/1000</f>
        <v>245.21</v>
      </c>
      <c r="J5516" s="34">
        <v>0.21440000000000001</v>
      </c>
      <c r="K5516" s="34">
        <f t="shared" si="172"/>
        <v>52573.024000000005</v>
      </c>
      <c r="L5516" s="34">
        <v>1.72</v>
      </c>
      <c r="M5516" s="34">
        <v>422603</v>
      </c>
      <c r="N5516" s="34">
        <f t="shared" si="173"/>
        <v>8.0223880597014929</v>
      </c>
    </row>
    <row r="5517" spans="1:14" x14ac:dyDescent="0.45">
      <c r="A5517" s="30">
        <v>2025</v>
      </c>
      <c r="B5517" s="30" t="s">
        <v>12</v>
      </c>
      <c r="C5517" s="30" t="s">
        <v>46</v>
      </c>
      <c r="D5517" s="30" t="s">
        <v>47</v>
      </c>
      <c r="E5517" s="31" t="s">
        <v>488</v>
      </c>
      <c r="F5517" s="32" t="s">
        <v>57</v>
      </c>
      <c r="G5517" s="32" t="s">
        <v>50</v>
      </c>
      <c r="H5517" s="33">
        <v>25150</v>
      </c>
      <c r="I5517" s="34">
        <f>Table3[[#This Row],[Volume, kg.]]/1000</f>
        <v>25.15</v>
      </c>
      <c r="J5517" s="34">
        <v>0.21859999999999999</v>
      </c>
      <c r="K5517" s="34">
        <f t="shared" si="172"/>
        <v>5497.79</v>
      </c>
      <c r="L5517" s="34">
        <v>1.79</v>
      </c>
      <c r="M5517" s="34">
        <v>44962.5</v>
      </c>
      <c r="N5517" s="34">
        <f t="shared" si="173"/>
        <v>8.1884720951509617</v>
      </c>
    </row>
    <row r="5518" spans="1:14" x14ac:dyDescent="0.45">
      <c r="A5518" s="30">
        <v>2025</v>
      </c>
      <c r="B5518" s="30" t="s">
        <v>12</v>
      </c>
      <c r="C5518" s="30" t="s">
        <v>46</v>
      </c>
      <c r="D5518" s="30" t="s">
        <v>47</v>
      </c>
      <c r="E5518" s="31" t="s">
        <v>489</v>
      </c>
      <c r="F5518" s="32" t="s">
        <v>81</v>
      </c>
      <c r="G5518" s="32" t="s">
        <v>50</v>
      </c>
      <c r="H5518" s="33">
        <v>55120</v>
      </c>
      <c r="I5518" s="34">
        <f>Table3[[#This Row],[Volume, kg.]]/1000</f>
        <v>55.12</v>
      </c>
      <c r="J5518" s="34">
        <v>0.1948</v>
      </c>
      <c r="K5518" s="34">
        <f t="shared" si="172"/>
        <v>10737.376</v>
      </c>
      <c r="L5518" s="34">
        <v>1.66</v>
      </c>
      <c r="M5518" s="34">
        <v>91428</v>
      </c>
      <c r="N5518" s="34">
        <f t="shared" si="173"/>
        <v>8.5215605749486656</v>
      </c>
    </row>
    <row r="5519" spans="1:14" x14ac:dyDescent="0.45">
      <c r="A5519" s="30">
        <v>2025</v>
      </c>
      <c r="B5519" s="30" t="s">
        <v>12</v>
      </c>
      <c r="C5519" s="30" t="s">
        <v>46</v>
      </c>
      <c r="D5519" s="30" t="s">
        <v>47</v>
      </c>
      <c r="E5519" s="31" t="s">
        <v>492</v>
      </c>
      <c r="F5519" s="32" t="s">
        <v>57</v>
      </c>
      <c r="G5519" s="32" t="s">
        <v>50</v>
      </c>
      <c r="H5519" s="33">
        <v>136760</v>
      </c>
      <c r="I5519" s="34">
        <f>Table3[[#This Row],[Volume, kg.]]/1000</f>
        <v>136.76</v>
      </c>
      <c r="J5519" s="34">
        <v>0.20199999999999999</v>
      </c>
      <c r="K5519" s="34">
        <f t="shared" si="172"/>
        <v>27625.519999999997</v>
      </c>
      <c r="L5519" s="34">
        <v>1.69</v>
      </c>
      <c r="M5519" s="34">
        <v>231679</v>
      </c>
      <c r="N5519" s="34">
        <f t="shared" si="173"/>
        <v>8.3663366336633676</v>
      </c>
    </row>
    <row r="5520" spans="1:14" x14ac:dyDescent="0.45">
      <c r="A5520" s="30">
        <v>2025</v>
      </c>
      <c r="B5520" s="30" t="s">
        <v>12</v>
      </c>
      <c r="C5520" s="30" t="s">
        <v>46</v>
      </c>
      <c r="D5520" s="30" t="s">
        <v>47</v>
      </c>
      <c r="E5520" s="31" t="s">
        <v>517</v>
      </c>
      <c r="F5520" s="32" t="s">
        <v>57</v>
      </c>
      <c r="G5520" s="32" t="s">
        <v>50</v>
      </c>
      <c r="H5520" s="33">
        <v>23220</v>
      </c>
      <c r="I5520" s="34">
        <f>Table3[[#This Row],[Volume, kg.]]/1000</f>
        <v>23.22</v>
      </c>
      <c r="J5520" s="34">
        <v>0.1986</v>
      </c>
      <c r="K5520" s="34">
        <f t="shared" si="172"/>
        <v>4611.4920000000002</v>
      </c>
      <c r="L5520" s="34">
        <v>1.69</v>
      </c>
      <c r="M5520" s="34">
        <v>39194</v>
      </c>
      <c r="N5520" s="34">
        <f t="shared" si="173"/>
        <v>8.5095669687814706</v>
      </c>
    </row>
    <row r="5521" spans="1:14" x14ac:dyDescent="0.45">
      <c r="A5521" s="30">
        <v>2025</v>
      </c>
      <c r="B5521" s="30" t="s">
        <v>12</v>
      </c>
      <c r="C5521" s="30" t="s">
        <v>46</v>
      </c>
      <c r="D5521" s="30" t="s">
        <v>47</v>
      </c>
      <c r="E5521" s="31" t="s">
        <v>524</v>
      </c>
      <c r="F5521" s="32" t="s">
        <v>49</v>
      </c>
      <c r="G5521" s="32" t="s">
        <v>50</v>
      </c>
      <c r="H5521" s="33">
        <v>7250</v>
      </c>
      <c r="I5521" s="34">
        <f>Table3[[#This Row],[Volume, kg.]]/1000</f>
        <v>7.25</v>
      </c>
      <c r="J5521" s="34">
        <v>0.22450000000000001</v>
      </c>
      <c r="K5521" s="34">
        <f t="shared" si="172"/>
        <v>1627.625</v>
      </c>
      <c r="L5521" s="34">
        <v>1.8</v>
      </c>
      <c r="M5521" s="34">
        <v>13050</v>
      </c>
      <c r="N5521" s="34">
        <f t="shared" si="173"/>
        <v>8.0178173719376389</v>
      </c>
    </row>
    <row r="5522" spans="1:14" x14ac:dyDescent="0.45">
      <c r="A5522" s="30">
        <v>2025</v>
      </c>
      <c r="B5522" s="30" t="s">
        <v>12</v>
      </c>
      <c r="C5522" s="30" t="s">
        <v>46</v>
      </c>
      <c r="D5522" s="30" t="s">
        <v>47</v>
      </c>
      <c r="E5522" s="31" t="s">
        <v>539</v>
      </c>
      <c r="F5522" s="32" t="s">
        <v>57</v>
      </c>
      <c r="G5522" s="32" t="s">
        <v>50</v>
      </c>
      <c r="H5522" s="33">
        <v>6360</v>
      </c>
      <c r="I5522" s="34">
        <f>Table3[[#This Row],[Volume, kg.]]/1000</f>
        <v>6.36</v>
      </c>
      <c r="J5522" s="34">
        <v>0.27100000000000002</v>
      </c>
      <c r="K5522" s="34">
        <f t="shared" si="172"/>
        <v>1723.5600000000002</v>
      </c>
      <c r="L5522" s="34">
        <v>1.95</v>
      </c>
      <c r="M5522" s="34">
        <v>12402</v>
      </c>
      <c r="N5522" s="34">
        <f t="shared" si="173"/>
        <v>7.1955719557195561</v>
      </c>
    </row>
    <row r="5523" spans="1:14" x14ac:dyDescent="0.45">
      <c r="A5523" s="30">
        <v>2025</v>
      </c>
      <c r="B5523" s="30" t="s">
        <v>12</v>
      </c>
      <c r="C5523" s="30" t="s">
        <v>46</v>
      </c>
      <c r="D5523" s="30" t="s">
        <v>47</v>
      </c>
      <c r="E5523" s="31" t="s">
        <v>553</v>
      </c>
      <c r="F5523" s="32" t="s">
        <v>238</v>
      </c>
      <c r="G5523" s="32" t="s">
        <v>50</v>
      </c>
      <c r="H5523" s="33">
        <v>14140</v>
      </c>
      <c r="I5523" s="34">
        <f>Table3[[#This Row],[Volume, kg.]]/1000</f>
        <v>14.14</v>
      </c>
      <c r="J5523" s="34">
        <v>0.188</v>
      </c>
      <c r="K5523" s="34">
        <f t="shared" si="172"/>
        <v>2658.32</v>
      </c>
      <c r="L5523" s="34">
        <v>1.65</v>
      </c>
      <c r="M5523" s="34">
        <v>23331</v>
      </c>
      <c r="N5523" s="34">
        <f t="shared" si="173"/>
        <v>8.7765957446808507</v>
      </c>
    </row>
    <row r="5524" spans="1:14" x14ac:dyDescent="0.45">
      <c r="A5524" s="30">
        <v>2025</v>
      </c>
      <c r="B5524" s="30" t="s">
        <v>12</v>
      </c>
      <c r="C5524" s="30" t="s">
        <v>46</v>
      </c>
      <c r="D5524" s="30" t="s">
        <v>102</v>
      </c>
      <c r="E5524" s="31" t="s">
        <v>552</v>
      </c>
      <c r="F5524" s="32" t="s">
        <v>238</v>
      </c>
      <c r="G5524" s="32" t="s">
        <v>50</v>
      </c>
      <c r="H5524" s="33">
        <v>218910</v>
      </c>
      <c r="I5524" s="34">
        <f>Table3[[#This Row],[Volume, kg.]]/1000</f>
        <v>218.91</v>
      </c>
      <c r="J5524" s="34">
        <v>0.19149999999999998</v>
      </c>
      <c r="K5524" s="34">
        <f t="shared" si="172"/>
        <v>41921.264999999992</v>
      </c>
      <c r="L5524" s="34">
        <v>1.65</v>
      </c>
      <c r="M5524" s="34">
        <v>361050.5</v>
      </c>
      <c r="N5524" s="34">
        <f t="shared" si="173"/>
        <v>8.6161879895561366</v>
      </c>
    </row>
    <row r="5525" spans="1:14" x14ac:dyDescent="0.45">
      <c r="A5525" s="30">
        <v>2025</v>
      </c>
      <c r="B5525" s="30" t="s">
        <v>12</v>
      </c>
      <c r="C5525" s="30" t="s">
        <v>46</v>
      </c>
      <c r="D5525" s="30" t="s">
        <v>47</v>
      </c>
      <c r="E5525" s="31" t="s">
        <v>587</v>
      </c>
      <c r="F5525" s="32" t="s">
        <v>223</v>
      </c>
      <c r="G5525" s="32" t="s">
        <v>50</v>
      </c>
      <c r="H5525" s="33">
        <v>45340</v>
      </c>
      <c r="I5525" s="34">
        <f>Table3[[#This Row],[Volume, kg.]]/1000</f>
        <v>45.34</v>
      </c>
      <c r="J5525" s="34">
        <v>0.2195</v>
      </c>
      <c r="K5525" s="34">
        <f t="shared" si="172"/>
        <v>9952.1299999999992</v>
      </c>
      <c r="L5525" s="34">
        <v>1.77</v>
      </c>
      <c r="M5525" s="34">
        <v>80446.5</v>
      </c>
      <c r="N5525" s="34">
        <f t="shared" si="173"/>
        <v>8.0637813211845106</v>
      </c>
    </row>
    <row r="5526" spans="1:14" x14ac:dyDescent="0.45">
      <c r="A5526" s="30">
        <v>2025</v>
      </c>
      <c r="B5526" s="30" t="s">
        <v>12</v>
      </c>
      <c r="C5526" s="30" t="s">
        <v>46</v>
      </c>
      <c r="D5526" s="30" t="s">
        <v>47</v>
      </c>
      <c r="E5526" s="31" t="s">
        <v>588</v>
      </c>
      <c r="F5526" s="32" t="s">
        <v>223</v>
      </c>
      <c r="G5526" s="32" t="s">
        <v>50</v>
      </c>
      <c r="H5526" s="33">
        <v>19360</v>
      </c>
      <c r="I5526" s="34">
        <f>Table3[[#This Row],[Volume, kg.]]/1000</f>
        <v>19.36</v>
      </c>
      <c r="J5526" s="34">
        <v>0.17190000000000003</v>
      </c>
      <c r="K5526" s="34">
        <f t="shared" si="172"/>
        <v>3327.9840000000004</v>
      </c>
      <c r="L5526" s="34">
        <v>1.5</v>
      </c>
      <c r="M5526" s="34">
        <v>29060</v>
      </c>
      <c r="N5526" s="34">
        <f t="shared" si="173"/>
        <v>8.7260034904013946</v>
      </c>
    </row>
    <row r="5527" spans="1:14" x14ac:dyDescent="0.45">
      <c r="A5527" s="30">
        <v>2025</v>
      </c>
      <c r="B5527" s="30" t="s">
        <v>12</v>
      </c>
      <c r="C5527" s="30" t="s">
        <v>46</v>
      </c>
      <c r="D5527" s="30" t="s">
        <v>47</v>
      </c>
      <c r="E5527" s="31" t="s">
        <v>590</v>
      </c>
      <c r="F5527" s="32" t="s">
        <v>49</v>
      </c>
      <c r="G5527" s="32" t="s">
        <v>50</v>
      </c>
      <c r="H5527" s="33">
        <v>45800</v>
      </c>
      <c r="I5527" s="34">
        <f>Table3[[#This Row],[Volume, kg.]]/1000</f>
        <v>45.8</v>
      </c>
      <c r="J5527" s="34">
        <v>0.21340000000000001</v>
      </c>
      <c r="K5527" s="34">
        <f t="shared" si="172"/>
        <v>9773.7200000000012</v>
      </c>
      <c r="L5527" s="34">
        <v>1.7</v>
      </c>
      <c r="M5527" s="34">
        <v>77969</v>
      </c>
      <c r="N5527" s="34">
        <f t="shared" si="173"/>
        <v>7.9662605435801304</v>
      </c>
    </row>
    <row r="5528" spans="1:14" x14ac:dyDescent="0.45">
      <c r="A5528" s="30">
        <v>2025</v>
      </c>
      <c r="B5528" s="30" t="s">
        <v>12</v>
      </c>
      <c r="C5528" s="30" t="s">
        <v>46</v>
      </c>
      <c r="D5528" s="30" t="s">
        <v>47</v>
      </c>
      <c r="E5528" s="31" t="s">
        <v>592</v>
      </c>
      <c r="F5528" s="32" t="s">
        <v>223</v>
      </c>
      <c r="G5528" s="32" t="s">
        <v>50</v>
      </c>
      <c r="H5528" s="33">
        <v>75810</v>
      </c>
      <c r="I5528" s="34">
        <f>Table3[[#This Row],[Volume, kg.]]/1000</f>
        <v>75.81</v>
      </c>
      <c r="J5528" s="34">
        <v>0.2069</v>
      </c>
      <c r="K5528" s="34">
        <f t="shared" si="172"/>
        <v>15685.089</v>
      </c>
      <c r="L5528" s="34">
        <v>1.73</v>
      </c>
      <c r="M5528" s="34">
        <v>130810.5</v>
      </c>
      <c r="N5528" s="34">
        <f t="shared" si="173"/>
        <v>8.3615273078782018</v>
      </c>
    </row>
    <row r="5529" spans="1:14" x14ac:dyDescent="0.45">
      <c r="A5529" s="30">
        <v>2025</v>
      </c>
      <c r="B5529" s="30" t="s">
        <v>12</v>
      </c>
      <c r="C5529" s="30" t="s">
        <v>46</v>
      </c>
      <c r="D5529" s="30" t="s">
        <v>47</v>
      </c>
      <c r="E5529" s="31" t="s">
        <v>593</v>
      </c>
      <c r="F5529" s="32" t="s">
        <v>49</v>
      </c>
      <c r="G5529" s="32" t="s">
        <v>50</v>
      </c>
      <c r="H5529" s="33">
        <v>28520</v>
      </c>
      <c r="I5529" s="34">
        <f>Table3[[#This Row],[Volume, kg.]]/1000</f>
        <v>28.52</v>
      </c>
      <c r="J5529" s="34">
        <v>0.2127</v>
      </c>
      <c r="K5529" s="34">
        <f t="shared" si="172"/>
        <v>6066.2039999999997</v>
      </c>
      <c r="L5529" s="34">
        <v>1.75</v>
      </c>
      <c r="M5529" s="34">
        <v>49782</v>
      </c>
      <c r="N5529" s="34">
        <f t="shared" si="173"/>
        <v>8.2275505406676075</v>
      </c>
    </row>
    <row r="5530" spans="1:14" x14ac:dyDescent="0.45">
      <c r="A5530" s="30">
        <v>2025</v>
      </c>
      <c r="B5530" s="30" t="s">
        <v>12</v>
      </c>
      <c r="C5530" s="30" t="s">
        <v>46</v>
      </c>
      <c r="D5530" s="30" t="s">
        <v>47</v>
      </c>
      <c r="E5530" s="31" t="s">
        <v>612</v>
      </c>
      <c r="F5530" s="32" t="s">
        <v>57</v>
      </c>
      <c r="G5530" s="32" t="s">
        <v>50</v>
      </c>
      <c r="H5530" s="33">
        <v>82790</v>
      </c>
      <c r="I5530" s="34">
        <f>Table3[[#This Row],[Volume, kg.]]/1000</f>
        <v>82.79</v>
      </c>
      <c r="J5530" s="34">
        <v>0.21960000000000002</v>
      </c>
      <c r="K5530" s="34">
        <f t="shared" si="172"/>
        <v>18180.684000000001</v>
      </c>
      <c r="L5530" s="34">
        <v>1.78</v>
      </c>
      <c r="M5530" s="34">
        <v>147705</v>
      </c>
      <c r="N5530" s="34">
        <f t="shared" si="173"/>
        <v>8.1056466302367944</v>
      </c>
    </row>
    <row r="5531" spans="1:14" x14ac:dyDescent="0.45">
      <c r="A5531" s="30">
        <v>2025</v>
      </c>
      <c r="B5531" s="30" t="s">
        <v>12</v>
      </c>
      <c r="C5531" s="30" t="s">
        <v>46</v>
      </c>
      <c r="D5531" s="30" t="s">
        <v>47</v>
      </c>
      <c r="E5531" s="31" t="s">
        <v>604</v>
      </c>
      <c r="F5531" s="32" t="s">
        <v>134</v>
      </c>
      <c r="G5531" s="32" t="s">
        <v>50</v>
      </c>
      <c r="H5531" s="33">
        <v>20230</v>
      </c>
      <c r="I5531" s="34">
        <f>Table3[[#This Row],[Volume, kg.]]/1000</f>
        <v>20.23</v>
      </c>
      <c r="J5531" s="34">
        <v>0.2145</v>
      </c>
      <c r="K5531" s="34">
        <f t="shared" si="172"/>
        <v>4339.335</v>
      </c>
      <c r="L5531" s="34">
        <v>1.77</v>
      </c>
      <c r="M5531" s="34">
        <v>35904</v>
      </c>
      <c r="N5531" s="34">
        <f t="shared" si="173"/>
        <v>8.2517482517482517</v>
      </c>
    </row>
    <row r="5532" spans="1:14" x14ac:dyDescent="0.45">
      <c r="A5532" s="30">
        <v>2025</v>
      </c>
      <c r="B5532" s="30" t="s">
        <v>12</v>
      </c>
      <c r="C5532" s="30" t="s">
        <v>46</v>
      </c>
      <c r="D5532" s="30" t="s">
        <v>47</v>
      </c>
      <c r="E5532" s="31" t="s">
        <v>606</v>
      </c>
      <c r="F5532" s="32" t="s">
        <v>49</v>
      </c>
      <c r="G5532" s="32" t="s">
        <v>50</v>
      </c>
      <c r="H5532" s="33">
        <v>56330</v>
      </c>
      <c r="I5532" s="34">
        <f>Table3[[#This Row],[Volume, kg.]]/1000</f>
        <v>56.33</v>
      </c>
      <c r="J5532" s="34">
        <v>0.18719999999999998</v>
      </c>
      <c r="K5532" s="34">
        <f t="shared" si="172"/>
        <v>10544.975999999999</v>
      </c>
      <c r="L5532" s="34">
        <v>1.59</v>
      </c>
      <c r="M5532" s="34">
        <v>89380</v>
      </c>
      <c r="N5532" s="34">
        <f t="shared" si="173"/>
        <v>8.4935897435897445</v>
      </c>
    </row>
    <row r="5533" spans="1:14" x14ac:dyDescent="0.45">
      <c r="A5533" s="30">
        <v>2025</v>
      </c>
      <c r="B5533" s="30" t="s">
        <v>12</v>
      </c>
      <c r="C5533" s="30" t="s">
        <v>46</v>
      </c>
      <c r="D5533" s="30" t="s">
        <v>47</v>
      </c>
      <c r="E5533" s="31" t="s">
        <v>607</v>
      </c>
      <c r="F5533" s="32" t="s">
        <v>81</v>
      </c>
      <c r="G5533" s="32" t="s">
        <v>50</v>
      </c>
      <c r="H5533" s="33">
        <v>37280</v>
      </c>
      <c r="I5533" s="34">
        <f>Table3[[#This Row],[Volume, kg.]]/1000</f>
        <v>37.28</v>
      </c>
      <c r="J5533" s="34">
        <v>0.19309999999999999</v>
      </c>
      <c r="K5533" s="34">
        <f t="shared" si="172"/>
        <v>7198.768</v>
      </c>
      <c r="L5533" s="34">
        <v>1.56</v>
      </c>
      <c r="M5533" s="34">
        <v>58307</v>
      </c>
      <c r="N5533" s="34">
        <f t="shared" si="173"/>
        <v>8.0787156913516327</v>
      </c>
    </row>
    <row r="5534" spans="1:14" x14ac:dyDescent="0.45">
      <c r="A5534" s="30">
        <v>2025</v>
      </c>
      <c r="B5534" s="30" t="s">
        <v>12</v>
      </c>
      <c r="C5534" s="30" t="s">
        <v>46</v>
      </c>
      <c r="D5534" s="30" t="s">
        <v>47</v>
      </c>
      <c r="E5534" s="31" t="s">
        <v>614</v>
      </c>
      <c r="F5534" s="32" t="s">
        <v>223</v>
      </c>
      <c r="G5534" s="32" t="s">
        <v>50</v>
      </c>
      <c r="H5534" s="33">
        <v>107240</v>
      </c>
      <c r="I5534" s="34">
        <f>Table3[[#This Row],[Volume, kg.]]/1000</f>
        <v>107.24</v>
      </c>
      <c r="J5534" s="34">
        <v>0.21729999999999999</v>
      </c>
      <c r="K5534" s="34">
        <f t="shared" si="172"/>
        <v>23303.252</v>
      </c>
      <c r="L5534" s="34">
        <v>1.75</v>
      </c>
      <c r="M5534" s="34">
        <v>187602.5</v>
      </c>
      <c r="N5534" s="34">
        <f t="shared" si="173"/>
        <v>8.0533824206166589</v>
      </c>
    </row>
    <row r="5535" spans="1:14" x14ac:dyDescent="0.45">
      <c r="A5535" s="30">
        <v>2025</v>
      </c>
      <c r="B5535" s="30" t="s">
        <v>12</v>
      </c>
      <c r="C5535" s="30" t="s">
        <v>46</v>
      </c>
      <c r="D5535" s="30" t="s">
        <v>47</v>
      </c>
      <c r="E5535" s="31" t="s">
        <v>615</v>
      </c>
      <c r="F5535" s="32" t="s">
        <v>134</v>
      </c>
      <c r="G5535" s="32" t="s">
        <v>50</v>
      </c>
      <c r="H5535" s="33">
        <v>26630</v>
      </c>
      <c r="I5535" s="34">
        <f>Table3[[#This Row],[Volume, kg.]]/1000</f>
        <v>26.63</v>
      </c>
      <c r="J5535" s="34">
        <v>0.24</v>
      </c>
      <c r="K5535" s="34">
        <f t="shared" si="172"/>
        <v>6391.2</v>
      </c>
      <c r="L5535" s="34">
        <v>1.89</v>
      </c>
      <c r="M5535" s="34">
        <v>50362.5</v>
      </c>
      <c r="N5535" s="34">
        <f t="shared" si="173"/>
        <v>7.875</v>
      </c>
    </row>
    <row r="5536" spans="1:14" x14ac:dyDescent="0.45">
      <c r="A5536" s="30">
        <v>2025</v>
      </c>
      <c r="B5536" s="30" t="s">
        <v>12</v>
      </c>
      <c r="C5536" s="30" t="s">
        <v>46</v>
      </c>
      <c r="D5536" s="30" t="s">
        <v>47</v>
      </c>
      <c r="E5536" s="31" t="s">
        <v>619</v>
      </c>
      <c r="F5536" s="32" t="s">
        <v>81</v>
      </c>
      <c r="G5536" s="32" t="s">
        <v>50</v>
      </c>
      <c r="H5536" s="33">
        <v>63920</v>
      </c>
      <c r="I5536" s="34">
        <f>Table3[[#This Row],[Volume, kg.]]/1000</f>
        <v>63.92</v>
      </c>
      <c r="J5536" s="34">
        <v>0.2336</v>
      </c>
      <c r="K5536" s="34">
        <f t="shared" si="172"/>
        <v>14931.712</v>
      </c>
      <c r="L5536" s="34">
        <v>1.83</v>
      </c>
      <c r="M5536" s="34">
        <v>117261.5</v>
      </c>
      <c r="N5536" s="34">
        <f t="shared" si="173"/>
        <v>7.8339041095890414</v>
      </c>
    </row>
    <row r="5537" spans="1:14" x14ac:dyDescent="0.45">
      <c r="A5537" s="30">
        <v>2025</v>
      </c>
      <c r="B5537" s="30" t="s">
        <v>12</v>
      </c>
      <c r="C5537" s="30" t="s">
        <v>46</v>
      </c>
      <c r="D5537" s="30" t="s">
        <v>47</v>
      </c>
      <c r="E5537" s="31" t="s">
        <v>620</v>
      </c>
      <c r="F5537" s="32" t="s">
        <v>134</v>
      </c>
      <c r="G5537" s="32" t="s">
        <v>50</v>
      </c>
      <c r="H5537" s="33">
        <v>14640</v>
      </c>
      <c r="I5537" s="34">
        <f>Table3[[#This Row],[Volume, kg.]]/1000</f>
        <v>14.64</v>
      </c>
      <c r="J5537" s="34">
        <v>0.2195</v>
      </c>
      <c r="K5537" s="34">
        <f t="shared" si="172"/>
        <v>3213.48</v>
      </c>
      <c r="L5537" s="34">
        <v>1.8</v>
      </c>
      <c r="M5537" s="34">
        <v>26352</v>
      </c>
      <c r="N5537" s="34">
        <f t="shared" si="173"/>
        <v>8.2004555808656043</v>
      </c>
    </row>
    <row r="5538" spans="1:14" x14ac:dyDescent="0.45">
      <c r="A5538" s="30">
        <v>2025</v>
      </c>
      <c r="B5538" s="30" t="s">
        <v>12</v>
      </c>
      <c r="C5538" s="30" t="s">
        <v>46</v>
      </c>
      <c r="D5538" s="30" t="s">
        <v>47</v>
      </c>
      <c r="E5538" s="31" t="s">
        <v>632</v>
      </c>
      <c r="F5538" s="32" t="s">
        <v>134</v>
      </c>
      <c r="G5538" s="32" t="s">
        <v>50</v>
      </c>
      <c r="H5538" s="33">
        <v>95370</v>
      </c>
      <c r="I5538" s="34">
        <f>Table3[[#This Row],[Volume, kg.]]/1000</f>
        <v>95.37</v>
      </c>
      <c r="J5538" s="34">
        <v>0.21170000000000003</v>
      </c>
      <c r="K5538" s="34">
        <f t="shared" si="172"/>
        <v>20189.829000000002</v>
      </c>
      <c r="L5538" s="34">
        <v>1.73</v>
      </c>
      <c r="M5538" s="34">
        <v>165309</v>
      </c>
      <c r="N5538" s="34">
        <f t="shared" si="173"/>
        <v>8.171941426546999</v>
      </c>
    </row>
    <row r="5539" spans="1:14" x14ac:dyDescent="0.45">
      <c r="A5539" s="30">
        <v>2025</v>
      </c>
      <c r="B5539" s="30" t="s">
        <v>12</v>
      </c>
      <c r="C5539" s="30" t="s">
        <v>46</v>
      </c>
      <c r="D5539" s="30" t="s">
        <v>47</v>
      </c>
      <c r="E5539" s="31" t="s">
        <v>643</v>
      </c>
      <c r="F5539" s="32" t="s">
        <v>57</v>
      </c>
      <c r="G5539" s="32" t="s">
        <v>50</v>
      </c>
      <c r="H5539" s="33">
        <v>7570</v>
      </c>
      <c r="I5539" s="34">
        <f>Table3[[#This Row],[Volume, kg.]]/1000</f>
        <v>7.57</v>
      </c>
      <c r="J5539" s="34">
        <v>0.21</v>
      </c>
      <c r="K5539" s="34">
        <f t="shared" si="172"/>
        <v>1589.7</v>
      </c>
      <c r="L5539" s="34">
        <v>1.75</v>
      </c>
      <c r="M5539" s="34">
        <v>13247.5</v>
      </c>
      <c r="N5539" s="34">
        <f t="shared" si="173"/>
        <v>8.3333333333333339</v>
      </c>
    </row>
    <row r="5540" spans="1:14" x14ac:dyDescent="0.45">
      <c r="A5540" s="30">
        <v>2025</v>
      </c>
      <c r="B5540" s="30" t="s">
        <v>12</v>
      </c>
      <c r="C5540" s="30" t="s">
        <v>46</v>
      </c>
      <c r="D5540" s="30" t="s">
        <v>47</v>
      </c>
      <c r="E5540" s="31" t="s">
        <v>648</v>
      </c>
      <c r="F5540" s="32" t="s">
        <v>57</v>
      </c>
      <c r="G5540" s="32" t="s">
        <v>50</v>
      </c>
      <c r="H5540" s="33">
        <v>37800</v>
      </c>
      <c r="I5540" s="34">
        <f>Table3[[#This Row],[Volume, kg.]]/1000</f>
        <v>37.799999999999997</v>
      </c>
      <c r="J5540" s="34">
        <v>0.19329999999999997</v>
      </c>
      <c r="K5540" s="34">
        <f t="shared" si="172"/>
        <v>7306.7399999999989</v>
      </c>
      <c r="L5540" s="34">
        <v>1.64</v>
      </c>
      <c r="M5540" s="34">
        <v>62035.5</v>
      </c>
      <c r="N5540" s="34">
        <f t="shared" si="173"/>
        <v>8.4842214174857737</v>
      </c>
    </row>
    <row r="5541" spans="1:14" x14ac:dyDescent="0.45">
      <c r="A5541" s="30">
        <v>2025</v>
      </c>
      <c r="B5541" s="30" t="s">
        <v>12</v>
      </c>
      <c r="C5541" s="30" t="s">
        <v>46</v>
      </c>
      <c r="D5541" s="30" t="s">
        <v>47</v>
      </c>
      <c r="E5541" s="31" t="s">
        <v>651</v>
      </c>
      <c r="F5541" s="32" t="s">
        <v>223</v>
      </c>
      <c r="G5541" s="32" t="s">
        <v>50</v>
      </c>
      <c r="H5541" s="33">
        <v>100960</v>
      </c>
      <c r="I5541" s="34">
        <f>Table3[[#This Row],[Volume, kg.]]/1000</f>
        <v>100.96</v>
      </c>
      <c r="J5541" s="34">
        <v>0.221</v>
      </c>
      <c r="K5541" s="34">
        <f t="shared" si="172"/>
        <v>22312.16</v>
      </c>
      <c r="L5541" s="34">
        <v>1.77</v>
      </c>
      <c r="M5541" s="34">
        <v>179149</v>
      </c>
      <c r="N5541" s="34">
        <f t="shared" si="173"/>
        <v>8.0090497737556561</v>
      </c>
    </row>
    <row r="5542" spans="1:14" x14ac:dyDescent="0.45">
      <c r="A5542" s="30">
        <v>2025</v>
      </c>
      <c r="B5542" s="30" t="s">
        <v>12</v>
      </c>
      <c r="C5542" s="30" t="s">
        <v>46</v>
      </c>
      <c r="D5542" s="30" t="s">
        <v>47</v>
      </c>
      <c r="E5542" s="31" t="s">
        <v>663</v>
      </c>
      <c r="F5542" s="32" t="s">
        <v>49</v>
      </c>
      <c r="G5542" s="32" t="s">
        <v>50</v>
      </c>
      <c r="H5542" s="33">
        <v>5970</v>
      </c>
      <c r="I5542" s="34">
        <f>Table3[[#This Row],[Volume, kg.]]/1000</f>
        <v>5.97</v>
      </c>
      <c r="J5542" s="34">
        <v>0.2145</v>
      </c>
      <c r="K5542" s="34">
        <f t="shared" si="172"/>
        <v>1280.5650000000001</v>
      </c>
      <c r="L5542" s="34">
        <v>1.7</v>
      </c>
      <c r="M5542" s="34">
        <v>10149</v>
      </c>
      <c r="N5542" s="34">
        <f t="shared" si="173"/>
        <v>7.9254079254079253</v>
      </c>
    </row>
    <row r="5543" spans="1:14" x14ac:dyDescent="0.45">
      <c r="A5543" s="30">
        <v>2025</v>
      </c>
      <c r="B5543" s="30" t="s">
        <v>12</v>
      </c>
      <c r="C5543" s="30" t="s">
        <v>46</v>
      </c>
      <c r="D5543" s="30" t="s">
        <v>102</v>
      </c>
      <c r="E5543" s="31" t="s">
        <v>665</v>
      </c>
      <c r="F5543" s="32" t="s">
        <v>487</v>
      </c>
      <c r="G5543" s="32" t="s">
        <v>341</v>
      </c>
      <c r="H5543" s="33">
        <v>1311390</v>
      </c>
      <c r="I5543" s="34">
        <f>Table3[[#This Row],[Volume, kg.]]/1000</f>
        <v>1311.39</v>
      </c>
      <c r="J5543" s="34">
        <v>0.19820000000000002</v>
      </c>
      <c r="K5543" s="34">
        <f t="shared" si="172"/>
        <v>259917.49800000002</v>
      </c>
      <c r="L5543" s="34">
        <v>1.68</v>
      </c>
      <c r="M5543" s="34">
        <v>2199940</v>
      </c>
      <c r="N5543" s="34">
        <f t="shared" si="173"/>
        <v>8.4762865792129158</v>
      </c>
    </row>
    <row r="5544" spans="1:14" x14ac:dyDescent="0.45">
      <c r="A5544" s="30">
        <v>2025</v>
      </c>
      <c r="B5544" s="30" t="s">
        <v>12</v>
      </c>
      <c r="C5544" s="30" t="s">
        <v>46</v>
      </c>
      <c r="D5544" s="30" t="s">
        <v>47</v>
      </c>
      <c r="E5544" s="31" t="s">
        <v>672</v>
      </c>
      <c r="F5544" s="32" t="s">
        <v>134</v>
      </c>
      <c r="G5544" s="32" t="s">
        <v>50</v>
      </c>
      <c r="H5544" s="33">
        <v>10880</v>
      </c>
      <c r="I5544" s="34">
        <f>Table3[[#This Row],[Volume, kg.]]/1000</f>
        <v>10.88</v>
      </c>
      <c r="J5544" s="34">
        <v>0.20899999999999999</v>
      </c>
      <c r="K5544" s="34">
        <f t="shared" si="172"/>
        <v>2273.92</v>
      </c>
      <c r="L5544" s="34">
        <v>1.7</v>
      </c>
      <c r="M5544" s="34">
        <v>18496</v>
      </c>
      <c r="N5544" s="34">
        <f t="shared" si="173"/>
        <v>8.133971291866029</v>
      </c>
    </row>
    <row r="5545" spans="1:14" x14ac:dyDescent="0.45">
      <c r="A5545" s="30">
        <v>2025</v>
      </c>
      <c r="B5545" s="30" t="s">
        <v>12</v>
      </c>
      <c r="C5545" s="30" t="s">
        <v>46</v>
      </c>
      <c r="D5545" s="30" t="s">
        <v>47</v>
      </c>
      <c r="E5545" s="31" t="s">
        <v>673</v>
      </c>
      <c r="F5545" s="32" t="s">
        <v>49</v>
      </c>
      <c r="G5545" s="32" t="s">
        <v>50</v>
      </c>
      <c r="H5545" s="33">
        <v>17150</v>
      </c>
      <c r="I5545" s="34">
        <f>Table3[[#This Row],[Volume, kg.]]/1000</f>
        <v>17.149999999999999</v>
      </c>
      <c r="J5545" s="34">
        <v>0.1555</v>
      </c>
      <c r="K5545" s="34">
        <f t="shared" ref="K5545:K5608" si="174">H5545*J5545</f>
        <v>2666.8249999999998</v>
      </c>
      <c r="L5545" s="34">
        <v>1.4</v>
      </c>
      <c r="M5545" s="34">
        <v>24010</v>
      </c>
      <c r="N5545" s="34">
        <f t="shared" ref="N5545:N5608" si="175">L5545/J5545</f>
        <v>9.0032154340836001</v>
      </c>
    </row>
    <row r="5546" spans="1:14" x14ac:dyDescent="0.45">
      <c r="A5546" s="30">
        <v>2025</v>
      </c>
      <c r="B5546" s="30" t="s">
        <v>12</v>
      </c>
      <c r="C5546" s="30" t="s">
        <v>46</v>
      </c>
      <c r="D5546" s="30" t="s">
        <v>47</v>
      </c>
      <c r="E5546" s="31" t="s">
        <v>676</v>
      </c>
      <c r="F5546" s="32" t="s">
        <v>60</v>
      </c>
      <c r="G5546" s="32" t="s">
        <v>50</v>
      </c>
      <c r="H5546" s="33">
        <v>36240</v>
      </c>
      <c r="I5546" s="34">
        <f>Table3[[#This Row],[Volume, kg.]]/1000</f>
        <v>36.24</v>
      </c>
      <c r="J5546" s="34">
        <v>0.24399999999999999</v>
      </c>
      <c r="K5546" s="34">
        <f t="shared" si="174"/>
        <v>8842.56</v>
      </c>
      <c r="L5546" s="34">
        <v>1.91</v>
      </c>
      <c r="M5546" s="34">
        <v>69041</v>
      </c>
      <c r="N5546" s="34">
        <f t="shared" si="175"/>
        <v>7.8278688524590159</v>
      </c>
    </row>
    <row r="5547" spans="1:14" x14ac:dyDescent="0.45">
      <c r="A5547" s="30">
        <v>2025</v>
      </c>
      <c r="B5547" s="30" t="s">
        <v>12</v>
      </c>
      <c r="C5547" s="30" t="s">
        <v>46</v>
      </c>
      <c r="D5547" s="30" t="s">
        <v>102</v>
      </c>
      <c r="E5547" s="31" t="s">
        <v>695</v>
      </c>
      <c r="F5547" s="32" t="s">
        <v>696</v>
      </c>
      <c r="G5547" s="32" t="s">
        <v>557</v>
      </c>
      <c r="H5547" s="33">
        <v>96330</v>
      </c>
      <c r="I5547" s="34">
        <f>Table3[[#This Row],[Volume, kg.]]/1000</f>
        <v>96.33</v>
      </c>
      <c r="J5547" s="34">
        <v>0.17319999999999999</v>
      </c>
      <c r="K5547" s="34">
        <f t="shared" si="174"/>
        <v>16684.356</v>
      </c>
      <c r="L5547" s="34">
        <v>1.52</v>
      </c>
      <c r="M5547" s="34">
        <v>146826</v>
      </c>
      <c r="N5547" s="34">
        <f t="shared" si="175"/>
        <v>8.7759815242494223</v>
      </c>
    </row>
    <row r="5548" spans="1:14" x14ac:dyDescent="0.45">
      <c r="A5548" s="30">
        <v>2025</v>
      </c>
      <c r="B5548" s="30" t="s">
        <v>12</v>
      </c>
      <c r="C5548" s="30" t="s">
        <v>46</v>
      </c>
      <c r="D5548" s="30" t="s">
        <v>47</v>
      </c>
      <c r="E5548" s="31" t="s">
        <v>686</v>
      </c>
      <c r="F5548" s="32" t="s">
        <v>49</v>
      </c>
      <c r="G5548" s="32" t="s">
        <v>50</v>
      </c>
      <c r="H5548" s="33">
        <v>59780</v>
      </c>
      <c r="I5548" s="34">
        <f>Table3[[#This Row],[Volume, kg.]]/1000</f>
        <v>59.78</v>
      </c>
      <c r="J5548" s="34">
        <v>0.19690000000000002</v>
      </c>
      <c r="K5548" s="34">
        <f t="shared" si="174"/>
        <v>11770.682000000001</v>
      </c>
      <c r="L5548" s="34">
        <v>1.69</v>
      </c>
      <c r="M5548" s="34">
        <v>100856.5</v>
      </c>
      <c r="N5548" s="34">
        <f t="shared" si="175"/>
        <v>8.5830370746571845</v>
      </c>
    </row>
    <row r="5549" spans="1:14" x14ac:dyDescent="0.45">
      <c r="A5549" s="30">
        <v>2025</v>
      </c>
      <c r="B5549" s="30" t="s">
        <v>12</v>
      </c>
      <c r="C5549" s="30" t="s">
        <v>46</v>
      </c>
      <c r="D5549" s="30" t="s">
        <v>47</v>
      </c>
      <c r="E5549" s="31" t="s">
        <v>687</v>
      </c>
      <c r="F5549" s="32" t="s">
        <v>49</v>
      </c>
      <c r="G5549" s="32" t="s">
        <v>50</v>
      </c>
      <c r="H5549" s="33">
        <v>13250</v>
      </c>
      <c r="I5549" s="34">
        <f>Table3[[#This Row],[Volume, kg.]]/1000</f>
        <v>13.25</v>
      </c>
      <c r="J5549" s="34">
        <v>0.20899999999999999</v>
      </c>
      <c r="K5549" s="34">
        <f t="shared" si="174"/>
        <v>2769.25</v>
      </c>
      <c r="L5549" s="34">
        <v>1.75</v>
      </c>
      <c r="M5549" s="34">
        <v>23187.5</v>
      </c>
      <c r="N5549" s="34">
        <f t="shared" si="175"/>
        <v>8.3732057416267942</v>
      </c>
    </row>
    <row r="5550" spans="1:14" x14ac:dyDescent="0.45">
      <c r="A5550" s="30">
        <v>2025</v>
      </c>
      <c r="B5550" s="30" t="s">
        <v>12</v>
      </c>
      <c r="C5550" s="30" t="s">
        <v>46</v>
      </c>
      <c r="D5550" s="30" t="s">
        <v>47</v>
      </c>
      <c r="E5550" s="31" t="s">
        <v>688</v>
      </c>
      <c r="F5550" s="32" t="s">
        <v>60</v>
      </c>
      <c r="G5550" s="32" t="s">
        <v>50</v>
      </c>
      <c r="H5550" s="33">
        <v>4190</v>
      </c>
      <c r="I5550" s="34">
        <f>Table3[[#This Row],[Volume, kg.]]/1000</f>
        <v>4.1900000000000004</v>
      </c>
      <c r="J5550" s="34">
        <v>0.23399999999999999</v>
      </c>
      <c r="K5550" s="34">
        <f t="shared" si="174"/>
        <v>980.45999999999992</v>
      </c>
      <c r="L5550" s="34">
        <v>1.85</v>
      </c>
      <c r="M5550" s="34">
        <v>7751.5</v>
      </c>
      <c r="N5550" s="34">
        <f t="shared" si="175"/>
        <v>7.9059829059829072</v>
      </c>
    </row>
    <row r="5551" spans="1:14" x14ac:dyDescent="0.45">
      <c r="A5551" s="30">
        <v>2025</v>
      </c>
      <c r="B5551" s="30" t="s">
        <v>12</v>
      </c>
      <c r="C5551" s="30" t="s">
        <v>46</v>
      </c>
      <c r="D5551" s="30" t="s">
        <v>47</v>
      </c>
      <c r="E5551" s="31" t="s">
        <v>716</v>
      </c>
      <c r="F5551" s="32" t="s">
        <v>134</v>
      </c>
      <c r="G5551" s="32" t="s">
        <v>50</v>
      </c>
      <c r="H5551" s="33">
        <v>64520</v>
      </c>
      <c r="I5551" s="34">
        <f>Table3[[#This Row],[Volume, kg.]]/1000</f>
        <v>64.52</v>
      </c>
      <c r="J5551" s="34">
        <v>0.20280000000000001</v>
      </c>
      <c r="K5551" s="34">
        <f t="shared" si="174"/>
        <v>13084.656000000001</v>
      </c>
      <c r="L5551" s="34">
        <v>1.69</v>
      </c>
      <c r="M5551" s="34">
        <v>108768.5</v>
      </c>
      <c r="N5551" s="34">
        <f t="shared" si="175"/>
        <v>8.3333333333333321</v>
      </c>
    </row>
    <row r="5552" spans="1:14" x14ac:dyDescent="0.45">
      <c r="A5552" s="30">
        <v>2025</v>
      </c>
      <c r="B5552" s="30" t="s">
        <v>12</v>
      </c>
      <c r="C5552" s="30" t="s">
        <v>46</v>
      </c>
      <c r="D5552" s="30" t="s">
        <v>102</v>
      </c>
      <c r="E5552" s="31" t="s">
        <v>697</v>
      </c>
      <c r="F5552" s="32" t="s">
        <v>107</v>
      </c>
      <c r="G5552" s="32" t="s">
        <v>108</v>
      </c>
      <c r="H5552" s="33">
        <v>835660</v>
      </c>
      <c r="I5552" s="34">
        <f>Table3[[#This Row],[Volume, kg.]]/1000</f>
        <v>835.66</v>
      </c>
      <c r="J5552" s="34">
        <v>0.1966</v>
      </c>
      <c r="K5552" s="34">
        <f t="shared" si="174"/>
        <v>164290.75599999999</v>
      </c>
      <c r="L5552" s="34">
        <v>1.66</v>
      </c>
      <c r="M5552" s="34">
        <v>1388854</v>
      </c>
      <c r="N5552" s="34">
        <f t="shared" si="175"/>
        <v>8.4435401831129191</v>
      </c>
    </row>
    <row r="5553" spans="1:14" x14ac:dyDescent="0.45">
      <c r="A5553" s="30">
        <v>2025</v>
      </c>
      <c r="B5553" s="30" t="s">
        <v>12</v>
      </c>
      <c r="C5553" s="30" t="s">
        <v>46</v>
      </c>
      <c r="D5553" s="30" t="s">
        <v>102</v>
      </c>
      <c r="E5553" s="31" t="s">
        <v>706</v>
      </c>
      <c r="F5553" s="32" t="s">
        <v>349</v>
      </c>
      <c r="G5553" s="32" t="s">
        <v>105</v>
      </c>
      <c r="H5553" s="33">
        <v>377530</v>
      </c>
      <c r="I5553" s="34">
        <f>Table3[[#This Row],[Volume, kg.]]/1000</f>
        <v>377.53</v>
      </c>
      <c r="J5553" s="34">
        <v>0.19339999999999999</v>
      </c>
      <c r="K5553" s="34">
        <f t="shared" si="174"/>
        <v>73014.301999999996</v>
      </c>
      <c r="L5553" s="34">
        <v>1.66</v>
      </c>
      <c r="M5553" s="34">
        <v>625729</v>
      </c>
      <c r="N5553" s="34">
        <f t="shared" si="175"/>
        <v>8.5832471561530514</v>
      </c>
    </row>
    <row r="5554" spans="1:14" x14ac:dyDescent="0.45">
      <c r="A5554" s="30">
        <v>2025</v>
      </c>
      <c r="B5554" s="30" t="s">
        <v>12</v>
      </c>
      <c r="C5554" s="30" t="s">
        <v>46</v>
      </c>
      <c r="D5554" s="30" t="s">
        <v>102</v>
      </c>
      <c r="E5554" s="31" t="s">
        <v>707</v>
      </c>
      <c r="F5554" s="32" t="s">
        <v>331</v>
      </c>
      <c r="G5554" s="32" t="s">
        <v>105</v>
      </c>
      <c r="H5554" s="33">
        <v>189410</v>
      </c>
      <c r="I5554" s="34">
        <f>Table3[[#This Row],[Volume, kg.]]/1000</f>
        <v>189.41</v>
      </c>
      <c r="J5554" s="34">
        <v>0.2089</v>
      </c>
      <c r="K5554" s="34">
        <f t="shared" si="174"/>
        <v>39567.749000000003</v>
      </c>
      <c r="L5554" s="34">
        <v>1.73</v>
      </c>
      <c r="M5554" s="34">
        <v>328499</v>
      </c>
      <c r="N5554" s="34">
        <f t="shared" si="175"/>
        <v>8.2814743896601239</v>
      </c>
    </row>
    <row r="5555" spans="1:14" x14ac:dyDescent="0.45">
      <c r="A5555" s="30">
        <v>2025</v>
      </c>
      <c r="B5555" s="30" t="s">
        <v>12</v>
      </c>
      <c r="C5555" s="30" t="s">
        <v>46</v>
      </c>
      <c r="D5555" s="30" t="s">
        <v>47</v>
      </c>
      <c r="E5555" s="31" t="s">
        <v>709</v>
      </c>
      <c r="F5555" s="32" t="s">
        <v>49</v>
      </c>
      <c r="G5555" s="32" t="s">
        <v>50</v>
      </c>
      <c r="H5555" s="33">
        <v>54860</v>
      </c>
      <c r="I5555" s="34">
        <f>Table3[[#This Row],[Volume, kg.]]/1000</f>
        <v>54.86</v>
      </c>
      <c r="J5555" s="34">
        <v>0.20190000000000002</v>
      </c>
      <c r="K5555" s="34">
        <f t="shared" si="174"/>
        <v>11076.234000000002</v>
      </c>
      <c r="L5555" s="34">
        <v>1.71</v>
      </c>
      <c r="M5555" s="34">
        <v>93815.5</v>
      </c>
      <c r="N5555" s="34">
        <f t="shared" si="175"/>
        <v>8.4695393759286759</v>
      </c>
    </row>
    <row r="5556" spans="1:14" x14ac:dyDescent="0.45">
      <c r="A5556" s="30">
        <v>2025</v>
      </c>
      <c r="B5556" s="30" t="s">
        <v>12</v>
      </c>
      <c r="C5556" s="30" t="s">
        <v>46</v>
      </c>
      <c r="D5556" s="30" t="s">
        <v>47</v>
      </c>
      <c r="E5556" s="31" t="s">
        <v>717</v>
      </c>
      <c r="F5556" s="32" t="s">
        <v>223</v>
      </c>
      <c r="G5556" s="32" t="s">
        <v>50</v>
      </c>
      <c r="H5556" s="33">
        <v>115660</v>
      </c>
      <c r="I5556" s="34">
        <f>Table3[[#This Row],[Volume, kg.]]/1000</f>
        <v>115.66</v>
      </c>
      <c r="J5556" s="34">
        <v>0.21210000000000001</v>
      </c>
      <c r="K5556" s="34">
        <f t="shared" si="174"/>
        <v>24531.486000000001</v>
      </c>
      <c r="L5556" s="34">
        <v>1.75</v>
      </c>
      <c r="M5556" s="34">
        <v>202018.5</v>
      </c>
      <c r="N5556" s="34">
        <f t="shared" si="175"/>
        <v>8.2508250825082499</v>
      </c>
    </row>
    <row r="5557" spans="1:14" x14ac:dyDescent="0.45">
      <c r="A5557" s="30">
        <v>2025</v>
      </c>
      <c r="B5557" s="30" t="s">
        <v>12</v>
      </c>
      <c r="C5557" s="30" t="s">
        <v>46</v>
      </c>
      <c r="D5557" s="30" t="s">
        <v>47</v>
      </c>
      <c r="E5557" s="31" t="s">
        <v>713</v>
      </c>
      <c r="F5557" s="32" t="s">
        <v>64</v>
      </c>
      <c r="G5557" s="32" t="s">
        <v>50</v>
      </c>
      <c r="H5557" s="33">
        <v>92890</v>
      </c>
      <c r="I5557" s="34">
        <f>Table3[[#This Row],[Volume, kg.]]/1000</f>
        <v>92.89</v>
      </c>
      <c r="J5557" s="34">
        <v>0.19989999999999999</v>
      </c>
      <c r="K5557" s="34">
        <f t="shared" si="174"/>
        <v>18568.710999999999</v>
      </c>
      <c r="L5557" s="34">
        <v>1.68</v>
      </c>
      <c r="M5557" s="34">
        <v>155695</v>
      </c>
      <c r="N5557" s="34">
        <f t="shared" si="175"/>
        <v>8.4042021010505259</v>
      </c>
    </row>
    <row r="5558" spans="1:14" x14ac:dyDescent="0.45">
      <c r="A5558" s="30">
        <v>2025</v>
      </c>
      <c r="B5558" s="30" t="s">
        <v>12</v>
      </c>
      <c r="C5558" s="30" t="s">
        <v>46</v>
      </c>
      <c r="D5558" s="30" t="s">
        <v>47</v>
      </c>
      <c r="E5558" s="31" t="s">
        <v>714</v>
      </c>
      <c r="F5558" s="32" t="s">
        <v>238</v>
      </c>
      <c r="G5558" s="32" t="s">
        <v>50</v>
      </c>
      <c r="H5558" s="33">
        <v>26240</v>
      </c>
      <c r="I5558" s="34">
        <f>Table3[[#This Row],[Volume, kg.]]/1000</f>
        <v>26.24</v>
      </c>
      <c r="J5558" s="34">
        <v>0.17809999999999998</v>
      </c>
      <c r="K5558" s="34">
        <f t="shared" si="174"/>
        <v>4673.3439999999991</v>
      </c>
      <c r="L5558" s="34">
        <v>1.57</v>
      </c>
      <c r="M5558" s="34">
        <v>41117.5</v>
      </c>
      <c r="N5558" s="34">
        <f t="shared" si="175"/>
        <v>8.8152723189219557</v>
      </c>
    </row>
    <row r="5559" spans="1:14" x14ac:dyDescent="0.45">
      <c r="A5559" s="30">
        <v>2025</v>
      </c>
      <c r="B5559" s="30" t="s">
        <v>12</v>
      </c>
      <c r="C5559" s="30" t="s">
        <v>46</v>
      </c>
      <c r="D5559" s="30" t="s">
        <v>47</v>
      </c>
      <c r="E5559" s="31" t="s">
        <v>718</v>
      </c>
      <c r="F5559" s="32" t="s">
        <v>60</v>
      </c>
      <c r="G5559" s="32" t="s">
        <v>50</v>
      </c>
      <c r="H5559" s="33">
        <v>14280</v>
      </c>
      <c r="I5559" s="34">
        <f>Table3[[#This Row],[Volume, kg.]]/1000</f>
        <v>14.28</v>
      </c>
      <c r="J5559" s="34">
        <v>0.22149999999999997</v>
      </c>
      <c r="K5559" s="34">
        <f t="shared" si="174"/>
        <v>3163.0199999999995</v>
      </c>
      <c r="L5559" s="34">
        <v>1.8</v>
      </c>
      <c r="M5559" s="34">
        <v>25704</v>
      </c>
      <c r="N5559" s="34">
        <f t="shared" si="175"/>
        <v>8.1264108352144486</v>
      </c>
    </row>
    <row r="5560" spans="1:14" x14ac:dyDescent="0.45">
      <c r="A5560" s="30">
        <v>2025</v>
      </c>
      <c r="B5560" s="30" t="s">
        <v>12</v>
      </c>
      <c r="C5560" s="30" t="s">
        <v>46</v>
      </c>
      <c r="D5560" s="30" t="s">
        <v>47</v>
      </c>
      <c r="E5560" s="31" t="s">
        <v>731</v>
      </c>
      <c r="F5560" s="32" t="s">
        <v>64</v>
      </c>
      <c r="G5560" s="32" t="s">
        <v>50</v>
      </c>
      <c r="H5560" s="33">
        <v>20870</v>
      </c>
      <c r="I5560" s="34">
        <f>Table3[[#This Row],[Volume, kg.]]/1000</f>
        <v>20.87</v>
      </c>
      <c r="J5560" s="34">
        <v>0.19350000000000001</v>
      </c>
      <c r="K5560" s="34">
        <f t="shared" si="174"/>
        <v>4038.3450000000003</v>
      </c>
      <c r="L5560" s="34">
        <v>1.6</v>
      </c>
      <c r="M5560" s="34">
        <v>33392</v>
      </c>
      <c r="N5560" s="34">
        <f t="shared" si="175"/>
        <v>8.2687338501292</v>
      </c>
    </row>
    <row r="5561" spans="1:14" x14ac:dyDescent="0.45">
      <c r="A5561" s="30">
        <v>2025</v>
      </c>
      <c r="B5561" s="30" t="s">
        <v>12</v>
      </c>
      <c r="C5561" s="30" t="s">
        <v>46</v>
      </c>
      <c r="D5561" s="30" t="s">
        <v>47</v>
      </c>
      <c r="E5561" s="31" t="s">
        <v>722</v>
      </c>
      <c r="F5561" s="32" t="s">
        <v>49</v>
      </c>
      <c r="G5561" s="32" t="s">
        <v>50</v>
      </c>
      <c r="H5561" s="33">
        <v>38370</v>
      </c>
      <c r="I5561" s="34">
        <f>Table3[[#This Row],[Volume, kg.]]/1000</f>
        <v>38.369999999999997</v>
      </c>
      <c r="J5561" s="34">
        <v>0.23449999999999999</v>
      </c>
      <c r="K5561" s="34">
        <f t="shared" si="174"/>
        <v>8997.7649999999994</v>
      </c>
      <c r="L5561" s="34">
        <v>1.8</v>
      </c>
      <c r="M5561" s="34">
        <v>69006</v>
      </c>
      <c r="N5561" s="34">
        <f t="shared" si="175"/>
        <v>7.6759061833688706</v>
      </c>
    </row>
    <row r="5562" spans="1:14" x14ac:dyDescent="0.45">
      <c r="A5562" s="30">
        <v>2025</v>
      </c>
      <c r="B5562" s="30" t="s">
        <v>12</v>
      </c>
      <c r="C5562" s="30" t="s">
        <v>46</v>
      </c>
      <c r="D5562" s="30" t="s">
        <v>47</v>
      </c>
      <c r="E5562" s="31" t="s">
        <v>724</v>
      </c>
      <c r="F5562" s="32" t="s">
        <v>64</v>
      </c>
      <c r="G5562" s="32" t="s">
        <v>50</v>
      </c>
      <c r="H5562" s="33">
        <v>37580</v>
      </c>
      <c r="I5562" s="34">
        <f>Table3[[#This Row],[Volume, kg.]]/1000</f>
        <v>37.58</v>
      </c>
      <c r="J5562" s="34">
        <v>0.21079999999999999</v>
      </c>
      <c r="K5562" s="34">
        <f t="shared" si="174"/>
        <v>7921.8639999999996</v>
      </c>
      <c r="L5562" s="34">
        <v>1.75</v>
      </c>
      <c r="M5562" s="34">
        <v>65716</v>
      </c>
      <c r="N5562" s="34">
        <f t="shared" si="175"/>
        <v>8.3017077798861489</v>
      </c>
    </row>
    <row r="5563" spans="1:14" x14ac:dyDescent="0.45">
      <c r="A5563" s="30">
        <v>2025</v>
      </c>
      <c r="B5563" s="30" t="s">
        <v>12</v>
      </c>
      <c r="C5563" s="30" t="s">
        <v>46</v>
      </c>
      <c r="D5563" s="30" t="s">
        <v>47</v>
      </c>
      <c r="E5563" s="31" t="s">
        <v>725</v>
      </c>
      <c r="F5563" s="32" t="s">
        <v>49</v>
      </c>
      <c r="G5563" s="32" t="s">
        <v>50</v>
      </c>
      <c r="H5563" s="33">
        <v>33440</v>
      </c>
      <c r="I5563" s="34">
        <f>Table3[[#This Row],[Volume, kg.]]/1000</f>
        <v>33.44</v>
      </c>
      <c r="J5563" s="34">
        <v>0.2137</v>
      </c>
      <c r="K5563" s="34">
        <f t="shared" si="174"/>
        <v>7146.1279999999997</v>
      </c>
      <c r="L5563" s="34">
        <v>1.75</v>
      </c>
      <c r="M5563" s="34">
        <v>58521</v>
      </c>
      <c r="N5563" s="34">
        <f t="shared" si="175"/>
        <v>8.1890500701918576</v>
      </c>
    </row>
    <row r="5564" spans="1:14" x14ac:dyDescent="0.45">
      <c r="A5564" s="30">
        <v>2025</v>
      </c>
      <c r="B5564" s="30" t="s">
        <v>12</v>
      </c>
      <c r="C5564" s="30" t="s">
        <v>46</v>
      </c>
      <c r="D5564" s="30" t="s">
        <v>102</v>
      </c>
      <c r="E5564" s="31" t="s">
        <v>732</v>
      </c>
      <c r="F5564" s="32" t="s">
        <v>349</v>
      </c>
      <c r="G5564" s="32" t="s">
        <v>105</v>
      </c>
      <c r="H5564" s="33">
        <v>401280</v>
      </c>
      <c r="I5564" s="34">
        <f>Table3[[#This Row],[Volume, kg.]]/1000</f>
        <v>401.28</v>
      </c>
      <c r="J5564" s="34">
        <v>0.1918</v>
      </c>
      <c r="K5564" s="34">
        <f t="shared" si="174"/>
        <v>76965.504000000001</v>
      </c>
      <c r="L5564" s="34">
        <v>1.65</v>
      </c>
      <c r="M5564" s="34">
        <v>663377</v>
      </c>
      <c r="N5564" s="34">
        <f t="shared" si="175"/>
        <v>8.6027111574556834</v>
      </c>
    </row>
    <row r="5565" spans="1:14" x14ac:dyDescent="0.45">
      <c r="A5565" s="30">
        <v>2025</v>
      </c>
      <c r="B5565" s="30" t="s">
        <v>13</v>
      </c>
      <c r="C5565" s="30" t="s">
        <v>46</v>
      </c>
      <c r="D5565" s="30" t="s">
        <v>102</v>
      </c>
      <c r="E5565" s="31" t="s">
        <v>188</v>
      </c>
      <c r="F5565" s="32" t="s">
        <v>189</v>
      </c>
      <c r="G5565" s="32" t="s">
        <v>128</v>
      </c>
      <c r="H5565" s="33">
        <v>605760</v>
      </c>
      <c r="I5565" s="34">
        <f>Table3[[#This Row],[Volume, kg.]]/1000</f>
        <v>605.76</v>
      </c>
      <c r="J5565" s="34">
        <v>0.20100000000000001</v>
      </c>
      <c r="K5565" s="34">
        <f t="shared" si="174"/>
        <v>121757.76000000001</v>
      </c>
      <c r="L5565" s="34">
        <v>1.74</v>
      </c>
      <c r="M5565" s="34">
        <v>1053331</v>
      </c>
      <c r="N5565" s="34">
        <f t="shared" si="175"/>
        <v>8.656716417910447</v>
      </c>
    </row>
    <row r="5566" spans="1:14" x14ac:dyDescent="0.45">
      <c r="A5566" s="30">
        <v>2025</v>
      </c>
      <c r="B5566" s="30" t="s">
        <v>13</v>
      </c>
      <c r="C5566" s="30" t="s">
        <v>46</v>
      </c>
      <c r="D5566" s="30" t="s">
        <v>102</v>
      </c>
      <c r="E5566" s="31" t="s">
        <v>222</v>
      </c>
      <c r="F5566" s="32" t="s">
        <v>223</v>
      </c>
      <c r="G5566" s="32" t="s">
        <v>50</v>
      </c>
      <c r="H5566" s="33">
        <v>986580</v>
      </c>
      <c r="I5566" s="34">
        <f>Table3[[#This Row],[Volume, kg.]]/1000</f>
        <v>986.58</v>
      </c>
      <c r="J5566" s="34">
        <v>0.2006</v>
      </c>
      <c r="K5566" s="34">
        <f t="shared" si="174"/>
        <v>197907.948</v>
      </c>
      <c r="L5566" s="34">
        <v>1.73</v>
      </c>
      <c r="M5566" s="34">
        <v>1705983.5</v>
      </c>
      <c r="N5566" s="34">
        <f t="shared" si="175"/>
        <v>8.6241276171485541</v>
      </c>
    </row>
    <row r="5567" spans="1:14" x14ac:dyDescent="0.45">
      <c r="A5567" s="30">
        <v>2025</v>
      </c>
      <c r="B5567" s="30" t="s">
        <v>13</v>
      </c>
      <c r="C5567" s="30" t="s">
        <v>46</v>
      </c>
      <c r="D5567" s="30" t="s">
        <v>47</v>
      </c>
      <c r="E5567" s="31" t="s">
        <v>596</v>
      </c>
      <c r="F5567" s="32" t="s">
        <v>49</v>
      </c>
      <c r="G5567" s="32" t="s">
        <v>50</v>
      </c>
      <c r="H5567" s="33">
        <v>51910</v>
      </c>
      <c r="I5567" s="34">
        <f>Table3[[#This Row],[Volume, kg.]]/1000</f>
        <v>51.91</v>
      </c>
      <c r="J5567" s="34">
        <v>0.2213</v>
      </c>
      <c r="K5567" s="34">
        <f t="shared" si="174"/>
        <v>11487.682999999999</v>
      </c>
      <c r="L5567" s="34">
        <v>1.86</v>
      </c>
      <c r="M5567" s="34">
        <v>96572.5</v>
      </c>
      <c r="N5567" s="34">
        <f t="shared" si="175"/>
        <v>8.404880253050159</v>
      </c>
    </row>
    <row r="5568" spans="1:14" x14ac:dyDescent="0.45">
      <c r="A5568" s="30">
        <v>2025</v>
      </c>
      <c r="B5568" s="30" t="s">
        <v>13</v>
      </c>
      <c r="C5568" s="30" t="s">
        <v>46</v>
      </c>
      <c r="D5568" s="30" t="s">
        <v>47</v>
      </c>
      <c r="E5568" s="31" t="s">
        <v>138</v>
      </c>
      <c r="F5568" s="32" t="s">
        <v>49</v>
      </c>
      <c r="G5568" s="32" t="s">
        <v>50</v>
      </c>
      <c r="H5568" s="33">
        <v>15130</v>
      </c>
      <c r="I5568" s="34">
        <f>Table3[[#This Row],[Volume, kg.]]/1000</f>
        <v>15.13</v>
      </c>
      <c r="J5568" s="34">
        <v>0.24460000000000001</v>
      </c>
      <c r="K5568" s="34">
        <f t="shared" si="174"/>
        <v>3700.7980000000002</v>
      </c>
      <c r="L5568" s="34">
        <v>1.97</v>
      </c>
      <c r="M5568" s="34">
        <v>29807.5</v>
      </c>
      <c r="N5568" s="34">
        <f t="shared" si="175"/>
        <v>8.0539656582174981</v>
      </c>
    </row>
    <row r="5569" spans="1:14" x14ac:dyDescent="0.45">
      <c r="A5569" s="30">
        <v>2025</v>
      </c>
      <c r="B5569" s="30" t="s">
        <v>13</v>
      </c>
      <c r="C5569" s="30" t="s">
        <v>46</v>
      </c>
      <c r="D5569" s="30" t="s">
        <v>47</v>
      </c>
      <c r="E5569" s="31" t="s">
        <v>232</v>
      </c>
      <c r="F5569" s="32" t="s">
        <v>49</v>
      </c>
      <c r="G5569" s="32" t="s">
        <v>50</v>
      </c>
      <c r="H5569" s="33">
        <v>14280</v>
      </c>
      <c r="I5569" s="34">
        <f>Table3[[#This Row],[Volume, kg.]]/1000</f>
        <v>14.28</v>
      </c>
      <c r="J5569" s="34">
        <v>0.20499999999999999</v>
      </c>
      <c r="K5569" s="34">
        <f t="shared" si="174"/>
        <v>2927.3999999999996</v>
      </c>
      <c r="L5569" s="34">
        <v>1.8</v>
      </c>
      <c r="M5569" s="34">
        <v>25704</v>
      </c>
      <c r="N5569" s="34">
        <f t="shared" si="175"/>
        <v>8.7804878048780495</v>
      </c>
    </row>
    <row r="5570" spans="1:14" x14ac:dyDescent="0.45">
      <c r="A5570" s="30">
        <v>2025</v>
      </c>
      <c r="B5570" s="30" t="s">
        <v>13</v>
      </c>
      <c r="C5570" s="30" t="s">
        <v>46</v>
      </c>
      <c r="D5570" s="30" t="s">
        <v>47</v>
      </c>
      <c r="E5570" s="31" t="s">
        <v>213</v>
      </c>
      <c r="F5570" s="32" t="s">
        <v>49</v>
      </c>
      <c r="G5570" s="32" t="s">
        <v>50</v>
      </c>
      <c r="H5570" s="33">
        <v>148720</v>
      </c>
      <c r="I5570" s="34">
        <f>Table3[[#This Row],[Volume, kg.]]/1000</f>
        <v>148.72</v>
      </c>
      <c r="J5570" s="34">
        <v>0.20190000000000002</v>
      </c>
      <c r="K5570" s="34">
        <f t="shared" si="174"/>
        <v>30026.568000000003</v>
      </c>
      <c r="L5570" s="34">
        <v>1.76</v>
      </c>
      <c r="M5570" s="34">
        <v>261548.5</v>
      </c>
      <c r="N5570" s="34">
        <f t="shared" si="175"/>
        <v>8.7171867261020299</v>
      </c>
    </row>
    <row r="5571" spans="1:14" x14ac:dyDescent="0.45">
      <c r="A5571" s="30">
        <v>2025</v>
      </c>
      <c r="B5571" s="30" t="s">
        <v>13</v>
      </c>
      <c r="C5571" s="30" t="s">
        <v>46</v>
      </c>
      <c r="D5571" s="30" t="s">
        <v>47</v>
      </c>
      <c r="E5571" s="31" t="s">
        <v>69</v>
      </c>
      <c r="F5571" s="32" t="s">
        <v>49</v>
      </c>
      <c r="G5571" s="32" t="s">
        <v>50</v>
      </c>
      <c r="H5571" s="33">
        <v>86990</v>
      </c>
      <c r="I5571" s="34">
        <f>Table3[[#This Row],[Volume, kg.]]/1000</f>
        <v>86.99</v>
      </c>
      <c r="J5571" s="34">
        <v>0.21960000000000002</v>
      </c>
      <c r="K5571" s="34">
        <f t="shared" si="174"/>
        <v>19103.004000000001</v>
      </c>
      <c r="L5571" s="34">
        <v>1.83</v>
      </c>
      <c r="M5571" s="34">
        <v>158797.5</v>
      </c>
      <c r="N5571" s="34">
        <f t="shared" si="175"/>
        <v>8.3333333333333321</v>
      </c>
    </row>
    <row r="5572" spans="1:14" x14ac:dyDescent="0.45">
      <c r="A5572" s="30">
        <v>2025</v>
      </c>
      <c r="B5572" s="30" t="s">
        <v>13</v>
      </c>
      <c r="C5572" s="30" t="s">
        <v>46</v>
      </c>
      <c r="D5572" s="30" t="s">
        <v>47</v>
      </c>
      <c r="E5572" s="31" t="s">
        <v>201</v>
      </c>
      <c r="F5572" s="32" t="s">
        <v>49</v>
      </c>
      <c r="G5572" s="32" t="s">
        <v>50</v>
      </c>
      <c r="H5572" s="33">
        <v>58450</v>
      </c>
      <c r="I5572" s="34">
        <f>Table3[[#This Row],[Volume, kg.]]/1000</f>
        <v>58.45</v>
      </c>
      <c r="J5572" s="34">
        <v>0.22800000000000001</v>
      </c>
      <c r="K5572" s="34">
        <f t="shared" si="174"/>
        <v>13326.6</v>
      </c>
      <c r="L5572" s="34">
        <v>1.85</v>
      </c>
      <c r="M5572" s="34">
        <v>108223.5</v>
      </c>
      <c r="N5572" s="34">
        <f t="shared" si="175"/>
        <v>8.1140350877192979</v>
      </c>
    </row>
    <row r="5573" spans="1:14" x14ac:dyDescent="0.45">
      <c r="A5573" s="30">
        <v>2025</v>
      </c>
      <c r="B5573" s="30" t="s">
        <v>13</v>
      </c>
      <c r="C5573" s="30" t="s">
        <v>46</v>
      </c>
      <c r="D5573" s="30" t="s">
        <v>47</v>
      </c>
      <c r="E5573" s="31" t="s">
        <v>381</v>
      </c>
      <c r="F5573" s="32" t="s">
        <v>49</v>
      </c>
      <c r="G5573" s="32" t="s">
        <v>50</v>
      </c>
      <c r="H5573" s="33">
        <v>56890</v>
      </c>
      <c r="I5573" s="34">
        <f>Table3[[#This Row],[Volume, kg.]]/1000</f>
        <v>56.89</v>
      </c>
      <c r="J5573" s="34">
        <v>0.21660000000000001</v>
      </c>
      <c r="K5573" s="34">
        <f t="shared" si="174"/>
        <v>12322.374000000002</v>
      </c>
      <c r="L5573" s="34">
        <v>1.82</v>
      </c>
      <c r="M5573" s="34">
        <v>103266.5</v>
      </c>
      <c r="N5573" s="34">
        <f t="shared" si="175"/>
        <v>8.4025854108956608</v>
      </c>
    </row>
    <row r="5574" spans="1:14" x14ac:dyDescent="0.45">
      <c r="A5574" s="30">
        <v>2025</v>
      </c>
      <c r="B5574" s="30" t="s">
        <v>13</v>
      </c>
      <c r="C5574" s="30" t="s">
        <v>46</v>
      </c>
      <c r="D5574" s="30" t="s">
        <v>47</v>
      </c>
      <c r="E5574" s="31" t="s">
        <v>178</v>
      </c>
      <c r="F5574" s="32" t="s">
        <v>49</v>
      </c>
      <c r="G5574" s="32" t="s">
        <v>50</v>
      </c>
      <c r="H5574" s="33">
        <v>9990</v>
      </c>
      <c r="I5574" s="34">
        <f>Table3[[#This Row],[Volume, kg.]]/1000</f>
        <v>9.99</v>
      </c>
      <c r="J5574" s="34">
        <v>0.1668</v>
      </c>
      <c r="K5574" s="34">
        <f t="shared" si="174"/>
        <v>1666.3320000000001</v>
      </c>
      <c r="L5574" s="34">
        <v>1.57</v>
      </c>
      <c r="M5574" s="34">
        <v>15685.5</v>
      </c>
      <c r="N5574" s="34">
        <f t="shared" si="175"/>
        <v>9.4124700239808163</v>
      </c>
    </row>
    <row r="5575" spans="1:14" x14ac:dyDescent="0.45">
      <c r="A5575" s="30">
        <v>2025</v>
      </c>
      <c r="B5575" s="30" t="s">
        <v>13</v>
      </c>
      <c r="C5575" s="30" t="s">
        <v>46</v>
      </c>
      <c r="D5575" s="30" t="s">
        <v>47</v>
      </c>
      <c r="E5575" s="31" t="s">
        <v>235</v>
      </c>
      <c r="F5575" s="32" t="s">
        <v>57</v>
      </c>
      <c r="G5575" s="32" t="s">
        <v>50</v>
      </c>
      <c r="H5575" s="33">
        <v>6000</v>
      </c>
      <c r="I5575" s="34">
        <f>Table3[[#This Row],[Volume, kg.]]/1000</f>
        <v>6</v>
      </c>
      <c r="J5575" s="34">
        <v>0.18600000000000003</v>
      </c>
      <c r="K5575" s="34">
        <f t="shared" si="174"/>
        <v>1116.0000000000002</v>
      </c>
      <c r="L5575" s="34">
        <v>1.7</v>
      </c>
      <c r="M5575" s="34">
        <v>10200</v>
      </c>
      <c r="N5575" s="34">
        <f t="shared" si="175"/>
        <v>9.1397849462365581</v>
      </c>
    </row>
    <row r="5576" spans="1:14" x14ac:dyDescent="0.45">
      <c r="A5576" s="30">
        <v>2025</v>
      </c>
      <c r="B5576" s="30" t="s">
        <v>13</v>
      </c>
      <c r="C5576" s="30" t="s">
        <v>46</v>
      </c>
      <c r="D5576" s="30" t="s">
        <v>47</v>
      </c>
      <c r="E5576" s="31" t="s">
        <v>48</v>
      </c>
      <c r="F5576" s="32" t="s">
        <v>49</v>
      </c>
      <c r="G5576" s="32" t="s">
        <v>50</v>
      </c>
      <c r="H5576" s="33">
        <v>10880</v>
      </c>
      <c r="I5576" s="34">
        <f>Table3[[#This Row],[Volume, kg.]]/1000</f>
        <v>10.88</v>
      </c>
      <c r="J5576" s="34">
        <v>0.23300000000000001</v>
      </c>
      <c r="K5576" s="34">
        <f t="shared" si="174"/>
        <v>2535.04</v>
      </c>
      <c r="L5576" s="34">
        <v>1.92</v>
      </c>
      <c r="M5576" s="34">
        <v>20918.5</v>
      </c>
      <c r="N5576" s="34">
        <f t="shared" si="175"/>
        <v>8.2403433476394845</v>
      </c>
    </row>
    <row r="5577" spans="1:14" x14ac:dyDescent="0.45">
      <c r="A5577" s="30">
        <v>2025</v>
      </c>
      <c r="B5577" s="30" t="s">
        <v>13</v>
      </c>
      <c r="C5577" s="30" t="s">
        <v>46</v>
      </c>
      <c r="D5577" s="30" t="s">
        <v>47</v>
      </c>
      <c r="E5577" s="31" t="s">
        <v>149</v>
      </c>
      <c r="F5577" s="32" t="s">
        <v>49</v>
      </c>
      <c r="G5577" s="32" t="s">
        <v>50</v>
      </c>
      <c r="H5577" s="33">
        <v>9510</v>
      </c>
      <c r="I5577" s="34">
        <f>Table3[[#This Row],[Volume, kg.]]/1000</f>
        <v>9.51</v>
      </c>
      <c r="J5577" s="34">
        <v>0.21969999999999998</v>
      </c>
      <c r="K5577" s="34">
        <f t="shared" si="174"/>
        <v>2089.3469999999998</v>
      </c>
      <c r="L5577" s="34">
        <v>1.85</v>
      </c>
      <c r="M5577" s="34">
        <v>17593.5</v>
      </c>
      <c r="N5577" s="34">
        <f t="shared" si="175"/>
        <v>8.4205735093309073</v>
      </c>
    </row>
    <row r="5578" spans="1:14" x14ac:dyDescent="0.45">
      <c r="A5578" s="30">
        <v>2025</v>
      </c>
      <c r="B5578" s="30" t="s">
        <v>13</v>
      </c>
      <c r="C5578" s="30" t="s">
        <v>46</v>
      </c>
      <c r="D5578" s="30" t="s">
        <v>47</v>
      </c>
      <c r="E5578" s="31" t="s">
        <v>493</v>
      </c>
      <c r="F5578" s="32" t="s">
        <v>49</v>
      </c>
      <c r="G5578" s="32" t="s">
        <v>50</v>
      </c>
      <c r="H5578" s="33">
        <v>14870</v>
      </c>
      <c r="I5578" s="34">
        <f>Table3[[#This Row],[Volume, kg.]]/1000</f>
        <v>14.87</v>
      </c>
      <c r="J5578" s="34">
        <v>0.20199999999999999</v>
      </c>
      <c r="K5578" s="34">
        <f t="shared" si="174"/>
        <v>3003.74</v>
      </c>
      <c r="L5578" s="34">
        <v>1.7</v>
      </c>
      <c r="M5578" s="34">
        <v>25279</v>
      </c>
      <c r="N5578" s="34">
        <f t="shared" si="175"/>
        <v>8.4158415841584162</v>
      </c>
    </row>
    <row r="5579" spans="1:14" x14ac:dyDescent="0.45">
      <c r="A5579" s="30">
        <v>2025</v>
      </c>
      <c r="B5579" s="30" t="s">
        <v>13</v>
      </c>
      <c r="C5579" s="30" t="s">
        <v>46</v>
      </c>
      <c r="D5579" s="30" t="s">
        <v>47</v>
      </c>
      <c r="E5579" s="31" t="s">
        <v>208</v>
      </c>
      <c r="F5579" s="32" t="s">
        <v>49</v>
      </c>
      <c r="G5579" s="32" t="s">
        <v>50</v>
      </c>
      <c r="H5579" s="33">
        <v>73610</v>
      </c>
      <c r="I5579" s="34">
        <f>Table3[[#This Row],[Volume, kg.]]/1000</f>
        <v>73.61</v>
      </c>
      <c r="J5579" s="34">
        <v>0.19440000000000002</v>
      </c>
      <c r="K5579" s="34">
        <f t="shared" si="174"/>
        <v>14309.784000000001</v>
      </c>
      <c r="L5579" s="34">
        <v>1.69</v>
      </c>
      <c r="M5579" s="34">
        <v>124658.5</v>
      </c>
      <c r="N5579" s="34">
        <f t="shared" si="175"/>
        <v>8.6934156378600811</v>
      </c>
    </row>
    <row r="5580" spans="1:14" x14ac:dyDescent="0.45">
      <c r="A5580" s="30">
        <v>2025</v>
      </c>
      <c r="B5580" s="30" t="s">
        <v>13</v>
      </c>
      <c r="C5580" s="30" t="s">
        <v>46</v>
      </c>
      <c r="D5580" s="30" t="s">
        <v>47</v>
      </c>
      <c r="E5580" s="31" t="s">
        <v>123</v>
      </c>
      <c r="F5580" s="32" t="s">
        <v>49</v>
      </c>
      <c r="G5580" s="32" t="s">
        <v>50</v>
      </c>
      <c r="H5580" s="33">
        <v>11470</v>
      </c>
      <c r="I5580" s="34">
        <f>Table3[[#This Row],[Volume, kg.]]/1000</f>
        <v>11.47</v>
      </c>
      <c r="J5580" s="34">
        <v>0.24850000000000003</v>
      </c>
      <c r="K5580" s="34">
        <f t="shared" si="174"/>
        <v>2850.2950000000005</v>
      </c>
      <c r="L5580" s="34">
        <v>1.95</v>
      </c>
      <c r="M5580" s="34">
        <v>22366.5</v>
      </c>
      <c r="N5580" s="34">
        <f t="shared" si="175"/>
        <v>7.8470824949698175</v>
      </c>
    </row>
    <row r="5581" spans="1:14" x14ac:dyDescent="0.45">
      <c r="A5581" s="30">
        <v>2025</v>
      </c>
      <c r="B5581" s="30" t="s">
        <v>13</v>
      </c>
      <c r="C5581" s="30" t="s">
        <v>46</v>
      </c>
      <c r="D5581" s="30" t="s">
        <v>47</v>
      </c>
      <c r="E5581" s="31" t="s">
        <v>165</v>
      </c>
      <c r="F5581" s="32" t="s">
        <v>57</v>
      </c>
      <c r="G5581" s="32" t="s">
        <v>50</v>
      </c>
      <c r="H5581" s="33">
        <v>32590</v>
      </c>
      <c r="I5581" s="34">
        <f>Table3[[#This Row],[Volume, kg.]]/1000</f>
        <v>32.590000000000003</v>
      </c>
      <c r="J5581" s="34">
        <v>0.2036</v>
      </c>
      <c r="K5581" s="34">
        <f t="shared" si="174"/>
        <v>6635.3240000000005</v>
      </c>
      <c r="L5581" s="34">
        <v>1.76</v>
      </c>
      <c r="M5581" s="34">
        <v>57508</v>
      </c>
      <c r="N5581" s="34">
        <f t="shared" si="175"/>
        <v>8.6444007858546161</v>
      </c>
    </row>
    <row r="5582" spans="1:14" x14ac:dyDescent="0.45">
      <c r="A5582" s="30">
        <v>2025</v>
      </c>
      <c r="B5582" s="30" t="s">
        <v>13</v>
      </c>
      <c r="C5582" s="30" t="s">
        <v>46</v>
      </c>
      <c r="D5582" s="30" t="s">
        <v>47</v>
      </c>
      <c r="E5582" s="31" t="s">
        <v>182</v>
      </c>
      <c r="F5582" s="32" t="s">
        <v>81</v>
      </c>
      <c r="G5582" s="32" t="s">
        <v>50</v>
      </c>
      <c r="H5582" s="33">
        <v>18920</v>
      </c>
      <c r="I5582" s="34">
        <f>Table3[[#This Row],[Volume, kg.]]/1000</f>
        <v>18.920000000000002</v>
      </c>
      <c r="J5582" s="34">
        <v>0.20269999999999999</v>
      </c>
      <c r="K5582" s="34">
        <f t="shared" si="174"/>
        <v>3835.0839999999998</v>
      </c>
      <c r="L5582" s="34">
        <v>1.75</v>
      </c>
      <c r="M5582" s="34">
        <v>33110</v>
      </c>
      <c r="N5582" s="34">
        <f t="shared" si="175"/>
        <v>8.6334484459792797</v>
      </c>
    </row>
    <row r="5583" spans="1:14" x14ac:dyDescent="0.45">
      <c r="A5583" s="30">
        <v>2025</v>
      </c>
      <c r="B5583" s="30" t="s">
        <v>13</v>
      </c>
      <c r="C5583" s="30" t="s">
        <v>46</v>
      </c>
      <c r="D5583" s="30" t="s">
        <v>47</v>
      </c>
      <c r="E5583" s="31" t="s">
        <v>65</v>
      </c>
      <c r="F5583" s="32" t="s">
        <v>49</v>
      </c>
      <c r="G5583" s="32" t="s">
        <v>50</v>
      </c>
      <c r="H5583" s="33">
        <v>49960</v>
      </c>
      <c r="I5583" s="34">
        <f>Table3[[#This Row],[Volume, kg.]]/1000</f>
        <v>49.96</v>
      </c>
      <c r="J5583" s="34">
        <v>0.20300000000000001</v>
      </c>
      <c r="K5583" s="34">
        <f t="shared" si="174"/>
        <v>10141.880000000001</v>
      </c>
      <c r="L5583" s="34">
        <v>1.74</v>
      </c>
      <c r="M5583" s="34">
        <v>86892</v>
      </c>
      <c r="N5583" s="34">
        <f t="shared" si="175"/>
        <v>8.5714285714285712</v>
      </c>
    </row>
    <row r="5584" spans="1:14" x14ac:dyDescent="0.45">
      <c r="A5584" s="30">
        <v>2025</v>
      </c>
      <c r="B5584" s="30" t="s">
        <v>13</v>
      </c>
      <c r="C5584" s="30" t="s">
        <v>46</v>
      </c>
      <c r="D5584" s="30" t="s">
        <v>47</v>
      </c>
      <c r="E5584" s="31" t="s">
        <v>245</v>
      </c>
      <c r="F5584" s="32" t="s">
        <v>57</v>
      </c>
      <c r="G5584" s="32" t="s">
        <v>50</v>
      </c>
      <c r="H5584" s="33">
        <v>25970</v>
      </c>
      <c r="I5584" s="34">
        <f>Table3[[#This Row],[Volume, kg.]]/1000</f>
        <v>25.97</v>
      </c>
      <c r="J5584" s="34">
        <v>0.19339999999999999</v>
      </c>
      <c r="K5584" s="34">
        <f t="shared" si="174"/>
        <v>5022.598</v>
      </c>
      <c r="L5584" s="34">
        <v>1.69</v>
      </c>
      <c r="M5584" s="34">
        <v>43895.5</v>
      </c>
      <c r="N5584" s="34">
        <f t="shared" si="175"/>
        <v>8.7383660806618408</v>
      </c>
    </row>
    <row r="5585" spans="1:14" x14ac:dyDescent="0.45">
      <c r="A5585" s="30">
        <v>2025</v>
      </c>
      <c r="B5585" s="30" t="s">
        <v>13</v>
      </c>
      <c r="C5585" s="30" t="s">
        <v>46</v>
      </c>
      <c r="D5585" s="30" t="s">
        <v>47</v>
      </c>
      <c r="E5585" s="31" t="s">
        <v>163</v>
      </c>
      <c r="F5585" s="32" t="s">
        <v>60</v>
      </c>
      <c r="G5585" s="32" t="s">
        <v>50</v>
      </c>
      <c r="H5585" s="33">
        <v>54210</v>
      </c>
      <c r="I5585" s="34">
        <f>Table3[[#This Row],[Volume, kg.]]/1000</f>
        <v>54.21</v>
      </c>
      <c r="J5585" s="34">
        <v>0.22329999999999997</v>
      </c>
      <c r="K5585" s="34">
        <f t="shared" si="174"/>
        <v>12105.092999999999</v>
      </c>
      <c r="L5585" s="34">
        <v>1.87</v>
      </c>
      <c r="M5585" s="34">
        <v>101520</v>
      </c>
      <c r="N5585" s="34">
        <f t="shared" si="175"/>
        <v>8.3743842364532028</v>
      </c>
    </row>
    <row r="5586" spans="1:14" x14ac:dyDescent="0.45">
      <c r="A5586" s="30">
        <v>2025</v>
      </c>
      <c r="B5586" s="30" t="s">
        <v>13</v>
      </c>
      <c r="C5586" s="30" t="s">
        <v>46</v>
      </c>
      <c r="D5586" s="30" t="s">
        <v>47</v>
      </c>
      <c r="E5586" s="31" t="s">
        <v>172</v>
      </c>
      <c r="F5586" s="32" t="s">
        <v>57</v>
      </c>
      <c r="G5586" s="32" t="s">
        <v>50</v>
      </c>
      <c r="H5586" s="33">
        <v>11390</v>
      </c>
      <c r="I5586" s="34">
        <f>Table3[[#This Row],[Volume, kg.]]/1000</f>
        <v>11.39</v>
      </c>
      <c r="J5586" s="34">
        <v>0.21719999999999998</v>
      </c>
      <c r="K5586" s="34">
        <f t="shared" si="174"/>
        <v>2473.9079999999999</v>
      </c>
      <c r="L5586" s="34">
        <v>1.82</v>
      </c>
      <c r="M5586" s="34">
        <v>20786</v>
      </c>
      <c r="N5586" s="34">
        <f t="shared" si="175"/>
        <v>8.3793738489871092</v>
      </c>
    </row>
    <row r="5587" spans="1:14" x14ac:dyDescent="0.45">
      <c r="A5587" s="30">
        <v>2025</v>
      </c>
      <c r="B5587" s="30" t="s">
        <v>13</v>
      </c>
      <c r="C5587" s="30" t="s">
        <v>46</v>
      </c>
      <c r="D5587" s="30" t="s">
        <v>47</v>
      </c>
      <c r="E5587" s="31" t="s">
        <v>655</v>
      </c>
      <c r="F5587" s="32" t="s">
        <v>49</v>
      </c>
      <c r="G5587" s="32" t="s">
        <v>50</v>
      </c>
      <c r="H5587" s="33">
        <v>48640</v>
      </c>
      <c r="I5587" s="34">
        <f>Table3[[#This Row],[Volume, kg.]]/1000</f>
        <v>48.64</v>
      </c>
      <c r="J5587" s="34">
        <v>0.23809999999999998</v>
      </c>
      <c r="K5587" s="34">
        <f t="shared" si="174"/>
        <v>11581.183999999999</v>
      </c>
      <c r="L5587" s="34">
        <v>1.9</v>
      </c>
      <c r="M5587" s="34">
        <v>92238.5</v>
      </c>
      <c r="N5587" s="34">
        <f t="shared" si="175"/>
        <v>7.9798404031919361</v>
      </c>
    </row>
    <row r="5588" spans="1:14" x14ac:dyDescent="0.45">
      <c r="A5588" s="30">
        <v>2025</v>
      </c>
      <c r="B5588" s="30" t="s">
        <v>13</v>
      </c>
      <c r="C5588" s="30" t="s">
        <v>46</v>
      </c>
      <c r="D5588" s="30" t="s">
        <v>47</v>
      </c>
      <c r="E5588" s="31" t="s">
        <v>320</v>
      </c>
      <c r="F5588" s="32" t="s">
        <v>49</v>
      </c>
      <c r="G5588" s="32" t="s">
        <v>50</v>
      </c>
      <c r="H5588" s="33">
        <v>22290</v>
      </c>
      <c r="I5588" s="34">
        <f>Table3[[#This Row],[Volume, kg.]]/1000</f>
        <v>22.29</v>
      </c>
      <c r="J5588" s="34">
        <v>0.23530000000000001</v>
      </c>
      <c r="K5588" s="34">
        <f t="shared" si="174"/>
        <v>5244.8370000000004</v>
      </c>
      <c r="L5588" s="34">
        <v>1.9</v>
      </c>
      <c r="M5588" s="34">
        <v>42426</v>
      </c>
      <c r="N5588" s="34">
        <f t="shared" si="175"/>
        <v>8.074798130046748</v>
      </c>
    </row>
    <row r="5589" spans="1:14" x14ac:dyDescent="0.45">
      <c r="A5589" s="30">
        <v>2025</v>
      </c>
      <c r="B5589" s="30" t="s">
        <v>13</v>
      </c>
      <c r="C5589" s="30" t="s">
        <v>46</v>
      </c>
      <c r="D5589" s="30" t="s">
        <v>47</v>
      </c>
      <c r="E5589" s="31" t="s">
        <v>179</v>
      </c>
      <c r="F5589" s="32" t="s">
        <v>60</v>
      </c>
      <c r="G5589" s="32" t="s">
        <v>50</v>
      </c>
      <c r="H5589" s="33">
        <v>12200</v>
      </c>
      <c r="I5589" s="34">
        <f>Table3[[#This Row],[Volume, kg.]]/1000</f>
        <v>12.2</v>
      </c>
      <c r="J5589" s="34">
        <v>0.25800000000000001</v>
      </c>
      <c r="K5589" s="34">
        <f t="shared" si="174"/>
        <v>3147.6</v>
      </c>
      <c r="L5589" s="34">
        <v>2.0499999999999998</v>
      </c>
      <c r="M5589" s="34">
        <v>25010</v>
      </c>
      <c r="N5589" s="34">
        <f t="shared" si="175"/>
        <v>7.9457364341085261</v>
      </c>
    </row>
    <row r="5590" spans="1:14" x14ac:dyDescent="0.45">
      <c r="A5590" s="30">
        <v>2025</v>
      </c>
      <c r="B5590" s="30" t="s">
        <v>13</v>
      </c>
      <c r="C5590" s="30" t="s">
        <v>46</v>
      </c>
      <c r="D5590" s="30" t="s">
        <v>47</v>
      </c>
      <c r="E5590" s="31" t="s">
        <v>258</v>
      </c>
      <c r="F5590" s="32" t="s">
        <v>49</v>
      </c>
      <c r="G5590" s="32" t="s">
        <v>50</v>
      </c>
      <c r="H5590" s="33">
        <v>328590</v>
      </c>
      <c r="I5590" s="34">
        <f>Table3[[#This Row],[Volume, kg.]]/1000</f>
        <v>328.59</v>
      </c>
      <c r="J5590" s="34">
        <v>0.2011</v>
      </c>
      <c r="K5590" s="34">
        <f t="shared" si="174"/>
        <v>66079.448999999993</v>
      </c>
      <c r="L5590" s="34">
        <v>1.74</v>
      </c>
      <c r="M5590" s="34">
        <v>571288.5</v>
      </c>
      <c r="N5590" s="34">
        <f t="shared" si="175"/>
        <v>8.6524117354549972</v>
      </c>
    </row>
    <row r="5591" spans="1:14" x14ac:dyDescent="0.45">
      <c r="A5591" s="30">
        <v>2025</v>
      </c>
      <c r="B5591" s="30" t="s">
        <v>13</v>
      </c>
      <c r="C5591" s="30" t="s">
        <v>46</v>
      </c>
      <c r="D5591" s="30" t="s">
        <v>47</v>
      </c>
      <c r="E5591" s="31" t="s">
        <v>166</v>
      </c>
      <c r="F5591" s="32" t="s">
        <v>49</v>
      </c>
      <c r="G5591" s="32" t="s">
        <v>50</v>
      </c>
      <c r="H5591" s="33">
        <v>53160</v>
      </c>
      <c r="I5591" s="34">
        <f>Table3[[#This Row],[Volume, kg.]]/1000</f>
        <v>53.16</v>
      </c>
      <c r="J5591" s="34">
        <v>0.2072</v>
      </c>
      <c r="K5591" s="34">
        <f t="shared" si="174"/>
        <v>11014.752</v>
      </c>
      <c r="L5591" s="34">
        <v>1.79</v>
      </c>
      <c r="M5591" s="34">
        <v>95409.5</v>
      </c>
      <c r="N5591" s="34">
        <f t="shared" si="175"/>
        <v>8.6389961389961396</v>
      </c>
    </row>
    <row r="5592" spans="1:14" x14ac:dyDescent="0.45">
      <c r="A5592" s="30">
        <v>2025</v>
      </c>
      <c r="B5592" s="30" t="s">
        <v>13</v>
      </c>
      <c r="C5592" s="30" t="s">
        <v>46</v>
      </c>
      <c r="D5592" s="30" t="s">
        <v>47</v>
      </c>
      <c r="E5592" s="31" t="s">
        <v>244</v>
      </c>
      <c r="F5592" s="32" t="s">
        <v>60</v>
      </c>
      <c r="G5592" s="32" t="s">
        <v>50</v>
      </c>
      <c r="H5592" s="33">
        <v>4650</v>
      </c>
      <c r="I5592" s="34">
        <f>Table3[[#This Row],[Volume, kg.]]/1000</f>
        <v>4.6500000000000004</v>
      </c>
      <c r="J5592" s="34">
        <v>0.20250000000000001</v>
      </c>
      <c r="K5592" s="34">
        <f t="shared" si="174"/>
        <v>941.62500000000011</v>
      </c>
      <c r="L5592" s="34">
        <v>1.7</v>
      </c>
      <c r="M5592" s="34">
        <v>7905</v>
      </c>
      <c r="N5592" s="34">
        <f t="shared" si="175"/>
        <v>8.3950617283950617</v>
      </c>
    </row>
    <row r="5593" spans="1:14" x14ac:dyDescent="0.45">
      <c r="A5593" s="30">
        <v>2025</v>
      </c>
      <c r="B5593" s="30" t="s">
        <v>13</v>
      </c>
      <c r="C5593" s="30" t="s">
        <v>46</v>
      </c>
      <c r="D5593" s="30" t="s">
        <v>47</v>
      </c>
      <c r="E5593" s="31" t="s">
        <v>256</v>
      </c>
      <c r="F5593" s="32" t="s">
        <v>81</v>
      </c>
      <c r="G5593" s="32" t="s">
        <v>50</v>
      </c>
      <c r="H5593" s="33">
        <v>138870</v>
      </c>
      <c r="I5593" s="34">
        <f>Table3[[#This Row],[Volume, kg.]]/1000</f>
        <v>138.87</v>
      </c>
      <c r="J5593" s="34">
        <v>0.23190000000000002</v>
      </c>
      <c r="K5593" s="34">
        <f t="shared" si="174"/>
        <v>32203.953000000005</v>
      </c>
      <c r="L5593" s="34">
        <v>1.89</v>
      </c>
      <c r="M5593" s="34">
        <v>262165.5</v>
      </c>
      <c r="N5593" s="34">
        <f t="shared" si="175"/>
        <v>8.1500646830530386</v>
      </c>
    </row>
    <row r="5594" spans="1:14" x14ac:dyDescent="0.45">
      <c r="A5594" s="30">
        <v>2025</v>
      </c>
      <c r="B5594" s="30" t="s">
        <v>13</v>
      </c>
      <c r="C5594" s="30" t="s">
        <v>46</v>
      </c>
      <c r="D5594" s="30" t="s">
        <v>47</v>
      </c>
      <c r="E5594" s="31" t="s">
        <v>198</v>
      </c>
      <c r="F5594" s="32" t="s">
        <v>49</v>
      </c>
      <c r="G5594" s="32" t="s">
        <v>50</v>
      </c>
      <c r="H5594" s="33">
        <v>7830</v>
      </c>
      <c r="I5594" s="34">
        <f>Table3[[#This Row],[Volume, kg.]]/1000</f>
        <v>7.83</v>
      </c>
      <c r="J5594" s="34">
        <v>0.215</v>
      </c>
      <c r="K5594" s="34">
        <f t="shared" si="174"/>
        <v>1683.45</v>
      </c>
      <c r="L5594" s="34">
        <v>1.8</v>
      </c>
      <c r="M5594" s="34">
        <v>14094</v>
      </c>
      <c r="N5594" s="34">
        <f t="shared" si="175"/>
        <v>8.3720930232558146</v>
      </c>
    </row>
    <row r="5595" spans="1:14" x14ac:dyDescent="0.45">
      <c r="A5595" s="30">
        <v>2025</v>
      </c>
      <c r="B5595" s="30" t="s">
        <v>13</v>
      </c>
      <c r="C5595" s="30" t="s">
        <v>46</v>
      </c>
      <c r="D5595" s="30" t="s">
        <v>47</v>
      </c>
      <c r="E5595" s="31" t="s">
        <v>379</v>
      </c>
      <c r="F5595" s="32" t="s">
        <v>49</v>
      </c>
      <c r="G5595" s="32" t="s">
        <v>50</v>
      </c>
      <c r="H5595" s="33">
        <v>20510</v>
      </c>
      <c r="I5595" s="34">
        <f>Table3[[#This Row],[Volume, kg.]]/1000</f>
        <v>20.51</v>
      </c>
      <c r="J5595" s="34">
        <v>0.20660000000000001</v>
      </c>
      <c r="K5595" s="34">
        <f t="shared" si="174"/>
        <v>4237.366</v>
      </c>
      <c r="L5595" s="34">
        <v>1.75</v>
      </c>
      <c r="M5595" s="34">
        <v>35800</v>
      </c>
      <c r="N5595" s="34">
        <f t="shared" si="175"/>
        <v>8.4704743465634067</v>
      </c>
    </row>
    <row r="5596" spans="1:14" x14ac:dyDescent="0.45">
      <c r="A5596" s="30">
        <v>2025</v>
      </c>
      <c r="B5596" s="30" t="s">
        <v>13</v>
      </c>
      <c r="C5596" s="30" t="s">
        <v>46</v>
      </c>
      <c r="D5596" s="30" t="s">
        <v>47</v>
      </c>
      <c r="E5596" s="31" t="s">
        <v>164</v>
      </c>
      <c r="F5596" s="32" t="s">
        <v>49</v>
      </c>
      <c r="G5596" s="32" t="s">
        <v>50</v>
      </c>
      <c r="H5596" s="33">
        <v>30240</v>
      </c>
      <c r="I5596" s="34">
        <f>Table3[[#This Row],[Volume, kg.]]/1000</f>
        <v>30.24</v>
      </c>
      <c r="J5596" s="34">
        <v>0.2165</v>
      </c>
      <c r="K5596" s="34">
        <f t="shared" si="174"/>
        <v>6546.96</v>
      </c>
      <c r="L5596" s="34">
        <v>1.81</v>
      </c>
      <c r="M5596" s="34">
        <v>54651.5</v>
      </c>
      <c r="N5596" s="34">
        <f t="shared" si="175"/>
        <v>8.3602771362586612</v>
      </c>
    </row>
    <row r="5597" spans="1:14" x14ac:dyDescent="0.45">
      <c r="A5597" s="30">
        <v>2025</v>
      </c>
      <c r="B5597" s="30" t="s">
        <v>13</v>
      </c>
      <c r="C5597" s="30" t="s">
        <v>46</v>
      </c>
      <c r="D5597" s="30" t="s">
        <v>47</v>
      </c>
      <c r="E5597" s="31" t="s">
        <v>534</v>
      </c>
      <c r="F5597" s="32" t="s">
        <v>49</v>
      </c>
      <c r="G5597" s="32" t="s">
        <v>50</v>
      </c>
      <c r="H5597" s="33">
        <v>109240</v>
      </c>
      <c r="I5597" s="34">
        <f>Table3[[#This Row],[Volume, kg.]]/1000</f>
        <v>109.24</v>
      </c>
      <c r="J5597" s="34">
        <v>0.21640000000000001</v>
      </c>
      <c r="K5597" s="34">
        <f t="shared" si="174"/>
        <v>23639.536</v>
      </c>
      <c r="L5597" s="34">
        <v>1.82</v>
      </c>
      <c r="M5597" s="34">
        <v>198306.5</v>
      </c>
      <c r="N5597" s="34">
        <f t="shared" si="175"/>
        <v>8.4103512014787434</v>
      </c>
    </row>
    <row r="5598" spans="1:14" x14ac:dyDescent="0.45">
      <c r="A5598" s="30">
        <v>2025</v>
      </c>
      <c r="B5598" s="30" t="s">
        <v>13</v>
      </c>
      <c r="C5598" s="30" t="s">
        <v>46</v>
      </c>
      <c r="D5598" s="30" t="s">
        <v>47</v>
      </c>
      <c r="E5598" s="31" t="s">
        <v>220</v>
      </c>
      <c r="F5598" s="32" t="s">
        <v>49</v>
      </c>
      <c r="G5598" s="32" t="s">
        <v>50</v>
      </c>
      <c r="H5598" s="33">
        <v>19040</v>
      </c>
      <c r="I5598" s="34">
        <f>Table3[[#This Row],[Volume, kg.]]/1000</f>
        <v>19.04</v>
      </c>
      <c r="J5598" s="34">
        <v>0.19339999999999999</v>
      </c>
      <c r="K5598" s="34">
        <f t="shared" si="174"/>
        <v>3682.3359999999998</v>
      </c>
      <c r="L5598" s="34">
        <v>1.69</v>
      </c>
      <c r="M5598" s="34">
        <v>32192</v>
      </c>
      <c r="N5598" s="34">
        <f t="shared" si="175"/>
        <v>8.7383660806618408</v>
      </c>
    </row>
    <row r="5599" spans="1:14" x14ac:dyDescent="0.45">
      <c r="A5599" s="30">
        <v>2025</v>
      </c>
      <c r="B5599" s="30" t="s">
        <v>13</v>
      </c>
      <c r="C5599" s="30" t="s">
        <v>46</v>
      </c>
      <c r="D5599" s="30" t="s">
        <v>47</v>
      </c>
      <c r="E5599" s="31" t="s">
        <v>358</v>
      </c>
      <c r="F5599" s="32" t="s">
        <v>60</v>
      </c>
      <c r="G5599" s="32" t="s">
        <v>50</v>
      </c>
      <c r="H5599" s="33">
        <v>17610</v>
      </c>
      <c r="I5599" s="34">
        <f>Table3[[#This Row],[Volume, kg.]]/1000</f>
        <v>17.61</v>
      </c>
      <c r="J5599" s="34">
        <v>0.21539999999999998</v>
      </c>
      <c r="K5599" s="34">
        <f t="shared" si="174"/>
        <v>3793.1939999999995</v>
      </c>
      <c r="L5599" s="34">
        <v>1.83</v>
      </c>
      <c r="M5599" s="34">
        <v>32151.5</v>
      </c>
      <c r="N5599" s="34">
        <f t="shared" si="175"/>
        <v>8.4958217270195</v>
      </c>
    </row>
    <row r="5600" spans="1:14" x14ac:dyDescent="0.45">
      <c r="A5600" s="30">
        <v>2025</v>
      </c>
      <c r="B5600" s="30" t="s">
        <v>13</v>
      </c>
      <c r="C5600" s="30" t="s">
        <v>46</v>
      </c>
      <c r="D5600" s="30" t="s">
        <v>47</v>
      </c>
      <c r="E5600" s="31" t="s">
        <v>464</v>
      </c>
      <c r="F5600" s="32" t="s">
        <v>57</v>
      </c>
      <c r="G5600" s="32" t="s">
        <v>50</v>
      </c>
      <c r="H5600" s="33">
        <v>35910</v>
      </c>
      <c r="I5600" s="34">
        <f>Table3[[#This Row],[Volume, kg.]]/1000</f>
        <v>35.909999999999997</v>
      </c>
      <c r="J5600" s="34">
        <v>0.20550000000000002</v>
      </c>
      <c r="K5600" s="34">
        <f t="shared" si="174"/>
        <v>7379.505000000001</v>
      </c>
      <c r="L5600" s="34">
        <v>1.76</v>
      </c>
      <c r="M5600" s="34">
        <v>63055</v>
      </c>
      <c r="N5600" s="34">
        <f t="shared" si="175"/>
        <v>8.5644768856447691</v>
      </c>
    </row>
    <row r="5601" spans="1:14" x14ac:dyDescent="0.45">
      <c r="A5601" s="30">
        <v>2025</v>
      </c>
      <c r="B5601" s="30" t="s">
        <v>13</v>
      </c>
      <c r="C5601" s="30" t="s">
        <v>46</v>
      </c>
      <c r="D5601" s="30" t="s">
        <v>47</v>
      </c>
      <c r="E5601" s="31" t="s">
        <v>260</v>
      </c>
      <c r="F5601" s="32" t="s">
        <v>49</v>
      </c>
      <c r="G5601" s="32" t="s">
        <v>50</v>
      </c>
      <c r="H5601" s="33">
        <v>67770</v>
      </c>
      <c r="I5601" s="34">
        <f>Table3[[#This Row],[Volume, kg.]]/1000</f>
        <v>67.77</v>
      </c>
      <c r="J5601" s="34">
        <v>0.2046</v>
      </c>
      <c r="K5601" s="34">
        <f t="shared" si="174"/>
        <v>13865.742</v>
      </c>
      <c r="L5601" s="34">
        <v>1.73</v>
      </c>
      <c r="M5601" s="34">
        <v>117509</v>
      </c>
      <c r="N5601" s="34">
        <f t="shared" si="175"/>
        <v>8.4555229716520035</v>
      </c>
    </row>
    <row r="5602" spans="1:14" x14ac:dyDescent="0.45">
      <c r="A5602" s="30">
        <v>2025</v>
      </c>
      <c r="B5602" s="30" t="s">
        <v>13</v>
      </c>
      <c r="C5602" s="30" t="s">
        <v>46</v>
      </c>
      <c r="D5602" s="30" t="s">
        <v>47</v>
      </c>
      <c r="E5602" s="31" t="s">
        <v>689</v>
      </c>
      <c r="F5602" s="32" t="s">
        <v>49</v>
      </c>
      <c r="G5602" s="32" t="s">
        <v>50</v>
      </c>
      <c r="H5602" s="33">
        <v>19180</v>
      </c>
      <c r="I5602" s="34">
        <f>Table3[[#This Row],[Volume, kg.]]/1000</f>
        <v>19.18</v>
      </c>
      <c r="J5602" s="34">
        <v>0.18859999999999999</v>
      </c>
      <c r="K5602" s="34">
        <f t="shared" si="174"/>
        <v>3617.348</v>
      </c>
      <c r="L5602" s="34">
        <v>1.69</v>
      </c>
      <c r="M5602" s="34">
        <v>32369</v>
      </c>
      <c r="N5602" s="34">
        <f t="shared" si="175"/>
        <v>8.960763520678686</v>
      </c>
    </row>
    <row r="5603" spans="1:14" x14ac:dyDescent="0.45">
      <c r="A5603" s="30">
        <v>2025</v>
      </c>
      <c r="B5603" s="30" t="s">
        <v>13</v>
      </c>
      <c r="C5603" s="30" t="s">
        <v>46</v>
      </c>
      <c r="D5603" s="30" t="s">
        <v>47</v>
      </c>
      <c r="E5603" s="31" t="s">
        <v>187</v>
      </c>
      <c r="F5603" s="32" t="s">
        <v>54</v>
      </c>
      <c r="G5603" s="32" t="s">
        <v>50</v>
      </c>
      <c r="H5603" s="33">
        <v>16870</v>
      </c>
      <c r="I5603" s="34">
        <f>Table3[[#This Row],[Volume, kg.]]/1000</f>
        <v>16.87</v>
      </c>
      <c r="J5603" s="34">
        <v>0.2195</v>
      </c>
      <c r="K5603" s="34">
        <f t="shared" si="174"/>
        <v>3702.9650000000001</v>
      </c>
      <c r="L5603" s="34">
        <v>1.85</v>
      </c>
      <c r="M5603" s="34">
        <v>31209.5</v>
      </c>
      <c r="N5603" s="34">
        <f t="shared" si="175"/>
        <v>8.428246013667426</v>
      </c>
    </row>
    <row r="5604" spans="1:14" x14ac:dyDescent="0.45">
      <c r="A5604" s="30">
        <v>2025</v>
      </c>
      <c r="B5604" s="30" t="s">
        <v>13</v>
      </c>
      <c r="C5604" s="30" t="s">
        <v>46</v>
      </c>
      <c r="D5604" s="30" t="s">
        <v>47</v>
      </c>
      <c r="E5604" s="31" t="s">
        <v>191</v>
      </c>
      <c r="F5604" s="32" t="s">
        <v>49</v>
      </c>
      <c r="G5604" s="32" t="s">
        <v>50</v>
      </c>
      <c r="H5604" s="33">
        <v>39480</v>
      </c>
      <c r="I5604" s="34">
        <f>Table3[[#This Row],[Volume, kg.]]/1000</f>
        <v>39.479999999999997</v>
      </c>
      <c r="J5604" s="34">
        <v>0.2238</v>
      </c>
      <c r="K5604" s="34">
        <f t="shared" si="174"/>
        <v>8835.6239999999998</v>
      </c>
      <c r="L5604" s="34">
        <v>1.87</v>
      </c>
      <c r="M5604" s="34">
        <v>73852</v>
      </c>
      <c r="N5604" s="34">
        <f t="shared" si="175"/>
        <v>8.3556747095621091</v>
      </c>
    </row>
    <row r="5605" spans="1:14" x14ac:dyDescent="0.45">
      <c r="A5605" s="30">
        <v>2025</v>
      </c>
      <c r="B5605" s="30" t="s">
        <v>13</v>
      </c>
      <c r="C5605" s="30" t="s">
        <v>46</v>
      </c>
      <c r="D5605" s="30" t="s">
        <v>47</v>
      </c>
      <c r="E5605" s="31" t="s">
        <v>291</v>
      </c>
      <c r="F5605" s="32" t="s">
        <v>57</v>
      </c>
      <c r="G5605" s="32" t="s">
        <v>50</v>
      </c>
      <c r="H5605" s="33">
        <v>79580</v>
      </c>
      <c r="I5605" s="34">
        <f>Table3[[#This Row],[Volume, kg.]]/1000</f>
        <v>79.58</v>
      </c>
      <c r="J5605" s="34">
        <v>0.22539999999999999</v>
      </c>
      <c r="K5605" s="34">
        <f t="shared" si="174"/>
        <v>17937.331999999999</v>
      </c>
      <c r="L5605" s="34">
        <v>1.88</v>
      </c>
      <c r="M5605" s="34">
        <v>149627</v>
      </c>
      <c r="N5605" s="34">
        <f t="shared" si="175"/>
        <v>8.3407275953859799</v>
      </c>
    </row>
    <row r="5606" spans="1:14" x14ac:dyDescent="0.45">
      <c r="A5606" s="30">
        <v>2025</v>
      </c>
      <c r="B5606" s="30" t="s">
        <v>13</v>
      </c>
      <c r="C5606" s="30" t="s">
        <v>46</v>
      </c>
      <c r="D5606" s="30" t="s">
        <v>47</v>
      </c>
      <c r="E5606" s="31" t="s">
        <v>352</v>
      </c>
      <c r="F5606" s="32" t="s">
        <v>54</v>
      </c>
      <c r="G5606" s="32" t="s">
        <v>50</v>
      </c>
      <c r="H5606" s="33">
        <v>157770</v>
      </c>
      <c r="I5606" s="34">
        <f>Table3[[#This Row],[Volume, kg.]]/1000</f>
        <v>157.77000000000001</v>
      </c>
      <c r="J5606" s="34">
        <v>0.19350000000000001</v>
      </c>
      <c r="K5606" s="34">
        <f t="shared" si="174"/>
        <v>30528.495000000003</v>
      </c>
      <c r="L5606" s="34">
        <v>1.71</v>
      </c>
      <c r="M5606" s="34">
        <v>269731</v>
      </c>
      <c r="N5606" s="34">
        <f t="shared" si="175"/>
        <v>8.8372093023255811</v>
      </c>
    </row>
    <row r="5607" spans="1:14" x14ac:dyDescent="0.45">
      <c r="A5607" s="30">
        <v>2025</v>
      </c>
      <c r="B5607" s="30" t="s">
        <v>13</v>
      </c>
      <c r="C5607" s="30" t="s">
        <v>46</v>
      </c>
      <c r="D5607" s="30" t="s">
        <v>47</v>
      </c>
      <c r="E5607" s="31" t="s">
        <v>110</v>
      </c>
      <c r="F5607" s="32" t="s">
        <v>57</v>
      </c>
      <c r="G5607" s="32" t="s">
        <v>50</v>
      </c>
      <c r="H5607" s="33">
        <v>10180</v>
      </c>
      <c r="I5607" s="34">
        <f>Table3[[#This Row],[Volume, kg.]]/1000</f>
        <v>10.18</v>
      </c>
      <c r="J5607" s="34">
        <v>0.2021</v>
      </c>
      <c r="K5607" s="34">
        <f t="shared" si="174"/>
        <v>2057.3780000000002</v>
      </c>
      <c r="L5607" s="34">
        <v>1.75</v>
      </c>
      <c r="M5607" s="34">
        <v>17773</v>
      </c>
      <c r="N5607" s="34">
        <f t="shared" si="175"/>
        <v>8.6590796635329053</v>
      </c>
    </row>
    <row r="5608" spans="1:14" x14ac:dyDescent="0.45">
      <c r="A5608" s="30">
        <v>2025</v>
      </c>
      <c r="B5608" s="30" t="s">
        <v>13</v>
      </c>
      <c r="C5608" s="30" t="s">
        <v>46</v>
      </c>
      <c r="D5608" s="30" t="s">
        <v>47</v>
      </c>
      <c r="E5608" s="31" t="s">
        <v>162</v>
      </c>
      <c r="F5608" s="32" t="s">
        <v>49</v>
      </c>
      <c r="G5608" s="32" t="s">
        <v>50</v>
      </c>
      <c r="H5608" s="33">
        <v>8190</v>
      </c>
      <c r="I5608" s="34">
        <f>Table3[[#This Row],[Volume, kg.]]/1000</f>
        <v>8.19</v>
      </c>
      <c r="J5608" s="34">
        <v>0.19550000000000001</v>
      </c>
      <c r="K5608" s="34">
        <f t="shared" si="174"/>
        <v>1601.145</v>
      </c>
      <c r="L5608" s="34">
        <v>1.75</v>
      </c>
      <c r="M5608" s="34">
        <v>14307</v>
      </c>
      <c r="N5608" s="34">
        <f t="shared" si="175"/>
        <v>8.9514066496163682</v>
      </c>
    </row>
    <row r="5609" spans="1:14" x14ac:dyDescent="0.45">
      <c r="A5609" s="30">
        <v>2025</v>
      </c>
      <c r="B5609" s="30" t="s">
        <v>13</v>
      </c>
      <c r="C5609" s="30" t="s">
        <v>46</v>
      </c>
      <c r="D5609" s="30" t="s">
        <v>47</v>
      </c>
      <c r="E5609" s="31" t="s">
        <v>385</v>
      </c>
      <c r="F5609" s="32" t="s">
        <v>57</v>
      </c>
      <c r="G5609" s="32" t="s">
        <v>50</v>
      </c>
      <c r="H5609" s="33">
        <v>28180</v>
      </c>
      <c r="I5609" s="34">
        <f>Table3[[#This Row],[Volume, kg.]]/1000</f>
        <v>28.18</v>
      </c>
      <c r="J5609" s="34">
        <v>0.2041</v>
      </c>
      <c r="K5609" s="34">
        <f t="shared" ref="K5609:K5672" si="176">H5609*J5609</f>
        <v>5751.5380000000005</v>
      </c>
      <c r="L5609" s="34">
        <v>1.76</v>
      </c>
      <c r="M5609" s="34">
        <v>49565</v>
      </c>
      <c r="N5609" s="34">
        <f t="shared" ref="N5609:N5672" si="177">L5609/J5609</f>
        <v>8.6232239098481127</v>
      </c>
    </row>
    <row r="5610" spans="1:14" x14ac:dyDescent="0.45">
      <c r="A5610" s="30">
        <v>2025</v>
      </c>
      <c r="B5610" s="30" t="s">
        <v>13</v>
      </c>
      <c r="C5610" s="30" t="s">
        <v>46</v>
      </c>
      <c r="D5610" s="30" t="s">
        <v>47</v>
      </c>
      <c r="E5610" s="31" t="s">
        <v>142</v>
      </c>
      <c r="F5610" s="32" t="s">
        <v>57</v>
      </c>
      <c r="G5610" s="32" t="s">
        <v>50</v>
      </c>
      <c r="H5610" s="33">
        <v>29000</v>
      </c>
      <c r="I5610" s="34">
        <f>Table3[[#This Row],[Volume, kg.]]/1000</f>
        <v>29</v>
      </c>
      <c r="J5610" s="34">
        <v>0.20780000000000001</v>
      </c>
      <c r="K5610" s="34">
        <f t="shared" si="176"/>
        <v>6026.2000000000007</v>
      </c>
      <c r="L5610" s="34">
        <v>1.77</v>
      </c>
      <c r="M5610" s="34">
        <v>51233</v>
      </c>
      <c r="N5610" s="34">
        <f t="shared" si="177"/>
        <v>8.5178055822906629</v>
      </c>
    </row>
    <row r="5611" spans="1:14" x14ac:dyDescent="0.45">
      <c r="A5611" s="30">
        <v>2025</v>
      </c>
      <c r="B5611" s="30" t="s">
        <v>13</v>
      </c>
      <c r="C5611" s="30" t="s">
        <v>46</v>
      </c>
      <c r="D5611" s="30" t="s">
        <v>47</v>
      </c>
      <c r="E5611" s="31" t="s">
        <v>86</v>
      </c>
      <c r="F5611" s="32" t="s">
        <v>49</v>
      </c>
      <c r="G5611" s="32" t="s">
        <v>50</v>
      </c>
      <c r="H5611" s="33">
        <v>49640</v>
      </c>
      <c r="I5611" s="34">
        <f>Table3[[#This Row],[Volume, kg.]]/1000</f>
        <v>49.64</v>
      </c>
      <c r="J5611" s="34">
        <v>0.23199999999999998</v>
      </c>
      <c r="K5611" s="34">
        <f t="shared" si="176"/>
        <v>11516.48</v>
      </c>
      <c r="L5611" s="34">
        <v>1.92</v>
      </c>
      <c r="M5611" s="34">
        <v>95419.5</v>
      </c>
      <c r="N5611" s="34">
        <f t="shared" si="177"/>
        <v>8.2758620689655178</v>
      </c>
    </row>
    <row r="5612" spans="1:14" x14ac:dyDescent="0.45">
      <c r="A5612" s="30">
        <v>2025</v>
      </c>
      <c r="B5612" s="30" t="s">
        <v>13</v>
      </c>
      <c r="C5612" s="30" t="s">
        <v>46</v>
      </c>
      <c r="D5612" s="30" t="s">
        <v>47</v>
      </c>
      <c r="E5612" s="31" t="s">
        <v>451</v>
      </c>
      <c r="F5612" s="32" t="s">
        <v>54</v>
      </c>
      <c r="G5612" s="32" t="s">
        <v>50</v>
      </c>
      <c r="H5612" s="33">
        <v>61220</v>
      </c>
      <c r="I5612" s="34">
        <f>Table3[[#This Row],[Volume, kg.]]/1000</f>
        <v>61.22</v>
      </c>
      <c r="J5612" s="34">
        <v>0.19719999999999999</v>
      </c>
      <c r="K5612" s="34">
        <f t="shared" si="176"/>
        <v>12072.583999999999</v>
      </c>
      <c r="L5612" s="34">
        <v>1.7</v>
      </c>
      <c r="M5612" s="34">
        <v>103980</v>
      </c>
      <c r="N5612" s="34">
        <f t="shared" si="177"/>
        <v>8.6206896551724146</v>
      </c>
    </row>
    <row r="5613" spans="1:14" x14ac:dyDescent="0.45">
      <c r="A5613" s="30">
        <v>2025</v>
      </c>
      <c r="B5613" s="30" t="s">
        <v>13</v>
      </c>
      <c r="C5613" s="30" t="s">
        <v>46</v>
      </c>
      <c r="D5613" s="30" t="s">
        <v>47</v>
      </c>
      <c r="E5613" s="31" t="s">
        <v>431</v>
      </c>
      <c r="F5613" s="32" t="s">
        <v>49</v>
      </c>
      <c r="G5613" s="32" t="s">
        <v>50</v>
      </c>
      <c r="H5613" s="33">
        <v>25290</v>
      </c>
      <c r="I5613" s="34">
        <f>Table3[[#This Row],[Volume, kg.]]/1000</f>
        <v>25.29</v>
      </c>
      <c r="J5613" s="34">
        <v>0.2147</v>
      </c>
      <c r="K5613" s="34">
        <f t="shared" si="176"/>
        <v>5429.7629999999999</v>
      </c>
      <c r="L5613" s="34">
        <v>1.82</v>
      </c>
      <c r="M5613" s="34">
        <v>46144</v>
      </c>
      <c r="N5613" s="34">
        <f t="shared" si="177"/>
        <v>8.4769445738239408</v>
      </c>
    </row>
    <row r="5614" spans="1:14" x14ac:dyDescent="0.45">
      <c r="A5614" s="30">
        <v>2025</v>
      </c>
      <c r="B5614" s="30" t="s">
        <v>13</v>
      </c>
      <c r="C5614" s="30" t="s">
        <v>46</v>
      </c>
      <c r="D5614" s="30" t="s">
        <v>47</v>
      </c>
      <c r="E5614" s="31" t="s">
        <v>167</v>
      </c>
      <c r="F5614" s="32" t="s">
        <v>49</v>
      </c>
      <c r="G5614" s="32" t="s">
        <v>50</v>
      </c>
      <c r="H5614" s="33">
        <v>147000</v>
      </c>
      <c r="I5614" s="34">
        <f>Table3[[#This Row],[Volume, kg.]]/1000</f>
        <v>147</v>
      </c>
      <c r="J5614" s="34">
        <v>0.20010000000000003</v>
      </c>
      <c r="K5614" s="34">
        <f t="shared" si="176"/>
        <v>29414.700000000004</v>
      </c>
      <c r="L5614" s="34">
        <v>1.74</v>
      </c>
      <c r="M5614" s="34">
        <v>255213.5</v>
      </c>
      <c r="N5614" s="34">
        <f t="shared" si="177"/>
        <v>8.695652173913043</v>
      </c>
    </row>
    <row r="5615" spans="1:14" x14ac:dyDescent="0.45">
      <c r="A5615" s="30">
        <v>2025</v>
      </c>
      <c r="B5615" s="30" t="s">
        <v>13</v>
      </c>
      <c r="C5615" s="30" t="s">
        <v>46</v>
      </c>
      <c r="D5615" s="30" t="s">
        <v>47</v>
      </c>
      <c r="E5615" s="31" t="s">
        <v>190</v>
      </c>
      <c r="F5615" s="32" t="s">
        <v>81</v>
      </c>
      <c r="G5615" s="32" t="s">
        <v>50</v>
      </c>
      <c r="H5615" s="33">
        <v>110690</v>
      </c>
      <c r="I5615" s="34">
        <f>Table3[[#This Row],[Volume, kg.]]/1000</f>
        <v>110.69</v>
      </c>
      <c r="J5615" s="34">
        <v>0.20149999999999998</v>
      </c>
      <c r="K5615" s="34">
        <f t="shared" si="176"/>
        <v>22304.035</v>
      </c>
      <c r="L5615" s="34">
        <v>1.73</v>
      </c>
      <c r="M5615" s="34">
        <v>191501</v>
      </c>
      <c r="N5615" s="34">
        <f t="shared" si="177"/>
        <v>8.5856079404466499</v>
      </c>
    </row>
    <row r="5616" spans="1:14" x14ac:dyDescent="0.45">
      <c r="A5616" s="30">
        <v>2025</v>
      </c>
      <c r="B5616" s="30" t="s">
        <v>13</v>
      </c>
      <c r="C5616" s="30" t="s">
        <v>46</v>
      </c>
      <c r="D5616" s="30" t="s">
        <v>47</v>
      </c>
      <c r="E5616" s="31" t="s">
        <v>498</v>
      </c>
      <c r="F5616" s="32" t="s">
        <v>49</v>
      </c>
      <c r="G5616" s="32" t="s">
        <v>50</v>
      </c>
      <c r="H5616" s="33">
        <v>8770</v>
      </c>
      <c r="I5616" s="34">
        <f>Table3[[#This Row],[Volume, kg.]]/1000</f>
        <v>8.77</v>
      </c>
      <c r="J5616" s="34">
        <v>0.21050000000000002</v>
      </c>
      <c r="K5616" s="34">
        <f t="shared" si="176"/>
        <v>1846.0850000000003</v>
      </c>
      <c r="L5616" s="34">
        <v>1.8</v>
      </c>
      <c r="M5616" s="34">
        <v>15786</v>
      </c>
      <c r="N5616" s="34">
        <f t="shared" si="177"/>
        <v>8.5510688836104514</v>
      </c>
    </row>
    <row r="5617" spans="1:14" x14ac:dyDescent="0.45">
      <c r="A5617" s="30">
        <v>2025</v>
      </c>
      <c r="B5617" s="30" t="s">
        <v>13</v>
      </c>
      <c r="C5617" s="30" t="s">
        <v>46</v>
      </c>
      <c r="D5617" s="30" t="s">
        <v>47</v>
      </c>
      <c r="E5617" s="31" t="s">
        <v>77</v>
      </c>
      <c r="F5617" s="32" t="s">
        <v>49</v>
      </c>
      <c r="G5617" s="32" t="s">
        <v>50</v>
      </c>
      <c r="H5617" s="33">
        <v>30110</v>
      </c>
      <c r="I5617" s="34">
        <f>Table3[[#This Row],[Volume, kg.]]/1000</f>
        <v>30.11</v>
      </c>
      <c r="J5617" s="34">
        <v>0.22059999999999999</v>
      </c>
      <c r="K5617" s="34">
        <f t="shared" si="176"/>
        <v>6642.2659999999996</v>
      </c>
      <c r="L5617" s="34">
        <v>1.84</v>
      </c>
      <c r="M5617" s="34">
        <v>55522</v>
      </c>
      <c r="N5617" s="34">
        <f t="shared" si="177"/>
        <v>8.3408884859474171</v>
      </c>
    </row>
    <row r="5618" spans="1:14" x14ac:dyDescent="0.45">
      <c r="A5618" s="30">
        <v>2025</v>
      </c>
      <c r="B5618" s="30" t="s">
        <v>13</v>
      </c>
      <c r="C5618" s="30" t="s">
        <v>46</v>
      </c>
      <c r="D5618" s="30" t="s">
        <v>47</v>
      </c>
      <c r="E5618" s="31" t="s">
        <v>132</v>
      </c>
      <c r="F5618" s="32" t="s">
        <v>49</v>
      </c>
      <c r="G5618" s="32" t="s">
        <v>50</v>
      </c>
      <c r="H5618" s="33">
        <v>7170</v>
      </c>
      <c r="I5618" s="34">
        <f>Table3[[#This Row],[Volume, kg.]]/1000</f>
        <v>7.17</v>
      </c>
      <c r="J5618" s="34">
        <v>0.1757</v>
      </c>
      <c r="K5618" s="34">
        <f t="shared" si="176"/>
        <v>1259.769</v>
      </c>
      <c r="L5618" s="34">
        <v>1.65</v>
      </c>
      <c r="M5618" s="34">
        <v>11830.5</v>
      </c>
      <c r="N5618" s="34">
        <f t="shared" si="177"/>
        <v>9.3910073989755265</v>
      </c>
    </row>
    <row r="5619" spans="1:14" x14ac:dyDescent="0.45">
      <c r="A5619" s="30">
        <v>2025</v>
      </c>
      <c r="B5619" s="30" t="s">
        <v>13</v>
      </c>
      <c r="C5619" s="30" t="s">
        <v>46</v>
      </c>
      <c r="D5619" s="30" t="s">
        <v>47</v>
      </c>
      <c r="E5619" s="31" t="s">
        <v>466</v>
      </c>
      <c r="F5619" s="32" t="s">
        <v>57</v>
      </c>
      <c r="G5619" s="32" t="s">
        <v>50</v>
      </c>
      <c r="H5619" s="33">
        <v>10780</v>
      </c>
      <c r="I5619" s="34">
        <f>Table3[[#This Row],[Volume, kg.]]/1000</f>
        <v>10.78</v>
      </c>
      <c r="J5619" s="34">
        <v>0.20420000000000002</v>
      </c>
      <c r="K5619" s="34">
        <f t="shared" si="176"/>
        <v>2201.2760000000003</v>
      </c>
      <c r="L5619" s="34">
        <v>1.77</v>
      </c>
      <c r="M5619" s="34">
        <v>19085.5</v>
      </c>
      <c r="N5619" s="34">
        <f t="shared" si="177"/>
        <v>8.6679725759059743</v>
      </c>
    </row>
    <row r="5620" spans="1:14" x14ac:dyDescent="0.45">
      <c r="A5620" s="30">
        <v>2025</v>
      </c>
      <c r="B5620" s="30" t="s">
        <v>13</v>
      </c>
      <c r="C5620" s="30" t="s">
        <v>46</v>
      </c>
      <c r="D5620" s="30" t="s">
        <v>47</v>
      </c>
      <c r="E5620" s="31" t="s">
        <v>263</v>
      </c>
      <c r="F5620" s="32" t="s">
        <v>81</v>
      </c>
      <c r="G5620" s="32" t="s">
        <v>50</v>
      </c>
      <c r="H5620" s="33">
        <v>4010</v>
      </c>
      <c r="I5620" s="34">
        <f>Table3[[#This Row],[Volume, kg.]]/1000</f>
        <v>4.01</v>
      </c>
      <c r="J5620" s="34">
        <v>0.18899999999999997</v>
      </c>
      <c r="K5620" s="34">
        <f t="shared" si="176"/>
        <v>757.88999999999987</v>
      </c>
      <c r="L5620" s="34">
        <v>1.7</v>
      </c>
      <c r="M5620" s="34">
        <v>6817</v>
      </c>
      <c r="N5620" s="34">
        <f t="shared" si="177"/>
        <v>8.9947089947089953</v>
      </c>
    </row>
    <row r="5621" spans="1:14" x14ac:dyDescent="0.45">
      <c r="A5621" s="30">
        <v>2025</v>
      </c>
      <c r="B5621" s="30" t="s">
        <v>13</v>
      </c>
      <c r="C5621" s="30" t="s">
        <v>46</v>
      </c>
      <c r="D5621" s="30" t="s">
        <v>47</v>
      </c>
      <c r="E5621" s="31" t="s">
        <v>333</v>
      </c>
      <c r="F5621" s="32" t="s">
        <v>57</v>
      </c>
      <c r="G5621" s="32" t="s">
        <v>50</v>
      </c>
      <c r="H5621" s="33">
        <v>15310</v>
      </c>
      <c r="I5621" s="34">
        <f>Table3[[#This Row],[Volume, kg.]]/1000</f>
        <v>15.31</v>
      </c>
      <c r="J5621" s="34">
        <v>0.18410000000000001</v>
      </c>
      <c r="K5621" s="34">
        <f t="shared" si="176"/>
        <v>2818.5710000000004</v>
      </c>
      <c r="L5621" s="34">
        <v>1.63</v>
      </c>
      <c r="M5621" s="34">
        <v>24973.5</v>
      </c>
      <c r="N5621" s="34">
        <f t="shared" si="177"/>
        <v>8.8538837588267238</v>
      </c>
    </row>
    <row r="5622" spans="1:14" x14ac:dyDescent="0.45">
      <c r="A5622" s="30">
        <v>2025</v>
      </c>
      <c r="B5622" s="30" t="s">
        <v>13</v>
      </c>
      <c r="C5622" s="30" t="s">
        <v>46</v>
      </c>
      <c r="D5622" s="30" t="s">
        <v>47</v>
      </c>
      <c r="E5622" s="31" t="s">
        <v>236</v>
      </c>
      <c r="F5622" s="32" t="s">
        <v>49</v>
      </c>
      <c r="G5622" s="32" t="s">
        <v>50</v>
      </c>
      <c r="H5622" s="33">
        <v>40960</v>
      </c>
      <c r="I5622" s="34">
        <f>Table3[[#This Row],[Volume, kg.]]/1000</f>
        <v>40.96</v>
      </c>
      <c r="J5622" s="34">
        <v>0.2235</v>
      </c>
      <c r="K5622" s="34">
        <f t="shared" si="176"/>
        <v>9154.56</v>
      </c>
      <c r="L5622" s="34">
        <v>1.85</v>
      </c>
      <c r="M5622" s="34">
        <v>75876</v>
      </c>
      <c r="N5622" s="34">
        <f t="shared" si="177"/>
        <v>8.2774049217002243</v>
      </c>
    </row>
    <row r="5623" spans="1:14" x14ac:dyDescent="0.45">
      <c r="A5623" s="30">
        <v>2025</v>
      </c>
      <c r="B5623" s="30" t="s">
        <v>13</v>
      </c>
      <c r="C5623" s="30" t="s">
        <v>46</v>
      </c>
      <c r="D5623" s="30" t="s">
        <v>47</v>
      </c>
      <c r="E5623" s="31" t="s">
        <v>111</v>
      </c>
      <c r="F5623" s="32" t="s">
        <v>60</v>
      </c>
      <c r="G5623" s="32" t="s">
        <v>50</v>
      </c>
      <c r="H5623" s="33">
        <v>55790</v>
      </c>
      <c r="I5623" s="34">
        <f>Table3[[#This Row],[Volume, kg.]]/1000</f>
        <v>55.79</v>
      </c>
      <c r="J5623" s="34">
        <v>0.2069</v>
      </c>
      <c r="K5623" s="34">
        <f t="shared" si="176"/>
        <v>11542.951000000001</v>
      </c>
      <c r="L5623" s="34">
        <v>1.78</v>
      </c>
      <c r="M5623" s="34">
        <v>99233</v>
      </c>
      <c r="N5623" s="34">
        <f t="shared" si="177"/>
        <v>8.6031899468342203</v>
      </c>
    </row>
    <row r="5624" spans="1:14" x14ac:dyDescent="0.45">
      <c r="A5624" s="30">
        <v>2025</v>
      </c>
      <c r="B5624" s="30" t="s">
        <v>13</v>
      </c>
      <c r="C5624" s="30" t="s">
        <v>46</v>
      </c>
      <c r="D5624" s="30" t="s">
        <v>47</v>
      </c>
      <c r="E5624" s="31" t="s">
        <v>121</v>
      </c>
      <c r="F5624" s="32" t="s">
        <v>60</v>
      </c>
      <c r="G5624" s="32" t="s">
        <v>50</v>
      </c>
      <c r="H5624" s="33">
        <v>15130</v>
      </c>
      <c r="I5624" s="34">
        <f>Table3[[#This Row],[Volume, kg.]]/1000</f>
        <v>15.13</v>
      </c>
      <c r="J5624" s="34">
        <v>0.22600000000000001</v>
      </c>
      <c r="K5624" s="34">
        <f t="shared" si="176"/>
        <v>3419.38</v>
      </c>
      <c r="L5624" s="34">
        <v>1.85</v>
      </c>
      <c r="M5624" s="34">
        <v>27990.5</v>
      </c>
      <c r="N5624" s="34">
        <f t="shared" si="177"/>
        <v>8.1858407079646014</v>
      </c>
    </row>
    <row r="5625" spans="1:14" x14ac:dyDescent="0.45">
      <c r="A5625" s="30">
        <v>2025</v>
      </c>
      <c r="B5625" s="30" t="s">
        <v>13</v>
      </c>
      <c r="C5625" s="30" t="s">
        <v>46</v>
      </c>
      <c r="D5625" s="30" t="s">
        <v>47</v>
      </c>
      <c r="E5625" s="31" t="s">
        <v>499</v>
      </c>
      <c r="F5625" s="32" t="s">
        <v>81</v>
      </c>
      <c r="G5625" s="32" t="s">
        <v>50</v>
      </c>
      <c r="H5625" s="33">
        <v>64850</v>
      </c>
      <c r="I5625" s="34">
        <f>Table3[[#This Row],[Volume, kg.]]/1000</f>
        <v>64.849999999999994</v>
      </c>
      <c r="J5625" s="34">
        <v>0.19969999999999999</v>
      </c>
      <c r="K5625" s="34">
        <f t="shared" si="176"/>
        <v>12950.545</v>
      </c>
      <c r="L5625" s="34">
        <v>1.72</v>
      </c>
      <c r="M5625" s="34">
        <v>111582.5</v>
      </c>
      <c r="N5625" s="34">
        <f t="shared" si="177"/>
        <v>8.6129193790686038</v>
      </c>
    </row>
    <row r="5626" spans="1:14" x14ac:dyDescent="0.45">
      <c r="A5626" s="30">
        <v>2025</v>
      </c>
      <c r="B5626" s="30" t="s">
        <v>13</v>
      </c>
      <c r="C5626" s="30" t="s">
        <v>46</v>
      </c>
      <c r="D5626" s="30" t="s">
        <v>47</v>
      </c>
      <c r="E5626" s="31" t="s">
        <v>288</v>
      </c>
      <c r="F5626" s="32" t="s">
        <v>49</v>
      </c>
      <c r="G5626" s="32" t="s">
        <v>50</v>
      </c>
      <c r="H5626" s="33">
        <v>299920</v>
      </c>
      <c r="I5626" s="34">
        <f>Table3[[#This Row],[Volume, kg.]]/1000</f>
        <v>299.92</v>
      </c>
      <c r="J5626" s="34">
        <v>0.2248</v>
      </c>
      <c r="K5626" s="34">
        <f t="shared" si="176"/>
        <v>67422.016000000003</v>
      </c>
      <c r="L5626" s="34">
        <v>1.86</v>
      </c>
      <c r="M5626" s="34">
        <v>556354.5</v>
      </c>
      <c r="N5626" s="34">
        <f t="shared" si="177"/>
        <v>8.2740213523131683</v>
      </c>
    </row>
    <row r="5627" spans="1:14" x14ac:dyDescent="0.45">
      <c r="A5627" s="30">
        <v>2025</v>
      </c>
      <c r="B5627" s="30" t="s">
        <v>13</v>
      </c>
      <c r="C5627" s="30" t="s">
        <v>46</v>
      </c>
      <c r="D5627" s="30" t="s">
        <v>47</v>
      </c>
      <c r="E5627" s="31" t="s">
        <v>70</v>
      </c>
      <c r="F5627" s="32" t="s">
        <v>49</v>
      </c>
      <c r="G5627" s="32" t="s">
        <v>50</v>
      </c>
      <c r="H5627" s="33">
        <v>223760</v>
      </c>
      <c r="I5627" s="34">
        <f>Table3[[#This Row],[Volume, kg.]]/1000</f>
        <v>223.76</v>
      </c>
      <c r="J5627" s="34">
        <v>0.21859999999999999</v>
      </c>
      <c r="K5627" s="34">
        <f t="shared" si="176"/>
        <v>48913.935999999994</v>
      </c>
      <c r="L5627" s="34">
        <v>1.84</v>
      </c>
      <c r="M5627" s="34">
        <v>412042</v>
      </c>
      <c r="N5627" s="34">
        <f t="shared" si="177"/>
        <v>8.4172003659652344</v>
      </c>
    </row>
    <row r="5628" spans="1:14" x14ac:dyDescent="0.45">
      <c r="A5628" s="30">
        <v>2025</v>
      </c>
      <c r="B5628" s="30" t="s">
        <v>13</v>
      </c>
      <c r="C5628" s="30" t="s">
        <v>46</v>
      </c>
      <c r="D5628" s="30" t="s">
        <v>47</v>
      </c>
      <c r="E5628" s="31" t="s">
        <v>265</v>
      </c>
      <c r="F5628" s="32" t="s">
        <v>49</v>
      </c>
      <c r="G5628" s="32" t="s">
        <v>50</v>
      </c>
      <c r="H5628" s="33">
        <v>15560</v>
      </c>
      <c r="I5628" s="34">
        <f>Table3[[#This Row],[Volume, kg.]]/1000</f>
        <v>15.56</v>
      </c>
      <c r="J5628" s="34">
        <v>0.182</v>
      </c>
      <c r="K5628" s="34">
        <f t="shared" si="176"/>
        <v>2831.92</v>
      </c>
      <c r="L5628" s="34">
        <v>1.63</v>
      </c>
      <c r="M5628" s="34">
        <v>25338</v>
      </c>
      <c r="N5628" s="34">
        <f t="shared" si="177"/>
        <v>8.9560439560439562</v>
      </c>
    </row>
    <row r="5629" spans="1:14" x14ac:dyDescent="0.45">
      <c r="A5629" s="30">
        <v>2025</v>
      </c>
      <c r="B5629" s="30" t="s">
        <v>13</v>
      </c>
      <c r="C5629" s="30" t="s">
        <v>46</v>
      </c>
      <c r="D5629" s="30" t="s">
        <v>47</v>
      </c>
      <c r="E5629" s="31" t="s">
        <v>467</v>
      </c>
      <c r="F5629" s="32" t="s">
        <v>57</v>
      </c>
      <c r="G5629" s="32" t="s">
        <v>50</v>
      </c>
      <c r="H5629" s="33">
        <v>8460</v>
      </c>
      <c r="I5629" s="34">
        <f>Table3[[#This Row],[Volume, kg.]]/1000</f>
        <v>8.4600000000000009</v>
      </c>
      <c r="J5629" s="34">
        <v>0.19039999999999999</v>
      </c>
      <c r="K5629" s="34">
        <f t="shared" si="176"/>
        <v>1610.7839999999999</v>
      </c>
      <c r="L5629" s="34">
        <v>1.66</v>
      </c>
      <c r="M5629" s="34">
        <v>14005</v>
      </c>
      <c r="N5629" s="34">
        <f t="shared" si="177"/>
        <v>8.7184873949579842</v>
      </c>
    </row>
    <row r="5630" spans="1:14" x14ac:dyDescent="0.45">
      <c r="A5630" s="30">
        <v>2025</v>
      </c>
      <c r="B5630" s="30" t="s">
        <v>13</v>
      </c>
      <c r="C5630" s="30" t="s">
        <v>46</v>
      </c>
      <c r="D5630" s="30" t="s">
        <v>47</v>
      </c>
      <c r="E5630" s="31" t="s">
        <v>192</v>
      </c>
      <c r="F5630" s="32" t="s">
        <v>49</v>
      </c>
      <c r="G5630" s="32" t="s">
        <v>50</v>
      </c>
      <c r="H5630" s="33">
        <v>31850</v>
      </c>
      <c r="I5630" s="34">
        <f>Table3[[#This Row],[Volume, kg.]]/1000</f>
        <v>31.85</v>
      </c>
      <c r="J5630" s="34">
        <v>0.19989999999999999</v>
      </c>
      <c r="K5630" s="34">
        <f t="shared" si="176"/>
        <v>6366.8149999999996</v>
      </c>
      <c r="L5630" s="34">
        <v>1.7</v>
      </c>
      <c r="M5630" s="34">
        <v>54265.5</v>
      </c>
      <c r="N5630" s="34">
        <f t="shared" si="177"/>
        <v>8.5042521260630313</v>
      </c>
    </row>
    <row r="5631" spans="1:14" x14ac:dyDescent="0.45">
      <c r="A5631" s="30">
        <v>2025</v>
      </c>
      <c r="B5631" s="30" t="s">
        <v>13</v>
      </c>
      <c r="C5631" s="30" t="s">
        <v>46</v>
      </c>
      <c r="D5631" s="30" t="s">
        <v>47</v>
      </c>
      <c r="E5631" s="31" t="s">
        <v>277</v>
      </c>
      <c r="F5631" s="32" t="s">
        <v>60</v>
      </c>
      <c r="G5631" s="32" t="s">
        <v>50</v>
      </c>
      <c r="H5631" s="33">
        <v>15290</v>
      </c>
      <c r="I5631" s="34">
        <f>Table3[[#This Row],[Volume, kg.]]/1000</f>
        <v>15.29</v>
      </c>
      <c r="J5631" s="34">
        <v>0.17449999999999999</v>
      </c>
      <c r="K5631" s="34">
        <f t="shared" si="176"/>
        <v>2668.105</v>
      </c>
      <c r="L5631" s="34">
        <v>1.55</v>
      </c>
      <c r="M5631" s="34">
        <v>23699.5</v>
      </c>
      <c r="N5631" s="34">
        <f t="shared" si="177"/>
        <v>8.8825214899713476</v>
      </c>
    </row>
    <row r="5632" spans="1:14" x14ac:dyDescent="0.45">
      <c r="A5632" s="30">
        <v>2025</v>
      </c>
      <c r="B5632" s="30" t="s">
        <v>13</v>
      </c>
      <c r="C5632" s="30" t="s">
        <v>46</v>
      </c>
      <c r="D5632" s="30" t="s">
        <v>47</v>
      </c>
      <c r="E5632" s="31" t="s">
        <v>324</v>
      </c>
      <c r="F5632" s="32" t="s">
        <v>81</v>
      </c>
      <c r="G5632" s="32" t="s">
        <v>50</v>
      </c>
      <c r="H5632" s="33">
        <v>3270</v>
      </c>
      <c r="I5632" s="34">
        <f>Table3[[#This Row],[Volume, kg.]]/1000</f>
        <v>3.27</v>
      </c>
      <c r="J5632" s="34">
        <v>0.1875</v>
      </c>
      <c r="K5632" s="34">
        <f t="shared" si="176"/>
        <v>613.125</v>
      </c>
      <c r="L5632" s="34">
        <v>1.65</v>
      </c>
      <c r="M5632" s="34">
        <v>5395.5</v>
      </c>
      <c r="N5632" s="34">
        <f t="shared" si="177"/>
        <v>8.7999999999999989</v>
      </c>
    </row>
    <row r="5633" spans="1:14" x14ac:dyDescent="0.45">
      <c r="A5633" s="30">
        <v>2025</v>
      </c>
      <c r="B5633" s="30" t="s">
        <v>13</v>
      </c>
      <c r="C5633" s="30" t="s">
        <v>46</v>
      </c>
      <c r="D5633" s="30" t="s">
        <v>47</v>
      </c>
      <c r="E5633" s="31" t="s">
        <v>74</v>
      </c>
      <c r="F5633" s="32" t="s">
        <v>49</v>
      </c>
      <c r="G5633" s="32" t="s">
        <v>50</v>
      </c>
      <c r="H5633" s="33">
        <v>14680</v>
      </c>
      <c r="I5633" s="34">
        <f>Table3[[#This Row],[Volume, kg.]]/1000</f>
        <v>14.68</v>
      </c>
      <c r="J5633" s="34">
        <v>0.24199999999999999</v>
      </c>
      <c r="K5633" s="34">
        <f t="shared" si="176"/>
        <v>3552.56</v>
      </c>
      <c r="L5633" s="34">
        <v>1.95</v>
      </c>
      <c r="M5633" s="34">
        <v>28626</v>
      </c>
      <c r="N5633" s="34">
        <f t="shared" si="177"/>
        <v>8.0578512396694215</v>
      </c>
    </row>
    <row r="5634" spans="1:14" x14ac:dyDescent="0.45">
      <c r="A5634" s="30">
        <v>2025</v>
      </c>
      <c r="B5634" s="30" t="s">
        <v>13</v>
      </c>
      <c r="C5634" s="30" t="s">
        <v>46</v>
      </c>
      <c r="D5634" s="30" t="s">
        <v>47</v>
      </c>
      <c r="E5634" s="31" t="s">
        <v>135</v>
      </c>
      <c r="F5634" s="32" t="s">
        <v>49</v>
      </c>
      <c r="G5634" s="32" t="s">
        <v>50</v>
      </c>
      <c r="H5634" s="33">
        <v>98120</v>
      </c>
      <c r="I5634" s="34">
        <f>Table3[[#This Row],[Volume, kg.]]/1000</f>
        <v>98.12</v>
      </c>
      <c r="J5634" s="34">
        <v>0.20319999999999999</v>
      </c>
      <c r="K5634" s="34">
        <f t="shared" si="176"/>
        <v>19937.984</v>
      </c>
      <c r="L5634" s="34">
        <v>1.74</v>
      </c>
      <c r="M5634" s="34">
        <v>170317</v>
      </c>
      <c r="N5634" s="34">
        <f t="shared" si="177"/>
        <v>8.5629921259842519</v>
      </c>
    </row>
    <row r="5635" spans="1:14" x14ac:dyDescent="0.45">
      <c r="A5635" s="30">
        <v>2025</v>
      </c>
      <c r="B5635" s="30" t="s">
        <v>13</v>
      </c>
      <c r="C5635" s="30" t="s">
        <v>46</v>
      </c>
      <c r="D5635" s="30" t="s">
        <v>47</v>
      </c>
      <c r="E5635" s="31" t="s">
        <v>390</v>
      </c>
      <c r="F5635" s="32" t="s">
        <v>60</v>
      </c>
      <c r="G5635" s="32" t="s">
        <v>50</v>
      </c>
      <c r="H5635" s="33">
        <v>4230</v>
      </c>
      <c r="I5635" s="34">
        <f>Table3[[#This Row],[Volume, kg.]]/1000</f>
        <v>4.2300000000000004</v>
      </c>
      <c r="J5635" s="34">
        <v>0.16449999999999998</v>
      </c>
      <c r="K5635" s="34">
        <f t="shared" si="176"/>
        <v>695.83499999999992</v>
      </c>
      <c r="L5635" s="34">
        <v>1.5</v>
      </c>
      <c r="M5635" s="34">
        <v>6345</v>
      </c>
      <c r="N5635" s="34">
        <f t="shared" si="177"/>
        <v>9.1185410334346511</v>
      </c>
    </row>
    <row r="5636" spans="1:14" x14ac:dyDescent="0.45">
      <c r="A5636" s="30">
        <v>2025</v>
      </c>
      <c r="B5636" s="30" t="s">
        <v>13</v>
      </c>
      <c r="C5636" s="30" t="s">
        <v>46</v>
      </c>
      <c r="D5636" s="30" t="s">
        <v>47</v>
      </c>
      <c r="E5636" s="31" t="s">
        <v>144</v>
      </c>
      <c r="F5636" s="32" t="s">
        <v>49</v>
      </c>
      <c r="G5636" s="32" t="s">
        <v>50</v>
      </c>
      <c r="H5636" s="33">
        <v>84320</v>
      </c>
      <c r="I5636" s="34">
        <f>Table3[[#This Row],[Volume, kg.]]/1000</f>
        <v>84.32</v>
      </c>
      <c r="J5636" s="34">
        <v>0.1991</v>
      </c>
      <c r="K5636" s="34">
        <f t="shared" si="176"/>
        <v>16788.112000000001</v>
      </c>
      <c r="L5636" s="34">
        <v>1.73</v>
      </c>
      <c r="M5636" s="34">
        <v>146064</v>
      </c>
      <c r="N5636" s="34">
        <f t="shared" si="177"/>
        <v>8.6891009542943252</v>
      </c>
    </row>
    <row r="5637" spans="1:14" x14ac:dyDescent="0.45">
      <c r="A5637" s="30">
        <v>2025</v>
      </c>
      <c r="B5637" s="30" t="s">
        <v>13</v>
      </c>
      <c r="C5637" s="30" t="s">
        <v>46</v>
      </c>
      <c r="D5637" s="30" t="s">
        <v>47</v>
      </c>
      <c r="E5637" s="31" t="s">
        <v>570</v>
      </c>
      <c r="F5637" s="32" t="s">
        <v>49</v>
      </c>
      <c r="G5637" s="32" t="s">
        <v>50</v>
      </c>
      <c r="H5637" s="33">
        <v>11310</v>
      </c>
      <c r="I5637" s="34">
        <f>Table3[[#This Row],[Volume, kg.]]/1000</f>
        <v>11.31</v>
      </c>
      <c r="J5637" s="34">
        <v>0.21129999999999999</v>
      </c>
      <c r="K5637" s="34">
        <f t="shared" si="176"/>
        <v>2389.8029999999999</v>
      </c>
      <c r="L5637" s="34">
        <v>1.8</v>
      </c>
      <c r="M5637" s="34">
        <v>20358</v>
      </c>
      <c r="N5637" s="34">
        <f t="shared" si="177"/>
        <v>8.5186938002839572</v>
      </c>
    </row>
    <row r="5638" spans="1:14" x14ac:dyDescent="0.45">
      <c r="A5638" s="30">
        <v>2025</v>
      </c>
      <c r="B5638" s="30" t="s">
        <v>13</v>
      </c>
      <c r="C5638" s="30" t="s">
        <v>46</v>
      </c>
      <c r="D5638" s="30" t="s">
        <v>47</v>
      </c>
      <c r="E5638" s="31" t="s">
        <v>100</v>
      </c>
      <c r="F5638" s="32" t="s">
        <v>60</v>
      </c>
      <c r="G5638" s="32" t="s">
        <v>50</v>
      </c>
      <c r="H5638" s="33">
        <v>54330</v>
      </c>
      <c r="I5638" s="34">
        <f>Table3[[#This Row],[Volume, kg.]]/1000</f>
        <v>54.33</v>
      </c>
      <c r="J5638" s="34">
        <v>0.21820000000000001</v>
      </c>
      <c r="K5638" s="34">
        <f t="shared" si="176"/>
        <v>11854.806</v>
      </c>
      <c r="L5638" s="34">
        <v>1.84</v>
      </c>
      <c r="M5638" s="34">
        <v>100038</v>
      </c>
      <c r="N5638" s="34">
        <f t="shared" si="177"/>
        <v>8.4326306141154905</v>
      </c>
    </row>
    <row r="5639" spans="1:14" x14ac:dyDescent="0.45">
      <c r="A5639" s="30">
        <v>2025</v>
      </c>
      <c r="B5639" s="30" t="s">
        <v>13</v>
      </c>
      <c r="C5639" s="30" t="s">
        <v>46</v>
      </c>
      <c r="D5639" s="30" t="s">
        <v>47</v>
      </c>
      <c r="E5639" s="31" t="s">
        <v>468</v>
      </c>
      <c r="F5639" s="32" t="s">
        <v>240</v>
      </c>
      <c r="G5639" s="32" t="s">
        <v>50</v>
      </c>
      <c r="H5639" s="33">
        <v>65970</v>
      </c>
      <c r="I5639" s="34">
        <f>Table3[[#This Row],[Volume, kg.]]/1000</f>
        <v>65.97</v>
      </c>
      <c r="J5639" s="34">
        <v>0.2089</v>
      </c>
      <c r="K5639" s="34">
        <f t="shared" si="176"/>
        <v>13781.133</v>
      </c>
      <c r="L5639" s="34">
        <v>1.8</v>
      </c>
      <c r="M5639" s="34">
        <v>118582</v>
      </c>
      <c r="N5639" s="34">
        <f t="shared" si="177"/>
        <v>8.6165629487793201</v>
      </c>
    </row>
    <row r="5640" spans="1:14" x14ac:dyDescent="0.45">
      <c r="A5640" s="30">
        <v>2025</v>
      </c>
      <c r="B5640" s="30" t="s">
        <v>13</v>
      </c>
      <c r="C5640" s="30" t="s">
        <v>46</v>
      </c>
      <c r="D5640" s="30" t="s">
        <v>47</v>
      </c>
      <c r="E5640" s="31" t="s">
        <v>501</v>
      </c>
      <c r="F5640" s="32" t="s">
        <v>81</v>
      </c>
      <c r="G5640" s="32" t="s">
        <v>50</v>
      </c>
      <c r="H5640" s="33">
        <v>6450</v>
      </c>
      <c r="I5640" s="34">
        <f>Table3[[#This Row],[Volume, kg.]]/1000</f>
        <v>6.45</v>
      </c>
      <c r="J5640" s="34">
        <v>0.23199999999999998</v>
      </c>
      <c r="K5640" s="34">
        <f t="shared" si="176"/>
        <v>1496.3999999999999</v>
      </c>
      <c r="L5640" s="34">
        <v>1.9</v>
      </c>
      <c r="M5640" s="34">
        <v>12255</v>
      </c>
      <c r="N5640" s="34">
        <f t="shared" si="177"/>
        <v>8.1896551724137936</v>
      </c>
    </row>
    <row r="5641" spans="1:14" x14ac:dyDescent="0.45">
      <c r="A5641" s="30">
        <v>2025</v>
      </c>
      <c r="B5641" s="30" t="s">
        <v>13</v>
      </c>
      <c r="C5641" s="30" t="s">
        <v>46</v>
      </c>
      <c r="D5641" s="30" t="s">
        <v>47</v>
      </c>
      <c r="E5641" s="31" t="s">
        <v>147</v>
      </c>
      <c r="F5641" s="32" t="s">
        <v>57</v>
      </c>
      <c r="G5641" s="32" t="s">
        <v>50</v>
      </c>
      <c r="H5641" s="33">
        <v>6070</v>
      </c>
      <c r="I5641" s="34">
        <f>Table3[[#This Row],[Volume, kg.]]/1000</f>
        <v>6.07</v>
      </c>
      <c r="J5641" s="34">
        <v>0.20550000000000002</v>
      </c>
      <c r="K5641" s="34">
        <f t="shared" si="176"/>
        <v>1247.385</v>
      </c>
      <c r="L5641" s="34">
        <v>1.75</v>
      </c>
      <c r="M5641" s="34">
        <v>10622.5</v>
      </c>
      <c r="N5641" s="34">
        <f t="shared" si="177"/>
        <v>8.5158150851581507</v>
      </c>
    </row>
    <row r="5642" spans="1:14" x14ac:dyDescent="0.45">
      <c r="A5642" s="30">
        <v>2025</v>
      </c>
      <c r="B5642" s="30" t="s">
        <v>13</v>
      </c>
      <c r="C5642" s="30" t="s">
        <v>46</v>
      </c>
      <c r="D5642" s="30" t="s">
        <v>47</v>
      </c>
      <c r="E5642" s="31" t="s">
        <v>502</v>
      </c>
      <c r="F5642" s="32" t="s">
        <v>49</v>
      </c>
      <c r="G5642" s="32" t="s">
        <v>50</v>
      </c>
      <c r="H5642" s="33">
        <v>12120</v>
      </c>
      <c r="I5642" s="34">
        <f>Table3[[#This Row],[Volume, kg.]]/1000</f>
        <v>12.12</v>
      </c>
      <c r="J5642" s="34">
        <v>0.19350000000000001</v>
      </c>
      <c r="K5642" s="34">
        <f t="shared" si="176"/>
        <v>2345.2200000000003</v>
      </c>
      <c r="L5642" s="34">
        <v>1.7</v>
      </c>
      <c r="M5642" s="34">
        <v>20604</v>
      </c>
      <c r="N5642" s="34">
        <f t="shared" si="177"/>
        <v>8.7855297157622729</v>
      </c>
    </row>
    <row r="5643" spans="1:14" x14ac:dyDescent="0.45">
      <c r="A5643" s="30">
        <v>2025</v>
      </c>
      <c r="B5643" s="30" t="s">
        <v>13</v>
      </c>
      <c r="C5643" s="30" t="s">
        <v>46</v>
      </c>
      <c r="D5643" s="30" t="s">
        <v>47</v>
      </c>
      <c r="E5643" s="31" t="s">
        <v>253</v>
      </c>
      <c r="F5643" s="32" t="s">
        <v>57</v>
      </c>
      <c r="G5643" s="32" t="s">
        <v>50</v>
      </c>
      <c r="H5643" s="33">
        <v>69020</v>
      </c>
      <c r="I5643" s="34">
        <f>Table3[[#This Row],[Volume, kg.]]/1000</f>
        <v>69.02</v>
      </c>
      <c r="J5643" s="34">
        <v>0.22219999999999998</v>
      </c>
      <c r="K5643" s="34">
        <f t="shared" si="176"/>
        <v>15336.243999999999</v>
      </c>
      <c r="L5643" s="34">
        <v>1.84</v>
      </c>
      <c r="M5643" s="34">
        <v>127246</v>
      </c>
      <c r="N5643" s="34">
        <f t="shared" si="177"/>
        <v>8.2808280828082825</v>
      </c>
    </row>
    <row r="5644" spans="1:14" x14ac:dyDescent="0.45">
      <c r="A5644" s="30">
        <v>2025</v>
      </c>
      <c r="B5644" s="30" t="s">
        <v>13</v>
      </c>
      <c r="C5644" s="30" t="s">
        <v>46</v>
      </c>
      <c r="D5644" s="30" t="s">
        <v>47</v>
      </c>
      <c r="E5644" s="31" t="s">
        <v>171</v>
      </c>
      <c r="F5644" s="32" t="s">
        <v>49</v>
      </c>
      <c r="G5644" s="32" t="s">
        <v>50</v>
      </c>
      <c r="H5644" s="33">
        <v>22120</v>
      </c>
      <c r="I5644" s="34">
        <f>Table3[[#This Row],[Volume, kg.]]/1000</f>
        <v>22.12</v>
      </c>
      <c r="J5644" s="34">
        <v>0.2213</v>
      </c>
      <c r="K5644" s="34">
        <f t="shared" si="176"/>
        <v>4895.1559999999999</v>
      </c>
      <c r="L5644" s="34">
        <v>1.87</v>
      </c>
      <c r="M5644" s="34">
        <v>41382</v>
      </c>
      <c r="N5644" s="34">
        <f t="shared" si="177"/>
        <v>8.4500677812923648</v>
      </c>
    </row>
    <row r="5645" spans="1:14" x14ac:dyDescent="0.45">
      <c r="A5645" s="30">
        <v>2025</v>
      </c>
      <c r="B5645" s="30" t="s">
        <v>13</v>
      </c>
      <c r="C5645" s="30" t="s">
        <v>46</v>
      </c>
      <c r="D5645" s="30" t="s">
        <v>47</v>
      </c>
      <c r="E5645" s="31" t="s">
        <v>233</v>
      </c>
      <c r="F5645" s="32" t="s">
        <v>57</v>
      </c>
      <c r="G5645" s="32" t="s">
        <v>50</v>
      </c>
      <c r="H5645" s="33">
        <v>58200</v>
      </c>
      <c r="I5645" s="34">
        <f>Table3[[#This Row],[Volume, kg.]]/1000</f>
        <v>58.2</v>
      </c>
      <c r="J5645" s="34">
        <v>0.221</v>
      </c>
      <c r="K5645" s="34">
        <f t="shared" si="176"/>
        <v>12862.2</v>
      </c>
      <c r="L5645" s="34">
        <v>1.83</v>
      </c>
      <c r="M5645" s="34">
        <v>106397</v>
      </c>
      <c r="N5645" s="34">
        <f t="shared" si="177"/>
        <v>8.2805429864253401</v>
      </c>
    </row>
    <row r="5646" spans="1:14" x14ac:dyDescent="0.45">
      <c r="A5646" s="30">
        <v>2025</v>
      </c>
      <c r="B5646" s="30" t="s">
        <v>13</v>
      </c>
      <c r="C5646" s="30" t="s">
        <v>46</v>
      </c>
      <c r="D5646" s="30" t="s">
        <v>47</v>
      </c>
      <c r="E5646" s="31" t="s">
        <v>503</v>
      </c>
      <c r="F5646" s="32" t="s">
        <v>49</v>
      </c>
      <c r="G5646" s="32" t="s">
        <v>50</v>
      </c>
      <c r="H5646" s="33">
        <v>27640</v>
      </c>
      <c r="I5646" s="34">
        <f>Table3[[#This Row],[Volume, kg.]]/1000</f>
        <v>27.64</v>
      </c>
      <c r="J5646" s="34">
        <v>0.2198</v>
      </c>
      <c r="K5646" s="34">
        <f t="shared" si="176"/>
        <v>6075.2719999999999</v>
      </c>
      <c r="L5646" s="34">
        <v>1.85</v>
      </c>
      <c r="M5646" s="34">
        <v>51134</v>
      </c>
      <c r="N5646" s="34">
        <f t="shared" si="177"/>
        <v>8.4167424931756152</v>
      </c>
    </row>
    <row r="5647" spans="1:14" x14ac:dyDescent="0.45">
      <c r="A5647" s="30">
        <v>2025</v>
      </c>
      <c r="B5647" s="30" t="s">
        <v>13</v>
      </c>
      <c r="C5647" s="30" t="s">
        <v>46</v>
      </c>
      <c r="D5647" s="30" t="s">
        <v>47</v>
      </c>
      <c r="E5647" s="31" t="s">
        <v>56</v>
      </c>
      <c r="F5647" s="32" t="s">
        <v>57</v>
      </c>
      <c r="G5647" s="32" t="s">
        <v>50</v>
      </c>
      <c r="H5647" s="33">
        <v>8820</v>
      </c>
      <c r="I5647" s="34">
        <f>Table3[[#This Row],[Volume, kg.]]/1000</f>
        <v>8.82</v>
      </c>
      <c r="J5647" s="34">
        <v>0.20929999999999999</v>
      </c>
      <c r="K5647" s="34">
        <f t="shared" si="176"/>
        <v>1846.0259999999998</v>
      </c>
      <c r="L5647" s="34">
        <v>1.75</v>
      </c>
      <c r="M5647" s="34">
        <v>15435</v>
      </c>
      <c r="N5647" s="34">
        <f t="shared" si="177"/>
        <v>8.3612040133779271</v>
      </c>
    </row>
    <row r="5648" spans="1:14" x14ac:dyDescent="0.45">
      <c r="A5648" s="30">
        <v>2025</v>
      </c>
      <c r="B5648" s="30" t="s">
        <v>13</v>
      </c>
      <c r="C5648" s="30" t="s">
        <v>46</v>
      </c>
      <c r="D5648" s="30" t="s">
        <v>47</v>
      </c>
      <c r="E5648" s="31" t="s">
        <v>90</v>
      </c>
      <c r="F5648" s="32" t="s">
        <v>49</v>
      </c>
      <c r="G5648" s="32" t="s">
        <v>50</v>
      </c>
      <c r="H5648" s="33">
        <v>69850</v>
      </c>
      <c r="I5648" s="34">
        <f>Table3[[#This Row],[Volume, kg.]]/1000</f>
        <v>69.849999999999994</v>
      </c>
      <c r="J5648" s="34">
        <v>0.22020000000000001</v>
      </c>
      <c r="K5648" s="34">
        <f t="shared" si="176"/>
        <v>15380.970000000001</v>
      </c>
      <c r="L5648" s="34">
        <v>1.82</v>
      </c>
      <c r="M5648" s="34">
        <v>127466</v>
      </c>
      <c r="N5648" s="34">
        <f t="shared" si="177"/>
        <v>8.2652134423251589</v>
      </c>
    </row>
    <row r="5649" spans="1:14" x14ac:dyDescent="0.45">
      <c r="A5649" s="30">
        <v>2025</v>
      </c>
      <c r="B5649" s="30" t="s">
        <v>13</v>
      </c>
      <c r="C5649" s="30" t="s">
        <v>46</v>
      </c>
      <c r="D5649" s="30" t="s">
        <v>47</v>
      </c>
      <c r="E5649" s="31" t="s">
        <v>275</v>
      </c>
      <c r="F5649" s="32" t="s">
        <v>54</v>
      </c>
      <c r="G5649" s="32" t="s">
        <v>50</v>
      </c>
      <c r="H5649" s="33">
        <v>115240</v>
      </c>
      <c r="I5649" s="34">
        <f>Table3[[#This Row],[Volume, kg.]]/1000</f>
        <v>115.24</v>
      </c>
      <c r="J5649" s="34">
        <v>0.22320000000000001</v>
      </c>
      <c r="K5649" s="34">
        <f t="shared" si="176"/>
        <v>25721.567999999999</v>
      </c>
      <c r="L5649" s="34">
        <v>1.83</v>
      </c>
      <c r="M5649" s="34">
        <v>211277.5</v>
      </c>
      <c r="N5649" s="34">
        <f t="shared" si="177"/>
        <v>8.198924731182796</v>
      </c>
    </row>
    <row r="5650" spans="1:14" x14ac:dyDescent="0.45">
      <c r="A5650" s="30">
        <v>2025</v>
      </c>
      <c r="B5650" s="30" t="s">
        <v>13</v>
      </c>
      <c r="C5650" s="30" t="s">
        <v>46</v>
      </c>
      <c r="D5650" s="30" t="s">
        <v>47</v>
      </c>
      <c r="E5650" s="31" t="s">
        <v>361</v>
      </c>
      <c r="F5650" s="32" t="s">
        <v>57</v>
      </c>
      <c r="G5650" s="32" t="s">
        <v>50</v>
      </c>
      <c r="H5650" s="33">
        <v>31360</v>
      </c>
      <c r="I5650" s="34">
        <f>Table3[[#This Row],[Volume, kg.]]/1000</f>
        <v>31.36</v>
      </c>
      <c r="J5650" s="34">
        <v>0.22510000000000002</v>
      </c>
      <c r="K5650" s="34">
        <f t="shared" si="176"/>
        <v>7059.1360000000004</v>
      </c>
      <c r="L5650" s="34">
        <v>1.85</v>
      </c>
      <c r="M5650" s="34">
        <v>58122</v>
      </c>
      <c r="N5650" s="34">
        <f t="shared" si="177"/>
        <v>8.2185695246557078</v>
      </c>
    </row>
    <row r="5651" spans="1:14" x14ac:dyDescent="0.45">
      <c r="A5651" s="30">
        <v>2025</v>
      </c>
      <c r="B5651" s="30" t="s">
        <v>13</v>
      </c>
      <c r="C5651" s="30" t="s">
        <v>46</v>
      </c>
      <c r="D5651" s="30" t="s">
        <v>47</v>
      </c>
      <c r="E5651" s="31" t="s">
        <v>573</v>
      </c>
      <c r="F5651" s="32" t="s">
        <v>49</v>
      </c>
      <c r="G5651" s="32" t="s">
        <v>50</v>
      </c>
      <c r="H5651" s="33">
        <v>16210</v>
      </c>
      <c r="I5651" s="34">
        <f>Table3[[#This Row],[Volume, kg.]]/1000</f>
        <v>16.21</v>
      </c>
      <c r="J5651" s="34">
        <v>0.2109</v>
      </c>
      <c r="K5651" s="34">
        <f t="shared" si="176"/>
        <v>3418.6889999999999</v>
      </c>
      <c r="L5651" s="34">
        <v>1.75</v>
      </c>
      <c r="M5651" s="34">
        <v>28378</v>
      </c>
      <c r="N5651" s="34">
        <f t="shared" si="177"/>
        <v>8.2977714556661919</v>
      </c>
    </row>
    <row r="5652" spans="1:14" x14ac:dyDescent="0.45">
      <c r="A5652" s="30">
        <v>2025</v>
      </c>
      <c r="B5652" s="30" t="s">
        <v>13</v>
      </c>
      <c r="C5652" s="30" t="s">
        <v>46</v>
      </c>
      <c r="D5652" s="30" t="s">
        <v>47</v>
      </c>
      <c r="E5652" s="31" t="s">
        <v>153</v>
      </c>
      <c r="F5652" s="32" t="s">
        <v>57</v>
      </c>
      <c r="G5652" s="32" t="s">
        <v>50</v>
      </c>
      <c r="H5652" s="33">
        <v>20060</v>
      </c>
      <c r="I5652" s="34">
        <f>Table3[[#This Row],[Volume, kg.]]/1000</f>
        <v>20.059999999999999</v>
      </c>
      <c r="J5652" s="34">
        <v>0.21870000000000001</v>
      </c>
      <c r="K5652" s="34">
        <f t="shared" si="176"/>
        <v>4387.1220000000003</v>
      </c>
      <c r="L5652" s="34">
        <v>1.79</v>
      </c>
      <c r="M5652" s="34">
        <v>35852</v>
      </c>
      <c r="N5652" s="34">
        <f t="shared" si="177"/>
        <v>8.1847279378143583</v>
      </c>
    </row>
    <row r="5653" spans="1:14" x14ac:dyDescent="0.45">
      <c r="A5653" s="30">
        <v>2025</v>
      </c>
      <c r="B5653" s="30" t="s">
        <v>13</v>
      </c>
      <c r="C5653" s="30" t="s">
        <v>46</v>
      </c>
      <c r="D5653" s="30" t="s">
        <v>47</v>
      </c>
      <c r="E5653" s="31" t="s">
        <v>225</v>
      </c>
      <c r="F5653" s="32" t="s">
        <v>64</v>
      </c>
      <c r="G5653" s="32" t="s">
        <v>50</v>
      </c>
      <c r="H5653" s="33">
        <v>3650</v>
      </c>
      <c r="I5653" s="34">
        <f>Table3[[#This Row],[Volume, kg.]]/1000</f>
        <v>3.65</v>
      </c>
      <c r="J5653" s="34">
        <v>0.155</v>
      </c>
      <c r="K5653" s="34">
        <f t="shared" si="176"/>
        <v>565.75</v>
      </c>
      <c r="L5653" s="34">
        <v>1.5</v>
      </c>
      <c r="M5653" s="34">
        <v>5475</v>
      </c>
      <c r="N5653" s="34">
        <f t="shared" si="177"/>
        <v>9.67741935483871</v>
      </c>
    </row>
    <row r="5654" spans="1:14" x14ac:dyDescent="0.45">
      <c r="A5654" s="30">
        <v>2025</v>
      </c>
      <c r="B5654" s="30" t="s">
        <v>13</v>
      </c>
      <c r="C5654" s="30" t="s">
        <v>46</v>
      </c>
      <c r="D5654" s="30" t="s">
        <v>47</v>
      </c>
      <c r="E5654" s="31" t="s">
        <v>304</v>
      </c>
      <c r="F5654" s="32" t="s">
        <v>64</v>
      </c>
      <c r="G5654" s="32" t="s">
        <v>50</v>
      </c>
      <c r="H5654" s="33">
        <v>10370</v>
      </c>
      <c r="I5654" s="34">
        <f>Table3[[#This Row],[Volume, kg.]]/1000</f>
        <v>10.37</v>
      </c>
      <c r="J5654" s="34">
        <v>0.19699999999999998</v>
      </c>
      <c r="K5654" s="34">
        <f t="shared" si="176"/>
        <v>2042.8899999999999</v>
      </c>
      <c r="L5654" s="34">
        <v>1.69</v>
      </c>
      <c r="M5654" s="34">
        <v>17483</v>
      </c>
      <c r="N5654" s="34">
        <f t="shared" si="177"/>
        <v>8.5786802030456855</v>
      </c>
    </row>
    <row r="5655" spans="1:14" x14ac:dyDescent="0.45">
      <c r="A5655" s="30">
        <v>2025</v>
      </c>
      <c r="B5655" s="30" t="s">
        <v>13</v>
      </c>
      <c r="C5655" s="30" t="s">
        <v>46</v>
      </c>
      <c r="D5655" s="30" t="s">
        <v>47</v>
      </c>
      <c r="E5655" s="31" t="s">
        <v>197</v>
      </c>
      <c r="F5655" s="32" t="s">
        <v>57</v>
      </c>
      <c r="G5655" s="32" t="s">
        <v>50</v>
      </c>
      <c r="H5655" s="33">
        <v>80540</v>
      </c>
      <c r="I5655" s="34">
        <f>Table3[[#This Row],[Volume, kg.]]/1000</f>
        <v>80.540000000000006</v>
      </c>
      <c r="J5655" s="34">
        <v>0.21920000000000001</v>
      </c>
      <c r="K5655" s="34">
        <f t="shared" si="176"/>
        <v>17654.368000000002</v>
      </c>
      <c r="L5655" s="34">
        <v>1.82</v>
      </c>
      <c r="M5655" s="34">
        <v>146563.5</v>
      </c>
      <c r="N5655" s="34">
        <f t="shared" si="177"/>
        <v>8.3029197080291972</v>
      </c>
    </row>
    <row r="5656" spans="1:14" x14ac:dyDescent="0.45">
      <c r="A5656" s="30">
        <v>2025</v>
      </c>
      <c r="B5656" s="30" t="s">
        <v>13</v>
      </c>
      <c r="C5656" s="30" t="s">
        <v>46</v>
      </c>
      <c r="D5656" s="30" t="s">
        <v>47</v>
      </c>
      <c r="E5656" s="31" t="s">
        <v>206</v>
      </c>
      <c r="F5656" s="32" t="s">
        <v>81</v>
      </c>
      <c r="G5656" s="32" t="s">
        <v>50</v>
      </c>
      <c r="H5656" s="33">
        <v>10270</v>
      </c>
      <c r="I5656" s="34">
        <f>Table3[[#This Row],[Volume, kg.]]/1000</f>
        <v>10.27</v>
      </c>
      <c r="J5656" s="34">
        <v>0.21050000000000002</v>
      </c>
      <c r="K5656" s="34">
        <f t="shared" si="176"/>
        <v>2161.835</v>
      </c>
      <c r="L5656" s="34">
        <v>1.8</v>
      </c>
      <c r="M5656" s="34">
        <v>18486</v>
      </c>
      <c r="N5656" s="34">
        <f t="shared" si="177"/>
        <v>8.5510688836104514</v>
      </c>
    </row>
    <row r="5657" spans="1:14" x14ac:dyDescent="0.45">
      <c r="A5657" s="30">
        <v>2025</v>
      </c>
      <c r="B5657" s="30" t="s">
        <v>13</v>
      </c>
      <c r="C5657" s="30" t="s">
        <v>46</v>
      </c>
      <c r="D5657" s="30" t="s">
        <v>47</v>
      </c>
      <c r="E5657" s="31" t="s">
        <v>350</v>
      </c>
      <c r="F5657" s="32" t="s">
        <v>49</v>
      </c>
      <c r="G5657" s="32" t="s">
        <v>50</v>
      </c>
      <c r="H5657" s="33">
        <v>23980</v>
      </c>
      <c r="I5657" s="34">
        <f>Table3[[#This Row],[Volume, kg.]]/1000</f>
        <v>23.98</v>
      </c>
      <c r="J5657" s="34">
        <v>0.22190000000000001</v>
      </c>
      <c r="K5657" s="34">
        <f t="shared" si="176"/>
        <v>5321.1620000000003</v>
      </c>
      <c r="L5657" s="34">
        <v>1.86</v>
      </c>
      <c r="M5657" s="34">
        <v>44539</v>
      </c>
      <c r="N5657" s="34">
        <f t="shared" si="177"/>
        <v>8.3821541234790438</v>
      </c>
    </row>
    <row r="5658" spans="1:14" x14ac:dyDescent="0.45">
      <c r="A5658" s="30">
        <v>2025</v>
      </c>
      <c r="B5658" s="30" t="s">
        <v>13</v>
      </c>
      <c r="C5658" s="30" t="s">
        <v>46</v>
      </c>
      <c r="D5658" s="30" t="s">
        <v>47</v>
      </c>
      <c r="E5658" s="31" t="s">
        <v>395</v>
      </c>
      <c r="F5658" s="32" t="s">
        <v>81</v>
      </c>
      <c r="G5658" s="32" t="s">
        <v>50</v>
      </c>
      <c r="H5658" s="33">
        <v>230800</v>
      </c>
      <c r="I5658" s="34">
        <f>Table3[[#This Row],[Volume, kg.]]/1000</f>
        <v>230.8</v>
      </c>
      <c r="J5658" s="34">
        <v>0.18989999999999999</v>
      </c>
      <c r="K5658" s="34">
        <f t="shared" si="176"/>
        <v>43828.92</v>
      </c>
      <c r="L5658" s="34">
        <v>1.67</v>
      </c>
      <c r="M5658" s="34">
        <v>385539</v>
      </c>
      <c r="N5658" s="34">
        <f t="shared" si="177"/>
        <v>8.7941021590310697</v>
      </c>
    </row>
    <row r="5659" spans="1:14" x14ac:dyDescent="0.45">
      <c r="A5659" s="30">
        <v>2025</v>
      </c>
      <c r="B5659" s="30" t="s">
        <v>13</v>
      </c>
      <c r="C5659" s="30" t="s">
        <v>46</v>
      </c>
      <c r="D5659" s="30" t="s">
        <v>47</v>
      </c>
      <c r="E5659" s="31" t="s">
        <v>548</v>
      </c>
      <c r="F5659" s="32" t="s">
        <v>49</v>
      </c>
      <c r="G5659" s="32" t="s">
        <v>50</v>
      </c>
      <c r="H5659" s="33">
        <v>30730</v>
      </c>
      <c r="I5659" s="34">
        <f>Table3[[#This Row],[Volume, kg.]]/1000</f>
        <v>30.73</v>
      </c>
      <c r="J5659" s="34">
        <v>0.19570000000000001</v>
      </c>
      <c r="K5659" s="34">
        <f t="shared" si="176"/>
        <v>6013.8610000000008</v>
      </c>
      <c r="L5659" s="34">
        <v>1.71</v>
      </c>
      <c r="M5659" s="34">
        <v>52454.5</v>
      </c>
      <c r="N5659" s="34">
        <f t="shared" si="177"/>
        <v>8.7378640776699026</v>
      </c>
    </row>
    <row r="5660" spans="1:14" x14ac:dyDescent="0.45">
      <c r="A5660" s="30">
        <v>2025</v>
      </c>
      <c r="B5660" s="30" t="s">
        <v>13</v>
      </c>
      <c r="C5660" s="30" t="s">
        <v>46</v>
      </c>
      <c r="D5660" s="30" t="s">
        <v>47</v>
      </c>
      <c r="E5660" s="31" t="s">
        <v>342</v>
      </c>
      <c r="F5660" s="32" t="s">
        <v>81</v>
      </c>
      <c r="G5660" s="32" t="s">
        <v>50</v>
      </c>
      <c r="H5660" s="33">
        <v>40170</v>
      </c>
      <c r="I5660" s="34">
        <f>Table3[[#This Row],[Volume, kg.]]/1000</f>
        <v>40.17</v>
      </c>
      <c r="J5660" s="34">
        <v>0.2094</v>
      </c>
      <c r="K5660" s="34">
        <f t="shared" si="176"/>
        <v>8411.598</v>
      </c>
      <c r="L5660" s="34">
        <v>1.76</v>
      </c>
      <c r="M5660" s="34">
        <v>70750.5</v>
      </c>
      <c r="N5660" s="34">
        <f t="shared" si="177"/>
        <v>8.4049665711556827</v>
      </c>
    </row>
    <row r="5661" spans="1:14" x14ac:dyDescent="0.45">
      <c r="A5661" s="30">
        <v>2025</v>
      </c>
      <c r="B5661" s="30" t="s">
        <v>13</v>
      </c>
      <c r="C5661" s="30" t="s">
        <v>46</v>
      </c>
      <c r="D5661" s="30" t="s">
        <v>47</v>
      </c>
      <c r="E5661" s="31" t="s">
        <v>98</v>
      </c>
      <c r="F5661" s="32" t="s">
        <v>49</v>
      </c>
      <c r="G5661" s="32" t="s">
        <v>50</v>
      </c>
      <c r="H5661" s="33">
        <v>96840</v>
      </c>
      <c r="I5661" s="34">
        <f>Table3[[#This Row],[Volume, kg.]]/1000</f>
        <v>96.84</v>
      </c>
      <c r="J5661" s="34">
        <v>0.2011</v>
      </c>
      <c r="K5661" s="34">
        <f t="shared" si="176"/>
        <v>19474.524000000001</v>
      </c>
      <c r="L5661" s="34">
        <v>1.73</v>
      </c>
      <c r="M5661" s="34">
        <v>167482.5</v>
      </c>
      <c r="N5661" s="34">
        <f t="shared" si="177"/>
        <v>8.6026852312282447</v>
      </c>
    </row>
    <row r="5662" spans="1:14" x14ac:dyDescent="0.45">
      <c r="A5662" s="30">
        <v>2025</v>
      </c>
      <c r="B5662" s="30" t="s">
        <v>13</v>
      </c>
      <c r="C5662" s="30" t="s">
        <v>46</v>
      </c>
      <c r="D5662" s="30" t="s">
        <v>47</v>
      </c>
      <c r="E5662" s="31" t="s">
        <v>63</v>
      </c>
      <c r="F5662" s="32" t="s">
        <v>64</v>
      </c>
      <c r="G5662" s="32" t="s">
        <v>50</v>
      </c>
      <c r="H5662" s="33">
        <v>15030</v>
      </c>
      <c r="I5662" s="34">
        <f>Table3[[#This Row],[Volume, kg.]]/1000</f>
        <v>15.03</v>
      </c>
      <c r="J5662" s="34">
        <v>0.20499999999999999</v>
      </c>
      <c r="K5662" s="34">
        <f t="shared" si="176"/>
        <v>3081.1499999999996</v>
      </c>
      <c r="L5662" s="34">
        <v>1.8</v>
      </c>
      <c r="M5662" s="34">
        <v>27054</v>
      </c>
      <c r="N5662" s="34">
        <f t="shared" si="177"/>
        <v>8.7804878048780495</v>
      </c>
    </row>
    <row r="5663" spans="1:14" x14ac:dyDescent="0.45">
      <c r="A5663" s="30">
        <v>2025</v>
      </c>
      <c r="B5663" s="30" t="s">
        <v>13</v>
      </c>
      <c r="C5663" s="30" t="s">
        <v>46</v>
      </c>
      <c r="D5663" s="30" t="s">
        <v>47</v>
      </c>
      <c r="E5663" s="31" t="s">
        <v>354</v>
      </c>
      <c r="F5663" s="32" t="s">
        <v>60</v>
      </c>
      <c r="G5663" s="32" t="s">
        <v>50</v>
      </c>
      <c r="H5663" s="33">
        <v>18270</v>
      </c>
      <c r="I5663" s="34">
        <f>Table3[[#This Row],[Volume, kg.]]/1000</f>
        <v>18.27</v>
      </c>
      <c r="J5663" s="34">
        <v>0.2394</v>
      </c>
      <c r="K5663" s="34">
        <f t="shared" si="176"/>
        <v>4373.8379999999997</v>
      </c>
      <c r="L5663" s="34">
        <v>1.95</v>
      </c>
      <c r="M5663" s="34">
        <v>35627</v>
      </c>
      <c r="N5663" s="34">
        <f t="shared" si="177"/>
        <v>8.1453634085213036</v>
      </c>
    </row>
    <row r="5664" spans="1:14" x14ac:dyDescent="0.45">
      <c r="A5664" s="30">
        <v>2025</v>
      </c>
      <c r="B5664" s="30" t="s">
        <v>13</v>
      </c>
      <c r="C5664" s="30" t="s">
        <v>46</v>
      </c>
      <c r="D5664" s="30" t="s">
        <v>47</v>
      </c>
      <c r="E5664" s="31" t="s">
        <v>129</v>
      </c>
      <c r="F5664" s="32" t="s">
        <v>57</v>
      </c>
      <c r="G5664" s="32" t="s">
        <v>50</v>
      </c>
      <c r="H5664" s="33">
        <v>56470</v>
      </c>
      <c r="I5664" s="34">
        <f>Table3[[#This Row],[Volume, kg.]]/1000</f>
        <v>56.47</v>
      </c>
      <c r="J5664" s="34">
        <v>0.19920000000000002</v>
      </c>
      <c r="K5664" s="34">
        <f t="shared" si="176"/>
        <v>11248.824000000001</v>
      </c>
      <c r="L5664" s="34">
        <v>1.72</v>
      </c>
      <c r="M5664" s="34">
        <v>97237</v>
      </c>
      <c r="N5664" s="34">
        <f t="shared" si="177"/>
        <v>8.6345381526104408</v>
      </c>
    </row>
    <row r="5665" spans="1:14" x14ac:dyDescent="0.45">
      <c r="A5665" s="30">
        <v>2025</v>
      </c>
      <c r="B5665" s="30" t="s">
        <v>13</v>
      </c>
      <c r="C5665" s="30" t="s">
        <v>46</v>
      </c>
      <c r="D5665" s="30" t="s">
        <v>47</v>
      </c>
      <c r="E5665" s="31" t="s">
        <v>374</v>
      </c>
      <c r="F5665" s="32" t="s">
        <v>81</v>
      </c>
      <c r="G5665" s="32" t="s">
        <v>50</v>
      </c>
      <c r="H5665" s="33">
        <v>5010</v>
      </c>
      <c r="I5665" s="34">
        <f>Table3[[#This Row],[Volume, kg.]]/1000</f>
        <v>5.01</v>
      </c>
      <c r="J5665" s="34">
        <v>0.22949999999999998</v>
      </c>
      <c r="K5665" s="34">
        <f t="shared" si="176"/>
        <v>1149.7949999999998</v>
      </c>
      <c r="L5665" s="34">
        <v>1.9</v>
      </c>
      <c r="M5665" s="34">
        <v>9519</v>
      </c>
      <c r="N5665" s="34">
        <f t="shared" si="177"/>
        <v>8.2788671023965144</v>
      </c>
    </row>
    <row r="5666" spans="1:14" x14ac:dyDescent="0.45">
      <c r="A5666" s="30">
        <v>2025</v>
      </c>
      <c r="B5666" s="30" t="s">
        <v>13</v>
      </c>
      <c r="C5666" s="30" t="s">
        <v>46</v>
      </c>
      <c r="D5666" s="30" t="s">
        <v>47</v>
      </c>
      <c r="E5666" s="31" t="s">
        <v>267</v>
      </c>
      <c r="F5666" s="32" t="s">
        <v>57</v>
      </c>
      <c r="G5666" s="32" t="s">
        <v>50</v>
      </c>
      <c r="H5666" s="33">
        <v>2180</v>
      </c>
      <c r="I5666" s="34">
        <f>Table3[[#This Row],[Volume, kg.]]/1000</f>
        <v>2.1800000000000002</v>
      </c>
      <c r="J5666" s="34">
        <v>0.2475</v>
      </c>
      <c r="K5666" s="34">
        <f t="shared" si="176"/>
        <v>539.54999999999995</v>
      </c>
      <c r="L5666" s="34">
        <v>2</v>
      </c>
      <c r="M5666" s="34">
        <v>4360</v>
      </c>
      <c r="N5666" s="34">
        <f t="shared" si="177"/>
        <v>8.0808080808080813</v>
      </c>
    </row>
    <row r="5667" spans="1:14" x14ac:dyDescent="0.45">
      <c r="A5667" s="30">
        <v>2025</v>
      </c>
      <c r="B5667" s="30" t="s">
        <v>13</v>
      </c>
      <c r="C5667" s="30" t="s">
        <v>46</v>
      </c>
      <c r="D5667" s="30" t="s">
        <v>102</v>
      </c>
      <c r="E5667" s="31" t="s">
        <v>103</v>
      </c>
      <c r="F5667" s="32" t="s">
        <v>104</v>
      </c>
      <c r="G5667" s="32" t="s">
        <v>105</v>
      </c>
      <c r="H5667" s="33">
        <v>94850</v>
      </c>
      <c r="I5667" s="34">
        <f>Table3[[#This Row],[Volume, kg.]]/1000</f>
        <v>94.85</v>
      </c>
      <c r="J5667" s="34">
        <v>0.18820000000000001</v>
      </c>
      <c r="K5667" s="34">
        <f t="shared" si="176"/>
        <v>17850.77</v>
      </c>
      <c r="L5667" s="34">
        <v>1.71</v>
      </c>
      <c r="M5667" s="34">
        <v>161942.5</v>
      </c>
      <c r="N5667" s="34">
        <f t="shared" si="177"/>
        <v>9.0860786397449509</v>
      </c>
    </row>
    <row r="5668" spans="1:14" x14ac:dyDescent="0.45">
      <c r="A5668" s="30">
        <v>2025</v>
      </c>
      <c r="B5668" s="30" t="s">
        <v>13</v>
      </c>
      <c r="C5668" s="30" t="s">
        <v>46</v>
      </c>
      <c r="D5668" s="30" t="s">
        <v>47</v>
      </c>
      <c r="E5668" s="31" t="s">
        <v>203</v>
      </c>
      <c r="F5668" s="32" t="s">
        <v>57</v>
      </c>
      <c r="G5668" s="32" t="s">
        <v>50</v>
      </c>
      <c r="H5668" s="33">
        <v>20070</v>
      </c>
      <c r="I5668" s="34">
        <f>Table3[[#This Row],[Volume, kg.]]/1000</f>
        <v>20.07</v>
      </c>
      <c r="J5668" s="34">
        <v>0.21679999999999999</v>
      </c>
      <c r="K5668" s="34">
        <f t="shared" si="176"/>
        <v>4351.1759999999995</v>
      </c>
      <c r="L5668" s="34">
        <v>1.8</v>
      </c>
      <c r="M5668" s="34">
        <v>36031.5</v>
      </c>
      <c r="N5668" s="34">
        <f t="shared" si="177"/>
        <v>8.3025830258302591</v>
      </c>
    </row>
    <row r="5669" spans="1:14" x14ac:dyDescent="0.45">
      <c r="A5669" s="30">
        <v>2025</v>
      </c>
      <c r="B5669" s="30" t="s">
        <v>13</v>
      </c>
      <c r="C5669" s="30" t="s">
        <v>46</v>
      </c>
      <c r="D5669" s="30" t="s">
        <v>47</v>
      </c>
      <c r="E5669" s="31" t="s">
        <v>137</v>
      </c>
      <c r="F5669" s="32" t="s">
        <v>49</v>
      </c>
      <c r="G5669" s="32" t="s">
        <v>50</v>
      </c>
      <c r="H5669" s="33">
        <v>38520</v>
      </c>
      <c r="I5669" s="34">
        <f>Table3[[#This Row],[Volume, kg.]]/1000</f>
        <v>38.520000000000003</v>
      </c>
      <c r="J5669" s="34">
        <v>0.2213</v>
      </c>
      <c r="K5669" s="34">
        <f t="shared" si="176"/>
        <v>8524.4760000000006</v>
      </c>
      <c r="L5669" s="34">
        <v>1.85</v>
      </c>
      <c r="M5669" s="34">
        <v>71233.5</v>
      </c>
      <c r="N5669" s="34">
        <f t="shared" si="177"/>
        <v>8.3596927248079531</v>
      </c>
    </row>
    <row r="5670" spans="1:14" x14ac:dyDescent="0.45">
      <c r="A5670" s="30">
        <v>2025</v>
      </c>
      <c r="B5670" s="30" t="s">
        <v>13</v>
      </c>
      <c r="C5670" s="30" t="s">
        <v>46</v>
      </c>
      <c r="D5670" s="30" t="s">
        <v>47</v>
      </c>
      <c r="E5670" s="31" t="s">
        <v>58</v>
      </c>
      <c r="F5670" s="32" t="s">
        <v>49</v>
      </c>
      <c r="G5670" s="32" t="s">
        <v>50</v>
      </c>
      <c r="H5670" s="33">
        <v>20260</v>
      </c>
      <c r="I5670" s="34">
        <f>Table3[[#This Row],[Volume, kg.]]/1000</f>
        <v>20.260000000000002</v>
      </c>
      <c r="J5670" s="34">
        <v>0.21050000000000002</v>
      </c>
      <c r="K5670" s="34">
        <f t="shared" si="176"/>
        <v>4264.7300000000005</v>
      </c>
      <c r="L5670" s="34">
        <v>1.82</v>
      </c>
      <c r="M5670" s="34">
        <v>36794.5</v>
      </c>
      <c r="N5670" s="34">
        <f t="shared" si="177"/>
        <v>8.6460807600950105</v>
      </c>
    </row>
    <row r="5671" spans="1:14" x14ac:dyDescent="0.45">
      <c r="A5671" s="30">
        <v>2025</v>
      </c>
      <c r="B5671" s="30" t="s">
        <v>13</v>
      </c>
      <c r="C5671" s="30" t="s">
        <v>46</v>
      </c>
      <c r="D5671" s="30" t="s">
        <v>102</v>
      </c>
      <c r="E5671" s="31" t="s">
        <v>691</v>
      </c>
      <c r="F5671" s="32" t="s">
        <v>657</v>
      </c>
      <c r="G5671" s="32" t="s">
        <v>119</v>
      </c>
      <c r="H5671" s="33">
        <v>116160</v>
      </c>
      <c r="I5671" s="34">
        <f>Table3[[#This Row],[Volume, kg.]]/1000</f>
        <v>116.16</v>
      </c>
      <c r="J5671" s="34">
        <v>0.1782</v>
      </c>
      <c r="K5671" s="34">
        <f t="shared" si="176"/>
        <v>20699.712</v>
      </c>
      <c r="L5671" s="34">
        <v>1.6</v>
      </c>
      <c r="M5671" s="34">
        <v>185908.5</v>
      </c>
      <c r="N5671" s="34">
        <f t="shared" si="177"/>
        <v>8.978675645342312</v>
      </c>
    </row>
    <row r="5672" spans="1:14" x14ac:dyDescent="0.45">
      <c r="A5672" s="30">
        <v>2025</v>
      </c>
      <c r="B5672" s="30" t="s">
        <v>13</v>
      </c>
      <c r="C5672" s="30" t="s">
        <v>46</v>
      </c>
      <c r="D5672" s="30" t="s">
        <v>102</v>
      </c>
      <c r="E5672" s="31" t="s">
        <v>126</v>
      </c>
      <c r="F5672" s="32" t="s">
        <v>127</v>
      </c>
      <c r="G5672" s="32" t="s">
        <v>128</v>
      </c>
      <c r="H5672" s="33">
        <v>2337070</v>
      </c>
      <c r="I5672" s="34">
        <f>Table3[[#This Row],[Volume, kg.]]/1000</f>
        <v>2337.0700000000002</v>
      </c>
      <c r="J5672" s="34">
        <v>0.19920000000000002</v>
      </c>
      <c r="K5672" s="34">
        <f t="shared" si="176"/>
        <v>465544.34400000004</v>
      </c>
      <c r="L5672" s="34">
        <v>1.72</v>
      </c>
      <c r="M5672" s="34">
        <v>4028978.5</v>
      </c>
      <c r="N5672" s="34">
        <f t="shared" si="177"/>
        <v>8.6345381526104408</v>
      </c>
    </row>
    <row r="5673" spans="1:14" x14ac:dyDescent="0.45">
      <c r="A5673" s="30">
        <v>2025</v>
      </c>
      <c r="B5673" s="30" t="s">
        <v>13</v>
      </c>
      <c r="C5673" s="30" t="s">
        <v>46</v>
      </c>
      <c r="D5673" s="30" t="s">
        <v>47</v>
      </c>
      <c r="E5673" s="31" t="s">
        <v>526</v>
      </c>
      <c r="F5673" s="32" t="s">
        <v>49</v>
      </c>
      <c r="G5673" s="32" t="s">
        <v>50</v>
      </c>
      <c r="H5673" s="33">
        <v>4740</v>
      </c>
      <c r="I5673" s="34">
        <f>Table3[[#This Row],[Volume, kg.]]/1000</f>
        <v>4.74</v>
      </c>
      <c r="J5673" s="34">
        <v>0.17899999999999999</v>
      </c>
      <c r="K5673" s="34">
        <f t="shared" ref="K5673:K5736" si="178">H5673*J5673</f>
        <v>848.45999999999992</v>
      </c>
      <c r="L5673" s="34">
        <v>1.6</v>
      </c>
      <c r="M5673" s="34">
        <v>7584</v>
      </c>
      <c r="N5673" s="34">
        <f t="shared" ref="N5673:N5736" si="179">L5673/J5673</f>
        <v>8.9385474860335208</v>
      </c>
    </row>
    <row r="5674" spans="1:14" x14ac:dyDescent="0.45">
      <c r="A5674" s="30">
        <v>2025</v>
      </c>
      <c r="B5674" s="30" t="s">
        <v>13</v>
      </c>
      <c r="C5674" s="30" t="s">
        <v>46</v>
      </c>
      <c r="D5674" s="30" t="s">
        <v>47</v>
      </c>
      <c r="E5674" s="31" t="s">
        <v>335</v>
      </c>
      <c r="F5674" s="32" t="s">
        <v>54</v>
      </c>
      <c r="G5674" s="32" t="s">
        <v>50</v>
      </c>
      <c r="H5674" s="33">
        <v>50020</v>
      </c>
      <c r="I5674" s="34">
        <f>Table3[[#This Row],[Volume, kg.]]/1000</f>
        <v>50.02</v>
      </c>
      <c r="J5674" s="34">
        <v>0.22</v>
      </c>
      <c r="K5674" s="34">
        <f t="shared" si="178"/>
        <v>11004.4</v>
      </c>
      <c r="L5674" s="34">
        <v>1.85</v>
      </c>
      <c r="M5674" s="34">
        <v>92383</v>
      </c>
      <c r="N5674" s="34">
        <f t="shared" si="179"/>
        <v>8.4090909090909101</v>
      </c>
    </row>
    <row r="5675" spans="1:14" x14ac:dyDescent="0.45">
      <c r="A5675" s="30">
        <v>2025</v>
      </c>
      <c r="B5675" s="30" t="s">
        <v>13</v>
      </c>
      <c r="C5675" s="30" t="s">
        <v>46</v>
      </c>
      <c r="D5675" s="30" t="s">
        <v>47</v>
      </c>
      <c r="E5675" s="31" t="s">
        <v>401</v>
      </c>
      <c r="F5675" s="32" t="s">
        <v>57</v>
      </c>
      <c r="G5675" s="32" t="s">
        <v>50</v>
      </c>
      <c r="H5675" s="33">
        <v>3990</v>
      </c>
      <c r="I5675" s="34">
        <f>Table3[[#This Row],[Volume, kg.]]/1000</f>
        <v>3.99</v>
      </c>
      <c r="J5675" s="34">
        <v>0.2205</v>
      </c>
      <c r="K5675" s="34">
        <f t="shared" si="178"/>
        <v>879.79499999999996</v>
      </c>
      <c r="L5675" s="34">
        <v>1.85</v>
      </c>
      <c r="M5675" s="34">
        <v>7381.5</v>
      </c>
      <c r="N5675" s="34">
        <f t="shared" si="179"/>
        <v>8.3900226757369616</v>
      </c>
    </row>
    <row r="5676" spans="1:14" x14ac:dyDescent="0.45">
      <c r="A5676" s="30">
        <v>2025</v>
      </c>
      <c r="B5676" s="30" t="s">
        <v>13</v>
      </c>
      <c r="C5676" s="30" t="s">
        <v>46</v>
      </c>
      <c r="D5676" s="30" t="s">
        <v>47</v>
      </c>
      <c r="E5676" s="31" t="s">
        <v>567</v>
      </c>
      <c r="F5676" s="32" t="s">
        <v>49</v>
      </c>
      <c r="G5676" s="32" t="s">
        <v>50</v>
      </c>
      <c r="H5676" s="33">
        <v>68370</v>
      </c>
      <c r="I5676" s="34">
        <f>Table3[[#This Row],[Volume, kg.]]/1000</f>
        <v>68.37</v>
      </c>
      <c r="J5676" s="34">
        <v>0.19760000000000003</v>
      </c>
      <c r="K5676" s="34">
        <f t="shared" si="178"/>
        <v>13509.912000000002</v>
      </c>
      <c r="L5676" s="34">
        <v>1.72</v>
      </c>
      <c r="M5676" s="34">
        <v>117893</v>
      </c>
      <c r="N5676" s="34">
        <f t="shared" si="179"/>
        <v>8.704453441295545</v>
      </c>
    </row>
    <row r="5677" spans="1:14" x14ac:dyDescent="0.45">
      <c r="A5677" s="30">
        <v>2025</v>
      </c>
      <c r="B5677" s="30" t="s">
        <v>13</v>
      </c>
      <c r="C5677" s="30" t="s">
        <v>46</v>
      </c>
      <c r="D5677" s="30" t="s">
        <v>102</v>
      </c>
      <c r="E5677" s="31" t="s">
        <v>546</v>
      </c>
      <c r="F5677" s="32" t="s">
        <v>547</v>
      </c>
      <c r="G5677" s="32" t="s">
        <v>341</v>
      </c>
      <c r="H5677" s="33">
        <v>27260</v>
      </c>
      <c r="I5677" s="34">
        <f>Table3[[#This Row],[Volume, kg.]]/1000</f>
        <v>27.26</v>
      </c>
      <c r="J5677" s="34">
        <v>0.20100000000000001</v>
      </c>
      <c r="K5677" s="34">
        <f t="shared" si="178"/>
        <v>5479.26</v>
      </c>
      <c r="L5677" s="34">
        <v>1.75</v>
      </c>
      <c r="M5677" s="34">
        <v>47705</v>
      </c>
      <c r="N5677" s="34">
        <f t="shared" si="179"/>
        <v>8.7064676616915424</v>
      </c>
    </row>
    <row r="5678" spans="1:14" x14ac:dyDescent="0.45">
      <c r="A5678" s="30">
        <v>2025</v>
      </c>
      <c r="B5678" s="30" t="s">
        <v>13</v>
      </c>
      <c r="C5678" s="30" t="s">
        <v>46</v>
      </c>
      <c r="D5678" s="30" t="s">
        <v>47</v>
      </c>
      <c r="E5678" s="31" t="s">
        <v>669</v>
      </c>
      <c r="F5678" s="32" t="s">
        <v>81</v>
      </c>
      <c r="G5678" s="32" t="s">
        <v>50</v>
      </c>
      <c r="H5678" s="33">
        <v>4950</v>
      </c>
      <c r="I5678" s="34">
        <f>Table3[[#This Row],[Volume, kg.]]/1000</f>
        <v>4.95</v>
      </c>
      <c r="J5678" s="34">
        <v>0.19649999999999998</v>
      </c>
      <c r="K5678" s="34">
        <f t="shared" si="178"/>
        <v>972.67499999999995</v>
      </c>
      <c r="L5678" s="34">
        <v>1.75</v>
      </c>
      <c r="M5678" s="34">
        <v>8662.5</v>
      </c>
      <c r="N5678" s="34">
        <f t="shared" si="179"/>
        <v>8.9058524173027998</v>
      </c>
    </row>
    <row r="5679" spans="1:14" x14ac:dyDescent="0.45">
      <c r="A5679" s="30">
        <v>2025</v>
      </c>
      <c r="B5679" s="30" t="s">
        <v>13</v>
      </c>
      <c r="C5679" s="30" t="s">
        <v>46</v>
      </c>
      <c r="D5679" s="30" t="s">
        <v>47</v>
      </c>
      <c r="E5679" s="31" t="s">
        <v>243</v>
      </c>
      <c r="F5679" s="32" t="s">
        <v>60</v>
      </c>
      <c r="G5679" s="32" t="s">
        <v>50</v>
      </c>
      <c r="H5679" s="33">
        <v>2910</v>
      </c>
      <c r="I5679" s="34">
        <f>Table3[[#This Row],[Volume, kg.]]/1000</f>
        <v>2.91</v>
      </c>
      <c r="J5679" s="34">
        <v>0.26400000000000001</v>
      </c>
      <c r="K5679" s="34">
        <f t="shared" si="178"/>
        <v>768.24</v>
      </c>
      <c r="L5679" s="34">
        <v>2.0499999999999998</v>
      </c>
      <c r="M5679" s="34">
        <v>5965.5</v>
      </c>
      <c r="N5679" s="34">
        <f t="shared" si="179"/>
        <v>7.7651515151515138</v>
      </c>
    </row>
    <row r="5680" spans="1:14" x14ac:dyDescent="0.45">
      <c r="A5680" s="30">
        <v>2025</v>
      </c>
      <c r="B5680" s="30" t="s">
        <v>13</v>
      </c>
      <c r="C5680" s="30" t="s">
        <v>46</v>
      </c>
      <c r="D5680" s="30" t="s">
        <v>47</v>
      </c>
      <c r="E5680" s="31" t="s">
        <v>204</v>
      </c>
      <c r="F5680" s="32" t="s">
        <v>49</v>
      </c>
      <c r="G5680" s="32" t="s">
        <v>50</v>
      </c>
      <c r="H5680" s="33">
        <v>135160</v>
      </c>
      <c r="I5680" s="34">
        <f>Table3[[#This Row],[Volume, kg.]]/1000</f>
        <v>135.16</v>
      </c>
      <c r="J5680" s="34">
        <v>0.2248</v>
      </c>
      <c r="K5680" s="34">
        <f t="shared" si="178"/>
        <v>30383.968000000001</v>
      </c>
      <c r="L5680" s="34">
        <v>1.86</v>
      </c>
      <c r="M5680" s="34">
        <v>251083.5</v>
      </c>
      <c r="N5680" s="34">
        <f t="shared" si="179"/>
        <v>8.2740213523131683</v>
      </c>
    </row>
    <row r="5681" spans="1:14" x14ac:dyDescent="0.45">
      <c r="A5681" s="30">
        <v>2025</v>
      </c>
      <c r="B5681" s="30" t="s">
        <v>13</v>
      </c>
      <c r="C5681" s="30" t="s">
        <v>46</v>
      </c>
      <c r="D5681" s="30" t="s">
        <v>47</v>
      </c>
      <c r="E5681" s="31" t="s">
        <v>154</v>
      </c>
      <c r="F5681" s="32" t="s">
        <v>60</v>
      </c>
      <c r="G5681" s="32" t="s">
        <v>50</v>
      </c>
      <c r="H5681" s="33">
        <v>5020</v>
      </c>
      <c r="I5681" s="34">
        <f>Table3[[#This Row],[Volume, kg.]]/1000</f>
        <v>5.0199999999999996</v>
      </c>
      <c r="J5681" s="34">
        <v>0.19850000000000001</v>
      </c>
      <c r="K5681" s="34">
        <f t="shared" si="178"/>
        <v>996.47</v>
      </c>
      <c r="L5681" s="34">
        <v>1.75</v>
      </c>
      <c r="M5681" s="34">
        <v>8785</v>
      </c>
      <c r="N5681" s="34">
        <f t="shared" si="179"/>
        <v>8.8161209068010074</v>
      </c>
    </row>
    <row r="5682" spans="1:14" x14ac:dyDescent="0.45">
      <c r="A5682" s="30">
        <v>2025</v>
      </c>
      <c r="B5682" s="30" t="s">
        <v>13</v>
      </c>
      <c r="C5682" s="30" t="s">
        <v>46</v>
      </c>
      <c r="D5682" s="30" t="s">
        <v>102</v>
      </c>
      <c r="E5682" s="31" t="s">
        <v>157</v>
      </c>
      <c r="F5682" s="32" t="s">
        <v>127</v>
      </c>
      <c r="G5682" s="32" t="s">
        <v>128</v>
      </c>
      <c r="H5682" s="33">
        <v>956280</v>
      </c>
      <c r="I5682" s="34">
        <f>Table3[[#This Row],[Volume, kg.]]/1000</f>
        <v>956.28</v>
      </c>
      <c r="J5682" s="34">
        <v>0.21640000000000001</v>
      </c>
      <c r="K5682" s="34">
        <f t="shared" si="178"/>
        <v>206938.992</v>
      </c>
      <c r="L5682" s="34">
        <v>1.81</v>
      </c>
      <c r="M5682" s="34">
        <v>1728969</v>
      </c>
      <c r="N5682" s="34">
        <f t="shared" si="179"/>
        <v>8.3641404805914963</v>
      </c>
    </row>
    <row r="5683" spans="1:14" x14ac:dyDescent="0.45">
      <c r="A5683" s="30">
        <v>2025</v>
      </c>
      <c r="B5683" s="30" t="s">
        <v>13</v>
      </c>
      <c r="C5683" s="30" t="s">
        <v>46</v>
      </c>
      <c r="D5683" s="30" t="s">
        <v>47</v>
      </c>
      <c r="E5683" s="31" t="s">
        <v>97</v>
      </c>
      <c r="F5683" s="32" t="s">
        <v>49</v>
      </c>
      <c r="G5683" s="32" t="s">
        <v>50</v>
      </c>
      <c r="H5683" s="33">
        <v>81690</v>
      </c>
      <c r="I5683" s="34">
        <f>Table3[[#This Row],[Volume, kg.]]/1000</f>
        <v>81.69</v>
      </c>
      <c r="J5683" s="34">
        <v>0.21579999999999999</v>
      </c>
      <c r="K5683" s="34">
        <f t="shared" si="178"/>
        <v>17628.702000000001</v>
      </c>
      <c r="L5683" s="34">
        <v>1.83</v>
      </c>
      <c r="M5683" s="34">
        <v>149694.5</v>
      </c>
      <c r="N5683" s="34">
        <f t="shared" si="179"/>
        <v>8.4800741427247459</v>
      </c>
    </row>
    <row r="5684" spans="1:14" x14ac:dyDescent="0.45">
      <c r="A5684" s="30">
        <v>2025</v>
      </c>
      <c r="B5684" s="30" t="s">
        <v>13</v>
      </c>
      <c r="C5684" s="30" t="s">
        <v>46</v>
      </c>
      <c r="D5684" s="30" t="s">
        <v>47</v>
      </c>
      <c r="E5684" s="31" t="s">
        <v>355</v>
      </c>
      <c r="F5684" s="32" t="s">
        <v>60</v>
      </c>
      <c r="G5684" s="32" t="s">
        <v>50</v>
      </c>
      <c r="H5684" s="33">
        <v>31600</v>
      </c>
      <c r="I5684" s="34">
        <f>Table3[[#This Row],[Volume, kg.]]/1000</f>
        <v>31.6</v>
      </c>
      <c r="J5684" s="34">
        <v>0.22550000000000001</v>
      </c>
      <c r="K5684" s="34">
        <f t="shared" si="178"/>
        <v>7125.8</v>
      </c>
      <c r="L5684" s="34">
        <v>1.88</v>
      </c>
      <c r="M5684" s="34">
        <v>59435.5</v>
      </c>
      <c r="N5684" s="34">
        <f t="shared" si="179"/>
        <v>8.3370288248337019</v>
      </c>
    </row>
    <row r="5685" spans="1:14" x14ac:dyDescent="0.45">
      <c r="A5685" s="30">
        <v>2025</v>
      </c>
      <c r="B5685" s="30" t="s">
        <v>13</v>
      </c>
      <c r="C5685" s="30" t="s">
        <v>46</v>
      </c>
      <c r="D5685" s="30" t="s">
        <v>47</v>
      </c>
      <c r="E5685" s="31" t="s">
        <v>345</v>
      </c>
      <c r="F5685" s="32" t="s">
        <v>81</v>
      </c>
      <c r="G5685" s="32" t="s">
        <v>50</v>
      </c>
      <c r="H5685" s="33">
        <v>81090</v>
      </c>
      <c r="I5685" s="34">
        <f>Table3[[#This Row],[Volume, kg.]]/1000</f>
        <v>81.09</v>
      </c>
      <c r="J5685" s="34">
        <v>0.2218</v>
      </c>
      <c r="K5685" s="34">
        <f t="shared" si="178"/>
        <v>17985.761999999999</v>
      </c>
      <c r="L5685" s="34">
        <v>1.85</v>
      </c>
      <c r="M5685" s="34">
        <v>150266</v>
      </c>
      <c r="N5685" s="34">
        <f t="shared" si="179"/>
        <v>8.3408476104598748</v>
      </c>
    </row>
    <row r="5686" spans="1:14" x14ac:dyDescent="0.45">
      <c r="A5686" s="30">
        <v>2025</v>
      </c>
      <c r="B5686" s="30" t="s">
        <v>13</v>
      </c>
      <c r="C5686" s="30" t="s">
        <v>46</v>
      </c>
      <c r="D5686" s="30" t="s">
        <v>47</v>
      </c>
      <c r="E5686" s="31" t="s">
        <v>273</v>
      </c>
      <c r="F5686" s="32" t="s">
        <v>49</v>
      </c>
      <c r="G5686" s="32" t="s">
        <v>50</v>
      </c>
      <c r="H5686" s="33">
        <v>12560</v>
      </c>
      <c r="I5686" s="34">
        <f>Table3[[#This Row],[Volume, kg.]]/1000</f>
        <v>12.56</v>
      </c>
      <c r="J5686" s="34">
        <v>0.22500000000000001</v>
      </c>
      <c r="K5686" s="34">
        <f t="shared" si="178"/>
        <v>2826</v>
      </c>
      <c r="L5686" s="34">
        <v>1.87</v>
      </c>
      <c r="M5686" s="34">
        <v>23498.5</v>
      </c>
      <c r="N5686" s="34">
        <f t="shared" si="179"/>
        <v>8.3111111111111118</v>
      </c>
    </row>
    <row r="5687" spans="1:14" x14ac:dyDescent="0.45">
      <c r="A5687" s="30">
        <v>2025</v>
      </c>
      <c r="B5687" s="30" t="s">
        <v>13</v>
      </c>
      <c r="C5687" s="30" t="s">
        <v>46</v>
      </c>
      <c r="D5687" s="30" t="s">
        <v>47</v>
      </c>
      <c r="E5687" s="31" t="s">
        <v>247</v>
      </c>
      <c r="F5687" s="32" t="s">
        <v>134</v>
      </c>
      <c r="G5687" s="32" t="s">
        <v>50</v>
      </c>
      <c r="H5687" s="33">
        <v>33190</v>
      </c>
      <c r="I5687" s="34">
        <f>Table3[[#This Row],[Volume, kg.]]/1000</f>
        <v>33.19</v>
      </c>
      <c r="J5687" s="34">
        <v>0.19390000000000002</v>
      </c>
      <c r="K5687" s="34">
        <f t="shared" si="178"/>
        <v>6435.5410000000002</v>
      </c>
      <c r="L5687" s="34">
        <v>1.72</v>
      </c>
      <c r="M5687" s="34">
        <v>56981.5</v>
      </c>
      <c r="N5687" s="34">
        <f t="shared" si="179"/>
        <v>8.8705518308406379</v>
      </c>
    </row>
    <row r="5688" spans="1:14" x14ac:dyDescent="0.45">
      <c r="A5688" s="30">
        <v>2025</v>
      </c>
      <c r="B5688" s="30" t="s">
        <v>13</v>
      </c>
      <c r="C5688" s="30" t="s">
        <v>46</v>
      </c>
      <c r="D5688" s="30" t="s">
        <v>47</v>
      </c>
      <c r="E5688" s="31" t="s">
        <v>96</v>
      </c>
      <c r="F5688" s="32" t="s">
        <v>49</v>
      </c>
      <c r="G5688" s="32" t="s">
        <v>50</v>
      </c>
      <c r="H5688" s="33">
        <v>11140</v>
      </c>
      <c r="I5688" s="34">
        <f>Table3[[#This Row],[Volume, kg.]]/1000</f>
        <v>11.14</v>
      </c>
      <c r="J5688" s="34">
        <v>0.249</v>
      </c>
      <c r="K5688" s="34">
        <f t="shared" si="178"/>
        <v>2773.86</v>
      </c>
      <c r="L5688" s="34">
        <v>2</v>
      </c>
      <c r="M5688" s="34">
        <v>22280</v>
      </c>
      <c r="N5688" s="34">
        <f t="shared" si="179"/>
        <v>8.0321285140562253</v>
      </c>
    </row>
    <row r="5689" spans="1:14" x14ac:dyDescent="0.45">
      <c r="A5689" s="30">
        <v>2025</v>
      </c>
      <c r="B5689" s="30" t="s">
        <v>13</v>
      </c>
      <c r="C5689" s="30" t="s">
        <v>46</v>
      </c>
      <c r="D5689" s="30" t="s">
        <v>47</v>
      </c>
      <c r="E5689" s="31" t="s">
        <v>369</v>
      </c>
      <c r="F5689" s="32" t="s">
        <v>57</v>
      </c>
      <c r="G5689" s="32" t="s">
        <v>50</v>
      </c>
      <c r="H5689" s="33">
        <v>127450</v>
      </c>
      <c r="I5689" s="34">
        <f>Table3[[#This Row],[Volume, kg.]]/1000</f>
        <v>127.45</v>
      </c>
      <c r="J5689" s="34">
        <v>0.2029</v>
      </c>
      <c r="K5689" s="34">
        <f t="shared" si="178"/>
        <v>25859.605</v>
      </c>
      <c r="L5689" s="34">
        <v>1.74</v>
      </c>
      <c r="M5689" s="34">
        <v>222161.5</v>
      </c>
      <c r="N5689" s="34">
        <f t="shared" si="179"/>
        <v>8.5756530310497787</v>
      </c>
    </row>
    <row r="5690" spans="1:14" x14ac:dyDescent="0.45">
      <c r="A5690" s="30">
        <v>2025</v>
      </c>
      <c r="B5690" s="30" t="s">
        <v>13</v>
      </c>
      <c r="C5690" s="30" t="s">
        <v>46</v>
      </c>
      <c r="D5690" s="30" t="s">
        <v>102</v>
      </c>
      <c r="E5690" s="31" t="s">
        <v>730</v>
      </c>
      <c r="F5690" s="32" t="s">
        <v>487</v>
      </c>
      <c r="G5690" s="32" t="s">
        <v>341</v>
      </c>
      <c r="H5690" s="33">
        <v>641390</v>
      </c>
      <c r="I5690" s="34">
        <f>Table3[[#This Row],[Volume, kg.]]/1000</f>
        <v>641.39</v>
      </c>
      <c r="J5690" s="34">
        <v>0.22399999999999998</v>
      </c>
      <c r="K5690" s="34">
        <f t="shared" si="178"/>
        <v>143671.35999999999</v>
      </c>
      <c r="L5690" s="34">
        <v>1.85</v>
      </c>
      <c r="M5690" s="34">
        <v>1183914.5</v>
      </c>
      <c r="N5690" s="34">
        <f t="shared" si="179"/>
        <v>8.258928571428573</v>
      </c>
    </row>
    <row r="5691" spans="1:14" x14ac:dyDescent="0.45">
      <c r="A5691" s="30">
        <v>2025</v>
      </c>
      <c r="B5691" s="30" t="s">
        <v>13</v>
      </c>
      <c r="C5691" s="30" t="s">
        <v>46</v>
      </c>
      <c r="D5691" s="30" t="s">
        <v>102</v>
      </c>
      <c r="E5691" s="31" t="s">
        <v>710</v>
      </c>
      <c r="F5691" s="32" t="s">
        <v>189</v>
      </c>
      <c r="G5691" s="32" t="s">
        <v>128</v>
      </c>
      <c r="H5691" s="33">
        <v>655710</v>
      </c>
      <c r="I5691" s="34">
        <f>Table3[[#This Row],[Volume, kg.]]/1000</f>
        <v>655.71</v>
      </c>
      <c r="J5691" s="34">
        <v>0.2087</v>
      </c>
      <c r="K5691" s="34">
        <f t="shared" si="178"/>
        <v>136846.677</v>
      </c>
      <c r="L5691" s="34">
        <v>1.76</v>
      </c>
      <c r="M5691" s="34">
        <v>1155243</v>
      </c>
      <c r="N5691" s="34">
        <f t="shared" si="179"/>
        <v>8.4331576425491139</v>
      </c>
    </row>
    <row r="5692" spans="1:14" x14ac:dyDescent="0.45">
      <c r="A5692" s="30">
        <v>2025</v>
      </c>
      <c r="B5692" s="30" t="s">
        <v>13</v>
      </c>
      <c r="C5692" s="30" t="s">
        <v>46</v>
      </c>
      <c r="D5692" s="30" t="s">
        <v>47</v>
      </c>
      <c r="E5692" s="31" t="s">
        <v>87</v>
      </c>
      <c r="F5692" s="32" t="s">
        <v>49</v>
      </c>
      <c r="G5692" s="32" t="s">
        <v>50</v>
      </c>
      <c r="H5692" s="33">
        <v>41660</v>
      </c>
      <c r="I5692" s="34">
        <f>Table3[[#This Row],[Volume, kg.]]/1000</f>
        <v>41.66</v>
      </c>
      <c r="J5692" s="34">
        <v>0.19210000000000002</v>
      </c>
      <c r="K5692" s="34">
        <f t="shared" si="178"/>
        <v>8002.8860000000004</v>
      </c>
      <c r="L5692" s="34">
        <v>1.69</v>
      </c>
      <c r="M5692" s="34">
        <v>70563</v>
      </c>
      <c r="N5692" s="34">
        <f t="shared" si="179"/>
        <v>8.7975013014055161</v>
      </c>
    </row>
    <row r="5693" spans="1:14" x14ac:dyDescent="0.45">
      <c r="A5693" s="30">
        <v>2025</v>
      </c>
      <c r="B5693" s="30" t="s">
        <v>13</v>
      </c>
      <c r="C5693" s="30" t="s">
        <v>46</v>
      </c>
      <c r="D5693" s="30" t="s">
        <v>47</v>
      </c>
      <c r="E5693" s="31" t="s">
        <v>155</v>
      </c>
      <c r="F5693" s="32" t="s">
        <v>64</v>
      </c>
      <c r="G5693" s="32" t="s">
        <v>50</v>
      </c>
      <c r="H5693" s="33">
        <v>15530</v>
      </c>
      <c r="I5693" s="34">
        <f>Table3[[#This Row],[Volume, kg.]]/1000</f>
        <v>15.53</v>
      </c>
      <c r="J5693" s="34">
        <v>0.17600000000000002</v>
      </c>
      <c r="K5693" s="34">
        <f t="shared" si="178"/>
        <v>2733.28</v>
      </c>
      <c r="L5693" s="34">
        <v>1.6</v>
      </c>
      <c r="M5693" s="34">
        <v>24848</v>
      </c>
      <c r="N5693" s="34">
        <f t="shared" si="179"/>
        <v>9.0909090909090899</v>
      </c>
    </row>
    <row r="5694" spans="1:14" x14ac:dyDescent="0.45">
      <c r="A5694" s="30">
        <v>2025</v>
      </c>
      <c r="B5694" s="30" t="s">
        <v>13</v>
      </c>
      <c r="C5694" s="30" t="s">
        <v>46</v>
      </c>
      <c r="D5694" s="30" t="s">
        <v>47</v>
      </c>
      <c r="E5694" s="31" t="s">
        <v>285</v>
      </c>
      <c r="F5694" s="32" t="s">
        <v>49</v>
      </c>
      <c r="G5694" s="32" t="s">
        <v>50</v>
      </c>
      <c r="H5694" s="33">
        <v>45970</v>
      </c>
      <c r="I5694" s="34">
        <f>Table3[[#This Row],[Volume, kg.]]/1000</f>
        <v>45.97</v>
      </c>
      <c r="J5694" s="34">
        <v>0.19370000000000001</v>
      </c>
      <c r="K5694" s="34">
        <f t="shared" si="178"/>
        <v>8904.389000000001</v>
      </c>
      <c r="L5694" s="34">
        <v>1.71</v>
      </c>
      <c r="M5694" s="34">
        <v>78785.5</v>
      </c>
      <c r="N5694" s="34">
        <f t="shared" si="179"/>
        <v>8.8280846670108399</v>
      </c>
    </row>
    <row r="5695" spans="1:14" x14ac:dyDescent="0.45">
      <c r="A5695" s="30">
        <v>2025</v>
      </c>
      <c r="B5695" s="30" t="s">
        <v>13</v>
      </c>
      <c r="C5695" s="30" t="s">
        <v>46</v>
      </c>
      <c r="D5695" s="30" t="s">
        <v>102</v>
      </c>
      <c r="E5695" s="31" t="s">
        <v>733</v>
      </c>
      <c r="F5695" s="32" t="s">
        <v>734</v>
      </c>
      <c r="G5695" s="32" t="s">
        <v>128</v>
      </c>
      <c r="H5695" s="33">
        <v>428480</v>
      </c>
      <c r="I5695" s="34">
        <f>Table3[[#This Row],[Volume, kg.]]/1000</f>
        <v>428.48</v>
      </c>
      <c r="J5695" s="34">
        <v>0.2034</v>
      </c>
      <c r="K5695" s="34">
        <f t="shared" si="178"/>
        <v>87152.831999999995</v>
      </c>
      <c r="L5695" s="34">
        <v>1.75</v>
      </c>
      <c r="M5695" s="34">
        <v>748779</v>
      </c>
      <c r="N5695" s="34">
        <f t="shared" si="179"/>
        <v>8.6037364798426754</v>
      </c>
    </row>
    <row r="5696" spans="1:14" x14ac:dyDescent="0.45">
      <c r="A5696" s="30">
        <v>2025</v>
      </c>
      <c r="B5696" s="30" t="s">
        <v>13</v>
      </c>
      <c r="C5696" s="30" t="s">
        <v>46</v>
      </c>
      <c r="D5696" s="30" t="s">
        <v>47</v>
      </c>
      <c r="E5696" s="31" t="s">
        <v>430</v>
      </c>
      <c r="F5696" s="32" t="s">
        <v>49</v>
      </c>
      <c r="G5696" s="32" t="s">
        <v>50</v>
      </c>
      <c r="H5696" s="33">
        <v>6490</v>
      </c>
      <c r="I5696" s="34">
        <f>Table3[[#This Row],[Volume, kg.]]/1000</f>
        <v>6.49</v>
      </c>
      <c r="J5696" s="34">
        <v>0.24100000000000002</v>
      </c>
      <c r="K5696" s="34">
        <f t="shared" si="178"/>
        <v>1564.0900000000001</v>
      </c>
      <c r="L5696" s="34">
        <v>1.95</v>
      </c>
      <c r="M5696" s="34">
        <v>12655.5</v>
      </c>
      <c r="N5696" s="34">
        <f t="shared" si="179"/>
        <v>8.0912863070539416</v>
      </c>
    </row>
    <row r="5697" spans="1:14" x14ac:dyDescent="0.45">
      <c r="A5697" s="30">
        <v>2025</v>
      </c>
      <c r="B5697" s="30" t="s">
        <v>13</v>
      </c>
      <c r="C5697" s="30" t="s">
        <v>46</v>
      </c>
      <c r="D5697" s="30" t="s">
        <v>47</v>
      </c>
      <c r="E5697" s="31" t="s">
        <v>215</v>
      </c>
      <c r="F5697" s="32" t="s">
        <v>57</v>
      </c>
      <c r="G5697" s="32" t="s">
        <v>50</v>
      </c>
      <c r="H5697" s="33">
        <v>12720</v>
      </c>
      <c r="I5697" s="34">
        <f>Table3[[#This Row],[Volume, kg.]]/1000</f>
        <v>12.72</v>
      </c>
      <c r="J5697" s="34">
        <v>0.19969999999999999</v>
      </c>
      <c r="K5697" s="34">
        <f t="shared" si="178"/>
        <v>2540.1839999999997</v>
      </c>
      <c r="L5697" s="34">
        <v>1.77</v>
      </c>
      <c r="M5697" s="34">
        <v>22531.5</v>
      </c>
      <c r="N5697" s="34">
        <f t="shared" si="179"/>
        <v>8.8632949424136207</v>
      </c>
    </row>
    <row r="5698" spans="1:14" x14ac:dyDescent="0.45">
      <c r="A5698" s="30">
        <v>2025</v>
      </c>
      <c r="B5698" s="30" t="s">
        <v>13</v>
      </c>
      <c r="C5698" s="30" t="s">
        <v>46</v>
      </c>
      <c r="D5698" s="30" t="s">
        <v>47</v>
      </c>
      <c r="E5698" s="31" t="s">
        <v>453</v>
      </c>
      <c r="F5698" s="32" t="s">
        <v>57</v>
      </c>
      <c r="G5698" s="32" t="s">
        <v>50</v>
      </c>
      <c r="H5698" s="33">
        <v>28590</v>
      </c>
      <c r="I5698" s="34">
        <f>Table3[[#This Row],[Volume, kg.]]/1000</f>
        <v>28.59</v>
      </c>
      <c r="J5698" s="34">
        <v>0.20530000000000001</v>
      </c>
      <c r="K5698" s="34">
        <f t="shared" si="178"/>
        <v>5869.527</v>
      </c>
      <c r="L5698" s="34">
        <v>1.74</v>
      </c>
      <c r="M5698" s="34">
        <v>49678</v>
      </c>
      <c r="N5698" s="34">
        <f t="shared" si="179"/>
        <v>8.4754018509498295</v>
      </c>
    </row>
    <row r="5699" spans="1:14" x14ac:dyDescent="0.45">
      <c r="A5699" s="30">
        <v>2025</v>
      </c>
      <c r="B5699" s="30" t="s">
        <v>13</v>
      </c>
      <c r="C5699" s="30" t="s">
        <v>46</v>
      </c>
      <c r="D5699" s="30" t="s">
        <v>47</v>
      </c>
      <c r="E5699" s="31" t="s">
        <v>315</v>
      </c>
      <c r="F5699" s="32" t="s">
        <v>134</v>
      </c>
      <c r="G5699" s="32" t="s">
        <v>50</v>
      </c>
      <c r="H5699" s="33">
        <v>15970</v>
      </c>
      <c r="I5699" s="34">
        <f>Table3[[#This Row],[Volume, kg.]]/1000</f>
        <v>15.97</v>
      </c>
      <c r="J5699" s="34">
        <v>0.16750000000000001</v>
      </c>
      <c r="K5699" s="34">
        <f t="shared" si="178"/>
        <v>2674.9750000000004</v>
      </c>
      <c r="L5699" s="34">
        <v>1.6</v>
      </c>
      <c r="M5699" s="34">
        <v>25552</v>
      </c>
      <c r="N5699" s="34">
        <f t="shared" si="179"/>
        <v>9.5522388059701484</v>
      </c>
    </row>
    <row r="5700" spans="1:14" x14ac:dyDescent="0.45">
      <c r="A5700" s="30">
        <v>2025</v>
      </c>
      <c r="B5700" s="30" t="s">
        <v>13</v>
      </c>
      <c r="C5700" s="30" t="s">
        <v>46</v>
      </c>
      <c r="D5700" s="30" t="s">
        <v>47</v>
      </c>
      <c r="E5700" s="31" t="s">
        <v>227</v>
      </c>
      <c r="F5700" s="32" t="s">
        <v>57</v>
      </c>
      <c r="G5700" s="32" t="s">
        <v>50</v>
      </c>
      <c r="H5700" s="33">
        <v>2890</v>
      </c>
      <c r="I5700" s="34">
        <f>Table3[[#This Row],[Volume, kg.]]/1000</f>
        <v>2.89</v>
      </c>
      <c r="J5700" s="34">
        <v>0.1905</v>
      </c>
      <c r="K5700" s="34">
        <f t="shared" si="178"/>
        <v>550.54499999999996</v>
      </c>
      <c r="L5700" s="34">
        <v>1.7</v>
      </c>
      <c r="M5700" s="34">
        <v>4913</v>
      </c>
      <c r="N5700" s="34">
        <f t="shared" si="179"/>
        <v>8.9238845144356951</v>
      </c>
    </row>
    <row r="5701" spans="1:14" x14ac:dyDescent="0.45">
      <c r="A5701" s="30">
        <v>2025</v>
      </c>
      <c r="B5701" s="30" t="s">
        <v>13</v>
      </c>
      <c r="C5701" s="30" t="s">
        <v>46</v>
      </c>
      <c r="D5701" s="30" t="s">
        <v>47</v>
      </c>
      <c r="E5701" s="31" t="s">
        <v>66</v>
      </c>
      <c r="F5701" s="32" t="s">
        <v>49</v>
      </c>
      <c r="G5701" s="32" t="s">
        <v>50</v>
      </c>
      <c r="H5701" s="33">
        <v>42230</v>
      </c>
      <c r="I5701" s="34">
        <f>Table3[[#This Row],[Volume, kg.]]/1000</f>
        <v>42.23</v>
      </c>
      <c r="J5701" s="34">
        <v>0.23089999999999999</v>
      </c>
      <c r="K5701" s="34">
        <f t="shared" si="178"/>
        <v>9750.9069999999992</v>
      </c>
      <c r="L5701" s="34">
        <v>1.91</v>
      </c>
      <c r="M5701" s="34">
        <v>80576</v>
      </c>
      <c r="N5701" s="34">
        <f t="shared" si="179"/>
        <v>8.2719792117799908</v>
      </c>
    </row>
    <row r="5702" spans="1:14" x14ac:dyDescent="0.45">
      <c r="A5702" s="30">
        <v>2025</v>
      </c>
      <c r="B5702" s="30" t="s">
        <v>13</v>
      </c>
      <c r="C5702" s="30" t="s">
        <v>46</v>
      </c>
      <c r="D5702" s="30" t="s">
        <v>47</v>
      </c>
      <c r="E5702" s="31" t="s">
        <v>159</v>
      </c>
      <c r="F5702" s="32" t="s">
        <v>81</v>
      </c>
      <c r="G5702" s="32" t="s">
        <v>50</v>
      </c>
      <c r="H5702" s="33">
        <v>158330</v>
      </c>
      <c r="I5702" s="34">
        <f>Table3[[#This Row],[Volume, kg.]]/1000</f>
        <v>158.33000000000001</v>
      </c>
      <c r="J5702" s="34">
        <v>0.20199999999999999</v>
      </c>
      <c r="K5702" s="34">
        <f t="shared" si="178"/>
        <v>31982.659999999996</v>
      </c>
      <c r="L5702" s="34">
        <v>1.74</v>
      </c>
      <c r="M5702" s="34">
        <v>274705.5</v>
      </c>
      <c r="N5702" s="34">
        <f t="shared" si="179"/>
        <v>8.6138613861386144</v>
      </c>
    </row>
    <row r="5703" spans="1:14" x14ac:dyDescent="0.45">
      <c r="A5703" s="30">
        <v>2025</v>
      </c>
      <c r="B5703" s="30" t="s">
        <v>13</v>
      </c>
      <c r="C5703" s="30" t="s">
        <v>46</v>
      </c>
      <c r="D5703" s="30" t="s">
        <v>47</v>
      </c>
      <c r="E5703" s="31" t="s">
        <v>562</v>
      </c>
      <c r="F5703" s="32" t="s">
        <v>64</v>
      </c>
      <c r="G5703" s="32" t="s">
        <v>50</v>
      </c>
      <c r="H5703" s="33">
        <v>72270</v>
      </c>
      <c r="I5703" s="34">
        <f>Table3[[#This Row],[Volume, kg.]]/1000</f>
        <v>72.27</v>
      </c>
      <c r="J5703" s="34">
        <v>0.21489999999999998</v>
      </c>
      <c r="K5703" s="34">
        <f t="shared" si="178"/>
        <v>15530.822999999999</v>
      </c>
      <c r="L5703" s="34">
        <v>1.83</v>
      </c>
      <c r="M5703" s="34">
        <v>132006</v>
      </c>
      <c r="N5703" s="34">
        <f t="shared" si="179"/>
        <v>8.515588645881806</v>
      </c>
    </row>
    <row r="5704" spans="1:14" x14ac:dyDescent="0.45">
      <c r="A5704" s="30">
        <v>2025</v>
      </c>
      <c r="B5704" s="30" t="s">
        <v>13</v>
      </c>
      <c r="C5704" s="30" t="s">
        <v>46</v>
      </c>
      <c r="D5704" s="30" t="s">
        <v>47</v>
      </c>
      <c r="E5704" s="31" t="s">
        <v>228</v>
      </c>
      <c r="F5704" s="32" t="s">
        <v>64</v>
      </c>
      <c r="G5704" s="32" t="s">
        <v>50</v>
      </c>
      <c r="H5704" s="33">
        <v>12350</v>
      </c>
      <c r="I5704" s="34">
        <f>Table3[[#This Row],[Volume, kg.]]/1000</f>
        <v>12.35</v>
      </c>
      <c r="J5704" s="34">
        <v>0.16070000000000001</v>
      </c>
      <c r="K5704" s="34">
        <f t="shared" si="178"/>
        <v>1984.6450000000002</v>
      </c>
      <c r="L5704" s="34">
        <v>1.5</v>
      </c>
      <c r="M5704" s="34">
        <v>18525</v>
      </c>
      <c r="N5704" s="34">
        <f t="shared" si="179"/>
        <v>9.334163036714374</v>
      </c>
    </row>
    <row r="5705" spans="1:14" x14ac:dyDescent="0.45">
      <c r="A5705" s="30">
        <v>2025</v>
      </c>
      <c r="B5705" s="30" t="s">
        <v>13</v>
      </c>
      <c r="C5705" s="30" t="s">
        <v>46</v>
      </c>
      <c r="D5705" s="30" t="s">
        <v>47</v>
      </c>
      <c r="E5705" s="31" t="s">
        <v>101</v>
      </c>
      <c r="F5705" s="32" t="s">
        <v>64</v>
      </c>
      <c r="G5705" s="32" t="s">
        <v>50</v>
      </c>
      <c r="H5705" s="33">
        <v>22610</v>
      </c>
      <c r="I5705" s="34">
        <f>Table3[[#This Row],[Volume, kg.]]/1000</f>
        <v>22.61</v>
      </c>
      <c r="J5705" s="34">
        <v>0.19839999999999999</v>
      </c>
      <c r="K5705" s="34">
        <f t="shared" si="178"/>
        <v>4485.8239999999996</v>
      </c>
      <c r="L5705" s="34">
        <v>1.7</v>
      </c>
      <c r="M5705" s="34">
        <v>38437</v>
      </c>
      <c r="N5705" s="34">
        <f t="shared" si="179"/>
        <v>8.568548387096774</v>
      </c>
    </row>
    <row r="5706" spans="1:14" x14ac:dyDescent="0.45">
      <c r="A5706" s="30">
        <v>2025</v>
      </c>
      <c r="B5706" s="30" t="s">
        <v>13</v>
      </c>
      <c r="C5706" s="30" t="s">
        <v>46</v>
      </c>
      <c r="D5706" s="30" t="s">
        <v>47</v>
      </c>
      <c r="E5706" s="31" t="s">
        <v>347</v>
      </c>
      <c r="F5706" s="32" t="s">
        <v>49</v>
      </c>
      <c r="G5706" s="32" t="s">
        <v>50</v>
      </c>
      <c r="H5706" s="33">
        <v>15390</v>
      </c>
      <c r="I5706" s="34">
        <f>Table3[[#This Row],[Volume, kg.]]/1000</f>
        <v>15.39</v>
      </c>
      <c r="J5706" s="34">
        <v>0.21590000000000001</v>
      </c>
      <c r="K5706" s="34">
        <f t="shared" si="178"/>
        <v>3322.701</v>
      </c>
      <c r="L5706" s="34">
        <v>1.84</v>
      </c>
      <c r="M5706" s="34">
        <v>28251</v>
      </c>
      <c r="N5706" s="34">
        <f t="shared" si="179"/>
        <v>8.5224641037517372</v>
      </c>
    </row>
    <row r="5707" spans="1:14" x14ac:dyDescent="0.45">
      <c r="A5707" s="30">
        <v>2025</v>
      </c>
      <c r="B5707" s="30" t="s">
        <v>13</v>
      </c>
      <c r="C5707" s="30" t="s">
        <v>46</v>
      </c>
      <c r="D5707" s="30" t="s">
        <v>47</v>
      </c>
      <c r="E5707" s="31" t="s">
        <v>255</v>
      </c>
      <c r="F5707" s="32" t="s">
        <v>60</v>
      </c>
      <c r="G5707" s="32" t="s">
        <v>50</v>
      </c>
      <c r="H5707" s="33">
        <v>6790</v>
      </c>
      <c r="I5707" s="34">
        <f>Table3[[#This Row],[Volume, kg.]]/1000</f>
        <v>6.79</v>
      </c>
      <c r="J5707" s="34">
        <v>0.223</v>
      </c>
      <c r="K5707" s="34">
        <f t="shared" si="178"/>
        <v>1514.17</v>
      </c>
      <c r="L5707" s="34">
        <v>1.85</v>
      </c>
      <c r="M5707" s="34">
        <v>12561.5</v>
      </c>
      <c r="N5707" s="34">
        <f t="shared" si="179"/>
        <v>8.2959641255605376</v>
      </c>
    </row>
    <row r="5708" spans="1:14" x14ac:dyDescent="0.45">
      <c r="A5708" s="30">
        <v>2025</v>
      </c>
      <c r="B5708" s="30" t="s">
        <v>13</v>
      </c>
      <c r="C5708" s="30" t="s">
        <v>46</v>
      </c>
      <c r="D5708" s="30" t="s">
        <v>47</v>
      </c>
      <c r="E5708" s="31" t="s">
        <v>309</v>
      </c>
      <c r="F5708" s="32" t="s">
        <v>81</v>
      </c>
      <c r="G5708" s="32" t="s">
        <v>50</v>
      </c>
      <c r="H5708" s="33">
        <v>81530</v>
      </c>
      <c r="I5708" s="34">
        <f>Table3[[#This Row],[Volume, kg.]]/1000</f>
        <v>81.53</v>
      </c>
      <c r="J5708" s="34">
        <v>0.2293</v>
      </c>
      <c r="K5708" s="34">
        <f t="shared" si="178"/>
        <v>18694.829000000002</v>
      </c>
      <c r="L5708" s="34">
        <v>1.88</v>
      </c>
      <c r="M5708" s="34">
        <v>153060</v>
      </c>
      <c r="N5708" s="34">
        <f t="shared" si="179"/>
        <v>8.1988661142607935</v>
      </c>
    </row>
    <row r="5709" spans="1:14" x14ac:dyDescent="0.45">
      <c r="A5709" s="30">
        <v>2025</v>
      </c>
      <c r="B5709" s="30" t="s">
        <v>13</v>
      </c>
      <c r="C5709" s="30" t="s">
        <v>46</v>
      </c>
      <c r="D5709" s="30" t="s">
        <v>47</v>
      </c>
      <c r="E5709" s="31" t="s">
        <v>510</v>
      </c>
      <c r="F5709" s="32" t="s">
        <v>49</v>
      </c>
      <c r="G5709" s="32" t="s">
        <v>50</v>
      </c>
      <c r="H5709" s="33">
        <v>23000</v>
      </c>
      <c r="I5709" s="34">
        <f>Table3[[#This Row],[Volume, kg.]]/1000</f>
        <v>23</v>
      </c>
      <c r="J5709" s="34">
        <v>0.18789999999999998</v>
      </c>
      <c r="K5709" s="34">
        <f t="shared" si="178"/>
        <v>4321.7</v>
      </c>
      <c r="L5709" s="34">
        <v>1.64</v>
      </c>
      <c r="M5709" s="34">
        <v>37759</v>
      </c>
      <c r="N5709" s="34">
        <f t="shared" si="179"/>
        <v>8.7280468334220327</v>
      </c>
    </row>
    <row r="5710" spans="1:14" x14ac:dyDescent="0.45">
      <c r="A5710" s="30">
        <v>2025</v>
      </c>
      <c r="B5710" s="30" t="s">
        <v>13</v>
      </c>
      <c r="C5710" s="30" t="s">
        <v>46</v>
      </c>
      <c r="D5710" s="30" t="s">
        <v>102</v>
      </c>
      <c r="E5710" s="31" t="s">
        <v>337</v>
      </c>
      <c r="F5710" s="32" t="s">
        <v>338</v>
      </c>
      <c r="G5710" s="32" t="s">
        <v>105</v>
      </c>
      <c r="H5710" s="33">
        <v>388440</v>
      </c>
      <c r="I5710" s="34">
        <f>Table3[[#This Row],[Volume, kg.]]/1000</f>
        <v>388.44</v>
      </c>
      <c r="J5710" s="34">
        <v>0.20180000000000001</v>
      </c>
      <c r="K5710" s="34">
        <f t="shared" si="178"/>
        <v>78387.19200000001</v>
      </c>
      <c r="L5710" s="34">
        <v>1.74</v>
      </c>
      <c r="M5710" s="34">
        <v>675715</v>
      </c>
      <c r="N5710" s="34">
        <f t="shared" si="179"/>
        <v>8.6223984142715562</v>
      </c>
    </row>
    <row r="5711" spans="1:14" x14ac:dyDescent="0.45">
      <c r="A5711" s="30">
        <v>2025</v>
      </c>
      <c r="B5711" s="30" t="s">
        <v>13</v>
      </c>
      <c r="C5711" s="30" t="s">
        <v>46</v>
      </c>
      <c r="D5711" s="30" t="s">
        <v>47</v>
      </c>
      <c r="E5711" s="31" t="s">
        <v>133</v>
      </c>
      <c r="F5711" s="32" t="s">
        <v>134</v>
      </c>
      <c r="G5711" s="32" t="s">
        <v>50</v>
      </c>
      <c r="H5711" s="33">
        <v>26640</v>
      </c>
      <c r="I5711" s="34">
        <f>Table3[[#This Row],[Volume, kg.]]/1000</f>
        <v>26.64</v>
      </c>
      <c r="J5711" s="34">
        <v>0.214</v>
      </c>
      <c r="K5711" s="34">
        <f t="shared" si="178"/>
        <v>5700.96</v>
      </c>
      <c r="L5711" s="34">
        <v>1.78</v>
      </c>
      <c r="M5711" s="34">
        <v>47348.5</v>
      </c>
      <c r="N5711" s="34">
        <f t="shared" si="179"/>
        <v>8.3177570093457955</v>
      </c>
    </row>
    <row r="5712" spans="1:14" x14ac:dyDescent="0.45">
      <c r="A5712" s="30">
        <v>2025</v>
      </c>
      <c r="B5712" s="30" t="s">
        <v>13</v>
      </c>
      <c r="C5712" s="30" t="s">
        <v>46</v>
      </c>
      <c r="D5712" s="30" t="s">
        <v>47</v>
      </c>
      <c r="E5712" s="31" t="s">
        <v>252</v>
      </c>
      <c r="F5712" s="32" t="s">
        <v>49</v>
      </c>
      <c r="G5712" s="32" t="s">
        <v>50</v>
      </c>
      <c r="H5712" s="33">
        <v>80250</v>
      </c>
      <c r="I5712" s="34">
        <f>Table3[[#This Row],[Volume, kg.]]/1000</f>
        <v>80.25</v>
      </c>
      <c r="J5712" s="34">
        <v>0.20660000000000001</v>
      </c>
      <c r="K5712" s="34">
        <f t="shared" si="178"/>
        <v>16579.650000000001</v>
      </c>
      <c r="L5712" s="34">
        <v>1.77</v>
      </c>
      <c r="M5712" s="34">
        <v>142015</v>
      </c>
      <c r="N5712" s="34">
        <f t="shared" si="179"/>
        <v>8.5672797676669887</v>
      </c>
    </row>
    <row r="5713" spans="1:14" x14ac:dyDescent="0.45">
      <c r="A5713" s="30">
        <v>2025</v>
      </c>
      <c r="B5713" s="30" t="s">
        <v>13</v>
      </c>
      <c r="C5713" s="30" t="s">
        <v>46</v>
      </c>
      <c r="D5713" s="30" t="s">
        <v>47</v>
      </c>
      <c r="E5713" s="31" t="s">
        <v>95</v>
      </c>
      <c r="F5713" s="32" t="s">
        <v>49</v>
      </c>
      <c r="G5713" s="32" t="s">
        <v>50</v>
      </c>
      <c r="H5713" s="33">
        <v>26650</v>
      </c>
      <c r="I5713" s="34">
        <f>Table3[[#This Row],[Volume, kg.]]/1000</f>
        <v>26.65</v>
      </c>
      <c r="J5713" s="34">
        <v>0.18710000000000002</v>
      </c>
      <c r="K5713" s="34">
        <f t="shared" si="178"/>
        <v>4986.2150000000001</v>
      </c>
      <c r="L5713" s="34">
        <v>1.65</v>
      </c>
      <c r="M5713" s="34">
        <v>43910</v>
      </c>
      <c r="N5713" s="34">
        <f t="shared" si="179"/>
        <v>8.8188134687332962</v>
      </c>
    </row>
    <row r="5714" spans="1:14" x14ac:dyDescent="0.45">
      <c r="A5714" s="30">
        <v>2025</v>
      </c>
      <c r="B5714" s="30" t="s">
        <v>13</v>
      </c>
      <c r="C5714" s="30" t="s">
        <v>46</v>
      </c>
      <c r="D5714" s="30" t="s">
        <v>47</v>
      </c>
      <c r="E5714" s="31" t="s">
        <v>205</v>
      </c>
      <c r="F5714" s="32" t="s">
        <v>49</v>
      </c>
      <c r="G5714" s="32" t="s">
        <v>50</v>
      </c>
      <c r="H5714" s="33">
        <v>11980</v>
      </c>
      <c r="I5714" s="34">
        <f>Table3[[#This Row],[Volume, kg.]]/1000</f>
        <v>11.98</v>
      </c>
      <c r="J5714" s="34">
        <v>0.2175</v>
      </c>
      <c r="K5714" s="34">
        <f t="shared" si="178"/>
        <v>2605.65</v>
      </c>
      <c r="L5714" s="34">
        <v>1.85</v>
      </c>
      <c r="M5714" s="34">
        <v>22163</v>
      </c>
      <c r="N5714" s="34">
        <f t="shared" si="179"/>
        <v>8.5057471264367823</v>
      </c>
    </row>
    <row r="5715" spans="1:14" x14ac:dyDescent="0.45">
      <c r="A5715" s="30">
        <v>2025</v>
      </c>
      <c r="B5715" s="30" t="s">
        <v>13</v>
      </c>
      <c r="C5715" s="30" t="s">
        <v>46</v>
      </c>
      <c r="D5715" s="30" t="s">
        <v>102</v>
      </c>
      <c r="E5715" s="31" t="s">
        <v>366</v>
      </c>
      <c r="F5715" s="32" t="s">
        <v>367</v>
      </c>
      <c r="G5715" s="32" t="s">
        <v>368</v>
      </c>
      <c r="H5715" s="33">
        <v>687940</v>
      </c>
      <c r="I5715" s="34">
        <f>Table3[[#This Row],[Volume, kg.]]/1000</f>
        <v>687.94</v>
      </c>
      <c r="J5715" s="34">
        <v>0.21030000000000001</v>
      </c>
      <c r="K5715" s="34">
        <f t="shared" si="178"/>
        <v>144673.78200000001</v>
      </c>
      <c r="L5715" s="34">
        <v>1.79</v>
      </c>
      <c r="M5715" s="34">
        <v>1229915.5</v>
      </c>
      <c r="N5715" s="34">
        <f t="shared" si="179"/>
        <v>8.5116500237755588</v>
      </c>
    </row>
    <row r="5716" spans="1:14" x14ac:dyDescent="0.45">
      <c r="A5716" s="30">
        <v>2025</v>
      </c>
      <c r="B5716" s="30" t="s">
        <v>13</v>
      </c>
      <c r="C5716" s="30" t="s">
        <v>46</v>
      </c>
      <c r="D5716" s="30" t="s">
        <v>47</v>
      </c>
      <c r="E5716" s="31" t="s">
        <v>417</v>
      </c>
      <c r="F5716" s="32" t="s">
        <v>49</v>
      </c>
      <c r="G5716" s="32" t="s">
        <v>50</v>
      </c>
      <c r="H5716" s="33">
        <v>0</v>
      </c>
      <c r="I5716" s="34">
        <f>Table3[[#This Row],[Volume, kg.]]/1000</f>
        <v>0</v>
      </c>
      <c r="J5716" s="34">
        <v>0</v>
      </c>
      <c r="K5716" s="34">
        <f t="shared" si="178"/>
        <v>0</v>
      </c>
      <c r="L5716" s="34">
        <v>0</v>
      </c>
      <c r="M5716" s="34">
        <v>0</v>
      </c>
      <c r="N5716" s="34">
        <v>0</v>
      </c>
    </row>
    <row r="5717" spans="1:14" x14ac:dyDescent="0.45">
      <c r="A5717" s="30">
        <v>2025</v>
      </c>
      <c r="B5717" s="30" t="s">
        <v>13</v>
      </c>
      <c r="C5717" s="30" t="s">
        <v>46</v>
      </c>
      <c r="D5717" s="30" t="s">
        <v>102</v>
      </c>
      <c r="E5717" s="31" t="s">
        <v>418</v>
      </c>
      <c r="F5717" s="32" t="s">
        <v>104</v>
      </c>
      <c r="G5717" s="32" t="s">
        <v>105</v>
      </c>
      <c r="H5717" s="33">
        <v>708520</v>
      </c>
      <c r="I5717" s="34">
        <f>Table3[[#This Row],[Volume, kg.]]/1000</f>
        <v>708.52</v>
      </c>
      <c r="J5717" s="34">
        <v>0.21050000000000002</v>
      </c>
      <c r="K5717" s="34">
        <f t="shared" si="178"/>
        <v>149143.46000000002</v>
      </c>
      <c r="L5717" s="34">
        <v>1.78</v>
      </c>
      <c r="M5717" s="34">
        <v>1262882</v>
      </c>
      <c r="N5717" s="34">
        <f t="shared" si="179"/>
        <v>8.4560570071258905</v>
      </c>
    </row>
    <row r="5718" spans="1:14" x14ac:dyDescent="0.45">
      <c r="A5718" s="30">
        <v>2025</v>
      </c>
      <c r="B5718" s="30" t="s">
        <v>13</v>
      </c>
      <c r="C5718" s="30" t="s">
        <v>46</v>
      </c>
      <c r="D5718" s="30" t="s">
        <v>47</v>
      </c>
      <c r="E5718" s="31" t="s">
        <v>436</v>
      </c>
      <c r="F5718" s="32" t="s">
        <v>57</v>
      </c>
      <c r="G5718" s="32" t="s">
        <v>50</v>
      </c>
      <c r="H5718" s="33">
        <v>31610</v>
      </c>
      <c r="I5718" s="34">
        <f>Table3[[#This Row],[Volume, kg.]]/1000</f>
        <v>31.61</v>
      </c>
      <c r="J5718" s="34">
        <v>0.2329</v>
      </c>
      <c r="K5718" s="34">
        <f t="shared" si="178"/>
        <v>7361.9690000000001</v>
      </c>
      <c r="L5718" s="34">
        <v>1.91</v>
      </c>
      <c r="M5718" s="34">
        <v>60519</v>
      </c>
      <c r="N5718" s="34">
        <f t="shared" si="179"/>
        <v>8.2009446114212103</v>
      </c>
    </row>
    <row r="5719" spans="1:14" x14ac:dyDescent="0.45">
      <c r="A5719" s="30">
        <v>2025</v>
      </c>
      <c r="B5719" s="30" t="s">
        <v>13</v>
      </c>
      <c r="C5719" s="30" t="s">
        <v>46</v>
      </c>
      <c r="D5719" s="30" t="s">
        <v>47</v>
      </c>
      <c r="E5719" s="31" t="s">
        <v>434</v>
      </c>
      <c r="F5719" s="32" t="s">
        <v>57</v>
      </c>
      <c r="G5719" s="32" t="s">
        <v>50</v>
      </c>
      <c r="H5719" s="33">
        <v>92850</v>
      </c>
      <c r="I5719" s="34">
        <f>Table3[[#This Row],[Volume, kg.]]/1000</f>
        <v>92.85</v>
      </c>
      <c r="J5719" s="34">
        <v>0.18</v>
      </c>
      <c r="K5719" s="34">
        <f t="shared" si="178"/>
        <v>16713</v>
      </c>
      <c r="L5719" s="34">
        <v>1.61</v>
      </c>
      <c r="M5719" s="34">
        <v>149579</v>
      </c>
      <c r="N5719" s="34">
        <f t="shared" si="179"/>
        <v>8.9444444444444446</v>
      </c>
    </row>
    <row r="5720" spans="1:14" x14ac:dyDescent="0.45">
      <c r="A5720" s="30">
        <v>2025</v>
      </c>
      <c r="B5720" s="30" t="s">
        <v>13</v>
      </c>
      <c r="C5720" s="30" t="s">
        <v>46</v>
      </c>
      <c r="D5720" s="30" t="s">
        <v>47</v>
      </c>
      <c r="E5720" s="31" t="s">
        <v>452</v>
      </c>
      <c r="F5720" s="32" t="s">
        <v>134</v>
      </c>
      <c r="G5720" s="32" t="s">
        <v>50</v>
      </c>
      <c r="H5720" s="33">
        <v>97120</v>
      </c>
      <c r="I5720" s="34">
        <f>Table3[[#This Row],[Volume, kg.]]/1000</f>
        <v>97.12</v>
      </c>
      <c r="J5720" s="34">
        <v>0.20610000000000001</v>
      </c>
      <c r="K5720" s="34">
        <f t="shared" si="178"/>
        <v>20016.432000000001</v>
      </c>
      <c r="L5720" s="34">
        <v>1.78</v>
      </c>
      <c r="M5720" s="34">
        <v>172855.5</v>
      </c>
      <c r="N5720" s="34">
        <f t="shared" si="179"/>
        <v>8.6365841824357101</v>
      </c>
    </row>
    <row r="5721" spans="1:14" x14ac:dyDescent="0.45">
      <c r="A5721" s="30">
        <v>2025</v>
      </c>
      <c r="B5721" s="30" t="s">
        <v>13</v>
      </c>
      <c r="C5721" s="30" t="s">
        <v>46</v>
      </c>
      <c r="D5721" s="30" t="s">
        <v>47</v>
      </c>
      <c r="E5721" s="31" t="s">
        <v>488</v>
      </c>
      <c r="F5721" s="32" t="s">
        <v>57</v>
      </c>
      <c r="G5721" s="32" t="s">
        <v>50</v>
      </c>
      <c r="H5721" s="33">
        <v>8820</v>
      </c>
      <c r="I5721" s="34">
        <f>Table3[[#This Row],[Volume, kg.]]/1000</f>
        <v>8.82</v>
      </c>
      <c r="J5721" s="34">
        <v>0.20079999999999998</v>
      </c>
      <c r="K5721" s="34">
        <f t="shared" si="178"/>
        <v>1771.0559999999998</v>
      </c>
      <c r="L5721" s="34">
        <v>1.71</v>
      </c>
      <c r="M5721" s="34">
        <v>15117</v>
      </c>
      <c r="N5721" s="34">
        <f t="shared" si="179"/>
        <v>8.5159362549800797</v>
      </c>
    </row>
    <row r="5722" spans="1:14" x14ac:dyDescent="0.45">
      <c r="A5722" s="30">
        <v>2025</v>
      </c>
      <c r="B5722" s="30" t="s">
        <v>13</v>
      </c>
      <c r="C5722" s="30" t="s">
        <v>46</v>
      </c>
      <c r="D5722" s="30" t="s">
        <v>47</v>
      </c>
      <c r="E5722" s="31" t="s">
        <v>489</v>
      </c>
      <c r="F5722" s="32" t="s">
        <v>81</v>
      </c>
      <c r="G5722" s="32" t="s">
        <v>50</v>
      </c>
      <c r="H5722" s="33">
        <v>86810</v>
      </c>
      <c r="I5722" s="34">
        <f>Table3[[#This Row],[Volume, kg.]]/1000</f>
        <v>86.81</v>
      </c>
      <c r="J5722" s="34">
        <v>0.183</v>
      </c>
      <c r="K5722" s="34">
        <f t="shared" si="178"/>
        <v>15886.23</v>
      </c>
      <c r="L5722" s="34">
        <v>1.64</v>
      </c>
      <c r="M5722" s="34">
        <v>142378.5</v>
      </c>
      <c r="N5722" s="34">
        <f t="shared" si="179"/>
        <v>8.9617486338797807</v>
      </c>
    </row>
    <row r="5723" spans="1:14" x14ac:dyDescent="0.45">
      <c r="A5723" s="30">
        <v>2025</v>
      </c>
      <c r="B5723" s="30" t="s">
        <v>13</v>
      </c>
      <c r="C5723" s="30" t="s">
        <v>46</v>
      </c>
      <c r="D5723" s="30" t="s">
        <v>47</v>
      </c>
      <c r="E5723" s="31" t="s">
        <v>492</v>
      </c>
      <c r="F5723" s="32" t="s">
        <v>57</v>
      </c>
      <c r="G5723" s="32" t="s">
        <v>50</v>
      </c>
      <c r="H5723" s="33">
        <v>68520</v>
      </c>
      <c r="I5723" s="34">
        <f>Table3[[#This Row],[Volume, kg.]]/1000</f>
        <v>68.52</v>
      </c>
      <c r="J5723" s="34">
        <v>0.17420000000000002</v>
      </c>
      <c r="K5723" s="34">
        <f t="shared" si="178"/>
        <v>11936.184000000001</v>
      </c>
      <c r="L5723" s="34">
        <v>1.61</v>
      </c>
      <c r="M5723" s="34">
        <v>110036</v>
      </c>
      <c r="N5723" s="34">
        <f t="shared" si="179"/>
        <v>9.2422502870264065</v>
      </c>
    </row>
    <row r="5724" spans="1:14" x14ac:dyDescent="0.45">
      <c r="A5724" s="30">
        <v>2025</v>
      </c>
      <c r="B5724" s="30" t="s">
        <v>13</v>
      </c>
      <c r="C5724" s="30" t="s">
        <v>46</v>
      </c>
      <c r="D5724" s="30" t="s">
        <v>47</v>
      </c>
      <c r="E5724" s="31" t="s">
        <v>512</v>
      </c>
      <c r="F5724" s="32" t="s">
        <v>81</v>
      </c>
      <c r="G5724" s="32" t="s">
        <v>50</v>
      </c>
      <c r="H5724" s="33">
        <v>7520</v>
      </c>
      <c r="I5724" s="34">
        <f>Table3[[#This Row],[Volume, kg.]]/1000</f>
        <v>7.52</v>
      </c>
      <c r="J5724" s="34">
        <v>0.214</v>
      </c>
      <c r="K5724" s="34">
        <f t="shared" si="178"/>
        <v>1609.28</v>
      </c>
      <c r="L5724" s="34">
        <v>1.8</v>
      </c>
      <c r="M5724" s="34">
        <v>13536</v>
      </c>
      <c r="N5724" s="34">
        <f t="shared" si="179"/>
        <v>8.4112149532710276</v>
      </c>
    </row>
    <row r="5725" spans="1:14" x14ac:dyDescent="0.45">
      <c r="A5725" s="30">
        <v>2025</v>
      </c>
      <c r="B5725" s="30" t="s">
        <v>13</v>
      </c>
      <c r="C5725" s="30" t="s">
        <v>46</v>
      </c>
      <c r="D5725" s="30" t="s">
        <v>47</v>
      </c>
      <c r="E5725" s="31" t="s">
        <v>517</v>
      </c>
      <c r="F5725" s="32" t="s">
        <v>57</v>
      </c>
      <c r="G5725" s="32" t="s">
        <v>50</v>
      </c>
      <c r="H5725" s="33">
        <v>36970</v>
      </c>
      <c r="I5725" s="34">
        <f>Table3[[#This Row],[Volume, kg.]]/1000</f>
        <v>36.97</v>
      </c>
      <c r="J5725" s="34">
        <v>0.20309999999999997</v>
      </c>
      <c r="K5725" s="34">
        <f t="shared" si="178"/>
        <v>7508.6069999999991</v>
      </c>
      <c r="L5725" s="34">
        <v>1.73</v>
      </c>
      <c r="M5725" s="34">
        <v>64005.5</v>
      </c>
      <c r="N5725" s="34">
        <f t="shared" si="179"/>
        <v>8.5179714426390944</v>
      </c>
    </row>
    <row r="5726" spans="1:14" x14ac:dyDescent="0.45">
      <c r="A5726" s="30">
        <v>2025</v>
      </c>
      <c r="B5726" s="30" t="s">
        <v>13</v>
      </c>
      <c r="C5726" s="30" t="s">
        <v>46</v>
      </c>
      <c r="D5726" s="30" t="s">
        <v>47</v>
      </c>
      <c r="E5726" s="31" t="s">
        <v>553</v>
      </c>
      <c r="F5726" s="32" t="s">
        <v>238</v>
      </c>
      <c r="G5726" s="32" t="s">
        <v>50</v>
      </c>
      <c r="H5726" s="33">
        <v>47200</v>
      </c>
      <c r="I5726" s="34">
        <f>Table3[[#This Row],[Volume, kg.]]/1000</f>
        <v>47.2</v>
      </c>
      <c r="J5726" s="34">
        <v>0.1804</v>
      </c>
      <c r="K5726" s="34">
        <f t="shared" si="178"/>
        <v>8514.880000000001</v>
      </c>
      <c r="L5726" s="34">
        <v>1.65</v>
      </c>
      <c r="M5726" s="34">
        <v>77712</v>
      </c>
      <c r="N5726" s="34">
        <f t="shared" si="179"/>
        <v>9.1463414634146343</v>
      </c>
    </row>
    <row r="5727" spans="1:14" x14ac:dyDescent="0.45">
      <c r="A5727" s="30">
        <v>2025</v>
      </c>
      <c r="B5727" s="30" t="s">
        <v>13</v>
      </c>
      <c r="C5727" s="30" t="s">
        <v>46</v>
      </c>
      <c r="D5727" s="30" t="s">
        <v>47</v>
      </c>
      <c r="E5727" s="31" t="s">
        <v>603</v>
      </c>
      <c r="F5727" s="32" t="s">
        <v>49</v>
      </c>
      <c r="G5727" s="32" t="s">
        <v>50</v>
      </c>
      <c r="H5727" s="33">
        <v>17710</v>
      </c>
      <c r="I5727" s="34">
        <f>Table3[[#This Row],[Volume, kg.]]/1000</f>
        <v>17.71</v>
      </c>
      <c r="J5727" s="34">
        <v>0.21909999999999999</v>
      </c>
      <c r="K5727" s="34">
        <f t="shared" si="178"/>
        <v>3880.261</v>
      </c>
      <c r="L5727" s="34">
        <v>1.85</v>
      </c>
      <c r="M5727" s="34">
        <v>32763.5</v>
      </c>
      <c r="N5727" s="34">
        <f t="shared" si="179"/>
        <v>8.4436330442720227</v>
      </c>
    </row>
    <row r="5728" spans="1:14" x14ac:dyDescent="0.45">
      <c r="A5728" s="30">
        <v>2025</v>
      </c>
      <c r="B5728" s="30" t="s">
        <v>13</v>
      </c>
      <c r="C5728" s="30" t="s">
        <v>46</v>
      </c>
      <c r="D5728" s="30" t="s">
        <v>102</v>
      </c>
      <c r="E5728" s="31" t="s">
        <v>552</v>
      </c>
      <c r="F5728" s="32" t="s">
        <v>238</v>
      </c>
      <c r="G5728" s="32" t="s">
        <v>50</v>
      </c>
      <c r="H5728" s="33">
        <v>340450</v>
      </c>
      <c r="I5728" s="34">
        <f>Table3[[#This Row],[Volume, kg.]]/1000</f>
        <v>340.45</v>
      </c>
      <c r="J5728" s="34">
        <v>0.1971</v>
      </c>
      <c r="K5728" s="34">
        <f t="shared" si="178"/>
        <v>67102.694999999992</v>
      </c>
      <c r="L5728" s="34">
        <v>1.72</v>
      </c>
      <c r="M5728" s="34">
        <v>585493.5</v>
      </c>
      <c r="N5728" s="34">
        <f t="shared" si="179"/>
        <v>8.7265347539320146</v>
      </c>
    </row>
    <row r="5729" spans="1:14" x14ac:dyDescent="0.45">
      <c r="A5729" s="30">
        <v>2025</v>
      </c>
      <c r="B5729" s="30" t="s">
        <v>13</v>
      </c>
      <c r="C5729" s="30" t="s">
        <v>46</v>
      </c>
      <c r="D5729" s="30" t="s">
        <v>47</v>
      </c>
      <c r="E5729" s="31" t="s">
        <v>574</v>
      </c>
      <c r="F5729" s="32" t="s">
        <v>134</v>
      </c>
      <c r="G5729" s="32" t="s">
        <v>50</v>
      </c>
      <c r="H5729" s="33">
        <v>42830</v>
      </c>
      <c r="I5729" s="34">
        <f>Table3[[#This Row],[Volume, kg.]]/1000</f>
        <v>42.83</v>
      </c>
      <c r="J5729" s="34">
        <v>0.1739</v>
      </c>
      <c r="K5729" s="34">
        <f t="shared" si="178"/>
        <v>7448.1369999999997</v>
      </c>
      <c r="L5729" s="34">
        <v>1.63</v>
      </c>
      <c r="M5729" s="34">
        <v>69846.5</v>
      </c>
      <c r="N5729" s="34">
        <f t="shared" si="179"/>
        <v>9.3732029902242662</v>
      </c>
    </row>
    <row r="5730" spans="1:14" x14ac:dyDescent="0.45">
      <c r="A5730" s="30">
        <v>2025</v>
      </c>
      <c r="B5730" s="30" t="s">
        <v>13</v>
      </c>
      <c r="C5730" s="30" t="s">
        <v>46</v>
      </c>
      <c r="D5730" s="30" t="s">
        <v>47</v>
      </c>
      <c r="E5730" s="31" t="s">
        <v>587</v>
      </c>
      <c r="F5730" s="32" t="s">
        <v>223</v>
      </c>
      <c r="G5730" s="32" t="s">
        <v>50</v>
      </c>
      <c r="H5730" s="33">
        <v>10940</v>
      </c>
      <c r="I5730" s="34">
        <f>Table3[[#This Row],[Volume, kg.]]/1000</f>
        <v>10.94</v>
      </c>
      <c r="J5730" s="34">
        <v>0.19699999999999998</v>
      </c>
      <c r="K5730" s="34">
        <f t="shared" si="178"/>
        <v>2155.1799999999998</v>
      </c>
      <c r="L5730" s="34">
        <v>1.7</v>
      </c>
      <c r="M5730" s="34">
        <v>18598</v>
      </c>
      <c r="N5730" s="34">
        <f t="shared" si="179"/>
        <v>8.6294416243654837</v>
      </c>
    </row>
    <row r="5731" spans="1:14" x14ac:dyDescent="0.45">
      <c r="A5731" s="30">
        <v>2025</v>
      </c>
      <c r="B5731" s="30" t="s">
        <v>13</v>
      </c>
      <c r="C5731" s="30" t="s">
        <v>46</v>
      </c>
      <c r="D5731" s="30" t="s">
        <v>47</v>
      </c>
      <c r="E5731" s="31" t="s">
        <v>588</v>
      </c>
      <c r="F5731" s="32" t="s">
        <v>223</v>
      </c>
      <c r="G5731" s="32" t="s">
        <v>50</v>
      </c>
      <c r="H5731" s="33">
        <v>17290</v>
      </c>
      <c r="I5731" s="34">
        <f>Table3[[#This Row],[Volume, kg.]]/1000</f>
        <v>17.29</v>
      </c>
      <c r="J5731" s="34">
        <v>0.21789999999999998</v>
      </c>
      <c r="K5731" s="34">
        <f t="shared" si="178"/>
        <v>3767.4909999999995</v>
      </c>
      <c r="L5731" s="34">
        <v>1.8</v>
      </c>
      <c r="M5731" s="34">
        <v>31176.5</v>
      </c>
      <c r="N5731" s="34">
        <f t="shared" si="179"/>
        <v>8.2606700321248283</v>
      </c>
    </row>
    <row r="5732" spans="1:14" x14ac:dyDescent="0.45">
      <c r="A5732" s="30">
        <v>2025</v>
      </c>
      <c r="B5732" s="30" t="s">
        <v>13</v>
      </c>
      <c r="C5732" s="30" t="s">
        <v>46</v>
      </c>
      <c r="D5732" s="30" t="s">
        <v>47</v>
      </c>
      <c r="E5732" s="31" t="s">
        <v>592</v>
      </c>
      <c r="F5732" s="32" t="s">
        <v>223</v>
      </c>
      <c r="G5732" s="32" t="s">
        <v>50</v>
      </c>
      <c r="H5732" s="33">
        <v>48170</v>
      </c>
      <c r="I5732" s="34">
        <f>Table3[[#This Row],[Volume, kg.]]/1000</f>
        <v>48.17</v>
      </c>
      <c r="J5732" s="34">
        <v>0.19980000000000001</v>
      </c>
      <c r="K5732" s="34">
        <f t="shared" si="178"/>
        <v>9624.366</v>
      </c>
      <c r="L5732" s="34">
        <v>1.71</v>
      </c>
      <c r="M5732" s="34">
        <v>82598.5</v>
      </c>
      <c r="N5732" s="34">
        <f t="shared" si="179"/>
        <v>8.5585585585585573</v>
      </c>
    </row>
    <row r="5733" spans="1:14" x14ac:dyDescent="0.45">
      <c r="A5733" s="30">
        <v>2025</v>
      </c>
      <c r="B5733" s="30" t="s">
        <v>13</v>
      </c>
      <c r="C5733" s="30" t="s">
        <v>46</v>
      </c>
      <c r="D5733" s="30" t="s">
        <v>47</v>
      </c>
      <c r="E5733" s="31" t="s">
        <v>593</v>
      </c>
      <c r="F5733" s="32" t="s">
        <v>49</v>
      </c>
      <c r="G5733" s="32" t="s">
        <v>50</v>
      </c>
      <c r="H5733" s="33">
        <v>15650</v>
      </c>
      <c r="I5733" s="34">
        <f>Table3[[#This Row],[Volume, kg.]]/1000</f>
        <v>15.65</v>
      </c>
      <c r="J5733" s="34">
        <v>0.2114</v>
      </c>
      <c r="K5733" s="34">
        <f t="shared" si="178"/>
        <v>3308.41</v>
      </c>
      <c r="L5733" s="34">
        <v>1.75</v>
      </c>
      <c r="M5733" s="34">
        <v>27387.5</v>
      </c>
      <c r="N5733" s="34">
        <f t="shared" si="179"/>
        <v>8.2781456953642376</v>
      </c>
    </row>
    <row r="5734" spans="1:14" x14ac:dyDescent="0.45">
      <c r="A5734" s="30">
        <v>2025</v>
      </c>
      <c r="B5734" s="30" t="s">
        <v>13</v>
      </c>
      <c r="C5734" s="30" t="s">
        <v>46</v>
      </c>
      <c r="D5734" s="30" t="s">
        <v>47</v>
      </c>
      <c r="E5734" s="31" t="s">
        <v>606</v>
      </c>
      <c r="F5734" s="32" t="s">
        <v>49</v>
      </c>
      <c r="G5734" s="32" t="s">
        <v>50</v>
      </c>
      <c r="H5734" s="33">
        <v>17030</v>
      </c>
      <c r="I5734" s="34">
        <f>Table3[[#This Row],[Volume, kg.]]/1000</f>
        <v>17.03</v>
      </c>
      <c r="J5734" s="34">
        <v>0.22800000000000001</v>
      </c>
      <c r="K5734" s="34">
        <f t="shared" si="178"/>
        <v>3882.84</v>
      </c>
      <c r="L5734" s="34">
        <v>1.9</v>
      </c>
      <c r="M5734" s="34">
        <v>32357</v>
      </c>
      <c r="N5734" s="34">
        <f t="shared" si="179"/>
        <v>8.3333333333333321</v>
      </c>
    </row>
    <row r="5735" spans="1:14" x14ac:dyDescent="0.45">
      <c r="A5735" s="30">
        <v>2025</v>
      </c>
      <c r="B5735" s="30" t="s">
        <v>13</v>
      </c>
      <c r="C5735" s="30" t="s">
        <v>46</v>
      </c>
      <c r="D5735" s="30" t="s">
        <v>47</v>
      </c>
      <c r="E5735" s="31" t="s">
        <v>607</v>
      </c>
      <c r="F5735" s="32" t="s">
        <v>81</v>
      </c>
      <c r="G5735" s="32" t="s">
        <v>50</v>
      </c>
      <c r="H5735" s="33">
        <v>2820</v>
      </c>
      <c r="I5735" s="34">
        <f>Table3[[#This Row],[Volume, kg.]]/1000</f>
        <v>2.82</v>
      </c>
      <c r="J5735" s="34">
        <v>0.13869999999999999</v>
      </c>
      <c r="K5735" s="34">
        <f t="shared" si="178"/>
        <v>391.13399999999996</v>
      </c>
      <c r="L5735" s="34">
        <v>1.4</v>
      </c>
      <c r="M5735" s="34">
        <v>3948</v>
      </c>
      <c r="N5735" s="34">
        <f t="shared" si="179"/>
        <v>10.093727469358328</v>
      </c>
    </row>
    <row r="5736" spans="1:14" x14ac:dyDescent="0.45">
      <c r="A5736" s="30">
        <v>2025</v>
      </c>
      <c r="B5736" s="30" t="s">
        <v>13</v>
      </c>
      <c r="C5736" s="30" t="s">
        <v>46</v>
      </c>
      <c r="D5736" s="30" t="s">
        <v>47</v>
      </c>
      <c r="E5736" s="31" t="s">
        <v>632</v>
      </c>
      <c r="F5736" s="32" t="s">
        <v>134</v>
      </c>
      <c r="G5736" s="32" t="s">
        <v>50</v>
      </c>
      <c r="H5736" s="33">
        <v>8230</v>
      </c>
      <c r="I5736" s="34">
        <f>Table3[[#This Row],[Volume, kg.]]/1000</f>
        <v>8.23</v>
      </c>
      <c r="J5736" s="34">
        <v>0.19399999999999998</v>
      </c>
      <c r="K5736" s="34">
        <f t="shared" si="178"/>
        <v>1596.62</v>
      </c>
      <c r="L5736" s="34">
        <v>1.7</v>
      </c>
      <c r="M5736" s="34">
        <v>13991</v>
      </c>
      <c r="N5736" s="34">
        <f t="shared" si="179"/>
        <v>8.7628865979381452</v>
      </c>
    </row>
    <row r="5737" spans="1:14" x14ac:dyDescent="0.45">
      <c r="A5737" s="30">
        <v>2025</v>
      </c>
      <c r="B5737" s="30" t="s">
        <v>13</v>
      </c>
      <c r="C5737" s="30" t="s">
        <v>46</v>
      </c>
      <c r="D5737" s="30" t="s">
        <v>47</v>
      </c>
      <c r="E5737" s="31" t="s">
        <v>644</v>
      </c>
      <c r="F5737" s="32" t="s">
        <v>57</v>
      </c>
      <c r="G5737" s="32" t="s">
        <v>50</v>
      </c>
      <c r="H5737" s="33">
        <v>8750</v>
      </c>
      <c r="I5737" s="34">
        <f>Table3[[#This Row],[Volume, kg.]]/1000</f>
        <v>8.75</v>
      </c>
      <c r="J5737" s="34">
        <v>0.1925</v>
      </c>
      <c r="K5737" s="34">
        <f t="shared" ref="K5737:K5768" si="180">H5737*J5737</f>
        <v>1684.375</v>
      </c>
      <c r="L5737" s="34">
        <v>1.7</v>
      </c>
      <c r="M5737" s="34">
        <v>14875</v>
      </c>
      <c r="N5737" s="34">
        <f t="shared" ref="N5737:N5768" si="181">L5737/J5737</f>
        <v>8.8311688311688314</v>
      </c>
    </row>
    <row r="5738" spans="1:14" x14ac:dyDescent="0.45">
      <c r="A5738" s="30">
        <v>2025</v>
      </c>
      <c r="B5738" s="30" t="s">
        <v>13</v>
      </c>
      <c r="C5738" s="30" t="s">
        <v>46</v>
      </c>
      <c r="D5738" s="30" t="s">
        <v>47</v>
      </c>
      <c r="E5738" s="31" t="s">
        <v>646</v>
      </c>
      <c r="F5738" s="32" t="s">
        <v>49</v>
      </c>
      <c r="G5738" s="32" t="s">
        <v>50</v>
      </c>
      <c r="H5738" s="33">
        <v>12880</v>
      </c>
      <c r="I5738" s="34">
        <f>Table3[[#This Row],[Volume, kg.]]/1000</f>
        <v>12.88</v>
      </c>
      <c r="J5738" s="34">
        <v>0.20610000000000001</v>
      </c>
      <c r="K5738" s="34">
        <f t="shared" si="180"/>
        <v>2654.5680000000002</v>
      </c>
      <c r="L5738" s="34">
        <v>1.77</v>
      </c>
      <c r="M5738" s="34">
        <v>22744</v>
      </c>
      <c r="N5738" s="34">
        <f t="shared" si="181"/>
        <v>8.5880640465793299</v>
      </c>
    </row>
    <row r="5739" spans="1:14" x14ac:dyDescent="0.45">
      <c r="A5739" s="30">
        <v>2025</v>
      </c>
      <c r="B5739" s="30" t="s">
        <v>13</v>
      </c>
      <c r="C5739" s="30" t="s">
        <v>46</v>
      </c>
      <c r="D5739" s="30" t="s">
        <v>47</v>
      </c>
      <c r="E5739" s="31" t="s">
        <v>649</v>
      </c>
      <c r="F5739" s="32" t="s">
        <v>223</v>
      </c>
      <c r="G5739" s="32" t="s">
        <v>50</v>
      </c>
      <c r="H5739" s="33">
        <v>1070</v>
      </c>
      <c r="I5739" s="34">
        <f>Table3[[#This Row],[Volume, kg.]]/1000</f>
        <v>1.07</v>
      </c>
      <c r="J5739" s="34">
        <v>0.1585</v>
      </c>
      <c r="K5739" s="34">
        <f t="shared" si="180"/>
        <v>169.595</v>
      </c>
      <c r="L5739" s="34">
        <v>1.55</v>
      </c>
      <c r="M5739" s="34">
        <v>1658.5</v>
      </c>
      <c r="N5739" s="34">
        <f t="shared" si="181"/>
        <v>9.7791798107255516</v>
      </c>
    </row>
    <row r="5740" spans="1:14" x14ac:dyDescent="0.45">
      <c r="A5740" s="30">
        <v>2025</v>
      </c>
      <c r="B5740" s="30" t="s">
        <v>13</v>
      </c>
      <c r="C5740" s="30" t="s">
        <v>46</v>
      </c>
      <c r="D5740" s="30" t="s">
        <v>47</v>
      </c>
      <c r="E5740" s="31" t="s">
        <v>651</v>
      </c>
      <c r="F5740" s="32" t="s">
        <v>223</v>
      </c>
      <c r="G5740" s="32" t="s">
        <v>50</v>
      </c>
      <c r="H5740" s="33">
        <v>95810</v>
      </c>
      <c r="I5740" s="34">
        <f>Table3[[#This Row],[Volume, kg.]]/1000</f>
        <v>95.81</v>
      </c>
      <c r="J5740" s="34">
        <v>0.20519999999999999</v>
      </c>
      <c r="K5740" s="34">
        <f t="shared" si="180"/>
        <v>19660.212</v>
      </c>
      <c r="L5740" s="34">
        <v>1.73</v>
      </c>
      <c r="M5740" s="34">
        <v>165585.5</v>
      </c>
      <c r="N5740" s="34">
        <f t="shared" si="181"/>
        <v>8.4307992202729043</v>
      </c>
    </row>
    <row r="5741" spans="1:14" x14ac:dyDescent="0.45">
      <c r="A5741" s="30">
        <v>2025</v>
      </c>
      <c r="B5741" s="30" t="s">
        <v>13</v>
      </c>
      <c r="C5741" s="30" t="s">
        <v>46</v>
      </c>
      <c r="D5741" s="30" t="s">
        <v>47</v>
      </c>
      <c r="E5741" s="31" t="s">
        <v>670</v>
      </c>
      <c r="F5741" s="32" t="s">
        <v>81</v>
      </c>
      <c r="G5741" s="32" t="s">
        <v>50</v>
      </c>
      <c r="H5741" s="33">
        <v>146010</v>
      </c>
      <c r="I5741" s="34">
        <f>Table3[[#This Row],[Volume, kg.]]/1000</f>
        <v>146.01</v>
      </c>
      <c r="J5741" s="34">
        <v>0.21640000000000001</v>
      </c>
      <c r="K5741" s="34">
        <f t="shared" si="180"/>
        <v>31596.564000000002</v>
      </c>
      <c r="L5741" s="34">
        <v>1.82</v>
      </c>
      <c r="M5741" s="34">
        <v>265367</v>
      </c>
      <c r="N5741" s="34">
        <f t="shared" si="181"/>
        <v>8.4103512014787434</v>
      </c>
    </row>
    <row r="5742" spans="1:14" x14ac:dyDescent="0.45">
      <c r="A5742" s="30">
        <v>2025</v>
      </c>
      <c r="B5742" s="30" t="s">
        <v>13</v>
      </c>
      <c r="C5742" s="30" t="s">
        <v>46</v>
      </c>
      <c r="D5742" s="30" t="s">
        <v>47</v>
      </c>
      <c r="E5742" s="31" t="s">
        <v>662</v>
      </c>
      <c r="F5742" s="32" t="s">
        <v>57</v>
      </c>
      <c r="G5742" s="32" t="s">
        <v>50</v>
      </c>
      <c r="H5742" s="33">
        <v>21710</v>
      </c>
      <c r="I5742" s="34">
        <f>Table3[[#This Row],[Volume, kg.]]/1000</f>
        <v>21.71</v>
      </c>
      <c r="J5742" s="34">
        <v>0.23129999999999998</v>
      </c>
      <c r="K5742" s="34">
        <f t="shared" si="180"/>
        <v>5021.5229999999992</v>
      </c>
      <c r="L5742" s="34">
        <v>1.91</v>
      </c>
      <c r="M5742" s="34">
        <v>41515</v>
      </c>
      <c r="N5742" s="34">
        <f t="shared" si="181"/>
        <v>8.2576740164288811</v>
      </c>
    </row>
    <row r="5743" spans="1:14" x14ac:dyDescent="0.45">
      <c r="A5743" s="30">
        <v>2025</v>
      </c>
      <c r="B5743" s="30" t="s">
        <v>13</v>
      </c>
      <c r="C5743" s="30" t="s">
        <v>46</v>
      </c>
      <c r="D5743" s="30" t="s">
        <v>102</v>
      </c>
      <c r="E5743" s="31" t="s">
        <v>665</v>
      </c>
      <c r="F5743" s="32" t="s">
        <v>487</v>
      </c>
      <c r="G5743" s="32" t="s">
        <v>341</v>
      </c>
      <c r="H5743" s="33">
        <v>905390</v>
      </c>
      <c r="I5743" s="34">
        <f>Table3[[#This Row],[Volume, kg.]]/1000</f>
        <v>905.39</v>
      </c>
      <c r="J5743" s="34">
        <v>0.20129999999999998</v>
      </c>
      <c r="K5743" s="34">
        <f t="shared" si="180"/>
        <v>182255.00699999998</v>
      </c>
      <c r="L5743" s="34">
        <v>1.73</v>
      </c>
      <c r="M5743" s="34">
        <v>1569409</v>
      </c>
      <c r="N5743" s="34">
        <f t="shared" si="181"/>
        <v>8.5941381023348242</v>
      </c>
    </row>
    <row r="5744" spans="1:14" x14ac:dyDescent="0.45">
      <c r="A5744" s="30">
        <v>2025</v>
      </c>
      <c r="B5744" s="30" t="s">
        <v>13</v>
      </c>
      <c r="C5744" s="30" t="s">
        <v>46</v>
      </c>
      <c r="D5744" s="30" t="s">
        <v>47</v>
      </c>
      <c r="E5744" s="31" t="s">
        <v>671</v>
      </c>
      <c r="F5744" s="32" t="s">
        <v>49</v>
      </c>
      <c r="G5744" s="32" t="s">
        <v>50</v>
      </c>
      <c r="H5744" s="33">
        <v>25620</v>
      </c>
      <c r="I5744" s="34">
        <f>Table3[[#This Row],[Volume, kg.]]/1000</f>
        <v>25.62</v>
      </c>
      <c r="J5744" s="34">
        <v>0.2</v>
      </c>
      <c r="K5744" s="34">
        <f t="shared" si="180"/>
        <v>5124</v>
      </c>
      <c r="L5744" s="34">
        <v>1.75</v>
      </c>
      <c r="M5744" s="34">
        <v>44787</v>
      </c>
      <c r="N5744" s="34">
        <f t="shared" si="181"/>
        <v>8.75</v>
      </c>
    </row>
    <row r="5745" spans="1:14" x14ac:dyDescent="0.45">
      <c r="A5745" s="30">
        <v>2025</v>
      </c>
      <c r="B5745" s="30" t="s">
        <v>13</v>
      </c>
      <c r="C5745" s="30" t="s">
        <v>46</v>
      </c>
      <c r="D5745" s="30" t="s">
        <v>47</v>
      </c>
      <c r="E5745" s="31" t="s">
        <v>676</v>
      </c>
      <c r="F5745" s="32" t="s">
        <v>60</v>
      </c>
      <c r="G5745" s="32" t="s">
        <v>50</v>
      </c>
      <c r="H5745" s="33">
        <v>6120</v>
      </c>
      <c r="I5745" s="34">
        <f>Table3[[#This Row],[Volume, kg.]]/1000</f>
        <v>6.12</v>
      </c>
      <c r="J5745" s="34">
        <v>0.24199999999999999</v>
      </c>
      <c r="K5745" s="34">
        <f t="shared" si="180"/>
        <v>1481.04</v>
      </c>
      <c r="L5745" s="34">
        <v>1.95</v>
      </c>
      <c r="M5745" s="34">
        <v>11934</v>
      </c>
      <c r="N5745" s="34">
        <f t="shared" si="181"/>
        <v>8.0578512396694215</v>
      </c>
    </row>
    <row r="5746" spans="1:14" x14ac:dyDescent="0.45">
      <c r="A5746" s="30">
        <v>2025</v>
      </c>
      <c r="B5746" s="30" t="s">
        <v>13</v>
      </c>
      <c r="C5746" s="30" t="s">
        <v>46</v>
      </c>
      <c r="D5746" s="30" t="s">
        <v>47</v>
      </c>
      <c r="E5746" s="31" t="s">
        <v>677</v>
      </c>
      <c r="F5746" s="32" t="s">
        <v>49</v>
      </c>
      <c r="G5746" s="32" t="s">
        <v>50</v>
      </c>
      <c r="H5746" s="33">
        <v>12220</v>
      </c>
      <c r="I5746" s="34">
        <f>Table3[[#This Row],[Volume, kg.]]/1000</f>
        <v>12.22</v>
      </c>
      <c r="J5746" s="34">
        <v>0.19850000000000001</v>
      </c>
      <c r="K5746" s="34">
        <f t="shared" si="180"/>
        <v>2425.67</v>
      </c>
      <c r="L5746" s="34">
        <v>1.7</v>
      </c>
      <c r="M5746" s="34">
        <v>20774</v>
      </c>
      <c r="N5746" s="34">
        <f t="shared" si="181"/>
        <v>8.5642317380352644</v>
      </c>
    </row>
    <row r="5747" spans="1:14" x14ac:dyDescent="0.45">
      <c r="A5747" s="30">
        <v>2025</v>
      </c>
      <c r="B5747" s="30" t="s">
        <v>13</v>
      </c>
      <c r="C5747" s="30" t="s">
        <v>46</v>
      </c>
      <c r="D5747" s="30" t="s">
        <v>47</v>
      </c>
      <c r="E5747" s="31" t="s">
        <v>678</v>
      </c>
      <c r="F5747" s="32" t="s">
        <v>60</v>
      </c>
      <c r="G5747" s="32" t="s">
        <v>50</v>
      </c>
      <c r="H5747" s="33">
        <v>8810</v>
      </c>
      <c r="I5747" s="34">
        <f>Table3[[#This Row],[Volume, kg.]]/1000</f>
        <v>8.81</v>
      </c>
      <c r="J5747" s="34">
        <v>0.20300000000000001</v>
      </c>
      <c r="K5747" s="34">
        <f t="shared" si="180"/>
        <v>1788.43</v>
      </c>
      <c r="L5747" s="34">
        <v>1.7</v>
      </c>
      <c r="M5747" s="34">
        <v>14977</v>
      </c>
      <c r="N5747" s="34">
        <f t="shared" si="181"/>
        <v>8.3743842364532011</v>
      </c>
    </row>
    <row r="5748" spans="1:14" x14ac:dyDescent="0.45">
      <c r="A5748" s="30">
        <v>2025</v>
      </c>
      <c r="B5748" s="30" t="s">
        <v>13</v>
      </c>
      <c r="C5748" s="30" t="s">
        <v>46</v>
      </c>
      <c r="D5748" s="30" t="s">
        <v>102</v>
      </c>
      <c r="E5748" s="31" t="s">
        <v>695</v>
      </c>
      <c r="F5748" s="32" t="s">
        <v>696</v>
      </c>
      <c r="G5748" s="32" t="s">
        <v>557</v>
      </c>
      <c r="H5748" s="33">
        <v>30280</v>
      </c>
      <c r="I5748" s="34">
        <f>Table3[[#This Row],[Volume, kg.]]/1000</f>
        <v>30.28</v>
      </c>
      <c r="J5748" s="34">
        <v>0.18100000000000002</v>
      </c>
      <c r="K5748" s="34">
        <f t="shared" si="180"/>
        <v>5480.68</v>
      </c>
      <c r="L5748" s="34">
        <v>1.65</v>
      </c>
      <c r="M5748" s="34">
        <v>49962</v>
      </c>
      <c r="N5748" s="34">
        <f t="shared" si="181"/>
        <v>9.1160220994475125</v>
      </c>
    </row>
    <row r="5749" spans="1:14" x14ac:dyDescent="0.45">
      <c r="A5749" s="30">
        <v>2025</v>
      </c>
      <c r="B5749" s="30" t="s">
        <v>13</v>
      </c>
      <c r="C5749" s="30" t="s">
        <v>46</v>
      </c>
      <c r="D5749" s="30" t="s">
        <v>47</v>
      </c>
      <c r="E5749" s="31" t="s">
        <v>686</v>
      </c>
      <c r="F5749" s="32" t="s">
        <v>49</v>
      </c>
      <c r="G5749" s="32" t="s">
        <v>50</v>
      </c>
      <c r="H5749" s="33">
        <v>850</v>
      </c>
      <c r="I5749" s="34">
        <f>Table3[[#This Row],[Volume, kg.]]/1000</f>
        <v>0.85</v>
      </c>
      <c r="J5749" s="34">
        <v>0.14899999999999999</v>
      </c>
      <c r="K5749" s="34">
        <f t="shared" si="180"/>
        <v>126.64999999999999</v>
      </c>
      <c r="L5749" s="34">
        <v>1.45</v>
      </c>
      <c r="M5749" s="34">
        <v>1232.5</v>
      </c>
      <c r="N5749" s="34">
        <f t="shared" si="181"/>
        <v>9.7315436241610733</v>
      </c>
    </row>
    <row r="5750" spans="1:14" x14ac:dyDescent="0.45">
      <c r="A5750" s="30">
        <v>2025</v>
      </c>
      <c r="B5750" s="30" t="s">
        <v>13</v>
      </c>
      <c r="C5750" s="30" t="s">
        <v>46</v>
      </c>
      <c r="D5750" s="30" t="s">
        <v>102</v>
      </c>
      <c r="E5750" s="31" t="s">
        <v>697</v>
      </c>
      <c r="F5750" s="32" t="s">
        <v>107</v>
      </c>
      <c r="G5750" s="32" t="s">
        <v>108</v>
      </c>
      <c r="H5750" s="33">
        <v>258920</v>
      </c>
      <c r="I5750" s="34">
        <f>Table3[[#This Row],[Volume, kg.]]/1000</f>
        <v>258.92</v>
      </c>
      <c r="J5750" s="34">
        <v>0.1961</v>
      </c>
      <c r="K5750" s="34">
        <f t="shared" si="180"/>
        <v>50774.212</v>
      </c>
      <c r="L5750" s="34">
        <v>1.69</v>
      </c>
      <c r="M5750" s="34">
        <v>438079</v>
      </c>
      <c r="N5750" s="34">
        <f t="shared" si="181"/>
        <v>8.6180520142784296</v>
      </c>
    </row>
    <row r="5751" spans="1:14" x14ac:dyDescent="0.45">
      <c r="A5751" s="30">
        <v>2025</v>
      </c>
      <c r="B5751" s="30" t="s">
        <v>13</v>
      </c>
      <c r="C5751" s="30" t="s">
        <v>46</v>
      </c>
      <c r="D5751" s="30" t="s">
        <v>47</v>
      </c>
      <c r="E5751" s="31" t="s">
        <v>698</v>
      </c>
      <c r="F5751" s="32" t="s">
        <v>57</v>
      </c>
      <c r="G5751" s="32" t="s">
        <v>50</v>
      </c>
      <c r="H5751" s="33">
        <v>55850</v>
      </c>
      <c r="I5751" s="34">
        <f>Table3[[#This Row],[Volume, kg.]]/1000</f>
        <v>55.85</v>
      </c>
      <c r="J5751" s="34">
        <v>0.2077</v>
      </c>
      <c r="K5751" s="34">
        <f t="shared" si="180"/>
        <v>11600.045</v>
      </c>
      <c r="L5751" s="34">
        <v>1.76</v>
      </c>
      <c r="M5751" s="34">
        <v>98467</v>
      </c>
      <c r="N5751" s="34">
        <f t="shared" si="181"/>
        <v>8.4737602311025526</v>
      </c>
    </row>
    <row r="5752" spans="1:14" x14ac:dyDescent="0.45">
      <c r="A5752" s="30">
        <v>2025</v>
      </c>
      <c r="B5752" s="30" t="s">
        <v>13</v>
      </c>
      <c r="C5752" s="30" t="s">
        <v>46</v>
      </c>
      <c r="D5752" s="30" t="s">
        <v>102</v>
      </c>
      <c r="E5752" s="31" t="s">
        <v>706</v>
      </c>
      <c r="F5752" s="32" t="s">
        <v>349</v>
      </c>
      <c r="G5752" s="32" t="s">
        <v>105</v>
      </c>
      <c r="H5752" s="33">
        <v>254870</v>
      </c>
      <c r="I5752" s="34">
        <f>Table3[[#This Row],[Volume, kg.]]/1000</f>
        <v>254.87</v>
      </c>
      <c r="J5752" s="34">
        <v>0.1888</v>
      </c>
      <c r="K5752" s="34">
        <f t="shared" si="180"/>
        <v>48119.455999999998</v>
      </c>
      <c r="L5752" s="34">
        <v>1.68</v>
      </c>
      <c r="M5752" s="34">
        <v>427400.5</v>
      </c>
      <c r="N5752" s="34">
        <f t="shared" si="181"/>
        <v>8.898305084745763</v>
      </c>
    </row>
    <row r="5753" spans="1:14" x14ac:dyDescent="0.45">
      <c r="A5753" s="30">
        <v>2025</v>
      </c>
      <c r="B5753" s="30" t="s">
        <v>13</v>
      </c>
      <c r="C5753" s="30" t="s">
        <v>46</v>
      </c>
      <c r="D5753" s="30" t="s">
        <v>102</v>
      </c>
      <c r="E5753" s="31" t="s">
        <v>707</v>
      </c>
      <c r="F5753" s="32" t="s">
        <v>331</v>
      </c>
      <c r="G5753" s="32" t="s">
        <v>105</v>
      </c>
      <c r="H5753" s="33">
        <v>337910</v>
      </c>
      <c r="I5753" s="34">
        <f>Table3[[#This Row],[Volume, kg.]]/1000</f>
        <v>337.91</v>
      </c>
      <c r="J5753" s="34">
        <v>0.2152</v>
      </c>
      <c r="K5753" s="34">
        <f t="shared" si="180"/>
        <v>72718.232000000004</v>
      </c>
      <c r="L5753" s="34">
        <v>1.8</v>
      </c>
      <c r="M5753" s="34">
        <v>607232</v>
      </c>
      <c r="N5753" s="34">
        <f t="shared" si="181"/>
        <v>8.3643122676579935</v>
      </c>
    </row>
    <row r="5754" spans="1:14" x14ac:dyDescent="0.45">
      <c r="A5754" s="30">
        <v>2025</v>
      </c>
      <c r="B5754" s="30" t="s">
        <v>13</v>
      </c>
      <c r="C5754" s="30" t="s">
        <v>46</v>
      </c>
      <c r="D5754" s="30" t="s">
        <v>102</v>
      </c>
      <c r="E5754" s="31" t="s">
        <v>708</v>
      </c>
      <c r="F5754" s="32" t="s">
        <v>397</v>
      </c>
      <c r="G5754" s="32" t="s">
        <v>105</v>
      </c>
      <c r="H5754" s="33">
        <v>147510</v>
      </c>
      <c r="I5754" s="34">
        <f>Table3[[#This Row],[Volume, kg.]]/1000</f>
        <v>147.51</v>
      </c>
      <c r="J5754" s="34">
        <v>0.21239999999999998</v>
      </c>
      <c r="K5754" s="34">
        <f t="shared" si="180"/>
        <v>31331.123999999996</v>
      </c>
      <c r="L5754" s="34">
        <v>1.91</v>
      </c>
      <c r="M5754" s="34">
        <v>281807</v>
      </c>
      <c r="N5754" s="34">
        <f t="shared" si="181"/>
        <v>8.9924670433145018</v>
      </c>
    </row>
    <row r="5755" spans="1:14" x14ac:dyDescent="0.45">
      <c r="A5755" s="30">
        <v>2025</v>
      </c>
      <c r="B5755" s="30" t="s">
        <v>13</v>
      </c>
      <c r="C5755" s="30" t="s">
        <v>46</v>
      </c>
      <c r="D5755" s="30" t="s">
        <v>47</v>
      </c>
      <c r="E5755" s="31" t="s">
        <v>709</v>
      </c>
      <c r="F5755" s="32" t="s">
        <v>49</v>
      </c>
      <c r="G5755" s="32" t="s">
        <v>50</v>
      </c>
      <c r="H5755" s="33">
        <v>23080</v>
      </c>
      <c r="I5755" s="34">
        <f>Table3[[#This Row],[Volume, kg.]]/1000</f>
        <v>23.08</v>
      </c>
      <c r="J5755" s="34">
        <v>0.1966</v>
      </c>
      <c r="K5755" s="34">
        <f t="shared" si="180"/>
        <v>4537.5280000000002</v>
      </c>
      <c r="L5755" s="34">
        <v>1.68</v>
      </c>
      <c r="M5755" s="34">
        <v>38825</v>
      </c>
      <c r="N5755" s="34">
        <f t="shared" si="181"/>
        <v>8.5452695829094605</v>
      </c>
    </row>
    <row r="5756" spans="1:14" x14ac:dyDescent="0.45">
      <c r="A5756" s="30">
        <v>2025</v>
      </c>
      <c r="B5756" s="30" t="s">
        <v>13</v>
      </c>
      <c r="C5756" s="30" t="s">
        <v>46</v>
      </c>
      <c r="D5756" s="30" t="s">
        <v>47</v>
      </c>
      <c r="E5756" s="31" t="s">
        <v>717</v>
      </c>
      <c r="F5756" s="32" t="s">
        <v>223</v>
      </c>
      <c r="G5756" s="32" t="s">
        <v>50</v>
      </c>
      <c r="H5756" s="33">
        <v>17700</v>
      </c>
      <c r="I5756" s="34">
        <f>Table3[[#This Row],[Volume, kg.]]/1000</f>
        <v>17.7</v>
      </c>
      <c r="J5756" s="34">
        <v>0.21920000000000001</v>
      </c>
      <c r="K5756" s="34">
        <f t="shared" si="180"/>
        <v>3879.84</v>
      </c>
      <c r="L5756" s="34">
        <v>1.78</v>
      </c>
      <c r="M5756" s="34">
        <v>31430.5</v>
      </c>
      <c r="N5756" s="34">
        <f t="shared" si="181"/>
        <v>8.1204379562043787</v>
      </c>
    </row>
    <row r="5757" spans="1:14" x14ac:dyDescent="0.45">
      <c r="A5757" s="30">
        <v>2025</v>
      </c>
      <c r="B5757" s="30" t="s">
        <v>13</v>
      </c>
      <c r="C5757" s="30" t="s">
        <v>46</v>
      </c>
      <c r="D5757" s="30" t="s">
        <v>47</v>
      </c>
      <c r="E5757" s="31" t="s">
        <v>713</v>
      </c>
      <c r="F5757" s="32" t="s">
        <v>64</v>
      </c>
      <c r="G5757" s="32" t="s">
        <v>50</v>
      </c>
      <c r="H5757" s="33">
        <v>57000</v>
      </c>
      <c r="I5757" s="34">
        <f>Table3[[#This Row],[Volume, kg.]]/1000</f>
        <v>57</v>
      </c>
      <c r="J5757" s="34">
        <v>0.18479999999999999</v>
      </c>
      <c r="K5757" s="34">
        <f t="shared" si="180"/>
        <v>10533.6</v>
      </c>
      <c r="L5757" s="34">
        <v>1.66</v>
      </c>
      <c r="M5757" s="34">
        <v>94454</v>
      </c>
      <c r="N5757" s="34">
        <f t="shared" si="181"/>
        <v>8.9826839826839819</v>
      </c>
    </row>
    <row r="5758" spans="1:14" x14ac:dyDescent="0.45">
      <c r="A5758" s="30">
        <v>2025</v>
      </c>
      <c r="B5758" s="30" t="s">
        <v>13</v>
      </c>
      <c r="C5758" s="30" t="s">
        <v>46</v>
      </c>
      <c r="D5758" s="30" t="s">
        <v>47</v>
      </c>
      <c r="E5758" s="31" t="s">
        <v>714</v>
      </c>
      <c r="F5758" s="32" t="s">
        <v>238</v>
      </c>
      <c r="G5758" s="32" t="s">
        <v>50</v>
      </c>
      <c r="H5758" s="33">
        <v>38060</v>
      </c>
      <c r="I5758" s="34">
        <f>Table3[[#This Row],[Volume, kg.]]/1000</f>
        <v>38.06</v>
      </c>
      <c r="J5758" s="34">
        <v>0.18760000000000002</v>
      </c>
      <c r="K5758" s="34">
        <f t="shared" si="180"/>
        <v>7140.0560000000005</v>
      </c>
      <c r="L5758" s="34">
        <v>1.69</v>
      </c>
      <c r="M5758" s="34">
        <v>64354.5</v>
      </c>
      <c r="N5758" s="34">
        <f t="shared" si="181"/>
        <v>9.0085287846481865</v>
      </c>
    </row>
    <row r="5759" spans="1:14" x14ac:dyDescent="0.45">
      <c r="A5759" s="30">
        <v>2025</v>
      </c>
      <c r="B5759" s="30" t="s">
        <v>13</v>
      </c>
      <c r="C5759" s="30" t="s">
        <v>46</v>
      </c>
      <c r="D5759" s="30" t="s">
        <v>47</v>
      </c>
      <c r="E5759" s="31" t="s">
        <v>723</v>
      </c>
      <c r="F5759" s="32" t="s">
        <v>49</v>
      </c>
      <c r="G5759" s="32" t="s">
        <v>50</v>
      </c>
      <c r="H5759" s="33">
        <v>6540</v>
      </c>
      <c r="I5759" s="34">
        <f>Table3[[#This Row],[Volume, kg.]]/1000</f>
        <v>6.54</v>
      </c>
      <c r="J5759" s="34">
        <v>0.2205</v>
      </c>
      <c r="K5759" s="34">
        <f t="shared" si="180"/>
        <v>1442.07</v>
      </c>
      <c r="L5759" s="34">
        <v>1.85</v>
      </c>
      <c r="M5759" s="34">
        <v>12099</v>
      </c>
      <c r="N5759" s="34">
        <f t="shared" si="181"/>
        <v>8.3900226757369616</v>
      </c>
    </row>
    <row r="5760" spans="1:14" x14ac:dyDescent="0.45">
      <c r="A5760" s="30">
        <v>2025</v>
      </c>
      <c r="B5760" s="30" t="s">
        <v>13</v>
      </c>
      <c r="C5760" s="30" t="s">
        <v>46</v>
      </c>
      <c r="D5760" s="30" t="s">
        <v>47</v>
      </c>
      <c r="E5760" s="31" t="s">
        <v>731</v>
      </c>
      <c r="F5760" s="32" t="s">
        <v>64</v>
      </c>
      <c r="G5760" s="32" t="s">
        <v>50</v>
      </c>
      <c r="H5760" s="33">
        <v>70130</v>
      </c>
      <c r="I5760" s="34">
        <f>Table3[[#This Row],[Volume, kg.]]/1000</f>
        <v>70.13</v>
      </c>
      <c r="J5760" s="34">
        <v>0.1928</v>
      </c>
      <c r="K5760" s="34">
        <f t="shared" si="180"/>
        <v>13521.064</v>
      </c>
      <c r="L5760" s="34">
        <v>1.68</v>
      </c>
      <c r="M5760" s="34">
        <v>117739</v>
      </c>
      <c r="N5760" s="34">
        <f t="shared" si="181"/>
        <v>8.7136929460580905</v>
      </c>
    </row>
    <row r="5761" spans="1:14" x14ac:dyDescent="0.45">
      <c r="A5761" s="30">
        <v>2025</v>
      </c>
      <c r="B5761" s="30" t="s">
        <v>13</v>
      </c>
      <c r="C5761" s="30" t="s">
        <v>46</v>
      </c>
      <c r="D5761" s="30" t="s">
        <v>47</v>
      </c>
      <c r="E5761" s="31" t="s">
        <v>722</v>
      </c>
      <c r="F5761" s="32" t="s">
        <v>49</v>
      </c>
      <c r="G5761" s="32" t="s">
        <v>50</v>
      </c>
      <c r="H5761" s="33">
        <v>23600</v>
      </c>
      <c r="I5761" s="34">
        <f>Table3[[#This Row],[Volume, kg.]]/1000</f>
        <v>23.6</v>
      </c>
      <c r="J5761" s="34">
        <v>0.22059999999999999</v>
      </c>
      <c r="K5761" s="34">
        <f t="shared" si="180"/>
        <v>5206.16</v>
      </c>
      <c r="L5761" s="34">
        <v>1.87</v>
      </c>
      <c r="M5761" s="34">
        <v>44034</v>
      </c>
      <c r="N5761" s="34">
        <f t="shared" si="181"/>
        <v>8.476881233000908</v>
      </c>
    </row>
    <row r="5762" spans="1:14" x14ac:dyDescent="0.45">
      <c r="A5762" s="30">
        <v>2025</v>
      </c>
      <c r="B5762" s="30" t="s">
        <v>13</v>
      </c>
      <c r="C5762" s="30" t="s">
        <v>46</v>
      </c>
      <c r="D5762" s="30" t="s">
        <v>47</v>
      </c>
      <c r="E5762" s="31" t="s">
        <v>724</v>
      </c>
      <c r="F5762" s="32" t="s">
        <v>64</v>
      </c>
      <c r="G5762" s="32" t="s">
        <v>50</v>
      </c>
      <c r="H5762" s="33">
        <v>54610</v>
      </c>
      <c r="I5762" s="34">
        <f>Table3[[#This Row],[Volume, kg.]]/1000</f>
        <v>54.61</v>
      </c>
      <c r="J5762" s="34">
        <v>0.23929999999999998</v>
      </c>
      <c r="K5762" s="34">
        <f t="shared" si="180"/>
        <v>13068.172999999999</v>
      </c>
      <c r="L5762" s="34">
        <v>1.93</v>
      </c>
      <c r="M5762" s="34">
        <v>105617</v>
      </c>
      <c r="N5762" s="34">
        <f t="shared" si="181"/>
        <v>8.0651901379022153</v>
      </c>
    </row>
    <row r="5763" spans="1:14" x14ac:dyDescent="0.45">
      <c r="A5763" s="30">
        <v>2025</v>
      </c>
      <c r="B5763" s="30" t="s">
        <v>13</v>
      </c>
      <c r="C5763" s="30" t="s">
        <v>46</v>
      </c>
      <c r="D5763" s="30" t="s">
        <v>102</v>
      </c>
      <c r="E5763" s="31" t="s">
        <v>732</v>
      </c>
      <c r="F5763" s="32" t="s">
        <v>349</v>
      </c>
      <c r="G5763" s="32" t="s">
        <v>105</v>
      </c>
      <c r="H5763" s="33">
        <v>926870</v>
      </c>
      <c r="I5763" s="34">
        <f>Table3[[#This Row],[Volume, kg.]]/1000</f>
        <v>926.87</v>
      </c>
      <c r="J5763" s="34">
        <v>0.20469999999999999</v>
      </c>
      <c r="K5763" s="34">
        <f t="shared" si="180"/>
        <v>189730.28899999999</v>
      </c>
      <c r="L5763" s="34">
        <v>1.76</v>
      </c>
      <c r="M5763" s="34">
        <v>1634872</v>
      </c>
      <c r="N5763" s="34">
        <f t="shared" si="181"/>
        <v>8.5979482169027843</v>
      </c>
    </row>
    <row r="5764" spans="1:14" x14ac:dyDescent="0.45">
      <c r="A5764" s="30">
        <v>2025</v>
      </c>
      <c r="B5764" s="30" t="s">
        <v>13</v>
      </c>
      <c r="C5764" s="30" t="s">
        <v>46</v>
      </c>
      <c r="D5764" s="30" t="s">
        <v>102</v>
      </c>
      <c r="E5764" s="31" t="s">
        <v>735</v>
      </c>
      <c r="F5764" s="32" t="s">
        <v>736</v>
      </c>
      <c r="G5764" s="32" t="s">
        <v>50</v>
      </c>
      <c r="H5764" s="33">
        <v>354780</v>
      </c>
      <c r="I5764" s="34">
        <f>Table3[[#This Row],[Volume, kg.]]/1000</f>
        <v>354.78</v>
      </c>
      <c r="J5764" s="34">
        <v>0.19739999999999999</v>
      </c>
      <c r="K5764" s="34">
        <f t="shared" si="180"/>
        <v>70033.572</v>
      </c>
      <c r="L5764" s="34">
        <v>1.72</v>
      </c>
      <c r="M5764" s="34">
        <v>610847</v>
      </c>
      <c r="N5764" s="34">
        <f t="shared" si="181"/>
        <v>8.7132725430597766</v>
      </c>
    </row>
    <row r="5765" spans="1:14" x14ac:dyDescent="0.45">
      <c r="A5765" s="30">
        <v>2025</v>
      </c>
      <c r="B5765" s="30" t="s">
        <v>13</v>
      </c>
      <c r="C5765" s="30" t="s">
        <v>46</v>
      </c>
      <c r="D5765" s="30" t="s">
        <v>102</v>
      </c>
      <c r="E5765" s="31" t="s">
        <v>737</v>
      </c>
      <c r="F5765" s="32" t="s">
        <v>240</v>
      </c>
      <c r="G5765" s="32" t="s">
        <v>50</v>
      </c>
      <c r="H5765" s="33">
        <v>37590</v>
      </c>
      <c r="I5765" s="34">
        <f>Table3[[#This Row],[Volume, kg.]]/1000</f>
        <v>37.590000000000003</v>
      </c>
      <c r="J5765" s="34">
        <v>0.16399999999999998</v>
      </c>
      <c r="K5765" s="34">
        <f t="shared" si="180"/>
        <v>6164.7599999999993</v>
      </c>
      <c r="L5765" s="34">
        <v>1.55</v>
      </c>
      <c r="M5765" s="34">
        <v>58264.5</v>
      </c>
      <c r="N5765" s="34">
        <f t="shared" si="181"/>
        <v>9.4512195121951237</v>
      </c>
    </row>
    <row r="5766" spans="1:14" x14ac:dyDescent="0.45">
      <c r="A5766" s="30">
        <v>2025</v>
      </c>
      <c r="B5766" s="30" t="s">
        <v>13</v>
      </c>
      <c r="C5766" s="30" t="s">
        <v>46</v>
      </c>
      <c r="D5766" s="30" t="s">
        <v>47</v>
      </c>
      <c r="E5766" s="31" t="s">
        <v>738</v>
      </c>
      <c r="F5766" s="32" t="s">
        <v>81</v>
      </c>
      <c r="G5766" s="32" t="s">
        <v>50</v>
      </c>
      <c r="H5766" s="33">
        <v>51700</v>
      </c>
      <c r="I5766" s="34">
        <f>Table3[[#This Row],[Volume, kg.]]/1000</f>
        <v>51.7</v>
      </c>
      <c r="J5766" s="34">
        <v>0.1943</v>
      </c>
      <c r="K5766" s="34">
        <f t="shared" si="180"/>
        <v>10045.31</v>
      </c>
      <c r="L5766" s="34">
        <v>1.72</v>
      </c>
      <c r="M5766" s="34">
        <v>88784</v>
      </c>
      <c r="N5766" s="34">
        <f t="shared" si="181"/>
        <v>8.8522902727740611</v>
      </c>
    </row>
    <row r="5767" spans="1:14" x14ac:dyDescent="0.45">
      <c r="A5767" s="30">
        <v>2025</v>
      </c>
      <c r="B5767" s="30" t="s">
        <v>14</v>
      </c>
      <c r="C5767" s="30" t="s">
        <v>46</v>
      </c>
      <c r="D5767" s="30" t="s">
        <v>102</v>
      </c>
      <c r="E5767" s="31" t="s">
        <v>188</v>
      </c>
      <c r="F5767" s="31" t="s">
        <v>189</v>
      </c>
      <c r="G5767" s="32" t="s">
        <v>128</v>
      </c>
      <c r="H5767" s="33">
        <v>551390</v>
      </c>
      <c r="I5767" s="34">
        <f>Table3[[#This Row],[Volume, kg.]]/1000</f>
        <v>551.39</v>
      </c>
      <c r="J5767" s="34">
        <v>0.22089999999999999</v>
      </c>
      <c r="K5767" s="34">
        <f>H5767*J5767</f>
        <v>121802.05099999999</v>
      </c>
      <c r="L5767" s="34">
        <v>2.04</v>
      </c>
      <c r="M5767" s="34">
        <v>1125507</v>
      </c>
      <c r="N5767" s="34">
        <f>L5767/J5767</f>
        <v>9.2349479402444548</v>
      </c>
    </row>
    <row r="5768" spans="1:14" x14ac:dyDescent="0.45">
      <c r="A5768" s="30">
        <v>2025</v>
      </c>
      <c r="B5768" s="30" t="s">
        <v>14</v>
      </c>
      <c r="C5768" s="30" t="s">
        <v>46</v>
      </c>
      <c r="D5768" s="30" t="s">
        <v>102</v>
      </c>
      <c r="E5768" s="31" t="s">
        <v>222</v>
      </c>
      <c r="F5768" s="31" t="s">
        <v>223</v>
      </c>
      <c r="G5768" s="32" t="s">
        <v>50</v>
      </c>
      <c r="H5768" s="33">
        <v>389520</v>
      </c>
      <c r="I5768" s="34">
        <f>Table3[[#This Row],[Volume, kg.]]/1000</f>
        <v>389.52</v>
      </c>
      <c r="J5768" s="34">
        <v>0.2077</v>
      </c>
      <c r="K5768" s="34">
        <f t="shared" ref="K5768:K5831" si="182">H5768*J5768</f>
        <v>80903.304000000004</v>
      </c>
      <c r="L5768" s="34">
        <v>1.94</v>
      </c>
      <c r="M5768" s="34">
        <v>754967.5</v>
      </c>
      <c r="N5768" s="34">
        <f t="shared" ref="N5768:N5831" si="183">L5768/J5768</f>
        <v>9.3403948001925858</v>
      </c>
    </row>
    <row r="5769" spans="1:14" x14ac:dyDescent="0.45">
      <c r="A5769" s="30">
        <v>2025</v>
      </c>
      <c r="B5769" s="30" t="s">
        <v>14</v>
      </c>
      <c r="C5769" s="30" t="s">
        <v>46</v>
      </c>
      <c r="D5769" s="30" t="s">
        <v>47</v>
      </c>
      <c r="E5769" s="31" t="s">
        <v>181</v>
      </c>
      <c r="F5769" s="31" t="s">
        <v>57</v>
      </c>
      <c r="G5769" s="32" t="s">
        <v>50</v>
      </c>
      <c r="H5769" s="33">
        <v>8510</v>
      </c>
      <c r="I5769" s="34">
        <f>Table3[[#This Row],[Volume, kg.]]/1000</f>
        <v>8.51</v>
      </c>
      <c r="J5769" s="34">
        <v>0.20610000000000001</v>
      </c>
      <c r="K5769" s="34">
        <f t="shared" si="182"/>
        <v>1753.9110000000001</v>
      </c>
      <c r="L5769" s="34">
        <v>1.85</v>
      </c>
      <c r="M5769" s="34">
        <v>15743.5</v>
      </c>
      <c r="N5769" s="34">
        <f t="shared" si="183"/>
        <v>8.9762251334303738</v>
      </c>
    </row>
    <row r="5770" spans="1:14" x14ac:dyDescent="0.45">
      <c r="A5770" s="30">
        <v>2025</v>
      </c>
      <c r="B5770" s="30" t="s">
        <v>14</v>
      </c>
      <c r="C5770" s="30" t="s">
        <v>46</v>
      </c>
      <c r="D5770" s="30" t="s">
        <v>47</v>
      </c>
      <c r="E5770" s="31" t="s">
        <v>596</v>
      </c>
      <c r="F5770" s="31" t="s">
        <v>49</v>
      </c>
      <c r="G5770" s="32" t="s">
        <v>50</v>
      </c>
      <c r="H5770" s="33">
        <v>16610</v>
      </c>
      <c r="I5770" s="34">
        <f>Table3[[#This Row],[Volume, kg.]]/1000</f>
        <v>16.61</v>
      </c>
      <c r="J5770" s="34">
        <v>0.2346</v>
      </c>
      <c r="K5770" s="34">
        <f t="shared" si="182"/>
        <v>3896.7060000000001</v>
      </c>
      <c r="L5770" s="34">
        <v>1.97</v>
      </c>
      <c r="M5770" s="34">
        <v>32783.5</v>
      </c>
      <c r="N5770" s="34">
        <f t="shared" si="183"/>
        <v>8.3972719522591639</v>
      </c>
    </row>
    <row r="5771" spans="1:14" x14ac:dyDescent="0.45">
      <c r="A5771" s="30">
        <v>2025</v>
      </c>
      <c r="B5771" s="30" t="s">
        <v>14</v>
      </c>
      <c r="C5771" s="30" t="s">
        <v>46</v>
      </c>
      <c r="D5771" s="30" t="s">
        <v>47</v>
      </c>
      <c r="E5771" s="31" t="s">
        <v>232</v>
      </c>
      <c r="F5771" s="31" t="s">
        <v>49</v>
      </c>
      <c r="G5771" s="32" t="s">
        <v>50</v>
      </c>
      <c r="H5771" s="33">
        <v>45020</v>
      </c>
      <c r="I5771" s="34">
        <f>Table3[[#This Row],[Volume, kg.]]/1000</f>
        <v>45.02</v>
      </c>
      <c r="J5771" s="34">
        <v>0.2306</v>
      </c>
      <c r="K5771" s="34">
        <f t="shared" si="182"/>
        <v>10381.611999999999</v>
      </c>
      <c r="L5771" s="34">
        <v>1.97</v>
      </c>
      <c r="M5771" s="34">
        <v>88691.5</v>
      </c>
      <c r="N5771" s="34">
        <f t="shared" si="183"/>
        <v>8.5429314830875978</v>
      </c>
    </row>
    <row r="5772" spans="1:14" x14ac:dyDescent="0.45">
      <c r="A5772" s="30">
        <v>2025</v>
      </c>
      <c r="B5772" s="30" t="s">
        <v>14</v>
      </c>
      <c r="C5772" s="30" t="s">
        <v>46</v>
      </c>
      <c r="D5772" s="30" t="s">
        <v>47</v>
      </c>
      <c r="E5772" s="31" t="s">
        <v>213</v>
      </c>
      <c r="F5772" s="31" t="s">
        <v>49</v>
      </c>
      <c r="G5772" s="32" t="s">
        <v>50</v>
      </c>
      <c r="H5772" s="33">
        <v>145930</v>
      </c>
      <c r="I5772" s="34">
        <f>Table3[[#This Row],[Volume, kg.]]/1000</f>
        <v>145.93</v>
      </c>
      <c r="J5772" s="34">
        <v>0.2382</v>
      </c>
      <c r="K5772" s="34">
        <f t="shared" si="182"/>
        <v>34760.525999999998</v>
      </c>
      <c r="L5772" s="34">
        <v>2</v>
      </c>
      <c r="M5772" s="34">
        <v>291442</v>
      </c>
      <c r="N5772" s="34">
        <f t="shared" si="183"/>
        <v>8.3963056255247697</v>
      </c>
    </row>
    <row r="5773" spans="1:14" x14ac:dyDescent="0.45">
      <c r="A5773" s="30">
        <v>2025</v>
      </c>
      <c r="B5773" s="30" t="s">
        <v>14</v>
      </c>
      <c r="C5773" s="30" t="s">
        <v>46</v>
      </c>
      <c r="D5773" s="30" t="s">
        <v>47</v>
      </c>
      <c r="E5773" s="31" t="s">
        <v>69</v>
      </c>
      <c r="F5773" s="31" t="s">
        <v>49</v>
      </c>
      <c r="G5773" s="32" t="s">
        <v>50</v>
      </c>
      <c r="H5773" s="33">
        <v>226960</v>
      </c>
      <c r="I5773" s="34">
        <f>Table3[[#This Row],[Volume, kg.]]/1000</f>
        <v>226.96</v>
      </c>
      <c r="J5773" s="34">
        <v>0.23079999999999998</v>
      </c>
      <c r="K5773" s="34">
        <f t="shared" si="182"/>
        <v>52382.367999999995</v>
      </c>
      <c r="L5773" s="34">
        <v>1.96</v>
      </c>
      <c r="M5773" s="34">
        <v>445814</v>
      </c>
      <c r="N5773" s="34">
        <f t="shared" si="183"/>
        <v>8.492201039861353</v>
      </c>
    </row>
    <row r="5774" spans="1:14" x14ac:dyDescent="0.45">
      <c r="A5774" s="30">
        <v>2025</v>
      </c>
      <c r="B5774" s="30" t="s">
        <v>14</v>
      </c>
      <c r="C5774" s="30" t="s">
        <v>46</v>
      </c>
      <c r="D5774" s="30" t="s">
        <v>47</v>
      </c>
      <c r="E5774" s="31" t="s">
        <v>202</v>
      </c>
      <c r="F5774" s="31" t="s">
        <v>57</v>
      </c>
      <c r="G5774" s="32" t="s">
        <v>50</v>
      </c>
      <c r="H5774" s="33">
        <v>74700</v>
      </c>
      <c r="I5774" s="34">
        <f>Table3[[#This Row],[Volume, kg.]]/1000</f>
        <v>74.7</v>
      </c>
      <c r="J5774" s="34">
        <v>0.223</v>
      </c>
      <c r="K5774" s="34">
        <f t="shared" si="182"/>
        <v>16658.099999999999</v>
      </c>
      <c r="L5774" s="34">
        <v>1.93</v>
      </c>
      <c r="M5774" s="34">
        <v>144323.5</v>
      </c>
      <c r="N5774" s="34">
        <f t="shared" si="183"/>
        <v>8.654708520179371</v>
      </c>
    </row>
    <row r="5775" spans="1:14" x14ac:dyDescent="0.45">
      <c r="A5775" s="30">
        <v>2025</v>
      </c>
      <c r="B5775" s="30" t="s">
        <v>14</v>
      </c>
      <c r="C5775" s="30" t="s">
        <v>46</v>
      </c>
      <c r="D5775" s="30" t="s">
        <v>47</v>
      </c>
      <c r="E5775" s="31" t="s">
        <v>326</v>
      </c>
      <c r="F5775" s="31" t="s">
        <v>57</v>
      </c>
      <c r="G5775" s="32" t="s">
        <v>50</v>
      </c>
      <c r="H5775" s="33">
        <v>25140</v>
      </c>
      <c r="I5775" s="34">
        <f>Table3[[#This Row],[Volume, kg.]]/1000</f>
        <v>25.14</v>
      </c>
      <c r="J5775" s="34">
        <v>0.23079999999999998</v>
      </c>
      <c r="K5775" s="34">
        <f t="shared" si="182"/>
        <v>5802.311999999999</v>
      </c>
      <c r="L5775" s="34">
        <v>1.95</v>
      </c>
      <c r="M5775" s="34">
        <v>49023</v>
      </c>
      <c r="N5775" s="34">
        <f t="shared" si="183"/>
        <v>8.4488734835355288</v>
      </c>
    </row>
    <row r="5776" spans="1:14" x14ac:dyDescent="0.45">
      <c r="A5776" s="30">
        <v>2025</v>
      </c>
      <c r="B5776" s="30" t="s">
        <v>14</v>
      </c>
      <c r="C5776" s="30" t="s">
        <v>46</v>
      </c>
      <c r="D5776" s="30" t="s">
        <v>47</v>
      </c>
      <c r="E5776" s="31" t="s">
        <v>52</v>
      </c>
      <c r="F5776" s="31" t="s">
        <v>49</v>
      </c>
      <c r="G5776" s="32" t="s">
        <v>50</v>
      </c>
      <c r="H5776" s="33">
        <v>8690</v>
      </c>
      <c r="I5776" s="34">
        <f>Table3[[#This Row],[Volume, kg.]]/1000</f>
        <v>8.69</v>
      </c>
      <c r="J5776" s="34">
        <v>0.22450000000000001</v>
      </c>
      <c r="K5776" s="34">
        <f t="shared" si="182"/>
        <v>1950.905</v>
      </c>
      <c r="L5776" s="34">
        <v>1.9</v>
      </c>
      <c r="M5776" s="34">
        <v>16511</v>
      </c>
      <c r="N5776" s="34">
        <f t="shared" si="183"/>
        <v>8.463251670378618</v>
      </c>
    </row>
    <row r="5777" spans="1:14" x14ac:dyDescent="0.45">
      <c r="A5777" s="30">
        <v>2025</v>
      </c>
      <c r="B5777" s="30" t="s">
        <v>14</v>
      </c>
      <c r="C5777" s="30" t="s">
        <v>46</v>
      </c>
      <c r="D5777" s="30" t="s">
        <v>47</v>
      </c>
      <c r="E5777" s="31" t="s">
        <v>201</v>
      </c>
      <c r="F5777" s="31" t="s">
        <v>49</v>
      </c>
      <c r="G5777" s="32" t="s">
        <v>50</v>
      </c>
      <c r="H5777" s="33">
        <v>218900</v>
      </c>
      <c r="I5777" s="34">
        <f>Table3[[#This Row],[Volume, kg.]]/1000</f>
        <v>218.9</v>
      </c>
      <c r="J5777" s="34">
        <v>0.2311</v>
      </c>
      <c r="K5777" s="34">
        <f t="shared" si="182"/>
        <v>50587.79</v>
      </c>
      <c r="L5777" s="34">
        <v>1.98</v>
      </c>
      <c r="M5777" s="34">
        <v>434189.5</v>
      </c>
      <c r="N5777" s="34">
        <f t="shared" si="183"/>
        <v>8.5677196019039368</v>
      </c>
    </row>
    <row r="5778" spans="1:14" x14ac:dyDescent="0.45">
      <c r="A5778" s="30">
        <v>2025</v>
      </c>
      <c r="B5778" s="30" t="s">
        <v>14</v>
      </c>
      <c r="C5778" s="30" t="s">
        <v>46</v>
      </c>
      <c r="D5778" s="30" t="s">
        <v>47</v>
      </c>
      <c r="E5778" s="31" t="s">
        <v>381</v>
      </c>
      <c r="F5778" s="31" t="s">
        <v>49</v>
      </c>
      <c r="G5778" s="32" t="s">
        <v>50</v>
      </c>
      <c r="H5778" s="33">
        <v>26590</v>
      </c>
      <c r="I5778" s="34">
        <f>Table3[[#This Row],[Volume, kg.]]/1000</f>
        <v>26.59</v>
      </c>
      <c r="J5778" s="34">
        <v>0.2165</v>
      </c>
      <c r="K5778" s="34">
        <f t="shared" si="182"/>
        <v>5756.7349999999997</v>
      </c>
      <c r="L5778" s="34">
        <v>1.92</v>
      </c>
      <c r="M5778" s="34">
        <v>51169</v>
      </c>
      <c r="N5778" s="34">
        <f t="shared" si="183"/>
        <v>8.868360277136258</v>
      </c>
    </row>
    <row r="5779" spans="1:14" x14ac:dyDescent="0.45">
      <c r="A5779" s="30">
        <v>2025</v>
      </c>
      <c r="B5779" s="30" t="s">
        <v>14</v>
      </c>
      <c r="C5779" s="30" t="s">
        <v>46</v>
      </c>
      <c r="D5779" s="30" t="s">
        <v>47</v>
      </c>
      <c r="E5779" s="31" t="s">
        <v>382</v>
      </c>
      <c r="F5779" s="31" t="s">
        <v>60</v>
      </c>
      <c r="G5779" s="32" t="s">
        <v>50</v>
      </c>
      <c r="H5779" s="33">
        <v>26590</v>
      </c>
      <c r="I5779" s="34">
        <f>Table3[[#This Row],[Volume, kg.]]/1000</f>
        <v>26.59</v>
      </c>
      <c r="J5779" s="34">
        <v>0.22260000000000002</v>
      </c>
      <c r="K5779" s="34">
        <f t="shared" si="182"/>
        <v>5918.9340000000002</v>
      </c>
      <c r="L5779" s="34">
        <v>1.94</v>
      </c>
      <c r="M5779" s="34">
        <v>51613</v>
      </c>
      <c r="N5779" s="34">
        <f t="shared" si="183"/>
        <v>8.7151841868822988</v>
      </c>
    </row>
    <row r="5780" spans="1:14" x14ac:dyDescent="0.45">
      <c r="A5780" s="30">
        <v>2025</v>
      </c>
      <c r="B5780" s="30" t="s">
        <v>14</v>
      </c>
      <c r="C5780" s="30" t="s">
        <v>46</v>
      </c>
      <c r="D5780" s="30" t="s">
        <v>47</v>
      </c>
      <c r="E5780" s="31" t="s">
        <v>178</v>
      </c>
      <c r="F5780" s="31" t="s">
        <v>49</v>
      </c>
      <c r="G5780" s="32" t="s">
        <v>50</v>
      </c>
      <c r="H5780" s="33">
        <v>30550</v>
      </c>
      <c r="I5780" s="34">
        <f>Table3[[#This Row],[Volume, kg.]]/1000</f>
        <v>30.55</v>
      </c>
      <c r="J5780" s="34">
        <v>0.21149999999999999</v>
      </c>
      <c r="K5780" s="34">
        <f t="shared" si="182"/>
        <v>6461.3249999999998</v>
      </c>
      <c r="L5780" s="34">
        <v>1.87</v>
      </c>
      <c r="M5780" s="34">
        <v>56984</v>
      </c>
      <c r="N5780" s="34">
        <f t="shared" si="183"/>
        <v>8.841607565011822</v>
      </c>
    </row>
    <row r="5781" spans="1:14" x14ac:dyDescent="0.45">
      <c r="A5781" s="30">
        <v>2025</v>
      </c>
      <c r="B5781" s="30" t="s">
        <v>14</v>
      </c>
      <c r="C5781" s="30" t="s">
        <v>46</v>
      </c>
      <c r="D5781" s="30" t="s">
        <v>47</v>
      </c>
      <c r="E5781" s="31" t="s">
        <v>235</v>
      </c>
      <c r="F5781" s="31" t="s">
        <v>57</v>
      </c>
      <c r="G5781" s="32" t="s">
        <v>50</v>
      </c>
      <c r="H5781" s="33">
        <v>49500</v>
      </c>
      <c r="I5781" s="34">
        <f>Table3[[#This Row],[Volume, kg.]]/1000</f>
        <v>49.5</v>
      </c>
      <c r="J5781" s="34">
        <v>0.23449999999999999</v>
      </c>
      <c r="K5781" s="34">
        <f t="shared" si="182"/>
        <v>11607.75</v>
      </c>
      <c r="L5781" s="34">
        <v>1.98</v>
      </c>
      <c r="M5781" s="34">
        <v>97960</v>
      </c>
      <c r="N5781" s="34">
        <f t="shared" si="183"/>
        <v>8.4434968017057574</v>
      </c>
    </row>
    <row r="5782" spans="1:14" x14ac:dyDescent="0.45">
      <c r="A5782" s="30">
        <v>2025</v>
      </c>
      <c r="B5782" s="30" t="s">
        <v>14</v>
      </c>
      <c r="C5782" s="30" t="s">
        <v>46</v>
      </c>
      <c r="D5782" s="30" t="s">
        <v>47</v>
      </c>
      <c r="E5782" s="31" t="s">
        <v>48</v>
      </c>
      <c r="F5782" s="31" t="s">
        <v>49</v>
      </c>
      <c r="G5782" s="32" t="s">
        <v>50</v>
      </c>
      <c r="H5782" s="33">
        <v>29250</v>
      </c>
      <c r="I5782" s="34">
        <f>Table3[[#This Row],[Volume, kg.]]/1000</f>
        <v>29.25</v>
      </c>
      <c r="J5782" s="34">
        <v>0.2384</v>
      </c>
      <c r="K5782" s="34">
        <f t="shared" si="182"/>
        <v>6973.2</v>
      </c>
      <c r="L5782" s="34">
        <v>2.02</v>
      </c>
      <c r="M5782" s="34">
        <v>59040</v>
      </c>
      <c r="N5782" s="34">
        <f t="shared" si="183"/>
        <v>8.473154362416107</v>
      </c>
    </row>
    <row r="5783" spans="1:14" x14ac:dyDescent="0.45">
      <c r="A5783" s="30">
        <v>2025</v>
      </c>
      <c r="B5783" s="30" t="s">
        <v>14</v>
      </c>
      <c r="C5783" s="30" t="s">
        <v>46</v>
      </c>
      <c r="D5783" s="30" t="s">
        <v>47</v>
      </c>
      <c r="E5783" s="31" t="s">
        <v>149</v>
      </c>
      <c r="F5783" s="31" t="s">
        <v>49</v>
      </c>
      <c r="G5783" s="32" t="s">
        <v>50</v>
      </c>
      <c r="H5783" s="33">
        <v>55330</v>
      </c>
      <c r="I5783" s="34">
        <f>Table3[[#This Row],[Volume, kg.]]/1000</f>
        <v>55.33</v>
      </c>
      <c r="J5783" s="34">
        <v>0.22600000000000001</v>
      </c>
      <c r="K5783" s="34">
        <f t="shared" si="182"/>
        <v>12504.58</v>
      </c>
      <c r="L5783" s="34">
        <v>1.95</v>
      </c>
      <c r="M5783" s="34">
        <v>108074.5</v>
      </c>
      <c r="N5783" s="34">
        <f t="shared" si="183"/>
        <v>8.6283185840707954</v>
      </c>
    </row>
    <row r="5784" spans="1:14" x14ac:dyDescent="0.45">
      <c r="A5784" s="30">
        <v>2025</v>
      </c>
      <c r="B5784" s="30" t="s">
        <v>14</v>
      </c>
      <c r="C5784" s="30" t="s">
        <v>46</v>
      </c>
      <c r="D5784" s="30" t="s">
        <v>47</v>
      </c>
      <c r="E5784" s="31" t="s">
        <v>493</v>
      </c>
      <c r="F5784" s="31" t="s">
        <v>49</v>
      </c>
      <c r="G5784" s="32" t="s">
        <v>50</v>
      </c>
      <c r="H5784" s="33">
        <v>25330</v>
      </c>
      <c r="I5784" s="34">
        <f>Table3[[#This Row],[Volume, kg.]]/1000</f>
        <v>25.33</v>
      </c>
      <c r="J5784" s="34">
        <v>0.23139999999999999</v>
      </c>
      <c r="K5784" s="34">
        <f t="shared" si="182"/>
        <v>5861.3620000000001</v>
      </c>
      <c r="L5784" s="34">
        <v>1.99</v>
      </c>
      <c r="M5784" s="34">
        <v>50375.5</v>
      </c>
      <c r="N5784" s="34">
        <f t="shared" si="183"/>
        <v>8.5998271391529819</v>
      </c>
    </row>
    <row r="5785" spans="1:14" x14ac:dyDescent="0.45">
      <c r="A5785" s="30">
        <v>2025</v>
      </c>
      <c r="B5785" s="30" t="s">
        <v>14</v>
      </c>
      <c r="C5785" s="30" t="s">
        <v>46</v>
      </c>
      <c r="D5785" s="30" t="s">
        <v>47</v>
      </c>
      <c r="E5785" s="31" t="s">
        <v>208</v>
      </c>
      <c r="F5785" s="31" t="s">
        <v>49</v>
      </c>
      <c r="G5785" s="32" t="s">
        <v>50</v>
      </c>
      <c r="H5785" s="33">
        <v>102910</v>
      </c>
      <c r="I5785" s="34">
        <f>Table3[[#This Row],[Volume, kg.]]/1000</f>
        <v>102.91</v>
      </c>
      <c r="J5785" s="34">
        <v>0.23010000000000003</v>
      </c>
      <c r="K5785" s="34">
        <f t="shared" si="182"/>
        <v>23679.591000000004</v>
      </c>
      <c r="L5785" s="34">
        <v>1.98</v>
      </c>
      <c r="M5785" s="34">
        <v>203503</v>
      </c>
      <c r="N5785" s="34">
        <f t="shared" si="183"/>
        <v>8.604954367666231</v>
      </c>
    </row>
    <row r="5786" spans="1:14" x14ac:dyDescent="0.45">
      <c r="A5786" s="30">
        <v>2025</v>
      </c>
      <c r="B5786" s="30" t="s">
        <v>14</v>
      </c>
      <c r="C5786" s="30" t="s">
        <v>46</v>
      </c>
      <c r="D5786" s="30" t="s">
        <v>47</v>
      </c>
      <c r="E5786" s="31" t="s">
        <v>71</v>
      </c>
      <c r="F5786" s="31" t="s">
        <v>49</v>
      </c>
      <c r="G5786" s="32" t="s">
        <v>50</v>
      </c>
      <c r="H5786" s="33">
        <v>57830</v>
      </c>
      <c r="I5786" s="34">
        <f>Table3[[#This Row],[Volume, kg.]]/1000</f>
        <v>57.83</v>
      </c>
      <c r="J5786" s="34">
        <v>0.2452</v>
      </c>
      <c r="K5786" s="34">
        <f t="shared" si="182"/>
        <v>14179.915999999999</v>
      </c>
      <c r="L5786" s="34">
        <v>2.0299999999999998</v>
      </c>
      <c r="M5786" s="34">
        <v>117637.5</v>
      </c>
      <c r="N5786" s="34">
        <f t="shared" si="183"/>
        <v>8.2789559543230009</v>
      </c>
    </row>
    <row r="5787" spans="1:14" x14ac:dyDescent="0.45">
      <c r="A5787" s="30">
        <v>2025</v>
      </c>
      <c r="B5787" s="30" t="s">
        <v>14</v>
      </c>
      <c r="C5787" s="30" t="s">
        <v>46</v>
      </c>
      <c r="D5787" s="30" t="s">
        <v>47</v>
      </c>
      <c r="E5787" s="31" t="s">
        <v>123</v>
      </c>
      <c r="F5787" s="31" t="s">
        <v>49</v>
      </c>
      <c r="G5787" s="32" t="s">
        <v>50</v>
      </c>
      <c r="H5787" s="33">
        <v>18710</v>
      </c>
      <c r="I5787" s="34">
        <f>Table3[[#This Row],[Volume, kg.]]/1000</f>
        <v>18.71</v>
      </c>
      <c r="J5787" s="34">
        <v>0.24579999999999999</v>
      </c>
      <c r="K5787" s="34">
        <f t="shared" si="182"/>
        <v>4598.9179999999997</v>
      </c>
      <c r="L5787" s="34">
        <v>2.0299999999999998</v>
      </c>
      <c r="M5787" s="34">
        <v>38043</v>
      </c>
      <c r="N5787" s="34">
        <f t="shared" si="183"/>
        <v>8.2587469487388123</v>
      </c>
    </row>
    <row r="5788" spans="1:14" x14ac:dyDescent="0.45">
      <c r="A5788" s="30">
        <v>2025</v>
      </c>
      <c r="B5788" s="30" t="s">
        <v>14</v>
      </c>
      <c r="C5788" s="30" t="s">
        <v>46</v>
      </c>
      <c r="D5788" s="30" t="s">
        <v>47</v>
      </c>
      <c r="E5788" s="31" t="s">
        <v>99</v>
      </c>
      <c r="F5788" s="31" t="s">
        <v>49</v>
      </c>
      <c r="G5788" s="32" t="s">
        <v>50</v>
      </c>
      <c r="H5788" s="33">
        <v>51100</v>
      </c>
      <c r="I5788" s="34">
        <f>Table3[[#This Row],[Volume, kg.]]/1000</f>
        <v>51.1</v>
      </c>
      <c r="J5788" s="34">
        <v>0.21850000000000003</v>
      </c>
      <c r="K5788" s="34">
        <f t="shared" si="182"/>
        <v>11165.350000000002</v>
      </c>
      <c r="L5788" s="34">
        <v>1.92</v>
      </c>
      <c r="M5788" s="34">
        <v>98203</v>
      </c>
      <c r="N5788" s="34">
        <f t="shared" si="183"/>
        <v>8.7871853546910739</v>
      </c>
    </row>
    <row r="5789" spans="1:14" x14ac:dyDescent="0.45">
      <c r="A5789" s="30">
        <v>2025</v>
      </c>
      <c r="B5789" s="30" t="s">
        <v>14</v>
      </c>
      <c r="C5789" s="30" t="s">
        <v>46</v>
      </c>
      <c r="D5789" s="30" t="s">
        <v>47</v>
      </c>
      <c r="E5789" s="31" t="s">
        <v>226</v>
      </c>
      <c r="F5789" s="31" t="s">
        <v>60</v>
      </c>
      <c r="G5789" s="32" t="s">
        <v>50</v>
      </c>
      <c r="H5789" s="33">
        <v>68090</v>
      </c>
      <c r="I5789" s="34">
        <f>Table3[[#This Row],[Volume, kg.]]/1000</f>
        <v>68.09</v>
      </c>
      <c r="J5789" s="34">
        <v>0.2336</v>
      </c>
      <c r="K5789" s="34">
        <f t="shared" si="182"/>
        <v>15905.824000000001</v>
      </c>
      <c r="L5789" s="34">
        <v>1.99</v>
      </c>
      <c r="M5789" s="34">
        <v>135196.5</v>
      </c>
      <c r="N5789" s="34">
        <f t="shared" si="183"/>
        <v>8.5188356164383556</v>
      </c>
    </row>
    <row r="5790" spans="1:14" x14ac:dyDescent="0.45">
      <c r="A5790" s="30">
        <v>2025</v>
      </c>
      <c r="B5790" s="30" t="s">
        <v>14</v>
      </c>
      <c r="C5790" s="30" t="s">
        <v>46</v>
      </c>
      <c r="D5790" s="30" t="s">
        <v>47</v>
      </c>
      <c r="E5790" s="31" t="s">
        <v>182</v>
      </c>
      <c r="F5790" s="31" t="s">
        <v>81</v>
      </c>
      <c r="G5790" s="32" t="s">
        <v>50</v>
      </c>
      <c r="H5790" s="33">
        <v>86800</v>
      </c>
      <c r="I5790" s="34">
        <f>Table3[[#This Row],[Volume, kg.]]/1000</f>
        <v>86.8</v>
      </c>
      <c r="J5790" s="34">
        <v>0.20670000000000002</v>
      </c>
      <c r="K5790" s="34">
        <f t="shared" si="182"/>
        <v>17941.560000000001</v>
      </c>
      <c r="L5790" s="34">
        <v>1.84</v>
      </c>
      <c r="M5790" s="34">
        <v>159669.5</v>
      </c>
      <c r="N5790" s="34">
        <f t="shared" si="183"/>
        <v>8.9017900338655043</v>
      </c>
    </row>
    <row r="5791" spans="1:14" x14ac:dyDescent="0.45">
      <c r="A5791" s="30">
        <v>2025</v>
      </c>
      <c r="B5791" s="30" t="s">
        <v>14</v>
      </c>
      <c r="C5791" s="30" t="s">
        <v>46</v>
      </c>
      <c r="D5791" s="30" t="s">
        <v>47</v>
      </c>
      <c r="E5791" s="31" t="s">
        <v>82</v>
      </c>
      <c r="F5791" s="31" t="s">
        <v>57</v>
      </c>
      <c r="G5791" s="32" t="s">
        <v>50</v>
      </c>
      <c r="H5791" s="33">
        <v>22080</v>
      </c>
      <c r="I5791" s="34">
        <f>Table3[[#This Row],[Volume, kg.]]/1000</f>
        <v>22.08</v>
      </c>
      <c r="J5791" s="34">
        <v>0.21030000000000001</v>
      </c>
      <c r="K5791" s="34">
        <f t="shared" si="182"/>
        <v>4643.424</v>
      </c>
      <c r="L5791" s="34">
        <v>1.84</v>
      </c>
      <c r="M5791" s="34">
        <v>40551</v>
      </c>
      <c r="N5791" s="34">
        <f t="shared" si="183"/>
        <v>8.7494056110318592</v>
      </c>
    </row>
    <row r="5792" spans="1:14" x14ac:dyDescent="0.45">
      <c r="A5792" s="30">
        <v>2025</v>
      </c>
      <c r="B5792" s="30" t="s">
        <v>14</v>
      </c>
      <c r="C5792" s="30" t="s">
        <v>46</v>
      </c>
      <c r="D5792" s="30" t="s">
        <v>47</v>
      </c>
      <c r="E5792" s="31" t="s">
        <v>65</v>
      </c>
      <c r="F5792" s="31" t="s">
        <v>49</v>
      </c>
      <c r="G5792" s="32" t="s">
        <v>50</v>
      </c>
      <c r="H5792" s="33">
        <v>90090</v>
      </c>
      <c r="I5792" s="34">
        <f>Table3[[#This Row],[Volume, kg.]]/1000</f>
        <v>90.09</v>
      </c>
      <c r="J5792" s="34">
        <v>0.22089999999999999</v>
      </c>
      <c r="K5792" s="34">
        <f t="shared" si="182"/>
        <v>19900.880999999998</v>
      </c>
      <c r="L5792" s="34">
        <v>1.92</v>
      </c>
      <c r="M5792" s="34">
        <v>172797</v>
      </c>
      <c r="N5792" s="34">
        <f t="shared" si="183"/>
        <v>8.6917157084653685</v>
      </c>
    </row>
    <row r="5793" spans="1:14" x14ac:dyDescent="0.45">
      <c r="A5793" s="30">
        <v>2025</v>
      </c>
      <c r="B5793" s="30" t="s">
        <v>14</v>
      </c>
      <c r="C5793" s="30" t="s">
        <v>46</v>
      </c>
      <c r="D5793" s="30" t="s">
        <v>47</v>
      </c>
      <c r="E5793" s="31" t="s">
        <v>245</v>
      </c>
      <c r="F5793" s="31" t="s">
        <v>57</v>
      </c>
      <c r="G5793" s="32" t="s">
        <v>50</v>
      </c>
      <c r="H5793" s="33">
        <v>31800</v>
      </c>
      <c r="I5793" s="34">
        <f>Table3[[#This Row],[Volume, kg.]]/1000</f>
        <v>31.8</v>
      </c>
      <c r="J5793" s="34">
        <v>0.20879999999999999</v>
      </c>
      <c r="K5793" s="34">
        <f t="shared" si="182"/>
        <v>6639.8399999999992</v>
      </c>
      <c r="L5793" s="34">
        <v>1.84</v>
      </c>
      <c r="M5793" s="34">
        <v>58426</v>
      </c>
      <c r="N5793" s="34">
        <f t="shared" si="183"/>
        <v>8.812260536398469</v>
      </c>
    </row>
    <row r="5794" spans="1:14" x14ac:dyDescent="0.45">
      <c r="A5794" s="30">
        <v>2025</v>
      </c>
      <c r="B5794" s="30" t="s">
        <v>14</v>
      </c>
      <c r="C5794" s="30" t="s">
        <v>46</v>
      </c>
      <c r="D5794" s="30" t="s">
        <v>47</v>
      </c>
      <c r="E5794" s="31" t="s">
        <v>163</v>
      </c>
      <c r="F5794" s="31" t="s">
        <v>60</v>
      </c>
      <c r="G5794" s="32" t="s">
        <v>50</v>
      </c>
      <c r="H5794" s="33">
        <v>82870</v>
      </c>
      <c r="I5794" s="34">
        <f>Table3[[#This Row],[Volume, kg.]]/1000</f>
        <v>82.87</v>
      </c>
      <c r="J5794" s="34">
        <v>0.25030000000000002</v>
      </c>
      <c r="K5794" s="34">
        <f t="shared" si="182"/>
        <v>20742.361000000001</v>
      </c>
      <c r="L5794" s="34">
        <v>2.08</v>
      </c>
      <c r="M5794" s="34">
        <v>172572</v>
      </c>
      <c r="N5794" s="34">
        <f t="shared" si="183"/>
        <v>8.3100279664402716</v>
      </c>
    </row>
    <row r="5795" spans="1:14" x14ac:dyDescent="0.45">
      <c r="A5795" s="30">
        <v>2025</v>
      </c>
      <c r="B5795" s="30" t="s">
        <v>14</v>
      </c>
      <c r="C5795" s="30" t="s">
        <v>46</v>
      </c>
      <c r="D5795" s="30" t="s">
        <v>47</v>
      </c>
      <c r="E5795" s="31" t="s">
        <v>655</v>
      </c>
      <c r="F5795" s="31" t="s">
        <v>49</v>
      </c>
      <c r="G5795" s="32" t="s">
        <v>50</v>
      </c>
      <c r="H5795" s="33">
        <v>98960</v>
      </c>
      <c r="I5795" s="34">
        <f>Table3[[#This Row],[Volume, kg.]]/1000</f>
        <v>98.96</v>
      </c>
      <c r="J5795" s="34">
        <v>0.24079999999999999</v>
      </c>
      <c r="K5795" s="34">
        <f t="shared" si="182"/>
        <v>23829.567999999999</v>
      </c>
      <c r="L5795" s="34">
        <v>2.0099999999999998</v>
      </c>
      <c r="M5795" s="34">
        <v>199027</v>
      </c>
      <c r="N5795" s="34">
        <f t="shared" si="183"/>
        <v>8.3471760797342185</v>
      </c>
    </row>
    <row r="5796" spans="1:14" x14ac:dyDescent="0.45">
      <c r="A5796" s="30">
        <v>2025</v>
      </c>
      <c r="B5796" s="30" t="s">
        <v>14</v>
      </c>
      <c r="C5796" s="30" t="s">
        <v>46</v>
      </c>
      <c r="D5796" s="30" t="s">
        <v>47</v>
      </c>
      <c r="E5796" s="31" t="s">
        <v>170</v>
      </c>
      <c r="F5796" s="31" t="s">
        <v>49</v>
      </c>
      <c r="G5796" s="32" t="s">
        <v>50</v>
      </c>
      <c r="H5796" s="33">
        <v>46050</v>
      </c>
      <c r="I5796" s="34">
        <f>Table3[[#This Row],[Volume, kg.]]/1000</f>
        <v>46.05</v>
      </c>
      <c r="J5796" s="34">
        <v>0.23269999999999999</v>
      </c>
      <c r="K5796" s="34">
        <f t="shared" si="182"/>
        <v>10715.834999999999</v>
      </c>
      <c r="L5796" s="34">
        <v>1.96</v>
      </c>
      <c r="M5796" s="34">
        <v>90038.5</v>
      </c>
      <c r="N5796" s="34">
        <f t="shared" si="183"/>
        <v>8.4228620541469699</v>
      </c>
    </row>
    <row r="5797" spans="1:14" x14ac:dyDescent="0.45">
      <c r="A5797" s="30">
        <v>2025</v>
      </c>
      <c r="B5797" s="30" t="s">
        <v>14</v>
      </c>
      <c r="C5797" s="30" t="s">
        <v>46</v>
      </c>
      <c r="D5797" s="30" t="s">
        <v>47</v>
      </c>
      <c r="E5797" s="31" t="s">
        <v>320</v>
      </c>
      <c r="F5797" s="31" t="s">
        <v>49</v>
      </c>
      <c r="G5797" s="32" t="s">
        <v>50</v>
      </c>
      <c r="H5797" s="33">
        <v>53770</v>
      </c>
      <c r="I5797" s="34">
        <f>Table3[[#This Row],[Volume, kg.]]/1000</f>
        <v>53.77</v>
      </c>
      <c r="J5797" s="34">
        <v>0.23780000000000001</v>
      </c>
      <c r="K5797" s="34">
        <f t="shared" si="182"/>
        <v>12786.506000000001</v>
      </c>
      <c r="L5797" s="34">
        <v>2</v>
      </c>
      <c r="M5797" s="34">
        <v>107657.5</v>
      </c>
      <c r="N5797" s="34">
        <f t="shared" si="183"/>
        <v>8.4104289318755256</v>
      </c>
    </row>
    <row r="5798" spans="1:14" x14ac:dyDescent="0.45">
      <c r="A5798" s="30">
        <v>2025</v>
      </c>
      <c r="B5798" s="30" t="s">
        <v>14</v>
      </c>
      <c r="C5798" s="30" t="s">
        <v>46</v>
      </c>
      <c r="D5798" s="30" t="s">
        <v>47</v>
      </c>
      <c r="E5798" s="31" t="s">
        <v>301</v>
      </c>
      <c r="F5798" s="31" t="s">
        <v>60</v>
      </c>
      <c r="G5798" s="32" t="s">
        <v>50</v>
      </c>
      <c r="H5798" s="33">
        <v>6220</v>
      </c>
      <c r="I5798" s="34">
        <f>Table3[[#This Row],[Volume, kg.]]/1000</f>
        <v>6.22</v>
      </c>
      <c r="J5798" s="34">
        <v>0.23</v>
      </c>
      <c r="K5798" s="34">
        <f t="shared" si="182"/>
        <v>1430.6000000000001</v>
      </c>
      <c r="L5798" s="34">
        <v>2</v>
      </c>
      <c r="M5798" s="34">
        <v>12440</v>
      </c>
      <c r="N5798" s="34">
        <f t="shared" si="183"/>
        <v>8.695652173913043</v>
      </c>
    </row>
    <row r="5799" spans="1:14" x14ac:dyDescent="0.45">
      <c r="A5799" s="30">
        <v>2025</v>
      </c>
      <c r="B5799" s="30" t="s">
        <v>14</v>
      </c>
      <c r="C5799" s="30" t="s">
        <v>46</v>
      </c>
      <c r="D5799" s="30" t="s">
        <v>47</v>
      </c>
      <c r="E5799" s="31" t="s">
        <v>423</v>
      </c>
      <c r="F5799" s="31" t="s">
        <v>49</v>
      </c>
      <c r="G5799" s="32" t="s">
        <v>50</v>
      </c>
      <c r="H5799" s="33">
        <v>12000</v>
      </c>
      <c r="I5799" s="34">
        <f>Table3[[#This Row],[Volume, kg.]]/1000</f>
        <v>12</v>
      </c>
      <c r="J5799" s="34">
        <v>0.20749999999999999</v>
      </c>
      <c r="K5799" s="34">
        <f t="shared" si="182"/>
        <v>2490</v>
      </c>
      <c r="L5799" s="34">
        <v>1.85</v>
      </c>
      <c r="M5799" s="34">
        <v>22200</v>
      </c>
      <c r="N5799" s="34">
        <f t="shared" si="183"/>
        <v>8.9156626506024104</v>
      </c>
    </row>
    <row r="5800" spans="1:14" x14ac:dyDescent="0.45">
      <c r="A5800" s="30">
        <v>2025</v>
      </c>
      <c r="B5800" s="30" t="s">
        <v>14</v>
      </c>
      <c r="C5800" s="30" t="s">
        <v>46</v>
      </c>
      <c r="D5800" s="30" t="s">
        <v>47</v>
      </c>
      <c r="E5800" s="31" t="s">
        <v>174</v>
      </c>
      <c r="F5800" s="31" t="s">
        <v>57</v>
      </c>
      <c r="G5800" s="32" t="s">
        <v>50</v>
      </c>
      <c r="H5800" s="33">
        <v>9050</v>
      </c>
      <c r="I5800" s="34">
        <f>Table3[[#This Row],[Volume, kg.]]/1000</f>
        <v>9.0500000000000007</v>
      </c>
      <c r="J5800" s="34">
        <v>0.19969999999999999</v>
      </c>
      <c r="K5800" s="34">
        <f t="shared" si="182"/>
        <v>1807.2849999999999</v>
      </c>
      <c r="L5800" s="34">
        <v>1.82</v>
      </c>
      <c r="M5800" s="34">
        <v>16462.5</v>
      </c>
      <c r="N5800" s="34">
        <f t="shared" si="183"/>
        <v>9.1136705057586394</v>
      </c>
    </row>
    <row r="5801" spans="1:14" x14ac:dyDescent="0.45">
      <c r="A5801" s="30">
        <v>2025</v>
      </c>
      <c r="B5801" s="30" t="s">
        <v>14</v>
      </c>
      <c r="C5801" s="30" t="s">
        <v>46</v>
      </c>
      <c r="D5801" s="30" t="s">
        <v>47</v>
      </c>
      <c r="E5801" s="31" t="s">
        <v>51</v>
      </c>
      <c r="F5801" s="31" t="s">
        <v>49</v>
      </c>
      <c r="G5801" s="32" t="s">
        <v>50</v>
      </c>
      <c r="H5801" s="33">
        <v>52950</v>
      </c>
      <c r="I5801" s="34">
        <f>Table3[[#This Row],[Volume, kg.]]/1000</f>
        <v>52.95</v>
      </c>
      <c r="J5801" s="34">
        <v>0.23760000000000001</v>
      </c>
      <c r="K5801" s="34">
        <f t="shared" si="182"/>
        <v>12580.92</v>
      </c>
      <c r="L5801" s="34">
        <v>2</v>
      </c>
      <c r="M5801" s="34">
        <v>106138</v>
      </c>
      <c r="N5801" s="34">
        <f t="shared" si="183"/>
        <v>8.4175084175084169</v>
      </c>
    </row>
    <row r="5802" spans="1:14" x14ac:dyDescent="0.45">
      <c r="A5802" s="30">
        <v>2025</v>
      </c>
      <c r="B5802" s="30" t="s">
        <v>14</v>
      </c>
      <c r="C5802" s="30" t="s">
        <v>46</v>
      </c>
      <c r="D5802" s="30" t="s">
        <v>47</v>
      </c>
      <c r="E5802" s="31" t="s">
        <v>179</v>
      </c>
      <c r="F5802" s="31" t="s">
        <v>60</v>
      </c>
      <c r="G5802" s="32" t="s">
        <v>50</v>
      </c>
      <c r="H5802" s="33">
        <v>37830</v>
      </c>
      <c r="I5802" s="34">
        <f>Table3[[#This Row],[Volume, kg.]]/1000</f>
        <v>37.83</v>
      </c>
      <c r="J5802" s="34">
        <v>0.2394</v>
      </c>
      <c r="K5802" s="34">
        <f t="shared" si="182"/>
        <v>9056.5020000000004</v>
      </c>
      <c r="L5802" s="34">
        <v>2.0299999999999998</v>
      </c>
      <c r="M5802" s="34">
        <v>76685</v>
      </c>
      <c r="N5802" s="34">
        <f t="shared" si="183"/>
        <v>8.4795321637426895</v>
      </c>
    </row>
    <row r="5803" spans="1:14" x14ac:dyDescent="0.45">
      <c r="A5803" s="30">
        <v>2025</v>
      </c>
      <c r="B5803" s="30" t="s">
        <v>14</v>
      </c>
      <c r="C5803" s="30" t="s">
        <v>46</v>
      </c>
      <c r="D5803" s="30" t="s">
        <v>47</v>
      </c>
      <c r="E5803" s="31" t="s">
        <v>258</v>
      </c>
      <c r="F5803" s="31" t="s">
        <v>49</v>
      </c>
      <c r="G5803" s="32" t="s">
        <v>50</v>
      </c>
      <c r="H5803" s="33">
        <v>891540</v>
      </c>
      <c r="I5803" s="34">
        <f>Table3[[#This Row],[Volume, kg.]]/1000</f>
        <v>891.54</v>
      </c>
      <c r="J5803" s="34">
        <v>0.22510000000000002</v>
      </c>
      <c r="K5803" s="34">
        <f t="shared" si="182"/>
        <v>200685.65400000001</v>
      </c>
      <c r="L5803" s="34">
        <v>1.94</v>
      </c>
      <c r="M5803" s="34">
        <v>1729453.5</v>
      </c>
      <c r="N5803" s="34">
        <f t="shared" si="183"/>
        <v>8.6183918258551753</v>
      </c>
    </row>
    <row r="5804" spans="1:14" x14ac:dyDescent="0.45">
      <c r="A5804" s="30">
        <v>2025</v>
      </c>
      <c r="B5804" s="30" t="s">
        <v>14</v>
      </c>
      <c r="C5804" s="30" t="s">
        <v>46</v>
      </c>
      <c r="D5804" s="30" t="s">
        <v>47</v>
      </c>
      <c r="E5804" s="31" t="s">
        <v>375</v>
      </c>
      <c r="F5804" s="31" t="s">
        <v>49</v>
      </c>
      <c r="G5804" s="32" t="s">
        <v>50</v>
      </c>
      <c r="H5804" s="33">
        <v>11090</v>
      </c>
      <c r="I5804" s="34">
        <f>Table3[[#This Row],[Volume, kg.]]/1000</f>
        <v>11.09</v>
      </c>
      <c r="J5804" s="34">
        <v>0.218</v>
      </c>
      <c r="K5804" s="34">
        <f t="shared" si="182"/>
        <v>2417.62</v>
      </c>
      <c r="L5804" s="34">
        <v>1.9</v>
      </c>
      <c r="M5804" s="34">
        <v>21071</v>
      </c>
      <c r="N5804" s="34">
        <f t="shared" si="183"/>
        <v>8.7155963302752291</v>
      </c>
    </row>
    <row r="5805" spans="1:14" x14ac:dyDescent="0.45">
      <c r="A5805" s="30">
        <v>2025</v>
      </c>
      <c r="B5805" s="30" t="s">
        <v>14</v>
      </c>
      <c r="C5805" s="30" t="s">
        <v>46</v>
      </c>
      <c r="D5805" s="30" t="s">
        <v>47</v>
      </c>
      <c r="E5805" s="31" t="s">
        <v>363</v>
      </c>
      <c r="F5805" s="31" t="s">
        <v>60</v>
      </c>
      <c r="G5805" s="32" t="s">
        <v>50</v>
      </c>
      <c r="H5805" s="33">
        <v>60130</v>
      </c>
      <c r="I5805" s="34">
        <f>Table3[[#This Row],[Volume, kg.]]/1000</f>
        <v>60.13</v>
      </c>
      <c r="J5805" s="34">
        <v>0.23670000000000002</v>
      </c>
      <c r="K5805" s="34">
        <f t="shared" si="182"/>
        <v>14232.771000000001</v>
      </c>
      <c r="L5805" s="34">
        <v>1.99</v>
      </c>
      <c r="M5805" s="34">
        <v>119388.5</v>
      </c>
      <c r="N5805" s="34">
        <f t="shared" si="183"/>
        <v>8.4072665821715251</v>
      </c>
    </row>
    <row r="5806" spans="1:14" x14ac:dyDescent="0.45">
      <c r="A5806" s="30">
        <v>2025</v>
      </c>
      <c r="B5806" s="30" t="s">
        <v>14</v>
      </c>
      <c r="C5806" s="30" t="s">
        <v>46</v>
      </c>
      <c r="D5806" s="30" t="s">
        <v>47</v>
      </c>
      <c r="E5806" s="31" t="s">
        <v>166</v>
      </c>
      <c r="F5806" s="31" t="s">
        <v>49</v>
      </c>
      <c r="G5806" s="32" t="s">
        <v>50</v>
      </c>
      <c r="H5806" s="33">
        <v>209700</v>
      </c>
      <c r="I5806" s="34">
        <f>Table3[[#This Row],[Volume, kg.]]/1000</f>
        <v>209.7</v>
      </c>
      <c r="J5806" s="34">
        <v>0.23530000000000001</v>
      </c>
      <c r="K5806" s="34">
        <f t="shared" si="182"/>
        <v>49342.41</v>
      </c>
      <c r="L5806" s="34">
        <v>2</v>
      </c>
      <c r="M5806" s="34">
        <v>419252</v>
      </c>
      <c r="N5806" s="34">
        <f t="shared" si="183"/>
        <v>8.4997875053123675</v>
      </c>
    </row>
    <row r="5807" spans="1:14" x14ac:dyDescent="0.45">
      <c r="A5807" s="30">
        <v>2025</v>
      </c>
      <c r="B5807" s="30" t="s">
        <v>14</v>
      </c>
      <c r="C5807" s="30" t="s">
        <v>46</v>
      </c>
      <c r="D5807" s="30" t="s">
        <v>47</v>
      </c>
      <c r="E5807" s="31" t="s">
        <v>293</v>
      </c>
      <c r="F5807" s="31" t="s">
        <v>60</v>
      </c>
      <c r="G5807" s="32" t="s">
        <v>50</v>
      </c>
      <c r="H5807" s="33">
        <v>68480</v>
      </c>
      <c r="I5807" s="34">
        <f>Table3[[#This Row],[Volume, kg.]]/1000</f>
        <v>68.48</v>
      </c>
      <c r="J5807" s="34">
        <v>0.24960000000000002</v>
      </c>
      <c r="K5807" s="34">
        <f t="shared" si="182"/>
        <v>17092.608</v>
      </c>
      <c r="L5807" s="34">
        <v>2.06</v>
      </c>
      <c r="M5807" s="34">
        <v>140979.5</v>
      </c>
      <c r="N5807" s="34">
        <f t="shared" si="183"/>
        <v>8.2532051282051277</v>
      </c>
    </row>
    <row r="5808" spans="1:14" x14ac:dyDescent="0.45">
      <c r="A5808" s="30">
        <v>2025</v>
      </c>
      <c r="B5808" s="30" t="s">
        <v>14</v>
      </c>
      <c r="C5808" s="30" t="s">
        <v>46</v>
      </c>
      <c r="D5808" s="30" t="s">
        <v>47</v>
      </c>
      <c r="E5808" s="31" t="s">
        <v>242</v>
      </c>
      <c r="F5808" s="31" t="s">
        <v>60</v>
      </c>
      <c r="G5808" s="32" t="s">
        <v>50</v>
      </c>
      <c r="H5808" s="33">
        <v>6020</v>
      </c>
      <c r="I5808" s="34">
        <f>Table3[[#This Row],[Volume, kg.]]/1000</f>
        <v>6.02</v>
      </c>
      <c r="J5808" s="34">
        <v>0.21100000000000002</v>
      </c>
      <c r="K5808" s="34">
        <f t="shared" si="182"/>
        <v>1270.22</v>
      </c>
      <c r="L5808" s="34">
        <v>1.9</v>
      </c>
      <c r="M5808" s="34">
        <v>11438</v>
      </c>
      <c r="N5808" s="34">
        <f t="shared" si="183"/>
        <v>9.0047393364928894</v>
      </c>
    </row>
    <row r="5809" spans="1:14" x14ac:dyDescent="0.45">
      <c r="A5809" s="30">
        <v>2025</v>
      </c>
      <c r="B5809" s="30" t="s">
        <v>14</v>
      </c>
      <c r="C5809" s="30" t="s">
        <v>46</v>
      </c>
      <c r="D5809" s="30" t="s">
        <v>47</v>
      </c>
      <c r="E5809" s="31" t="s">
        <v>384</v>
      </c>
      <c r="F5809" s="31" t="s">
        <v>60</v>
      </c>
      <c r="G5809" s="32" t="s">
        <v>50</v>
      </c>
      <c r="H5809" s="33">
        <v>3570</v>
      </c>
      <c r="I5809" s="34">
        <f>Table3[[#This Row],[Volume, kg.]]/1000</f>
        <v>3.57</v>
      </c>
      <c r="J5809" s="34">
        <v>0.251</v>
      </c>
      <c r="K5809" s="34">
        <f t="shared" si="182"/>
        <v>896.07</v>
      </c>
      <c r="L5809" s="34">
        <v>2.1</v>
      </c>
      <c r="M5809" s="34">
        <v>7497</v>
      </c>
      <c r="N5809" s="34">
        <f t="shared" si="183"/>
        <v>8.3665338645418323</v>
      </c>
    </row>
    <row r="5810" spans="1:14" x14ac:dyDescent="0.45">
      <c r="A5810" s="30">
        <v>2025</v>
      </c>
      <c r="B5810" s="30" t="s">
        <v>14</v>
      </c>
      <c r="C5810" s="30" t="s">
        <v>46</v>
      </c>
      <c r="D5810" s="30" t="s">
        <v>47</v>
      </c>
      <c r="E5810" s="31" t="s">
        <v>244</v>
      </c>
      <c r="F5810" s="31" t="s">
        <v>60</v>
      </c>
      <c r="G5810" s="32" t="s">
        <v>50</v>
      </c>
      <c r="H5810" s="33">
        <v>56880</v>
      </c>
      <c r="I5810" s="34">
        <f>Table3[[#This Row],[Volume, kg.]]/1000</f>
        <v>56.88</v>
      </c>
      <c r="J5810" s="34">
        <v>0.2316</v>
      </c>
      <c r="K5810" s="34">
        <f t="shared" si="182"/>
        <v>13173.407999999999</v>
      </c>
      <c r="L5810" s="34">
        <v>1.98</v>
      </c>
      <c r="M5810" s="34">
        <v>112354</v>
      </c>
      <c r="N5810" s="34">
        <f t="shared" si="183"/>
        <v>8.5492227979274613</v>
      </c>
    </row>
    <row r="5811" spans="1:14" x14ac:dyDescent="0.45">
      <c r="A5811" s="30">
        <v>2025</v>
      </c>
      <c r="B5811" s="30" t="s">
        <v>14</v>
      </c>
      <c r="C5811" s="30" t="s">
        <v>46</v>
      </c>
      <c r="D5811" s="30" t="s">
        <v>47</v>
      </c>
      <c r="E5811" s="31" t="s">
        <v>256</v>
      </c>
      <c r="F5811" s="31" t="s">
        <v>81</v>
      </c>
      <c r="G5811" s="32" t="s">
        <v>50</v>
      </c>
      <c r="H5811" s="33">
        <v>83400</v>
      </c>
      <c r="I5811" s="34">
        <f>Table3[[#This Row],[Volume, kg.]]/1000</f>
        <v>83.4</v>
      </c>
      <c r="J5811" s="34">
        <v>0.22120000000000001</v>
      </c>
      <c r="K5811" s="34">
        <f t="shared" si="182"/>
        <v>18448.080000000002</v>
      </c>
      <c r="L5811" s="34">
        <v>1.9</v>
      </c>
      <c r="M5811" s="34">
        <v>158662</v>
      </c>
      <c r="N5811" s="34">
        <f t="shared" si="183"/>
        <v>8.5895117540687149</v>
      </c>
    </row>
    <row r="5812" spans="1:14" x14ac:dyDescent="0.45">
      <c r="A5812" s="30">
        <v>2025</v>
      </c>
      <c r="B5812" s="30" t="s">
        <v>14</v>
      </c>
      <c r="C5812" s="30" t="s">
        <v>46</v>
      </c>
      <c r="D5812" s="30" t="s">
        <v>47</v>
      </c>
      <c r="E5812" s="31" t="s">
        <v>212</v>
      </c>
      <c r="F5812" s="31" t="s">
        <v>60</v>
      </c>
      <c r="G5812" s="32" t="s">
        <v>50</v>
      </c>
      <c r="H5812" s="33">
        <v>23120</v>
      </c>
      <c r="I5812" s="34">
        <f>Table3[[#This Row],[Volume, kg.]]/1000</f>
        <v>23.12</v>
      </c>
      <c r="J5812" s="34">
        <v>0.26590000000000003</v>
      </c>
      <c r="K5812" s="34">
        <f t="shared" si="182"/>
        <v>6147.6080000000002</v>
      </c>
      <c r="L5812" s="34">
        <v>2.17</v>
      </c>
      <c r="M5812" s="34">
        <v>50086.5</v>
      </c>
      <c r="N5812" s="34">
        <f t="shared" si="183"/>
        <v>8.1609627679578782</v>
      </c>
    </row>
    <row r="5813" spans="1:14" x14ac:dyDescent="0.45">
      <c r="A5813" s="30">
        <v>2025</v>
      </c>
      <c r="B5813" s="30" t="s">
        <v>14</v>
      </c>
      <c r="C5813" s="30" t="s">
        <v>46</v>
      </c>
      <c r="D5813" s="30" t="s">
        <v>47</v>
      </c>
      <c r="E5813" s="31" t="s">
        <v>379</v>
      </c>
      <c r="F5813" s="31" t="s">
        <v>49</v>
      </c>
      <c r="G5813" s="32" t="s">
        <v>50</v>
      </c>
      <c r="H5813" s="33">
        <v>6040</v>
      </c>
      <c r="I5813" s="34">
        <f>Table3[[#This Row],[Volume, kg.]]/1000</f>
        <v>6.04</v>
      </c>
      <c r="J5813" s="34">
        <v>0.23929999999999998</v>
      </c>
      <c r="K5813" s="34">
        <f t="shared" si="182"/>
        <v>1445.3719999999998</v>
      </c>
      <c r="L5813" s="34">
        <v>2.04</v>
      </c>
      <c r="M5813" s="34">
        <v>12334</v>
      </c>
      <c r="N5813" s="34">
        <f t="shared" si="183"/>
        <v>8.5248641872127049</v>
      </c>
    </row>
    <row r="5814" spans="1:14" x14ac:dyDescent="0.45">
      <c r="A5814" s="30">
        <v>2025</v>
      </c>
      <c r="B5814" s="30" t="s">
        <v>14</v>
      </c>
      <c r="C5814" s="30" t="s">
        <v>46</v>
      </c>
      <c r="D5814" s="30" t="s">
        <v>47</v>
      </c>
      <c r="E5814" s="31" t="s">
        <v>164</v>
      </c>
      <c r="F5814" s="31" t="s">
        <v>49</v>
      </c>
      <c r="G5814" s="32" t="s">
        <v>50</v>
      </c>
      <c r="H5814" s="33">
        <v>57420</v>
      </c>
      <c r="I5814" s="34">
        <f>Table3[[#This Row],[Volume, kg.]]/1000</f>
        <v>57.42</v>
      </c>
      <c r="J5814" s="34">
        <v>0.25819999999999999</v>
      </c>
      <c r="K5814" s="34">
        <f t="shared" si="182"/>
        <v>14825.843999999999</v>
      </c>
      <c r="L5814" s="34">
        <v>2.09</v>
      </c>
      <c r="M5814" s="34">
        <v>119834</v>
      </c>
      <c r="N5814" s="34">
        <f t="shared" si="183"/>
        <v>8.0945003872966694</v>
      </c>
    </row>
    <row r="5815" spans="1:14" x14ac:dyDescent="0.45">
      <c r="A5815" s="30">
        <v>2025</v>
      </c>
      <c r="B5815" s="30" t="s">
        <v>14</v>
      </c>
      <c r="C5815" s="30" t="s">
        <v>46</v>
      </c>
      <c r="D5815" s="30" t="s">
        <v>47</v>
      </c>
      <c r="E5815" s="31" t="s">
        <v>534</v>
      </c>
      <c r="F5815" s="31" t="s">
        <v>49</v>
      </c>
      <c r="G5815" s="32" t="s">
        <v>50</v>
      </c>
      <c r="H5815" s="33">
        <v>50370</v>
      </c>
      <c r="I5815" s="34">
        <f>Table3[[#This Row],[Volume, kg.]]/1000</f>
        <v>50.37</v>
      </c>
      <c r="J5815" s="34">
        <v>0.2354</v>
      </c>
      <c r="K5815" s="34">
        <f t="shared" si="182"/>
        <v>11857.098</v>
      </c>
      <c r="L5815" s="34">
        <v>2</v>
      </c>
      <c r="M5815" s="34">
        <v>100963.5</v>
      </c>
      <c r="N5815" s="34">
        <f t="shared" si="183"/>
        <v>8.4961767204757859</v>
      </c>
    </row>
    <row r="5816" spans="1:14" x14ac:dyDescent="0.45">
      <c r="A5816" s="30">
        <v>2025</v>
      </c>
      <c r="B5816" s="30" t="s">
        <v>14</v>
      </c>
      <c r="C5816" s="30" t="s">
        <v>46</v>
      </c>
      <c r="D5816" s="30" t="s">
        <v>47</v>
      </c>
      <c r="E5816" s="31" t="s">
        <v>294</v>
      </c>
      <c r="F5816" s="31" t="s">
        <v>81</v>
      </c>
      <c r="G5816" s="32" t="s">
        <v>50</v>
      </c>
      <c r="H5816" s="33">
        <v>76910</v>
      </c>
      <c r="I5816" s="34">
        <f>Table3[[#This Row],[Volume, kg.]]/1000</f>
        <v>76.91</v>
      </c>
      <c r="J5816" s="34">
        <v>0.22769999999999999</v>
      </c>
      <c r="K5816" s="34">
        <f t="shared" si="182"/>
        <v>17512.406999999999</v>
      </c>
      <c r="L5816" s="34">
        <v>1.97</v>
      </c>
      <c r="M5816" s="34">
        <v>151233</v>
      </c>
      <c r="N5816" s="34">
        <f t="shared" si="183"/>
        <v>8.6517347386912604</v>
      </c>
    </row>
    <row r="5817" spans="1:14" x14ac:dyDescent="0.45">
      <c r="A5817" s="30">
        <v>2025</v>
      </c>
      <c r="B5817" s="30" t="s">
        <v>14</v>
      </c>
      <c r="C5817" s="30" t="s">
        <v>46</v>
      </c>
      <c r="D5817" s="30" t="s">
        <v>47</v>
      </c>
      <c r="E5817" s="31" t="s">
        <v>358</v>
      </c>
      <c r="F5817" s="31" t="s">
        <v>60</v>
      </c>
      <c r="G5817" s="32" t="s">
        <v>50</v>
      </c>
      <c r="H5817" s="33">
        <v>162020</v>
      </c>
      <c r="I5817" s="34">
        <f>Table3[[#This Row],[Volume, kg.]]/1000</f>
        <v>162.02000000000001</v>
      </c>
      <c r="J5817" s="34">
        <v>0.24429999999999999</v>
      </c>
      <c r="K5817" s="34">
        <f t="shared" si="182"/>
        <v>39581.485999999997</v>
      </c>
      <c r="L5817" s="34">
        <v>2.0499999999999998</v>
      </c>
      <c r="M5817" s="34">
        <v>332178.5</v>
      </c>
      <c r="N5817" s="34">
        <f t="shared" si="183"/>
        <v>8.3913221449038069</v>
      </c>
    </row>
    <row r="5818" spans="1:14" x14ac:dyDescent="0.45">
      <c r="A5818" s="30">
        <v>2025</v>
      </c>
      <c r="B5818" s="30" t="s">
        <v>14</v>
      </c>
      <c r="C5818" s="30" t="s">
        <v>46</v>
      </c>
      <c r="D5818" s="30" t="s">
        <v>47</v>
      </c>
      <c r="E5818" s="31" t="s">
        <v>464</v>
      </c>
      <c r="F5818" s="31" t="s">
        <v>57</v>
      </c>
      <c r="G5818" s="32" t="s">
        <v>50</v>
      </c>
      <c r="H5818" s="33">
        <v>141370</v>
      </c>
      <c r="I5818" s="34">
        <f>Table3[[#This Row],[Volume, kg.]]/1000</f>
        <v>141.37</v>
      </c>
      <c r="J5818" s="34">
        <v>0.23739999999999997</v>
      </c>
      <c r="K5818" s="34">
        <f t="shared" si="182"/>
        <v>33561.237999999998</v>
      </c>
      <c r="L5818" s="34">
        <v>2</v>
      </c>
      <c r="M5818" s="34">
        <v>282269.5</v>
      </c>
      <c r="N5818" s="34">
        <f t="shared" si="183"/>
        <v>8.4245998315080044</v>
      </c>
    </row>
    <row r="5819" spans="1:14" x14ac:dyDescent="0.45">
      <c r="A5819" s="30">
        <v>2025</v>
      </c>
      <c r="B5819" s="30" t="s">
        <v>14</v>
      </c>
      <c r="C5819" s="30" t="s">
        <v>46</v>
      </c>
      <c r="D5819" s="30" t="s">
        <v>47</v>
      </c>
      <c r="E5819" s="31" t="s">
        <v>260</v>
      </c>
      <c r="F5819" s="31" t="s">
        <v>49</v>
      </c>
      <c r="G5819" s="32" t="s">
        <v>50</v>
      </c>
      <c r="H5819" s="33">
        <v>64080</v>
      </c>
      <c r="I5819" s="34">
        <f>Table3[[#This Row],[Volume, kg.]]/1000</f>
        <v>64.08</v>
      </c>
      <c r="J5819" s="34">
        <v>0.2281</v>
      </c>
      <c r="K5819" s="34">
        <f t="shared" si="182"/>
        <v>14616.647999999999</v>
      </c>
      <c r="L5819" s="34">
        <v>1.96</v>
      </c>
      <c r="M5819" s="34">
        <v>125601</v>
      </c>
      <c r="N5819" s="34">
        <f t="shared" si="183"/>
        <v>8.5927224901359054</v>
      </c>
    </row>
    <row r="5820" spans="1:14" x14ac:dyDescent="0.45">
      <c r="A5820" s="30">
        <v>2025</v>
      </c>
      <c r="B5820" s="30" t="s">
        <v>14</v>
      </c>
      <c r="C5820" s="30" t="s">
        <v>46</v>
      </c>
      <c r="D5820" s="30" t="s">
        <v>47</v>
      </c>
      <c r="E5820" s="31" t="s">
        <v>689</v>
      </c>
      <c r="F5820" s="31" t="s">
        <v>49</v>
      </c>
      <c r="G5820" s="32" t="s">
        <v>50</v>
      </c>
      <c r="H5820" s="33">
        <v>19220</v>
      </c>
      <c r="I5820" s="34">
        <f>Table3[[#This Row],[Volume, kg.]]/1000</f>
        <v>19.22</v>
      </c>
      <c r="J5820" s="34">
        <v>0.20469999999999999</v>
      </c>
      <c r="K5820" s="34">
        <f t="shared" si="182"/>
        <v>3934.3339999999998</v>
      </c>
      <c r="L5820" s="34">
        <v>1.8</v>
      </c>
      <c r="M5820" s="34">
        <v>34513</v>
      </c>
      <c r="N5820" s="34">
        <f t="shared" si="183"/>
        <v>8.7933561309233035</v>
      </c>
    </row>
    <row r="5821" spans="1:14" x14ac:dyDescent="0.45">
      <c r="A5821" s="30">
        <v>2025</v>
      </c>
      <c r="B5821" s="30" t="s">
        <v>14</v>
      </c>
      <c r="C5821" s="30" t="s">
        <v>46</v>
      </c>
      <c r="D5821" s="30" t="s">
        <v>47</v>
      </c>
      <c r="E5821" s="31" t="s">
        <v>429</v>
      </c>
      <c r="F5821" s="31" t="s">
        <v>54</v>
      </c>
      <c r="G5821" s="32" t="s">
        <v>50</v>
      </c>
      <c r="H5821" s="33">
        <v>14840</v>
      </c>
      <c r="I5821" s="34">
        <f>Table3[[#This Row],[Volume, kg.]]/1000</f>
        <v>14.84</v>
      </c>
      <c r="J5821" s="34">
        <v>0.22889999999999999</v>
      </c>
      <c r="K5821" s="34">
        <f t="shared" si="182"/>
        <v>3396.8759999999997</v>
      </c>
      <c r="L5821" s="34">
        <v>1.98</v>
      </c>
      <c r="M5821" s="34">
        <v>29450</v>
      </c>
      <c r="N5821" s="34">
        <f t="shared" si="183"/>
        <v>8.6500655307994752</v>
      </c>
    </row>
    <row r="5822" spans="1:14" x14ac:dyDescent="0.45">
      <c r="A5822" s="30">
        <v>2025</v>
      </c>
      <c r="B5822" s="30" t="s">
        <v>14</v>
      </c>
      <c r="C5822" s="30" t="s">
        <v>46</v>
      </c>
      <c r="D5822" s="30" t="s">
        <v>47</v>
      </c>
      <c r="E5822" s="31" t="s">
        <v>187</v>
      </c>
      <c r="F5822" s="31" t="s">
        <v>54</v>
      </c>
      <c r="G5822" s="32" t="s">
        <v>50</v>
      </c>
      <c r="H5822" s="33">
        <v>128460</v>
      </c>
      <c r="I5822" s="34">
        <f>Table3[[#This Row],[Volume, kg.]]/1000</f>
        <v>128.46</v>
      </c>
      <c r="J5822" s="34">
        <v>0.2397</v>
      </c>
      <c r="K5822" s="34">
        <f t="shared" si="182"/>
        <v>30791.862000000001</v>
      </c>
      <c r="L5822" s="34">
        <v>1.99</v>
      </c>
      <c r="M5822" s="34">
        <v>255196.5</v>
      </c>
      <c r="N5822" s="34">
        <f t="shared" si="183"/>
        <v>8.3020442219440973</v>
      </c>
    </row>
    <row r="5823" spans="1:14" x14ac:dyDescent="0.45">
      <c r="A5823" s="30">
        <v>2025</v>
      </c>
      <c r="B5823" s="30" t="s">
        <v>14</v>
      </c>
      <c r="C5823" s="30" t="s">
        <v>46</v>
      </c>
      <c r="D5823" s="30" t="s">
        <v>47</v>
      </c>
      <c r="E5823" s="31" t="s">
        <v>191</v>
      </c>
      <c r="F5823" s="31" t="s">
        <v>49</v>
      </c>
      <c r="G5823" s="32" t="s">
        <v>50</v>
      </c>
      <c r="H5823" s="33">
        <v>31800</v>
      </c>
      <c r="I5823" s="34">
        <f>Table3[[#This Row],[Volume, kg.]]/1000</f>
        <v>31.8</v>
      </c>
      <c r="J5823" s="34">
        <v>0.24780000000000002</v>
      </c>
      <c r="K5823" s="34">
        <f t="shared" si="182"/>
        <v>7880.0400000000009</v>
      </c>
      <c r="L5823" s="34">
        <v>2.0499999999999998</v>
      </c>
      <c r="M5823" s="34">
        <v>65076.5</v>
      </c>
      <c r="N5823" s="34">
        <f t="shared" si="183"/>
        <v>8.2728006456820005</v>
      </c>
    </row>
    <row r="5824" spans="1:14" x14ac:dyDescent="0.45">
      <c r="A5824" s="30">
        <v>2025</v>
      </c>
      <c r="B5824" s="30" t="s">
        <v>14</v>
      </c>
      <c r="C5824" s="30" t="s">
        <v>46</v>
      </c>
      <c r="D5824" s="30" t="s">
        <v>47</v>
      </c>
      <c r="E5824" s="31" t="s">
        <v>291</v>
      </c>
      <c r="F5824" s="31" t="s">
        <v>57</v>
      </c>
      <c r="G5824" s="32" t="s">
        <v>50</v>
      </c>
      <c r="H5824" s="33">
        <v>149330</v>
      </c>
      <c r="I5824" s="34">
        <f>Table3[[#This Row],[Volume, kg.]]/1000</f>
        <v>149.33000000000001</v>
      </c>
      <c r="J5824" s="34">
        <v>0.2273</v>
      </c>
      <c r="K5824" s="34">
        <f t="shared" si="182"/>
        <v>33942.709000000003</v>
      </c>
      <c r="L5824" s="34">
        <v>1.96</v>
      </c>
      <c r="M5824" s="34">
        <v>292639.5</v>
      </c>
      <c r="N5824" s="34">
        <f t="shared" si="183"/>
        <v>8.6229652441706985</v>
      </c>
    </row>
    <row r="5825" spans="1:14" x14ac:dyDescent="0.45">
      <c r="A5825" s="30">
        <v>2025</v>
      </c>
      <c r="B5825" s="30" t="s">
        <v>14</v>
      </c>
      <c r="C5825" s="30" t="s">
        <v>46</v>
      </c>
      <c r="D5825" s="30" t="s">
        <v>47</v>
      </c>
      <c r="E5825" s="31" t="s">
        <v>352</v>
      </c>
      <c r="F5825" s="31" t="s">
        <v>54</v>
      </c>
      <c r="G5825" s="32" t="s">
        <v>50</v>
      </c>
      <c r="H5825" s="33">
        <v>223900</v>
      </c>
      <c r="I5825" s="34">
        <f>Table3[[#This Row],[Volume, kg.]]/1000</f>
        <v>223.9</v>
      </c>
      <c r="J5825" s="34">
        <v>0.2162</v>
      </c>
      <c r="K5825" s="34">
        <f t="shared" si="182"/>
        <v>48407.18</v>
      </c>
      <c r="L5825" s="34">
        <v>1.9</v>
      </c>
      <c r="M5825" s="34">
        <v>424638.5</v>
      </c>
      <c r="N5825" s="34">
        <f t="shared" si="183"/>
        <v>8.7881591119333944</v>
      </c>
    </row>
    <row r="5826" spans="1:14" x14ac:dyDescent="0.45">
      <c r="A5826" s="30">
        <v>2025</v>
      </c>
      <c r="B5826" s="30" t="s">
        <v>14</v>
      </c>
      <c r="C5826" s="30" t="s">
        <v>46</v>
      </c>
      <c r="D5826" s="30" t="s">
        <v>47</v>
      </c>
      <c r="E5826" s="31" t="s">
        <v>465</v>
      </c>
      <c r="F5826" s="31" t="s">
        <v>57</v>
      </c>
      <c r="G5826" s="32" t="s">
        <v>50</v>
      </c>
      <c r="H5826" s="33">
        <v>46350</v>
      </c>
      <c r="I5826" s="34">
        <f>Table3[[#This Row],[Volume, kg.]]/1000</f>
        <v>46.35</v>
      </c>
      <c r="J5826" s="34">
        <v>0.23559999999999998</v>
      </c>
      <c r="K5826" s="34">
        <f t="shared" si="182"/>
        <v>10920.06</v>
      </c>
      <c r="L5826" s="34">
        <v>2.0299999999999998</v>
      </c>
      <c r="M5826" s="34">
        <v>94264</v>
      </c>
      <c r="N5826" s="34">
        <f t="shared" si="183"/>
        <v>8.6162988115449917</v>
      </c>
    </row>
    <row r="5827" spans="1:14" x14ac:dyDescent="0.45">
      <c r="A5827" s="30">
        <v>2025</v>
      </c>
      <c r="B5827" s="30" t="s">
        <v>14</v>
      </c>
      <c r="C5827" s="30" t="s">
        <v>46</v>
      </c>
      <c r="D5827" s="30" t="s">
        <v>47</v>
      </c>
      <c r="E5827" s="31" t="s">
        <v>110</v>
      </c>
      <c r="F5827" s="31" t="s">
        <v>57</v>
      </c>
      <c r="G5827" s="32" t="s">
        <v>50</v>
      </c>
      <c r="H5827" s="33">
        <v>13890</v>
      </c>
      <c r="I5827" s="34">
        <f>Table3[[#This Row],[Volume, kg.]]/1000</f>
        <v>13.89</v>
      </c>
      <c r="J5827" s="34">
        <v>0.22600000000000001</v>
      </c>
      <c r="K5827" s="34">
        <f t="shared" si="182"/>
        <v>3139.14</v>
      </c>
      <c r="L5827" s="34">
        <v>1.95</v>
      </c>
      <c r="M5827" s="34">
        <v>27040</v>
      </c>
      <c r="N5827" s="34">
        <f t="shared" si="183"/>
        <v>8.6283185840707954</v>
      </c>
    </row>
    <row r="5828" spans="1:14" x14ac:dyDescent="0.45">
      <c r="A5828" s="30">
        <v>2025</v>
      </c>
      <c r="B5828" s="30" t="s">
        <v>14</v>
      </c>
      <c r="C5828" s="30" t="s">
        <v>46</v>
      </c>
      <c r="D5828" s="30" t="s">
        <v>47</v>
      </c>
      <c r="E5828" s="31" t="s">
        <v>385</v>
      </c>
      <c r="F5828" s="31" t="s">
        <v>57</v>
      </c>
      <c r="G5828" s="32" t="s">
        <v>50</v>
      </c>
      <c r="H5828" s="33">
        <v>57670</v>
      </c>
      <c r="I5828" s="34">
        <f>Table3[[#This Row],[Volume, kg.]]/1000</f>
        <v>57.67</v>
      </c>
      <c r="J5828" s="34">
        <v>0.23170000000000002</v>
      </c>
      <c r="K5828" s="34">
        <f t="shared" si="182"/>
        <v>13362.139000000001</v>
      </c>
      <c r="L5828" s="34">
        <v>1.98</v>
      </c>
      <c r="M5828" s="34">
        <v>114103.5</v>
      </c>
      <c r="N5828" s="34">
        <f t="shared" si="183"/>
        <v>8.5455330168321098</v>
      </c>
    </row>
    <row r="5829" spans="1:14" x14ac:dyDescent="0.45">
      <c r="A5829" s="30">
        <v>2025</v>
      </c>
      <c r="B5829" s="30" t="s">
        <v>14</v>
      </c>
      <c r="C5829" s="30" t="s">
        <v>46</v>
      </c>
      <c r="D5829" s="30" t="s">
        <v>47</v>
      </c>
      <c r="E5829" s="31" t="s">
        <v>142</v>
      </c>
      <c r="F5829" s="31" t="s">
        <v>57</v>
      </c>
      <c r="G5829" s="32" t="s">
        <v>50</v>
      </c>
      <c r="H5829" s="33">
        <v>36360</v>
      </c>
      <c r="I5829" s="34">
        <f>Table3[[#This Row],[Volume, kg.]]/1000</f>
        <v>36.36</v>
      </c>
      <c r="J5829" s="34">
        <v>0.25540000000000002</v>
      </c>
      <c r="K5829" s="34">
        <f t="shared" si="182"/>
        <v>9286.344000000001</v>
      </c>
      <c r="L5829" s="34">
        <v>2.1</v>
      </c>
      <c r="M5829" s="34">
        <v>76240.5</v>
      </c>
      <c r="N5829" s="34">
        <f t="shared" si="183"/>
        <v>8.2223962411902889</v>
      </c>
    </row>
    <row r="5830" spans="1:14" x14ac:dyDescent="0.45">
      <c r="A5830" s="30">
        <v>2025</v>
      </c>
      <c r="B5830" s="30" t="s">
        <v>14</v>
      </c>
      <c r="C5830" s="30" t="s">
        <v>46</v>
      </c>
      <c r="D5830" s="30" t="s">
        <v>47</v>
      </c>
      <c r="E5830" s="31" t="s">
        <v>160</v>
      </c>
      <c r="F5830" s="31" t="s">
        <v>49</v>
      </c>
      <c r="G5830" s="32" t="s">
        <v>50</v>
      </c>
      <c r="H5830" s="33">
        <v>82160</v>
      </c>
      <c r="I5830" s="34">
        <f>Table3[[#This Row],[Volume, kg.]]/1000</f>
        <v>82.16</v>
      </c>
      <c r="J5830" s="34">
        <v>0.26140000000000002</v>
      </c>
      <c r="K5830" s="34">
        <f t="shared" si="182"/>
        <v>21476.624000000003</v>
      </c>
      <c r="L5830" s="34">
        <v>2.13</v>
      </c>
      <c r="M5830" s="34">
        <v>175357</v>
      </c>
      <c r="N5830" s="34">
        <f t="shared" si="183"/>
        <v>8.1484315225707711</v>
      </c>
    </row>
    <row r="5831" spans="1:14" x14ac:dyDescent="0.45">
      <c r="A5831" s="30">
        <v>2025</v>
      </c>
      <c r="B5831" s="30" t="s">
        <v>14</v>
      </c>
      <c r="C5831" s="30" t="s">
        <v>46</v>
      </c>
      <c r="D5831" s="30" t="s">
        <v>47</v>
      </c>
      <c r="E5831" s="31" t="s">
        <v>86</v>
      </c>
      <c r="F5831" s="31" t="s">
        <v>49</v>
      </c>
      <c r="G5831" s="32" t="s">
        <v>50</v>
      </c>
      <c r="H5831" s="33">
        <v>57030</v>
      </c>
      <c r="I5831" s="34">
        <f>Table3[[#This Row],[Volume, kg.]]/1000</f>
        <v>57.03</v>
      </c>
      <c r="J5831" s="34">
        <v>0.22239999999999999</v>
      </c>
      <c r="K5831" s="34">
        <f t="shared" si="182"/>
        <v>12683.472</v>
      </c>
      <c r="L5831" s="34">
        <v>1.97</v>
      </c>
      <c r="M5831" s="34">
        <v>112111.5</v>
      </c>
      <c r="N5831" s="34">
        <f t="shared" si="183"/>
        <v>8.8579136690647484</v>
      </c>
    </row>
    <row r="5832" spans="1:14" x14ac:dyDescent="0.45">
      <c r="A5832" s="30">
        <v>2025</v>
      </c>
      <c r="B5832" s="30" t="s">
        <v>14</v>
      </c>
      <c r="C5832" s="30" t="s">
        <v>46</v>
      </c>
      <c r="D5832" s="30" t="s">
        <v>47</v>
      </c>
      <c r="E5832" s="31" t="s">
        <v>79</v>
      </c>
      <c r="F5832" s="31" t="s">
        <v>49</v>
      </c>
      <c r="G5832" s="32" t="s">
        <v>50</v>
      </c>
      <c r="H5832" s="33">
        <v>16860</v>
      </c>
      <c r="I5832" s="34">
        <f>Table3[[#This Row],[Volume, kg.]]/1000</f>
        <v>16.86</v>
      </c>
      <c r="J5832" s="34">
        <v>0.2084</v>
      </c>
      <c r="K5832" s="34">
        <f t="shared" ref="K5832:K5895" si="184">H5832*J5832</f>
        <v>3513.6240000000003</v>
      </c>
      <c r="L5832" s="34">
        <v>1.83</v>
      </c>
      <c r="M5832" s="34">
        <v>30825</v>
      </c>
      <c r="N5832" s="34">
        <f t="shared" ref="N5832:N5895" si="185">L5832/J5832</f>
        <v>8.7811900191938577</v>
      </c>
    </row>
    <row r="5833" spans="1:14" x14ac:dyDescent="0.45">
      <c r="A5833" s="30">
        <v>2025</v>
      </c>
      <c r="B5833" s="30" t="s">
        <v>14</v>
      </c>
      <c r="C5833" s="30" t="s">
        <v>46</v>
      </c>
      <c r="D5833" s="30" t="s">
        <v>47</v>
      </c>
      <c r="E5833" s="31" t="s">
        <v>523</v>
      </c>
      <c r="F5833" s="31" t="s">
        <v>49</v>
      </c>
      <c r="G5833" s="32" t="s">
        <v>50</v>
      </c>
      <c r="H5833" s="33">
        <v>37710</v>
      </c>
      <c r="I5833" s="34">
        <f>Table3[[#This Row],[Volume, kg.]]/1000</f>
        <v>37.71</v>
      </c>
      <c r="J5833" s="34">
        <v>0.2278</v>
      </c>
      <c r="K5833" s="34">
        <f t="shared" si="184"/>
        <v>8590.3379999999997</v>
      </c>
      <c r="L5833" s="34">
        <v>1.96</v>
      </c>
      <c r="M5833" s="34">
        <v>73812.5</v>
      </c>
      <c r="N5833" s="34">
        <f t="shared" si="185"/>
        <v>8.6040386303775236</v>
      </c>
    </row>
    <row r="5834" spans="1:14" x14ac:dyDescent="0.45">
      <c r="A5834" s="30">
        <v>2025</v>
      </c>
      <c r="B5834" s="30" t="s">
        <v>14</v>
      </c>
      <c r="C5834" s="30" t="s">
        <v>46</v>
      </c>
      <c r="D5834" s="30" t="s">
        <v>47</v>
      </c>
      <c r="E5834" s="31" t="s">
        <v>451</v>
      </c>
      <c r="F5834" s="31" t="s">
        <v>54</v>
      </c>
      <c r="G5834" s="32" t="s">
        <v>50</v>
      </c>
      <c r="H5834" s="33">
        <v>147420</v>
      </c>
      <c r="I5834" s="34">
        <f>Table3[[#This Row],[Volume, kg.]]/1000</f>
        <v>147.41999999999999</v>
      </c>
      <c r="J5834" s="34">
        <v>0.23190000000000002</v>
      </c>
      <c r="K5834" s="34">
        <f t="shared" si="184"/>
        <v>34186.698000000004</v>
      </c>
      <c r="L5834" s="34">
        <v>1.98</v>
      </c>
      <c r="M5834" s="34">
        <v>291792.5</v>
      </c>
      <c r="N5834" s="34">
        <f t="shared" si="185"/>
        <v>8.5381630012936593</v>
      </c>
    </row>
    <row r="5835" spans="1:14" x14ac:dyDescent="0.45">
      <c r="A5835" s="30">
        <v>2025</v>
      </c>
      <c r="B5835" s="30" t="s">
        <v>14</v>
      </c>
      <c r="C5835" s="30" t="s">
        <v>46</v>
      </c>
      <c r="D5835" s="30" t="s">
        <v>47</v>
      </c>
      <c r="E5835" s="31" t="s">
        <v>431</v>
      </c>
      <c r="F5835" s="31" t="s">
        <v>49</v>
      </c>
      <c r="G5835" s="32" t="s">
        <v>50</v>
      </c>
      <c r="H5835" s="33">
        <v>26430</v>
      </c>
      <c r="I5835" s="34">
        <f>Table3[[#This Row],[Volume, kg.]]/1000</f>
        <v>26.43</v>
      </c>
      <c r="J5835" s="34">
        <v>0.23850000000000002</v>
      </c>
      <c r="K5835" s="34">
        <f t="shared" si="184"/>
        <v>6303.5550000000003</v>
      </c>
      <c r="L5835" s="34">
        <v>2.02</v>
      </c>
      <c r="M5835" s="34">
        <v>53346.5</v>
      </c>
      <c r="N5835" s="34">
        <f t="shared" si="185"/>
        <v>8.4696016771488463</v>
      </c>
    </row>
    <row r="5836" spans="1:14" x14ac:dyDescent="0.45">
      <c r="A5836" s="30">
        <v>2025</v>
      </c>
      <c r="B5836" s="30" t="s">
        <v>14</v>
      </c>
      <c r="C5836" s="30" t="s">
        <v>46</v>
      </c>
      <c r="D5836" s="30" t="s">
        <v>47</v>
      </c>
      <c r="E5836" s="31" t="s">
        <v>167</v>
      </c>
      <c r="F5836" s="31" t="s">
        <v>49</v>
      </c>
      <c r="G5836" s="32" t="s">
        <v>50</v>
      </c>
      <c r="H5836" s="33">
        <v>225600</v>
      </c>
      <c r="I5836" s="34">
        <f>Table3[[#This Row],[Volume, kg.]]/1000</f>
        <v>225.6</v>
      </c>
      <c r="J5836" s="34">
        <v>0.21590000000000001</v>
      </c>
      <c r="K5836" s="34">
        <f t="shared" si="184"/>
        <v>48707.040000000001</v>
      </c>
      <c r="L5836" s="34">
        <v>1.89</v>
      </c>
      <c r="M5836" s="34">
        <v>427494.5</v>
      </c>
      <c r="N5836" s="34">
        <f t="shared" si="185"/>
        <v>8.7540528022232511</v>
      </c>
    </row>
    <row r="5837" spans="1:14" x14ac:dyDescent="0.45">
      <c r="A5837" s="30">
        <v>2025</v>
      </c>
      <c r="B5837" s="30" t="s">
        <v>14</v>
      </c>
      <c r="C5837" s="30" t="s">
        <v>46</v>
      </c>
      <c r="D5837" s="30" t="s">
        <v>47</v>
      </c>
      <c r="E5837" s="31" t="s">
        <v>329</v>
      </c>
      <c r="F5837" s="31" t="s">
        <v>49</v>
      </c>
      <c r="G5837" s="32" t="s">
        <v>50</v>
      </c>
      <c r="H5837" s="33">
        <v>70880</v>
      </c>
      <c r="I5837" s="34">
        <f>Table3[[#This Row],[Volume, kg.]]/1000</f>
        <v>70.88</v>
      </c>
      <c r="J5837" s="34">
        <v>0.23809999999999998</v>
      </c>
      <c r="K5837" s="34">
        <f t="shared" si="184"/>
        <v>16876.527999999998</v>
      </c>
      <c r="L5837" s="34">
        <v>2.0299999999999998</v>
      </c>
      <c r="M5837" s="34">
        <v>144035.5</v>
      </c>
      <c r="N5837" s="34">
        <f t="shared" si="185"/>
        <v>8.5258294834103321</v>
      </c>
    </row>
    <row r="5838" spans="1:14" x14ac:dyDescent="0.45">
      <c r="A5838" s="30">
        <v>2025</v>
      </c>
      <c r="B5838" s="30" t="s">
        <v>14</v>
      </c>
      <c r="C5838" s="30" t="s">
        <v>46</v>
      </c>
      <c r="D5838" s="30" t="s">
        <v>47</v>
      </c>
      <c r="E5838" s="31" t="s">
        <v>190</v>
      </c>
      <c r="F5838" s="31" t="s">
        <v>81</v>
      </c>
      <c r="G5838" s="32" t="s">
        <v>50</v>
      </c>
      <c r="H5838" s="33">
        <v>12850</v>
      </c>
      <c r="I5838" s="34">
        <f>Table3[[#This Row],[Volume, kg.]]/1000</f>
        <v>12.85</v>
      </c>
      <c r="J5838" s="34">
        <v>0.27100000000000002</v>
      </c>
      <c r="K5838" s="34">
        <f t="shared" si="184"/>
        <v>3482.3500000000004</v>
      </c>
      <c r="L5838" s="34">
        <v>2.1</v>
      </c>
      <c r="M5838" s="34">
        <v>26985</v>
      </c>
      <c r="N5838" s="34">
        <f t="shared" si="185"/>
        <v>7.7490774907749076</v>
      </c>
    </row>
    <row r="5839" spans="1:14" x14ac:dyDescent="0.45">
      <c r="A5839" s="30">
        <v>2025</v>
      </c>
      <c r="B5839" s="30" t="s">
        <v>14</v>
      </c>
      <c r="C5839" s="30" t="s">
        <v>46</v>
      </c>
      <c r="D5839" s="30" t="s">
        <v>47</v>
      </c>
      <c r="E5839" s="31" t="s">
        <v>77</v>
      </c>
      <c r="F5839" s="31" t="s">
        <v>49</v>
      </c>
      <c r="G5839" s="32" t="s">
        <v>50</v>
      </c>
      <c r="H5839" s="33">
        <v>23950</v>
      </c>
      <c r="I5839" s="34">
        <f>Table3[[#This Row],[Volume, kg.]]/1000</f>
        <v>23.95</v>
      </c>
      <c r="J5839" s="34">
        <v>0.24429999999999999</v>
      </c>
      <c r="K5839" s="34">
        <f t="shared" si="184"/>
        <v>5850.9849999999997</v>
      </c>
      <c r="L5839" s="34">
        <v>2.0299999999999998</v>
      </c>
      <c r="M5839" s="34">
        <v>48616</v>
      </c>
      <c r="N5839" s="34">
        <f t="shared" si="185"/>
        <v>8.3094555873925504</v>
      </c>
    </row>
    <row r="5840" spans="1:14" x14ac:dyDescent="0.45">
      <c r="A5840" s="30">
        <v>2025</v>
      </c>
      <c r="B5840" s="30" t="s">
        <v>14</v>
      </c>
      <c r="C5840" s="30" t="s">
        <v>46</v>
      </c>
      <c r="D5840" s="30" t="s">
        <v>47</v>
      </c>
      <c r="E5840" s="31" t="s">
        <v>132</v>
      </c>
      <c r="F5840" s="31" t="s">
        <v>49</v>
      </c>
      <c r="G5840" s="32" t="s">
        <v>50</v>
      </c>
      <c r="H5840" s="33">
        <v>8880</v>
      </c>
      <c r="I5840" s="34">
        <f>Table3[[#This Row],[Volume, kg.]]/1000</f>
        <v>8.8800000000000008</v>
      </c>
      <c r="J5840" s="34">
        <v>0.252</v>
      </c>
      <c r="K5840" s="34">
        <f t="shared" si="184"/>
        <v>2237.7600000000002</v>
      </c>
      <c r="L5840" s="34">
        <v>2.0499999999999998</v>
      </c>
      <c r="M5840" s="34">
        <v>18204</v>
      </c>
      <c r="N5840" s="34">
        <f t="shared" si="185"/>
        <v>8.1349206349206344</v>
      </c>
    </row>
    <row r="5841" spans="1:14" x14ac:dyDescent="0.45">
      <c r="A5841" s="30">
        <v>2025</v>
      </c>
      <c r="B5841" s="30" t="s">
        <v>14</v>
      </c>
      <c r="C5841" s="30" t="s">
        <v>46</v>
      </c>
      <c r="D5841" s="30" t="s">
        <v>47</v>
      </c>
      <c r="E5841" s="31" t="s">
        <v>466</v>
      </c>
      <c r="F5841" s="31" t="s">
        <v>57</v>
      </c>
      <c r="G5841" s="32" t="s">
        <v>50</v>
      </c>
      <c r="H5841" s="33">
        <v>42010</v>
      </c>
      <c r="I5841" s="34">
        <f>Table3[[#This Row],[Volume, kg.]]/1000</f>
        <v>42.01</v>
      </c>
      <c r="J5841" s="34">
        <v>0.2243</v>
      </c>
      <c r="K5841" s="34">
        <f t="shared" si="184"/>
        <v>9422.8430000000008</v>
      </c>
      <c r="L5841" s="34">
        <v>1.94</v>
      </c>
      <c r="M5841" s="34">
        <v>81394</v>
      </c>
      <c r="N5841" s="34">
        <f t="shared" si="185"/>
        <v>8.6491306286223804</v>
      </c>
    </row>
    <row r="5842" spans="1:14" x14ac:dyDescent="0.45">
      <c r="A5842" s="30">
        <v>2025</v>
      </c>
      <c r="B5842" s="30" t="s">
        <v>14</v>
      </c>
      <c r="C5842" s="30" t="s">
        <v>46</v>
      </c>
      <c r="D5842" s="30" t="s">
        <v>47</v>
      </c>
      <c r="E5842" s="31" t="s">
        <v>241</v>
      </c>
      <c r="F5842" s="31" t="s">
        <v>57</v>
      </c>
      <c r="G5842" s="32" t="s">
        <v>50</v>
      </c>
      <c r="H5842" s="33">
        <v>71920</v>
      </c>
      <c r="I5842" s="34">
        <f>Table3[[#This Row],[Volume, kg.]]/1000</f>
        <v>71.92</v>
      </c>
      <c r="J5842" s="34">
        <v>0.22309999999999999</v>
      </c>
      <c r="K5842" s="34">
        <f t="shared" si="184"/>
        <v>16045.351999999999</v>
      </c>
      <c r="L5842" s="34">
        <v>1.91</v>
      </c>
      <c r="M5842" s="34">
        <v>137558.5</v>
      </c>
      <c r="N5842" s="34">
        <f t="shared" si="185"/>
        <v>8.5611833258628423</v>
      </c>
    </row>
    <row r="5843" spans="1:14" x14ac:dyDescent="0.45">
      <c r="A5843" s="30">
        <v>2025</v>
      </c>
      <c r="B5843" s="30" t="s">
        <v>14</v>
      </c>
      <c r="C5843" s="30" t="s">
        <v>46</v>
      </c>
      <c r="D5843" s="30" t="s">
        <v>47</v>
      </c>
      <c r="E5843" s="31" t="s">
        <v>263</v>
      </c>
      <c r="F5843" s="31" t="s">
        <v>81</v>
      </c>
      <c r="G5843" s="32" t="s">
        <v>50</v>
      </c>
      <c r="H5843" s="33">
        <v>134930</v>
      </c>
      <c r="I5843" s="34">
        <f>Table3[[#This Row],[Volume, kg.]]/1000</f>
        <v>134.93</v>
      </c>
      <c r="J5843" s="34">
        <v>0.2175</v>
      </c>
      <c r="K5843" s="34">
        <f t="shared" si="184"/>
        <v>29347.275000000001</v>
      </c>
      <c r="L5843" s="34">
        <v>1.9</v>
      </c>
      <c r="M5843" s="34">
        <v>256516.5</v>
      </c>
      <c r="N5843" s="34">
        <f t="shared" si="185"/>
        <v>8.7356321839080451</v>
      </c>
    </row>
    <row r="5844" spans="1:14" x14ac:dyDescent="0.45">
      <c r="A5844" s="30">
        <v>2025</v>
      </c>
      <c r="B5844" s="30" t="s">
        <v>14</v>
      </c>
      <c r="C5844" s="30" t="s">
        <v>46</v>
      </c>
      <c r="D5844" s="30" t="s">
        <v>47</v>
      </c>
      <c r="E5844" s="31" t="s">
        <v>333</v>
      </c>
      <c r="F5844" s="31" t="s">
        <v>57</v>
      </c>
      <c r="G5844" s="32" t="s">
        <v>50</v>
      </c>
      <c r="H5844" s="33">
        <v>109750</v>
      </c>
      <c r="I5844" s="34">
        <f>Table3[[#This Row],[Volume, kg.]]/1000</f>
        <v>109.75</v>
      </c>
      <c r="J5844" s="34">
        <v>0.2361</v>
      </c>
      <c r="K5844" s="34">
        <f t="shared" si="184"/>
        <v>25911.975000000002</v>
      </c>
      <c r="L5844" s="34">
        <v>2.0099999999999998</v>
      </c>
      <c r="M5844" s="34">
        <v>220125.5</v>
      </c>
      <c r="N5844" s="34">
        <f t="shared" si="185"/>
        <v>8.513341804320202</v>
      </c>
    </row>
    <row r="5845" spans="1:14" x14ac:dyDescent="0.45">
      <c r="A5845" s="30">
        <v>2025</v>
      </c>
      <c r="B5845" s="30" t="s">
        <v>14</v>
      </c>
      <c r="C5845" s="30" t="s">
        <v>46</v>
      </c>
      <c r="D5845" s="30" t="s">
        <v>47</v>
      </c>
      <c r="E5845" s="31" t="s">
        <v>308</v>
      </c>
      <c r="F5845" s="31" t="s">
        <v>81</v>
      </c>
      <c r="G5845" s="32" t="s">
        <v>50</v>
      </c>
      <c r="H5845" s="33">
        <v>54990</v>
      </c>
      <c r="I5845" s="34">
        <f>Table3[[#This Row],[Volume, kg.]]/1000</f>
        <v>54.99</v>
      </c>
      <c r="J5845" s="34">
        <v>0.23170000000000002</v>
      </c>
      <c r="K5845" s="34">
        <f t="shared" si="184"/>
        <v>12741.183000000001</v>
      </c>
      <c r="L5845" s="34">
        <v>1.97</v>
      </c>
      <c r="M5845" s="34">
        <v>108301</v>
      </c>
      <c r="N5845" s="34">
        <f t="shared" si="185"/>
        <v>8.5023737591713413</v>
      </c>
    </row>
    <row r="5846" spans="1:14" x14ac:dyDescent="0.45">
      <c r="A5846" s="30">
        <v>2025</v>
      </c>
      <c r="B5846" s="30" t="s">
        <v>14</v>
      </c>
      <c r="C5846" s="30" t="s">
        <v>46</v>
      </c>
      <c r="D5846" s="30" t="s">
        <v>47</v>
      </c>
      <c r="E5846" s="31" t="s">
        <v>230</v>
      </c>
      <c r="F5846" s="31" t="s">
        <v>49</v>
      </c>
      <c r="G5846" s="32" t="s">
        <v>50</v>
      </c>
      <c r="H5846" s="33">
        <v>7550</v>
      </c>
      <c r="I5846" s="34">
        <f>Table3[[#This Row],[Volume, kg.]]/1000</f>
        <v>7.55</v>
      </c>
      <c r="J5846" s="34">
        <v>0.185</v>
      </c>
      <c r="K5846" s="34">
        <f t="shared" si="184"/>
        <v>1396.75</v>
      </c>
      <c r="L5846" s="34">
        <v>1.8</v>
      </c>
      <c r="M5846" s="34">
        <v>13590</v>
      </c>
      <c r="N5846" s="34">
        <f t="shared" si="185"/>
        <v>9.7297297297297298</v>
      </c>
    </row>
    <row r="5847" spans="1:14" x14ac:dyDescent="0.45">
      <c r="A5847" s="30">
        <v>2025</v>
      </c>
      <c r="B5847" s="30" t="s">
        <v>14</v>
      </c>
      <c r="C5847" s="30" t="s">
        <v>46</v>
      </c>
      <c r="D5847" s="30" t="s">
        <v>47</v>
      </c>
      <c r="E5847" s="31" t="s">
        <v>111</v>
      </c>
      <c r="F5847" s="31" t="s">
        <v>60</v>
      </c>
      <c r="G5847" s="32" t="s">
        <v>50</v>
      </c>
      <c r="H5847" s="33">
        <v>7130</v>
      </c>
      <c r="I5847" s="34">
        <f>Table3[[#This Row],[Volume, kg.]]/1000</f>
        <v>7.13</v>
      </c>
      <c r="J5847" s="34">
        <v>0.22649999999999998</v>
      </c>
      <c r="K5847" s="34">
        <f t="shared" si="184"/>
        <v>1614.9449999999999</v>
      </c>
      <c r="L5847" s="34">
        <v>1.95</v>
      </c>
      <c r="M5847" s="34">
        <v>13903.5</v>
      </c>
      <c r="N5847" s="34">
        <f t="shared" si="185"/>
        <v>8.6092715231788084</v>
      </c>
    </row>
    <row r="5848" spans="1:14" x14ac:dyDescent="0.45">
      <c r="A5848" s="30">
        <v>2025</v>
      </c>
      <c r="B5848" s="30" t="s">
        <v>14</v>
      </c>
      <c r="C5848" s="30" t="s">
        <v>46</v>
      </c>
      <c r="D5848" s="30" t="s">
        <v>47</v>
      </c>
      <c r="E5848" s="31" t="s">
        <v>527</v>
      </c>
      <c r="F5848" s="31" t="s">
        <v>60</v>
      </c>
      <c r="G5848" s="32" t="s">
        <v>50</v>
      </c>
      <c r="H5848" s="33">
        <v>22310</v>
      </c>
      <c r="I5848" s="34">
        <f>Table3[[#This Row],[Volume, kg.]]/1000</f>
        <v>22.31</v>
      </c>
      <c r="J5848" s="34">
        <v>0.25370000000000004</v>
      </c>
      <c r="K5848" s="34">
        <f t="shared" si="184"/>
        <v>5660.0470000000005</v>
      </c>
      <c r="L5848" s="34">
        <v>2.11</v>
      </c>
      <c r="M5848" s="34">
        <v>47168.5</v>
      </c>
      <c r="N5848" s="34">
        <f t="shared" si="185"/>
        <v>8.3169097359085509</v>
      </c>
    </row>
    <row r="5849" spans="1:14" x14ac:dyDescent="0.45">
      <c r="A5849" s="30">
        <v>2025</v>
      </c>
      <c r="B5849" s="30" t="s">
        <v>14</v>
      </c>
      <c r="C5849" s="30" t="s">
        <v>46</v>
      </c>
      <c r="D5849" s="30" t="s">
        <v>47</v>
      </c>
      <c r="E5849" s="31" t="s">
        <v>121</v>
      </c>
      <c r="F5849" s="31" t="s">
        <v>60</v>
      </c>
      <c r="G5849" s="32" t="s">
        <v>50</v>
      </c>
      <c r="H5849" s="33">
        <v>11360</v>
      </c>
      <c r="I5849" s="34">
        <f>Table3[[#This Row],[Volume, kg.]]/1000</f>
        <v>11.36</v>
      </c>
      <c r="J5849" s="34">
        <v>0.19450000000000001</v>
      </c>
      <c r="K5849" s="34">
        <f t="shared" si="184"/>
        <v>2209.52</v>
      </c>
      <c r="L5849" s="34">
        <v>1.8</v>
      </c>
      <c r="M5849" s="34">
        <v>20448</v>
      </c>
      <c r="N5849" s="34">
        <f t="shared" si="185"/>
        <v>9.2544987146529554</v>
      </c>
    </row>
    <row r="5850" spans="1:14" x14ac:dyDescent="0.45">
      <c r="A5850" s="30">
        <v>2025</v>
      </c>
      <c r="B5850" s="30" t="s">
        <v>14</v>
      </c>
      <c r="C5850" s="30" t="s">
        <v>46</v>
      </c>
      <c r="D5850" s="30" t="s">
        <v>47</v>
      </c>
      <c r="E5850" s="31" t="s">
        <v>59</v>
      </c>
      <c r="F5850" s="31" t="s">
        <v>60</v>
      </c>
      <c r="G5850" s="32" t="s">
        <v>50</v>
      </c>
      <c r="H5850" s="33">
        <v>24570</v>
      </c>
      <c r="I5850" s="34">
        <f>Table3[[#This Row],[Volume, kg.]]/1000</f>
        <v>24.57</v>
      </c>
      <c r="J5850" s="34">
        <v>0.23910000000000001</v>
      </c>
      <c r="K5850" s="34">
        <f t="shared" si="184"/>
        <v>5874.6869999999999</v>
      </c>
      <c r="L5850" s="34">
        <v>2</v>
      </c>
      <c r="M5850" s="34">
        <v>49140</v>
      </c>
      <c r="N5850" s="34">
        <f t="shared" si="185"/>
        <v>8.3647009619406099</v>
      </c>
    </row>
    <row r="5851" spans="1:14" x14ac:dyDescent="0.45">
      <c r="A5851" s="30">
        <v>2025</v>
      </c>
      <c r="B5851" s="30" t="s">
        <v>14</v>
      </c>
      <c r="C5851" s="30" t="s">
        <v>46</v>
      </c>
      <c r="D5851" s="30" t="s">
        <v>47</v>
      </c>
      <c r="E5851" s="31" t="s">
        <v>313</v>
      </c>
      <c r="F5851" s="31" t="s">
        <v>60</v>
      </c>
      <c r="G5851" s="32" t="s">
        <v>50</v>
      </c>
      <c r="H5851" s="33">
        <v>48870</v>
      </c>
      <c r="I5851" s="34">
        <f>Table3[[#This Row],[Volume, kg.]]/1000</f>
        <v>48.87</v>
      </c>
      <c r="J5851" s="34">
        <v>0.2455</v>
      </c>
      <c r="K5851" s="34">
        <f t="shared" si="184"/>
        <v>11997.584999999999</v>
      </c>
      <c r="L5851" s="34">
        <v>2.04</v>
      </c>
      <c r="M5851" s="34">
        <v>99896.5</v>
      </c>
      <c r="N5851" s="34">
        <f t="shared" si="185"/>
        <v>8.3095723014256624</v>
      </c>
    </row>
    <row r="5852" spans="1:14" x14ac:dyDescent="0.45">
      <c r="A5852" s="30">
        <v>2025</v>
      </c>
      <c r="B5852" s="30" t="s">
        <v>14</v>
      </c>
      <c r="C5852" s="30" t="s">
        <v>46</v>
      </c>
      <c r="D5852" s="30" t="s">
        <v>102</v>
      </c>
      <c r="E5852" s="31" t="s">
        <v>389</v>
      </c>
      <c r="F5852" s="31" t="s">
        <v>238</v>
      </c>
      <c r="G5852" s="32" t="s">
        <v>50</v>
      </c>
      <c r="H5852" s="33">
        <v>685120</v>
      </c>
      <c r="I5852" s="34">
        <f>Table3[[#This Row],[Volume, kg.]]/1000</f>
        <v>685.12</v>
      </c>
      <c r="J5852" s="34">
        <v>0.21129999999999999</v>
      </c>
      <c r="K5852" s="34">
        <f t="shared" si="184"/>
        <v>144765.856</v>
      </c>
      <c r="L5852" s="34">
        <v>1.98</v>
      </c>
      <c r="M5852" s="34">
        <v>1355406</v>
      </c>
      <c r="N5852" s="34">
        <f t="shared" si="185"/>
        <v>9.3705631803123524</v>
      </c>
    </row>
    <row r="5853" spans="1:14" x14ac:dyDescent="0.45">
      <c r="A5853" s="30">
        <v>2025</v>
      </c>
      <c r="B5853" s="30" t="s">
        <v>14</v>
      </c>
      <c r="C5853" s="30" t="s">
        <v>46</v>
      </c>
      <c r="D5853" s="30" t="s">
        <v>47</v>
      </c>
      <c r="E5853" s="31" t="s">
        <v>288</v>
      </c>
      <c r="F5853" s="31" t="s">
        <v>49</v>
      </c>
      <c r="G5853" s="32" t="s">
        <v>50</v>
      </c>
      <c r="H5853" s="33">
        <v>75450</v>
      </c>
      <c r="I5853" s="34">
        <f>Table3[[#This Row],[Volume, kg.]]/1000</f>
        <v>75.45</v>
      </c>
      <c r="J5853" s="34">
        <v>0.223</v>
      </c>
      <c r="K5853" s="34">
        <f t="shared" si="184"/>
        <v>16825.349999999999</v>
      </c>
      <c r="L5853" s="34">
        <v>1.94</v>
      </c>
      <c r="M5853" s="34">
        <v>146007</v>
      </c>
      <c r="N5853" s="34">
        <f t="shared" si="185"/>
        <v>8.6995515695067258</v>
      </c>
    </row>
    <row r="5854" spans="1:14" x14ac:dyDescent="0.45">
      <c r="A5854" s="30">
        <v>2025</v>
      </c>
      <c r="B5854" s="30" t="s">
        <v>14</v>
      </c>
      <c r="C5854" s="30" t="s">
        <v>46</v>
      </c>
      <c r="D5854" s="30" t="s">
        <v>47</v>
      </c>
      <c r="E5854" s="31" t="s">
        <v>70</v>
      </c>
      <c r="F5854" s="31" t="s">
        <v>49</v>
      </c>
      <c r="G5854" s="32" t="s">
        <v>50</v>
      </c>
      <c r="H5854" s="33">
        <v>237630</v>
      </c>
      <c r="I5854" s="34">
        <f>Table3[[#This Row],[Volume, kg.]]/1000</f>
        <v>237.63</v>
      </c>
      <c r="J5854" s="34">
        <v>0.24460000000000001</v>
      </c>
      <c r="K5854" s="34">
        <f t="shared" si="184"/>
        <v>58124.298000000003</v>
      </c>
      <c r="L5854" s="34">
        <v>2.04</v>
      </c>
      <c r="M5854" s="34">
        <v>485758</v>
      </c>
      <c r="N5854" s="34">
        <f t="shared" si="185"/>
        <v>8.3401471790678663</v>
      </c>
    </row>
    <row r="5855" spans="1:14" x14ac:dyDescent="0.45">
      <c r="A5855" s="30">
        <v>2025</v>
      </c>
      <c r="B5855" s="30" t="s">
        <v>14</v>
      </c>
      <c r="C5855" s="30" t="s">
        <v>46</v>
      </c>
      <c r="D5855" s="30" t="s">
        <v>47</v>
      </c>
      <c r="E5855" s="31" t="s">
        <v>265</v>
      </c>
      <c r="F5855" s="31" t="s">
        <v>49</v>
      </c>
      <c r="G5855" s="32" t="s">
        <v>50</v>
      </c>
      <c r="H5855" s="33">
        <v>12850</v>
      </c>
      <c r="I5855" s="34">
        <f>Table3[[#This Row],[Volume, kg.]]/1000</f>
        <v>12.85</v>
      </c>
      <c r="J5855" s="34">
        <v>0.21299999999999999</v>
      </c>
      <c r="K5855" s="34">
        <f t="shared" si="184"/>
        <v>2737.0499999999997</v>
      </c>
      <c r="L5855" s="34">
        <v>1.85</v>
      </c>
      <c r="M5855" s="34">
        <v>23772.5</v>
      </c>
      <c r="N5855" s="34">
        <f t="shared" si="185"/>
        <v>8.6854460093896719</v>
      </c>
    </row>
    <row r="5856" spans="1:14" x14ac:dyDescent="0.45">
      <c r="A5856" s="30">
        <v>2025</v>
      </c>
      <c r="B5856" s="30" t="s">
        <v>14</v>
      </c>
      <c r="C5856" s="30" t="s">
        <v>46</v>
      </c>
      <c r="D5856" s="30" t="s">
        <v>47</v>
      </c>
      <c r="E5856" s="31" t="s">
        <v>467</v>
      </c>
      <c r="F5856" s="31" t="s">
        <v>57</v>
      </c>
      <c r="G5856" s="32" t="s">
        <v>50</v>
      </c>
      <c r="H5856" s="33">
        <v>24560</v>
      </c>
      <c r="I5856" s="34">
        <f>Table3[[#This Row],[Volume, kg.]]/1000</f>
        <v>24.56</v>
      </c>
      <c r="J5856" s="34">
        <v>0.22829999999999998</v>
      </c>
      <c r="K5856" s="34">
        <f t="shared" si="184"/>
        <v>5607.0479999999998</v>
      </c>
      <c r="L5856" s="34">
        <v>1.96</v>
      </c>
      <c r="M5856" s="34">
        <v>48145</v>
      </c>
      <c r="N5856" s="34">
        <f t="shared" si="185"/>
        <v>8.5851949189662733</v>
      </c>
    </row>
    <row r="5857" spans="1:14" x14ac:dyDescent="0.45">
      <c r="A5857" s="30">
        <v>2025</v>
      </c>
      <c r="B5857" s="30" t="s">
        <v>14</v>
      </c>
      <c r="C5857" s="30" t="s">
        <v>46</v>
      </c>
      <c r="D5857" s="30" t="s">
        <v>47</v>
      </c>
      <c r="E5857" s="31" t="s">
        <v>500</v>
      </c>
      <c r="F5857" s="31" t="s">
        <v>49</v>
      </c>
      <c r="G5857" s="32" t="s">
        <v>50</v>
      </c>
      <c r="H5857" s="33">
        <v>9390</v>
      </c>
      <c r="I5857" s="34">
        <f>Table3[[#This Row],[Volume, kg.]]/1000</f>
        <v>9.39</v>
      </c>
      <c r="J5857" s="34">
        <v>0.23250000000000001</v>
      </c>
      <c r="K5857" s="34">
        <f t="shared" si="184"/>
        <v>2183.1750000000002</v>
      </c>
      <c r="L5857" s="34">
        <v>1.95</v>
      </c>
      <c r="M5857" s="34">
        <v>18310.5</v>
      </c>
      <c r="N5857" s="34">
        <f t="shared" si="185"/>
        <v>8.387096774193548</v>
      </c>
    </row>
    <row r="5858" spans="1:14" x14ac:dyDescent="0.45">
      <c r="A5858" s="30">
        <v>2025</v>
      </c>
      <c r="B5858" s="30" t="s">
        <v>14</v>
      </c>
      <c r="C5858" s="30" t="s">
        <v>46</v>
      </c>
      <c r="D5858" s="30" t="s">
        <v>47</v>
      </c>
      <c r="E5858" s="31" t="s">
        <v>192</v>
      </c>
      <c r="F5858" s="31" t="s">
        <v>49</v>
      </c>
      <c r="G5858" s="32" t="s">
        <v>50</v>
      </c>
      <c r="H5858" s="33">
        <v>6640</v>
      </c>
      <c r="I5858" s="34">
        <f>Table3[[#This Row],[Volume, kg.]]/1000</f>
        <v>6.64</v>
      </c>
      <c r="J5858" s="34">
        <v>0.18049999999999999</v>
      </c>
      <c r="K5858" s="34">
        <f t="shared" si="184"/>
        <v>1198.52</v>
      </c>
      <c r="L5858" s="34">
        <v>1.75</v>
      </c>
      <c r="M5858" s="34">
        <v>11620</v>
      </c>
      <c r="N5858" s="34">
        <f t="shared" si="185"/>
        <v>9.6952908587257625</v>
      </c>
    </row>
    <row r="5859" spans="1:14" x14ac:dyDescent="0.45">
      <c r="A5859" s="30">
        <v>2025</v>
      </c>
      <c r="B5859" s="30" t="s">
        <v>14</v>
      </c>
      <c r="C5859" s="30" t="s">
        <v>46</v>
      </c>
      <c r="D5859" s="30" t="s">
        <v>47</v>
      </c>
      <c r="E5859" s="31" t="s">
        <v>277</v>
      </c>
      <c r="F5859" s="31" t="s">
        <v>60</v>
      </c>
      <c r="G5859" s="32" t="s">
        <v>50</v>
      </c>
      <c r="H5859" s="33">
        <v>90260</v>
      </c>
      <c r="I5859" s="34">
        <f>Table3[[#This Row],[Volume, kg.]]/1000</f>
        <v>90.26</v>
      </c>
      <c r="J5859" s="34">
        <v>0.24260000000000001</v>
      </c>
      <c r="K5859" s="34">
        <f t="shared" si="184"/>
        <v>21897.076000000001</v>
      </c>
      <c r="L5859" s="34">
        <v>2.0299999999999998</v>
      </c>
      <c r="M5859" s="34">
        <v>183454.5</v>
      </c>
      <c r="N5859" s="34">
        <f t="shared" si="185"/>
        <v>8.3676834295136011</v>
      </c>
    </row>
    <row r="5860" spans="1:14" x14ac:dyDescent="0.45">
      <c r="A5860" s="30">
        <v>2025</v>
      </c>
      <c r="B5860" s="30" t="s">
        <v>14</v>
      </c>
      <c r="C5860" s="30" t="s">
        <v>46</v>
      </c>
      <c r="D5860" s="30" t="s">
        <v>47</v>
      </c>
      <c r="E5860" s="31" t="s">
        <v>324</v>
      </c>
      <c r="F5860" s="31" t="s">
        <v>81</v>
      </c>
      <c r="G5860" s="32" t="s">
        <v>50</v>
      </c>
      <c r="H5860" s="33">
        <v>54020</v>
      </c>
      <c r="I5860" s="34">
        <f>Table3[[#This Row],[Volume, kg.]]/1000</f>
        <v>54.02</v>
      </c>
      <c r="J5860" s="34">
        <v>0.21780000000000002</v>
      </c>
      <c r="K5860" s="34">
        <f t="shared" si="184"/>
        <v>11765.556</v>
      </c>
      <c r="L5860" s="34">
        <v>1.92</v>
      </c>
      <c r="M5860" s="34">
        <v>103700</v>
      </c>
      <c r="N5860" s="34">
        <f t="shared" si="185"/>
        <v>8.8154269972451775</v>
      </c>
    </row>
    <row r="5861" spans="1:14" x14ac:dyDescent="0.45">
      <c r="A5861" s="30">
        <v>2025</v>
      </c>
      <c r="B5861" s="30" t="s">
        <v>14</v>
      </c>
      <c r="C5861" s="30" t="s">
        <v>46</v>
      </c>
      <c r="D5861" s="30" t="s">
        <v>47</v>
      </c>
      <c r="E5861" s="31" t="s">
        <v>74</v>
      </c>
      <c r="F5861" s="31" t="s">
        <v>49</v>
      </c>
      <c r="G5861" s="32" t="s">
        <v>50</v>
      </c>
      <c r="H5861" s="33">
        <v>62090</v>
      </c>
      <c r="I5861" s="34">
        <f>Table3[[#This Row],[Volume, kg.]]/1000</f>
        <v>62.09</v>
      </c>
      <c r="J5861" s="34">
        <v>0.2432</v>
      </c>
      <c r="K5861" s="34">
        <f t="shared" si="184"/>
        <v>15100.288</v>
      </c>
      <c r="L5861" s="34">
        <v>1.99</v>
      </c>
      <c r="M5861" s="34">
        <v>123455.5</v>
      </c>
      <c r="N5861" s="34">
        <f t="shared" si="185"/>
        <v>8.182565789473685</v>
      </c>
    </row>
    <row r="5862" spans="1:14" x14ac:dyDescent="0.45">
      <c r="A5862" s="30">
        <v>2025</v>
      </c>
      <c r="B5862" s="30" t="s">
        <v>14</v>
      </c>
      <c r="C5862" s="30" t="s">
        <v>46</v>
      </c>
      <c r="D5862" s="30" t="s">
        <v>47</v>
      </c>
      <c r="E5862" s="31" t="s">
        <v>135</v>
      </c>
      <c r="F5862" s="31" t="s">
        <v>49</v>
      </c>
      <c r="G5862" s="32" t="s">
        <v>50</v>
      </c>
      <c r="H5862" s="33">
        <v>106510</v>
      </c>
      <c r="I5862" s="34">
        <f>Table3[[#This Row],[Volume, kg.]]/1000</f>
        <v>106.51</v>
      </c>
      <c r="J5862" s="34">
        <v>0.23629999999999998</v>
      </c>
      <c r="K5862" s="34">
        <f t="shared" si="184"/>
        <v>25168.312999999998</v>
      </c>
      <c r="L5862" s="34">
        <v>2</v>
      </c>
      <c r="M5862" s="34">
        <v>213380.5</v>
      </c>
      <c r="N5862" s="34">
        <f t="shared" si="185"/>
        <v>8.4638171815488796</v>
      </c>
    </row>
    <row r="5863" spans="1:14" x14ac:dyDescent="0.45">
      <c r="A5863" s="30">
        <v>2025</v>
      </c>
      <c r="B5863" s="30" t="s">
        <v>14</v>
      </c>
      <c r="C5863" s="30" t="s">
        <v>46</v>
      </c>
      <c r="D5863" s="30" t="s">
        <v>47</v>
      </c>
      <c r="E5863" s="31" t="s">
        <v>125</v>
      </c>
      <c r="F5863" s="31" t="s">
        <v>60</v>
      </c>
      <c r="G5863" s="32" t="s">
        <v>50</v>
      </c>
      <c r="H5863" s="33">
        <v>58080</v>
      </c>
      <c r="I5863" s="34">
        <f>Table3[[#This Row],[Volume, kg.]]/1000</f>
        <v>58.08</v>
      </c>
      <c r="J5863" s="34">
        <v>0.26289999999999997</v>
      </c>
      <c r="K5863" s="34">
        <f t="shared" si="184"/>
        <v>15269.231999999998</v>
      </c>
      <c r="L5863" s="34">
        <v>2.14</v>
      </c>
      <c r="M5863" s="34">
        <v>124238.5</v>
      </c>
      <c r="N5863" s="34">
        <f t="shared" si="185"/>
        <v>8.1399771776340835</v>
      </c>
    </row>
    <row r="5864" spans="1:14" x14ac:dyDescent="0.45">
      <c r="A5864" s="30">
        <v>2025</v>
      </c>
      <c r="B5864" s="30" t="s">
        <v>14</v>
      </c>
      <c r="C5864" s="30" t="s">
        <v>46</v>
      </c>
      <c r="D5864" s="30" t="s">
        <v>47</v>
      </c>
      <c r="E5864" s="31" t="s">
        <v>390</v>
      </c>
      <c r="F5864" s="31" t="s">
        <v>60</v>
      </c>
      <c r="G5864" s="32" t="s">
        <v>50</v>
      </c>
      <c r="H5864" s="33">
        <v>35570</v>
      </c>
      <c r="I5864" s="34">
        <f>Table3[[#This Row],[Volume, kg.]]/1000</f>
        <v>35.57</v>
      </c>
      <c r="J5864" s="34">
        <v>0.20620000000000002</v>
      </c>
      <c r="K5864" s="34">
        <f t="shared" si="184"/>
        <v>7334.5340000000006</v>
      </c>
      <c r="L5864" s="34">
        <v>1.84</v>
      </c>
      <c r="M5864" s="34">
        <v>65514.5</v>
      </c>
      <c r="N5864" s="34">
        <f t="shared" si="185"/>
        <v>8.9233753637245385</v>
      </c>
    </row>
    <row r="5865" spans="1:14" x14ac:dyDescent="0.45">
      <c r="A5865" s="30">
        <v>2025</v>
      </c>
      <c r="B5865" s="30" t="s">
        <v>14</v>
      </c>
      <c r="C5865" s="30" t="s">
        <v>46</v>
      </c>
      <c r="D5865" s="30" t="s">
        <v>47</v>
      </c>
      <c r="E5865" s="31" t="s">
        <v>144</v>
      </c>
      <c r="F5865" s="31" t="s">
        <v>49</v>
      </c>
      <c r="G5865" s="32" t="s">
        <v>50</v>
      </c>
      <c r="H5865" s="33">
        <v>140460</v>
      </c>
      <c r="I5865" s="34">
        <f>Table3[[#This Row],[Volume, kg.]]/1000</f>
        <v>140.46</v>
      </c>
      <c r="J5865" s="34">
        <v>0.2339</v>
      </c>
      <c r="K5865" s="34">
        <f t="shared" si="184"/>
        <v>32853.593999999997</v>
      </c>
      <c r="L5865" s="34">
        <v>2</v>
      </c>
      <c r="M5865" s="34">
        <v>280262</v>
      </c>
      <c r="N5865" s="34">
        <f t="shared" si="185"/>
        <v>8.5506626763574172</v>
      </c>
    </row>
    <row r="5866" spans="1:14" x14ac:dyDescent="0.45">
      <c r="A5866" s="30">
        <v>2025</v>
      </c>
      <c r="B5866" s="30" t="s">
        <v>14</v>
      </c>
      <c r="C5866" s="30" t="s">
        <v>46</v>
      </c>
      <c r="D5866" s="30" t="s">
        <v>47</v>
      </c>
      <c r="E5866" s="31" t="s">
        <v>76</v>
      </c>
      <c r="F5866" s="31" t="s">
        <v>60</v>
      </c>
      <c r="G5866" s="32" t="s">
        <v>50</v>
      </c>
      <c r="H5866" s="33">
        <v>20470</v>
      </c>
      <c r="I5866" s="34">
        <f>Table3[[#This Row],[Volume, kg.]]/1000</f>
        <v>20.47</v>
      </c>
      <c r="J5866" s="34">
        <v>0.2346</v>
      </c>
      <c r="K5866" s="34">
        <f t="shared" si="184"/>
        <v>4802.2619999999997</v>
      </c>
      <c r="L5866" s="34">
        <v>2.02</v>
      </c>
      <c r="M5866" s="34">
        <v>41287</v>
      </c>
      <c r="N5866" s="34">
        <f t="shared" si="185"/>
        <v>8.6104006820119352</v>
      </c>
    </row>
    <row r="5867" spans="1:14" x14ac:dyDescent="0.45">
      <c r="A5867" s="30">
        <v>2025</v>
      </c>
      <c r="B5867" s="30" t="s">
        <v>14</v>
      </c>
      <c r="C5867" s="30" t="s">
        <v>46</v>
      </c>
      <c r="D5867" s="30" t="s">
        <v>47</v>
      </c>
      <c r="E5867" s="31" t="s">
        <v>100</v>
      </c>
      <c r="F5867" s="31" t="s">
        <v>60</v>
      </c>
      <c r="G5867" s="32" t="s">
        <v>50</v>
      </c>
      <c r="H5867" s="33">
        <v>29720</v>
      </c>
      <c r="I5867" s="34">
        <f>Table3[[#This Row],[Volume, kg.]]/1000</f>
        <v>29.72</v>
      </c>
      <c r="J5867" s="34">
        <v>0.22440000000000002</v>
      </c>
      <c r="K5867" s="34">
        <f t="shared" si="184"/>
        <v>6669.1680000000006</v>
      </c>
      <c r="L5867" s="34">
        <v>1.96</v>
      </c>
      <c r="M5867" s="34">
        <v>58197.5</v>
      </c>
      <c r="N5867" s="34">
        <f t="shared" si="185"/>
        <v>8.7344028520499108</v>
      </c>
    </row>
    <row r="5868" spans="1:14" x14ac:dyDescent="0.45">
      <c r="A5868" s="30">
        <v>2025</v>
      </c>
      <c r="B5868" s="30" t="s">
        <v>14</v>
      </c>
      <c r="C5868" s="30" t="s">
        <v>46</v>
      </c>
      <c r="D5868" s="30" t="s">
        <v>47</v>
      </c>
      <c r="E5868" s="31" t="s">
        <v>739</v>
      </c>
      <c r="F5868" s="31" t="s">
        <v>60</v>
      </c>
      <c r="G5868" s="32" t="s">
        <v>50</v>
      </c>
      <c r="H5868" s="33">
        <v>47680</v>
      </c>
      <c r="I5868" s="34">
        <f>Table3[[#This Row],[Volume, kg.]]/1000</f>
        <v>47.68</v>
      </c>
      <c r="J5868" s="34">
        <v>0.23329999999999998</v>
      </c>
      <c r="K5868" s="34">
        <f t="shared" si="184"/>
        <v>11123.743999999999</v>
      </c>
      <c r="L5868" s="34">
        <v>1.99</v>
      </c>
      <c r="M5868" s="34">
        <v>94745</v>
      </c>
      <c r="N5868" s="34">
        <f t="shared" si="185"/>
        <v>8.5297899699957149</v>
      </c>
    </row>
    <row r="5869" spans="1:14" x14ac:dyDescent="0.45">
      <c r="A5869" s="30">
        <v>2025</v>
      </c>
      <c r="B5869" s="30" t="s">
        <v>14</v>
      </c>
      <c r="C5869" s="30" t="s">
        <v>46</v>
      </c>
      <c r="D5869" s="30" t="s">
        <v>47</v>
      </c>
      <c r="E5869" s="31" t="s">
        <v>501</v>
      </c>
      <c r="F5869" s="31" t="s">
        <v>81</v>
      </c>
      <c r="G5869" s="32" t="s">
        <v>50</v>
      </c>
      <c r="H5869" s="33">
        <v>30190</v>
      </c>
      <c r="I5869" s="34">
        <f>Table3[[#This Row],[Volume, kg.]]/1000</f>
        <v>30.19</v>
      </c>
      <c r="J5869" s="34">
        <v>0.23860000000000001</v>
      </c>
      <c r="K5869" s="34">
        <f t="shared" si="184"/>
        <v>7203.3339999999998</v>
      </c>
      <c r="L5869" s="34">
        <v>2.02</v>
      </c>
      <c r="M5869" s="34">
        <v>60886</v>
      </c>
      <c r="N5869" s="34">
        <f t="shared" si="185"/>
        <v>8.4660519698239725</v>
      </c>
    </row>
    <row r="5870" spans="1:14" x14ac:dyDescent="0.45">
      <c r="A5870" s="30">
        <v>2025</v>
      </c>
      <c r="B5870" s="30" t="s">
        <v>14</v>
      </c>
      <c r="C5870" s="30" t="s">
        <v>46</v>
      </c>
      <c r="D5870" s="30" t="s">
        <v>47</v>
      </c>
      <c r="E5870" s="31" t="s">
        <v>283</v>
      </c>
      <c r="F5870" s="31" t="s">
        <v>49</v>
      </c>
      <c r="G5870" s="32" t="s">
        <v>50</v>
      </c>
      <c r="H5870" s="33">
        <v>40090</v>
      </c>
      <c r="I5870" s="34">
        <f>Table3[[#This Row],[Volume, kg.]]/1000</f>
        <v>40.090000000000003</v>
      </c>
      <c r="J5870" s="34">
        <v>0.23699999999999999</v>
      </c>
      <c r="K5870" s="34">
        <f t="shared" si="184"/>
        <v>9501.33</v>
      </c>
      <c r="L5870" s="34">
        <v>2</v>
      </c>
      <c r="M5870" s="34">
        <v>80264</v>
      </c>
      <c r="N5870" s="34">
        <f t="shared" si="185"/>
        <v>8.4388185654008439</v>
      </c>
    </row>
    <row r="5871" spans="1:14" x14ac:dyDescent="0.45">
      <c r="A5871" s="30">
        <v>2025</v>
      </c>
      <c r="B5871" s="30" t="s">
        <v>14</v>
      </c>
      <c r="C5871" s="30" t="s">
        <v>46</v>
      </c>
      <c r="D5871" s="30" t="s">
        <v>47</v>
      </c>
      <c r="E5871" s="31" t="s">
        <v>147</v>
      </c>
      <c r="F5871" s="31" t="s">
        <v>57</v>
      </c>
      <c r="G5871" s="32" t="s">
        <v>50</v>
      </c>
      <c r="H5871" s="33">
        <v>154630</v>
      </c>
      <c r="I5871" s="34">
        <f>Table3[[#This Row],[Volume, kg.]]/1000</f>
        <v>154.63</v>
      </c>
      <c r="J5871" s="34">
        <v>0.23519999999999999</v>
      </c>
      <c r="K5871" s="34">
        <f t="shared" si="184"/>
        <v>36368.976000000002</v>
      </c>
      <c r="L5871" s="34">
        <v>2</v>
      </c>
      <c r="M5871" s="34">
        <v>309855.5</v>
      </c>
      <c r="N5871" s="34">
        <f t="shared" si="185"/>
        <v>8.5034013605442187</v>
      </c>
    </row>
    <row r="5872" spans="1:14" x14ac:dyDescent="0.45">
      <c r="A5872" s="30">
        <v>2025</v>
      </c>
      <c r="B5872" s="30" t="s">
        <v>14</v>
      </c>
      <c r="C5872" s="30" t="s">
        <v>46</v>
      </c>
      <c r="D5872" s="30" t="s">
        <v>47</v>
      </c>
      <c r="E5872" s="31" t="s">
        <v>502</v>
      </c>
      <c r="F5872" s="31" t="s">
        <v>49</v>
      </c>
      <c r="G5872" s="32" t="s">
        <v>50</v>
      </c>
      <c r="H5872" s="33">
        <v>3590</v>
      </c>
      <c r="I5872" s="34">
        <f>Table3[[#This Row],[Volume, kg.]]/1000</f>
        <v>3.59</v>
      </c>
      <c r="J5872" s="34">
        <v>0.21249999999999999</v>
      </c>
      <c r="K5872" s="34">
        <f t="shared" si="184"/>
        <v>762.875</v>
      </c>
      <c r="L5872" s="34">
        <v>1.9</v>
      </c>
      <c r="M5872" s="34">
        <v>6821</v>
      </c>
      <c r="N5872" s="34">
        <f t="shared" si="185"/>
        <v>8.9411764705882355</v>
      </c>
    </row>
    <row r="5873" spans="1:14" x14ac:dyDescent="0.45">
      <c r="A5873" s="30">
        <v>2025</v>
      </c>
      <c r="B5873" s="30" t="s">
        <v>14</v>
      </c>
      <c r="C5873" s="30" t="s">
        <v>46</v>
      </c>
      <c r="D5873" s="30" t="s">
        <v>47</v>
      </c>
      <c r="E5873" s="31" t="s">
        <v>210</v>
      </c>
      <c r="F5873" s="31" t="s">
        <v>60</v>
      </c>
      <c r="G5873" s="32" t="s">
        <v>50</v>
      </c>
      <c r="H5873" s="33">
        <v>19640</v>
      </c>
      <c r="I5873" s="34">
        <f>Table3[[#This Row],[Volume, kg.]]/1000</f>
        <v>19.64</v>
      </c>
      <c r="J5873" s="34">
        <v>0.24480000000000002</v>
      </c>
      <c r="K5873" s="34">
        <f t="shared" si="184"/>
        <v>4807.8720000000003</v>
      </c>
      <c r="L5873" s="34">
        <v>2.06</v>
      </c>
      <c r="M5873" s="34">
        <v>40423</v>
      </c>
      <c r="N5873" s="34">
        <f t="shared" si="185"/>
        <v>8.4150326797385624</v>
      </c>
    </row>
    <row r="5874" spans="1:14" x14ac:dyDescent="0.45">
      <c r="A5874" s="30">
        <v>2025</v>
      </c>
      <c r="B5874" s="30" t="s">
        <v>14</v>
      </c>
      <c r="C5874" s="30" t="s">
        <v>46</v>
      </c>
      <c r="D5874" s="30" t="s">
        <v>47</v>
      </c>
      <c r="E5874" s="31" t="s">
        <v>253</v>
      </c>
      <c r="F5874" s="31" t="s">
        <v>57</v>
      </c>
      <c r="G5874" s="32" t="s">
        <v>50</v>
      </c>
      <c r="H5874" s="33">
        <v>127620</v>
      </c>
      <c r="I5874" s="34">
        <f>Table3[[#This Row],[Volume, kg.]]/1000</f>
        <v>127.62</v>
      </c>
      <c r="J5874" s="34">
        <v>0.2409</v>
      </c>
      <c r="K5874" s="34">
        <f t="shared" si="184"/>
        <v>30743.657999999999</v>
      </c>
      <c r="L5874" s="34">
        <v>2.0099999999999998</v>
      </c>
      <c r="M5874" s="34">
        <v>256813</v>
      </c>
      <c r="N5874" s="34">
        <f t="shared" si="185"/>
        <v>8.3437110834371104</v>
      </c>
    </row>
    <row r="5875" spans="1:14" x14ac:dyDescent="0.45">
      <c r="A5875" s="30">
        <v>2025</v>
      </c>
      <c r="B5875" s="30" t="s">
        <v>14</v>
      </c>
      <c r="C5875" s="30" t="s">
        <v>46</v>
      </c>
      <c r="D5875" s="30" t="s">
        <v>47</v>
      </c>
      <c r="E5875" s="31" t="s">
        <v>667</v>
      </c>
      <c r="F5875" s="31" t="s">
        <v>60</v>
      </c>
      <c r="G5875" s="32" t="s">
        <v>50</v>
      </c>
      <c r="H5875" s="33">
        <v>17640</v>
      </c>
      <c r="I5875" s="34">
        <f>Table3[[#This Row],[Volume, kg.]]/1000</f>
        <v>17.64</v>
      </c>
      <c r="J5875" s="34">
        <v>0.22120000000000001</v>
      </c>
      <c r="K5875" s="34">
        <f t="shared" si="184"/>
        <v>3901.9680000000003</v>
      </c>
      <c r="L5875" s="34">
        <v>1.94</v>
      </c>
      <c r="M5875" s="34">
        <v>34136</v>
      </c>
      <c r="N5875" s="34">
        <f t="shared" si="185"/>
        <v>8.770343580470163</v>
      </c>
    </row>
    <row r="5876" spans="1:14" x14ac:dyDescent="0.45">
      <c r="A5876" s="30">
        <v>2025</v>
      </c>
      <c r="B5876" s="30" t="s">
        <v>14</v>
      </c>
      <c r="C5876" s="30" t="s">
        <v>46</v>
      </c>
      <c r="D5876" s="30" t="s">
        <v>47</v>
      </c>
      <c r="E5876" s="31" t="s">
        <v>171</v>
      </c>
      <c r="F5876" s="31" t="s">
        <v>49</v>
      </c>
      <c r="G5876" s="32" t="s">
        <v>50</v>
      </c>
      <c r="H5876" s="33">
        <v>46320</v>
      </c>
      <c r="I5876" s="34">
        <f>Table3[[#This Row],[Volume, kg.]]/1000</f>
        <v>46.32</v>
      </c>
      <c r="J5876" s="34">
        <v>0.25459999999999999</v>
      </c>
      <c r="K5876" s="34">
        <f t="shared" si="184"/>
        <v>11793.072</v>
      </c>
      <c r="L5876" s="34">
        <v>2.0499999999999998</v>
      </c>
      <c r="M5876" s="34">
        <v>94941</v>
      </c>
      <c r="N5876" s="34">
        <f t="shared" si="185"/>
        <v>8.0518460329929304</v>
      </c>
    </row>
    <row r="5877" spans="1:14" x14ac:dyDescent="0.45">
      <c r="A5877" s="30">
        <v>2025</v>
      </c>
      <c r="B5877" s="30" t="s">
        <v>14</v>
      </c>
      <c r="C5877" s="30" t="s">
        <v>46</v>
      </c>
      <c r="D5877" s="30" t="s">
        <v>47</v>
      </c>
      <c r="E5877" s="31" t="s">
        <v>233</v>
      </c>
      <c r="F5877" s="31" t="s">
        <v>57</v>
      </c>
      <c r="G5877" s="32" t="s">
        <v>50</v>
      </c>
      <c r="H5877" s="33">
        <v>165330</v>
      </c>
      <c r="I5877" s="34">
        <f>Table3[[#This Row],[Volume, kg.]]/1000</f>
        <v>165.33</v>
      </c>
      <c r="J5877" s="34">
        <v>0.2379</v>
      </c>
      <c r="K5877" s="34">
        <f t="shared" si="184"/>
        <v>39332.006999999998</v>
      </c>
      <c r="L5877" s="34">
        <v>2</v>
      </c>
      <c r="M5877" s="34">
        <v>330609.5</v>
      </c>
      <c r="N5877" s="34">
        <f t="shared" si="185"/>
        <v>8.4068936527952918</v>
      </c>
    </row>
    <row r="5878" spans="1:14" x14ac:dyDescent="0.45">
      <c r="A5878" s="30">
        <v>2025</v>
      </c>
      <c r="B5878" s="30" t="s">
        <v>14</v>
      </c>
      <c r="C5878" s="30" t="s">
        <v>46</v>
      </c>
      <c r="D5878" s="30" t="s">
        <v>47</v>
      </c>
      <c r="E5878" s="31" t="s">
        <v>503</v>
      </c>
      <c r="F5878" s="31" t="s">
        <v>49</v>
      </c>
      <c r="G5878" s="32" t="s">
        <v>50</v>
      </c>
      <c r="H5878" s="33">
        <v>47050</v>
      </c>
      <c r="I5878" s="34">
        <f>Table3[[#This Row],[Volume, kg.]]/1000</f>
        <v>47.05</v>
      </c>
      <c r="J5878" s="34">
        <v>0.23910000000000001</v>
      </c>
      <c r="K5878" s="34">
        <f t="shared" si="184"/>
        <v>11249.655000000001</v>
      </c>
      <c r="L5878" s="34">
        <v>2.0299999999999998</v>
      </c>
      <c r="M5878" s="34">
        <v>95571.5</v>
      </c>
      <c r="N5878" s="34">
        <f t="shared" si="185"/>
        <v>8.4901714763697189</v>
      </c>
    </row>
    <row r="5879" spans="1:14" x14ac:dyDescent="0.45">
      <c r="A5879" s="30">
        <v>2025</v>
      </c>
      <c r="B5879" s="30" t="s">
        <v>14</v>
      </c>
      <c r="C5879" s="30" t="s">
        <v>46</v>
      </c>
      <c r="D5879" s="30" t="s">
        <v>47</v>
      </c>
      <c r="E5879" s="31" t="s">
        <v>56</v>
      </c>
      <c r="F5879" s="31" t="s">
        <v>57</v>
      </c>
      <c r="G5879" s="32" t="s">
        <v>50</v>
      </c>
      <c r="H5879" s="33">
        <v>20360</v>
      </c>
      <c r="I5879" s="34">
        <f>Table3[[#This Row],[Volume, kg.]]/1000</f>
        <v>20.36</v>
      </c>
      <c r="J5879" s="34">
        <v>0.2114</v>
      </c>
      <c r="K5879" s="34">
        <f t="shared" si="184"/>
        <v>4304.1040000000003</v>
      </c>
      <c r="L5879" s="34">
        <v>1.9</v>
      </c>
      <c r="M5879" s="34">
        <v>38684</v>
      </c>
      <c r="N5879" s="34">
        <f t="shared" si="185"/>
        <v>8.9877010406811717</v>
      </c>
    </row>
    <row r="5880" spans="1:14" x14ac:dyDescent="0.45">
      <c r="A5880" s="30">
        <v>2025</v>
      </c>
      <c r="B5880" s="30" t="s">
        <v>14</v>
      </c>
      <c r="C5880" s="30" t="s">
        <v>46</v>
      </c>
      <c r="D5880" s="30" t="s">
        <v>47</v>
      </c>
      <c r="E5880" s="31" t="s">
        <v>90</v>
      </c>
      <c r="F5880" s="31" t="s">
        <v>49</v>
      </c>
      <c r="G5880" s="32" t="s">
        <v>50</v>
      </c>
      <c r="H5880" s="33">
        <v>68210</v>
      </c>
      <c r="I5880" s="34">
        <f>Table3[[#This Row],[Volume, kg.]]/1000</f>
        <v>68.209999999999994</v>
      </c>
      <c r="J5880" s="34">
        <v>0.254</v>
      </c>
      <c r="K5880" s="34">
        <f t="shared" si="184"/>
        <v>17325.34</v>
      </c>
      <c r="L5880" s="34">
        <v>2.1</v>
      </c>
      <c r="M5880" s="34">
        <v>143353.5</v>
      </c>
      <c r="N5880" s="34">
        <f t="shared" si="185"/>
        <v>8.2677165354330704</v>
      </c>
    </row>
    <row r="5881" spans="1:14" x14ac:dyDescent="0.45">
      <c r="A5881" s="30">
        <v>2025</v>
      </c>
      <c r="B5881" s="30" t="s">
        <v>14</v>
      </c>
      <c r="C5881" s="30" t="s">
        <v>46</v>
      </c>
      <c r="D5881" s="30" t="s">
        <v>47</v>
      </c>
      <c r="E5881" s="31" t="s">
        <v>275</v>
      </c>
      <c r="F5881" s="31" t="s">
        <v>54</v>
      </c>
      <c r="G5881" s="32" t="s">
        <v>50</v>
      </c>
      <c r="H5881" s="33">
        <v>20550</v>
      </c>
      <c r="I5881" s="34">
        <f>Table3[[#This Row],[Volume, kg.]]/1000</f>
        <v>20.55</v>
      </c>
      <c r="J5881" s="34">
        <v>0.23730000000000001</v>
      </c>
      <c r="K5881" s="34">
        <f t="shared" si="184"/>
        <v>4876.5150000000003</v>
      </c>
      <c r="L5881" s="34">
        <v>1.99</v>
      </c>
      <c r="M5881" s="34">
        <v>40839</v>
      </c>
      <c r="N5881" s="34">
        <f t="shared" si="185"/>
        <v>8.3860092709650225</v>
      </c>
    </row>
    <row r="5882" spans="1:14" x14ac:dyDescent="0.45">
      <c r="A5882" s="30">
        <v>2025</v>
      </c>
      <c r="B5882" s="30" t="s">
        <v>14</v>
      </c>
      <c r="C5882" s="30" t="s">
        <v>46</v>
      </c>
      <c r="D5882" s="30" t="s">
        <v>47</v>
      </c>
      <c r="E5882" s="31" t="s">
        <v>88</v>
      </c>
      <c r="F5882" s="31" t="s">
        <v>49</v>
      </c>
      <c r="G5882" s="32" t="s">
        <v>50</v>
      </c>
      <c r="H5882" s="33">
        <v>14390</v>
      </c>
      <c r="I5882" s="34">
        <f>Table3[[#This Row],[Volume, kg.]]/1000</f>
        <v>14.39</v>
      </c>
      <c r="J5882" s="34">
        <v>0.24249999999999999</v>
      </c>
      <c r="K5882" s="34">
        <f t="shared" si="184"/>
        <v>3489.5749999999998</v>
      </c>
      <c r="L5882" s="34">
        <v>2.0499999999999998</v>
      </c>
      <c r="M5882" s="34">
        <v>29499.5</v>
      </c>
      <c r="N5882" s="34">
        <f t="shared" si="185"/>
        <v>8.4536082474226806</v>
      </c>
    </row>
    <row r="5883" spans="1:14" x14ac:dyDescent="0.45">
      <c r="A5883" s="30">
        <v>2025</v>
      </c>
      <c r="B5883" s="30" t="s">
        <v>14</v>
      </c>
      <c r="C5883" s="30" t="s">
        <v>46</v>
      </c>
      <c r="D5883" s="30" t="s">
        <v>47</v>
      </c>
      <c r="E5883" s="31" t="s">
        <v>599</v>
      </c>
      <c r="F5883" s="31" t="s">
        <v>57</v>
      </c>
      <c r="G5883" s="32" t="s">
        <v>50</v>
      </c>
      <c r="H5883" s="33">
        <v>165360</v>
      </c>
      <c r="I5883" s="34">
        <f>Table3[[#This Row],[Volume, kg.]]/1000</f>
        <v>165.36</v>
      </c>
      <c r="J5883" s="34">
        <v>0.23680000000000001</v>
      </c>
      <c r="K5883" s="34">
        <f t="shared" si="184"/>
        <v>39157.248</v>
      </c>
      <c r="L5883" s="34">
        <v>2</v>
      </c>
      <c r="M5883" s="34">
        <v>330027</v>
      </c>
      <c r="N5883" s="34">
        <f t="shared" si="185"/>
        <v>8.4459459459459456</v>
      </c>
    </row>
    <row r="5884" spans="1:14" x14ac:dyDescent="0.45">
      <c r="A5884" s="30">
        <v>2025</v>
      </c>
      <c r="B5884" s="30" t="s">
        <v>14</v>
      </c>
      <c r="C5884" s="30" t="s">
        <v>46</v>
      </c>
      <c r="D5884" s="30" t="s">
        <v>47</v>
      </c>
      <c r="E5884" s="31" t="s">
        <v>311</v>
      </c>
      <c r="F5884" s="31" t="s">
        <v>57</v>
      </c>
      <c r="G5884" s="32" t="s">
        <v>50</v>
      </c>
      <c r="H5884" s="33">
        <v>16410</v>
      </c>
      <c r="I5884" s="34">
        <f>Table3[[#This Row],[Volume, kg.]]/1000</f>
        <v>16.41</v>
      </c>
      <c r="J5884" s="34">
        <v>0.2281</v>
      </c>
      <c r="K5884" s="34">
        <f t="shared" si="184"/>
        <v>3743.1210000000001</v>
      </c>
      <c r="L5884" s="34">
        <v>1.94</v>
      </c>
      <c r="M5884" s="34">
        <v>31779.5</v>
      </c>
      <c r="N5884" s="34">
        <f t="shared" si="185"/>
        <v>8.5050416483998248</v>
      </c>
    </row>
    <row r="5885" spans="1:14" x14ac:dyDescent="0.45">
      <c r="A5885" s="30">
        <v>2025</v>
      </c>
      <c r="B5885" s="30" t="s">
        <v>14</v>
      </c>
      <c r="C5885" s="30" t="s">
        <v>46</v>
      </c>
      <c r="D5885" s="30" t="s">
        <v>47</v>
      </c>
      <c r="E5885" s="31" t="s">
        <v>361</v>
      </c>
      <c r="F5885" s="31" t="s">
        <v>57</v>
      </c>
      <c r="G5885" s="32" t="s">
        <v>50</v>
      </c>
      <c r="H5885" s="33">
        <v>43830</v>
      </c>
      <c r="I5885" s="34">
        <f>Table3[[#This Row],[Volume, kg.]]/1000</f>
        <v>43.83</v>
      </c>
      <c r="J5885" s="34">
        <v>0.2422</v>
      </c>
      <c r="K5885" s="34">
        <f t="shared" si="184"/>
        <v>10615.626</v>
      </c>
      <c r="L5885" s="34">
        <v>2.0099999999999998</v>
      </c>
      <c r="M5885" s="34">
        <v>88151.5</v>
      </c>
      <c r="N5885" s="34">
        <f t="shared" si="185"/>
        <v>8.2989265070189919</v>
      </c>
    </row>
    <row r="5886" spans="1:14" x14ac:dyDescent="0.45">
      <c r="A5886" s="30">
        <v>2025</v>
      </c>
      <c r="B5886" s="30" t="s">
        <v>14</v>
      </c>
      <c r="C5886" s="30" t="s">
        <v>46</v>
      </c>
      <c r="D5886" s="30" t="s">
        <v>47</v>
      </c>
      <c r="E5886" s="31" t="s">
        <v>356</v>
      </c>
      <c r="F5886" s="31" t="s">
        <v>49</v>
      </c>
      <c r="G5886" s="32" t="s">
        <v>50</v>
      </c>
      <c r="H5886" s="33">
        <v>2600</v>
      </c>
      <c r="I5886" s="34">
        <f>Table3[[#This Row],[Volume, kg.]]/1000</f>
        <v>2.6</v>
      </c>
      <c r="J5886" s="34">
        <v>0.19899999999999998</v>
      </c>
      <c r="K5886" s="34">
        <f t="shared" si="184"/>
        <v>517.4</v>
      </c>
      <c r="L5886" s="34">
        <v>1.8</v>
      </c>
      <c r="M5886" s="34">
        <v>4680</v>
      </c>
      <c r="N5886" s="34">
        <f t="shared" si="185"/>
        <v>9.0452261306532673</v>
      </c>
    </row>
    <row r="5887" spans="1:14" x14ac:dyDescent="0.45">
      <c r="A5887" s="30">
        <v>2025</v>
      </c>
      <c r="B5887" s="30" t="s">
        <v>14</v>
      </c>
      <c r="C5887" s="30" t="s">
        <v>46</v>
      </c>
      <c r="D5887" s="30" t="s">
        <v>47</v>
      </c>
      <c r="E5887" s="31" t="s">
        <v>573</v>
      </c>
      <c r="F5887" s="31" t="s">
        <v>49</v>
      </c>
      <c r="G5887" s="32" t="s">
        <v>50</v>
      </c>
      <c r="H5887" s="33">
        <v>88530</v>
      </c>
      <c r="I5887" s="34">
        <f>Table3[[#This Row],[Volume, kg.]]/1000</f>
        <v>88.53</v>
      </c>
      <c r="J5887" s="34">
        <v>0.2626</v>
      </c>
      <c r="K5887" s="34">
        <f t="shared" si="184"/>
        <v>23247.977999999999</v>
      </c>
      <c r="L5887" s="34">
        <v>2.14</v>
      </c>
      <c r="M5887" s="34">
        <v>189121.5</v>
      </c>
      <c r="N5887" s="34">
        <f t="shared" si="185"/>
        <v>8.1492764661081498</v>
      </c>
    </row>
    <row r="5888" spans="1:14" x14ac:dyDescent="0.45">
      <c r="A5888" s="30">
        <v>2025</v>
      </c>
      <c r="B5888" s="30" t="s">
        <v>14</v>
      </c>
      <c r="C5888" s="30" t="s">
        <v>46</v>
      </c>
      <c r="D5888" s="30" t="s">
        <v>47</v>
      </c>
      <c r="E5888" s="31" t="s">
        <v>153</v>
      </c>
      <c r="F5888" s="31" t="s">
        <v>57</v>
      </c>
      <c r="G5888" s="32" t="s">
        <v>50</v>
      </c>
      <c r="H5888" s="33">
        <v>26060</v>
      </c>
      <c r="I5888" s="34">
        <f>Table3[[#This Row],[Volume, kg.]]/1000</f>
        <v>26.06</v>
      </c>
      <c r="J5888" s="34">
        <v>0.24859999999999999</v>
      </c>
      <c r="K5888" s="34">
        <f t="shared" si="184"/>
        <v>6478.5159999999996</v>
      </c>
      <c r="L5888" s="34">
        <v>2.0699999999999998</v>
      </c>
      <c r="M5888" s="34">
        <v>54039.5</v>
      </c>
      <c r="N5888" s="34">
        <f t="shared" si="185"/>
        <v>8.3266291230892993</v>
      </c>
    </row>
    <row r="5889" spans="1:14" x14ac:dyDescent="0.45">
      <c r="A5889" s="30">
        <v>2025</v>
      </c>
      <c r="B5889" s="30" t="s">
        <v>14</v>
      </c>
      <c r="C5889" s="30" t="s">
        <v>46</v>
      </c>
      <c r="D5889" s="30" t="s">
        <v>47</v>
      </c>
      <c r="E5889" s="31" t="s">
        <v>536</v>
      </c>
      <c r="F5889" s="31" t="s">
        <v>60</v>
      </c>
      <c r="G5889" s="32" t="s">
        <v>50</v>
      </c>
      <c r="H5889" s="33">
        <v>18320</v>
      </c>
      <c r="I5889" s="34">
        <f>Table3[[#This Row],[Volume, kg.]]/1000</f>
        <v>18.32</v>
      </c>
      <c r="J5889" s="34">
        <v>0.19800000000000001</v>
      </c>
      <c r="K5889" s="34">
        <f t="shared" si="184"/>
        <v>3627.36</v>
      </c>
      <c r="L5889" s="34">
        <v>1.75</v>
      </c>
      <c r="M5889" s="34">
        <v>32060</v>
      </c>
      <c r="N5889" s="34">
        <f t="shared" si="185"/>
        <v>8.8383838383838373</v>
      </c>
    </row>
    <row r="5890" spans="1:14" x14ac:dyDescent="0.45">
      <c r="A5890" s="30">
        <v>2025</v>
      </c>
      <c r="B5890" s="30" t="s">
        <v>14</v>
      </c>
      <c r="C5890" s="30" t="s">
        <v>46</v>
      </c>
      <c r="D5890" s="30" t="s">
        <v>47</v>
      </c>
      <c r="E5890" s="31" t="s">
        <v>504</v>
      </c>
      <c r="F5890" s="31" t="s">
        <v>60</v>
      </c>
      <c r="G5890" s="32" t="s">
        <v>50</v>
      </c>
      <c r="H5890" s="33">
        <v>9110</v>
      </c>
      <c r="I5890" s="34">
        <f>Table3[[#This Row],[Volume, kg.]]/1000</f>
        <v>9.11</v>
      </c>
      <c r="J5890" s="34">
        <v>0.23050000000000001</v>
      </c>
      <c r="K5890" s="34">
        <f t="shared" si="184"/>
        <v>2099.855</v>
      </c>
      <c r="L5890" s="34">
        <v>1.95</v>
      </c>
      <c r="M5890" s="34">
        <v>17764.5</v>
      </c>
      <c r="N5890" s="34">
        <f t="shared" si="185"/>
        <v>8.4598698481561811</v>
      </c>
    </row>
    <row r="5891" spans="1:14" x14ac:dyDescent="0.45">
      <c r="A5891" s="30">
        <v>2025</v>
      </c>
      <c r="B5891" s="30" t="s">
        <v>14</v>
      </c>
      <c r="C5891" s="30" t="s">
        <v>46</v>
      </c>
      <c r="D5891" s="30" t="s">
        <v>47</v>
      </c>
      <c r="E5891" s="31" t="s">
        <v>116</v>
      </c>
      <c r="F5891" s="31" t="s">
        <v>81</v>
      </c>
      <c r="G5891" s="32" t="s">
        <v>50</v>
      </c>
      <c r="H5891" s="33">
        <v>56130</v>
      </c>
      <c r="I5891" s="34">
        <f>Table3[[#This Row],[Volume, kg.]]/1000</f>
        <v>56.13</v>
      </c>
      <c r="J5891" s="34">
        <v>0.2263</v>
      </c>
      <c r="K5891" s="34">
        <f t="shared" si="184"/>
        <v>12702.219000000001</v>
      </c>
      <c r="L5891" s="34">
        <v>1.98</v>
      </c>
      <c r="M5891" s="34">
        <v>111000</v>
      </c>
      <c r="N5891" s="34">
        <f t="shared" si="185"/>
        <v>8.7494476358815731</v>
      </c>
    </row>
    <row r="5892" spans="1:14" x14ac:dyDescent="0.45">
      <c r="A5892" s="30">
        <v>2025</v>
      </c>
      <c r="B5892" s="30" t="s">
        <v>14</v>
      </c>
      <c r="C5892" s="30" t="s">
        <v>46</v>
      </c>
      <c r="D5892" s="30" t="s">
        <v>47</v>
      </c>
      <c r="E5892" s="31" t="s">
        <v>306</v>
      </c>
      <c r="F5892" s="31" t="s">
        <v>60</v>
      </c>
      <c r="G5892" s="32" t="s">
        <v>50</v>
      </c>
      <c r="H5892" s="33">
        <v>28220</v>
      </c>
      <c r="I5892" s="34">
        <f>Table3[[#This Row],[Volume, kg.]]/1000</f>
        <v>28.22</v>
      </c>
      <c r="J5892" s="34">
        <v>0.2409</v>
      </c>
      <c r="K5892" s="34">
        <f t="shared" si="184"/>
        <v>6798.1980000000003</v>
      </c>
      <c r="L5892" s="34">
        <v>2.0499999999999998</v>
      </c>
      <c r="M5892" s="34">
        <v>57906</v>
      </c>
      <c r="N5892" s="34">
        <f t="shared" si="185"/>
        <v>8.5097550850975505</v>
      </c>
    </row>
    <row r="5893" spans="1:14" x14ac:dyDescent="0.45">
      <c r="A5893" s="30">
        <v>2025</v>
      </c>
      <c r="B5893" s="30" t="s">
        <v>14</v>
      </c>
      <c r="C5893" s="30" t="s">
        <v>46</v>
      </c>
      <c r="D5893" s="30" t="s">
        <v>47</v>
      </c>
      <c r="E5893" s="31" t="s">
        <v>458</v>
      </c>
      <c r="F5893" s="31" t="s">
        <v>60</v>
      </c>
      <c r="G5893" s="32" t="s">
        <v>50</v>
      </c>
      <c r="H5893" s="33">
        <v>12180</v>
      </c>
      <c r="I5893" s="34">
        <f>Table3[[#This Row],[Volume, kg.]]/1000</f>
        <v>12.18</v>
      </c>
      <c r="J5893" s="34">
        <v>0.25409999999999999</v>
      </c>
      <c r="K5893" s="34">
        <f t="shared" si="184"/>
        <v>3094.9380000000001</v>
      </c>
      <c r="L5893" s="34">
        <v>2.12</v>
      </c>
      <c r="M5893" s="34">
        <v>25806</v>
      </c>
      <c r="N5893" s="34">
        <f t="shared" si="185"/>
        <v>8.343171979535617</v>
      </c>
    </row>
    <row r="5894" spans="1:14" x14ac:dyDescent="0.45">
      <c r="A5894" s="30">
        <v>2025</v>
      </c>
      <c r="B5894" s="30" t="s">
        <v>14</v>
      </c>
      <c r="C5894" s="30" t="s">
        <v>46</v>
      </c>
      <c r="D5894" s="30" t="s">
        <v>47</v>
      </c>
      <c r="E5894" s="31" t="s">
        <v>197</v>
      </c>
      <c r="F5894" s="31" t="s">
        <v>57</v>
      </c>
      <c r="G5894" s="32" t="s">
        <v>50</v>
      </c>
      <c r="H5894" s="33">
        <v>167210</v>
      </c>
      <c r="I5894" s="34">
        <f>Table3[[#This Row],[Volume, kg.]]/1000</f>
        <v>167.21</v>
      </c>
      <c r="J5894" s="34">
        <v>0.2316</v>
      </c>
      <c r="K5894" s="34">
        <f t="shared" si="184"/>
        <v>38725.836000000003</v>
      </c>
      <c r="L5894" s="34">
        <v>1.97</v>
      </c>
      <c r="M5894" s="34">
        <v>330081</v>
      </c>
      <c r="N5894" s="34">
        <f t="shared" si="185"/>
        <v>8.5060449050086362</v>
      </c>
    </row>
    <row r="5895" spans="1:14" x14ac:dyDescent="0.45">
      <c r="A5895" s="30">
        <v>2025</v>
      </c>
      <c r="B5895" s="30" t="s">
        <v>14</v>
      </c>
      <c r="C5895" s="30" t="s">
        <v>46</v>
      </c>
      <c r="D5895" s="30" t="s">
        <v>47</v>
      </c>
      <c r="E5895" s="31" t="s">
        <v>177</v>
      </c>
      <c r="F5895" s="31" t="s">
        <v>49</v>
      </c>
      <c r="G5895" s="32" t="s">
        <v>50</v>
      </c>
      <c r="H5895" s="33">
        <v>76940</v>
      </c>
      <c r="I5895" s="34">
        <f>Table3[[#This Row],[Volume, kg.]]/1000</f>
        <v>76.94</v>
      </c>
      <c r="J5895" s="34">
        <v>0.2364</v>
      </c>
      <c r="K5895" s="34">
        <f t="shared" si="184"/>
        <v>18188.615999999998</v>
      </c>
      <c r="L5895" s="34">
        <v>2</v>
      </c>
      <c r="M5895" s="34">
        <v>153579.5</v>
      </c>
      <c r="N5895" s="34">
        <f t="shared" si="185"/>
        <v>8.4602368866328259</v>
      </c>
    </row>
    <row r="5896" spans="1:14" x14ac:dyDescent="0.45">
      <c r="A5896" s="30">
        <v>2025</v>
      </c>
      <c r="B5896" s="30" t="s">
        <v>14</v>
      </c>
      <c r="C5896" s="30" t="s">
        <v>46</v>
      </c>
      <c r="D5896" s="30" t="s">
        <v>47</v>
      </c>
      <c r="E5896" s="31" t="s">
        <v>206</v>
      </c>
      <c r="F5896" s="31" t="s">
        <v>81</v>
      </c>
      <c r="G5896" s="32" t="s">
        <v>50</v>
      </c>
      <c r="H5896" s="33">
        <v>142730</v>
      </c>
      <c r="I5896" s="34">
        <f>Table3[[#This Row],[Volume, kg.]]/1000</f>
        <v>142.72999999999999</v>
      </c>
      <c r="J5896" s="34">
        <v>0.23309999999999997</v>
      </c>
      <c r="K5896" s="34">
        <f t="shared" ref="K5896:K5959" si="186">H5896*J5896</f>
        <v>33270.362999999998</v>
      </c>
      <c r="L5896" s="34">
        <v>1.97</v>
      </c>
      <c r="M5896" s="34">
        <v>281757</v>
      </c>
      <c r="N5896" s="34">
        <f t="shared" ref="N5896:N5959" si="187">L5896/J5896</f>
        <v>8.4513084513084529</v>
      </c>
    </row>
    <row r="5897" spans="1:14" x14ac:dyDescent="0.45">
      <c r="A5897" s="30">
        <v>2025</v>
      </c>
      <c r="B5897" s="30" t="s">
        <v>14</v>
      </c>
      <c r="C5897" s="30" t="s">
        <v>46</v>
      </c>
      <c r="D5897" s="30" t="s">
        <v>47</v>
      </c>
      <c r="E5897" s="31" t="s">
        <v>350</v>
      </c>
      <c r="F5897" s="31" t="s">
        <v>49</v>
      </c>
      <c r="G5897" s="32" t="s">
        <v>50</v>
      </c>
      <c r="H5897" s="33">
        <v>85350</v>
      </c>
      <c r="I5897" s="34">
        <f>Table3[[#This Row],[Volume, kg.]]/1000</f>
        <v>85.35</v>
      </c>
      <c r="J5897" s="34">
        <v>0.24390000000000001</v>
      </c>
      <c r="K5897" s="34">
        <f t="shared" si="186"/>
        <v>20816.865000000002</v>
      </c>
      <c r="L5897" s="34">
        <v>2.0499999999999998</v>
      </c>
      <c r="M5897" s="34">
        <v>174880</v>
      </c>
      <c r="N5897" s="34">
        <f t="shared" si="187"/>
        <v>8.4050840508405074</v>
      </c>
    </row>
    <row r="5898" spans="1:14" x14ac:dyDescent="0.45">
      <c r="A5898" s="30">
        <v>2025</v>
      </c>
      <c r="B5898" s="30" t="s">
        <v>14</v>
      </c>
      <c r="C5898" s="30" t="s">
        <v>46</v>
      </c>
      <c r="D5898" s="30" t="s">
        <v>47</v>
      </c>
      <c r="E5898" s="31" t="s">
        <v>395</v>
      </c>
      <c r="F5898" s="31" t="s">
        <v>81</v>
      </c>
      <c r="G5898" s="32" t="s">
        <v>50</v>
      </c>
      <c r="H5898" s="33">
        <v>209110</v>
      </c>
      <c r="I5898" s="34">
        <f>Table3[[#This Row],[Volume, kg.]]/1000</f>
        <v>209.11</v>
      </c>
      <c r="J5898" s="34">
        <v>0.22149999999999997</v>
      </c>
      <c r="K5898" s="34">
        <f t="shared" si="186"/>
        <v>46317.864999999998</v>
      </c>
      <c r="L5898" s="34">
        <v>1.94</v>
      </c>
      <c r="M5898" s="34">
        <v>405431</v>
      </c>
      <c r="N5898" s="34">
        <f t="shared" si="187"/>
        <v>8.7584650112866829</v>
      </c>
    </row>
    <row r="5899" spans="1:14" x14ac:dyDescent="0.45">
      <c r="A5899" s="30">
        <v>2025</v>
      </c>
      <c r="B5899" s="30" t="s">
        <v>14</v>
      </c>
      <c r="C5899" s="30" t="s">
        <v>46</v>
      </c>
      <c r="D5899" s="30" t="s">
        <v>47</v>
      </c>
      <c r="E5899" s="31" t="s">
        <v>312</v>
      </c>
      <c r="F5899" s="31" t="s">
        <v>60</v>
      </c>
      <c r="G5899" s="32" t="s">
        <v>50</v>
      </c>
      <c r="H5899" s="33">
        <v>21420</v>
      </c>
      <c r="I5899" s="34">
        <f>Table3[[#This Row],[Volume, kg.]]/1000</f>
        <v>21.42</v>
      </c>
      <c r="J5899" s="34">
        <v>0.21460000000000001</v>
      </c>
      <c r="K5899" s="34">
        <f t="shared" si="186"/>
        <v>4596.732</v>
      </c>
      <c r="L5899" s="34">
        <v>1.89</v>
      </c>
      <c r="M5899" s="34">
        <v>40402.5</v>
      </c>
      <c r="N5899" s="34">
        <f t="shared" si="187"/>
        <v>8.8070829450139794</v>
      </c>
    </row>
    <row r="5900" spans="1:14" x14ac:dyDescent="0.45">
      <c r="A5900" s="30">
        <v>2025</v>
      </c>
      <c r="B5900" s="30" t="s">
        <v>14</v>
      </c>
      <c r="C5900" s="30" t="s">
        <v>46</v>
      </c>
      <c r="D5900" s="30" t="s">
        <v>47</v>
      </c>
      <c r="E5900" s="31" t="s">
        <v>548</v>
      </c>
      <c r="F5900" s="31" t="s">
        <v>49</v>
      </c>
      <c r="G5900" s="32" t="s">
        <v>50</v>
      </c>
      <c r="H5900" s="33">
        <v>35320</v>
      </c>
      <c r="I5900" s="34">
        <f>Table3[[#This Row],[Volume, kg.]]/1000</f>
        <v>35.32</v>
      </c>
      <c r="J5900" s="34">
        <v>0.23070000000000002</v>
      </c>
      <c r="K5900" s="34">
        <f t="shared" si="186"/>
        <v>8148.3240000000005</v>
      </c>
      <c r="L5900" s="34">
        <v>2.0099999999999998</v>
      </c>
      <c r="M5900" s="34">
        <v>70969</v>
      </c>
      <c r="N5900" s="34">
        <f t="shared" si="187"/>
        <v>8.7126137841352396</v>
      </c>
    </row>
    <row r="5901" spans="1:14" x14ac:dyDescent="0.45">
      <c r="A5901" s="30">
        <v>2025</v>
      </c>
      <c r="B5901" s="30" t="s">
        <v>14</v>
      </c>
      <c r="C5901" s="30" t="s">
        <v>46</v>
      </c>
      <c r="D5901" s="30" t="s">
        <v>47</v>
      </c>
      <c r="E5901" s="31" t="s">
        <v>342</v>
      </c>
      <c r="F5901" s="31" t="s">
        <v>81</v>
      </c>
      <c r="G5901" s="32" t="s">
        <v>50</v>
      </c>
      <c r="H5901" s="33">
        <v>15760</v>
      </c>
      <c r="I5901" s="34">
        <f>Table3[[#This Row],[Volume, kg.]]/1000</f>
        <v>15.76</v>
      </c>
      <c r="J5901" s="34">
        <v>0.23100000000000001</v>
      </c>
      <c r="K5901" s="34">
        <f t="shared" si="186"/>
        <v>3640.56</v>
      </c>
      <c r="L5901" s="34">
        <v>2</v>
      </c>
      <c r="M5901" s="34">
        <v>31520</v>
      </c>
      <c r="N5901" s="34">
        <f t="shared" si="187"/>
        <v>8.6580086580086579</v>
      </c>
    </row>
    <row r="5902" spans="1:14" x14ac:dyDescent="0.45">
      <c r="A5902" s="30">
        <v>2025</v>
      </c>
      <c r="B5902" s="30" t="s">
        <v>14</v>
      </c>
      <c r="C5902" s="30" t="s">
        <v>46</v>
      </c>
      <c r="D5902" s="30" t="s">
        <v>47</v>
      </c>
      <c r="E5902" s="31" t="s">
        <v>98</v>
      </c>
      <c r="F5902" s="31" t="s">
        <v>49</v>
      </c>
      <c r="G5902" s="32" t="s">
        <v>50</v>
      </c>
      <c r="H5902" s="33">
        <v>99820</v>
      </c>
      <c r="I5902" s="34">
        <f>Table3[[#This Row],[Volume, kg.]]/1000</f>
        <v>99.82</v>
      </c>
      <c r="J5902" s="34">
        <v>0.23719999999999999</v>
      </c>
      <c r="K5902" s="34">
        <f t="shared" si="186"/>
        <v>23677.304</v>
      </c>
      <c r="L5902" s="34">
        <v>1.99</v>
      </c>
      <c r="M5902" s="34">
        <v>199017.5</v>
      </c>
      <c r="N5902" s="34">
        <f t="shared" si="187"/>
        <v>8.3895446880269819</v>
      </c>
    </row>
    <row r="5903" spans="1:14" x14ac:dyDescent="0.45">
      <c r="A5903" s="30">
        <v>2025</v>
      </c>
      <c r="B5903" s="30" t="s">
        <v>14</v>
      </c>
      <c r="C5903" s="30" t="s">
        <v>46</v>
      </c>
      <c r="D5903" s="30" t="s">
        <v>47</v>
      </c>
      <c r="E5903" s="31" t="s">
        <v>354</v>
      </c>
      <c r="F5903" s="31" t="s">
        <v>60</v>
      </c>
      <c r="G5903" s="32" t="s">
        <v>50</v>
      </c>
      <c r="H5903" s="33">
        <v>10270</v>
      </c>
      <c r="I5903" s="34">
        <f>Table3[[#This Row],[Volume, kg.]]/1000</f>
        <v>10.27</v>
      </c>
      <c r="J5903" s="34">
        <v>0.22850000000000001</v>
      </c>
      <c r="K5903" s="34">
        <f t="shared" si="186"/>
        <v>2346.6950000000002</v>
      </c>
      <c r="L5903" s="34">
        <v>1.9</v>
      </c>
      <c r="M5903" s="34">
        <v>19513</v>
      </c>
      <c r="N5903" s="34">
        <f t="shared" si="187"/>
        <v>8.3150984682713336</v>
      </c>
    </row>
    <row r="5904" spans="1:14" x14ac:dyDescent="0.45">
      <c r="A5904" s="30">
        <v>2025</v>
      </c>
      <c r="B5904" s="30" t="s">
        <v>14</v>
      </c>
      <c r="C5904" s="30" t="s">
        <v>46</v>
      </c>
      <c r="D5904" s="30" t="s">
        <v>47</v>
      </c>
      <c r="E5904" s="31" t="s">
        <v>129</v>
      </c>
      <c r="F5904" s="31" t="s">
        <v>57</v>
      </c>
      <c r="G5904" s="32" t="s">
        <v>50</v>
      </c>
      <c r="H5904" s="33">
        <v>74830</v>
      </c>
      <c r="I5904" s="34">
        <f>Table3[[#This Row],[Volume, kg.]]/1000</f>
        <v>74.83</v>
      </c>
      <c r="J5904" s="34">
        <v>0.21010000000000001</v>
      </c>
      <c r="K5904" s="34">
        <f t="shared" si="186"/>
        <v>15721.783000000001</v>
      </c>
      <c r="L5904" s="34">
        <v>1.86</v>
      </c>
      <c r="M5904" s="34">
        <v>139492.5</v>
      </c>
      <c r="N5904" s="34">
        <f t="shared" si="187"/>
        <v>8.8529271775345073</v>
      </c>
    </row>
    <row r="5905" spans="1:14" x14ac:dyDescent="0.45">
      <c r="A5905" s="30">
        <v>2025</v>
      </c>
      <c r="B5905" s="30" t="s">
        <v>14</v>
      </c>
      <c r="C5905" s="30" t="s">
        <v>46</v>
      </c>
      <c r="D5905" s="30" t="s">
        <v>47</v>
      </c>
      <c r="E5905" s="31" t="s">
        <v>80</v>
      </c>
      <c r="F5905" s="31" t="s">
        <v>81</v>
      </c>
      <c r="G5905" s="32" t="s">
        <v>50</v>
      </c>
      <c r="H5905" s="33">
        <v>117540</v>
      </c>
      <c r="I5905" s="34">
        <f>Table3[[#This Row],[Volume, kg.]]/1000</f>
        <v>117.54</v>
      </c>
      <c r="J5905" s="34">
        <v>0.21660000000000001</v>
      </c>
      <c r="K5905" s="34">
        <f t="shared" si="186"/>
        <v>25459.164000000001</v>
      </c>
      <c r="L5905" s="34">
        <v>1.9</v>
      </c>
      <c r="M5905" s="34">
        <v>223684.5</v>
      </c>
      <c r="N5905" s="34">
        <f t="shared" si="187"/>
        <v>8.7719298245614024</v>
      </c>
    </row>
    <row r="5906" spans="1:14" x14ac:dyDescent="0.45">
      <c r="A5906" s="30">
        <v>2025</v>
      </c>
      <c r="B5906" s="30" t="s">
        <v>14</v>
      </c>
      <c r="C5906" s="30" t="s">
        <v>46</v>
      </c>
      <c r="D5906" s="30" t="s">
        <v>47</v>
      </c>
      <c r="E5906" s="31" t="s">
        <v>473</v>
      </c>
      <c r="F5906" s="31" t="s">
        <v>57</v>
      </c>
      <c r="G5906" s="32" t="s">
        <v>50</v>
      </c>
      <c r="H5906" s="33">
        <v>8090</v>
      </c>
      <c r="I5906" s="34">
        <f>Table3[[#This Row],[Volume, kg.]]/1000</f>
        <v>8.09</v>
      </c>
      <c r="J5906" s="34">
        <v>0.24050000000000002</v>
      </c>
      <c r="K5906" s="34">
        <f t="shared" si="186"/>
        <v>1945.6450000000002</v>
      </c>
      <c r="L5906" s="34">
        <v>2</v>
      </c>
      <c r="M5906" s="34">
        <v>16180</v>
      </c>
      <c r="N5906" s="34">
        <f t="shared" si="187"/>
        <v>8.3160083160083147</v>
      </c>
    </row>
    <row r="5907" spans="1:14" x14ac:dyDescent="0.45">
      <c r="A5907" s="30">
        <v>2025</v>
      </c>
      <c r="B5907" s="30" t="s">
        <v>14</v>
      </c>
      <c r="C5907" s="30" t="s">
        <v>46</v>
      </c>
      <c r="D5907" s="30" t="s">
        <v>47</v>
      </c>
      <c r="E5907" s="31" t="s">
        <v>296</v>
      </c>
      <c r="F5907" s="31" t="s">
        <v>60</v>
      </c>
      <c r="G5907" s="32" t="s">
        <v>50</v>
      </c>
      <c r="H5907" s="33">
        <v>32970</v>
      </c>
      <c r="I5907" s="34">
        <f>Table3[[#This Row],[Volume, kg.]]/1000</f>
        <v>32.97</v>
      </c>
      <c r="J5907" s="34">
        <v>0.2223</v>
      </c>
      <c r="K5907" s="34">
        <f t="shared" si="186"/>
        <v>7329.2309999999998</v>
      </c>
      <c r="L5907" s="34">
        <v>1.97</v>
      </c>
      <c r="M5907" s="34">
        <v>64852</v>
      </c>
      <c r="N5907" s="34">
        <f t="shared" si="187"/>
        <v>8.8618983355825467</v>
      </c>
    </row>
    <row r="5908" spans="1:14" x14ac:dyDescent="0.45">
      <c r="A5908" s="30">
        <v>2025</v>
      </c>
      <c r="B5908" s="30" t="s">
        <v>14</v>
      </c>
      <c r="C5908" s="30" t="s">
        <v>46</v>
      </c>
      <c r="D5908" s="30" t="s">
        <v>47</v>
      </c>
      <c r="E5908" s="31" t="s">
        <v>267</v>
      </c>
      <c r="F5908" s="31" t="s">
        <v>57</v>
      </c>
      <c r="G5908" s="32" t="s">
        <v>50</v>
      </c>
      <c r="H5908" s="33">
        <v>30800</v>
      </c>
      <c r="I5908" s="34">
        <f>Table3[[#This Row],[Volume, kg.]]/1000</f>
        <v>30.8</v>
      </c>
      <c r="J5908" s="34">
        <v>0.21789999999999998</v>
      </c>
      <c r="K5908" s="34">
        <f t="shared" si="186"/>
        <v>6711.32</v>
      </c>
      <c r="L5908" s="34">
        <v>1.91</v>
      </c>
      <c r="M5908" s="34">
        <v>58676.5</v>
      </c>
      <c r="N5908" s="34">
        <f t="shared" si="187"/>
        <v>8.7654887563102335</v>
      </c>
    </row>
    <row r="5909" spans="1:14" x14ac:dyDescent="0.45">
      <c r="A5909" s="30">
        <v>2025</v>
      </c>
      <c r="B5909" s="30" t="s">
        <v>14</v>
      </c>
      <c r="C5909" s="30" t="s">
        <v>46</v>
      </c>
      <c r="D5909" s="30" t="s">
        <v>102</v>
      </c>
      <c r="E5909" s="31" t="s">
        <v>103</v>
      </c>
      <c r="F5909" s="31" t="s">
        <v>104</v>
      </c>
      <c r="G5909" s="32" t="s">
        <v>105</v>
      </c>
      <c r="H5909" s="33">
        <v>1246150</v>
      </c>
      <c r="I5909" s="34">
        <f>Table3[[#This Row],[Volume, kg.]]/1000</f>
        <v>1246.1500000000001</v>
      </c>
      <c r="J5909" s="34">
        <v>0.21960000000000002</v>
      </c>
      <c r="K5909" s="34">
        <f t="shared" si="186"/>
        <v>273654.54000000004</v>
      </c>
      <c r="L5909" s="34">
        <v>2.06</v>
      </c>
      <c r="M5909" s="34">
        <v>2572292</v>
      </c>
      <c r="N5909" s="34">
        <f t="shared" si="187"/>
        <v>9.3806921675774131</v>
      </c>
    </row>
    <row r="5910" spans="1:14" x14ac:dyDescent="0.45">
      <c r="A5910" s="30">
        <v>2025</v>
      </c>
      <c r="B5910" s="30" t="s">
        <v>14</v>
      </c>
      <c r="C5910" s="30" t="s">
        <v>46</v>
      </c>
      <c r="D5910" s="30" t="s">
        <v>47</v>
      </c>
      <c r="E5910" s="31" t="s">
        <v>203</v>
      </c>
      <c r="F5910" s="31" t="s">
        <v>57</v>
      </c>
      <c r="G5910" s="32" t="s">
        <v>50</v>
      </c>
      <c r="H5910" s="33">
        <v>56200</v>
      </c>
      <c r="I5910" s="34">
        <f>Table3[[#This Row],[Volume, kg.]]/1000</f>
        <v>56.2</v>
      </c>
      <c r="J5910" s="34">
        <v>0.25069999999999998</v>
      </c>
      <c r="K5910" s="34">
        <f t="shared" si="186"/>
        <v>14089.339999999998</v>
      </c>
      <c r="L5910" s="34">
        <v>2.08</v>
      </c>
      <c r="M5910" s="34">
        <v>116852.5</v>
      </c>
      <c r="N5910" s="34">
        <f t="shared" si="187"/>
        <v>8.2967690466693274</v>
      </c>
    </row>
    <row r="5911" spans="1:14" x14ac:dyDescent="0.45">
      <c r="A5911" s="30">
        <v>2025</v>
      </c>
      <c r="B5911" s="30" t="s">
        <v>14</v>
      </c>
      <c r="C5911" s="30" t="s">
        <v>46</v>
      </c>
      <c r="D5911" s="30" t="s">
        <v>47</v>
      </c>
      <c r="E5911" s="31" t="s">
        <v>137</v>
      </c>
      <c r="F5911" s="31" t="s">
        <v>49</v>
      </c>
      <c r="G5911" s="32" t="s">
        <v>50</v>
      </c>
      <c r="H5911" s="33">
        <v>127440</v>
      </c>
      <c r="I5911" s="34">
        <f>Table3[[#This Row],[Volume, kg.]]/1000</f>
        <v>127.44</v>
      </c>
      <c r="J5911" s="34">
        <v>0.22020000000000001</v>
      </c>
      <c r="K5911" s="34">
        <f t="shared" si="186"/>
        <v>28062.288</v>
      </c>
      <c r="L5911" s="34">
        <v>1.92</v>
      </c>
      <c r="M5911" s="34">
        <v>244579.5</v>
      </c>
      <c r="N5911" s="34">
        <f t="shared" si="187"/>
        <v>8.7193460490463206</v>
      </c>
    </row>
    <row r="5912" spans="1:14" x14ac:dyDescent="0.45">
      <c r="A5912" s="30">
        <v>2025</v>
      </c>
      <c r="B5912" s="30" t="s">
        <v>14</v>
      </c>
      <c r="C5912" s="30" t="s">
        <v>46</v>
      </c>
      <c r="D5912" s="30" t="s">
        <v>47</v>
      </c>
      <c r="E5912" s="31" t="s">
        <v>317</v>
      </c>
      <c r="F5912" s="31" t="s">
        <v>60</v>
      </c>
      <c r="G5912" s="32" t="s">
        <v>50</v>
      </c>
      <c r="H5912" s="33">
        <v>4580</v>
      </c>
      <c r="I5912" s="34">
        <f>Table3[[#This Row],[Volume, kg.]]/1000</f>
        <v>4.58</v>
      </c>
      <c r="J5912" s="34">
        <v>0.249</v>
      </c>
      <c r="K5912" s="34">
        <f t="shared" si="186"/>
        <v>1140.42</v>
      </c>
      <c r="L5912" s="34">
        <v>2.1</v>
      </c>
      <c r="M5912" s="34">
        <v>9618</v>
      </c>
      <c r="N5912" s="34">
        <f t="shared" si="187"/>
        <v>8.4337349397590362</v>
      </c>
    </row>
    <row r="5913" spans="1:14" x14ac:dyDescent="0.45">
      <c r="A5913" s="30">
        <v>2025</v>
      </c>
      <c r="B5913" s="30" t="s">
        <v>14</v>
      </c>
      <c r="C5913" s="30" t="s">
        <v>46</v>
      </c>
      <c r="D5913" s="30" t="s">
        <v>47</v>
      </c>
      <c r="E5913" s="31" t="s">
        <v>474</v>
      </c>
      <c r="F5913" s="31" t="s">
        <v>60</v>
      </c>
      <c r="G5913" s="32" t="s">
        <v>50</v>
      </c>
      <c r="H5913" s="33">
        <v>43110</v>
      </c>
      <c r="I5913" s="34">
        <f>Table3[[#This Row],[Volume, kg.]]/1000</f>
        <v>43.11</v>
      </c>
      <c r="J5913" s="34">
        <v>0.23089999999999999</v>
      </c>
      <c r="K5913" s="34">
        <f t="shared" si="186"/>
        <v>9954.0990000000002</v>
      </c>
      <c r="L5913" s="34">
        <v>1.99</v>
      </c>
      <c r="M5913" s="34">
        <v>85618.5</v>
      </c>
      <c r="N5913" s="34">
        <f t="shared" si="187"/>
        <v>8.6184495452576879</v>
      </c>
    </row>
    <row r="5914" spans="1:14" x14ac:dyDescent="0.45">
      <c r="A5914" s="30">
        <v>2025</v>
      </c>
      <c r="B5914" s="30" t="s">
        <v>14</v>
      </c>
      <c r="C5914" s="30" t="s">
        <v>46</v>
      </c>
      <c r="D5914" s="30" t="s">
        <v>102</v>
      </c>
      <c r="E5914" s="31" t="s">
        <v>126</v>
      </c>
      <c r="F5914" s="31" t="s">
        <v>127</v>
      </c>
      <c r="G5914" s="32" t="s">
        <v>128</v>
      </c>
      <c r="H5914" s="33">
        <v>1890280</v>
      </c>
      <c r="I5914" s="34">
        <f>Table3[[#This Row],[Volume, kg.]]/1000</f>
        <v>1890.28</v>
      </c>
      <c r="J5914" s="34">
        <v>0.22559999999999999</v>
      </c>
      <c r="K5914" s="34">
        <f t="shared" si="186"/>
        <v>426447.16800000001</v>
      </c>
      <c r="L5914" s="34">
        <v>2.06</v>
      </c>
      <c r="M5914" s="34">
        <v>3889754.5</v>
      </c>
      <c r="N5914" s="34">
        <f t="shared" si="187"/>
        <v>9.1312056737588652</v>
      </c>
    </row>
    <row r="5915" spans="1:14" x14ac:dyDescent="0.45">
      <c r="A5915" s="30">
        <v>2025</v>
      </c>
      <c r="B5915" s="30" t="s">
        <v>14</v>
      </c>
      <c r="C5915" s="30" t="s">
        <v>46</v>
      </c>
      <c r="D5915" s="30" t="s">
        <v>47</v>
      </c>
      <c r="E5915" s="31" t="s">
        <v>335</v>
      </c>
      <c r="F5915" s="31" t="s">
        <v>54</v>
      </c>
      <c r="G5915" s="32" t="s">
        <v>50</v>
      </c>
      <c r="H5915" s="33">
        <v>63230</v>
      </c>
      <c r="I5915" s="34">
        <f>Table3[[#This Row],[Volume, kg.]]/1000</f>
        <v>63.23</v>
      </c>
      <c r="J5915" s="34">
        <v>0.23469999999999999</v>
      </c>
      <c r="K5915" s="34">
        <f t="shared" si="186"/>
        <v>14840.081</v>
      </c>
      <c r="L5915" s="34">
        <v>1.95</v>
      </c>
      <c r="M5915" s="34">
        <v>123516.5</v>
      </c>
      <c r="N5915" s="34">
        <f t="shared" si="187"/>
        <v>8.3084789092458458</v>
      </c>
    </row>
    <row r="5916" spans="1:14" x14ac:dyDescent="0.45">
      <c r="A5916" s="30">
        <v>2025</v>
      </c>
      <c r="B5916" s="30" t="s">
        <v>14</v>
      </c>
      <c r="C5916" s="30" t="s">
        <v>46</v>
      </c>
      <c r="D5916" s="30" t="s">
        <v>47</v>
      </c>
      <c r="E5916" s="31" t="s">
        <v>476</v>
      </c>
      <c r="F5916" s="31" t="s">
        <v>49</v>
      </c>
      <c r="G5916" s="32" t="s">
        <v>50</v>
      </c>
      <c r="H5916" s="33">
        <v>9230</v>
      </c>
      <c r="I5916" s="34">
        <f>Table3[[#This Row],[Volume, kg.]]/1000</f>
        <v>9.23</v>
      </c>
      <c r="J5916" s="34">
        <v>0.24050000000000002</v>
      </c>
      <c r="K5916" s="34">
        <f t="shared" si="186"/>
        <v>2219.8150000000001</v>
      </c>
      <c r="L5916" s="34">
        <v>2</v>
      </c>
      <c r="M5916" s="34">
        <v>18460</v>
      </c>
      <c r="N5916" s="34">
        <f t="shared" si="187"/>
        <v>8.3160083160083147</v>
      </c>
    </row>
    <row r="5917" spans="1:14" x14ac:dyDescent="0.45">
      <c r="A5917" s="30">
        <v>2025</v>
      </c>
      <c r="B5917" s="30" t="s">
        <v>14</v>
      </c>
      <c r="C5917" s="30" t="s">
        <v>46</v>
      </c>
      <c r="D5917" s="30" t="s">
        <v>47</v>
      </c>
      <c r="E5917" s="31" t="s">
        <v>401</v>
      </c>
      <c r="F5917" s="31" t="s">
        <v>57</v>
      </c>
      <c r="G5917" s="32" t="s">
        <v>50</v>
      </c>
      <c r="H5917" s="33">
        <v>20600</v>
      </c>
      <c r="I5917" s="34">
        <f>Table3[[#This Row],[Volume, kg.]]/1000</f>
        <v>20.6</v>
      </c>
      <c r="J5917" s="34">
        <v>0.24809999999999999</v>
      </c>
      <c r="K5917" s="34">
        <f t="shared" si="186"/>
        <v>5110.8599999999997</v>
      </c>
      <c r="L5917" s="34">
        <v>2.04</v>
      </c>
      <c r="M5917" s="34">
        <v>41921.5</v>
      </c>
      <c r="N5917" s="34">
        <f t="shared" si="187"/>
        <v>8.2224909310761802</v>
      </c>
    </row>
    <row r="5918" spans="1:14" x14ac:dyDescent="0.45">
      <c r="A5918" s="30">
        <v>2025</v>
      </c>
      <c r="B5918" s="30" t="s">
        <v>14</v>
      </c>
      <c r="C5918" s="30" t="s">
        <v>46</v>
      </c>
      <c r="D5918" s="30" t="s">
        <v>47</v>
      </c>
      <c r="E5918" s="31" t="s">
        <v>567</v>
      </c>
      <c r="F5918" s="31" t="s">
        <v>49</v>
      </c>
      <c r="G5918" s="32" t="s">
        <v>50</v>
      </c>
      <c r="H5918" s="33">
        <v>72130</v>
      </c>
      <c r="I5918" s="34">
        <f>Table3[[#This Row],[Volume, kg.]]/1000</f>
        <v>72.13</v>
      </c>
      <c r="J5918" s="34">
        <v>0.23149999999999998</v>
      </c>
      <c r="K5918" s="34">
        <f t="shared" si="186"/>
        <v>16698.094999999998</v>
      </c>
      <c r="L5918" s="34">
        <v>1.97</v>
      </c>
      <c r="M5918" s="34">
        <v>142190</v>
      </c>
      <c r="N5918" s="34">
        <f t="shared" si="187"/>
        <v>8.5097192224622038</v>
      </c>
    </row>
    <row r="5919" spans="1:14" x14ac:dyDescent="0.45">
      <c r="A5919" s="30">
        <v>2025</v>
      </c>
      <c r="B5919" s="30" t="s">
        <v>14</v>
      </c>
      <c r="C5919" s="30" t="s">
        <v>46</v>
      </c>
      <c r="D5919" s="30" t="s">
        <v>47</v>
      </c>
      <c r="E5919" s="31" t="s">
        <v>507</v>
      </c>
      <c r="F5919" s="31" t="s">
        <v>60</v>
      </c>
      <c r="G5919" s="32" t="s">
        <v>50</v>
      </c>
      <c r="H5919" s="33">
        <v>29380</v>
      </c>
      <c r="I5919" s="34">
        <f>Table3[[#This Row],[Volume, kg.]]/1000</f>
        <v>29.38</v>
      </c>
      <c r="J5919" s="34">
        <v>0.2069</v>
      </c>
      <c r="K5919" s="34">
        <f t="shared" si="186"/>
        <v>6078.7219999999998</v>
      </c>
      <c r="L5919" s="34">
        <v>1.82</v>
      </c>
      <c r="M5919" s="34">
        <v>53417</v>
      </c>
      <c r="N5919" s="34">
        <f t="shared" si="187"/>
        <v>8.7965200579990341</v>
      </c>
    </row>
    <row r="5920" spans="1:14" x14ac:dyDescent="0.45">
      <c r="A5920" s="30">
        <v>2025</v>
      </c>
      <c r="B5920" s="30" t="s">
        <v>14</v>
      </c>
      <c r="C5920" s="30" t="s">
        <v>46</v>
      </c>
      <c r="D5920" s="30" t="s">
        <v>47</v>
      </c>
      <c r="E5920" s="31" t="s">
        <v>318</v>
      </c>
      <c r="F5920" s="31" t="s">
        <v>60</v>
      </c>
      <c r="G5920" s="32" t="s">
        <v>50</v>
      </c>
      <c r="H5920" s="33">
        <v>9050</v>
      </c>
      <c r="I5920" s="34">
        <f>Table3[[#This Row],[Volume, kg.]]/1000</f>
        <v>9.0500000000000007</v>
      </c>
      <c r="J5920" s="34">
        <v>0.26899999999999996</v>
      </c>
      <c r="K5920" s="34">
        <f t="shared" si="186"/>
        <v>2434.4499999999998</v>
      </c>
      <c r="L5920" s="34">
        <v>2.2000000000000002</v>
      </c>
      <c r="M5920" s="34">
        <v>19910</v>
      </c>
      <c r="N5920" s="34">
        <f t="shared" si="187"/>
        <v>8.1784386617100395</v>
      </c>
    </row>
    <row r="5921" spans="1:14" x14ac:dyDescent="0.45">
      <c r="A5921" s="30">
        <v>2025</v>
      </c>
      <c r="B5921" s="30" t="s">
        <v>14</v>
      </c>
      <c r="C5921" s="30" t="s">
        <v>46</v>
      </c>
      <c r="D5921" s="30" t="s">
        <v>47</v>
      </c>
      <c r="E5921" s="31" t="s">
        <v>216</v>
      </c>
      <c r="F5921" s="31" t="s">
        <v>64</v>
      </c>
      <c r="G5921" s="32" t="s">
        <v>50</v>
      </c>
      <c r="H5921" s="33">
        <v>49910</v>
      </c>
      <c r="I5921" s="34">
        <f>Table3[[#This Row],[Volume, kg.]]/1000</f>
        <v>49.91</v>
      </c>
      <c r="J5921" s="34">
        <v>0.2324</v>
      </c>
      <c r="K5921" s="34">
        <f t="shared" si="186"/>
        <v>11599.083999999999</v>
      </c>
      <c r="L5921" s="34">
        <v>2.0099999999999998</v>
      </c>
      <c r="M5921" s="34">
        <v>100369.5</v>
      </c>
      <c r="N5921" s="34">
        <f t="shared" si="187"/>
        <v>8.6488812392426837</v>
      </c>
    </row>
    <row r="5922" spans="1:14" x14ac:dyDescent="0.45">
      <c r="A5922" s="30">
        <v>2025</v>
      </c>
      <c r="B5922" s="30" t="s">
        <v>14</v>
      </c>
      <c r="C5922" s="30" t="s">
        <v>46</v>
      </c>
      <c r="D5922" s="30" t="s">
        <v>47</v>
      </c>
      <c r="E5922" s="31" t="s">
        <v>280</v>
      </c>
      <c r="F5922" s="31" t="s">
        <v>281</v>
      </c>
      <c r="G5922" s="32" t="s">
        <v>50</v>
      </c>
      <c r="H5922" s="33">
        <v>21480</v>
      </c>
      <c r="I5922" s="34">
        <f>Table3[[#This Row],[Volume, kg.]]/1000</f>
        <v>21.48</v>
      </c>
      <c r="J5922" s="34">
        <v>0.21479999999999999</v>
      </c>
      <c r="K5922" s="34">
        <f t="shared" si="186"/>
        <v>4613.9039999999995</v>
      </c>
      <c r="L5922" s="34">
        <v>1.85</v>
      </c>
      <c r="M5922" s="34">
        <v>39738</v>
      </c>
      <c r="N5922" s="34">
        <f t="shared" si="187"/>
        <v>8.6126629422718821</v>
      </c>
    </row>
    <row r="5923" spans="1:14" x14ac:dyDescent="0.45">
      <c r="A5923" s="30">
        <v>2025</v>
      </c>
      <c r="B5923" s="30" t="s">
        <v>14</v>
      </c>
      <c r="C5923" s="30" t="s">
        <v>46</v>
      </c>
      <c r="D5923" s="30" t="s">
        <v>47</v>
      </c>
      <c r="E5923" s="31" t="s">
        <v>243</v>
      </c>
      <c r="F5923" s="31" t="s">
        <v>60</v>
      </c>
      <c r="G5923" s="32" t="s">
        <v>50</v>
      </c>
      <c r="H5923" s="33">
        <v>30520</v>
      </c>
      <c r="I5923" s="34">
        <f>Table3[[#This Row],[Volume, kg.]]/1000</f>
        <v>30.52</v>
      </c>
      <c r="J5923" s="34">
        <v>0.24739999999999998</v>
      </c>
      <c r="K5923" s="34">
        <f t="shared" si="186"/>
        <v>7550.6479999999992</v>
      </c>
      <c r="L5923" s="34">
        <v>2.06</v>
      </c>
      <c r="M5923" s="34">
        <v>62918</v>
      </c>
      <c r="N5923" s="34">
        <f t="shared" si="187"/>
        <v>8.3265966046887634</v>
      </c>
    </row>
    <row r="5924" spans="1:14" x14ac:dyDescent="0.45">
      <c r="A5924" s="30">
        <v>2025</v>
      </c>
      <c r="B5924" s="30" t="s">
        <v>14</v>
      </c>
      <c r="C5924" s="30" t="s">
        <v>46</v>
      </c>
      <c r="D5924" s="30" t="s">
        <v>47</v>
      </c>
      <c r="E5924" s="31" t="s">
        <v>259</v>
      </c>
      <c r="F5924" s="31" t="s">
        <v>54</v>
      </c>
      <c r="G5924" s="32" t="s">
        <v>50</v>
      </c>
      <c r="H5924" s="33">
        <v>41250</v>
      </c>
      <c r="I5924" s="34">
        <f>Table3[[#This Row],[Volume, kg.]]/1000</f>
        <v>41.25</v>
      </c>
      <c r="J5924" s="34">
        <v>0.2361</v>
      </c>
      <c r="K5924" s="34">
        <f t="shared" si="186"/>
        <v>9739.125</v>
      </c>
      <c r="L5924" s="34">
        <v>2.0099999999999998</v>
      </c>
      <c r="M5924" s="34">
        <v>82934.5</v>
      </c>
      <c r="N5924" s="34">
        <f t="shared" si="187"/>
        <v>8.513341804320202</v>
      </c>
    </row>
    <row r="5925" spans="1:14" x14ac:dyDescent="0.45">
      <c r="A5925" s="30">
        <v>2025</v>
      </c>
      <c r="B5925" s="30" t="s">
        <v>14</v>
      </c>
      <c r="C5925" s="30" t="s">
        <v>46</v>
      </c>
      <c r="D5925" s="30" t="s">
        <v>47</v>
      </c>
      <c r="E5925" s="31" t="s">
        <v>477</v>
      </c>
      <c r="F5925" s="31" t="s">
        <v>54</v>
      </c>
      <c r="G5925" s="32" t="s">
        <v>50</v>
      </c>
      <c r="H5925" s="33">
        <v>11610</v>
      </c>
      <c r="I5925" s="34">
        <f>Table3[[#This Row],[Volume, kg.]]/1000</f>
        <v>11.61</v>
      </c>
      <c r="J5925" s="34">
        <v>0.21629999999999999</v>
      </c>
      <c r="K5925" s="34">
        <f t="shared" si="186"/>
        <v>2511.2429999999999</v>
      </c>
      <c r="L5925" s="34">
        <v>1.9</v>
      </c>
      <c r="M5925" s="34">
        <v>22100.5</v>
      </c>
      <c r="N5925" s="34">
        <f t="shared" si="187"/>
        <v>8.7840961627369385</v>
      </c>
    </row>
    <row r="5926" spans="1:14" x14ac:dyDescent="0.45">
      <c r="A5926" s="30">
        <v>2025</v>
      </c>
      <c r="B5926" s="30" t="s">
        <v>14</v>
      </c>
      <c r="C5926" s="30" t="s">
        <v>46</v>
      </c>
      <c r="D5926" s="30" t="s">
        <v>47</v>
      </c>
      <c r="E5926" s="31" t="s">
        <v>204</v>
      </c>
      <c r="F5926" s="31" t="s">
        <v>49</v>
      </c>
      <c r="G5926" s="32" t="s">
        <v>50</v>
      </c>
      <c r="H5926" s="33">
        <v>184200</v>
      </c>
      <c r="I5926" s="34">
        <f>Table3[[#This Row],[Volume, kg.]]/1000</f>
        <v>184.2</v>
      </c>
      <c r="J5926" s="34">
        <v>0.2457</v>
      </c>
      <c r="K5926" s="34">
        <f t="shared" si="186"/>
        <v>45257.94</v>
      </c>
      <c r="L5926" s="34">
        <v>2.04</v>
      </c>
      <c r="M5926" s="34">
        <v>376271</v>
      </c>
      <c r="N5926" s="34">
        <f t="shared" si="187"/>
        <v>8.3028083028083035</v>
      </c>
    </row>
    <row r="5927" spans="1:14" x14ac:dyDescent="0.45">
      <c r="A5927" s="30">
        <v>2025</v>
      </c>
      <c r="B5927" s="30" t="s">
        <v>14</v>
      </c>
      <c r="C5927" s="30" t="s">
        <v>46</v>
      </c>
      <c r="D5927" s="30" t="s">
        <v>47</v>
      </c>
      <c r="E5927" s="31" t="s">
        <v>154</v>
      </c>
      <c r="F5927" s="31" t="s">
        <v>60</v>
      </c>
      <c r="G5927" s="32" t="s">
        <v>50</v>
      </c>
      <c r="H5927" s="33">
        <v>10310</v>
      </c>
      <c r="I5927" s="34">
        <f>Table3[[#This Row],[Volume, kg.]]/1000</f>
        <v>10.31</v>
      </c>
      <c r="J5927" s="34">
        <v>0.21359999999999998</v>
      </c>
      <c r="K5927" s="34">
        <f t="shared" si="186"/>
        <v>2202.2159999999999</v>
      </c>
      <c r="L5927" s="34">
        <v>1.89</v>
      </c>
      <c r="M5927" s="34">
        <v>19486</v>
      </c>
      <c r="N5927" s="34">
        <f t="shared" si="187"/>
        <v>8.8483146067415728</v>
      </c>
    </row>
    <row r="5928" spans="1:14" x14ac:dyDescent="0.45">
      <c r="A5928" s="30">
        <v>2025</v>
      </c>
      <c r="B5928" s="30" t="s">
        <v>14</v>
      </c>
      <c r="C5928" s="30" t="s">
        <v>46</v>
      </c>
      <c r="D5928" s="30" t="s">
        <v>47</v>
      </c>
      <c r="E5928" s="31" t="s">
        <v>211</v>
      </c>
      <c r="F5928" s="31" t="s">
        <v>57</v>
      </c>
      <c r="G5928" s="32" t="s">
        <v>50</v>
      </c>
      <c r="H5928" s="33">
        <v>9080</v>
      </c>
      <c r="I5928" s="34">
        <f>Table3[[#This Row],[Volume, kg.]]/1000</f>
        <v>9.08</v>
      </c>
      <c r="J5928" s="34">
        <v>0.18379999999999999</v>
      </c>
      <c r="K5928" s="34">
        <f t="shared" si="186"/>
        <v>1668.904</v>
      </c>
      <c r="L5928" s="34">
        <v>1.78</v>
      </c>
      <c r="M5928" s="34">
        <v>16118.5</v>
      </c>
      <c r="N5928" s="34">
        <f t="shared" si="187"/>
        <v>9.6844396082698587</v>
      </c>
    </row>
    <row r="5929" spans="1:14" x14ac:dyDescent="0.45">
      <c r="A5929" s="30">
        <v>2025</v>
      </c>
      <c r="B5929" s="30" t="s">
        <v>14</v>
      </c>
      <c r="C5929" s="30" t="s">
        <v>46</v>
      </c>
      <c r="D5929" s="30" t="s">
        <v>102</v>
      </c>
      <c r="E5929" s="31" t="s">
        <v>157</v>
      </c>
      <c r="F5929" s="31" t="s">
        <v>127</v>
      </c>
      <c r="G5929" s="32" t="s">
        <v>128</v>
      </c>
      <c r="H5929" s="33">
        <v>117960</v>
      </c>
      <c r="I5929" s="34">
        <f>Table3[[#This Row],[Volume, kg.]]/1000</f>
        <v>117.96</v>
      </c>
      <c r="J5929" s="34">
        <v>0.23089999999999999</v>
      </c>
      <c r="K5929" s="34">
        <f t="shared" si="186"/>
        <v>27236.964</v>
      </c>
      <c r="L5929" s="34">
        <v>2.04</v>
      </c>
      <c r="M5929" s="34">
        <v>240305.5</v>
      </c>
      <c r="N5929" s="34">
        <f t="shared" si="187"/>
        <v>8.8349935036812468</v>
      </c>
    </row>
    <row r="5930" spans="1:14" x14ac:dyDescent="0.45">
      <c r="A5930" s="30">
        <v>2025</v>
      </c>
      <c r="B5930" s="30" t="s">
        <v>14</v>
      </c>
      <c r="C5930" s="30" t="s">
        <v>46</v>
      </c>
      <c r="D5930" s="30" t="s">
        <v>47</v>
      </c>
      <c r="E5930" s="31" t="s">
        <v>75</v>
      </c>
      <c r="F5930" s="31" t="s">
        <v>49</v>
      </c>
      <c r="G5930" s="32" t="s">
        <v>50</v>
      </c>
      <c r="H5930" s="33">
        <v>49460</v>
      </c>
      <c r="I5930" s="34">
        <f>Table3[[#This Row],[Volume, kg.]]/1000</f>
        <v>49.46</v>
      </c>
      <c r="J5930" s="34">
        <v>0.23079999999999998</v>
      </c>
      <c r="K5930" s="34">
        <f t="shared" si="186"/>
        <v>11415.367999999999</v>
      </c>
      <c r="L5930" s="34">
        <v>1.98</v>
      </c>
      <c r="M5930" s="34">
        <v>97947.5</v>
      </c>
      <c r="N5930" s="34">
        <f t="shared" si="187"/>
        <v>8.5788561525129996</v>
      </c>
    </row>
    <row r="5931" spans="1:14" x14ac:dyDescent="0.45">
      <c r="A5931" s="30">
        <v>2025</v>
      </c>
      <c r="B5931" s="30" t="s">
        <v>14</v>
      </c>
      <c r="C5931" s="30" t="s">
        <v>46</v>
      </c>
      <c r="D5931" s="30" t="s">
        <v>47</v>
      </c>
      <c r="E5931" s="31" t="s">
        <v>97</v>
      </c>
      <c r="F5931" s="31" t="s">
        <v>49</v>
      </c>
      <c r="G5931" s="32" t="s">
        <v>50</v>
      </c>
      <c r="H5931" s="33">
        <v>155410</v>
      </c>
      <c r="I5931" s="34">
        <f>Table3[[#This Row],[Volume, kg.]]/1000</f>
        <v>155.41</v>
      </c>
      <c r="J5931" s="34">
        <v>0.223</v>
      </c>
      <c r="K5931" s="34">
        <f t="shared" si="186"/>
        <v>34656.43</v>
      </c>
      <c r="L5931" s="34">
        <v>1.92</v>
      </c>
      <c r="M5931" s="34">
        <v>299073.5</v>
      </c>
      <c r="N5931" s="34">
        <f t="shared" si="187"/>
        <v>8.6098654708520179</v>
      </c>
    </row>
    <row r="5932" spans="1:14" x14ac:dyDescent="0.45">
      <c r="A5932" s="30">
        <v>2025</v>
      </c>
      <c r="B5932" s="30" t="s">
        <v>14</v>
      </c>
      <c r="C5932" s="30" t="s">
        <v>46</v>
      </c>
      <c r="D5932" s="30" t="s">
        <v>47</v>
      </c>
      <c r="E5932" s="31" t="s">
        <v>355</v>
      </c>
      <c r="F5932" s="31" t="s">
        <v>60</v>
      </c>
      <c r="G5932" s="32" t="s">
        <v>50</v>
      </c>
      <c r="H5932" s="33">
        <v>60930</v>
      </c>
      <c r="I5932" s="34">
        <f>Table3[[#This Row],[Volume, kg.]]/1000</f>
        <v>60.93</v>
      </c>
      <c r="J5932" s="34">
        <v>0.25319999999999998</v>
      </c>
      <c r="K5932" s="34">
        <f t="shared" si="186"/>
        <v>15427.475999999999</v>
      </c>
      <c r="L5932" s="34">
        <v>2.0699999999999998</v>
      </c>
      <c r="M5932" s="34">
        <v>126000.5</v>
      </c>
      <c r="N5932" s="34">
        <f t="shared" si="187"/>
        <v>8.1753554502369674</v>
      </c>
    </row>
    <row r="5933" spans="1:14" x14ac:dyDescent="0.45">
      <c r="A5933" s="30">
        <v>2025</v>
      </c>
      <c r="B5933" s="30" t="s">
        <v>14</v>
      </c>
      <c r="C5933" s="30" t="s">
        <v>46</v>
      </c>
      <c r="D5933" s="30" t="s">
        <v>47</v>
      </c>
      <c r="E5933" s="31" t="s">
        <v>345</v>
      </c>
      <c r="F5933" s="31" t="s">
        <v>81</v>
      </c>
      <c r="G5933" s="32" t="s">
        <v>50</v>
      </c>
      <c r="H5933" s="33">
        <v>55160</v>
      </c>
      <c r="I5933" s="34">
        <f>Table3[[#This Row],[Volume, kg.]]/1000</f>
        <v>55.16</v>
      </c>
      <c r="J5933" s="34">
        <v>0.24260000000000001</v>
      </c>
      <c r="K5933" s="34">
        <f t="shared" si="186"/>
        <v>13381.816000000001</v>
      </c>
      <c r="L5933" s="34">
        <v>2.02</v>
      </c>
      <c r="M5933" s="34">
        <v>111226.5</v>
      </c>
      <c r="N5933" s="34">
        <f t="shared" si="187"/>
        <v>8.3264633140972784</v>
      </c>
    </row>
    <row r="5934" spans="1:14" x14ac:dyDescent="0.45">
      <c r="A5934" s="30">
        <v>2025</v>
      </c>
      <c r="B5934" s="30" t="s">
        <v>14</v>
      </c>
      <c r="C5934" s="30" t="s">
        <v>46</v>
      </c>
      <c r="D5934" s="30" t="s">
        <v>47</v>
      </c>
      <c r="E5934" s="31" t="s">
        <v>273</v>
      </c>
      <c r="F5934" s="31" t="s">
        <v>49</v>
      </c>
      <c r="G5934" s="32" t="s">
        <v>50</v>
      </c>
      <c r="H5934" s="33">
        <v>13820</v>
      </c>
      <c r="I5934" s="34">
        <f>Table3[[#This Row],[Volume, kg.]]/1000</f>
        <v>13.82</v>
      </c>
      <c r="J5934" s="34">
        <v>0.22309999999999999</v>
      </c>
      <c r="K5934" s="34">
        <f t="shared" si="186"/>
        <v>3083.2419999999997</v>
      </c>
      <c r="L5934" s="34">
        <v>1.9</v>
      </c>
      <c r="M5934" s="34">
        <v>26258</v>
      </c>
      <c r="N5934" s="34">
        <f t="shared" si="187"/>
        <v>8.5163603765127736</v>
      </c>
    </row>
    <row r="5935" spans="1:14" x14ac:dyDescent="0.45">
      <c r="A5935" s="30">
        <v>2025</v>
      </c>
      <c r="B5935" s="30" t="s">
        <v>14</v>
      </c>
      <c r="C5935" s="30" t="s">
        <v>46</v>
      </c>
      <c r="D5935" s="30" t="s">
        <v>47</v>
      </c>
      <c r="E5935" s="31" t="s">
        <v>247</v>
      </c>
      <c r="F5935" s="31" t="s">
        <v>134</v>
      </c>
      <c r="G5935" s="32" t="s">
        <v>50</v>
      </c>
      <c r="H5935" s="33">
        <v>11180</v>
      </c>
      <c r="I5935" s="34">
        <f>Table3[[#This Row],[Volume, kg.]]/1000</f>
        <v>11.18</v>
      </c>
      <c r="J5935" s="34">
        <v>0.19750000000000001</v>
      </c>
      <c r="K5935" s="34">
        <f t="shared" si="186"/>
        <v>2208.0500000000002</v>
      </c>
      <c r="L5935" s="34">
        <v>1.85</v>
      </c>
      <c r="M5935" s="34">
        <v>20683</v>
      </c>
      <c r="N5935" s="34">
        <f t="shared" si="187"/>
        <v>9.3670886075949369</v>
      </c>
    </row>
    <row r="5936" spans="1:14" x14ac:dyDescent="0.45">
      <c r="A5936" s="30">
        <v>2025</v>
      </c>
      <c r="B5936" s="30" t="s">
        <v>14</v>
      </c>
      <c r="C5936" s="30" t="s">
        <v>46</v>
      </c>
      <c r="D5936" s="30" t="s">
        <v>47</v>
      </c>
      <c r="E5936" s="31" t="s">
        <v>96</v>
      </c>
      <c r="F5936" s="31" t="s">
        <v>49</v>
      </c>
      <c r="G5936" s="32" t="s">
        <v>50</v>
      </c>
      <c r="H5936" s="33">
        <v>81550</v>
      </c>
      <c r="I5936" s="34">
        <f>Table3[[#This Row],[Volume, kg.]]/1000</f>
        <v>81.55</v>
      </c>
      <c r="J5936" s="34">
        <v>0.23989999999999997</v>
      </c>
      <c r="K5936" s="34">
        <f t="shared" si="186"/>
        <v>19563.844999999998</v>
      </c>
      <c r="L5936" s="34">
        <v>2.0099999999999998</v>
      </c>
      <c r="M5936" s="34">
        <v>163972.5</v>
      </c>
      <c r="N5936" s="34">
        <f t="shared" si="187"/>
        <v>8.3784910379324717</v>
      </c>
    </row>
    <row r="5937" spans="1:14" x14ac:dyDescent="0.45">
      <c r="A5937" s="30">
        <v>2025</v>
      </c>
      <c r="B5937" s="30" t="s">
        <v>14</v>
      </c>
      <c r="C5937" s="30" t="s">
        <v>46</v>
      </c>
      <c r="D5937" s="30" t="s">
        <v>47</v>
      </c>
      <c r="E5937" s="31" t="s">
        <v>369</v>
      </c>
      <c r="F5937" s="31" t="s">
        <v>57</v>
      </c>
      <c r="G5937" s="32" t="s">
        <v>50</v>
      </c>
      <c r="H5937" s="33">
        <v>74040</v>
      </c>
      <c r="I5937" s="34">
        <f>Table3[[#This Row],[Volume, kg.]]/1000</f>
        <v>74.040000000000006</v>
      </c>
      <c r="J5937" s="34">
        <v>0.221</v>
      </c>
      <c r="K5937" s="34">
        <f t="shared" si="186"/>
        <v>16362.84</v>
      </c>
      <c r="L5937" s="34">
        <v>1.92</v>
      </c>
      <c r="M5937" s="34">
        <v>142507.5</v>
      </c>
      <c r="N5937" s="34">
        <f t="shared" si="187"/>
        <v>8.6877828054298636</v>
      </c>
    </row>
    <row r="5938" spans="1:14" x14ac:dyDescent="0.45">
      <c r="A5938" s="30">
        <v>2025</v>
      </c>
      <c r="B5938" s="30" t="s">
        <v>14</v>
      </c>
      <c r="C5938" s="30" t="s">
        <v>46</v>
      </c>
      <c r="D5938" s="30" t="s">
        <v>102</v>
      </c>
      <c r="E5938" s="31" t="s">
        <v>730</v>
      </c>
      <c r="F5938" s="31" t="s">
        <v>487</v>
      </c>
      <c r="G5938" s="32" t="s">
        <v>341</v>
      </c>
      <c r="H5938" s="33">
        <v>337940</v>
      </c>
      <c r="I5938" s="34">
        <f>Table3[[#This Row],[Volume, kg.]]/1000</f>
        <v>337.94</v>
      </c>
      <c r="J5938" s="34">
        <v>0.23269999999999999</v>
      </c>
      <c r="K5938" s="34">
        <f t="shared" si="186"/>
        <v>78638.637999999992</v>
      </c>
      <c r="L5938" s="34">
        <v>2.08</v>
      </c>
      <c r="M5938" s="34">
        <v>703622</v>
      </c>
      <c r="N5938" s="34">
        <f t="shared" si="187"/>
        <v>8.9385474860335208</v>
      </c>
    </row>
    <row r="5939" spans="1:14" x14ac:dyDescent="0.45">
      <c r="A5939" s="30">
        <v>2025</v>
      </c>
      <c r="B5939" s="30" t="s">
        <v>14</v>
      </c>
      <c r="C5939" s="30" t="s">
        <v>46</v>
      </c>
      <c r="D5939" s="30" t="s">
        <v>102</v>
      </c>
      <c r="E5939" s="31" t="s">
        <v>710</v>
      </c>
      <c r="F5939" s="31" t="s">
        <v>189</v>
      </c>
      <c r="G5939" s="32" t="s">
        <v>128</v>
      </c>
      <c r="H5939" s="33">
        <v>64410</v>
      </c>
      <c r="I5939" s="34">
        <f>Table3[[#This Row],[Volume, kg.]]/1000</f>
        <v>64.41</v>
      </c>
      <c r="J5939" s="34">
        <v>0.2198</v>
      </c>
      <c r="K5939" s="34">
        <f t="shared" si="186"/>
        <v>14157.317999999999</v>
      </c>
      <c r="L5939" s="34">
        <v>2.0499999999999998</v>
      </c>
      <c r="M5939" s="34">
        <v>131785</v>
      </c>
      <c r="N5939" s="34">
        <f t="shared" si="187"/>
        <v>9.3266606005459494</v>
      </c>
    </row>
    <row r="5940" spans="1:14" x14ac:dyDescent="0.45">
      <c r="A5940" s="30">
        <v>2025</v>
      </c>
      <c r="B5940" s="30" t="s">
        <v>14</v>
      </c>
      <c r="C5940" s="30" t="s">
        <v>46</v>
      </c>
      <c r="D5940" s="30" t="s">
        <v>47</v>
      </c>
      <c r="E5940" s="31" t="s">
        <v>87</v>
      </c>
      <c r="F5940" s="31" t="s">
        <v>49</v>
      </c>
      <c r="G5940" s="32" t="s">
        <v>50</v>
      </c>
      <c r="H5940" s="33">
        <v>56460</v>
      </c>
      <c r="I5940" s="34">
        <f>Table3[[#This Row],[Volume, kg.]]/1000</f>
        <v>56.46</v>
      </c>
      <c r="J5940" s="34">
        <v>0.2235</v>
      </c>
      <c r="K5940" s="34">
        <f t="shared" si="186"/>
        <v>12618.81</v>
      </c>
      <c r="L5940" s="34">
        <v>1.95</v>
      </c>
      <c r="M5940" s="34">
        <v>109866</v>
      </c>
      <c r="N5940" s="34">
        <f t="shared" si="187"/>
        <v>8.724832214765101</v>
      </c>
    </row>
    <row r="5941" spans="1:14" x14ac:dyDescent="0.45">
      <c r="A5941" s="30">
        <v>2025</v>
      </c>
      <c r="B5941" s="30" t="s">
        <v>14</v>
      </c>
      <c r="C5941" s="30" t="s">
        <v>46</v>
      </c>
      <c r="D5941" s="30" t="s">
        <v>47</v>
      </c>
      <c r="E5941" s="31" t="s">
        <v>285</v>
      </c>
      <c r="F5941" s="31" t="s">
        <v>49</v>
      </c>
      <c r="G5941" s="32" t="s">
        <v>50</v>
      </c>
      <c r="H5941" s="33">
        <v>57360</v>
      </c>
      <c r="I5941" s="34">
        <f>Table3[[#This Row],[Volume, kg.]]/1000</f>
        <v>57.36</v>
      </c>
      <c r="J5941" s="34">
        <v>0.2303</v>
      </c>
      <c r="K5941" s="34">
        <f t="shared" si="186"/>
        <v>13210.008</v>
      </c>
      <c r="L5941" s="34">
        <v>1.96</v>
      </c>
      <c r="M5941" s="34">
        <v>112197.5</v>
      </c>
      <c r="N5941" s="34">
        <f t="shared" si="187"/>
        <v>8.5106382978723403</v>
      </c>
    </row>
    <row r="5942" spans="1:14" x14ac:dyDescent="0.45">
      <c r="A5942" s="30">
        <v>2025</v>
      </c>
      <c r="B5942" s="30" t="s">
        <v>14</v>
      </c>
      <c r="C5942" s="30" t="s">
        <v>46</v>
      </c>
      <c r="D5942" s="30" t="s">
        <v>47</v>
      </c>
      <c r="E5942" s="31" t="s">
        <v>404</v>
      </c>
      <c r="F5942" s="31" t="s">
        <v>60</v>
      </c>
      <c r="G5942" s="32" t="s">
        <v>50</v>
      </c>
      <c r="H5942" s="33">
        <v>9030</v>
      </c>
      <c r="I5942" s="34">
        <f>Table3[[#This Row],[Volume, kg.]]/1000</f>
        <v>9.0299999999999994</v>
      </c>
      <c r="J5942" s="34">
        <v>0.26350000000000001</v>
      </c>
      <c r="K5942" s="34">
        <f t="shared" si="186"/>
        <v>2379.4050000000002</v>
      </c>
      <c r="L5942" s="34">
        <v>2.1</v>
      </c>
      <c r="M5942" s="34">
        <v>18963</v>
      </c>
      <c r="N5942" s="34">
        <f t="shared" si="187"/>
        <v>7.9696394686907022</v>
      </c>
    </row>
    <row r="5943" spans="1:14" x14ac:dyDescent="0.45">
      <c r="A5943" s="30">
        <v>2025</v>
      </c>
      <c r="B5943" s="30" t="s">
        <v>14</v>
      </c>
      <c r="C5943" s="30" t="s">
        <v>46</v>
      </c>
      <c r="D5943" s="30" t="s">
        <v>47</v>
      </c>
      <c r="E5943" s="31" t="s">
        <v>508</v>
      </c>
      <c r="F5943" s="31" t="s">
        <v>60</v>
      </c>
      <c r="G5943" s="32" t="s">
        <v>50</v>
      </c>
      <c r="H5943" s="33">
        <v>41600</v>
      </c>
      <c r="I5943" s="34">
        <f>Table3[[#This Row],[Volume, kg.]]/1000</f>
        <v>41.6</v>
      </c>
      <c r="J5943" s="34">
        <v>0.26379999999999998</v>
      </c>
      <c r="K5943" s="34">
        <f t="shared" si="186"/>
        <v>10974.08</v>
      </c>
      <c r="L5943" s="34">
        <v>2.14</v>
      </c>
      <c r="M5943" s="34">
        <v>88840</v>
      </c>
      <c r="N5943" s="34">
        <f t="shared" si="187"/>
        <v>8.1122062168309341</v>
      </c>
    </row>
    <row r="5944" spans="1:14" x14ac:dyDescent="0.45">
      <c r="A5944" s="30">
        <v>2025</v>
      </c>
      <c r="B5944" s="30" t="s">
        <v>14</v>
      </c>
      <c r="C5944" s="30" t="s">
        <v>46</v>
      </c>
      <c r="D5944" s="30" t="s">
        <v>102</v>
      </c>
      <c r="E5944" s="31" t="s">
        <v>733</v>
      </c>
      <c r="F5944" s="31" t="s">
        <v>734</v>
      </c>
      <c r="G5944" s="32" t="s">
        <v>128</v>
      </c>
      <c r="H5944" s="33">
        <v>28010</v>
      </c>
      <c r="I5944" s="34">
        <f>Table3[[#This Row],[Volume, kg.]]/1000</f>
        <v>28.01</v>
      </c>
      <c r="J5944" s="34">
        <v>0.19600000000000001</v>
      </c>
      <c r="K5944" s="34">
        <f t="shared" si="186"/>
        <v>5489.96</v>
      </c>
      <c r="L5944" s="34">
        <v>1.95</v>
      </c>
      <c r="M5944" s="34">
        <v>54619.5</v>
      </c>
      <c r="N5944" s="34">
        <f t="shared" si="187"/>
        <v>9.9489795918367339</v>
      </c>
    </row>
    <row r="5945" spans="1:14" x14ac:dyDescent="0.45">
      <c r="A5945" s="30">
        <v>2025</v>
      </c>
      <c r="B5945" s="30" t="s">
        <v>14</v>
      </c>
      <c r="C5945" s="30" t="s">
        <v>46</v>
      </c>
      <c r="D5945" s="30" t="s">
        <v>47</v>
      </c>
      <c r="E5945" s="31" t="s">
        <v>430</v>
      </c>
      <c r="F5945" s="31" t="s">
        <v>49</v>
      </c>
      <c r="G5945" s="32" t="s">
        <v>50</v>
      </c>
      <c r="H5945" s="33">
        <v>59830</v>
      </c>
      <c r="I5945" s="34">
        <f>Table3[[#This Row],[Volume, kg.]]/1000</f>
        <v>59.83</v>
      </c>
      <c r="J5945" s="34">
        <v>0.2296</v>
      </c>
      <c r="K5945" s="34">
        <f t="shared" si="186"/>
        <v>13736.968000000001</v>
      </c>
      <c r="L5945" s="34">
        <v>1.93</v>
      </c>
      <c r="M5945" s="34">
        <v>115580</v>
      </c>
      <c r="N5945" s="34">
        <f t="shared" si="187"/>
        <v>8.4059233449477357</v>
      </c>
    </row>
    <row r="5946" spans="1:14" x14ac:dyDescent="0.45">
      <c r="A5946" s="30">
        <v>2025</v>
      </c>
      <c r="B5946" s="30" t="s">
        <v>14</v>
      </c>
      <c r="C5946" s="30" t="s">
        <v>46</v>
      </c>
      <c r="D5946" s="30" t="s">
        <v>47</v>
      </c>
      <c r="E5946" s="31" t="s">
        <v>453</v>
      </c>
      <c r="F5946" s="31" t="s">
        <v>57</v>
      </c>
      <c r="G5946" s="32" t="s">
        <v>50</v>
      </c>
      <c r="H5946" s="33">
        <v>164160</v>
      </c>
      <c r="I5946" s="34">
        <f>Table3[[#This Row],[Volume, kg.]]/1000</f>
        <v>164.16</v>
      </c>
      <c r="J5946" s="34">
        <v>0.2462</v>
      </c>
      <c r="K5946" s="34">
        <f t="shared" si="186"/>
        <v>40416.192000000003</v>
      </c>
      <c r="L5946" s="34">
        <v>2.0299999999999998</v>
      </c>
      <c r="M5946" s="34">
        <v>333354.5</v>
      </c>
      <c r="N5946" s="34">
        <f t="shared" si="187"/>
        <v>8.2453290008123474</v>
      </c>
    </row>
    <row r="5947" spans="1:14" x14ac:dyDescent="0.45">
      <c r="A5947" s="30">
        <v>2025</v>
      </c>
      <c r="B5947" s="30" t="s">
        <v>14</v>
      </c>
      <c r="C5947" s="30" t="s">
        <v>46</v>
      </c>
      <c r="D5947" s="30" t="s">
        <v>47</v>
      </c>
      <c r="E5947" s="31" t="s">
        <v>315</v>
      </c>
      <c r="F5947" s="31" t="s">
        <v>134</v>
      </c>
      <c r="G5947" s="32" t="s">
        <v>50</v>
      </c>
      <c r="H5947" s="33">
        <v>50850</v>
      </c>
      <c r="I5947" s="34">
        <f>Table3[[#This Row],[Volume, kg.]]/1000</f>
        <v>50.85</v>
      </c>
      <c r="J5947" s="34">
        <v>0.19570000000000001</v>
      </c>
      <c r="K5947" s="34">
        <f t="shared" si="186"/>
        <v>9951.3450000000012</v>
      </c>
      <c r="L5947" s="34">
        <v>1.73</v>
      </c>
      <c r="M5947" s="34">
        <v>88007</v>
      </c>
      <c r="N5947" s="34">
        <f t="shared" si="187"/>
        <v>8.8400613183444037</v>
      </c>
    </row>
    <row r="5948" spans="1:14" x14ac:dyDescent="0.45">
      <c r="A5948" s="30">
        <v>2025</v>
      </c>
      <c r="B5948" s="30" t="s">
        <v>14</v>
      </c>
      <c r="C5948" s="30" t="s">
        <v>46</v>
      </c>
      <c r="D5948" s="30" t="s">
        <v>47</v>
      </c>
      <c r="E5948" s="31" t="s">
        <v>227</v>
      </c>
      <c r="F5948" s="31" t="s">
        <v>57</v>
      </c>
      <c r="G5948" s="32" t="s">
        <v>50</v>
      </c>
      <c r="H5948" s="33">
        <v>50600</v>
      </c>
      <c r="I5948" s="34">
        <f>Table3[[#This Row],[Volume, kg.]]/1000</f>
        <v>50.6</v>
      </c>
      <c r="J5948" s="34">
        <v>0.20910000000000001</v>
      </c>
      <c r="K5948" s="34">
        <f t="shared" si="186"/>
        <v>10580.460000000001</v>
      </c>
      <c r="L5948" s="34">
        <v>1.86</v>
      </c>
      <c r="M5948" s="34">
        <v>94105</v>
      </c>
      <c r="N5948" s="34">
        <f t="shared" si="187"/>
        <v>8.8952654232424671</v>
      </c>
    </row>
    <row r="5949" spans="1:14" x14ac:dyDescent="0.45">
      <c r="A5949" s="30">
        <v>2025</v>
      </c>
      <c r="B5949" s="30" t="s">
        <v>14</v>
      </c>
      <c r="C5949" s="30" t="s">
        <v>46</v>
      </c>
      <c r="D5949" s="30" t="s">
        <v>47</v>
      </c>
      <c r="E5949" s="31" t="s">
        <v>509</v>
      </c>
      <c r="F5949" s="31" t="s">
        <v>49</v>
      </c>
      <c r="G5949" s="32" t="s">
        <v>50</v>
      </c>
      <c r="H5949" s="33">
        <v>25260</v>
      </c>
      <c r="I5949" s="34">
        <f>Table3[[#This Row],[Volume, kg.]]/1000</f>
        <v>25.26</v>
      </c>
      <c r="J5949" s="34">
        <v>0.23050000000000001</v>
      </c>
      <c r="K5949" s="34">
        <f t="shared" si="186"/>
        <v>5822.43</v>
      </c>
      <c r="L5949" s="34">
        <v>1.94</v>
      </c>
      <c r="M5949" s="34">
        <v>49033</v>
      </c>
      <c r="N5949" s="34">
        <f t="shared" si="187"/>
        <v>8.4164859002169194</v>
      </c>
    </row>
    <row r="5950" spans="1:14" x14ac:dyDescent="0.45">
      <c r="A5950" s="30">
        <v>2025</v>
      </c>
      <c r="B5950" s="30" t="s">
        <v>14</v>
      </c>
      <c r="C5950" s="30" t="s">
        <v>46</v>
      </c>
      <c r="D5950" s="30" t="s">
        <v>47</v>
      </c>
      <c r="E5950" s="31" t="s">
        <v>159</v>
      </c>
      <c r="F5950" s="31" t="s">
        <v>81</v>
      </c>
      <c r="G5950" s="32" t="s">
        <v>50</v>
      </c>
      <c r="H5950" s="33">
        <v>127340</v>
      </c>
      <c r="I5950" s="34">
        <f>Table3[[#This Row],[Volume, kg.]]/1000</f>
        <v>127.34</v>
      </c>
      <c r="J5950" s="34">
        <v>0.2072</v>
      </c>
      <c r="K5950" s="34">
        <f t="shared" si="186"/>
        <v>26384.847999999998</v>
      </c>
      <c r="L5950" s="34">
        <v>1.85</v>
      </c>
      <c r="M5950" s="34">
        <v>235754</v>
      </c>
      <c r="N5950" s="34">
        <f t="shared" si="187"/>
        <v>8.9285714285714288</v>
      </c>
    </row>
    <row r="5951" spans="1:14" x14ac:dyDescent="0.45">
      <c r="A5951" s="30">
        <v>2025</v>
      </c>
      <c r="B5951" s="30" t="s">
        <v>14</v>
      </c>
      <c r="C5951" s="30" t="s">
        <v>46</v>
      </c>
      <c r="D5951" s="30" t="s">
        <v>47</v>
      </c>
      <c r="E5951" s="31" t="s">
        <v>562</v>
      </c>
      <c r="F5951" s="31" t="s">
        <v>64</v>
      </c>
      <c r="G5951" s="32" t="s">
        <v>50</v>
      </c>
      <c r="H5951" s="33">
        <v>40780</v>
      </c>
      <c r="I5951" s="34">
        <f>Table3[[#This Row],[Volume, kg.]]/1000</f>
        <v>40.78</v>
      </c>
      <c r="J5951" s="34">
        <v>0.21660000000000001</v>
      </c>
      <c r="K5951" s="34">
        <f t="shared" si="186"/>
        <v>8832.9480000000003</v>
      </c>
      <c r="L5951" s="34">
        <v>1.89</v>
      </c>
      <c r="M5951" s="34">
        <v>77091.5</v>
      </c>
      <c r="N5951" s="34">
        <f t="shared" si="187"/>
        <v>8.7257617728531844</v>
      </c>
    </row>
    <row r="5952" spans="1:14" x14ac:dyDescent="0.45">
      <c r="A5952" s="30">
        <v>2025</v>
      </c>
      <c r="B5952" s="30" t="s">
        <v>14</v>
      </c>
      <c r="C5952" s="30" t="s">
        <v>46</v>
      </c>
      <c r="D5952" s="30" t="s">
        <v>47</v>
      </c>
      <c r="E5952" s="31" t="s">
        <v>255</v>
      </c>
      <c r="F5952" s="31" t="s">
        <v>60</v>
      </c>
      <c r="G5952" s="32" t="s">
        <v>50</v>
      </c>
      <c r="H5952" s="33">
        <v>63430</v>
      </c>
      <c r="I5952" s="34">
        <f>Table3[[#This Row],[Volume, kg.]]/1000</f>
        <v>63.43</v>
      </c>
      <c r="J5952" s="34">
        <v>0.2465</v>
      </c>
      <c r="K5952" s="34">
        <f t="shared" si="186"/>
        <v>15635.494999999999</v>
      </c>
      <c r="L5952" s="34">
        <v>2.0499999999999998</v>
      </c>
      <c r="M5952" s="34">
        <v>130110.5</v>
      </c>
      <c r="N5952" s="34">
        <f t="shared" si="187"/>
        <v>8.3164300202839758</v>
      </c>
    </row>
    <row r="5953" spans="1:14" x14ac:dyDescent="0.45">
      <c r="A5953" s="30">
        <v>2025</v>
      </c>
      <c r="B5953" s="30" t="s">
        <v>14</v>
      </c>
      <c r="C5953" s="30" t="s">
        <v>46</v>
      </c>
      <c r="D5953" s="30" t="s">
        <v>47</v>
      </c>
      <c r="E5953" s="31" t="s">
        <v>309</v>
      </c>
      <c r="F5953" s="31" t="s">
        <v>81</v>
      </c>
      <c r="G5953" s="32" t="s">
        <v>50</v>
      </c>
      <c r="H5953" s="33">
        <v>111400</v>
      </c>
      <c r="I5953" s="34">
        <f>Table3[[#This Row],[Volume, kg.]]/1000</f>
        <v>111.4</v>
      </c>
      <c r="J5953" s="34">
        <v>0.22920000000000001</v>
      </c>
      <c r="K5953" s="34">
        <f t="shared" si="186"/>
        <v>25532.880000000001</v>
      </c>
      <c r="L5953" s="34">
        <v>1.96</v>
      </c>
      <c r="M5953" s="34">
        <v>218717.5</v>
      </c>
      <c r="N5953" s="34">
        <f t="shared" si="187"/>
        <v>8.5514834205933674</v>
      </c>
    </row>
    <row r="5954" spans="1:14" x14ac:dyDescent="0.45">
      <c r="A5954" s="30">
        <v>2025</v>
      </c>
      <c r="B5954" s="30" t="s">
        <v>14</v>
      </c>
      <c r="C5954" s="30" t="s">
        <v>46</v>
      </c>
      <c r="D5954" s="30" t="s">
        <v>47</v>
      </c>
      <c r="E5954" s="31" t="s">
        <v>510</v>
      </c>
      <c r="F5954" s="31" t="s">
        <v>49</v>
      </c>
      <c r="G5954" s="32" t="s">
        <v>50</v>
      </c>
      <c r="H5954" s="33">
        <v>67690</v>
      </c>
      <c r="I5954" s="34">
        <f>Table3[[#This Row],[Volume, kg.]]/1000</f>
        <v>67.69</v>
      </c>
      <c r="J5954" s="34">
        <v>0.23050000000000001</v>
      </c>
      <c r="K5954" s="34">
        <f t="shared" si="186"/>
        <v>15602.545</v>
      </c>
      <c r="L5954" s="34">
        <v>1.96</v>
      </c>
      <c r="M5954" s="34">
        <v>132499.5</v>
      </c>
      <c r="N5954" s="34">
        <f t="shared" si="187"/>
        <v>8.5032537960954446</v>
      </c>
    </row>
    <row r="5955" spans="1:14" x14ac:dyDescent="0.45">
      <c r="A5955" s="30">
        <v>2025</v>
      </c>
      <c r="B5955" s="30" t="s">
        <v>14</v>
      </c>
      <c r="C5955" s="30" t="s">
        <v>46</v>
      </c>
      <c r="D5955" s="30" t="s">
        <v>47</v>
      </c>
      <c r="E5955" s="31" t="s">
        <v>316</v>
      </c>
      <c r="F5955" s="31" t="s">
        <v>57</v>
      </c>
      <c r="G5955" s="32" t="s">
        <v>50</v>
      </c>
      <c r="H5955" s="33">
        <v>5890</v>
      </c>
      <c r="I5955" s="34">
        <f>Table3[[#This Row],[Volume, kg.]]/1000</f>
        <v>5.89</v>
      </c>
      <c r="J5955" s="34">
        <v>0.24199999999999999</v>
      </c>
      <c r="K5955" s="34">
        <f t="shared" si="186"/>
        <v>1425.3799999999999</v>
      </c>
      <c r="L5955" s="34">
        <v>2</v>
      </c>
      <c r="M5955" s="34">
        <v>11780</v>
      </c>
      <c r="N5955" s="34">
        <f t="shared" si="187"/>
        <v>8.2644628099173563</v>
      </c>
    </row>
    <row r="5956" spans="1:14" x14ac:dyDescent="0.45">
      <c r="A5956" s="30">
        <v>2025</v>
      </c>
      <c r="B5956" s="30" t="s">
        <v>14</v>
      </c>
      <c r="C5956" s="30" t="s">
        <v>46</v>
      </c>
      <c r="D5956" s="30" t="s">
        <v>47</v>
      </c>
      <c r="E5956" s="31" t="s">
        <v>91</v>
      </c>
      <c r="F5956" s="31" t="s">
        <v>60</v>
      </c>
      <c r="G5956" s="32" t="s">
        <v>50</v>
      </c>
      <c r="H5956" s="33">
        <v>55910</v>
      </c>
      <c r="I5956" s="34">
        <f>Table3[[#This Row],[Volume, kg.]]/1000</f>
        <v>55.91</v>
      </c>
      <c r="J5956" s="34">
        <v>0.2034</v>
      </c>
      <c r="K5956" s="34">
        <f t="shared" si="186"/>
        <v>11372.093999999999</v>
      </c>
      <c r="L5956" s="34">
        <v>1.87</v>
      </c>
      <c r="M5956" s="34">
        <v>104790</v>
      </c>
      <c r="N5956" s="34">
        <f t="shared" si="187"/>
        <v>9.193706981317602</v>
      </c>
    </row>
    <row r="5957" spans="1:14" x14ac:dyDescent="0.45">
      <c r="A5957" s="30">
        <v>2025</v>
      </c>
      <c r="B5957" s="30" t="s">
        <v>14</v>
      </c>
      <c r="C5957" s="30" t="s">
        <v>46</v>
      </c>
      <c r="D5957" s="30" t="s">
        <v>47</v>
      </c>
      <c r="E5957" s="31" t="s">
        <v>151</v>
      </c>
      <c r="F5957" s="31" t="s">
        <v>60</v>
      </c>
      <c r="G5957" s="32" t="s">
        <v>50</v>
      </c>
      <c r="H5957" s="33">
        <v>69560</v>
      </c>
      <c r="I5957" s="34">
        <f>Table3[[#This Row],[Volume, kg.]]/1000</f>
        <v>69.56</v>
      </c>
      <c r="J5957" s="34">
        <v>0.22550000000000001</v>
      </c>
      <c r="K5957" s="34">
        <f t="shared" si="186"/>
        <v>15685.78</v>
      </c>
      <c r="L5957" s="34">
        <v>1.94</v>
      </c>
      <c r="M5957" s="34">
        <v>135212.5</v>
      </c>
      <c r="N5957" s="34">
        <f t="shared" si="187"/>
        <v>8.6031042128603108</v>
      </c>
    </row>
    <row r="5958" spans="1:14" x14ac:dyDescent="0.45">
      <c r="A5958" s="30">
        <v>2025</v>
      </c>
      <c r="B5958" s="30" t="s">
        <v>14</v>
      </c>
      <c r="C5958" s="30" t="s">
        <v>46</v>
      </c>
      <c r="D5958" s="30" t="s">
        <v>102</v>
      </c>
      <c r="E5958" s="31" t="s">
        <v>658</v>
      </c>
      <c r="F5958" s="31" t="s">
        <v>64</v>
      </c>
      <c r="G5958" s="32" t="s">
        <v>50</v>
      </c>
      <c r="H5958" s="33">
        <v>59710</v>
      </c>
      <c r="I5958" s="34">
        <f>Table3[[#This Row],[Volume, kg.]]/1000</f>
        <v>59.71</v>
      </c>
      <c r="J5958" s="34">
        <v>0.22010000000000002</v>
      </c>
      <c r="K5958" s="34">
        <f t="shared" si="186"/>
        <v>13142.171</v>
      </c>
      <c r="L5958" s="34">
        <v>1.97</v>
      </c>
      <c r="M5958" s="34">
        <v>117876</v>
      </c>
      <c r="N5958" s="34">
        <f t="shared" si="187"/>
        <v>8.9504770558836881</v>
      </c>
    </row>
    <row r="5959" spans="1:14" x14ac:dyDescent="0.45">
      <c r="A5959" s="30">
        <v>2025</v>
      </c>
      <c r="B5959" s="30" t="s">
        <v>14</v>
      </c>
      <c r="C5959" s="30" t="s">
        <v>46</v>
      </c>
      <c r="D5959" s="30" t="s">
        <v>47</v>
      </c>
      <c r="E5959" s="31" t="s">
        <v>252</v>
      </c>
      <c r="F5959" s="31" t="s">
        <v>49</v>
      </c>
      <c r="G5959" s="32" t="s">
        <v>50</v>
      </c>
      <c r="H5959" s="33">
        <v>43230</v>
      </c>
      <c r="I5959" s="34">
        <f>Table3[[#This Row],[Volume, kg.]]/1000</f>
        <v>43.23</v>
      </c>
      <c r="J5959" s="34">
        <v>0.2087</v>
      </c>
      <c r="K5959" s="34">
        <f t="shared" si="186"/>
        <v>9022.1010000000006</v>
      </c>
      <c r="L5959" s="34">
        <v>1.85</v>
      </c>
      <c r="M5959" s="34">
        <v>80004</v>
      </c>
      <c r="N5959" s="34">
        <f t="shared" si="187"/>
        <v>8.864398658361285</v>
      </c>
    </row>
    <row r="5960" spans="1:14" x14ac:dyDescent="0.45">
      <c r="A5960" s="30">
        <v>2025</v>
      </c>
      <c r="B5960" s="30" t="s">
        <v>14</v>
      </c>
      <c r="C5960" s="30" t="s">
        <v>46</v>
      </c>
      <c r="D5960" s="30" t="s">
        <v>47</v>
      </c>
      <c r="E5960" s="31" t="s">
        <v>95</v>
      </c>
      <c r="F5960" s="31" t="s">
        <v>49</v>
      </c>
      <c r="G5960" s="32" t="s">
        <v>50</v>
      </c>
      <c r="H5960" s="33">
        <v>20320</v>
      </c>
      <c r="I5960" s="34">
        <f>Table3[[#This Row],[Volume, kg.]]/1000</f>
        <v>20.32</v>
      </c>
      <c r="J5960" s="34">
        <v>0.22190000000000001</v>
      </c>
      <c r="K5960" s="34">
        <f t="shared" ref="K5960:K6023" si="188">H5960*J5960</f>
        <v>4509.0080000000007</v>
      </c>
      <c r="L5960" s="34">
        <v>1.91</v>
      </c>
      <c r="M5960" s="34">
        <v>38748</v>
      </c>
      <c r="N5960" s="34">
        <f t="shared" ref="N5960:N6023" si="189">L5960/J5960</f>
        <v>8.6074808472284801</v>
      </c>
    </row>
    <row r="5961" spans="1:14" x14ac:dyDescent="0.45">
      <c r="A5961" s="30">
        <v>2025</v>
      </c>
      <c r="B5961" s="30" t="s">
        <v>14</v>
      </c>
      <c r="C5961" s="30" t="s">
        <v>46</v>
      </c>
      <c r="D5961" s="30" t="s">
        <v>47</v>
      </c>
      <c r="E5961" s="31" t="s">
        <v>205</v>
      </c>
      <c r="F5961" s="31" t="s">
        <v>49</v>
      </c>
      <c r="G5961" s="32" t="s">
        <v>50</v>
      </c>
      <c r="H5961" s="33">
        <v>34780</v>
      </c>
      <c r="I5961" s="34">
        <f>Table3[[#This Row],[Volume, kg.]]/1000</f>
        <v>34.78</v>
      </c>
      <c r="J5961" s="34">
        <v>0.24859999999999999</v>
      </c>
      <c r="K5961" s="34">
        <f t="shared" si="188"/>
        <v>8646.3079999999991</v>
      </c>
      <c r="L5961" s="34">
        <v>2.08</v>
      </c>
      <c r="M5961" s="34">
        <v>72393</v>
      </c>
      <c r="N5961" s="34">
        <f t="shared" si="189"/>
        <v>8.3668543845535002</v>
      </c>
    </row>
    <row r="5962" spans="1:14" x14ac:dyDescent="0.45">
      <c r="A5962" s="30">
        <v>2025</v>
      </c>
      <c r="B5962" s="30" t="s">
        <v>14</v>
      </c>
      <c r="C5962" s="30" t="s">
        <v>46</v>
      </c>
      <c r="D5962" s="30" t="s">
        <v>102</v>
      </c>
      <c r="E5962" s="31" t="s">
        <v>366</v>
      </c>
      <c r="F5962" s="31" t="s">
        <v>367</v>
      </c>
      <c r="G5962" s="32" t="s">
        <v>368</v>
      </c>
      <c r="H5962" s="33">
        <v>394320</v>
      </c>
      <c r="I5962" s="34">
        <f>Table3[[#This Row],[Volume, kg.]]/1000</f>
        <v>394.32</v>
      </c>
      <c r="J5962" s="34">
        <v>0.21350000000000002</v>
      </c>
      <c r="K5962" s="34">
        <f t="shared" si="188"/>
        <v>84187.32</v>
      </c>
      <c r="L5962" s="34">
        <v>2</v>
      </c>
      <c r="M5962" s="34">
        <v>787777.5</v>
      </c>
      <c r="N5962" s="34">
        <f t="shared" si="189"/>
        <v>9.3676814988290396</v>
      </c>
    </row>
    <row r="5963" spans="1:14" x14ac:dyDescent="0.45">
      <c r="A5963" s="30">
        <v>2025</v>
      </c>
      <c r="B5963" s="30" t="s">
        <v>14</v>
      </c>
      <c r="C5963" s="30" t="s">
        <v>46</v>
      </c>
      <c r="D5963" s="30" t="s">
        <v>47</v>
      </c>
      <c r="E5963" s="31" t="s">
        <v>413</v>
      </c>
      <c r="F5963" s="31" t="s">
        <v>49</v>
      </c>
      <c r="G5963" s="32" t="s">
        <v>50</v>
      </c>
      <c r="H5963" s="33">
        <v>5400</v>
      </c>
      <c r="I5963" s="34">
        <f>Table3[[#This Row],[Volume, kg.]]/1000</f>
        <v>5.4</v>
      </c>
      <c r="J5963" s="34">
        <v>0.21600000000000003</v>
      </c>
      <c r="K5963" s="34">
        <f t="shared" si="188"/>
        <v>1166.4000000000001</v>
      </c>
      <c r="L5963" s="34">
        <v>1.95</v>
      </c>
      <c r="M5963" s="34">
        <v>10530</v>
      </c>
      <c r="N5963" s="34">
        <f t="shared" si="189"/>
        <v>9.0277777777777768</v>
      </c>
    </row>
    <row r="5964" spans="1:14" x14ac:dyDescent="0.45">
      <c r="A5964" s="30">
        <v>2025</v>
      </c>
      <c r="B5964" s="30" t="s">
        <v>14</v>
      </c>
      <c r="C5964" s="30" t="s">
        <v>46</v>
      </c>
      <c r="D5964" s="30" t="s">
        <v>102</v>
      </c>
      <c r="E5964" s="31" t="s">
        <v>418</v>
      </c>
      <c r="F5964" s="31" t="s">
        <v>104</v>
      </c>
      <c r="G5964" s="32" t="s">
        <v>105</v>
      </c>
      <c r="H5964" s="33">
        <v>587150</v>
      </c>
      <c r="I5964" s="34">
        <f>Table3[[#This Row],[Volume, kg.]]/1000</f>
        <v>587.15</v>
      </c>
      <c r="J5964" s="34">
        <v>0.21510000000000001</v>
      </c>
      <c r="K5964" s="34">
        <f t="shared" si="188"/>
        <v>126295.96500000001</v>
      </c>
      <c r="L5964" s="34">
        <v>1.97</v>
      </c>
      <c r="M5964" s="34">
        <v>1159023</v>
      </c>
      <c r="N5964" s="34">
        <f t="shared" si="189"/>
        <v>9.1585309158530901</v>
      </c>
    </row>
    <row r="5965" spans="1:14" x14ac:dyDescent="0.45">
      <c r="A5965" s="30">
        <v>2025</v>
      </c>
      <c r="B5965" s="30" t="s">
        <v>14</v>
      </c>
      <c r="C5965" s="30" t="s">
        <v>46</v>
      </c>
      <c r="D5965" s="30" t="s">
        <v>47</v>
      </c>
      <c r="E5965" s="31" t="s">
        <v>436</v>
      </c>
      <c r="F5965" s="31" t="s">
        <v>57</v>
      </c>
      <c r="G5965" s="32" t="s">
        <v>50</v>
      </c>
      <c r="H5965" s="33">
        <v>17830</v>
      </c>
      <c r="I5965" s="34">
        <f>Table3[[#This Row],[Volume, kg.]]/1000</f>
        <v>17.829999999999998</v>
      </c>
      <c r="J5965" s="34">
        <v>0.2238</v>
      </c>
      <c r="K5965" s="34">
        <f t="shared" si="188"/>
        <v>3990.3539999999998</v>
      </c>
      <c r="L5965" s="34">
        <v>1.87</v>
      </c>
      <c r="M5965" s="34">
        <v>33408</v>
      </c>
      <c r="N5965" s="34">
        <f t="shared" si="189"/>
        <v>8.3556747095621091</v>
      </c>
    </row>
    <row r="5966" spans="1:14" x14ac:dyDescent="0.45">
      <c r="A5966" s="30">
        <v>2025</v>
      </c>
      <c r="B5966" s="30" t="s">
        <v>14</v>
      </c>
      <c r="C5966" s="30" t="s">
        <v>46</v>
      </c>
      <c r="D5966" s="30" t="s">
        <v>47</v>
      </c>
      <c r="E5966" s="31" t="s">
        <v>452</v>
      </c>
      <c r="F5966" s="31" t="s">
        <v>134</v>
      </c>
      <c r="G5966" s="32" t="s">
        <v>50</v>
      </c>
      <c r="H5966" s="33">
        <v>11370</v>
      </c>
      <c r="I5966" s="34">
        <f>Table3[[#This Row],[Volume, kg.]]/1000</f>
        <v>11.37</v>
      </c>
      <c r="J5966" s="34">
        <v>0.1605</v>
      </c>
      <c r="K5966" s="34">
        <f t="shared" si="188"/>
        <v>1824.885</v>
      </c>
      <c r="L5966" s="34">
        <v>1.65</v>
      </c>
      <c r="M5966" s="34">
        <v>18760.5</v>
      </c>
      <c r="N5966" s="34">
        <f t="shared" si="189"/>
        <v>10.2803738317757</v>
      </c>
    </row>
    <row r="5967" spans="1:14" x14ac:dyDescent="0.45">
      <c r="A5967" s="30">
        <v>2025</v>
      </c>
      <c r="B5967" s="30" t="s">
        <v>14</v>
      </c>
      <c r="C5967" s="30" t="s">
        <v>46</v>
      </c>
      <c r="D5967" s="30" t="s">
        <v>47</v>
      </c>
      <c r="E5967" s="31" t="s">
        <v>488</v>
      </c>
      <c r="F5967" s="31" t="s">
        <v>57</v>
      </c>
      <c r="G5967" s="32" t="s">
        <v>50</v>
      </c>
      <c r="H5967" s="33">
        <v>126160</v>
      </c>
      <c r="I5967" s="34">
        <f>Table3[[#This Row],[Volume, kg.]]/1000</f>
        <v>126.16</v>
      </c>
      <c r="J5967" s="34">
        <v>0.22889999999999999</v>
      </c>
      <c r="K5967" s="34">
        <f t="shared" si="188"/>
        <v>28878.023999999998</v>
      </c>
      <c r="L5967" s="34">
        <v>1.96</v>
      </c>
      <c r="M5967" s="34">
        <v>247739.5</v>
      </c>
      <c r="N5967" s="34">
        <f t="shared" si="189"/>
        <v>8.5626911314984717</v>
      </c>
    </row>
    <row r="5968" spans="1:14" x14ac:dyDescent="0.45">
      <c r="A5968" s="30">
        <v>2025</v>
      </c>
      <c r="B5968" s="30" t="s">
        <v>14</v>
      </c>
      <c r="C5968" s="30" t="s">
        <v>46</v>
      </c>
      <c r="D5968" s="30" t="s">
        <v>47</v>
      </c>
      <c r="E5968" s="31" t="s">
        <v>489</v>
      </c>
      <c r="F5968" s="31" t="s">
        <v>81</v>
      </c>
      <c r="G5968" s="32" t="s">
        <v>50</v>
      </c>
      <c r="H5968" s="33">
        <v>67510</v>
      </c>
      <c r="I5968" s="34">
        <f>Table3[[#This Row],[Volume, kg.]]/1000</f>
        <v>67.510000000000005</v>
      </c>
      <c r="J5968" s="34">
        <v>0.21929999999999999</v>
      </c>
      <c r="K5968" s="34">
        <f t="shared" si="188"/>
        <v>14804.942999999999</v>
      </c>
      <c r="L5968" s="34">
        <v>1.93</v>
      </c>
      <c r="M5968" s="34">
        <v>130403.5</v>
      </c>
      <c r="N5968" s="34">
        <f t="shared" si="189"/>
        <v>8.8007295941632471</v>
      </c>
    </row>
    <row r="5969" spans="1:14" x14ac:dyDescent="0.45">
      <c r="A5969" s="30">
        <v>2025</v>
      </c>
      <c r="B5969" s="30" t="s">
        <v>14</v>
      </c>
      <c r="C5969" s="30" t="s">
        <v>46</v>
      </c>
      <c r="D5969" s="30" t="s">
        <v>47</v>
      </c>
      <c r="E5969" s="31" t="s">
        <v>492</v>
      </c>
      <c r="F5969" s="31" t="s">
        <v>57</v>
      </c>
      <c r="G5969" s="32" t="s">
        <v>50</v>
      </c>
      <c r="H5969" s="33">
        <v>19310</v>
      </c>
      <c r="I5969" s="34">
        <f>Table3[[#This Row],[Volume, kg.]]/1000</f>
        <v>19.309999999999999</v>
      </c>
      <c r="J5969" s="34">
        <v>0.19339999999999999</v>
      </c>
      <c r="K5969" s="34">
        <f t="shared" si="188"/>
        <v>3734.5539999999996</v>
      </c>
      <c r="L5969" s="34">
        <v>1.7</v>
      </c>
      <c r="M5969" s="34">
        <v>32869.5</v>
      </c>
      <c r="N5969" s="34">
        <f t="shared" si="189"/>
        <v>8.7900723888314385</v>
      </c>
    </row>
    <row r="5970" spans="1:14" x14ac:dyDescent="0.45">
      <c r="A5970" s="30">
        <v>2025</v>
      </c>
      <c r="B5970" s="30" t="s">
        <v>14</v>
      </c>
      <c r="C5970" s="30" t="s">
        <v>46</v>
      </c>
      <c r="D5970" s="30" t="s">
        <v>47</v>
      </c>
      <c r="E5970" s="31" t="s">
        <v>512</v>
      </c>
      <c r="F5970" s="31" t="s">
        <v>81</v>
      </c>
      <c r="G5970" s="32" t="s">
        <v>50</v>
      </c>
      <c r="H5970" s="33">
        <v>3400</v>
      </c>
      <c r="I5970" s="34">
        <f>Table3[[#This Row],[Volume, kg.]]/1000</f>
        <v>3.4</v>
      </c>
      <c r="J5970" s="34">
        <v>0.22899999999999998</v>
      </c>
      <c r="K5970" s="34">
        <f t="shared" si="188"/>
        <v>778.59999999999991</v>
      </c>
      <c r="L5970" s="34">
        <v>1.9</v>
      </c>
      <c r="M5970" s="34">
        <v>6460</v>
      </c>
      <c r="N5970" s="34">
        <f t="shared" si="189"/>
        <v>8.2969432314410483</v>
      </c>
    </row>
    <row r="5971" spans="1:14" x14ac:dyDescent="0.45">
      <c r="A5971" s="30">
        <v>2025</v>
      </c>
      <c r="B5971" s="30" t="s">
        <v>14</v>
      </c>
      <c r="C5971" s="30" t="s">
        <v>46</v>
      </c>
      <c r="D5971" s="30" t="s">
        <v>47</v>
      </c>
      <c r="E5971" s="31" t="s">
        <v>517</v>
      </c>
      <c r="F5971" s="31" t="s">
        <v>57</v>
      </c>
      <c r="G5971" s="32" t="s">
        <v>50</v>
      </c>
      <c r="H5971" s="33">
        <v>73060</v>
      </c>
      <c r="I5971" s="34">
        <f>Table3[[#This Row],[Volume, kg.]]/1000</f>
        <v>73.06</v>
      </c>
      <c r="J5971" s="34">
        <v>0.2409</v>
      </c>
      <c r="K5971" s="34">
        <f t="shared" si="188"/>
        <v>17600.153999999999</v>
      </c>
      <c r="L5971" s="34">
        <v>2.0099999999999998</v>
      </c>
      <c r="M5971" s="34">
        <v>146611.5</v>
      </c>
      <c r="N5971" s="34">
        <f t="shared" si="189"/>
        <v>8.3437110834371104</v>
      </c>
    </row>
    <row r="5972" spans="1:14" x14ac:dyDescent="0.45">
      <c r="A5972" s="30">
        <v>2025</v>
      </c>
      <c r="B5972" s="30" t="s">
        <v>14</v>
      </c>
      <c r="C5972" s="30" t="s">
        <v>46</v>
      </c>
      <c r="D5972" s="30" t="s">
        <v>47</v>
      </c>
      <c r="E5972" s="31" t="s">
        <v>603</v>
      </c>
      <c r="F5972" s="31" t="s">
        <v>49</v>
      </c>
      <c r="G5972" s="32" t="s">
        <v>50</v>
      </c>
      <c r="H5972" s="33">
        <v>31220</v>
      </c>
      <c r="I5972" s="34">
        <f>Table3[[#This Row],[Volume, kg.]]/1000</f>
        <v>31.22</v>
      </c>
      <c r="J5972" s="34">
        <v>0.20449999999999999</v>
      </c>
      <c r="K5972" s="34">
        <f t="shared" si="188"/>
        <v>6384.49</v>
      </c>
      <c r="L5972" s="34">
        <v>1.82</v>
      </c>
      <c r="M5972" s="34">
        <v>56946</v>
      </c>
      <c r="N5972" s="34">
        <f t="shared" si="189"/>
        <v>8.8997555012224954</v>
      </c>
    </row>
    <row r="5973" spans="1:14" x14ac:dyDescent="0.45">
      <c r="A5973" s="30">
        <v>2025</v>
      </c>
      <c r="B5973" s="30" t="s">
        <v>14</v>
      </c>
      <c r="C5973" s="30" t="s">
        <v>46</v>
      </c>
      <c r="D5973" s="30" t="s">
        <v>102</v>
      </c>
      <c r="E5973" s="31" t="s">
        <v>555</v>
      </c>
      <c r="F5973" s="31" t="s">
        <v>556</v>
      </c>
      <c r="G5973" s="32" t="s">
        <v>557</v>
      </c>
      <c r="H5973" s="33">
        <v>27430</v>
      </c>
      <c r="I5973" s="34">
        <f>Table3[[#This Row],[Volume, kg.]]/1000</f>
        <v>27.43</v>
      </c>
      <c r="J5973" s="34">
        <v>0.19969999999999999</v>
      </c>
      <c r="K5973" s="34">
        <f t="shared" si="188"/>
        <v>5477.7709999999997</v>
      </c>
      <c r="L5973" s="34">
        <v>1.85</v>
      </c>
      <c r="M5973" s="34">
        <v>50745.5</v>
      </c>
      <c r="N5973" s="34">
        <f t="shared" si="189"/>
        <v>9.2638958437656491</v>
      </c>
    </row>
    <row r="5974" spans="1:14" x14ac:dyDescent="0.45">
      <c r="A5974" s="30">
        <v>2025</v>
      </c>
      <c r="B5974" s="30" t="s">
        <v>14</v>
      </c>
      <c r="C5974" s="30" t="s">
        <v>46</v>
      </c>
      <c r="D5974" s="30" t="s">
        <v>102</v>
      </c>
      <c r="E5974" s="31" t="s">
        <v>552</v>
      </c>
      <c r="F5974" s="31" t="s">
        <v>238</v>
      </c>
      <c r="G5974" s="32" t="s">
        <v>50</v>
      </c>
      <c r="H5974" s="33">
        <v>340850</v>
      </c>
      <c r="I5974" s="34">
        <f>Table3[[#This Row],[Volume, kg.]]/1000</f>
        <v>340.85</v>
      </c>
      <c r="J5974" s="34">
        <v>0.20430000000000001</v>
      </c>
      <c r="K5974" s="34">
        <f t="shared" si="188"/>
        <v>69635.654999999999</v>
      </c>
      <c r="L5974" s="34">
        <v>1.84</v>
      </c>
      <c r="M5974" s="34">
        <v>626938.5</v>
      </c>
      <c r="N5974" s="34">
        <f t="shared" si="189"/>
        <v>9.0063631913852173</v>
      </c>
    </row>
    <row r="5975" spans="1:14" x14ac:dyDescent="0.45">
      <c r="A5975" s="30">
        <v>2025</v>
      </c>
      <c r="B5975" s="30" t="s">
        <v>14</v>
      </c>
      <c r="C5975" s="30" t="s">
        <v>46</v>
      </c>
      <c r="D5975" s="30" t="s">
        <v>47</v>
      </c>
      <c r="E5975" s="31" t="s">
        <v>586</v>
      </c>
      <c r="F5975" s="31" t="s">
        <v>64</v>
      </c>
      <c r="G5975" s="32" t="s">
        <v>50</v>
      </c>
      <c r="H5975" s="33">
        <v>15370</v>
      </c>
      <c r="I5975" s="34">
        <f>Table3[[#This Row],[Volume, kg.]]/1000</f>
        <v>15.37</v>
      </c>
      <c r="J5975" s="34">
        <v>0.16309999999999999</v>
      </c>
      <c r="K5975" s="34">
        <f t="shared" si="188"/>
        <v>2506.8469999999998</v>
      </c>
      <c r="L5975" s="34">
        <v>1.67</v>
      </c>
      <c r="M5975" s="34">
        <v>25627</v>
      </c>
      <c r="N5975" s="34">
        <f t="shared" si="189"/>
        <v>10.239117106069896</v>
      </c>
    </row>
    <row r="5976" spans="1:14" x14ac:dyDescent="0.45">
      <c r="A5976" s="30">
        <v>2025</v>
      </c>
      <c r="B5976" s="30" t="s">
        <v>14</v>
      </c>
      <c r="C5976" s="30" t="s">
        <v>46</v>
      </c>
      <c r="D5976" s="30" t="s">
        <v>47</v>
      </c>
      <c r="E5976" s="31" t="s">
        <v>587</v>
      </c>
      <c r="F5976" s="31" t="s">
        <v>223</v>
      </c>
      <c r="G5976" s="32" t="s">
        <v>50</v>
      </c>
      <c r="H5976" s="33">
        <v>8300</v>
      </c>
      <c r="I5976" s="34">
        <f>Table3[[#This Row],[Volume, kg.]]/1000</f>
        <v>8.3000000000000007</v>
      </c>
      <c r="J5976" s="34">
        <v>0.2175</v>
      </c>
      <c r="K5976" s="34">
        <f t="shared" si="188"/>
        <v>1805.25</v>
      </c>
      <c r="L5976" s="34">
        <v>1.95</v>
      </c>
      <c r="M5976" s="34">
        <v>16185</v>
      </c>
      <c r="N5976" s="34">
        <f t="shared" si="189"/>
        <v>8.9655172413793096</v>
      </c>
    </row>
    <row r="5977" spans="1:14" x14ac:dyDescent="0.45">
      <c r="A5977" s="30">
        <v>2025</v>
      </c>
      <c r="B5977" s="30" t="s">
        <v>14</v>
      </c>
      <c r="C5977" s="30" t="s">
        <v>46</v>
      </c>
      <c r="D5977" s="30" t="s">
        <v>47</v>
      </c>
      <c r="E5977" s="31" t="s">
        <v>593</v>
      </c>
      <c r="F5977" s="31" t="s">
        <v>49</v>
      </c>
      <c r="G5977" s="32" t="s">
        <v>50</v>
      </c>
      <c r="H5977" s="33">
        <v>95320</v>
      </c>
      <c r="I5977" s="34">
        <f>Table3[[#This Row],[Volume, kg.]]/1000</f>
        <v>95.32</v>
      </c>
      <c r="J5977" s="34">
        <v>0.2397</v>
      </c>
      <c r="K5977" s="34">
        <f t="shared" si="188"/>
        <v>22848.203999999998</v>
      </c>
      <c r="L5977" s="34">
        <v>2.0099999999999998</v>
      </c>
      <c r="M5977" s="34">
        <v>191363.5</v>
      </c>
      <c r="N5977" s="34">
        <f t="shared" si="189"/>
        <v>8.3854818523153938</v>
      </c>
    </row>
    <row r="5978" spans="1:14" x14ac:dyDescent="0.45">
      <c r="A5978" s="30">
        <v>2025</v>
      </c>
      <c r="B5978" s="30" t="s">
        <v>14</v>
      </c>
      <c r="C5978" s="30" t="s">
        <v>46</v>
      </c>
      <c r="D5978" s="30" t="s">
        <v>47</v>
      </c>
      <c r="E5978" s="31" t="s">
        <v>646</v>
      </c>
      <c r="F5978" s="31" t="s">
        <v>49</v>
      </c>
      <c r="G5978" s="32" t="s">
        <v>50</v>
      </c>
      <c r="H5978" s="33">
        <v>76070</v>
      </c>
      <c r="I5978" s="34">
        <f>Table3[[#This Row],[Volume, kg.]]/1000</f>
        <v>76.069999999999993</v>
      </c>
      <c r="J5978" s="34">
        <v>0.22020000000000001</v>
      </c>
      <c r="K5978" s="34">
        <f t="shared" si="188"/>
        <v>16750.614000000001</v>
      </c>
      <c r="L5978" s="34">
        <v>1.91</v>
      </c>
      <c r="M5978" s="34">
        <v>145425.5</v>
      </c>
      <c r="N5978" s="34">
        <f t="shared" si="189"/>
        <v>8.6739327883742039</v>
      </c>
    </row>
    <row r="5979" spans="1:14" x14ac:dyDescent="0.45">
      <c r="A5979" s="30">
        <v>2025</v>
      </c>
      <c r="B5979" s="30" t="s">
        <v>14</v>
      </c>
      <c r="C5979" s="30" t="s">
        <v>46</v>
      </c>
      <c r="D5979" s="30" t="s">
        <v>47</v>
      </c>
      <c r="E5979" s="31" t="s">
        <v>670</v>
      </c>
      <c r="F5979" s="31" t="s">
        <v>81</v>
      </c>
      <c r="G5979" s="32" t="s">
        <v>50</v>
      </c>
      <c r="H5979" s="33">
        <v>60320</v>
      </c>
      <c r="I5979" s="34">
        <f>Table3[[#This Row],[Volume, kg.]]/1000</f>
        <v>60.32</v>
      </c>
      <c r="J5979" s="34">
        <v>0.22820000000000001</v>
      </c>
      <c r="K5979" s="34">
        <f t="shared" si="188"/>
        <v>13765.024000000001</v>
      </c>
      <c r="L5979" s="34">
        <v>1.98</v>
      </c>
      <c r="M5979" s="34">
        <v>119388</v>
      </c>
      <c r="N5979" s="34">
        <f t="shared" si="189"/>
        <v>8.676599474145485</v>
      </c>
    </row>
    <row r="5980" spans="1:14" x14ac:dyDescent="0.45">
      <c r="A5980" s="30">
        <v>2025</v>
      </c>
      <c r="B5980" s="30" t="s">
        <v>14</v>
      </c>
      <c r="C5980" s="30" t="s">
        <v>46</v>
      </c>
      <c r="D5980" s="30" t="s">
        <v>47</v>
      </c>
      <c r="E5980" s="31" t="s">
        <v>662</v>
      </c>
      <c r="F5980" s="31" t="s">
        <v>57</v>
      </c>
      <c r="G5980" s="32" t="s">
        <v>50</v>
      </c>
      <c r="H5980" s="33">
        <v>48950</v>
      </c>
      <c r="I5980" s="34">
        <f>Table3[[#This Row],[Volume, kg.]]/1000</f>
        <v>48.95</v>
      </c>
      <c r="J5980" s="34">
        <v>0.22579999999999997</v>
      </c>
      <c r="K5980" s="34">
        <f t="shared" si="188"/>
        <v>11052.909999999998</v>
      </c>
      <c r="L5980" s="34">
        <v>1.95</v>
      </c>
      <c r="M5980" s="34">
        <v>95513</v>
      </c>
      <c r="N5980" s="34">
        <f t="shared" si="189"/>
        <v>8.6359610274579275</v>
      </c>
    </row>
    <row r="5981" spans="1:14" x14ac:dyDescent="0.45">
      <c r="A5981" s="30">
        <v>2025</v>
      </c>
      <c r="B5981" s="30" t="s">
        <v>14</v>
      </c>
      <c r="C5981" s="30" t="s">
        <v>46</v>
      </c>
      <c r="D5981" s="30" t="s">
        <v>47</v>
      </c>
      <c r="E5981" s="31" t="s">
        <v>663</v>
      </c>
      <c r="F5981" s="31" t="s">
        <v>49</v>
      </c>
      <c r="G5981" s="32" t="s">
        <v>50</v>
      </c>
      <c r="H5981" s="33">
        <v>52010</v>
      </c>
      <c r="I5981" s="34">
        <f>Table3[[#This Row],[Volume, kg.]]/1000</f>
        <v>52.01</v>
      </c>
      <c r="J5981" s="34">
        <v>0.1893</v>
      </c>
      <c r="K5981" s="34">
        <f t="shared" si="188"/>
        <v>9845.4930000000004</v>
      </c>
      <c r="L5981" s="34">
        <v>1.79</v>
      </c>
      <c r="M5981" s="34">
        <v>93240.5</v>
      </c>
      <c r="N5981" s="34">
        <f t="shared" si="189"/>
        <v>9.4558901215002642</v>
      </c>
    </row>
    <row r="5982" spans="1:14" x14ac:dyDescent="0.45">
      <c r="A5982" s="30">
        <v>2025</v>
      </c>
      <c r="B5982" s="30" t="s">
        <v>14</v>
      </c>
      <c r="C5982" s="30" t="s">
        <v>46</v>
      </c>
      <c r="D5982" s="30" t="s">
        <v>47</v>
      </c>
      <c r="E5982" s="31" t="s">
        <v>676</v>
      </c>
      <c r="F5982" s="31" t="s">
        <v>60</v>
      </c>
      <c r="G5982" s="32" t="s">
        <v>50</v>
      </c>
      <c r="H5982" s="33">
        <v>25540</v>
      </c>
      <c r="I5982" s="34">
        <f>Table3[[#This Row],[Volume, kg.]]/1000</f>
        <v>25.54</v>
      </c>
      <c r="J5982" s="34">
        <v>0.25170000000000003</v>
      </c>
      <c r="K5982" s="34">
        <f t="shared" si="188"/>
        <v>6428.4180000000006</v>
      </c>
      <c r="L5982" s="34">
        <v>2.1</v>
      </c>
      <c r="M5982" s="34">
        <v>53713</v>
      </c>
      <c r="N5982" s="34">
        <f t="shared" si="189"/>
        <v>8.34326579261025</v>
      </c>
    </row>
    <row r="5983" spans="1:14" x14ac:dyDescent="0.45">
      <c r="A5983" s="30">
        <v>2025</v>
      </c>
      <c r="B5983" s="30" t="s">
        <v>14</v>
      </c>
      <c r="C5983" s="30" t="s">
        <v>46</v>
      </c>
      <c r="D5983" s="30" t="s">
        <v>47</v>
      </c>
      <c r="E5983" s="31" t="s">
        <v>677</v>
      </c>
      <c r="F5983" s="31" t="s">
        <v>49</v>
      </c>
      <c r="G5983" s="32" t="s">
        <v>50</v>
      </c>
      <c r="H5983" s="33">
        <v>10580</v>
      </c>
      <c r="I5983" s="34">
        <f>Table3[[#This Row],[Volume, kg.]]/1000</f>
        <v>10.58</v>
      </c>
      <c r="J5983" s="34">
        <v>0.188</v>
      </c>
      <c r="K5983" s="34">
        <f t="shared" si="188"/>
        <v>1989.04</v>
      </c>
      <c r="L5983" s="34">
        <v>1.75</v>
      </c>
      <c r="M5983" s="34">
        <v>18515</v>
      </c>
      <c r="N5983" s="34">
        <f t="shared" si="189"/>
        <v>9.3085106382978715</v>
      </c>
    </row>
    <row r="5984" spans="1:14" x14ac:dyDescent="0.45">
      <c r="A5984" s="30">
        <v>2025</v>
      </c>
      <c r="B5984" s="30" t="s">
        <v>14</v>
      </c>
      <c r="C5984" s="30" t="s">
        <v>46</v>
      </c>
      <c r="D5984" s="30" t="s">
        <v>47</v>
      </c>
      <c r="E5984" s="31" t="s">
        <v>678</v>
      </c>
      <c r="F5984" s="31" t="s">
        <v>60</v>
      </c>
      <c r="G5984" s="32" t="s">
        <v>50</v>
      </c>
      <c r="H5984" s="33">
        <v>27480</v>
      </c>
      <c r="I5984" s="34">
        <f>Table3[[#This Row],[Volume, kg.]]/1000</f>
        <v>27.48</v>
      </c>
      <c r="J5984" s="34">
        <v>0.24340000000000001</v>
      </c>
      <c r="K5984" s="34">
        <f t="shared" si="188"/>
        <v>6688.6320000000005</v>
      </c>
      <c r="L5984" s="34">
        <v>2.0299999999999998</v>
      </c>
      <c r="M5984" s="34">
        <v>55826</v>
      </c>
      <c r="N5984" s="34">
        <f t="shared" si="189"/>
        <v>8.3401807723911254</v>
      </c>
    </row>
    <row r="5985" spans="1:14" x14ac:dyDescent="0.45">
      <c r="A5985" s="30">
        <v>2025</v>
      </c>
      <c r="B5985" s="30" t="s">
        <v>14</v>
      </c>
      <c r="C5985" s="30" t="s">
        <v>46</v>
      </c>
      <c r="D5985" s="30" t="s">
        <v>47</v>
      </c>
      <c r="E5985" s="31" t="s">
        <v>679</v>
      </c>
      <c r="F5985" s="31" t="s">
        <v>49</v>
      </c>
      <c r="G5985" s="32" t="s">
        <v>50</v>
      </c>
      <c r="H5985" s="33">
        <v>2040</v>
      </c>
      <c r="I5985" s="34">
        <f>Table3[[#This Row],[Volume, kg.]]/1000</f>
        <v>2.04</v>
      </c>
      <c r="J5985" s="34">
        <v>0.23300000000000001</v>
      </c>
      <c r="K5985" s="34">
        <f t="shared" si="188"/>
        <v>475.32000000000005</v>
      </c>
      <c r="L5985" s="34">
        <v>2</v>
      </c>
      <c r="M5985" s="34">
        <v>4080</v>
      </c>
      <c r="N5985" s="34">
        <f t="shared" si="189"/>
        <v>8.5836909871244629</v>
      </c>
    </row>
    <row r="5986" spans="1:14" x14ac:dyDescent="0.45">
      <c r="A5986" s="30">
        <v>2025</v>
      </c>
      <c r="B5986" s="30" t="s">
        <v>14</v>
      </c>
      <c r="C5986" s="30" t="s">
        <v>46</v>
      </c>
      <c r="D5986" s="30" t="s">
        <v>47</v>
      </c>
      <c r="E5986" s="31" t="s">
        <v>684</v>
      </c>
      <c r="F5986" s="31" t="s">
        <v>685</v>
      </c>
      <c r="G5986" s="32" t="s">
        <v>341</v>
      </c>
      <c r="H5986" s="33">
        <v>29210</v>
      </c>
      <c r="I5986" s="34">
        <f>Table3[[#This Row],[Volume, kg.]]/1000</f>
        <v>29.21</v>
      </c>
      <c r="J5986" s="34">
        <v>0.22030000000000002</v>
      </c>
      <c r="K5986" s="34">
        <f t="shared" si="188"/>
        <v>6434.9630000000006</v>
      </c>
      <c r="L5986" s="34">
        <v>1.95</v>
      </c>
      <c r="M5986" s="34">
        <v>56973.5</v>
      </c>
      <c r="N5986" s="34">
        <f t="shared" si="189"/>
        <v>8.8515660463004977</v>
      </c>
    </row>
    <row r="5987" spans="1:14" x14ac:dyDescent="0.45">
      <c r="A5987" s="30">
        <v>2025</v>
      </c>
      <c r="B5987" s="30" t="s">
        <v>14</v>
      </c>
      <c r="C5987" s="30" t="s">
        <v>46</v>
      </c>
      <c r="D5987" s="30" t="s">
        <v>47</v>
      </c>
      <c r="E5987" s="31" t="s">
        <v>688</v>
      </c>
      <c r="F5987" s="31" t="s">
        <v>60</v>
      </c>
      <c r="G5987" s="32" t="s">
        <v>50</v>
      </c>
      <c r="H5987" s="33">
        <v>10990</v>
      </c>
      <c r="I5987" s="34">
        <f>Table3[[#This Row],[Volume, kg.]]/1000</f>
        <v>10.99</v>
      </c>
      <c r="J5987" s="34">
        <v>0.2482</v>
      </c>
      <c r="K5987" s="34">
        <f t="shared" si="188"/>
        <v>2727.7179999999998</v>
      </c>
      <c r="L5987" s="34">
        <v>2.09</v>
      </c>
      <c r="M5987" s="34">
        <v>23018.5</v>
      </c>
      <c r="N5987" s="34">
        <f t="shared" si="189"/>
        <v>8.4206285253827549</v>
      </c>
    </row>
    <row r="5988" spans="1:14" x14ac:dyDescent="0.45">
      <c r="A5988" s="30">
        <v>2025</v>
      </c>
      <c r="B5988" s="30" t="s">
        <v>14</v>
      </c>
      <c r="C5988" s="30" t="s">
        <v>46</v>
      </c>
      <c r="D5988" s="30" t="s">
        <v>47</v>
      </c>
      <c r="E5988" s="31" t="s">
        <v>698</v>
      </c>
      <c r="F5988" s="31" t="s">
        <v>57</v>
      </c>
      <c r="G5988" s="32" t="s">
        <v>50</v>
      </c>
      <c r="H5988" s="33">
        <v>58980</v>
      </c>
      <c r="I5988" s="34">
        <f>Table3[[#This Row],[Volume, kg.]]/1000</f>
        <v>58.98</v>
      </c>
      <c r="J5988" s="34">
        <v>0.2465</v>
      </c>
      <c r="K5988" s="34">
        <f t="shared" si="188"/>
        <v>14538.57</v>
      </c>
      <c r="L5988" s="34">
        <v>2.06</v>
      </c>
      <c r="M5988" s="34">
        <v>121792.5</v>
      </c>
      <c r="N5988" s="34">
        <f t="shared" si="189"/>
        <v>8.3569979716024339</v>
      </c>
    </row>
    <row r="5989" spans="1:14" x14ac:dyDescent="0.45">
      <c r="A5989" s="30">
        <v>2025</v>
      </c>
      <c r="B5989" s="30" t="s">
        <v>14</v>
      </c>
      <c r="C5989" s="30" t="s">
        <v>46</v>
      </c>
      <c r="D5989" s="30" t="s">
        <v>102</v>
      </c>
      <c r="E5989" s="31" t="s">
        <v>702</v>
      </c>
      <c r="F5989" s="31" t="s">
        <v>189</v>
      </c>
      <c r="G5989" s="32" t="s">
        <v>128</v>
      </c>
      <c r="H5989" s="33">
        <v>291130</v>
      </c>
      <c r="I5989" s="34">
        <f>Table3[[#This Row],[Volume, kg.]]/1000</f>
        <v>291.13</v>
      </c>
      <c r="J5989" s="34">
        <v>0.19850000000000001</v>
      </c>
      <c r="K5989" s="34">
        <f t="shared" si="188"/>
        <v>57789.305</v>
      </c>
      <c r="L5989" s="34">
        <v>2.09</v>
      </c>
      <c r="M5989" s="34">
        <v>609307.5</v>
      </c>
      <c r="N5989" s="34">
        <f t="shared" si="189"/>
        <v>10.528967254408059</v>
      </c>
    </row>
    <row r="5990" spans="1:14" x14ac:dyDescent="0.45">
      <c r="A5990" s="30">
        <v>2025</v>
      </c>
      <c r="B5990" s="30" t="s">
        <v>14</v>
      </c>
      <c r="C5990" s="30" t="s">
        <v>46</v>
      </c>
      <c r="D5990" s="30" t="s">
        <v>102</v>
      </c>
      <c r="E5990" s="31" t="s">
        <v>706</v>
      </c>
      <c r="F5990" s="31" t="s">
        <v>349</v>
      </c>
      <c r="G5990" s="32" t="s">
        <v>105</v>
      </c>
      <c r="H5990" s="33">
        <v>123970</v>
      </c>
      <c r="I5990" s="34">
        <f>Table3[[#This Row],[Volume, kg.]]/1000</f>
        <v>123.97</v>
      </c>
      <c r="J5990" s="34">
        <v>0.18309999999999998</v>
      </c>
      <c r="K5990" s="34">
        <f t="shared" si="188"/>
        <v>22698.906999999999</v>
      </c>
      <c r="L5990" s="34">
        <v>1.77</v>
      </c>
      <c r="M5990" s="34">
        <v>219050</v>
      </c>
      <c r="N5990" s="34">
        <f t="shared" si="189"/>
        <v>9.6668487165483352</v>
      </c>
    </row>
    <row r="5991" spans="1:14" x14ac:dyDescent="0.45">
      <c r="A5991" s="30">
        <v>2025</v>
      </c>
      <c r="B5991" s="30" t="s">
        <v>14</v>
      </c>
      <c r="C5991" s="30" t="s">
        <v>46</v>
      </c>
      <c r="D5991" s="30" t="s">
        <v>102</v>
      </c>
      <c r="E5991" s="31" t="s">
        <v>707</v>
      </c>
      <c r="F5991" s="31" t="s">
        <v>331</v>
      </c>
      <c r="G5991" s="32" t="s">
        <v>105</v>
      </c>
      <c r="H5991" s="33">
        <v>60100</v>
      </c>
      <c r="I5991" s="34">
        <f>Table3[[#This Row],[Volume, kg.]]/1000</f>
        <v>60.1</v>
      </c>
      <c r="J5991" s="34">
        <v>0.23730000000000001</v>
      </c>
      <c r="K5991" s="34">
        <f t="shared" si="188"/>
        <v>14261.730000000001</v>
      </c>
      <c r="L5991" s="34">
        <v>2.15</v>
      </c>
      <c r="M5991" s="34">
        <v>129216</v>
      </c>
      <c r="N5991" s="34">
        <f t="shared" si="189"/>
        <v>9.0602612726506528</v>
      </c>
    </row>
    <row r="5992" spans="1:14" x14ac:dyDescent="0.45">
      <c r="A5992" s="30">
        <v>2025</v>
      </c>
      <c r="B5992" s="30" t="s">
        <v>14</v>
      </c>
      <c r="C5992" s="30" t="s">
        <v>46</v>
      </c>
      <c r="D5992" s="30" t="s">
        <v>102</v>
      </c>
      <c r="E5992" s="31" t="s">
        <v>708</v>
      </c>
      <c r="F5992" s="31" t="s">
        <v>397</v>
      </c>
      <c r="G5992" s="32" t="s">
        <v>105</v>
      </c>
      <c r="H5992" s="33">
        <v>332640</v>
      </c>
      <c r="I5992" s="34">
        <f>Table3[[#This Row],[Volume, kg.]]/1000</f>
        <v>332.64</v>
      </c>
      <c r="J5992" s="34">
        <v>0.24199999999999999</v>
      </c>
      <c r="K5992" s="34">
        <f t="shared" si="188"/>
        <v>80498.880000000005</v>
      </c>
      <c r="L5992" s="34">
        <v>2.31</v>
      </c>
      <c r="M5992" s="34">
        <v>767145</v>
      </c>
      <c r="N5992" s="34">
        <f t="shared" si="189"/>
        <v>9.5454545454545467</v>
      </c>
    </row>
    <row r="5993" spans="1:14" x14ac:dyDescent="0.45">
      <c r="A5993" s="30">
        <v>2025</v>
      </c>
      <c r="B5993" s="30" t="s">
        <v>14</v>
      </c>
      <c r="C5993" s="30" t="s">
        <v>46</v>
      </c>
      <c r="D5993" s="30" t="s">
        <v>47</v>
      </c>
      <c r="E5993" s="31" t="s">
        <v>709</v>
      </c>
      <c r="F5993" s="31" t="s">
        <v>49</v>
      </c>
      <c r="G5993" s="32" t="s">
        <v>50</v>
      </c>
      <c r="H5993" s="33">
        <v>45630</v>
      </c>
      <c r="I5993" s="34">
        <f>Table3[[#This Row],[Volume, kg.]]/1000</f>
        <v>45.63</v>
      </c>
      <c r="J5993" s="34">
        <v>0.20760000000000001</v>
      </c>
      <c r="K5993" s="34">
        <f t="shared" si="188"/>
        <v>9472.7880000000005</v>
      </c>
      <c r="L5993" s="34">
        <v>1.89</v>
      </c>
      <c r="M5993" s="34">
        <v>86159.5</v>
      </c>
      <c r="N5993" s="34">
        <f t="shared" si="189"/>
        <v>9.1040462427745652</v>
      </c>
    </row>
    <row r="5994" spans="1:14" x14ac:dyDescent="0.45">
      <c r="A5994" s="30">
        <v>2025</v>
      </c>
      <c r="B5994" s="30" t="s">
        <v>14</v>
      </c>
      <c r="C5994" s="30" t="s">
        <v>46</v>
      </c>
      <c r="D5994" s="30" t="s">
        <v>47</v>
      </c>
      <c r="E5994" s="31" t="s">
        <v>712</v>
      </c>
      <c r="F5994" s="31" t="s">
        <v>49</v>
      </c>
      <c r="G5994" s="32" t="s">
        <v>50</v>
      </c>
      <c r="H5994" s="33">
        <v>27940</v>
      </c>
      <c r="I5994" s="34">
        <f>Table3[[#This Row],[Volume, kg.]]/1000</f>
        <v>27.94</v>
      </c>
      <c r="J5994" s="34">
        <v>0.25069999999999998</v>
      </c>
      <c r="K5994" s="34">
        <f t="shared" si="188"/>
        <v>7004.5579999999991</v>
      </c>
      <c r="L5994" s="34">
        <v>2.0699999999999998</v>
      </c>
      <c r="M5994" s="34">
        <v>57845</v>
      </c>
      <c r="N5994" s="34">
        <f t="shared" si="189"/>
        <v>8.2568807339449535</v>
      </c>
    </row>
    <row r="5995" spans="1:14" x14ac:dyDescent="0.45">
      <c r="A5995" s="30">
        <v>2025</v>
      </c>
      <c r="B5995" s="30" t="s">
        <v>14</v>
      </c>
      <c r="C5995" s="30" t="s">
        <v>46</v>
      </c>
      <c r="D5995" s="30" t="s">
        <v>47</v>
      </c>
      <c r="E5995" s="31" t="s">
        <v>714</v>
      </c>
      <c r="F5995" s="31" t="s">
        <v>238</v>
      </c>
      <c r="G5995" s="32" t="s">
        <v>50</v>
      </c>
      <c r="H5995" s="33">
        <v>71790</v>
      </c>
      <c r="I5995" s="34">
        <f>Table3[[#This Row],[Volume, kg.]]/1000</f>
        <v>71.790000000000006</v>
      </c>
      <c r="J5995" s="34">
        <v>0.20829999999999999</v>
      </c>
      <c r="K5995" s="34">
        <f t="shared" si="188"/>
        <v>14953.856999999998</v>
      </c>
      <c r="L5995" s="34">
        <v>1.84</v>
      </c>
      <c r="M5995" s="34">
        <v>132251</v>
      </c>
      <c r="N5995" s="34">
        <f t="shared" si="189"/>
        <v>8.8334133461353819</v>
      </c>
    </row>
    <row r="5996" spans="1:14" x14ac:dyDescent="0.45">
      <c r="A5996" s="30">
        <v>2025</v>
      </c>
      <c r="B5996" s="30" t="s">
        <v>14</v>
      </c>
      <c r="C5996" s="30" t="s">
        <v>46</v>
      </c>
      <c r="D5996" s="30" t="s">
        <v>47</v>
      </c>
      <c r="E5996" s="31" t="s">
        <v>723</v>
      </c>
      <c r="F5996" s="31" t="s">
        <v>49</v>
      </c>
      <c r="G5996" s="32" t="s">
        <v>50</v>
      </c>
      <c r="H5996" s="33">
        <v>64270</v>
      </c>
      <c r="I5996" s="34">
        <f>Table3[[#This Row],[Volume, kg.]]/1000</f>
        <v>64.27</v>
      </c>
      <c r="J5996" s="34">
        <v>0.2026</v>
      </c>
      <c r="K5996" s="34">
        <f t="shared" si="188"/>
        <v>13021.102000000001</v>
      </c>
      <c r="L5996" s="34">
        <v>1.83</v>
      </c>
      <c r="M5996" s="34">
        <v>117712.5</v>
      </c>
      <c r="N5996" s="34">
        <f t="shared" si="189"/>
        <v>9.032576505429418</v>
      </c>
    </row>
    <row r="5997" spans="1:14" x14ac:dyDescent="0.45">
      <c r="A5997" s="30">
        <v>2025</v>
      </c>
      <c r="B5997" s="30" t="s">
        <v>14</v>
      </c>
      <c r="C5997" s="30" t="s">
        <v>46</v>
      </c>
      <c r="D5997" s="30" t="s">
        <v>47</v>
      </c>
      <c r="E5997" s="31" t="s">
        <v>722</v>
      </c>
      <c r="F5997" s="31" t="s">
        <v>49</v>
      </c>
      <c r="G5997" s="32" t="s">
        <v>50</v>
      </c>
      <c r="H5997" s="33">
        <v>20890</v>
      </c>
      <c r="I5997" s="34">
        <f>Table3[[#This Row],[Volume, kg.]]/1000</f>
        <v>20.89</v>
      </c>
      <c r="J5997" s="34">
        <v>0.19370000000000001</v>
      </c>
      <c r="K5997" s="34">
        <f t="shared" si="188"/>
        <v>4046.393</v>
      </c>
      <c r="L5997" s="34">
        <v>1.77</v>
      </c>
      <c r="M5997" s="34">
        <v>36946.5</v>
      </c>
      <c r="N5997" s="34">
        <f t="shared" si="189"/>
        <v>9.137842023748064</v>
      </c>
    </row>
    <row r="5998" spans="1:14" x14ac:dyDescent="0.45">
      <c r="A5998" s="30">
        <v>2025</v>
      </c>
      <c r="B5998" s="30" t="s">
        <v>14</v>
      </c>
      <c r="C5998" s="30" t="s">
        <v>46</v>
      </c>
      <c r="D5998" s="30" t="s">
        <v>47</v>
      </c>
      <c r="E5998" s="31" t="s">
        <v>724</v>
      </c>
      <c r="F5998" s="31" t="s">
        <v>64</v>
      </c>
      <c r="G5998" s="32" t="s">
        <v>50</v>
      </c>
      <c r="H5998" s="33">
        <v>82740</v>
      </c>
      <c r="I5998" s="34">
        <f>Table3[[#This Row],[Volume, kg.]]/1000</f>
        <v>82.74</v>
      </c>
      <c r="J5998" s="34">
        <v>0.22210000000000002</v>
      </c>
      <c r="K5998" s="34">
        <f t="shared" si="188"/>
        <v>18376.554</v>
      </c>
      <c r="L5998" s="34">
        <v>1.94</v>
      </c>
      <c r="M5998" s="34">
        <v>160166.5</v>
      </c>
      <c r="N5998" s="34">
        <f t="shared" si="189"/>
        <v>8.7348041422782519</v>
      </c>
    </row>
    <row r="5999" spans="1:14" x14ac:dyDescent="0.45">
      <c r="A5999" s="30">
        <v>2025</v>
      </c>
      <c r="B5999" s="30" t="s">
        <v>14</v>
      </c>
      <c r="C5999" s="30" t="s">
        <v>46</v>
      </c>
      <c r="D5999" s="30" t="s">
        <v>47</v>
      </c>
      <c r="E5999" s="31" t="s">
        <v>725</v>
      </c>
      <c r="F5999" s="31" t="s">
        <v>49</v>
      </c>
      <c r="G5999" s="32" t="s">
        <v>50</v>
      </c>
      <c r="H5999" s="33">
        <v>20800</v>
      </c>
      <c r="I5999" s="34">
        <f>Table3[[#This Row],[Volume, kg.]]/1000</f>
        <v>20.8</v>
      </c>
      <c r="J5999" s="34">
        <v>0.23949999999999999</v>
      </c>
      <c r="K5999" s="34">
        <f t="shared" si="188"/>
        <v>4981.5999999999995</v>
      </c>
      <c r="L5999" s="34">
        <v>2</v>
      </c>
      <c r="M5999" s="34">
        <v>41600</v>
      </c>
      <c r="N5999" s="34">
        <f t="shared" si="189"/>
        <v>8.3507306889352826</v>
      </c>
    </row>
    <row r="6000" spans="1:14" x14ac:dyDescent="0.45">
      <c r="A6000" s="30">
        <v>2025</v>
      </c>
      <c r="B6000" s="30" t="s">
        <v>14</v>
      </c>
      <c r="C6000" s="30" t="s">
        <v>46</v>
      </c>
      <c r="D6000" s="30" t="s">
        <v>102</v>
      </c>
      <c r="E6000" s="31" t="s">
        <v>732</v>
      </c>
      <c r="F6000" s="31" t="s">
        <v>349</v>
      </c>
      <c r="G6000" s="32" t="s">
        <v>105</v>
      </c>
      <c r="H6000" s="33">
        <v>278510</v>
      </c>
      <c r="I6000" s="34">
        <f>Table3[[#This Row],[Volume, kg.]]/1000</f>
        <v>278.51</v>
      </c>
      <c r="J6000" s="34">
        <v>0.22940000000000002</v>
      </c>
      <c r="K6000" s="34">
        <f t="shared" si="188"/>
        <v>63890.194000000003</v>
      </c>
      <c r="L6000" s="34">
        <v>2.06</v>
      </c>
      <c r="M6000" s="34">
        <v>572875</v>
      </c>
      <c r="N6000" s="34">
        <f t="shared" si="189"/>
        <v>8.9799476896251083</v>
      </c>
    </row>
    <row r="6001" spans="1:14" x14ac:dyDescent="0.45">
      <c r="A6001" s="30">
        <v>2025</v>
      </c>
      <c r="B6001" s="30" t="s">
        <v>14</v>
      </c>
      <c r="C6001" s="30" t="s">
        <v>46</v>
      </c>
      <c r="D6001" s="30" t="s">
        <v>102</v>
      </c>
      <c r="E6001" s="31" t="s">
        <v>735</v>
      </c>
      <c r="F6001" s="31" t="s">
        <v>736</v>
      </c>
      <c r="G6001" s="32" t="s">
        <v>50</v>
      </c>
      <c r="H6001" s="33">
        <v>560010</v>
      </c>
      <c r="I6001" s="34">
        <f>Table3[[#This Row],[Volume, kg.]]/1000</f>
        <v>560.01</v>
      </c>
      <c r="J6001" s="34">
        <v>0.2112</v>
      </c>
      <c r="K6001" s="34">
        <f t="shared" si="188"/>
        <v>118274.11199999999</v>
      </c>
      <c r="L6001" s="34">
        <v>1.96</v>
      </c>
      <c r="M6001" s="34">
        <v>1097648</v>
      </c>
      <c r="N6001" s="34">
        <f t="shared" si="189"/>
        <v>9.2803030303030294</v>
      </c>
    </row>
    <row r="6002" spans="1:14" x14ac:dyDescent="0.45">
      <c r="A6002" s="30">
        <v>2025</v>
      </c>
      <c r="B6002" s="30" t="s">
        <v>14</v>
      </c>
      <c r="C6002" s="30" t="s">
        <v>46</v>
      </c>
      <c r="D6002" s="30" t="s">
        <v>47</v>
      </c>
      <c r="E6002" s="31" t="s">
        <v>738</v>
      </c>
      <c r="F6002" s="31" t="s">
        <v>81</v>
      </c>
      <c r="G6002" s="32" t="s">
        <v>50</v>
      </c>
      <c r="H6002" s="33">
        <v>85380</v>
      </c>
      <c r="I6002" s="34">
        <f>Table3[[#This Row],[Volume, kg.]]/1000</f>
        <v>85.38</v>
      </c>
      <c r="J6002" s="34">
        <v>0.20980000000000001</v>
      </c>
      <c r="K6002" s="34">
        <f t="shared" si="188"/>
        <v>17912.724000000002</v>
      </c>
      <c r="L6002" s="34">
        <v>1.86</v>
      </c>
      <c r="M6002" s="34">
        <v>159042.5</v>
      </c>
      <c r="N6002" s="34">
        <f t="shared" si="189"/>
        <v>8.8655862726406092</v>
      </c>
    </row>
    <row r="6003" spans="1:14" x14ac:dyDescent="0.45">
      <c r="A6003" s="30">
        <v>2025</v>
      </c>
      <c r="B6003" s="30" t="s">
        <v>14</v>
      </c>
      <c r="C6003" s="30" t="s">
        <v>46</v>
      </c>
      <c r="D6003" s="30" t="s">
        <v>47</v>
      </c>
      <c r="E6003" s="31" t="s">
        <v>740</v>
      </c>
      <c r="F6003" s="31" t="s">
        <v>49</v>
      </c>
      <c r="G6003" s="32" t="s">
        <v>50</v>
      </c>
      <c r="H6003" s="33">
        <v>24660</v>
      </c>
      <c r="I6003" s="34">
        <f>Table3[[#This Row],[Volume, kg.]]/1000</f>
        <v>24.66</v>
      </c>
      <c r="J6003" s="34">
        <v>0.19879999999999998</v>
      </c>
      <c r="K6003" s="34">
        <f t="shared" si="188"/>
        <v>4902.4079999999994</v>
      </c>
      <c r="L6003" s="34">
        <v>1.81</v>
      </c>
      <c r="M6003" s="34">
        <v>44719.5</v>
      </c>
      <c r="N6003" s="34">
        <f t="shared" si="189"/>
        <v>9.1046277665995987</v>
      </c>
    </row>
    <row r="6004" spans="1:14" x14ac:dyDescent="0.45">
      <c r="A6004" s="30">
        <v>2025</v>
      </c>
      <c r="B6004" s="30" t="s">
        <v>14</v>
      </c>
      <c r="C6004" s="30" t="s">
        <v>46</v>
      </c>
      <c r="D6004" s="30" t="s">
        <v>47</v>
      </c>
      <c r="E6004" s="31" t="s">
        <v>741</v>
      </c>
      <c r="F6004" s="31" t="s">
        <v>60</v>
      </c>
      <c r="G6004" s="32" t="s">
        <v>50</v>
      </c>
      <c r="H6004" s="33">
        <v>10710</v>
      </c>
      <c r="I6004" s="34">
        <f>Table3[[#This Row],[Volume, kg.]]/1000</f>
        <v>10.71</v>
      </c>
      <c r="J6004" s="34">
        <v>0.25</v>
      </c>
      <c r="K6004" s="34">
        <f t="shared" si="188"/>
        <v>2677.5</v>
      </c>
      <c r="L6004" s="34">
        <v>2.1</v>
      </c>
      <c r="M6004" s="34">
        <v>22491</v>
      </c>
      <c r="N6004" s="34">
        <f t="shared" si="189"/>
        <v>8.4</v>
      </c>
    </row>
    <row r="6005" spans="1:14" x14ac:dyDescent="0.45">
      <c r="A6005" s="30">
        <v>2025</v>
      </c>
      <c r="B6005" s="30" t="s">
        <v>14</v>
      </c>
      <c r="C6005" s="30" t="s">
        <v>46</v>
      </c>
      <c r="D6005" s="30" t="s">
        <v>47</v>
      </c>
      <c r="E6005" s="31" t="s">
        <v>742</v>
      </c>
      <c r="F6005" s="31" t="s">
        <v>49</v>
      </c>
      <c r="G6005" s="32" t="s">
        <v>50</v>
      </c>
      <c r="H6005" s="33">
        <v>9660</v>
      </c>
      <c r="I6005" s="34">
        <f>Table3[[#This Row],[Volume, kg.]]/1000</f>
        <v>9.66</v>
      </c>
      <c r="J6005" s="34">
        <v>0.21539999999999998</v>
      </c>
      <c r="K6005" s="34">
        <f t="shared" si="188"/>
        <v>2080.7639999999997</v>
      </c>
      <c r="L6005" s="34">
        <v>1.87</v>
      </c>
      <c r="M6005" s="34">
        <v>18025.5</v>
      </c>
      <c r="N6005" s="34">
        <f t="shared" si="189"/>
        <v>8.6815227483751176</v>
      </c>
    </row>
    <row r="6006" spans="1:14" x14ac:dyDescent="0.45">
      <c r="A6006" s="30">
        <v>2025</v>
      </c>
      <c r="B6006" s="30" t="s">
        <v>14</v>
      </c>
      <c r="C6006" s="30" t="s">
        <v>46</v>
      </c>
      <c r="D6006" s="30" t="s">
        <v>102</v>
      </c>
      <c r="E6006" s="31" t="s">
        <v>743</v>
      </c>
      <c r="F6006" s="31" t="s">
        <v>127</v>
      </c>
      <c r="G6006" s="32" t="s">
        <v>128</v>
      </c>
      <c r="H6006" s="33">
        <v>40050</v>
      </c>
      <c r="I6006" s="34">
        <f>Table3[[#This Row],[Volume, kg.]]/1000</f>
        <v>40.049999999999997</v>
      </c>
      <c r="J6006" s="34">
        <v>0.20800000000000002</v>
      </c>
      <c r="K6006" s="34">
        <f t="shared" si="188"/>
        <v>8330.4000000000015</v>
      </c>
      <c r="L6006" s="34">
        <v>2</v>
      </c>
      <c r="M6006" s="34">
        <v>80100</v>
      </c>
      <c r="N6006" s="34">
        <f t="shared" si="189"/>
        <v>9.615384615384615</v>
      </c>
    </row>
    <row r="6007" spans="1:14" x14ac:dyDescent="0.45">
      <c r="A6007" s="30">
        <v>2025</v>
      </c>
      <c r="B6007" s="30" t="s">
        <v>14</v>
      </c>
      <c r="C6007" s="30" t="s">
        <v>46</v>
      </c>
      <c r="D6007" s="30" t="s">
        <v>47</v>
      </c>
      <c r="E6007" s="31" t="s">
        <v>744</v>
      </c>
      <c r="F6007" s="31" t="s">
        <v>49</v>
      </c>
      <c r="G6007" s="32" t="s">
        <v>50</v>
      </c>
      <c r="H6007" s="33">
        <v>65370</v>
      </c>
      <c r="I6007" s="34">
        <f>Table3[[#This Row],[Volume, kg.]]/1000</f>
        <v>65.37</v>
      </c>
      <c r="J6007" s="34">
        <v>0.25769999999999998</v>
      </c>
      <c r="K6007" s="34">
        <f t="shared" si="188"/>
        <v>16845.848999999998</v>
      </c>
      <c r="L6007" s="34">
        <v>2.1</v>
      </c>
      <c r="M6007" s="34">
        <v>137507</v>
      </c>
      <c r="N6007" s="34">
        <f t="shared" si="189"/>
        <v>8.1490104772991856</v>
      </c>
    </row>
    <row r="6008" spans="1:14" x14ac:dyDescent="0.45">
      <c r="A6008" s="30">
        <v>2025</v>
      </c>
      <c r="B6008" s="30" t="s">
        <v>15</v>
      </c>
      <c r="C6008" s="30" t="s">
        <v>46</v>
      </c>
      <c r="D6008" s="30" t="s">
        <v>102</v>
      </c>
      <c r="E6008" s="31" t="s">
        <v>188</v>
      </c>
      <c r="F6008" s="31" t="s">
        <v>189</v>
      </c>
      <c r="G6008" s="32" t="s">
        <v>128</v>
      </c>
      <c r="H6008" s="33">
        <v>659240</v>
      </c>
      <c r="I6008" s="34">
        <f>Table3[[#This Row],[Volume, kg.]]/1000</f>
        <v>659.24</v>
      </c>
      <c r="J6008" s="34">
        <v>0.23760000000000001</v>
      </c>
      <c r="K6008" s="34">
        <f t="shared" si="188"/>
        <v>156635.424</v>
      </c>
      <c r="L6008" s="34">
        <v>2.16</v>
      </c>
      <c r="M6008" s="34">
        <v>1422919.5</v>
      </c>
      <c r="N6008" s="34">
        <f t="shared" si="189"/>
        <v>9.0909090909090917</v>
      </c>
    </row>
    <row r="6009" spans="1:14" x14ac:dyDescent="0.45">
      <c r="A6009" s="30">
        <v>2025</v>
      </c>
      <c r="B6009" s="30" t="s">
        <v>15</v>
      </c>
      <c r="C6009" s="30" t="s">
        <v>46</v>
      </c>
      <c r="D6009" s="30" t="s">
        <v>47</v>
      </c>
      <c r="E6009" s="31" t="s">
        <v>232</v>
      </c>
      <c r="F6009" s="31" t="s">
        <v>49</v>
      </c>
      <c r="G6009" s="32" t="s">
        <v>50</v>
      </c>
      <c r="H6009" s="33">
        <v>135350</v>
      </c>
      <c r="I6009" s="34">
        <f>Table3[[#This Row],[Volume, kg.]]/1000</f>
        <v>135.35</v>
      </c>
      <c r="J6009" s="34">
        <v>0.25079999999999997</v>
      </c>
      <c r="K6009" s="34">
        <f t="shared" si="188"/>
        <v>33945.78</v>
      </c>
      <c r="L6009" s="34">
        <v>2.13</v>
      </c>
      <c r="M6009" s="34">
        <v>288036</v>
      </c>
      <c r="N6009" s="34">
        <f t="shared" si="189"/>
        <v>8.4928229665071768</v>
      </c>
    </row>
    <row r="6010" spans="1:14" x14ac:dyDescent="0.45">
      <c r="A6010" s="30">
        <v>2025</v>
      </c>
      <c r="B6010" s="30" t="s">
        <v>15</v>
      </c>
      <c r="C6010" s="30" t="s">
        <v>46</v>
      </c>
      <c r="D6010" s="30" t="s">
        <v>47</v>
      </c>
      <c r="E6010" s="31" t="s">
        <v>213</v>
      </c>
      <c r="F6010" s="31" t="s">
        <v>49</v>
      </c>
      <c r="G6010" s="32" t="s">
        <v>50</v>
      </c>
      <c r="H6010" s="33">
        <v>182970</v>
      </c>
      <c r="I6010" s="34">
        <f>Table3[[#This Row],[Volume, kg.]]/1000</f>
        <v>182.97</v>
      </c>
      <c r="J6010" s="34">
        <v>0.23929999999999998</v>
      </c>
      <c r="K6010" s="34">
        <f t="shared" si="188"/>
        <v>43784.720999999998</v>
      </c>
      <c r="L6010" s="34">
        <v>2.06</v>
      </c>
      <c r="M6010" s="34">
        <v>376830</v>
      </c>
      <c r="N6010" s="34">
        <f t="shared" si="189"/>
        <v>8.6084412870873397</v>
      </c>
    </row>
    <row r="6011" spans="1:14" x14ac:dyDescent="0.45">
      <c r="A6011" s="30">
        <v>2025</v>
      </c>
      <c r="B6011" s="30" t="s">
        <v>15</v>
      </c>
      <c r="C6011" s="30" t="s">
        <v>46</v>
      </c>
      <c r="D6011" s="30" t="s">
        <v>47</v>
      </c>
      <c r="E6011" s="31" t="s">
        <v>69</v>
      </c>
      <c r="F6011" s="31" t="s">
        <v>49</v>
      </c>
      <c r="G6011" s="32" t="s">
        <v>50</v>
      </c>
      <c r="H6011" s="33">
        <v>248000</v>
      </c>
      <c r="I6011" s="34">
        <f>Table3[[#This Row],[Volume, kg.]]/1000</f>
        <v>248</v>
      </c>
      <c r="J6011" s="34">
        <v>0.23760000000000001</v>
      </c>
      <c r="K6011" s="34">
        <f t="shared" si="188"/>
        <v>58924.800000000003</v>
      </c>
      <c r="L6011" s="34">
        <v>2.06</v>
      </c>
      <c r="M6011" s="34">
        <v>509951.5</v>
      </c>
      <c r="N6011" s="34">
        <f t="shared" si="189"/>
        <v>8.6700336700336695</v>
      </c>
    </row>
    <row r="6012" spans="1:14" x14ac:dyDescent="0.45">
      <c r="A6012" s="30">
        <v>2025</v>
      </c>
      <c r="B6012" s="30" t="s">
        <v>15</v>
      </c>
      <c r="C6012" s="30" t="s">
        <v>46</v>
      </c>
      <c r="D6012" s="30" t="s">
        <v>47</v>
      </c>
      <c r="E6012" s="31" t="s">
        <v>202</v>
      </c>
      <c r="F6012" s="31" t="s">
        <v>57</v>
      </c>
      <c r="G6012" s="32" t="s">
        <v>50</v>
      </c>
      <c r="H6012" s="33">
        <v>14220</v>
      </c>
      <c r="I6012" s="34">
        <f>Table3[[#This Row],[Volume, kg.]]/1000</f>
        <v>14.22</v>
      </c>
      <c r="J6012" s="34">
        <v>0.28520000000000001</v>
      </c>
      <c r="K6012" s="34">
        <f t="shared" si="188"/>
        <v>4055.5440000000003</v>
      </c>
      <c r="L6012" s="34">
        <v>2.33</v>
      </c>
      <c r="M6012" s="34">
        <v>33078</v>
      </c>
      <c r="N6012" s="34">
        <f t="shared" si="189"/>
        <v>8.1697054698457219</v>
      </c>
    </row>
    <row r="6013" spans="1:14" x14ac:dyDescent="0.45">
      <c r="A6013" s="30">
        <v>2025</v>
      </c>
      <c r="B6013" s="30" t="s">
        <v>15</v>
      </c>
      <c r="C6013" s="30" t="s">
        <v>46</v>
      </c>
      <c r="D6013" s="30" t="s">
        <v>47</v>
      </c>
      <c r="E6013" s="31" t="s">
        <v>326</v>
      </c>
      <c r="F6013" s="31" t="s">
        <v>57</v>
      </c>
      <c r="G6013" s="32" t="s">
        <v>50</v>
      </c>
      <c r="H6013" s="33">
        <v>90790</v>
      </c>
      <c r="I6013" s="34">
        <f>Table3[[#This Row],[Volume, kg.]]/1000</f>
        <v>90.79</v>
      </c>
      <c r="J6013" s="34">
        <v>0.2427</v>
      </c>
      <c r="K6013" s="34">
        <f t="shared" si="188"/>
        <v>22034.733</v>
      </c>
      <c r="L6013" s="34">
        <v>2.1</v>
      </c>
      <c r="M6013" s="34">
        <v>190221.5</v>
      </c>
      <c r="N6013" s="34">
        <f t="shared" si="189"/>
        <v>8.6526576019777508</v>
      </c>
    </row>
    <row r="6014" spans="1:14" x14ac:dyDescent="0.45">
      <c r="A6014" s="30">
        <v>2025</v>
      </c>
      <c r="B6014" s="30" t="s">
        <v>15</v>
      </c>
      <c r="C6014" s="30" t="s">
        <v>46</v>
      </c>
      <c r="D6014" s="30" t="s">
        <v>47</v>
      </c>
      <c r="E6014" s="31" t="s">
        <v>201</v>
      </c>
      <c r="F6014" s="31" t="s">
        <v>49</v>
      </c>
      <c r="G6014" s="32" t="s">
        <v>50</v>
      </c>
      <c r="H6014" s="33">
        <v>203270</v>
      </c>
      <c r="I6014" s="34">
        <f>Table3[[#This Row],[Volume, kg.]]/1000</f>
        <v>203.27</v>
      </c>
      <c r="J6014" s="34">
        <v>0.25530000000000003</v>
      </c>
      <c r="K6014" s="34">
        <f t="shared" si="188"/>
        <v>51894.831000000006</v>
      </c>
      <c r="L6014" s="34">
        <v>2.14</v>
      </c>
      <c r="M6014" s="34">
        <v>433984.5</v>
      </c>
      <c r="N6014" s="34">
        <f t="shared" si="189"/>
        <v>8.3822953388170767</v>
      </c>
    </row>
    <row r="6015" spans="1:14" x14ac:dyDescent="0.45">
      <c r="A6015" s="30">
        <v>2025</v>
      </c>
      <c r="B6015" s="30" t="s">
        <v>15</v>
      </c>
      <c r="C6015" s="30" t="s">
        <v>46</v>
      </c>
      <c r="D6015" s="30" t="s">
        <v>47</v>
      </c>
      <c r="E6015" s="31" t="s">
        <v>381</v>
      </c>
      <c r="F6015" s="31" t="s">
        <v>49</v>
      </c>
      <c r="G6015" s="32" t="s">
        <v>50</v>
      </c>
      <c r="H6015" s="33">
        <v>113920</v>
      </c>
      <c r="I6015" s="34">
        <f>Table3[[#This Row],[Volume, kg.]]/1000</f>
        <v>113.92</v>
      </c>
      <c r="J6015" s="34">
        <v>0.24780000000000002</v>
      </c>
      <c r="K6015" s="34">
        <f t="shared" si="188"/>
        <v>28229.376000000004</v>
      </c>
      <c r="L6015" s="34">
        <v>2.1</v>
      </c>
      <c r="M6015" s="34">
        <v>239631</v>
      </c>
      <c r="N6015" s="34">
        <f t="shared" si="189"/>
        <v>8.4745762711864412</v>
      </c>
    </row>
    <row r="6016" spans="1:14" x14ac:dyDescent="0.45">
      <c r="A6016" s="30">
        <v>2025</v>
      </c>
      <c r="B6016" s="30" t="s">
        <v>15</v>
      </c>
      <c r="C6016" s="30" t="s">
        <v>46</v>
      </c>
      <c r="D6016" s="30" t="s">
        <v>47</v>
      </c>
      <c r="E6016" s="31" t="s">
        <v>433</v>
      </c>
      <c r="F6016" s="31" t="s">
        <v>49</v>
      </c>
      <c r="G6016" s="32" t="s">
        <v>50</v>
      </c>
      <c r="H6016" s="33">
        <v>4310</v>
      </c>
      <c r="I6016" s="34">
        <f>Table3[[#This Row],[Volume, kg.]]/1000</f>
        <v>4.3099999999999996</v>
      </c>
      <c r="J6016" s="34">
        <v>0.23530000000000001</v>
      </c>
      <c r="K6016" s="34">
        <f t="shared" si="188"/>
        <v>1014.143</v>
      </c>
      <c r="L6016" s="34">
        <v>2.0499999999999998</v>
      </c>
      <c r="M6016" s="34">
        <v>8835.5</v>
      </c>
      <c r="N6016" s="34">
        <f t="shared" si="189"/>
        <v>8.7122821929451746</v>
      </c>
    </row>
    <row r="6017" spans="1:14" x14ac:dyDescent="0.45">
      <c r="A6017" s="30">
        <v>2025</v>
      </c>
      <c r="B6017" s="30" t="s">
        <v>15</v>
      </c>
      <c r="C6017" s="30" t="s">
        <v>46</v>
      </c>
      <c r="D6017" s="30" t="s">
        <v>47</v>
      </c>
      <c r="E6017" s="31" t="s">
        <v>235</v>
      </c>
      <c r="F6017" s="31" t="s">
        <v>57</v>
      </c>
      <c r="G6017" s="32" t="s">
        <v>50</v>
      </c>
      <c r="H6017" s="33">
        <v>21440</v>
      </c>
      <c r="I6017" s="34">
        <f>Table3[[#This Row],[Volume, kg.]]/1000</f>
        <v>21.44</v>
      </c>
      <c r="J6017" s="34">
        <v>0.2621</v>
      </c>
      <c r="K6017" s="34">
        <f t="shared" si="188"/>
        <v>5619.424</v>
      </c>
      <c r="L6017" s="34">
        <v>2.21</v>
      </c>
      <c r="M6017" s="34">
        <v>47451.5</v>
      </c>
      <c r="N6017" s="34">
        <f t="shared" si="189"/>
        <v>8.4318962228157197</v>
      </c>
    </row>
    <row r="6018" spans="1:14" x14ac:dyDescent="0.45">
      <c r="A6018" s="30">
        <v>2025</v>
      </c>
      <c r="B6018" s="30" t="s">
        <v>15</v>
      </c>
      <c r="C6018" s="30" t="s">
        <v>46</v>
      </c>
      <c r="D6018" s="30" t="s">
        <v>47</v>
      </c>
      <c r="E6018" s="31" t="s">
        <v>149</v>
      </c>
      <c r="F6018" s="31" t="s">
        <v>49</v>
      </c>
      <c r="G6018" s="32" t="s">
        <v>50</v>
      </c>
      <c r="H6018" s="33">
        <v>85990</v>
      </c>
      <c r="I6018" s="34">
        <f>Table3[[#This Row],[Volume, kg.]]/1000</f>
        <v>85.99</v>
      </c>
      <c r="J6018" s="34">
        <v>0.2455</v>
      </c>
      <c r="K6018" s="34">
        <f t="shared" si="188"/>
        <v>21110.544999999998</v>
      </c>
      <c r="L6018" s="34">
        <v>2.0699999999999998</v>
      </c>
      <c r="M6018" s="34">
        <v>177781</v>
      </c>
      <c r="N6018" s="34">
        <f t="shared" si="189"/>
        <v>8.4317718940936857</v>
      </c>
    </row>
    <row r="6019" spans="1:14" x14ac:dyDescent="0.45">
      <c r="A6019" s="30">
        <v>2025</v>
      </c>
      <c r="B6019" s="30" t="s">
        <v>15</v>
      </c>
      <c r="C6019" s="30" t="s">
        <v>46</v>
      </c>
      <c r="D6019" s="30" t="s">
        <v>47</v>
      </c>
      <c r="E6019" s="31" t="s">
        <v>493</v>
      </c>
      <c r="F6019" s="31" t="s">
        <v>49</v>
      </c>
      <c r="G6019" s="32" t="s">
        <v>50</v>
      </c>
      <c r="H6019" s="33">
        <v>36600</v>
      </c>
      <c r="I6019" s="34">
        <f>Table3[[#This Row],[Volume, kg.]]/1000</f>
        <v>36.6</v>
      </c>
      <c r="J6019" s="34">
        <v>0.22949999999999998</v>
      </c>
      <c r="K6019" s="34">
        <f t="shared" si="188"/>
        <v>8399.6999999999989</v>
      </c>
      <c r="L6019" s="34">
        <v>2.0099999999999998</v>
      </c>
      <c r="M6019" s="34">
        <v>73710.5</v>
      </c>
      <c r="N6019" s="34">
        <f t="shared" si="189"/>
        <v>8.758169934640522</v>
      </c>
    </row>
    <row r="6020" spans="1:14" x14ac:dyDescent="0.45">
      <c r="A6020" s="30">
        <v>2025</v>
      </c>
      <c r="B6020" s="30" t="s">
        <v>15</v>
      </c>
      <c r="C6020" s="30" t="s">
        <v>46</v>
      </c>
      <c r="D6020" s="30" t="s">
        <v>47</v>
      </c>
      <c r="E6020" s="31" t="s">
        <v>208</v>
      </c>
      <c r="F6020" s="31" t="s">
        <v>49</v>
      </c>
      <c r="G6020" s="32" t="s">
        <v>50</v>
      </c>
      <c r="H6020" s="33">
        <v>193810</v>
      </c>
      <c r="I6020" s="34">
        <f>Table3[[#This Row],[Volume, kg.]]/1000</f>
        <v>193.81</v>
      </c>
      <c r="J6020" s="34">
        <v>0.25600000000000001</v>
      </c>
      <c r="K6020" s="34">
        <f t="shared" si="188"/>
        <v>49615.360000000001</v>
      </c>
      <c r="L6020" s="34">
        <v>2.14</v>
      </c>
      <c r="M6020" s="34">
        <v>415335.5</v>
      </c>
      <c r="N6020" s="34">
        <f t="shared" si="189"/>
        <v>8.359375</v>
      </c>
    </row>
    <row r="6021" spans="1:14" x14ac:dyDescent="0.45">
      <c r="A6021" s="30">
        <v>2025</v>
      </c>
      <c r="B6021" s="30" t="s">
        <v>15</v>
      </c>
      <c r="C6021" s="30" t="s">
        <v>46</v>
      </c>
      <c r="D6021" s="30" t="s">
        <v>47</v>
      </c>
      <c r="E6021" s="31" t="s">
        <v>71</v>
      </c>
      <c r="F6021" s="31" t="s">
        <v>49</v>
      </c>
      <c r="G6021" s="32" t="s">
        <v>50</v>
      </c>
      <c r="H6021" s="33">
        <v>46340</v>
      </c>
      <c r="I6021" s="34">
        <f>Table3[[#This Row],[Volume, kg.]]/1000</f>
        <v>46.34</v>
      </c>
      <c r="J6021" s="34">
        <v>0.26319999999999999</v>
      </c>
      <c r="K6021" s="34">
        <f t="shared" si="188"/>
        <v>12196.688</v>
      </c>
      <c r="L6021" s="34">
        <v>2.16</v>
      </c>
      <c r="M6021" s="34">
        <v>100112</v>
      </c>
      <c r="N6021" s="34">
        <f t="shared" si="189"/>
        <v>8.2066869300911858</v>
      </c>
    </row>
    <row r="6022" spans="1:14" x14ac:dyDescent="0.45">
      <c r="A6022" s="30">
        <v>2025</v>
      </c>
      <c r="B6022" s="30" t="s">
        <v>15</v>
      </c>
      <c r="C6022" s="30" t="s">
        <v>46</v>
      </c>
      <c r="D6022" s="30" t="s">
        <v>47</v>
      </c>
      <c r="E6022" s="31" t="s">
        <v>123</v>
      </c>
      <c r="F6022" s="31" t="s">
        <v>49</v>
      </c>
      <c r="G6022" s="32" t="s">
        <v>50</v>
      </c>
      <c r="H6022" s="33">
        <v>37270</v>
      </c>
      <c r="I6022" s="34">
        <f>Table3[[#This Row],[Volume, kg.]]/1000</f>
        <v>37.270000000000003</v>
      </c>
      <c r="J6022" s="34">
        <v>0.28370000000000001</v>
      </c>
      <c r="K6022" s="34">
        <f t="shared" si="188"/>
        <v>10573.499</v>
      </c>
      <c r="L6022" s="34">
        <v>2.2599999999999998</v>
      </c>
      <c r="M6022" s="34">
        <v>84153.5</v>
      </c>
      <c r="N6022" s="34">
        <f t="shared" si="189"/>
        <v>7.9661614381388786</v>
      </c>
    </row>
    <row r="6023" spans="1:14" x14ac:dyDescent="0.45">
      <c r="A6023" s="30">
        <v>2025</v>
      </c>
      <c r="B6023" s="30" t="s">
        <v>15</v>
      </c>
      <c r="C6023" s="30" t="s">
        <v>46</v>
      </c>
      <c r="D6023" s="30" t="s">
        <v>47</v>
      </c>
      <c r="E6023" s="31" t="s">
        <v>99</v>
      </c>
      <c r="F6023" s="31" t="s">
        <v>49</v>
      </c>
      <c r="G6023" s="32" t="s">
        <v>50</v>
      </c>
      <c r="H6023" s="33">
        <v>70560</v>
      </c>
      <c r="I6023" s="34">
        <f>Table3[[#This Row],[Volume, kg.]]/1000</f>
        <v>70.56</v>
      </c>
      <c r="J6023" s="34">
        <v>0.22989999999999999</v>
      </c>
      <c r="K6023" s="34">
        <f t="shared" si="188"/>
        <v>16221.743999999999</v>
      </c>
      <c r="L6023" s="34">
        <v>2.0099999999999998</v>
      </c>
      <c r="M6023" s="34">
        <v>141487</v>
      </c>
      <c r="N6023" s="34">
        <f t="shared" si="189"/>
        <v>8.742931709438885</v>
      </c>
    </row>
    <row r="6024" spans="1:14" x14ac:dyDescent="0.45">
      <c r="A6024" s="30">
        <v>2025</v>
      </c>
      <c r="B6024" s="30" t="s">
        <v>15</v>
      </c>
      <c r="C6024" s="30" t="s">
        <v>46</v>
      </c>
      <c r="D6024" s="30" t="s">
        <v>47</v>
      </c>
      <c r="E6024" s="31" t="s">
        <v>165</v>
      </c>
      <c r="F6024" s="31" t="s">
        <v>57</v>
      </c>
      <c r="G6024" s="32" t="s">
        <v>50</v>
      </c>
      <c r="H6024" s="33">
        <v>16700</v>
      </c>
      <c r="I6024" s="34">
        <f>Table3[[#This Row],[Volume, kg.]]/1000</f>
        <v>16.7</v>
      </c>
      <c r="J6024" s="34">
        <v>0.23019999999999999</v>
      </c>
      <c r="K6024" s="34">
        <f t="shared" ref="K6024:K6087" si="190">H6024*J6024</f>
        <v>3844.3399999999997</v>
      </c>
      <c r="L6024" s="34">
        <v>1.97</v>
      </c>
      <c r="M6024" s="34">
        <v>32911.5</v>
      </c>
      <c r="N6024" s="34">
        <f t="shared" ref="N6024:N6087" si="191">L6024/J6024</f>
        <v>8.5577758470894878</v>
      </c>
    </row>
    <row r="6025" spans="1:14" x14ac:dyDescent="0.45">
      <c r="A6025" s="30">
        <v>2025</v>
      </c>
      <c r="B6025" s="30" t="s">
        <v>15</v>
      </c>
      <c r="C6025" s="30" t="s">
        <v>46</v>
      </c>
      <c r="D6025" s="30" t="s">
        <v>47</v>
      </c>
      <c r="E6025" s="31" t="s">
        <v>226</v>
      </c>
      <c r="F6025" s="31" t="s">
        <v>60</v>
      </c>
      <c r="G6025" s="32" t="s">
        <v>50</v>
      </c>
      <c r="H6025" s="33">
        <v>100240</v>
      </c>
      <c r="I6025" s="34">
        <f>Table3[[#This Row],[Volume, kg.]]/1000</f>
        <v>100.24</v>
      </c>
      <c r="J6025" s="34">
        <v>0.24579999999999999</v>
      </c>
      <c r="K6025" s="34">
        <f t="shared" si="190"/>
        <v>24638.991999999998</v>
      </c>
      <c r="L6025" s="34">
        <v>2.09</v>
      </c>
      <c r="M6025" s="34">
        <v>209191</v>
      </c>
      <c r="N6025" s="34">
        <f t="shared" si="191"/>
        <v>8.5028478437754274</v>
      </c>
    </row>
    <row r="6026" spans="1:14" x14ac:dyDescent="0.45">
      <c r="A6026" s="30">
        <v>2025</v>
      </c>
      <c r="B6026" s="30" t="s">
        <v>15</v>
      </c>
      <c r="C6026" s="30" t="s">
        <v>46</v>
      </c>
      <c r="D6026" s="30" t="s">
        <v>47</v>
      </c>
      <c r="E6026" s="31" t="s">
        <v>182</v>
      </c>
      <c r="F6026" s="31" t="s">
        <v>81</v>
      </c>
      <c r="G6026" s="32" t="s">
        <v>50</v>
      </c>
      <c r="H6026" s="33">
        <v>128150</v>
      </c>
      <c r="I6026" s="34">
        <f>Table3[[#This Row],[Volume, kg.]]/1000</f>
        <v>128.15</v>
      </c>
      <c r="J6026" s="34">
        <v>0.2225</v>
      </c>
      <c r="K6026" s="34">
        <f t="shared" si="190"/>
        <v>28513.375</v>
      </c>
      <c r="L6026" s="34">
        <v>1.95</v>
      </c>
      <c r="M6026" s="34">
        <v>250437.5</v>
      </c>
      <c r="N6026" s="34">
        <f t="shared" si="191"/>
        <v>8.7640449438202239</v>
      </c>
    </row>
    <row r="6027" spans="1:14" x14ac:dyDescent="0.45">
      <c r="A6027" s="30">
        <v>2025</v>
      </c>
      <c r="B6027" s="30" t="s">
        <v>15</v>
      </c>
      <c r="C6027" s="30" t="s">
        <v>46</v>
      </c>
      <c r="D6027" s="30" t="s">
        <v>47</v>
      </c>
      <c r="E6027" s="31" t="s">
        <v>82</v>
      </c>
      <c r="F6027" s="31" t="s">
        <v>57</v>
      </c>
      <c r="G6027" s="32" t="s">
        <v>50</v>
      </c>
      <c r="H6027" s="33">
        <v>9290</v>
      </c>
      <c r="I6027" s="34">
        <f>Table3[[#This Row],[Volume, kg.]]/1000</f>
        <v>9.2899999999999991</v>
      </c>
      <c r="J6027" s="34">
        <v>0.23250000000000001</v>
      </c>
      <c r="K6027" s="34">
        <f t="shared" si="190"/>
        <v>2159.9250000000002</v>
      </c>
      <c r="L6027" s="34">
        <v>2</v>
      </c>
      <c r="M6027" s="34">
        <v>18580</v>
      </c>
      <c r="N6027" s="34">
        <f t="shared" si="191"/>
        <v>8.6021505376344081</v>
      </c>
    </row>
    <row r="6028" spans="1:14" x14ac:dyDescent="0.45">
      <c r="A6028" s="30">
        <v>2025</v>
      </c>
      <c r="B6028" s="30" t="s">
        <v>15</v>
      </c>
      <c r="C6028" s="30" t="s">
        <v>46</v>
      </c>
      <c r="D6028" s="30" t="s">
        <v>47</v>
      </c>
      <c r="E6028" s="31" t="s">
        <v>65</v>
      </c>
      <c r="F6028" s="31" t="s">
        <v>49</v>
      </c>
      <c r="G6028" s="32" t="s">
        <v>50</v>
      </c>
      <c r="H6028" s="33">
        <v>120360</v>
      </c>
      <c r="I6028" s="34">
        <f>Table3[[#This Row],[Volume, kg.]]/1000</f>
        <v>120.36</v>
      </c>
      <c r="J6028" s="34">
        <v>0.2321</v>
      </c>
      <c r="K6028" s="34">
        <f t="shared" si="190"/>
        <v>27935.556</v>
      </c>
      <c r="L6028" s="34">
        <v>2.0099999999999998</v>
      </c>
      <c r="M6028" s="34">
        <v>241828.5</v>
      </c>
      <c r="N6028" s="34">
        <f t="shared" si="191"/>
        <v>8.6600603188280907</v>
      </c>
    </row>
    <row r="6029" spans="1:14" x14ac:dyDescent="0.45">
      <c r="A6029" s="30">
        <v>2025</v>
      </c>
      <c r="B6029" s="30" t="s">
        <v>15</v>
      </c>
      <c r="C6029" s="30" t="s">
        <v>46</v>
      </c>
      <c r="D6029" s="30" t="s">
        <v>47</v>
      </c>
      <c r="E6029" s="31" t="s">
        <v>245</v>
      </c>
      <c r="F6029" s="31" t="s">
        <v>57</v>
      </c>
      <c r="G6029" s="32" t="s">
        <v>50</v>
      </c>
      <c r="H6029" s="33">
        <v>12640</v>
      </c>
      <c r="I6029" s="34">
        <f>Table3[[#This Row],[Volume, kg.]]/1000</f>
        <v>12.64</v>
      </c>
      <c r="J6029" s="34">
        <v>0.20149999999999998</v>
      </c>
      <c r="K6029" s="34">
        <f t="shared" si="190"/>
        <v>2546.9599999999996</v>
      </c>
      <c r="L6029" s="34">
        <v>1.89</v>
      </c>
      <c r="M6029" s="34">
        <v>23846</v>
      </c>
      <c r="N6029" s="34">
        <f t="shared" si="191"/>
        <v>9.3796526054590572</v>
      </c>
    </row>
    <row r="6030" spans="1:14" x14ac:dyDescent="0.45">
      <c r="A6030" s="30">
        <v>2025</v>
      </c>
      <c r="B6030" s="30" t="s">
        <v>15</v>
      </c>
      <c r="C6030" s="30" t="s">
        <v>46</v>
      </c>
      <c r="D6030" s="30" t="s">
        <v>47</v>
      </c>
      <c r="E6030" s="31" t="s">
        <v>163</v>
      </c>
      <c r="F6030" s="31" t="s">
        <v>60</v>
      </c>
      <c r="G6030" s="32" t="s">
        <v>50</v>
      </c>
      <c r="H6030" s="33">
        <v>184170</v>
      </c>
      <c r="I6030" s="34">
        <f>Table3[[#This Row],[Volume, kg.]]/1000</f>
        <v>184.17</v>
      </c>
      <c r="J6030" s="34">
        <v>0.2397</v>
      </c>
      <c r="K6030" s="34">
        <f t="shared" si="190"/>
        <v>44145.548999999999</v>
      </c>
      <c r="L6030" s="34">
        <v>2.0499999999999998</v>
      </c>
      <c r="M6030" s="34">
        <v>376987</v>
      </c>
      <c r="N6030" s="34">
        <f t="shared" si="191"/>
        <v>8.5523571130579885</v>
      </c>
    </row>
    <row r="6031" spans="1:14" x14ac:dyDescent="0.45">
      <c r="A6031" s="30">
        <v>2025</v>
      </c>
      <c r="B6031" s="30" t="s">
        <v>15</v>
      </c>
      <c r="C6031" s="30" t="s">
        <v>46</v>
      </c>
      <c r="D6031" s="30" t="s">
        <v>47</v>
      </c>
      <c r="E6031" s="31" t="s">
        <v>172</v>
      </c>
      <c r="F6031" s="31" t="s">
        <v>57</v>
      </c>
      <c r="G6031" s="32" t="s">
        <v>50</v>
      </c>
      <c r="H6031" s="33">
        <v>14680</v>
      </c>
      <c r="I6031" s="34">
        <f>Table3[[#This Row],[Volume, kg.]]/1000</f>
        <v>14.68</v>
      </c>
      <c r="J6031" s="34">
        <v>0.22640000000000002</v>
      </c>
      <c r="K6031" s="34">
        <f t="shared" si="190"/>
        <v>3323.5520000000001</v>
      </c>
      <c r="L6031" s="34">
        <v>2.02</v>
      </c>
      <c r="M6031" s="34">
        <v>29674</v>
      </c>
      <c r="N6031" s="34">
        <f t="shared" si="191"/>
        <v>8.9222614840989394</v>
      </c>
    </row>
    <row r="6032" spans="1:14" x14ac:dyDescent="0.45">
      <c r="A6032" s="30">
        <v>2025</v>
      </c>
      <c r="B6032" s="30" t="s">
        <v>15</v>
      </c>
      <c r="C6032" s="30" t="s">
        <v>46</v>
      </c>
      <c r="D6032" s="30" t="s">
        <v>47</v>
      </c>
      <c r="E6032" s="31" t="s">
        <v>251</v>
      </c>
      <c r="F6032" s="31" t="s">
        <v>49</v>
      </c>
      <c r="G6032" s="32" t="s">
        <v>50</v>
      </c>
      <c r="H6032" s="33">
        <v>16750</v>
      </c>
      <c r="I6032" s="34">
        <f>Table3[[#This Row],[Volume, kg.]]/1000</f>
        <v>16.75</v>
      </c>
      <c r="J6032" s="34">
        <v>0.2676</v>
      </c>
      <c r="K6032" s="34">
        <f t="shared" si="190"/>
        <v>4482.3</v>
      </c>
      <c r="L6032" s="34">
        <v>2.2000000000000002</v>
      </c>
      <c r="M6032" s="34">
        <v>36850</v>
      </c>
      <c r="N6032" s="34">
        <f t="shared" si="191"/>
        <v>8.2212257100149486</v>
      </c>
    </row>
    <row r="6033" spans="1:14" x14ac:dyDescent="0.45">
      <c r="A6033" s="30">
        <v>2025</v>
      </c>
      <c r="B6033" s="30" t="s">
        <v>15</v>
      </c>
      <c r="C6033" s="30" t="s">
        <v>46</v>
      </c>
      <c r="D6033" s="30" t="s">
        <v>47</v>
      </c>
      <c r="E6033" s="31" t="s">
        <v>655</v>
      </c>
      <c r="F6033" s="31" t="s">
        <v>49</v>
      </c>
      <c r="G6033" s="32" t="s">
        <v>50</v>
      </c>
      <c r="H6033" s="33">
        <v>50140</v>
      </c>
      <c r="I6033" s="34">
        <f>Table3[[#This Row],[Volume, kg.]]/1000</f>
        <v>50.14</v>
      </c>
      <c r="J6033" s="34">
        <v>0.25319999999999998</v>
      </c>
      <c r="K6033" s="34">
        <f t="shared" si="190"/>
        <v>12695.447999999999</v>
      </c>
      <c r="L6033" s="34">
        <v>2.12</v>
      </c>
      <c r="M6033" s="34">
        <v>106531.5</v>
      </c>
      <c r="N6033" s="34">
        <f t="shared" si="191"/>
        <v>8.3728278041074269</v>
      </c>
    </row>
    <row r="6034" spans="1:14" x14ac:dyDescent="0.45">
      <c r="A6034" s="30">
        <v>2025</v>
      </c>
      <c r="B6034" s="30" t="s">
        <v>15</v>
      </c>
      <c r="C6034" s="30" t="s">
        <v>46</v>
      </c>
      <c r="D6034" s="30" t="s">
        <v>47</v>
      </c>
      <c r="E6034" s="31" t="s">
        <v>170</v>
      </c>
      <c r="F6034" s="31" t="s">
        <v>49</v>
      </c>
      <c r="G6034" s="32" t="s">
        <v>50</v>
      </c>
      <c r="H6034" s="33">
        <v>22650</v>
      </c>
      <c r="I6034" s="34">
        <f>Table3[[#This Row],[Volume, kg.]]/1000</f>
        <v>22.65</v>
      </c>
      <c r="J6034" s="34">
        <v>0.25769999999999998</v>
      </c>
      <c r="K6034" s="34">
        <f t="shared" si="190"/>
        <v>5836.9049999999997</v>
      </c>
      <c r="L6034" s="34">
        <v>2.12</v>
      </c>
      <c r="M6034" s="34">
        <v>48046</v>
      </c>
      <c r="N6034" s="34">
        <f t="shared" si="191"/>
        <v>8.2266201008925108</v>
      </c>
    </row>
    <row r="6035" spans="1:14" x14ac:dyDescent="0.45">
      <c r="A6035" s="30">
        <v>2025</v>
      </c>
      <c r="B6035" s="30" t="s">
        <v>15</v>
      </c>
      <c r="C6035" s="30" t="s">
        <v>46</v>
      </c>
      <c r="D6035" s="30" t="s">
        <v>47</v>
      </c>
      <c r="E6035" s="31" t="s">
        <v>320</v>
      </c>
      <c r="F6035" s="31" t="s">
        <v>49</v>
      </c>
      <c r="G6035" s="32" t="s">
        <v>50</v>
      </c>
      <c r="H6035" s="33">
        <v>55910</v>
      </c>
      <c r="I6035" s="34">
        <f>Table3[[#This Row],[Volume, kg.]]/1000</f>
        <v>55.91</v>
      </c>
      <c r="J6035" s="34">
        <v>0.25659999999999999</v>
      </c>
      <c r="K6035" s="34">
        <f t="shared" si="190"/>
        <v>14346.505999999999</v>
      </c>
      <c r="L6035" s="34">
        <v>2.15</v>
      </c>
      <c r="M6035" s="34">
        <v>119939.5</v>
      </c>
      <c r="N6035" s="34">
        <f t="shared" si="191"/>
        <v>8.3787996882307088</v>
      </c>
    </row>
    <row r="6036" spans="1:14" x14ac:dyDescent="0.45">
      <c r="A6036" s="30">
        <v>2025</v>
      </c>
      <c r="B6036" s="30" t="s">
        <v>15</v>
      </c>
      <c r="C6036" s="30" t="s">
        <v>46</v>
      </c>
      <c r="D6036" s="30" t="s">
        <v>47</v>
      </c>
      <c r="E6036" s="31" t="s">
        <v>301</v>
      </c>
      <c r="F6036" s="31" t="s">
        <v>60</v>
      </c>
      <c r="G6036" s="32" t="s">
        <v>50</v>
      </c>
      <c r="H6036" s="33">
        <v>93690</v>
      </c>
      <c r="I6036" s="34">
        <f>Table3[[#This Row],[Volume, kg.]]/1000</f>
        <v>93.69</v>
      </c>
      <c r="J6036" s="34">
        <v>0.2571</v>
      </c>
      <c r="K6036" s="34">
        <f t="shared" si="190"/>
        <v>24087.699000000001</v>
      </c>
      <c r="L6036" s="34">
        <v>2.16</v>
      </c>
      <c r="M6036" s="34">
        <v>202412.5</v>
      </c>
      <c r="N6036" s="34">
        <f t="shared" si="191"/>
        <v>8.4014002333722289</v>
      </c>
    </row>
    <row r="6037" spans="1:14" x14ac:dyDescent="0.45">
      <c r="A6037" s="30">
        <v>2025</v>
      </c>
      <c r="B6037" s="30" t="s">
        <v>15</v>
      </c>
      <c r="C6037" s="30" t="s">
        <v>46</v>
      </c>
      <c r="D6037" s="30" t="s">
        <v>47</v>
      </c>
      <c r="E6037" s="31" t="s">
        <v>174</v>
      </c>
      <c r="F6037" s="31" t="s">
        <v>57</v>
      </c>
      <c r="G6037" s="32" t="s">
        <v>50</v>
      </c>
      <c r="H6037" s="33">
        <v>23420</v>
      </c>
      <c r="I6037" s="34">
        <f>Table3[[#This Row],[Volume, kg.]]/1000</f>
        <v>23.42</v>
      </c>
      <c r="J6037" s="34">
        <v>0.247</v>
      </c>
      <c r="K6037" s="34">
        <f t="shared" si="190"/>
        <v>5784.74</v>
      </c>
      <c r="L6037" s="34">
        <v>2.1</v>
      </c>
      <c r="M6037" s="34">
        <v>49182</v>
      </c>
      <c r="N6037" s="34">
        <f t="shared" si="191"/>
        <v>8.5020242914979764</v>
      </c>
    </row>
    <row r="6038" spans="1:14" x14ac:dyDescent="0.45">
      <c r="A6038" s="30">
        <v>2025</v>
      </c>
      <c r="B6038" s="30" t="s">
        <v>15</v>
      </c>
      <c r="C6038" s="30" t="s">
        <v>46</v>
      </c>
      <c r="D6038" s="30" t="s">
        <v>47</v>
      </c>
      <c r="E6038" s="31" t="s">
        <v>325</v>
      </c>
      <c r="F6038" s="31" t="s">
        <v>60</v>
      </c>
      <c r="G6038" s="32" t="s">
        <v>50</v>
      </c>
      <c r="H6038" s="33">
        <v>55600</v>
      </c>
      <c r="I6038" s="34">
        <f>Table3[[#This Row],[Volume, kg.]]/1000</f>
        <v>55.6</v>
      </c>
      <c r="J6038" s="34">
        <v>0.27579999999999999</v>
      </c>
      <c r="K6038" s="34">
        <f t="shared" si="190"/>
        <v>15334.48</v>
      </c>
      <c r="L6038" s="34">
        <v>2.23</v>
      </c>
      <c r="M6038" s="34">
        <v>123944.5</v>
      </c>
      <c r="N6038" s="34">
        <f t="shared" si="191"/>
        <v>8.0855692530819443</v>
      </c>
    </row>
    <row r="6039" spans="1:14" x14ac:dyDescent="0.45">
      <c r="A6039" s="30">
        <v>2025</v>
      </c>
      <c r="B6039" s="30" t="s">
        <v>15</v>
      </c>
      <c r="C6039" s="30" t="s">
        <v>46</v>
      </c>
      <c r="D6039" s="30" t="s">
        <v>47</v>
      </c>
      <c r="E6039" s="31" t="s">
        <v>51</v>
      </c>
      <c r="F6039" s="31" t="s">
        <v>49</v>
      </c>
      <c r="G6039" s="32" t="s">
        <v>50</v>
      </c>
      <c r="H6039" s="33">
        <v>66290</v>
      </c>
      <c r="I6039" s="34">
        <f>Table3[[#This Row],[Volume, kg.]]/1000</f>
        <v>66.290000000000006</v>
      </c>
      <c r="J6039" s="34">
        <v>0.24050000000000002</v>
      </c>
      <c r="K6039" s="34">
        <f t="shared" si="190"/>
        <v>15942.745000000001</v>
      </c>
      <c r="L6039" s="34">
        <v>2.08</v>
      </c>
      <c r="M6039" s="34">
        <v>137572.5</v>
      </c>
      <c r="N6039" s="34">
        <f t="shared" si="191"/>
        <v>8.6486486486486491</v>
      </c>
    </row>
    <row r="6040" spans="1:14" x14ac:dyDescent="0.45">
      <c r="A6040" s="30">
        <v>2025</v>
      </c>
      <c r="B6040" s="30" t="s">
        <v>15</v>
      </c>
      <c r="C6040" s="30" t="s">
        <v>46</v>
      </c>
      <c r="D6040" s="30" t="s">
        <v>47</v>
      </c>
      <c r="E6040" s="31" t="s">
        <v>179</v>
      </c>
      <c r="F6040" s="31" t="s">
        <v>60</v>
      </c>
      <c r="G6040" s="32" t="s">
        <v>50</v>
      </c>
      <c r="H6040" s="33">
        <v>145580</v>
      </c>
      <c r="I6040" s="34">
        <f>Table3[[#This Row],[Volume, kg.]]/1000</f>
        <v>145.58000000000001</v>
      </c>
      <c r="J6040" s="34">
        <v>0.27800000000000002</v>
      </c>
      <c r="K6040" s="34">
        <f t="shared" si="190"/>
        <v>40471.240000000005</v>
      </c>
      <c r="L6040" s="34">
        <v>2.2599999999999998</v>
      </c>
      <c r="M6040" s="34">
        <v>329169.5</v>
      </c>
      <c r="N6040" s="34">
        <f t="shared" si="191"/>
        <v>8.129496402877697</v>
      </c>
    </row>
    <row r="6041" spans="1:14" x14ac:dyDescent="0.45">
      <c r="A6041" s="30">
        <v>2025</v>
      </c>
      <c r="B6041" s="30" t="s">
        <v>15</v>
      </c>
      <c r="C6041" s="30" t="s">
        <v>46</v>
      </c>
      <c r="D6041" s="30" t="s">
        <v>47</v>
      </c>
      <c r="E6041" s="31" t="s">
        <v>84</v>
      </c>
      <c r="F6041" s="31" t="s">
        <v>57</v>
      </c>
      <c r="G6041" s="32" t="s">
        <v>50</v>
      </c>
      <c r="H6041" s="33">
        <v>12900</v>
      </c>
      <c r="I6041" s="34">
        <f>Table3[[#This Row],[Volume, kg.]]/1000</f>
        <v>12.9</v>
      </c>
      <c r="J6041" s="34">
        <v>0.2671</v>
      </c>
      <c r="K6041" s="34">
        <f t="shared" si="190"/>
        <v>3445.59</v>
      </c>
      <c r="L6041" s="34">
        <v>2.2000000000000002</v>
      </c>
      <c r="M6041" s="34">
        <v>28380</v>
      </c>
      <c r="N6041" s="34">
        <f t="shared" si="191"/>
        <v>8.2366154998128049</v>
      </c>
    </row>
    <row r="6042" spans="1:14" x14ac:dyDescent="0.45">
      <c r="A6042" s="30">
        <v>2025</v>
      </c>
      <c r="B6042" s="30" t="s">
        <v>15</v>
      </c>
      <c r="C6042" s="30" t="s">
        <v>46</v>
      </c>
      <c r="D6042" s="30" t="s">
        <v>47</v>
      </c>
      <c r="E6042" s="31" t="s">
        <v>258</v>
      </c>
      <c r="F6042" s="31" t="s">
        <v>49</v>
      </c>
      <c r="G6042" s="32" t="s">
        <v>50</v>
      </c>
      <c r="H6042" s="33">
        <v>731670</v>
      </c>
      <c r="I6042" s="34">
        <f>Table3[[#This Row],[Volume, kg.]]/1000</f>
        <v>731.67</v>
      </c>
      <c r="J6042" s="34">
        <v>0.23309999999999997</v>
      </c>
      <c r="K6042" s="34">
        <f t="shared" si="190"/>
        <v>170552.27699999997</v>
      </c>
      <c r="L6042" s="34">
        <v>2.02</v>
      </c>
      <c r="M6042" s="34">
        <v>1475990.5</v>
      </c>
      <c r="N6042" s="34">
        <f t="shared" si="191"/>
        <v>8.665808665808667</v>
      </c>
    </row>
    <row r="6043" spans="1:14" x14ac:dyDescent="0.45">
      <c r="A6043" s="30">
        <v>2025</v>
      </c>
      <c r="B6043" s="30" t="s">
        <v>15</v>
      </c>
      <c r="C6043" s="30" t="s">
        <v>46</v>
      </c>
      <c r="D6043" s="30" t="s">
        <v>47</v>
      </c>
      <c r="E6043" s="31" t="s">
        <v>375</v>
      </c>
      <c r="F6043" s="31" t="s">
        <v>49</v>
      </c>
      <c r="G6043" s="32" t="s">
        <v>50</v>
      </c>
      <c r="H6043" s="33">
        <v>5340</v>
      </c>
      <c r="I6043" s="34">
        <f>Table3[[#This Row],[Volume, kg.]]/1000</f>
        <v>5.34</v>
      </c>
      <c r="J6043" s="34">
        <v>0.19899999999999998</v>
      </c>
      <c r="K6043" s="34">
        <f t="shared" si="190"/>
        <v>1062.6599999999999</v>
      </c>
      <c r="L6043" s="34">
        <v>1.8</v>
      </c>
      <c r="M6043" s="34">
        <v>9612</v>
      </c>
      <c r="N6043" s="34">
        <f t="shared" si="191"/>
        <v>9.0452261306532673</v>
      </c>
    </row>
    <row r="6044" spans="1:14" x14ac:dyDescent="0.45">
      <c r="A6044" s="30">
        <v>2025</v>
      </c>
      <c r="B6044" s="30" t="s">
        <v>15</v>
      </c>
      <c r="C6044" s="30" t="s">
        <v>46</v>
      </c>
      <c r="D6044" s="30" t="s">
        <v>47</v>
      </c>
      <c r="E6044" s="31" t="s">
        <v>363</v>
      </c>
      <c r="F6044" s="31" t="s">
        <v>60</v>
      </c>
      <c r="G6044" s="32" t="s">
        <v>50</v>
      </c>
      <c r="H6044" s="33">
        <v>62470</v>
      </c>
      <c r="I6044" s="34">
        <f>Table3[[#This Row],[Volume, kg.]]/1000</f>
        <v>62.47</v>
      </c>
      <c r="J6044" s="34">
        <v>0.25190000000000001</v>
      </c>
      <c r="K6044" s="34">
        <f t="shared" si="190"/>
        <v>15736.193000000001</v>
      </c>
      <c r="L6044" s="34">
        <v>2.11</v>
      </c>
      <c r="M6044" s="34">
        <v>131943.5</v>
      </c>
      <c r="N6044" s="34">
        <f t="shared" si="191"/>
        <v>8.3763398173878514</v>
      </c>
    </row>
    <row r="6045" spans="1:14" x14ac:dyDescent="0.45">
      <c r="A6045" s="30">
        <v>2025</v>
      </c>
      <c r="B6045" s="30" t="s">
        <v>15</v>
      </c>
      <c r="C6045" s="30" t="s">
        <v>46</v>
      </c>
      <c r="D6045" s="30" t="s">
        <v>47</v>
      </c>
      <c r="E6045" s="31" t="s">
        <v>166</v>
      </c>
      <c r="F6045" s="31" t="s">
        <v>49</v>
      </c>
      <c r="G6045" s="32" t="s">
        <v>50</v>
      </c>
      <c r="H6045" s="33">
        <v>168470</v>
      </c>
      <c r="I6045" s="34">
        <f>Table3[[#This Row],[Volume, kg.]]/1000</f>
        <v>168.47</v>
      </c>
      <c r="J6045" s="34">
        <v>0.24379999999999999</v>
      </c>
      <c r="K6045" s="34">
        <f t="shared" si="190"/>
        <v>41072.985999999997</v>
      </c>
      <c r="L6045" s="34">
        <v>2.0699999999999998</v>
      </c>
      <c r="M6045" s="34">
        <v>349400</v>
      </c>
      <c r="N6045" s="34">
        <f t="shared" si="191"/>
        <v>8.4905660377358494</v>
      </c>
    </row>
    <row r="6046" spans="1:14" x14ac:dyDescent="0.45">
      <c r="A6046" s="30">
        <v>2025</v>
      </c>
      <c r="B6046" s="30" t="s">
        <v>15</v>
      </c>
      <c r="C6046" s="30" t="s">
        <v>46</v>
      </c>
      <c r="D6046" s="30" t="s">
        <v>47</v>
      </c>
      <c r="E6046" s="31" t="s">
        <v>293</v>
      </c>
      <c r="F6046" s="31" t="s">
        <v>60</v>
      </c>
      <c r="G6046" s="32" t="s">
        <v>50</v>
      </c>
      <c r="H6046" s="33">
        <v>88350</v>
      </c>
      <c r="I6046" s="34">
        <f>Table3[[#This Row],[Volume, kg.]]/1000</f>
        <v>88.35</v>
      </c>
      <c r="J6046" s="34">
        <v>0.26390000000000002</v>
      </c>
      <c r="K6046" s="34">
        <f t="shared" si="190"/>
        <v>23315.565000000002</v>
      </c>
      <c r="L6046" s="34">
        <v>2.21</v>
      </c>
      <c r="M6046" s="34">
        <v>194923</v>
      </c>
      <c r="N6046" s="34">
        <f t="shared" si="191"/>
        <v>8.3743842364532011</v>
      </c>
    </row>
    <row r="6047" spans="1:14" x14ac:dyDescent="0.45">
      <c r="A6047" s="30">
        <v>2025</v>
      </c>
      <c r="B6047" s="30" t="s">
        <v>15</v>
      </c>
      <c r="C6047" s="30" t="s">
        <v>46</v>
      </c>
      <c r="D6047" s="30" t="s">
        <v>47</v>
      </c>
      <c r="E6047" s="31" t="s">
        <v>242</v>
      </c>
      <c r="F6047" s="31" t="s">
        <v>60</v>
      </c>
      <c r="G6047" s="32" t="s">
        <v>50</v>
      </c>
      <c r="H6047" s="33">
        <v>47610</v>
      </c>
      <c r="I6047" s="34">
        <f>Table3[[#This Row],[Volume, kg.]]/1000</f>
        <v>47.61</v>
      </c>
      <c r="J6047" s="34">
        <v>0.24789999999999998</v>
      </c>
      <c r="K6047" s="34">
        <f t="shared" si="190"/>
        <v>11802.518999999998</v>
      </c>
      <c r="L6047" s="34">
        <v>2.08</v>
      </c>
      <c r="M6047" s="34">
        <v>99138</v>
      </c>
      <c r="N6047" s="34">
        <f t="shared" si="191"/>
        <v>8.3904800322710784</v>
      </c>
    </row>
    <row r="6048" spans="1:14" x14ac:dyDescent="0.45">
      <c r="A6048" s="30">
        <v>2025</v>
      </c>
      <c r="B6048" s="30" t="s">
        <v>15</v>
      </c>
      <c r="C6048" s="30" t="s">
        <v>46</v>
      </c>
      <c r="D6048" s="30" t="s">
        <v>47</v>
      </c>
      <c r="E6048" s="31" t="s">
        <v>244</v>
      </c>
      <c r="F6048" s="31" t="s">
        <v>60</v>
      </c>
      <c r="G6048" s="32" t="s">
        <v>50</v>
      </c>
      <c r="H6048" s="33">
        <v>16430</v>
      </c>
      <c r="I6048" s="34">
        <f>Table3[[#This Row],[Volume, kg.]]/1000</f>
        <v>16.43</v>
      </c>
      <c r="J6048" s="34">
        <v>0.2205</v>
      </c>
      <c r="K6048" s="34">
        <f t="shared" si="190"/>
        <v>3622.8150000000001</v>
      </c>
      <c r="L6048" s="34">
        <v>2</v>
      </c>
      <c r="M6048" s="34">
        <v>32860</v>
      </c>
      <c r="N6048" s="34">
        <f t="shared" si="191"/>
        <v>9.0702947845804989</v>
      </c>
    </row>
    <row r="6049" spans="1:14" x14ac:dyDescent="0.45">
      <c r="A6049" s="30">
        <v>2025</v>
      </c>
      <c r="B6049" s="30" t="s">
        <v>15</v>
      </c>
      <c r="C6049" s="30" t="s">
        <v>46</v>
      </c>
      <c r="D6049" s="30" t="s">
        <v>47</v>
      </c>
      <c r="E6049" s="31" t="s">
        <v>256</v>
      </c>
      <c r="F6049" s="31" t="s">
        <v>81</v>
      </c>
      <c r="G6049" s="32" t="s">
        <v>50</v>
      </c>
      <c r="H6049" s="33">
        <v>77050</v>
      </c>
      <c r="I6049" s="34">
        <f>Table3[[#This Row],[Volume, kg.]]/1000</f>
        <v>77.05</v>
      </c>
      <c r="J6049" s="34">
        <v>0.24530000000000002</v>
      </c>
      <c r="K6049" s="34">
        <f t="shared" si="190"/>
        <v>18900.365000000002</v>
      </c>
      <c r="L6049" s="34">
        <v>2.08</v>
      </c>
      <c r="M6049" s="34">
        <v>160315.5</v>
      </c>
      <c r="N6049" s="34">
        <f t="shared" si="191"/>
        <v>8.4794129637178965</v>
      </c>
    </row>
    <row r="6050" spans="1:14" x14ac:dyDescent="0.45">
      <c r="A6050" s="30">
        <v>2025</v>
      </c>
      <c r="B6050" s="30" t="s">
        <v>15</v>
      </c>
      <c r="C6050" s="30" t="s">
        <v>46</v>
      </c>
      <c r="D6050" s="30" t="s">
        <v>47</v>
      </c>
      <c r="E6050" s="31" t="s">
        <v>164</v>
      </c>
      <c r="F6050" s="31" t="s">
        <v>49</v>
      </c>
      <c r="G6050" s="32" t="s">
        <v>50</v>
      </c>
      <c r="H6050" s="33">
        <v>86920</v>
      </c>
      <c r="I6050" s="34">
        <f>Table3[[#This Row],[Volume, kg.]]/1000</f>
        <v>86.92</v>
      </c>
      <c r="J6050" s="34">
        <v>0.24170000000000003</v>
      </c>
      <c r="K6050" s="34">
        <f t="shared" si="190"/>
        <v>21008.564000000002</v>
      </c>
      <c r="L6050" s="34">
        <v>2.06</v>
      </c>
      <c r="M6050" s="34">
        <v>178962.5</v>
      </c>
      <c r="N6050" s="34">
        <f t="shared" si="191"/>
        <v>8.5229623500206859</v>
      </c>
    </row>
    <row r="6051" spans="1:14" x14ac:dyDescent="0.45">
      <c r="A6051" s="30">
        <v>2025</v>
      </c>
      <c r="B6051" s="30" t="s">
        <v>15</v>
      </c>
      <c r="C6051" s="30" t="s">
        <v>46</v>
      </c>
      <c r="D6051" s="30" t="s">
        <v>47</v>
      </c>
      <c r="E6051" s="31" t="s">
        <v>220</v>
      </c>
      <c r="F6051" s="31" t="s">
        <v>49</v>
      </c>
      <c r="G6051" s="32" t="s">
        <v>50</v>
      </c>
      <c r="H6051" s="33">
        <v>15470</v>
      </c>
      <c r="I6051" s="34">
        <f>Table3[[#This Row],[Volume, kg.]]/1000</f>
        <v>15.47</v>
      </c>
      <c r="J6051" s="34">
        <v>0.24280000000000002</v>
      </c>
      <c r="K6051" s="34">
        <f t="shared" si="190"/>
        <v>3756.1160000000004</v>
      </c>
      <c r="L6051" s="34">
        <v>2.0499999999999998</v>
      </c>
      <c r="M6051" s="34">
        <v>31690.5</v>
      </c>
      <c r="N6051" s="34">
        <f t="shared" si="191"/>
        <v>8.4431630971993403</v>
      </c>
    </row>
    <row r="6052" spans="1:14" x14ac:dyDescent="0.45">
      <c r="A6052" s="30">
        <v>2025</v>
      </c>
      <c r="B6052" s="30" t="s">
        <v>15</v>
      </c>
      <c r="C6052" s="30" t="s">
        <v>46</v>
      </c>
      <c r="D6052" s="30" t="s">
        <v>47</v>
      </c>
      <c r="E6052" s="31" t="s">
        <v>294</v>
      </c>
      <c r="F6052" s="31" t="s">
        <v>81</v>
      </c>
      <c r="G6052" s="32" t="s">
        <v>50</v>
      </c>
      <c r="H6052" s="33">
        <v>76330</v>
      </c>
      <c r="I6052" s="34">
        <f>Table3[[#This Row],[Volume, kg.]]/1000</f>
        <v>76.33</v>
      </c>
      <c r="J6052" s="34">
        <v>0.24239999999999998</v>
      </c>
      <c r="K6052" s="34">
        <f t="shared" si="190"/>
        <v>18502.392</v>
      </c>
      <c r="L6052" s="34">
        <v>2.0699999999999998</v>
      </c>
      <c r="M6052" s="34">
        <v>158340.5</v>
      </c>
      <c r="N6052" s="34">
        <f t="shared" si="191"/>
        <v>8.5396039603960396</v>
      </c>
    </row>
    <row r="6053" spans="1:14" x14ac:dyDescent="0.45">
      <c r="A6053" s="30">
        <v>2025</v>
      </c>
      <c r="B6053" s="30" t="s">
        <v>15</v>
      </c>
      <c r="C6053" s="30" t="s">
        <v>46</v>
      </c>
      <c r="D6053" s="30" t="s">
        <v>47</v>
      </c>
      <c r="E6053" s="31" t="s">
        <v>358</v>
      </c>
      <c r="F6053" s="31" t="s">
        <v>60</v>
      </c>
      <c r="G6053" s="32" t="s">
        <v>50</v>
      </c>
      <c r="H6053" s="33">
        <v>142730</v>
      </c>
      <c r="I6053" s="34">
        <f>Table3[[#This Row],[Volume, kg.]]/1000</f>
        <v>142.72999999999999</v>
      </c>
      <c r="J6053" s="34">
        <v>0.24530000000000002</v>
      </c>
      <c r="K6053" s="34">
        <f t="shared" si="190"/>
        <v>35011.669000000002</v>
      </c>
      <c r="L6053" s="34">
        <v>2.0499999999999998</v>
      </c>
      <c r="M6053" s="34">
        <v>292757.5</v>
      </c>
      <c r="N6053" s="34">
        <f t="shared" si="191"/>
        <v>8.3571137382796561</v>
      </c>
    </row>
    <row r="6054" spans="1:14" x14ac:dyDescent="0.45">
      <c r="A6054" s="30">
        <v>2025</v>
      </c>
      <c r="B6054" s="30" t="s">
        <v>15</v>
      </c>
      <c r="C6054" s="30" t="s">
        <v>46</v>
      </c>
      <c r="D6054" s="30" t="s">
        <v>47</v>
      </c>
      <c r="E6054" s="31" t="s">
        <v>464</v>
      </c>
      <c r="F6054" s="31" t="s">
        <v>57</v>
      </c>
      <c r="G6054" s="32" t="s">
        <v>50</v>
      </c>
      <c r="H6054" s="33">
        <v>136200</v>
      </c>
      <c r="I6054" s="34">
        <f>Table3[[#This Row],[Volume, kg.]]/1000</f>
        <v>136.19999999999999</v>
      </c>
      <c r="J6054" s="34">
        <v>0.26479999999999998</v>
      </c>
      <c r="K6054" s="34">
        <f t="shared" si="190"/>
        <v>36065.759999999995</v>
      </c>
      <c r="L6054" s="34">
        <v>2.17</v>
      </c>
      <c r="M6054" s="34">
        <v>295517.5</v>
      </c>
      <c r="N6054" s="34">
        <f t="shared" si="191"/>
        <v>8.1948640483383688</v>
      </c>
    </row>
    <row r="6055" spans="1:14" x14ac:dyDescent="0.45">
      <c r="A6055" s="30">
        <v>2025</v>
      </c>
      <c r="B6055" s="30" t="s">
        <v>15</v>
      </c>
      <c r="C6055" s="30" t="s">
        <v>46</v>
      </c>
      <c r="D6055" s="30" t="s">
        <v>47</v>
      </c>
      <c r="E6055" s="31" t="s">
        <v>260</v>
      </c>
      <c r="F6055" s="31" t="s">
        <v>49</v>
      </c>
      <c r="G6055" s="32" t="s">
        <v>50</v>
      </c>
      <c r="H6055" s="33">
        <v>19350</v>
      </c>
      <c r="I6055" s="34">
        <f>Table3[[#This Row],[Volume, kg.]]/1000</f>
        <v>19.350000000000001</v>
      </c>
      <c r="J6055" s="34">
        <v>0.26079999999999998</v>
      </c>
      <c r="K6055" s="34">
        <f t="shared" si="190"/>
        <v>5046.4799999999996</v>
      </c>
      <c r="L6055" s="34">
        <v>2.17</v>
      </c>
      <c r="M6055" s="34">
        <v>42058.5</v>
      </c>
      <c r="N6055" s="34">
        <f t="shared" si="191"/>
        <v>8.3205521472392636</v>
      </c>
    </row>
    <row r="6056" spans="1:14" x14ac:dyDescent="0.45">
      <c r="A6056" s="30">
        <v>2025</v>
      </c>
      <c r="B6056" s="30" t="s">
        <v>15</v>
      </c>
      <c r="C6056" s="30" t="s">
        <v>46</v>
      </c>
      <c r="D6056" s="30" t="s">
        <v>47</v>
      </c>
      <c r="E6056" s="31" t="s">
        <v>429</v>
      </c>
      <c r="F6056" s="31" t="s">
        <v>54</v>
      </c>
      <c r="G6056" s="32" t="s">
        <v>50</v>
      </c>
      <c r="H6056" s="33">
        <v>5180</v>
      </c>
      <c r="I6056" s="34">
        <f>Table3[[#This Row],[Volume, kg.]]/1000</f>
        <v>5.18</v>
      </c>
      <c r="J6056" s="34">
        <v>0.23350000000000001</v>
      </c>
      <c r="K6056" s="34">
        <f t="shared" si="190"/>
        <v>1209.53</v>
      </c>
      <c r="L6056" s="34">
        <v>2.0499999999999998</v>
      </c>
      <c r="M6056" s="34">
        <v>10619</v>
      </c>
      <c r="N6056" s="34">
        <f t="shared" si="191"/>
        <v>8.7794432548179859</v>
      </c>
    </row>
    <row r="6057" spans="1:14" x14ac:dyDescent="0.45">
      <c r="A6057" s="30">
        <v>2025</v>
      </c>
      <c r="B6057" s="30" t="s">
        <v>15</v>
      </c>
      <c r="C6057" s="30" t="s">
        <v>46</v>
      </c>
      <c r="D6057" s="30" t="s">
        <v>47</v>
      </c>
      <c r="E6057" s="31" t="s">
        <v>187</v>
      </c>
      <c r="F6057" s="31" t="s">
        <v>54</v>
      </c>
      <c r="G6057" s="32" t="s">
        <v>50</v>
      </c>
      <c r="H6057" s="33">
        <v>87830</v>
      </c>
      <c r="I6057" s="34">
        <f>Table3[[#This Row],[Volume, kg.]]/1000</f>
        <v>87.83</v>
      </c>
      <c r="J6057" s="34">
        <v>0.22039999999999998</v>
      </c>
      <c r="K6057" s="34">
        <f t="shared" si="190"/>
        <v>19357.732</v>
      </c>
      <c r="L6057" s="34">
        <v>2</v>
      </c>
      <c r="M6057" s="34">
        <v>175587.5</v>
      </c>
      <c r="N6057" s="34">
        <f t="shared" si="191"/>
        <v>9.0744101633393832</v>
      </c>
    </row>
    <row r="6058" spans="1:14" x14ac:dyDescent="0.45">
      <c r="A6058" s="30">
        <v>2025</v>
      </c>
      <c r="B6058" s="30" t="s">
        <v>15</v>
      </c>
      <c r="C6058" s="30" t="s">
        <v>46</v>
      </c>
      <c r="D6058" s="30" t="s">
        <v>47</v>
      </c>
      <c r="E6058" s="31" t="s">
        <v>191</v>
      </c>
      <c r="F6058" s="31" t="s">
        <v>49</v>
      </c>
      <c r="G6058" s="32" t="s">
        <v>50</v>
      </c>
      <c r="H6058" s="33">
        <v>48620</v>
      </c>
      <c r="I6058" s="34">
        <f>Table3[[#This Row],[Volume, kg.]]/1000</f>
        <v>48.62</v>
      </c>
      <c r="J6058" s="34">
        <v>0.2447</v>
      </c>
      <c r="K6058" s="34">
        <f t="shared" si="190"/>
        <v>11897.314</v>
      </c>
      <c r="L6058" s="34">
        <v>2.0699999999999998</v>
      </c>
      <c r="M6058" s="34">
        <v>100734</v>
      </c>
      <c r="N6058" s="34">
        <f t="shared" si="191"/>
        <v>8.4593379648549245</v>
      </c>
    </row>
    <row r="6059" spans="1:14" x14ac:dyDescent="0.45">
      <c r="A6059" s="30">
        <v>2025</v>
      </c>
      <c r="B6059" s="30" t="s">
        <v>15</v>
      </c>
      <c r="C6059" s="30" t="s">
        <v>46</v>
      </c>
      <c r="D6059" s="30" t="s">
        <v>47</v>
      </c>
      <c r="E6059" s="31" t="s">
        <v>291</v>
      </c>
      <c r="F6059" s="31" t="s">
        <v>57</v>
      </c>
      <c r="G6059" s="32" t="s">
        <v>50</v>
      </c>
      <c r="H6059" s="33">
        <v>146030</v>
      </c>
      <c r="I6059" s="34">
        <f>Table3[[#This Row],[Volume, kg.]]/1000</f>
        <v>146.03</v>
      </c>
      <c r="J6059" s="34">
        <v>0.23699999999999999</v>
      </c>
      <c r="K6059" s="34">
        <f t="shared" si="190"/>
        <v>34609.11</v>
      </c>
      <c r="L6059" s="34">
        <v>2.0499999999999998</v>
      </c>
      <c r="M6059" s="34">
        <v>299453</v>
      </c>
      <c r="N6059" s="34">
        <f t="shared" si="191"/>
        <v>8.6497890295358655</v>
      </c>
    </row>
    <row r="6060" spans="1:14" x14ac:dyDescent="0.45">
      <c r="A6060" s="30">
        <v>2025</v>
      </c>
      <c r="B6060" s="30" t="s">
        <v>15</v>
      </c>
      <c r="C6060" s="30" t="s">
        <v>46</v>
      </c>
      <c r="D6060" s="30" t="s">
        <v>47</v>
      </c>
      <c r="E6060" s="31" t="s">
        <v>352</v>
      </c>
      <c r="F6060" s="31" t="s">
        <v>54</v>
      </c>
      <c r="G6060" s="32" t="s">
        <v>50</v>
      </c>
      <c r="H6060" s="33">
        <v>149630</v>
      </c>
      <c r="I6060" s="34">
        <f>Table3[[#This Row],[Volume, kg.]]/1000</f>
        <v>149.63</v>
      </c>
      <c r="J6060" s="34">
        <v>0.23850000000000002</v>
      </c>
      <c r="K6060" s="34">
        <f t="shared" si="190"/>
        <v>35686.755000000005</v>
      </c>
      <c r="L6060" s="34">
        <v>2.04</v>
      </c>
      <c r="M6060" s="34">
        <v>304709.5</v>
      </c>
      <c r="N6060" s="34">
        <f t="shared" si="191"/>
        <v>8.5534591194968552</v>
      </c>
    </row>
    <row r="6061" spans="1:14" x14ac:dyDescent="0.45">
      <c r="A6061" s="30">
        <v>2025</v>
      </c>
      <c r="B6061" s="30" t="s">
        <v>15</v>
      </c>
      <c r="C6061" s="30" t="s">
        <v>46</v>
      </c>
      <c r="D6061" s="30" t="s">
        <v>47</v>
      </c>
      <c r="E6061" s="31" t="s">
        <v>465</v>
      </c>
      <c r="F6061" s="31" t="s">
        <v>57</v>
      </c>
      <c r="G6061" s="32" t="s">
        <v>50</v>
      </c>
      <c r="H6061" s="33">
        <v>84670</v>
      </c>
      <c r="I6061" s="34">
        <f>Table3[[#This Row],[Volume, kg.]]/1000</f>
        <v>84.67</v>
      </c>
      <c r="J6061" s="34">
        <v>0.25290000000000001</v>
      </c>
      <c r="K6061" s="34">
        <f t="shared" si="190"/>
        <v>21413.043000000001</v>
      </c>
      <c r="L6061" s="34">
        <v>2.14</v>
      </c>
      <c r="M6061" s="34">
        <v>181134</v>
      </c>
      <c r="N6061" s="34">
        <f t="shared" si="191"/>
        <v>8.461842625543694</v>
      </c>
    </row>
    <row r="6062" spans="1:14" x14ac:dyDescent="0.45">
      <c r="A6062" s="30">
        <v>2025</v>
      </c>
      <c r="B6062" s="30" t="s">
        <v>15</v>
      </c>
      <c r="C6062" s="30" t="s">
        <v>46</v>
      </c>
      <c r="D6062" s="30" t="s">
        <v>47</v>
      </c>
      <c r="E6062" s="31" t="s">
        <v>110</v>
      </c>
      <c r="F6062" s="31" t="s">
        <v>57</v>
      </c>
      <c r="G6062" s="32" t="s">
        <v>50</v>
      </c>
      <c r="H6062" s="33">
        <v>20350</v>
      </c>
      <c r="I6062" s="34">
        <f>Table3[[#This Row],[Volume, kg.]]/1000</f>
        <v>20.350000000000001</v>
      </c>
      <c r="J6062" s="34">
        <v>0.24059999999999998</v>
      </c>
      <c r="K6062" s="34">
        <f t="shared" si="190"/>
        <v>4896.21</v>
      </c>
      <c r="L6062" s="34">
        <v>2.02</v>
      </c>
      <c r="M6062" s="34">
        <v>41037.5</v>
      </c>
      <c r="N6062" s="34">
        <f t="shared" si="191"/>
        <v>8.3956774729842074</v>
      </c>
    </row>
    <row r="6063" spans="1:14" x14ac:dyDescent="0.45">
      <c r="A6063" s="30">
        <v>2025</v>
      </c>
      <c r="B6063" s="30" t="s">
        <v>15</v>
      </c>
      <c r="C6063" s="30" t="s">
        <v>46</v>
      </c>
      <c r="D6063" s="30" t="s">
        <v>47</v>
      </c>
      <c r="E6063" s="31" t="s">
        <v>385</v>
      </c>
      <c r="F6063" s="31" t="s">
        <v>57</v>
      </c>
      <c r="G6063" s="32" t="s">
        <v>50</v>
      </c>
      <c r="H6063" s="33">
        <v>27470</v>
      </c>
      <c r="I6063" s="34">
        <f>Table3[[#This Row],[Volume, kg.]]/1000</f>
        <v>27.47</v>
      </c>
      <c r="J6063" s="34">
        <v>0.26489999999999997</v>
      </c>
      <c r="K6063" s="34">
        <f t="shared" si="190"/>
        <v>7276.802999999999</v>
      </c>
      <c r="L6063" s="34">
        <v>2.23</v>
      </c>
      <c r="M6063" s="34">
        <v>61204.5</v>
      </c>
      <c r="N6063" s="34">
        <f t="shared" si="191"/>
        <v>8.4182710456776153</v>
      </c>
    </row>
    <row r="6064" spans="1:14" x14ac:dyDescent="0.45">
      <c r="A6064" s="30">
        <v>2025</v>
      </c>
      <c r="B6064" s="30" t="s">
        <v>15</v>
      </c>
      <c r="C6064" s="30" t="s">
        <v>46</v>
      </c>
      <c r="D6064" s="30" t="s">
        <v>47</v>
      </c>
      <c r="E6064" s="31" t="s">
        <v>142</v>
      </c>
      <c r="F6064" s="31" t="s">
        <v>57</v>
      </c>
      <c r="G6064" s="32" t="s">
        <v>50</v>
      </c>
      <c r="H6064" s="33">
        <v>92770</v>
      </c>
      <c r="I6064" s="34">
        <f>Table3[[#This Row],[Volume, kg.]]/1000</f>
        <v>92.77</v>
      </c>
      <c r="J6064" s="34">
        <v>0.2364</v>
      </c>
      <c r="K6064" s="34">
        <f t="shared" si="190"/>
        <v>21930.828000000001</v>
      </c>
      <c r="L6064" s="34">
        <v>2.0099999999999998</v>
      </c>
      <c r="M6064" s="34">
        <v>186470.5</v>
      </c>
      <c r="N6064" s="34">
        <f t="shared" si="191"/>
        <v>8.5025380710659881</v>
      </c>
    </row>
    <row r="6065" spans="1:14" x14ac:dyDescent="0.45">
      <c r="A6065" s="30">
        <v>2025</v>
      </c>
      <c r="B6065" s="30" t="s">
        <v>15</v>
      </c>
      <c r="C6065" s="30" t="s">
        <v>46</v>
      </c>
      <c r="D6065" s="30" t="s">
        <v>47</v>
      </c>
      <c r="E6065" s="31" t="s">
        <v>160</v>
      </c>
      <c r="F6065" s="31" t="s">
        <v>49</v>
      </c>
      <c r="G6065" s="32" t="s">
        <v>50</v>
      </c>
      <c r="H6065" s="33">
        <v>19770</v>
      </c>
      <c r="I6065" s="34">
        <f>Table3[[#This Row],[Volume, kg.]]/1000</f>
        <v>19.77</v>
      </c>
      <c r="J6065" s="34">
        <v>0.25519999999999998</v>
      </c>
      <c r="K6065" s="34">
        <f t="shared" si="190"/>
        <v>5045.3040000000001</v>
      </c>
      <c r="L6065" s="34">
        <v>2.13</v>
      </c>
      <c r="M6065" s="34">
        <v>42085.5</v>
      </c>
      <c r="N6065" s="34">
        <f t="shared" si="191"/>
        <v>8.3463949843260181</v>
      </c>
    </row>
    <row r="6066" spans="1:14" x14ac:dyDescent="0.45">
      <c r="A6066" s="30">
        <v>2025</v>
      </c>
      <c r="B6066" s="30" t="s">
        <v>15</v>
      </c>
      <c r="C6066" s="30" t="s">
        <v>46</v>
      </c>
      <c r="D6066" s="30" t="s">
        <v>47</v>
      </c>
      <c r="E6066" s="31" t="s">
        <v>86</v>
      </c>
      <c r="F6066" s="31" t="s">
        <v>49</v>
      </c>
      <c r="G6066" s="32" t="s">
        <v>50</v>
      </c>
      <c r="H6066" s="33">
        <v>202580</v>
      </c>
      <c r="I6066" s="34">
        <f>Table3[[#This Row],[Volume, kg.]]/1000</f>
        <v>202.58</v>
      </c>
      <c r="J6066" s="34">
        <v>0.22519999999999998</v>
      </c>
      <c r="K6066" s="34">
        <f t="shared" si="190"/>
        <v>45621.015999999996</v>
      </c>
      <c r="L6066" s="34">
        <v>1.98</v>
      </c>
      <c r="M6066" s="34">
        <v>401975.5</v>
      </c>
      <c r="N6066" s="34">
        <f t="shared" si="191"/>
        <v>8.7921847246891662</v>
      </c>
    </row>
    <row r="6067" spans="1:14" x14ac:dyDescent="0.45">
      <c r="A6067" s="30">
        <v>2025</v>
      </c>
      <c r="B6067" s="30" t="s">
        <v>15</v>
      </c>
      <c r="C6067" s="30" t="s">
        <v>46</v>
      </c>
      <c r="D6067" s="30" t="s">
        <v>47</v>
      </c>
      <c r="E6067" s="31" t="s">
        <v>523</v>
      </c>
      <c r="F6067" s="31" t="s">
        <v>49</v>
      </c>
      <c r="G6067" s="32" t="s">
        <v>50</v>
      </c>
      <c r="H6067" s="33">
        <v>100760</v>
      </c>
      <c r="I6067" s="34">
        <f>Table3[[#This Row],[Volume, kg.]]/1000</f>
        <v>100.76</v>
      </c>
      <c r="J6067" s="34">
        <v>0.27729999999999999</v>
      </c>
      <c r="K6067" s="34">
        <f t="shared" si="190"/>
        <v>27940.748</v>
      </c>
      <c r="L6067" s="34">
        <v>2.2799999999999998</v>
      </c>
      <c r="M6067" s="34">
        <v>229700.5</v>
      </c>
      <c r="N6067" s="34">
        <f t="shared" si="191"/>
        <v>8.2221420843851423</v>
      </c>
    </row>
    <row r="6068" spans="1:14" x14ac:dyDescent="0.45">
      <c r="A6068" s="30">
        <v>2025</v>
      </c>
      <c r="B6068" s="30" t="s">
        <v>15</v>
      </c>
      <c r="C6068" s="30" t="s">
        <v>46</v>
      </c>
      <c r="D6068" s="30" t="s">
        <v>47</v>
      </c>
      <c r="E6068" s="31" t="s">
        <v>451</v>
      </c>
      <c r="F6068" s="31" t="s">
        <v>54</v>
      </c>
      <c r="G6068" s="32" t="s">
        <v>50</v>
      </c>
      <c r="H6068" s="33">
        <v>220760</v>
      </c>
      <c r="I6068" s="34">
        <f>Table3[[#This Row],[Volume, kg.]]/1000</f>
        <v>220.76</v>
      </c>
      <c r="J6068" s="34">
        <v>0.25519999999999998</v>
      </c>
      <c r="K6068" s="34">
        <f t="shared" si="190"/>
        <v>56337.951999999997</v>
      </c>
      <c r="L6068" s="34">
        <v>2.13</v>
      </c>
      <c r="M6068" s="34">
        <v>470555</v>
      </c>
      <c r="N6068" s="34">
        <f t="shared" si="191"/>
        <v>8.3463949843260181</v>
      </c>
    </row>
    <row r="6069" spans="1:14" x14ac:dyDescent="0.45">
      <c r="A6069" s="30">
        <v>2025</v>
      </c>
      <c r="B6069" s="30" t="s">
        <v>15</v>
      </c>
      <c r="C6069" s="30" t="s">
        <v>46</v>
      </c>
      <c r="D6069" s="30" t="s">
        <v>47</v>
      </c>
      <c r="E6069" s="31" t="s">
        <v>431</v>
      </c>
      <c r="F6069" s="31" t="s">
        <v>49</v>
      </c>
      <c r="G6069" s="32" t="s">
        <v>50</v>
      </c>
      <c r="H6069" s="33">
        <v>62690</v>
      </c>
      <c r="I6069" s="34">
        <f>Table3[[#This Row],[Volume, kg.]]/1000</f>
        <v>62.69</v>
      </c>
      <c r="J6069" s="34">
        <v>0.23070000000000002</v>
      </c>
      <c r="K6069" s="34">
        <f t="shared" si="190"/>
        <v>14462.583000000001</v>
      </c>
      <c r="L6069" s="34">
        <v>1.99</v>
      </c>
      <c r="M6069" s="34">
        <v>124902</v>
      </c>
      <c r="N6069" s="34">
        <f t="shared" si="191"/>
        <v>8.6259211096662334</v>
      </c>
    </row>
    <row r="6070" spans="1:14" x14ac:dyDescent="0.45">
      <c r="A6070" s="30">
        <v>2025</v>
      </c>
      <c r="B6070" s="30" t="s">
        <v>15</v>
      </c>
      <c r="C6070" s="30" t="s">
        <v>46</v>
      </c>
      <c r="D6070" s="30" t="s">
        <v>47</v>
      </c>
      <c r="E6070" s="31" t="s">
        <v>421</v>
      </c>
      <c r="F6070" s="31" t="s">
        <v>49</v>
      </c>
      <c r="G6070" s="32" t="s">
        <v>50</v>
      </c>
      <c r="H6070" s="33">
        <v>9500</v>
      </c>
      <c r="I6070" s="34">
        <f>Table3[[#This Row],[Volume, kg.]]/1000</f>
        <v>9.5</v>
      </c>
      <c r="J6070" s="34">
        <v>0.22620000000000001</v>
      </c>
      <c r="K6070" s="34">
        <f t="shared" si="190"/>
        <v>2148.9</v>
      </c>
      <c r="L6070" s="34">
        <v>1.98</v>
      </c>
      <c r="M6070" s="34">
        <v>18797</v>
      </c>
      <c r="N6070" s="34">
        <f t="shared" si="191"/>
        <v>8.753315649867373</v>
      </c>
    </row>
    <row r="6071" spans="1:14" x14ac:dyDescent="0.45">
      <c r="A6071" s="30">
        <v>2025</v>
      </c>
      <c r="B6071" s="30" t="s">
        <v>15</v>
      </c>
      <c r="C6071" s="30" t="s">
        <v>46</v>
      </c>
      <c r="D6071" s="30" t="s">
        <v>47</v>
      </c>
      <c r="E6071" s="31" t="s">
        <v>167</v>
      </c>
      <c r="F6071" s="31" t="s">
        <v>49</v>
      </c>
      <c r="G6071" s="32" t="s">
        <v>50</v>
      </c>
      <c r="H6071" s="33">
        <v>133520</v>
      </c>
      <c r="I6071" s="34">
        <f>Table3[[#This Row],[Volume, kg.]]/1000</f>
        <v>133.52000000000001</v>
      </c>
      <c r="J6071" s="34">
        <v>0.24340000000000001</v>
      </c>
      <c r="K6071" s="34">
        <f t="shared" si="190"/>
        <v>32498.768</v>
      </c>
      <c r="L6071" s="34">
        <v>2.06</v>
      </c>
      <c r="M6071" s="34">
        <v>275079.5</v>
      </c>
      <c r="N6071" s="34">
        <f t="shared" si="191"/>
        <v>8.4634346754313885</v>
      </c>
    </row>
    <row r="6072" spans="1:14" x14ac:dyDescent="0.45">
      <c r="A6072" s="30">
        <v>2025</v>
      </c>
      <c r="B6072" s="30" t="s">
        <v>15</v>
      </c>
      <c r="C6072" s="30" t="s">
        <v>46</v>
      </c>
      <c r="D6072" s="30" t="s">
        <v>47</v>
      </c>
      <c r="E6072" s="31" t="s">
        <v>329</v>
      </c>
      <c r="F6072" s="31" t="s">
        <v>49</v>
      </c>
      <c r="G6072" s="32" t="s">
        <v>50</v>
      </c>
      <c r="H6072" s="33">
        <v>70650</v>
      </c>
      <c r="I6072" s="34">
        <f>Table3[[#This Row],[Volume, kg.]]/1000</f>
        <v>70.650000000000006</v>
      </c>
      <c r="J6072" s="34">
        <v>0.21390000000000001</v>
      </c>
      <c r="K6072" s="34">
        <f t="shared" si="190"/>
        <v>15112.035</v>
      </c>
      <c r="L6072" s="34">
        <v>1.91</v>
      </c>
      <c r="M6072" s="34">
        <v>135168</v>
      </c>
      <c r="N6072" s="34">
        <f t="shared" si="191"/>
        <v>8.9294062646096304</v>
      </c>
    </row>
    <row r="6073" spans="1:14" x14ac:dyDescent="0.45">
      <c r="A6073" s="30">
        <v>2025</v>
      </c>
      <c r="B6073" s="30" t="s">
        <v>15</v>
      </c>
      <c r="C6073" s="30" t="s">
        <v>46</v>
      </c>
      <c r="D6073" s="30" t="s">
        <v>47</v>
      </c>
      <c r="E6073" s="31" t="s">
        <v>190</v>
      </c>
      <c r="F6073" s="31" t="s">
        <v>81</v>
      </c>
      <c r="G6073" s="32" t="s">
        <v>50</v>
      </c>
      <c r="H6073" s="33">
        <v>67090</v>
      </c>
      <c r="I6073" s="34">
        <f>Table3[[#This Row],[Volume, kg.]]/1000</f>
        <v>67.09</v>
      </c>
      <c r="J6073" s="34">
        <v>0.2364</v>
      </c>
      <c r="K6073" s="34">
        <f t="shared" si="190"/>
        <v>15860.075999999999</v>
      </c>
      <c r="L6073" s="34">
        <v>2.06</v>
      </c>
      <c r="M6073" s="34">
        <v>138052.5</v>
      </c>
      <c r="N6073" s="34">
        <f t="shared" si="191"/>
        <v>8.7140439932318099</v>
      </c>
    </row>
    <row r="6074" spans="1:14" x14ac:dyDescent="0.45">
      <c r="A6074" s="30">
        <v>2025</v>
      </c>
      <c r="B6074" s="30" t="s">
        <v>15</v>
      </c>
      <c r="C6074" s="30" t="s">
        <v>46</v>
      </c>
      <c r="D6074" s="30" t="s">
        <v>47</v>
      </c>
      <c r="E6074" s="31" t="s">
        <v>77</v>
      </c>
      <c r="F6074" s="31" t="s">
        <v>49</v>
      </c>
      <c r="G6074" s="32" t="s">
        <v>50</v>
      </c>
      <c r="H6074" s="33">
        <v>15780</v>
      </c>
      <c r="I6074" s="34">
        <f>Table3[[#This Row],[Volume, kg.]]/1000</f>
        <v>15.78</v>
      </c>
      <c r="J6074" s="34">
        <v>0.24390000000000001</v>
      </c>
      <c r="K6074" s="34">
        <f t="shared" si="190"/>
        <v>3848.7420000000002</v>
      </c>
      <c r="L6074" s="34">
        <v>2.0699999999999998</v>
      </c>
      <c r="M6074" s="34">
        <v>32626</v>
      </c>
      <c r="N6074" s="34">
        <f t="shared" si="191"/>
        <v>8.4870848708487081</v>
      </c>
    </row>
    <row r="6075" spans="1:14" x14ac:dyDescent="0.45">
      <c r="A6075" s="30">
        <v>2025</v>
      </c>
      <c r="B6075" s="30" t="s">
        <v>15</v>
      </c>
      <c r="C6075" s="30" t="s">
        <v>46</v>
      </c>
      <c r="D6075" s="30" t="s">
        <v>47</v>
      </c>
      <c r="E6075" s="31" t="s">
        <v>132</v>
      </c>
      <c r="F6075" s="31" t="s">
        <v>49</v>
      </c>
      <c r="G6075" s="32" t="s">
        <v>50</v>
      </c>
      <c r="H6075" s="33">
        <v>12930</v>
      </c>
      <c r="I6075" s="34">
        <f>Table3[[#This Row],[Volume, kg.]]/1000</f>
        <v>12.93</v>
      </c>
      <c r="J6075" s="34">
        <v>0.2346</v>
      </c>
      <c r="K6075" s="34">
        <f t="shared" si="190"/>
        <v>3033.3780000000002</v>
      </c>
      <c r="L6075" s="34">
        <v>2.04</v>
      </c>
      <c r="M6075" s="34">
        <v>26378</v>
      </c>
      <c r="N6075" s="34">
        <f t="shared" si="191"/>
        <v>8.695652173913043</v>
      </c>
    </row>
    <row r="6076" spans="1:14" x14ac:dyDescent="0.45">
      <c r="A6076" s="30">
        <v>2025</v>
      </c>
      <c r="B6076" s="30" t="s">
        <v>15</v>
      </c>
      <c r="C6076" s="30" t="s">
        <v>46</v>
      </c>
      <c r="D6076" s="30" t="s">
        <v>47</v>
      </c>
      <c r="E6076" s="31" t="s">
        <v>466</v>
      </c>
      <c r="F6076" s="31" t="s">
        <v>57</v>
      </c>
      <c r="G6076" s="32" t="s">
        <v>50</v>
      </c>
      <c r="H6076" s="33">
        <v>39110</v>
      </c>
      <c r="I6076" s="34">
        <f>Table3[[#This Row],[Volume, kg.]]/1000</f>
        <v>39.11</v>
      </c>
      <c r="J6076" s="34">
        <v>0.23370000000000002</v>
      </c>
      <c r="K6076" s="34">
        <f t="shared" si="190"/>
        <v>9140.0070000000014</v>
      </c>
      <c r="L6076" s="34">
        <v>2.04</v>
      </c>
      <c r="M6076" s="34">
        <v>79756.5</v>
      </c>
      <c r="N6076" s="34">
        <f t="shared" si="191"/>
        <v>8.7291399229781774</v>
      </c>
    </row>
    <row r="6077" spans="1:14" x14ac:dyDescent="0.45">
      <c r="A6077" s="30">
        <v>2025</v>
      </c>
      <c r="B6077" s="30" t="s">
        <v>15</v>
      </c>
      <c r="C6077" s="30" t="s">
        <v>46</v>
      </c>
      <c r="D6077" s="30" t="s">
        <v>47</v>
      </c>
      <c r="E6077" s="31" t="s">
        <v>241</v>
      </c>
      <c r="F6077" s="31" t="s">
        <v>57</v>
      </c>
      <c r="G6077" s="32" t="s">
        <v>50</v>
      </c>
      <c r="H6077" s="33">
        <v>56320</v>
      </c>
      <c r="I6077" s="34">
        <f>Table3[[#This Row],[Volume, kg.]]/1000</f>
        <v>56.32</v>
      </c>
      <c r="J6077" s="34">
        <v>0.24199999999999999</v>
      </c>
      <c r="K6077" s="34">
        <f t="shared" si="190"/>
        <v>13629.439999999999</v>
      </c>
      <c r="L6077" s="34">
        <v>2.1</v>
      </c>
      <c r="M6077" s="34">
        <v>118174</v>
      </c>
      <c r="N6077" s="34">
        <f t="shared" si="191"/>
        <v>8.677685950413224</v>
      </c>
    </row>
    <row r="6078" spans="1:14" x14ac:dyDescent="0.45">
      <c r="A6078" s="30">
        <v>2025</v>
      </c>
      <c r="B6078" s="30" t="s">
        <v>15</v>
      </c>
      <c r="C6078" s="30" t="s">
        <v>46</v>
      </c>
      <c r="D6078" s="30" t="s">
        <v>47</v>
      </c>
      <c r="E6078" s="31" t="s">
        <v>263</v>
      </c>
      <c r="F6078" s="31" t="s">
        <v>81</v>
      </c>
      <c r="G6078" s="32" t="s">
        <v>50</v>
      </c>
      <c r="H6078" s="33">
        <v>75160</v>
      </c>
      <c r="I6078" s="34">
        <f>Table3[[#This Row],[Volume, kg.]]/1000</f>
        <v>75.16</v>
      </c>
      <c r="J6078" s="34">
        <v>0.21729999999999999</v>
      </c>
      <c r="K6078" s="34">
        <f t="shared" si="190"/>
        <v>16332.268</v>
      </c>
      <c r="L6078" s="34">
        <v>1.95</v>
      </c>
      <c r="M6078" s="34">
        <v>146775.5</v>
      </c>
      <c r="N6078" s="34">
        <f t="shared" si="191"/>
        <v>8.9737689829728495</v>
      </c>
    </row>
    <row r="6079" spans="1:14" x14ac:dyDescent="0.45">
      <c r="A6079" s="30">
        <v>2025</v>
      </c>
      <c r="B6079" s="30" t="s">
        <v>15</v>
      </c>
      <c r="C6079" s="30" t="s">
        <v>46</v>
      </c>
      <c r="D6079" s="30" t="s">
        <v>47</v>
      </c>
      <c r="E6079" s="31" t="s">
        <v>333</v>
      </c>
      <c r="F6079" s="31" t="s">
        <v>57</v>
      </c>
      <c r="G6079" s="32" t="s">
        <v>50</v>
      </c>
      <c r="H6079" s="33">
        <v>117010</v>
      </c>
      <c r="I6079" s="34">
        <f>Table3[[#This Row],[Volume, kg.]]/1000</f>
        <v>117.01</v>
      </c>
      <c r="J6079" s="34">
        <v>0.25559999999999999</v>
      </c>
      <c r="K6079" s="34">
        <f t="shared" si="190"/>
        <v>29907.755999999998</v>
      </c>
      <c r="L6079" s="34">
        <v>2.14</v>
      </c>
      <c r="M6079" s="34">
        <v>250151</v>
      </c>
      <c r="N6079" s="34">
        <f t="shared" si="191"/>
        <v>8.3724569640062612</v>
      </c>
    </row>
    <row r="6080" spans="1:14" x14ac:dyDescent="0.45">
      <c r="A6080" s="30">
        <v>2025</v>
      </c>
      <c r="B6080" s="30" t="s">
        <v>15</v>
      </c>
      <c r="C6080" s="30" t="s">
        <v>46</v>
      </c>
      <c r="D6080" s="30" t="s">
        <v>47</v>
      </c>
      <c r="E6080" s="31" t="s">
        <v>236</v>
      </c>
      <c r="F6080" s="31" t="s">
        <v>49</v>
      </c>
      <c r="G6080" s="32" t="s">
        <v>50</v>
      </c>
      <c r="H6080" s="33">
        <v>62380</v>
      </c>
      <c r="I6080" s="34">
        <f>Table3[[#This Row],[Volume, kg.]]/1000</f>
        <v>62.38</v>
      </c>
      <c r="J6080" s="34">
        <v>0.24050000000000002</v>
      </c>
      <c r="K6080" s="34">
        <f t="shared" si="190"/>
        <v>15002.390000000001</v>
      </c>
      <c r="L6080" s="34">
        <v>2.0499999999999998</v>
      </c>
      <c r="M6080" s="34">
        <v>127837</v>
      </c>
      <c r="N6080" s="34">
        <f t="shared" si="191"/>
        <v>8.5239085239085224</v>
      </c>
    </row>
    <row r="6081" spans="1:14" x14ac:dyDescent="0.45">
      <c r="A6081" s="30">
        <v>2025</v>
      </c>
      <c r="B6081" s="30" t="s">
        <v>15</v>
      </c>
      <c r="C6081" s="30" t="s">
        <v>46</v>
      </c>
      <c r="D6081" s="30" t="s">
        <v>47</v>
      </c>
      <c r="E6081" s="31" t="s">
        <v>527</v>
      </c>
      <c r="F6081" s="31" t="s">
        <v>60</v>
      </c>
      <c r="G6081" s="32" t="s">
        <v>50</v>
      </c>
      <c r="H6081" s="33">
        <v>48740</v>
      </c>
      <c r="I6081" s="34">
        <f>Table3[[#This Row],[Volume, kg.]]/1000</f>
        <v>48.74</v>
      </c>
      <c r="J6081" s="34">
        <v>0.24879999999999999</v>
      </c>
      <c r="K6081" s="34">
        <f t="shared" si="190"/>
        <v>12126.511999999999</v>
      </c>
      <c r="L6081" s="34">
        <v>2.13</v>
      </c>
      <c r="M6081" s="34">
        <v>104035</v>
      </c>
      <c r="N6081" s="34">
        <f t="shared" si="191"/>
        <v>8.561093247588424</v>
      </c>
    </row>
    <row r="6082" spans="1:14" x14ac:dyDescent="0.45">
      <c r="A6082" s="30">
        <v>2025</v>
      </c>
      <c r="B6082" s="30" t="s">
        <v>15</v>
      </c>
      <c r="C6082" s="30" t="s">
        <v>46</v>
      </c>
      <c r="D6082" s="30" t="s">
        <v>47</v>
      </c>
      <c r="E6082" s="31" t="s">
        <v>313</v>
      </c>
      <c r="F6082" s="31" t="s">
        <v>60</v>
      </c>
      <c r="G6082" s="32" t="s">
        <v>50</v>
      </c>
      <c r="H6082" s="33">
        <v>104300</v>
      </c>
      <c r="I6082" s="34">
        <f>Table3[[#This Row],[Volume, kg.]]/1000</f>
        <v>104.3</v>
      </c>
      <c r="J6082" s="34">
        <v>0.251</v>
      </c>
      <c r="K6082" s="34">
        <f t="shared" si="190"/>
        <v>26179.3</v>
      </c>
      <c r="L6082" s="34">
        <v>2.13</v>
      </c>
      <c r="M6082" s="34">
        <v>221726.5</v>
      </c>
      <c r="N6082" s="34">
        <f t="shared" si="191"/>
        <v>8.4860557768924298</v>
      </c>
    </row>
    <row r="6083" spans="1:14" x14ac:dyDescent="0.45">
      <c r="A6083" s="30">
        <v>2025</v>
      </c>
      <c r="B6083" s="30" t="s">
        <v>15</v>
      </c>
      <c r="C6083" s="30" t="s">
        <v>46</v>
      </c>
      <c r="D6083" s="30" t="s">
        <v>102</v>
      </c>
      <c r="E6083" s="31" t="s">
        <v>389</v>
      </c>
      <c r="F6083" s="31" t="s">
        <v>238</v>
      </c>
      <c r="G6083" s="32" t="s">
        <v>50</v>
      </c>
      <c r="H6083" s="33">
        <v>287070</v>
      </c>
      <c r="I6083" s="34">
        <f>Table3[[#This Row],[Volume, kg.]]/1000</f>
        <v>287.07</v>
      </c>
      <c r="J6083" s="34">
        <v>0.2097</v>
      </c>
      <c r="K6083" s="34">
        <f t="shared" si="190"/>
        <v>60198.578999999998</v>
      </c>
      <c r="L6083" s="34">
        <v>2.0099999999999998</v>
      </c>
      <c r="M6083" s="34">
        <v>576584.5</v>
      </c>
      <c r="N6083" s="34">
        <f t="shared" si="191"/>
        <v>9.585121602288984</v>
      </c>
    </row>
    <row r="6084" spans="1:14" x14ac:dyDescent="0.45">
      <c r="A6084" s="30">
        <v>2025</v>
      </c>
      <c r="B6084" s="30" t="s">
        <v>15</v>
      </c>
      <c r="C6084" s="30" t="s">
        <v>46</v>
      </c>
      <c r="D6084" s="30" t="s">
        <v>47</v>
      </c>
      <c r="E6084" s="31" t="s">
        <v>288</v>
      </c>
      <c r="F6084" s="31" t="s">
        <v>49</v>
      </c>
      <c r="G6084" s="32" t="s">
        <v>50</v>
      </c>
      <c r="H6084" s="33">
        <v>340690</v>
      </c>
      <c r="I6084" s="34">
        <f>Table3[[#This Row],[Volume, kg.]]/1000</f>
        <v>340.69</v>
      </c>
      <c r="J6084" s="34">
        <v>0.25280000000000002</v>
      </c>
      <c r="K6084" s="34">
        <f t="shared" si="190"/>
        <v>86126.432000000015</v>
      </c>
      <c r="L6084" s="34">
        <v>2.12</v>
      </c>
      <c r="M6084" s="34">
        <v>722401</v>
      </c>
      <c r="N6084" s="34">
        <f t="shared" si="191"/>
        <v>8.386075949367088</v>
      </c>
    </row>
    <row r="6085" spans="1:14" x14ac:dyDescent="0.45">
      <c r="A6085" s="30">
        <v>2025</v>
      </c>
      <c r="B6085" s="30" t="s">
        <v>15</v>
      </c>
      <c r="C6085" s="30" t="s">
        <v>46</v>
      </c>
      <c r="D6085" s="30" t="s">
        <v>47</v>
      </c>
      <c r="E6085" s="31" t="s">
        <v>70</v>
      </c>
      <c r="F6085" s="31" t="s">
        <v>49</v>
      </c>
      <c r="G6085" s="32" t="s">
        <v>50</v>
      </c>
      <c r="H6085" s="33">
        <v>384410</v>
      </c>
      <c r="I6085" s="34">
        <f>Table3[[#This Row],[Volume, kg.]]/1000</f>
        <v>384.41</v>
      </c>
      <c r="J6085" s="34">
        <v>0.25929999999999997</v>
      </c>
      <c r="K6085" s="34">
        <f t="shared" si="190"/>
        <v>99677.512999999992</v>
      </c>
      <c r="L6085" s="34">
        <v>2.16</v>
      </c>
      <c r="M6085" s="34">
        <v>828790.5</v>
      </c>
      <c r="N6085" s="34">
        <f t="shared" si="191"/>
        <v>8.3301195526417295</v>
      </c>
    </row>
    <row r="6086" spans="1:14" x14ac:dyDescent="0.45">
      <c r="A6086" s="30">
        <v>2025</v>
      </c>
      <c r="B6086" s="30" t="s">
        <v>15</v>
      </c>
      <c r="C6086" s="30" t="s">
        <v>46</v>
      </c>
      <c r="D6086" s="30" t="s">
        <v>47</v>
      </c>
      <c r="E6086" s="31" t="s">
        <v>467</v>
      </c>
      <c r="F6086" s="31" t="s">
        <v>57</v>
      </c>
      <c r="G6086" s="32" t="s">
        <v>50</v>
      </c>
      <c r="H6086" s="33">
        <v>112850</v>
      </c>
      <c r="I6086" s="34">
        <f>Table3[[#This Row],[Volume, kg.]]/1000</f>
        <v>112.85</v>
      </c>
      <c r="J6086" s="34">
        <v>0.2525</v>
      </c>
      <c r="K6086" s="34">
        <f t="shared" si="190"/>
        <v>28494.625</v>
      </c>
      <c r="L6086" s="34">
        <v>2.14</v>
      </c>
      <c r="M6086" s="34">
        <v>241502</v>
      </c>
      <c r="N6086" s="34">
        <f t="shared" si="191"/>
        <v>8.4752475247524757</v>
      </c>
    </row>
    <row r="6087" spans="1:14" x14ac:dyDescent="0.45">
      <c r="A6087" s="30">
        <v>2025</v>
      </c>
      <c r="B6087" s="30" t="s">
        <v>15</v>
      </c>
      <c r="C6087" s="30" t="s">
        <v>46</v>
      </c>
      <c r="D6087" s="30" t="s">
        <v>47</v>
      </c>
      <c r="E6087" s="31" t="s">
        <v>500</v>
      </c>
      <c r="F6087" s="31" t="s">
        <v>49</v>
      </c>
      <c r="G6087" s="32" t="s">
        <v>50</v>
      </c>
      <c r="H6087" s="33">
        <v>10690</v>
      </c>
      <c r="I6087" s="34">
        <f>Table3[[#This Row],[Volume, kg.]]/1000</f>
        <v>10.69</v>
      </c>
      <c r="J6087" s="34">
        <v>0.24050000000000002</v>
      </c>
      <c r="K6087" s="34">
        <f t="shared" si="190"/>
        <v>2570.9450000000002</v>
      </c>
      <c r="L6087" s="34">
        <v>2</v>
      </c>
      <c r="M6087" s="34">
        <v>21380</v>
      </c>
      <c r="N6087" s="34">
        <f t="shared" si="191"/>
        <v>8.3160083160083147</v>
      </c>
    </row>
    <row r="6088" spans="1:14" x14ac:dyDescent="0.45">
      <c r="A6088" s="30">
        <v>2025</v>
      </c>
      <c r="B6088" s="30" t="s">
        <v>15</v>
      </c>
      <c r="C6088" s="30" t="s">
        <v>46</v>
      </c>
      <c r="D6088" s="30" t="s">
        <v>47</v>
      </c>
      <c r="E6088" s="31" t="s">
        <v>192</v>
      </c>
      <c r="F6088" s="31" t="s">
        <v>49</v>
      </c>
      <c r="G6088" s="32" t="s">
        <v>50</v>
      </c>
      <c r="H6088" s="33">
        <v>6110</v>
      </c>
      <c r="I6088" s="34">
        <f>Table3[[#This Row],[Volume, kg.]]/1000</f>
        <v>6.11</v>
      </c>
      <c r="J6088" s="34">
        <v>0.23499999999999999</v>
      </c>
      <c r="K6088" s="34">
        <f t="shared" ref="K6088:K6151" si="192">H6088*J6088</f>
        <v>1435.85</v>
      </c>
      <c r="L6088" s="34">
        <v>2</v>
      </c>
      <c r="M6088" s="34">
        <v>12220</v>
      </c>
      <c r="N6088" s="34">
        <f t="shared" ref="N6088:N6151" si="193">L6088/J6088</f>
        <v>8.5106382978723403</v>
      </c>
    </row>
    <row r="6089" spans="1:14" x14ac:dyDescent="0.45">
      <c r="A6089" s="30">
        <v>2025</v>
      </c>
      <c r="B6089" s="30" t="s">
        <v>15</v>
      </c>
      <c r="C6089" s="30" t="s">
        <v>46</v>
      </c>
      <c r="D6089" s="30" t="s">
        <v>47</v>
      </c>
      <c r="E6089" s="31" t="s">
        <v>277</v>
      </c>
      <c r="F6089" s="31" t="s">
        <v>60</v>
      </c>
      <c r="G6089" s="32" t="s">
        <v>50</v>
      </c>
      <c r="H6089" s="33">
        <v>12950</v>
      </c>
      <c r="I6089" s="34">
        <f>Table3[[#This Row],[Volume, kg.]]/1000</f>
        <v>12.95</v>
      </c>
      <c r="J6089" s="34">
        <v>0.29749999999999999</v>
      </c>
      <c r="K6089" s="34">
        <f t="shared" si="192"/>
        <v>3852.625</v>
      </c>
      <c r="L6089" s="34">
        <v>2.2999999999999998</v>
      </c>
      <c r="M6089" s="34">
        <v>29785</v>
      </c>
      <c r="N6089" s="34">
        <f t="shared" si="193"/>
        <v>7.73109243697479</v>
      </c>
    </row>
    <row r="6090" spans="1:14" x14ac:dyDescent="0.45">
      <c r="A6090" s="30">
        <v>2025</v>
      </c>
      <c r="B6090" s="30" t="s">
        <v>15</v>
      </c>
      <c r="C6090" s="30" t="s">
        <v>46</v>
      </c>
      <c r="D6090" s="30" t="s">
        <v>47</v>
      </c>
      <c r="E6090" s="31" t="s">
        <v>324</v>
      </c>
      <c r="F6090" s="31" t="s">
        <v>81</v>
      </c>
      <c r="G6090" s="32" t="s">
        <v>50</v>
      </c>
      <c r="H6090" s="33">
        <v>65780</v>
      </c>
      <c r="I6090" s="34">
        <f>Table3[[#This Row],[Volume, kg.]]/1000</f>
        <v>65.78</v>
      </c>
      <c r="J6090" s="34">
        <v>0.24100000000000002</v>
      </c>
      <c r="K6090" s="34">
        <f t="shared" si="192"/>
        <v>15852.980000000001</v>
      </c>
      <c r="L6090" s="34">
        <v>2.06</v>
      </c>
      <c r="M6090" s="34">
        <v>135450.5</v>
      </c>
      <c r="N6090" s="34">
        <f t="shared" si="193"/>
        <v>8.5477178423236513</v>
      </c>
    </row>
    <row r="6091" spans="1:14" x14ac:dyDescent="0.45">
      <c r="A6091" s="30">
        <v>2025</v>
      </c>
      <c r="B6091" s="30" t="s">
        <v>15</v>
      </c>
      <c r="C6091" s="30" t="s">
        <v>46</v>
      </c>
      <c r="D6091" s="30" t="s">
        <v>47</v>
      </c>
      <c r="E6091" s="31" t="s">
        <v>74</v>
      </c>
      <c r="F6091" s="31" t="s">
        <v>49</v>
      </c>
      <c r="G6091" s="32" t="s">
        <v>50</v>
      </c>
      <c r="H6091" s="33">
        <v>48910</v>
      </c>
      <c r="I6091" s="34">
        <f>Table3[[#This Row],[Volume, kg.]]/1000</f>
        <v>48.91</v>
      </c>
      <c r="J6091" s="34">
        <v>0.247</v>
      </c>
      <c r="K6091" s="34">
        <f t="shared" si="192"/>
        <v>12080.77</v>
      </c>
      <c r="L6091" s="34">
        <v>2.11</v>
      </c>
      <c r="M6091" s="34">
        <v>103395</v>
      </c>
      <c r="N6091" s="34">
        <f t="shared" si="193"/>
        <v>8.5425101214574894</v>
      </c>
    </row>
    <row r="6092" spans="1:14" x14ac:dyDescent="0.45">
      <c r="A6092" s="30">
        <v>2025</v>
      </c>
      <c r="B6092" s="30" t="s">
        <v>15</v>
      </c>
      <c r="C6092" s="30" t="s">
        <v>46</v>
      </c>
      <c r="D6092" s="30" t="s">
        <v>47</v>
      </c>
      <c r="E6092" s="31" t="s">
        <v>135</v>
      </c>
      <c r="F6092" s="31" t="s">
        <v>49</v>
      </c>
      <c r="G6092" s="32" t="s">
        <v>50</v>
      </c>
      <c r="H6092" s="33">
        <v>65750</v>
      </c>
      <c r="I6092" s="34">
        <f>Table3[[#This Row],[Volume, kg.]]/1000</f>
        <v>65.75</v>
      </c>
      <c r="J6092" s="34">
        <v>0.22440000000000002</v>
      </c>
      <c r="K6092" s="34">
        <f t="shared" si="192"/>
        <v>14754.300000000001</v>
      </c>
      <c r="L6092" s="34">
        <v>1.99</v>
      </c>
      <c r="M6092" s="34">
        <v>130925</v>
      </c>
      <c r="N6092" s="34">
        <f t="shared" si="193"/>
        <v>8.8680926916221026</v>
      </c>
    </row>
    <row r="6093" spans="1:14" x14ac:dyDescent="0.45">
      <c r="A6093" s="30">
        <v>2025</v>
      </c>
      <c r="B6093" s="30" t="s">
        <v>15</v>
      </c>
      <c r="C6093" s="30" t="s">
        <v>46</v>
      </c>
      <c r="D6093" s="30" t="s">
        <v>47</v>
      </c>
      <c r="E6093" s="31" t="s">
        <v>125</v>
      </c>
      <c r="F6093" s="31" t="s">
        <v>60</v>
      </c>
      <c r="G6093" s="32" t="s">
        <v>50</v>
      </c>
      <c r="H6093" s="33">
        <v>41010</v>
      </c>
      <c r="I6093" s="34">
        <f>Table3[[#This Row],[Volume, kg.]]/1000</f>
        <v>41.01</v>
      </c>
      <c r="J6093" s="34">
        <v>0.24559999999999998</v>
      </c>
      <c r="K6093" s="34">
        <f t="shared" si="192"/>
        <v>10072.055999999999</v>
      </c>
      <c r="L6093" s="34">
        <v>2.09</v>
      </c>
      <c r="M6093" s="34">
        <v>85743</v>
      </c>
      <c r="N6093" s="34">
        <f t="shared" si="193"/>
        <v>8.5097719869706836</v>
      </c>
    </row>
    <row r="6094" spans="1:14" x14ac:dyDescent="0.45">
      <c r="A6094" s="30">
        <v>2025</v>
      </c>
      <c r="B6094" s="30" t="s">
        <v>15</v>
      </c>
      <c r="C6094" s="30" t="s">
        <v>46</v>
      </c>
      <c r="D6094" s="30" t="s">
        <v>47</v>
      </c>
      <c r="E6094" s="31" t="s">
        <v>390</v>
      </c>
      <c r="F6094" s="31" t="s">
        <v>60</v>
      </c>
      <c r="G6094" s="32" t="s">
        <v>50</v>
      </c>
      <c r="H6094" s="33">
        <v>12470</v>
      </c>
      <c r="I6094" s="34">
        <f>Table3[[#This Row],[Volume, kg.]]/1000</f>
        <v>12.47</v>
      </c>
      <c r="J6094" s="34">
        <v>0.26050000000000001</v>
      </c>
      <c r="K6094" s="34">
        <f t="shared" si="192"/>
        <v>3248.4349999999999</v>
      </c>
      <c r="L6094" s="34">
        <v>2.15</v>
      </c>
      <c r="M6094" s="34">
        <v>26810.5</v>
      </c>
      <c r="N6094" s="34">
        <f t="shared" si="193"/>
        <v>8.253358925143953</v>
      </c>
    </row>
    <row r="6095" spans="1:14" x14ac:dyDescent="0.45">
      <c r="A6095" s="30">
        <v>2025</v>
      </c>
      <c r="B6095" s="30" t="s">
        <v>15</v>
      </c>
      <c r="C6095" s="30" t="s">
        <v>46</v>
      </c>
      <c r="D6095" s="30" t="s">
        <v>47</v>
      </c>
      <c r="E6095" s="31" t="s">
        <v>144</v>
      </c>
      <c r="F6095" s="31" t="s">
        <v>49</v>
      </c>
      <c r="G6095" s="32" t="s">
        <v>50</v>
      </c>
      <c r="H6095" s="33">
        <v>78720</v>
      </c>
      <c r="I6095" s="34">
        <f>Table3[[#This Row],[Volume, kg.]]/1000</f>
        <v>78.72</v>
      </c>
      <c r="J6095" s="34">
        <v>0.25</v>
      </c>
      <c r="K6095" s="34">
        <f t="shared" si="192"/>
        <v>19680</v>
      </c>
      <c r="L6095" s="34">
        <v>2.11</v>
      </c>
      <c r="M6095" s="34">
        <v>166054.5</v>
      </c>
      <c r="N6095" s="34">
        <f t="shared" si="193"/>
        <v>8.44</v>
      </c>
    </row>
    <row r="6096" spans="1:14" x14ac:dyDescent="0.45">
      <c r="A6096" s="30">
        <v>2025</v>
      </c>
      <c r="B6096" s="30" t="s">
        <v>15</v>
      </c>
      <c r="C6096" s="30" t="s">
        <v>46</v>
      </c>
      <c r="D6096" s="30" t="s">
        <v>47</v>
      </c>
      <c r="E6096" s="31" t="s">
        <v>269</v>
      </c>
      <c r="F6096" s="31" t="s">
        <v>60</v>
      </c>
      <c r="G6096" s="32" t="s">
        <v>50</v>
      </c>
      <c r="H6096" s="33">
        <v>10150</v>
      </c>
      <c r="I6096" s="34">
        <f>Table3[[#This Row],[Volume, kg.]]/1000</f>
        <v>10.15</v>
      </c>
      <c r="J6096" s="34">
        <v>0.28000000000000003</v>
      </c>
      <c r="K6096" s="34">
        <f t="shared" si="192"/>
        <v>2842.0000000000005</v>
      </c>
      <c r="L6096" s="34">
        <v>2.2999999999999998</v>
      </c>
      <c r="M6096" s="34">
        <v>23345</v>
      </c>
      <c r="N6096" s="34">
        <f t="shared" si="193"/>
        <v>8.2142857142857135</v>
      </c>
    </row>
    <row r="6097" spans="1:14" x14ac:dyDescent="0.45">
      <c r="A6097" s="30">
        <v>2025</v>
      </c>
      <c r="B6097" s="30" t="s">
        <v>15</v>
      </c>
      <c r="C6097" s="30" t="s">
        <v>46</v>
      </c>
      <c r="D6097" s="30" t="s">
        <v>47</v>
      </c>
      <c r="E6097" s="31" t="s">
        <v>501</v>
      </c>
      <c r="F6097" s="31" t="s">
        <v>81</v>
      </c>
      <c r="G6097" s="32" t="s">
        <v>50</v>
      </c>
      <c r="H6097" s="33">
        <v>12020</v>
      </c>
      <c r="I6097" s="34">
        <f>Table3[[#This Row],[Volume, kg.]]/1000</f>
        <v>12.02</v>
      </c>
      <c r="J6097" s="34">
        <v>0.251</v>
      </c>
      <c r="K6097" s="34">
        <f t="shared" si="192"/>
        <v>3017.02</v>
      </c>
      <c r="L6097" s="34">
        <v>2.1</v>
      </c>
      <c r="M6097" s="34">
        <v>25242</v>
      </c>
      <c r="N6097" s="34">
        <f t="shared" si="193"/>
        <v>8.3665338645418323</v>
      </c>
    </row>
    <row r="6098" spans="1:14" x14ac:dyDescent="0.45">
      <c r="A6098" s="30">
        <v>2025</v>
      </c>
      <c r="B6098" s="30" t="s">
        <v>15</v>
      </c>
      <c r="C6098" s="30" t="s">
        <v>46</v>
      </c>
      <c r="D6098" s="30" t="s">
        <v>47</v>
      </c>
      <c r="E6098" s="31" t="s">
        <v>268</v>
      </c>
      <c r="F6098" s="31" t="s">
        <v>57</v>
      </c>
      <c r="G6098" s="32" t="s">
        <v>50</v>
      </c>
      <c r="H6098" s="33">
        <v>40700</v>
      </c>
      <c r="I6098" s="34">
        <f>Table3[[#This Row],[Volume, kg.]]/1000</f>
        <v>40.700000000000003</v>
      </c>
      <c r="J6098" s="34">
        <v>0.24940000000000001</v>
      </c>
      <c r="K6098" s="34">
        <f t="shared" si="192"/>
        <v>10150.58</v>
      </c>
      <c r="L6098" s="34">
        <v>2.15</v>
      </c>
      <c r="M6098" s="34">
        <v>87505</v>
      </c>
      <c r="N6098" s="34">
        <f t="shared" si="193"/>
        <v>8.6206896551724128</v>
      </c>
    </row>
    <row r="6099" spans="1:14" x14ac:dyDescent="0.45">
      <c r="A6099" s="30">
        <v>2025</v>
      </c>
      <c r="B6099" s="30" t="s">
        <v>15</v>
      </c>
      <c r="C6099" s="30" t="s">
        <v>46</v>
      </c>
      <c r="D6099" s="30" t="s">
        <v>47</v>
      </c>
      <c r="E6099" s="31" t="s">
        <v>147</v>
      </c>
      <c r="F6099" s="31" t="s">
        <v>57</v>
      </c>
      <c r="G6099" s="32" t="s">
        <v>50</v>
      </c>
      <c r="H6099" s="33">
        <v>113810</v>
      </c>
      <c r="I6099" s="34">
        <f>Table3[[#This Row],[Volume, kg.]]/1000</f>
        <v>113.81</v>
      </c>
      <c r="J6099" s="34">
        <v>0.2482</v>
      </c>
      <c r="K6099" s="34">
        <f t="shared" si="192"/>
        <v>28247.642</v>
      </c>
      <c r="L6099" s="34">
        <v>2.11</v>
      </c>
      <c r="M6099" s="34">
        <v>239838</v>
      </c>
      <c r="N6099" s="34">
        <f t="shared" si="193"/>
        <v>8.5012087026591452</v>
      </c>
    </row>
    <row r="6100" spans="1:14" x14ac:dyDescent="0.45">
      <c r="A6100" s="30">
        <v>2025</v>
      </c>
      <c r="B6100" s="30" t="s">
        <v>15</v>
      </c>
      <c r="C6100" s="30" t="s">
        <v>46</v>
      </c>
      <c r="D6100" s="30" t="s">
        <v>47</v>
      </c>
      <c r="E6100" s="31" t="s">
        <v>502</v>
      </c>
      <c r="F6100" s="31" t="s">
        <v>49</v>
      </c>
      <c r="G6100" s="32" t="s">
        <v>50</v>
      </c>
      <c r="H6100" s="33">
        <v>5610</v>
      </c>
      <c r="I6100" s="34">
        <f>Table3[[#This Row],[Volume, kg.]]/1000</f>
        <v>5.61</v>
      </c>
      <c r="J6100" s="34">
        <v>0.20800000000000002</v>
      </c>
      <c r="K6100" s="34">
        <f t="shared" si="192"/>
        <v>1166.8800000000001</v>
      </c>
      <c r="L6100" s="34">
        <v>1.85</v>
      </c>
      <c r="M6100" s="34">
        <v>10378.5</v>
      </c>
      <c r="N6100" s="34">
        <f t="shared" si="193"/>
        <v>8.8942307692307683</v>
      </c>
    </row>
    <row r="6101" spans="1:14" x14ac:dyDescent="0.45">
      <c r="A6101" s="30">
        <v>2025</v>
      </c>
      <c r="B6101" s="30" t="s">
        <v>15</v>
      </c>
      <c r="C6101" s="30" t="s">
        <v>46</v>
      </c>
      <c r="D6101" s="30" t="s">
        <v>47</v>
      </c>
      <c r="E6101" s="31" t="s">
        <v>210</v>
      </c>
      <c r="F6101" s="31" t="s">
        <v>60</v>
      </c>
      <c r="G6101" s="32" t="s">
        <v>50</v>
      </c>
      <c r="H6101" s="33">
        <v>91700</v>
      </c>
      <c r="I6101" s="34">
        <f>Table3[[#This Row],[Volume, kg.]]/1000</f>
        <v>91.7</v>
      </c>
      <c r="J6101" s="34">
        <v>0.25319999999999998</v>
      </c>
      <c r="K6101" s="34">
        <f t="shared" si="192"/>
        <v>23218.44</v>
      </c>
      <c r="L6101" s="34">
        <v>2.14</v>
      </c>
      <c r="M6101" s="34">
        <v>196044.5</v>
      </c>
      <c r="N6101" s="34">
        <f t="shared" si="193"/>
        <v>8.4518167456556093</v>
      </c>
    </row>
    <row r="6102" spans="1:14" x14ac:dyDescent="0.45">
      <c r="A6102" s="30">
        <v>2025</v>
      </c>
      <c r="B6102" s="30" t="s">
        <v>15</v>
      </c>
      <c r="C6102" s="30" t="s">
        <v>46</v>
      </c>
      <c r="D6102" s="30" t="s">
        <v>47</v>
      </c>
      <c r="E6102" s="31" t="s">
        <v>253</v>
      </c>
      <c r="F6102" s="31" t="s">
        <v>57</v>
      </c>
      <c r="G6102" s="32" t="s">
        <v>50</v>
      </c>
      <c r="H6102" s="33">
        <v>128800</v>
      </c>
      <c r="I6102" s="34">
        <f>Table3[[#This Row],[Volume, kg.]]/1000</f>
        <v>128.80000000000001</v>
      </c>
      <c r="J6102" s="34">
        <v>0.25239999999999996</v>
      </c>
      <c r="K6102" s="34">
        <f t="shared" si="192"/>
        <v>32509.119999999995</v>
      </c>
      <c r="L6102" s="34">
        <v>2.14</v>
      </c>
      <c r="M6102" s="34">
        <v>275728</v>
      </c>
      <c r="N6102" s="34">
        <f t="shared" si="193"/>
        <v>8.4786053882725856</v>
      </c>
    </row>
    <row r="6103" spans="1:14" x14ac:dyDescent="0.45">
      <c r="A6103" s="30">
        <v>2025</v>
      </c>
      <c r="B6103" s="30" t="s">
        <v>15</v>
      </c>
      <c r="C6103" s="30" t="s">
        <v>46</v>
      </c>
      <c r="D6103" s="30" t="s">
        <v>47</v>
      </c>
      <c r="E6103" s="31" t="s">
        <v>667</v>
      </c>
      <c r="F6103" s="31" t="s">
        <v>60</v>
      </c>
      <c r="G6103" s="32" t="s">
        <v>50</v>
      </c>
      <c r="H6103" s="33">
        <v>122770</v>
      </c>
      <c r="I6103" s="34">
        <f>Table3[[#This Row],[Volume, kg.]]/1000</f>
        <v>122.77</v>
      </c>
      <c r="J6103" s="34">
        <v>0.25180000000000002</v>
      </c>
      <c r="K6103" s="34">
        <f t="shared" si="192"/>
        <v>30913.486000000004</v>
      </c>
      <c r="L6103" s="34">
        <v>2.12</v>
      </c>
      <c r="M6103" s="34">
        <v>259893</v>
      </c>
      <c r="N6103" s="34">
        <f t="shared" si="193"/>
        <v>8.4193804606830813</v>
      </c>
    </row>
    <row r="6104" spans="1:14" x14ac:dyDescent="0.45">
      <c r="A6104" s="30">
        <v>2025</v>
      </c>
      <c r="B6104" s="30" t="s">
        <v>15</v>
      </c>
      <c r="C6104" s="30" t="s">
        <v>46</v>
      </c>
      <c r="D6104" s="30" t="s">
        <v>47</v>
      </c>
      <c r="E6104" s="31" t="s">
        <v>171</v>
      </c>
      <c r="F6104" s="31" t="s">
        <v>49</v>
      </c>
      <c r="G6104" s="32" t="s">
        <v>50</v>
      </c>
      <c r="H6104" s="33">
        <v>91560</v>
      </c>
      <c r="I6104" s="34">
        <f>Table3[[#This Row],[Volume, kg.]]/1000</f>
        <v>91.56</v>
      </c>
      <c r="J6104" s="34">
        <v>0.24539999999999998</v>
      </c>
      <c r="K6104" s="34">
        <f t="shared" si="192"/>
        <v>22468.823999999997</v>
      </c>
      <c r="L6104" s="34">
        <v>2.08</v>
      </c>
      <c r="M6104" s="34">
        <v>190188.5</v>
      </c>
      <c r="N6104" s="34">
        <f t="shared" si="193"/>
        <v>8.4759576202119007</v>
      </c>
    </row>
    <row r="6105" spans="1:14" x14ac:dyDescent="0.45">
      <c r="A6105" s="30">
        <v>2025</v>
      </c>
      <c r="B6105" s="30" t="s">
        <v>15</v>
      </c>
      <c r="C6105" s="30" t="s">
        <v>46</v>
      </c>
      <c r="D6105" s="30" t="s">
        <v>47</v>
      </c>
      <c r="E6105" s="31" t="s">
        <v>233</v>
      </c>
      <c r="F6105" s="31" t="s">
        <v>57</v>
      </c>
      <c r="G6105" s="32" t="s">
        <v>50</v>
      </c>
      <c r="H6105" s="33">
        <v>77540</v>
      </c>
      <c r="I6105" s="34">
        <f>Table3[[#This Row],[Volume, kg.]]/1000</f>
        <v>77.540000000000006</v>
      </c>
      <c r="J6105" s="34">
        <v>0.26</v>
      </c>
      <c r="K6105" s="34">
        <f t="shared" si="192"/>
        <v>20160.400000000001</v>
      </c>
      <c r="L6105" s="34">
        <v>2.17</v>
      </c>
      <c r="M6105" s="34">
        <v>168576.5</v>
      </c>
      <c r="N6105" s="34">
        <f t="shared" si="193"/>
        <v>8.3461538461538449</v>
      </c>
    </row>
    <row r="6106" spans="1:14" x14ac:dyDescent="0.45">
      <c r="A6106" s="30">
        <v>2025</v>
      </c>
      <c r="B6106" s="30" t="s">
        <v>15</v>
      </c>
      <c r="C6106" s="30" t="s">
        <v>46</v>
      </c>
      <c r="D6106" s="30" t="s">
        <v>47</v>
      </c>
      <c r="E6106" s="31" t="s">
        <v>745</v>
      </c>
      <c r="F6106" s="31" t="s">
        <v>57</v>
      </c>
      <c r="G6106" s="32" t="s">
        <v>50</v>
      </c>
      <c r="H6106" s="33">
        <v>89940</v>
      </c>
      <c r="I6106" s="34">
        <f>Table3[[#This Row],[Volume, kg.]]/1000</f>
        <v>89.94</v>
      </c>
      <c r="J6106" s="34">
        <v>0.25120000000000003</v>
      </c>
      <c r="K6106" s="34">
        <f t="shared" si="192"/>
        <v>22592.928000000004</v>
      </c>
      <c r="L6106" s="34">
        <v>2.11</v>
      </c>
      <c r="M6106" s="34">
        <v>189894</v>
      </c>
      <c r="N6106" s="34">
        <f t="shared" si="193"/>
        <v>8.399681528662418</v>
      </c>
    </row>
    <row r="6107" spans="1:14" x14ac:dyDescent="0.45">
      <c r="A6107" s="30">
        <v>2025</v>
      </c>
      <c r="B6107" s="30" t="s">
        <v>15</v>
      </c>
      <c r="C6107" s="30" t="s">
        <v>46</v>
      </c>
      <c r="D6107" s="30" t="s">
        <v>47</v>
      </c>
      <c r="E6107" s="31" t="s">
        <v>503</v>
      </c>
      <c r="F6107" s="31" t="s">
        <v>49</v>
      </c>
      <c r="G6107" s="32" t="s">
        <v>50</v>
      </c>
      <c r="H6107" s="33">
        <v>228740</v>
      </c>
      <c r="I6107" s="34">
        <f>Table3[[#This Row],[Volume, kg.]]/1000</f>
        <v>228.74</v>
      </c>
      <c r="J6107" s="34">
        <v>0.25059999999999999</v>
      </c>
      <c r="K6107" s="34">
        <f t="shared" si="192"/>
        <v>57322.243999999999</v>
      </c>
      <c r="L6107" s="34">
        <v>2.11</v>
      </c>
      <c r="M6107" s="34">
        <v>481847</v>
      </c>
      <c r="N6107" s="34">
        <f t="shared" si="193"/>
        <v>8.4197924980047887</v>
      </c>
    </row>
    <row r="6108" spans="1:14" x14ac:dyDescent="0.45">
      <c r="A6108" s="30">
        <v>2025</v>
      </c>
      <c r="B6108" s="30" t="s">
        <v>15</v>
      </c>
      <c r="C6108" s="30" t="s">
        <v>46</v>
      </c>
      <c r="D6108" s="30" t="s">
        <v>47</v>
      </c>
      <c r="E6108" s="31" t="s">
        <v>56</v>
      </c>
      <c r="F6108" s="31" t="s">
        <v>57</v>
      </c>
      <c r="G6108" s="32" t="s">
        <v>50</v>
      </c>
      <c r="H6108" s="33">
        <v>10290</v>
      </c>
      <c r="I6108" s="34">
        <f>Table3[[#This Row],[Volume, kg.]]/1000</f>
        <v>10.29</v>
      </c>
      <c r="J6108" s="34">
        <v>0.24390000000000001</v>
      </c>
      <c r="K6108" s="34">
        <f t="shared" si="192"/>
        <v>2509.7310000000002</v>
      </c>
      <c r="L6108" s="34">
        <v>2.0299999999999998</v>
      </c>
      <c r="M6108" s="34">
        <v>20889.5</v>
      </c>
      <c r="N6108" s="34">
        <f t="shared" si="193"/>
        <v>8.3230832308323066</v>
      </c>
    </row>
    <row r="6109" spans="1:14" x14ac:dyDescent="0.45">
      <c r="A6109" s="30">
        <v>2025</v>
      </c>
      <c r="B6109" s="30" t="s">
        <v>15</v>
      </c>
      <c r="C6109" s="30" t="s">
        <v>46</v>
      </c>
      <c r="D6109" s="30" t="s">
        <v>47</v>
      </c>
      <c r="E6109" s="31" t="s">
        <v>90</v>
      </c>
      <c r="F6109" s="31" t="s">
        <v>49</v>
      </c>
      <c r="G6109" s="32" t="s">
        <v>50</v>
      </c>
      <c r="H6109" s="33">
        <v>86520</v>
      </c>
      <c r="I6109" s="34">
        <f>Table3[[#This Row],[Volume, kg.]]/1000</f>
        <v>86.52</v>
      </c>
      <c r="J6109" s="34">
        <v>0.24829999999999999</v>
      </c>
      <c r="K6109" s="34">
        <f t="shared" si="192"/>
        <v>21482.916000000001</v>
      </c>
      <c r="L6109" s="34">
        <v>2.09</v>
      </c>
      <c r="M6109" s="34">
        <v>181101</v>
      </c>
      <c r="N6109" s="34">
        <f t="shared" si="193"/>
        <v>8.4172372130487307</v>
      </c>
    </row>
    <row r="6110" spans="1:14" x14ac:dyDescent="0.45">
      <c r="A6110" s="30">
        <v>2025</v>
      </c>
      <c r="B6110" s="30" t="s">
        <v>15</v>
      </c>
      <c r="C6110" s="30" t="s">
        <v>46</v>
      </c>
      <c r="D6110" s="30" t="s">
        <v>47</v>
      </c>
      <c r="E6110" s="31" t="s">
        <v>275</v>
      </c>
      <c r="F6110" s="31" t="s">
        <v>54</v>
      </c>
      <c r="G6110" s="32" t="s">
        <v>50</v>
      </c>
      <c r="H6110" s="33">
        <v>168700</v>
      </c>
      <c r="I6110" s="34">
        <f>Table3[[#This Row],[Volume, kg.]]/1000</f>
        <v>168.7</v>
      </c>
      <c r="J6110" s="34">
        <v>0.2475</v>
      </c>
      <c r="K6110" s="34">
        <f t="shared" si="192"/>
        <v>41753.25</v>
      </c>
      <c r="L6110" s="34">
        <v>2.08</v>
      </c>
      <c r="M6110" s="34">
        <v>351543.5</v>
      </c>
      <c r="N6110" s="34">
        <f t="shared" si="193"/>
        <v>8.4040404040404049</v>
      </c>
    </row>
    <row r="6111" spans="1:14" x14ac:dyDescent="0.45">
      <c r="A6111" s="30">
        <v>2025</v>
      </c>
      <c r="B6111" s="30" t="s">
        <v>15</v>
      </c>
      <c r="C6111" s="30" t="s">
        <v>46</v>
      </c>
      <c r="D6111" s="30" t="s">
        <v>47</v>
      </c>
      <c r="E6111" s="31" t="s">
        <v>532</v>
      </c>
      <c r="F6111" s="31" t="s">
        <v>54</v>
      </c>
      <c r="G6111" s="32" t="s">
        <v>50</v>
      </c>
      <c r="H6111" s="33">
        <v>8060</v>
      </c>
      <c r="I6111" s="34">
        <f>Table3[[#This Row],[Volume, kg.]]/1000</f>
        <v>8.06</v>
      </c>
      <c r="J6111" s="34">
        <v>0.2505</v>
      </c>
      <c r="K6111" s="34">
        <f t="shared" si="192"/>
        <v>2019.03</v>
      </c>
      <c r="L6111" s="34">
        <v>2.1</v>
      </c>
      <c r="M6111" s="34">
        <v>16926</v>
      </c>
      <c r="N6111" s="34">
        <f t="shared" si="193"/>
        <v>8.3832335329341312</v>
      </c>
    </row>
    <row r="6112" spans="1:14" x14ac:dyDescent="0.45">
      <c r="A6112" s="30">
        <v>2025</v>
      </c>
      <c r="B6112" s="30" t="s">
        <v>15</v>
      </c>
      <c r="C6112" s="30" t="s">
        <v>46</v>
      </c>
      <c r="D6112" s="30" t="s">
        <v>47</v>
      </c>
      <c r="E6112" s="31" t="s">
        <v>599</v>
      </c>
      <c r="F6112" s="31" t="s">
        <v>57</v>
      </c>
      <c r="G6112" s="32" t="s">
        <v>50</v>
      </c>
      <c r="H6112" s="33">
        <v>45060</v>
      </c>
      <c r="I6112" s="34">
        <f>Table3[[#This Row],[Volume, kg.]]/1000</f>
        <v>45.06</v>
      </c>
      <c r="J6112" s="34">
        <v>0.26600000000000001</v>
      </c>
      <c r="K6112" s="34">
        <f t="shared" si="192"/>
        <v>11985.960000000001</v>
      </c>
      <c r="L6112" s="34">
        <v>2.2400000000000002</v>
      </c>
      <c r="M6112" s="34">
        <v>101139</v>
      </c>
      <c r="N6112" s="34">
        <f t="shared" si="193"/>
        <v>8.4210526315789469</v>
      </c>
    </row>
    <row r="6113" spans="1:14" x14ac:dyDescent="0.45">
      <c r="A6113" s="30">
        <v>2025</v>
      </c>
      <c r="B6113" s="30" t="s">
        <v>15</v>
      </c>
      <c r="C6113" s="30" t="s">
        <v>46</v>
      </c>
      <c r="D6113" s="30" t="s">
        <v>47</v>
      </c>
      <c r="E6113" s="31" t="s">
        <v>311</v>
      </c>
      <c r="F6113" s="31" t="s">
        <v>57</v>
      </c>
      <c r="G6113" s="32" t="s">
        <v>50</v>
      </c>
      <c r="H6113" s="33">
        <v>42030</v>
      </c>
      <c r="I6113" s="34">
        <f>Table3[[#This Row],[Volume, kg.]]/1000</f>
        <v>42.03</v>
      </c>
      <c r="J6113" s="34">
        <v>0.26750000000000002</v>
      </c>
      <c r="K6113" s="34">
        <f t="shared" si="192"/>
        <v>11243.025000000001</v>
      </c>
      <c r="L6113" s="34">
        <v>2.1800000000000002</v>
      </c>
      <c r="M6113" s="34">
        <v>91511</v>
      </c>
      <c r="N6113" s="34">
        <f t="shared" si="193"/>
        <v>8.1495327102803738</v>
      </c>
    </row>
    <row r="6114" spans="1:14" x14ac:dyDescent="0.45">
      <c r="A6114" s="30">
        <v>2025</v>
      </c>
      <c r="B6114" s="30" t="s">
        <v>15</v>
      </c>
      <c r="C6114" s="30" t="s">
        <v>46</v>
      </c>
      <c r="D6114" s="30" t="s">
        <v>47</v>
      </c>
      <c r="E6114" s="31" t="s">
        <v>356</v>
      </c>
      <c r="F6114" s="31" t="s">
        <v>49</v>
      </c>
      <c r="G6114" s="32" t="s">
        <v>50</v>
      </c>
      <c r="H6114" s="33">
        <v>13410</v>
      </c>
      <c r="I6114" s="34">
        <f>Table3[[#This Row],[Volume, kg.]]/1000</f>
        <v>13.41</v>
      </c>
      <c r="J6114" s="34">
        <v>0.2223</v>
      </c>
      <c r="K6114" s="34">
        <f t="shared" si="192"/>
        <v>2981.0430000000001</v>
      </c>
      <c r="L6114" s="34">
        <v>1.94</v>
      </c>
      <c r="M6114" s="34">
        <v>25956</v>
      </c>
      <c r="N6114" s="34">
        <f t="shared" si="193"/>
        <v>8.726945569050832</v>
      </c>
    </row>
    <row r="6115" spans="1:14" x14ac:dyDescent="0.45">
      <c r="A6115" s="30">
        <v>2025</v>
      </c>
      <c r="B6115" s="30" t="s">
        <v>15</v>
      </c>
      <c r="C6115" s="30" t="s">
        <v>46</v>
      </c>
      <c r="D6115" s="30" t="s">
        <v>47</v>
      </c>
      <c r="E6115" s="31" t="s">
        <v>637</v>
      </c>
      <c r="F6115" s="31" t="s">
        <v>60</v>
      </c>
      <c r="G6115" s="32" t="s">
        <v>50</v>
      </c>
      <c r="H6115" s="33">
        <v>6230</v>
      </c>
      <c r="I6115" s="34">
        <f>Table3[[#This Row],[Volume, kg.]]/1000</f>
        <v>6.23</v>
      </c>
      <c r="J6115" s="34">
        <v>0.23829999999999998</v>
      </c>
      <c r="K6115" s="34">
        <f t="shared" si="192"/>
        <v>1484.6089999999999</v>
      </c>
      <c r="L6115" s="34">
        <v>2.09</v>
      </c>
      <c r="M6115" s="34">
        <v>13030.5</v>
      </c>
      <c r="N6115" s="34">
        <f t="shared" si="193"/>
        <v>8.7704574066302978</v>
      </c>
    </row>
    <row r="6116" spans="1:14" x14ac:dyDescent="0.45">
      <c r="A6116" s="30">
        <v>2025</v>
      </c>
      <c r="B6116" s="30" t="s">
        <v>15</v>
      </c>
      <c r="C6116" s="30" t="s">
        <v>46</v>
      </c>
      <c r="D6116" s="30" t="s">
        <v>47</v>
      </c>
      <c r="E6116" s="31" t="s">
        <v>573</v>
      </c>
      <c r="F6116" s="31" t="s">
        <v>49</v>
      </c>
      <c r="G6116" s="32" t="s">
        <v>50</v>
      </c>
      <c r="H6116" s="33">
        <v>8180</v>
      </c>
      <c r="I6116" s="34">
        <f>Table3[[#This Row],[Volume, kg.]]/1000</f>
        <v>8.18</v>
      </c>
      <c r="J6116" s="34">
        <v>0.26100000000000001</v>
      </c>
      <c r="K6116" s="34">
        <f t="shared" si="192"/>
        <v>2134.98</v>
      </c>
      <c r="L6116" s="34">
        <v>2.15</v>
      </c>
      <c r="M6116" s="34">
        <v>17587</v>
      </c>
      <c r="N6116" s="34">
        <f t="shared" si="193"/>
        <v>8.2375478927203059</v>
      </c>
    </row>
    <row r="6117" spans="1:14" x14ac:dyDescent="0.45">
      <c r="A6117" s="30">
        <v>2025</v>
      </c>
      <c r="B6117" s="30" t="s">
        <v>15</v>
      </c>
      <c r="C6117" s="30" t="s">
        <v>46</v>
      </c>
      <c r="D6117" s="30" t="s">
        <v>47</v>
      </c>
      <c r="E6117" s="31" t="s">
        <v>153</v>
      </c>
      <c r="F6117" s="31" t="s">
        <v>57</v>
      </c>
      <c r="G6117" s="32" t="s">
        <v>50</v>
      </c>
      <c r="H6117" s="33">
        <v>23450</v>
      </c>
      <c r="I6117" s="34">
        <f>Table3[[#This Row],[Volume, kg.]]/1000</f>
        <v>23.45</v>
      </c>
      <c r="J6117" s="34">
        <v>0.24340000000000001</v>
      </c>
      <c r="K6117" s="34">
        <f t="shared" si="192"/>
        <v>5707.7300000000005</v>
      </c>
      <c r="L6117" s="34">
        <v>2.0699999999999998</v>
      </c>
      <c r="M6117" s="34">
        <v>48598.5</v>
      </c>
      <c r="N6117" s="34">
        <f t="shared" si="193"/>
        <v>8.5045193097781429</v>
      </c>
    </row>
    <row r="6118" spans="1:14" x14ac:dyDescent="0.45">
      <c r="A6118" s="30">
        <v>2025</v>
      </c>
      <c r="B6118" s="30" t="s">
        <v>15</v>
      </c>
      <c r="C6118" s="30" t="s">
        <v>46</v>
      </c>
      <c r="D6118" s="30" t="s">
        <v>47</v>
      </c>
      <c r="E6118" s="31" t="s">
        <v>346</v>
      </c>
      <c r="F6118" s="31" t="s">
        <v>49</v>
      </c>
      <c r="G6118" s="32" t="s">
        <v>50</v>
      </c>
      <c r="H6118" s="33">
        <v>6920</v>
      </c>
      <c r="I6118" s="34">
        <f>Table3[[#This Row],[Volume, kg.]]/1000</f>
        <v>6.92</v>
      </c>
      <c r="J6118" s="34">
        <v>0.222</v>
      </c>
      <c r="K6118" s="34">
        <f t="shared" si="192"/>
        <v>1536.24</v>
      </c>
      <c r="L6118" s="34">
        <v>2</v>
      </c>
      <c r="M6118" s="34">
        <v>13840</v>
      </c>
      <c r="N6118" s="34">
        <f t="shared" si="193"/>
        <v>9.0090090090090094</v>
      </c>
    </row>
    <row r="6119" spans="1:14" x14ac:dyDescent="0.45">
      <c r="A6119" s="30">
        <v>2025</v>
      </c>
      <c r="B6119" s="30" t="s">
        <v>15</v>
      </c>
      <c r="C6119" s="30" t="s">
        <v>46</v>
      </c>
      <c r="D6119" s="30" t="s">
        <v>47</v>
      </c>
      <c r="E6119" s="31" t="s">
        <v>306</v>
      </c>
      <c r="F6119" s="31" t="s">
        <v>60</v>
      </c>
      <c r="G6119" s="32" t="s">
        <v>50</v>
      </c>
      <c r="H6119" s="33">
        <v>3990</v>
      </c>
      <c r="I6119" s="34">
        <f>Table3[[#This Row],[Volume, kg.]]/1000</f>
        <v>3.99</v>
      </c>
      <c r="J6119" s="34">
        <v>0.25950000000000001</v>
      </c>
      <c r="K6119" s="34">
        <f t="shared" si="192"/>
        <v>1035.405</v>
      </c>
      <c r="L6119" s="34">
        <v>2.2000000000000002</v>
      </c>
      <c r="M6119" s="34">
        <v>8778</v>
      </c>
      <c r="N6119" s="34">
        <f t="shared" si="193"/>
        <v>8.4778420038535653</v>
      </c>
    </row>
    <row r="6120" spans="1:14" x14ac:dyDescent="0.45">
      <c r="A6120" s="30">
        <v>2025</v>
      </c>
      <c r="B6120" s="30" t="s">
        <v>15</v>
      </c>
      <c r="C6120" s="30" t="s">
        <v>46</v>
      </c>
      <c r="D6120" s="30" t="s">
        <v>47</v>
      </c>
      <c r="E6120" s="31" t="s">
        <v>197</v>
      </c>
      <c r="F6120" s="31" t="s">
        <v>57</v>
      </c>
      <c r="G6120" s="32" t="s">
        <v>50</v>
      </c>
      <c r="H6120" s="33">
        <v>193990</v>
      </c>
      <c r="I6120" s="34">
        <f>Table3[[#This Row],[Volume, kg.]]/1000</f>
        <v>193.99</v>
      </c>
      <c r="J6120" s="34">
        <v>0.25469999999999998</v>
      </c>
      <c r="K6120" s="34">
        <f t="shared" si="192"/>
        <v>49409.252999999997</v>
      </c>
      <c r="L6120" s="34">
        <v>2.13</v>
      </c>
      <c r="M6120" s="34">
        <v>412738</v>
      </c>
      <c r="N6120" s="34">
        <f t="shared" si="193"/>
        <v>8.3627797408716145</v>
      </c>
    </row>
    <row r="6121" spans="1:14" x14ac:dyDescent="0.45">
      <c r="A6121" s="30">
        <v>2025</v>
      </c>
      <c r="B6121" s="30" t="s">
        <v>15</v>
      </c>
      <c r="C6121" s="30" t="s">
        <v>46</v>
      </c>
      <c r="D6121" s="30" t="s">
        <v>47</v>
      </c>
      <c r="E6121" s="31" t="s">
        <v>177</v>
      </c>
      <c r="F6121" s="31" t="s">
        <v>49</v>
      </c>
      <c r="G6121" s="32" t="s">
        <v>50</v>
      </c>
      <c r="H6121" s="33">
        <v>98560</v>
      </c>
      <c r="I6121" s="34">
        <f>Table3[[#This Row],[Volume, kg.]]/1000</f>
        <v>98.56</v>
      </c>
      <c r="J6121" s="34">
        <v>0.2281</v>
      </c>
      <c r="K6121" s="34">
        <f t="shared" si="192"/>
        <v>22481.536</v>
      </c>
      <c r="L6121" s="34">
        <v>1.98</v>
      </c>
      <c r="M6121" s="34">
        <v>194883</v>
      </c>
      <c r="N6121" s="34">
        <f t="shared" si="193"/>
        <v>8.680403331871986</v>
      </c>
    </row>
    <row r="6122" spans="1:14" x14ac:dyDescent="0.45">
      <c r="A6122" s="30">
        <v>2025</v>
      </c>
      <c r="B6122" s="30" t="s">
        <v>15</v>
      </c>
      <c r="C6122" s="30" t="s">
        <v>46</v>
      </c>
      <c r="D6122" s="30" t="s">
        <v>47</v>
      </c>
      <c r="E6122" s="31" t="s">
        <v>206</v>
      </c>
      <c r="F6122" s="31" t="s">
        <v>81</v>
      </c>
      <c r="G6122" s="32" t="s">
        <v>50</v>
      </c>
      <c r="H6122" s="33">
        <v>262740</v>
      </c>
      <c r="I6122" s="34">
        <f>Table3[[#This Row],[Volume, kg.]]/1000</f>
        <v>262.74</v>
      </c>
      <c r="J6122" s="34">
        <v>0.25269999999999998</v>
      </c>
      <c r="K6122" s="34">
        <f t="shared" si="192"/>
        <v>66394.398000000001</v>
      </c>
      <c r="L6122" s="34">
        <v>2.12</v>
      </c>
      <c r="M6122" s="34">
        <v>555926</v>
      </c>
      <c r="N6122" s="34">
        <f t="shared" si="193"/>
        <v>8.3893945389790279</v>
      </c>
    </row>
    <row r="6123" spans="1:14" x14ac:dyDescent="0.45">
      <c r="A6123" s="30">
        <v>2025</v>
      </c>
      <c r="B6123" s="30" t="s">
        <v>15</v>
      </c>
      <c r="C6123" s="30" t="s">
        <v>46</v>
      </c>
      <c r="D6123" s="30" t="s">
        <v>47</v>
      </c>
      <c r="E6123" s="31" t="s">
        <v>350</v>
      </c>
      <c r="F6123" s="31" t="s">
        <v>49</v>
      </c>
      <c r="G6123" s="32" t="s">
        <v>50</v>
      </c>
      <c r="H6123" s="33">
        <v>61860</v>
      </c>
      <c r="I6123" s="34">
        <f>Table3[[#This Row],[Volume, kg.]]/1000</f>
        <v>61.86</v>
      </c>
      <c r="J6123" s="34">
        <v>0.25600000000000001</v>
      </c>
      <c r="K6123" s="34">
        <f t="shared" si="192"/>
        <v>15836.16</v>
      </c>
      <c r="L6123" s="34">
        <v>2.13</v>
      </c>
      <c r="M6123" s="34">
        <v>131852.5</v>
      </c>
      <c r="N6123" s="34">
        <f t="shared" si="193"/>
        <v>8.3203125</v>
      </c>
    </row>
    <row r="6124" spans="1:14" x14ac:dyDescent="0.45">
      <c r="A6124" s="30">
        <v>2025</v>
      </c>
      <c r="B6124" s="30" t="s">
        <v>15</v>
      </c>
      <c r="C6124" s="30" t="s">
        <v>46</v>
      </c>
      <c r="D6124" s="30" t="s">
        <v>47</v>
      </c>
      <c r="E6124" s="31" t="s">
        <v>395</v>
      </c>
      <c r="F6124" s="31" t="s">
        <v>81</v>
      </c>
      <c r="G6124" s="32" t="s">
        <v>50</v>
      </c>
      <c r="H6124" s="33">
        <v>73370</v>
      </c>
      <c r="I6124" s="34">
        <f>Table3[[#This Row],[Volume, kg.]]/1000</f>
        <v>73.37</v>
      </c>
      <c r="J6124" s="34">
        <v>0.22370000000000001</v>
      </c>
      <c r="K6124" s="34">
        <f t="shared" si="192"/>
        <v>16412.869000000002</v>
      </c>
      <c r="L6124" s="34">
        <v>1.98</v>
      </c>
      <c r="M6124" s="34">
        <v>145350</v>
      </c>
      <c r="N6124" s="34">
        <f t="shared" si="193"/>
        <v>8.8511399195350915</v>
      </c>
    </row>
    <row r="6125" spans="1:14" x14ac:dyDescent="0.45">
      <c r="A6125" s="30">
        <v>2025</v>
      </c>
      <c r="B6125" s="30" t="s">
        <v>15</v>
      </c>
      <c r="C6125" s="30" t="s">
        <v>46</v>
      </c>
      <c r="D6125" s="30" t="s">
        <v>47</v>
      </c>
      <c r="E6125" s="31" t="s">
        <v>312</v>
      </c>
      <c r="F6125" s="31" t="s">
        <v>60</v>
      </c>
      <c r="G6125" s="32" t="s">
        <v>50</v>
      </c>
      <c r="H6125" s="33">
        <v>12280</v>
      </c>
      <c r="I6125" s="34">
        <f>Table3[[#This Row],[Volume, kg.]]/1000</f>
        <v>12.28</v>
      </c>
      <c r="J6125" s="34">
        <v>0.27050000000000002</v>
      </c>
      <c r="K6125" s="34">
        <f t="shared" si="192"/>
        <v>3321.7400000000002</v>
      </c>
      <c r="L6125" s="34">
        <v>2.2000000000000002</v>
      </c>
      <c r="M6125" s="34">
        <v>27016</v>
      </c>
      <c r="N6125" s="34">
        <f t="shared" si="193"/>
        <v>8.1330868761552679</v>
      </c>
    </row>
    <row r="6126" spans="1:14" x14ac:dyDescent="0.45">
      <c r="A6126" s="30">
        <v>2025</v>
      </c>
      <c r="B6126" s="30" t="s">
        <v>15</v>
      </c>
      <c r="C6126" s="30" t="s">
        <v>46</v>
      </c>
      <c r="D6126" s="30" t="s">
        <v>47</v>
      </c>
      <c r="E6126" s="31" t="s">
        <v>548</v>
      </c>
      <c r="F6126" s="31" t="s">
        <v>49</v>
      </c>
      <c r="G6126" s="32" t="s">
        <v>50</v>
      </c>
      <c r="H6126" s="33">
        <v>90490</v>
      </c>
      <c r="I6126" s="34">
        <f>Table3[[#This Row],[Volume, kg.]]/1000</f>
        <v>90.49</v>
      </c>
      <c r="J6126" s="34">
        <v>0.23569999999999999</v>
      </c>
      <c r="K6126" s="34">
        <f t="shared" si="192"/>
        <v>21328.492999999999</v>
      </c>
      <c r="L6126" s="34">
        <v>2.0299999999999998</v>
      </c>
      <c r="M6126" s="34">
        <v>183699</v>
      </c>
      <c r="N6126" s="34">
        <f t="shared" si="193"/>
        <v>8.6126431904963923</v>
      </c>
    </row>
    <row r="6127" spans="1:14" x14ac:dyDescent="0.45">
      <c r="A6127" s="30">
        <v>2025</v>
      </c>
      <c r="B6127" s="30" t="s">
        <v>15</v>
      </c>
      <c r="C6127" s="30" t="s">
        <v>46</v>
      </c>
      <c r="D6127" s="30" t="s">
        <v>47</v>
      </c>
      <c r="E6127" s="31" t="s">
        <v>98</v>
      </c>
      <c r="F6127" s="31" t="s">
        <v>49</v>
      </c>
      <c r="G6127" s="32" t="s">
        <v>50</v>
      </c>
      <c r="H6127" s="33">
        <v>121850</v>
      </c>
      <c r="I6127" s="34">
        <f>Table3[[#This Row],[Volume, kg.]]/1000</f>
        <v>121.85</v>
      </c>
      <c r="J6127" s="34">
        <v>0.25009999999999999</v>
      </c>
      <c r="K6127" s="34">
        <f t="shared" si="192"/>
        <v>30474.684999999998</v>
      </c>
      <c r="L6127" s="34">
        <v>2.1</v>
      </c>
      <c r="M6127" s="34">
        <v>255347</v>
      </c>
      <c r="N6127" s="34">
        <f t="shared" si="193"/>
        <v>8.3966413434626155</v>
      </c>
    </row>
    <row r="6128" spans="1:14" x14ac:dyDescent="0.45">
      <c r="A6128" s="30">
        <v>2025</v>
      </c>
      <c r="B6128" s="30" t="s">
        <v>15</v>
      </c>
      <c r="C6128" s="30" t="s">
        <v>46</v>
      </c>
      <c r="D6128" s="30" t="s">
        <v>47</v>
      </c>
      <c r="E6128" s="31" t="s">
        <v>354</v>
      </c>
      <c r="F6128" s="31" t="s">
        <v>60</v>
      </c>
      <c r="G6128" s="32" t="s">
        <v>50</v>
      </c>
      <c r="H6128" s="33">
        <v>8690</v>
      </c>
      <c r="I6128" s="34">
        <f>Table3[[#This Row],[Volume, kg.]]/1000</f>
        <v>8.69</v>
      </c>
      <c r="J6128" s="34">
        <v>0.27949999999999997</v>
      </c>
      <c r="K6128" s="34">
        <f t="shared" si="192"/>
        <v>2428.8549999999996</v>
      </c>
      <c r="L6128" s="34">
        <v>2.25</v>
      </c>
      <c r="M6128" s="34">
        <v>19552.5</v>
      </c>
      <c r="N6128" s="34">
        <f t="shared" si="193"/>
        <v>8.0500894454382834</v>
      </c>
    </row>
    <row r="6129" spans="1:14" x14ac:dyDescent="0.45">
      <c r="A6129" s="30">
        <v>2025</v>
      </c>
      <c r="B6129" s="30" t="s">
        <v>15</v>
      </c>
      <c r="C6129" s="30" t="s">
        <v>46</v>
      </c>
      <c r="D6129" s="30" t="s">
        <v>47</v>
      </c>
      <c r="E6129" s="31" t="s">
        <v>129</v>
      </c>
      <c r="F6129" s="31" t="s">
        <v>57</v>
      </c>
      <c r="G6129" s="32" t="s">
        <v>50</v>
      </c>
      <c r="H6129" s="33">
        <v>19720</v>
      </c>
      <c r="I6129" s="34">
        <f>Table3[[#This Row],[Volume, kg.]]/1000</f>
        <v>19.72</v>
      </c>
      <c r="J6129" s="34">
        <v>0.22489999999999999</v>
      </c>
      <c r="K6129" s="34">
        <f t="shared" si="192"/>
        <v>4435.0279999999993</v>
      </c>
      <c r="L6129" s="34">
        <v>1.96</v>
      </c>
      <c r="M6129" s="34">
        <v>38558.5</v>
      </c>
      <c r="N6129" s="34">
        <f t="shared" si="193"/>
        <v>8.7149844375277912</v>
      </c>
    </row>
    <row r="6130" spans="1:14" x14ac:dyDescent="0.45">
      <c r="A6130" s="30">
        <v>2025</v>
      </c>
      <c r="B6130" s="30" t="s">
        <v>15</v>
      </c>
      <c r="C6130" s="30" t="s">
        <v>46</v>
      </c>
      <c r="D6130" s="30" t="s">
        <v>47</v>
      </c>
      <c r="E6130" s="31" t="s">
        <v>473</v>
      </c>
      <c r="F6130" s="31" t="s">
        <v>57</v>
      </c>
      <c r="G6130" s="32" t="s">
        <v>50</v>
      </c>
      <c r="H6130" s="33">
        <v>21480</v>
      </c>
      <c r="I6130" s="34">
        <f>Table3[[#This Row],[Volume, kg.]]/1000</f>
        <v>21.48</v>
      </c>
      <c r="J6130" s="34">
        <v>0.2626</v>
      </c>
      <c r="K6130" s="34">
        <f t="shared" si="192"/>
        <v>5640.6480000000001</v>
      </c>
      <c r="L6130" s="34">
        <v>2.17</v>
      </c>
      <c r="M6130" s="34">
        <v>46714</v>
      </c>
      <c r="N6130" s="34">
        <f t="shared" si="193"/>
        <v>8.2635186595582635</v>
      </c>
    </row>
    <row r="6131" spans="1:14" x14ac:dyDescent="0.45">
      <c r="A6131" s="30">
        <v>2025</v>
      </c>
      <c r="B6131" s="30" t="s">
        <v>15</v>
      </c>
      <c r="C6131" s="30" t="s">
        <v>46</v>
      </c>
      <c r="D6131" s="30" t="s">
        <v>47</v>
      </c>
      <c r="E6131" s="31" t="s">
        <v>296</v>
      </c>
      <c r="F6131" s="31" t="s">
        <v>60</v>
      </c>
      <c r="G6131" s="32" t="s">
        <v>50</v>
      </c>
      <c r="H6131" s="33">
        <v>36690</v>
      </c>
      <c r="I6131" s="34">
        <f>Table3[[#This Row],[Volume, kg.]]/1000</f>
        <v>36.69</v>
      </c>
      <c r="J6131" s="34">
        <v>0.23449999999999999</v>
      </c>
      <c r="K6131" s="34">
        <f t="shared" si="192"/>
        <v>8603.8050000000003</v>
      </c>
      <c r="L6131" s="34">
        <v>2.02</v>
      </c>
      <c r="M6131" s="34">
        <v>74131.5</v>
      </c>
      <c r="N6131" s="34">
        <f t="shared" si="193"/>
        <v>8.6140724946695109</v>
      </c>
    </row>
    <row r="6132" spans="1:14" x14ac:dyDescent="0.45">
      <c r="A6132" s="30">
        <v>2025</v>
      </c>
      <c r="B6132" s="30" t="s">
        <v>15</v>
      </c>
      <c r="C6132" s="30" t="s">
        <v>46</v>
      </c>
      <c r="D6132" s="30" t="s">
        <v>47</v>
      </c>
      <c r="E6132" s="31" t="s">
        <v>267</v>
      </c>
      <c r="F6132" s="31" t="s">
        <v>57</v>
      </c>
      <c r="G6132" s="32" t="s">
        <v>50</v>
      </c>
      <c r="H6132" s="33">
        <v>15800</v>
      </c>
      <c r="I6132" s="34">
        <f>Table3[[#This Row],[Volume, kg.]]/1000</f>
        <v>15.8</v>
      </c>
      <c r="J6132" s="34">
        <v>0.25600000000000001</v>
      </c>
      <c r="K6132" s="34">
        <f t="shared" si="192"/>
        <v>4044.8</v>
      </c>
      <c r="L6132" s="34">
        <v>2.11</v>
      </c>
      <c r="M6132" s="34">
        <v>33325</v>
      </c>
      <c r="N6132" s="34">
        <f t="shared" si="193"/>
        <v>8.2421875</v>
      </c>
    </row>
    <row r="6133" spans="1:14" x14ac:dyDescent="0.45">
      <c r="A6133" s="30">
        <v>2025</v>
      </c>
      <c r="B6133" s="30" t="s">
        <v>15</v>
      </c>
      <c r="C6133" s="30" t="s">
        <v>46</v>
      </c>
      <c r="D6133" s="30" t="s">
        <v>102</v>
      </c>
      <c r="E6133" s="31" t="s">
        <v>103</v>
      </c>
      <c r="F6133" s="31" t="s">
        <v>104</v>
      </c>
      <c r="G6133" s="32" t="s">
        <v>105</v>
      </c>
      <c r="H6133" s="33">
        <v>241830</v>
      </c>
      <c r="I6133" s="34">
        <f>Table3[[#This Row],[Volume, kg.]]/1000</f>
        <v>241.83</v>
      </c>
      <c r="J6133" s="34">
        <v>0.24239999999999998</v>
      </c>
      <c r="K6133" s="34">
        <f t="shared" si="192"/>
        <v>58619.591999999997</v>
      </c>
      <c r="L6133" s="34">
        <v>2.21</v>
      </c>
      <c r="M6133" s="34">
        <v>535627</v>
      </c>
      <c r="N6133" s="34">
        <f t="shared" si="193"/>
        <v>9.1171617161716174</v>
      </c>
    </row>
    <row r="6134" spans="1:14" x14ac:dyDescent="0.45">
      <c r="A6134" s="30">
        <v>2025</v>
      </c>
      <c r="B6134" s="30" t="s">
        <v>15</v>
      </c>
      <c r="C6134" s="30" t="s">
        <v>46</v>
      </c>
      <c r="D6134" s="30" t="s">
        <v>47</v>
      </c>
      <c r="E6134" s="31" t="s">
        <v>203</v>
      </c>
      <c r="F6134" s="31" t="s">
        <v>57</v>
      </c>
      <c r="G6134" s="32" t="s">
        <v>50</v>
      </c>
      <c r="H6134" s="33">
        <v>38150</v>
      </c>
      <c r="I6134" s="34">
        <f>Table3[[#This Row],[Volume, kg.]]/1000</f>
        <v>38.15</v>
      </c>
      <c r="J6134" s="34">
        <v>0.26989999999999997</v>
      </c>
      <c r="K6134" s="34">
        <f t="shared" si="192"/>
        <v>10296.684999999999</v>
      </c>
      <c r="L6134" s="34">
        <v>2.2200000000000002</v>
      </c>
      <c r="M6134" s="34">
        <v>84554</v>
      </c>
      <c r="N6134" s="34">
        <f t="shared" si="193"/>
        <v>8.2252686180066714</v>
      </c>
    </row>
    <row r="6135" spans="1:14" x14ac:dyDescent="0.45">
      <c r="A6135" s="30">
        <v>2025</v>
      </c>
      <c r="B6135" s="30" t="s">
        <v>15</v>
      </c>
      <c r="C6135" s="30" t="s">
        <v>46</v>
      </c>
      <c r="D6135" s="30" t="s">
        <v>47</v>
      </c>
      <c r="E6135" s="31" t="s">
        <v>261</v>
      </c>
      <c r="F6135" s="31" t="s">
        <v>81</v>
      </c>
      <c r="G6135" s="32" t="s">
        <v>50</v>
      </c>
      <c r="H6135" s="33">
        <v>41450</v>
      </c>
      <c r="I6135" s="34">
        <f>Table3[[#This Row],[Volume, kg.]]/1000</f>
        <v>41.45</v>
      </c>
      <c r="J6135" s="34">
        <v>0.25879999999999997</v>
      </c>
      <c r="K6135" s="34">
        <f t="shared" si="192"/>
        <v>10727.259999999998</v>
      </c>
      <c r="L6135" s="34">
        <v>2.15</v>
      </c>
      <c r="M6135" s="34">
        <v>89192</v>
      </c>
      <c r="N6135" s="34">
        <f t="shared" si="193"/>
        <v>8.30757341576507</v>
      </c>
    </row>
    <row r="6136" spans="1:14" x14ac:dyDescent="0.45">
      <c r="A6136" s="30">
        <v>2025</v>
      </c>
      <c r="B6136" s="30" t="s">
        <v>15</v>
      </c>
      <c r="C6136" s="30" t="s">
        <v>46</v>
      </c>
      <c r="D6136" s="30" t="s">
        <v>47</v>
      </c>
      <c r="E6136" s="31" t="s">
        <v>137</v>
      </c>
      <c r="F6136" s="31" t="s">
        <v>49</v>
      </c>
      <c r="G6136" s="32" t="s">
        <v>50</v>
      </c>
      <c r="H6136" s="33">
        <v>45540</v>
      </c>
      <c r="I6136" s="34">
        <f>Table3[[#This Row],[Volume, kg.]]/1000</f>
        <v>45.54</v>
      </c>
      <c r="J6136" s="34">
        <v>0.21989999999999998</v>
      </c>
      <c r="K6136" s="34">
        <f t="shared" si="192"/>
        <v>10014.245999999999</v>
      </c>
      <c r="L6136" s="34">
        <v>1.92</v>
      </c>
      <c r="M6136" s="34">
        <v>87243</v>
      </c>
      <c r="N6136" s="34">
        <f t="shared" si="193"/>
        <v>8.7312414733969987</v>
      </c>
    </row>
    <row r="6137" spans="1:14" x14ac:dyDescent="0.45">
      <c r="A6137" s="30">
        <v>2025</v>
      </c>
      <c r="B6137" s="30" t="s">
        <v>15</v>
      </c>
      <c r="C6137" s="30" t="s">
        <v>46</v>
      </c>
      <c r="D6137" s="30" t="s">
        <v>47</v>
      </c>
      <c r="E6137" s="31" t="s">
        <v>58</v>
      </c>
      <c r="F6137" s="31" t="s">
        <v>49</v>
      </c>
      <c r="G6137" s="32" t="s">
        <v>50</v>
      </c>
      <c r="H6137" s="33">
        <v>48990</v>
      </c>
      <c r="I6137" s="34">
        <f>Table3[[#This Row],[Volume, kg.]]/1000</f>
        <v>48.99</v>
      </c>
      <c r="J6137" s="34">
        <v>0.23309999999999997</v>
      </c>
      <c r="K6137" s="34">
        <f t="shared" si="192"/>
        <v>11419.569</v>
      </c>
      <c r="L6137" s="34">
        <v>2.06</v>
      </c>
      <c r="M6137" s="34">
        <v>100752</v>
      </c>
      <c r="N6137" s="34">
        <f t="shared" si="193"/>
        <v>8.8374088374088391</v>
      </c>
    </row>
    <row r="6138" spans="1:14" x14ac:dyDescent="0.45">
      <c r="A6138" s="30">
        <v>2025</v>
      </c>
      <c r="B6138" s="30" t="s">
        <v>15</v>
      </c>
      <c r="C6138" s="30" t="s">
        <v>46</v>
      </c>
      <c r="D6138" s="30" t="s">
        <v>102</v>
      </c>
      <c r="E6138" s="31" t="s">
        <v>126</v>
      </c>
      <c r="F6138" s="31" t="s">
        <v>127</v>
      </c>
      <c r="G6138" s="32" t="s">
        <v>128</v>
      </c>
      <c r="H6138" s="33">
        <v>1329800</v>
      </c>
      <c r="I6138" s="34">
        <f>Table3[[#This Row],[Volume, kg.]]/1000</f>
        <v>1329.8</v>
      </c>
      <c r="J6138" s="34">
        <v>0.24059999999999998</v>
      </c>
      <c r="K6138" s="34">
        <f t="shared" si="192"/>
        <v>319949.87999999995</v>
      </c>
      <c r="L6138" s="34">
        <v>2.16</v>
      </c>
      <c r="M6138" s="34">
        <v>2874793</v>
      </c>
      <c r="N6138" s="34">
        <f t="shared" si="193"/>
        <v>8.977556109725688</v>
      </c>
    </row>
    <row r="6139" spans="1:14" x14ac:dyDescent="0.45">
      <c r="A6139" s="30">
        <v>2025</v>
      </c>
      <c r="B6139" s="30" t="s">
        <v>15</v>
      </c>
      <c r="C6139" s="30" t="s">
        <v>46</v>
      </c>
      <c r="D6139" s="30" t="s">
        <v>47</v>
      </c>
      <c r="E6139" s="31" t="s">
        <v>335</v>
      </c>
      <c r="F6139" s="31" t="s">
        <v>54</v>
      </c>
      <c r="G6139" s="32" t="s">
        <v>50</v>
      </c>
      <c r="H6139" s="33">
        <v>72110</v>
      </c>
      <c r="I6139" s="34">
        <f>Table3[[#This Row],[Volume, kg.]]/1000</f>
        <v>72.11</v>
      </c>
      <c r="J6139" s="34">
        <v>0.23550000000000001</v>
      </c>
      <c r="K6139" s="34">
        <f t="shared" si="192"/>
        <v>16981.905000000002</v>
      </c>
      <c r="L6139" s="34">
        <v>1.98</v>
      </c>
      <c r="M6139" s="34">
        <v>142479</v>
      </c>
      <c r="N6139" s="34">
        <f t="shared" si="193"/>
        <v>8.4076433121019107</v>
      </c>
    </row>
    <row r="6140" spans="1:14" x14ac:dyDescent="0.45">
      <c r="A6140" s="30">
        <v>2025</v>
      </c>
      <c r="B6140" s="30" t="s">
        <v>15</v>
      </c>
      <c r="C6140" s="30" t="s">
        <v>46</v>
      </c>
      <c r="D6140" s="30" t="s">
        <v>47</v>
      </c>
      <c r="E6140" s="31" t="s">
        <v>476</v>
      </c>
      <c r="F6140" s="31" t="s">
        <v>49</v>
      </c>
      <c r="G6140" s="32" t="s">
        <v>50</v>
      </c>
      <c r="H6140" s="33">
        <v>6370</v>
      </c>
      <c r="I6140" s="34">
        <f>Table3[[#This Row],[Volume, kg.]]/1000</f>
        <v>6.37</v>
      </c>
      <c r="J6140" s="34">
        <v>0.22850000000000001</v>
      </c>
      <c r="K6140" s="34">
        <f t="shared" si="192"/>
        <v>1455.5450000000001</v>
      </c>
      <c r="L6140" s="34">
        <v>1.95</v>
      </c>
      <c r="M6140" s="34">
        <v>12421.5</v>
      </c>
      <c r="N6140" s="34">
        <f t="shared" si="193"/>
        <v>8.5339168490153163</v>
      </c>
    </row>
    <row r="6141" spans="1:14" x14ac:dyDescent="0.45">
      <c r="A6141" s="30">
        <v>2025</v>
      </c>
      <c r="B6141" s="30" t="s">
        <v>15</v>
      </c>
      <c r="C6141" s="30" t="s">
        <v>46</v>
      </c>
      <c r="D6141" s="30" t="s">
        <v>47</v>
      </c>
      <c r="E6141" s="31" t="s">
        <v>401</v>
      </c>
      <c r="F6141" s="31" t="s">
        <v>57</v>
      </c>
      <c r="G6141" s="32" t="s">
        <v>50</v>
      </c>
      <c r="H6141" s="33">
        <v>24150</v>
      </c>
      <c r="I6141" s="34">
        <f>Table3[[#This Row],[Volume, kg.]]/1000</f>
        <v>24.15</v>
      </c>
      <c r="J6141" s="34">
        <v>0.2626</v>
      </c>
      <c r="K6141" s="34">
        <f t="shared" si="192"/>
        <v>6341.79</v>
      </c>
      <c r="L6141" s="34">
        <v>2.13</v>
      </c>
      <c r="M6141" s="34">
        <v>51413</v>
      </c>
      <c r="N6141" s="34">
        <f t="shared" si="193"/>
        <v>8.1111957349581107</v>
      </c>
    </row>
    <row r="6142" spans="1:14" x14ac:dyDescent="0.45">
      <c r="A6142" s="30">
        <v>2025</v>
      </c>
      <c r="B6142" s="30" t="s">
        <v>15</v>
      </c>
      <c r="C6142" s="30" t="s">
        <v>46</v>
      </c>
      <c r="D6142" s="30" t="s">
        <v>47</v>
      </c>
      <c r="E6142" s="31" t="s">
        <v>318</v>
      </c>
      <c r="F6142" s="31" t="s">
        <v>60</v>
      </c>
      <c r="G6142" s="32" t="s">
        <v>50</v>
      </c>
      <c r="H6142" s="33">
        <v>24120</v>
      </c>
      <c r="I6142" s="34">
        <f>Table3[[#This Row],[Volume, kg.]]/1000</f>
        <v>24.12</v>
      </c>
      <c r="J6142" s="34">
        <v>0.20730000000000001</v>
      </c>
      <c r="K6142" s="34">
        <f t="shared" si="192"/>
        <v>5000.076</v>
      </c>
      <c r="L6142" s="34">
        <v>1.88</v>
      </c>
      <c r="M6142" s="34">
        <v>45349</v>
      </c>
      <c r="N6142" s="34">
        <f t="shared" si="193"/>
        <v>9.068982151471296</v>
      </c>
    </row>
    <row r="6143" spans="1:14" x14ac:dyDescent="0.45">
      <c r="A6143" s="30">
        <v>2025</v>
      </c>
      <c r="B6143" s="30" t="s">
        <v>15</v>
      </c>
      <c r="C6143" s="30" t="s">
        <v>46</v>
      </c>
      <c r="D6143" s="30" t="s">
        <v>47</v>
      </c>
      <c r="E6143" s="31" t="s">
        <v>280</v>
      </c>
      <c r="F6143" s="31" t="s">
        <v>281</v>
      </c>
      <c r="G6143" s="32" t="s">
        <v>50</v>
      </c>
      <c r="H6143" s="33">
        <v>20730</v>
      </c>
      <c r="I6143" s="34">
        <f>Table3[[#This Row],[Volume, kg.]]/1000</f>
        <v>20.73</v>
      </c>
      <c r="J6143" s="34">
        <v>0.2223</v>
      </c>
      <c r="K6143" s="34">
        <f t="shared" si="192"/>
        <v>4608.2789999999995</v>
      </c>
      <c r="L6143" s="34">
        <v>2</v>
      </c>
      <c r="M6143" s="34">
        <v>41532</v>
      </c>
      <c r="N6143" s="34">
        <f t="shared" si="193"/>
        <v>8.9968511021142596</v>
      </c>
    </row>
    <row r="6144" spans="1:14" x14ac:dyDescent="0.45">
      <c r="A6144" s="30">
        <v>2025</v>
      </c>
      <c r="B6144" s="30" t="s">
        <v>15</v>
      </c>
      <c r="C6144" s="30" t="s">
        <v>46</v>
      </c>
      <c r="D6144" s="30" t="s">
        <v>47</v>
      </c>
      <c r="E6144" s="31" t="s">
        <v>243</v>
      </c>
      <c r="F6144" s="31" t="s">
        <v>60</v>
      </c>
      <c r="G6144" s="32" t="s">
        <v>50</v>
      </c>
      <c r="H6144" s="33">
        <v>36800</v>
      </c>
      <c r="I6144" s="34">
        <f>Table3[[#This Row],[Volume, kg.]]/1000</f>
        <v>36.799999999999997</v>
      </c>
      <c r="J6144" s="34">
        <v>0.25950000000000001</v>
      </c>
      <c r="K6144" s="34">
        <f t="shared" si="192"/>
        <v>9549.6</v>
      </c>
      <c r="L6144" s="34">
        <v>2.15</v>
      </c>
      <c r="M6144" s="34">
        <v>79147</v>
      </c>
      <c r="N6144" s="34">
        <f t="shared" si="193"/>
        <v>8.2851637764932562</v>
      </c>
    </row>
    <row r="6145" spans="1:14" x14ac:dyDescent="0.45">
      <c r="A6145" s="30">
        <v>2025</v>
      </c>
      <c r="B6145" s="30" t="s">
        <v>15</v>
      </c>
      <c r="C6145" s="30" t="s">
        <v>46</v>
      </c>
      <c r="D6145" s="30" t="s">
        <v>47</v>
      </c>
      <c r="E6145" s="31" t="s">
        <v>477</v>
      </c>
      <c r="F6145" s="31" t="s">
        <v>54</v>
      </c>
      <c r="G6145" s="32" t="s">
        <v>50</v>
      </c>
      <c r="H6145" s="33">
        <v>35010</v>
      </c>
      <c r="I6145" s="34">
        <f>Table3[[#This Row],[Volume, kg.]]/1000</f>
        <v>35.01</v>
      </c>
      <c r="J6145" s="34">
        <v>0.23699999999999999</v>
      </c>
      <c r="K6145" s="34">
        <f t="shared" si="192"/>
        <v>8297.369999999999</v>
      </c>
      <c r="L6145" s="34">
        <v>2.02</v>
      </c>
      <c r="M6145" s="34">
        <v>70615</v>
      </c>
      <c r="N6145" s="34">
        <f t="shared" si="193"/>
        <v>8.5232067510548521</v>
      </c>
    </row>
    <row r="6146" spans="1:14" x14ac:dyDescent="0.45">
      <c r="A6146" s="30">
        <v>2025</v>
      </c>
      <c r="B6146" s="30" t="s">
        <v>15</v>
      </c>
      <c r="C6146" s="30" t="s">
        <v>46</v>
      </c>
      <c r="D6146" s="30" t="s">
        <v>47</v>
      </c>
      <c r="E6146" s="31" t="s">
        <v>204</v>
      </c>
      <c r="F6146" s="31" t="s">
        <v>49</v>
      </c>
      <c r="G6146" s="32" t="s">
        <v>50</v>
      </c>
      <c r="H6146" s="33">
        <v>275830</v>
      </c>
      <c r="I6146" s="34">
        <f>Table3[[#This Row],[Volume, kg.]]/1000</f>
        <v>275.83</v>
      </c>
      <c r="J6146" s="34">
        <v>0.25109999999999999</v>
      </c>
      <c r="K6146" s="34">
        <f t="shared" si="192"/>
        <v>69260.913</v>
      </c>
      <c r="L6146" s="34">
        <v>2.12</v>
      </c>
      <c r="M6146" s="34">
        <v>584000.5</v>
      </c>
      <c r="N6146" s="34">
        <f t="shared" si="193"/>
        <v>8.4428514536041419</v>
      </c>
    </row>
    <row r="6147" spans="1:14" x14ac:dyDescent="0.45">
      <c r="A6147" s="30">
        <v>2025</v>
      </c>
      <c r="B6147" s="30" t="s">
        <v>15</v>
      </c>
      <c r="C6147" s="30" t="s">
        <v>46</v>
      </c>
      <c r="D6147" s="30" t="s">
        <v>47</v>
      </c>
      <c r="E6147" s="31" t="s">
        <v>403</v>
      </c>
      <c r="F6147" s="31" t="s">
        <v>60</v>
      </c>
      <c r="G6147" s="32" t="s">
        <v>50</v>
      </c>
      <c r="H6147" s="33">
        <v>15670</v>
      </c>
      <c r="I6147" s="34">
        <f>Table3[[#This Row],[Volume, kg.]]/1000</f>
        <v>15.67</v>
      </c>
      <c r="J6147" s="34">
        <v>0.21840000000000001</v>
      </c>
      <c r="K6147" s="34">
        <f t="shared" si="192"/>
        <v>3422.328</v>
      </c>
      <c r="L6147" s="34">
        <v>1.94</v>
      </c>
      <c r="M6147" s="34">
        <v>30392</v>
      </c>
      <c r="N6147" s="34">
        <f t="shared" si="193"/>
        <v>8.8827838827838814</v>
      </c>
    </row>
    <row r="6148" spans="1:14" x14ac:dyDescent="0.45">
      <c r="A6148" s="30">
        <v>2025</v>
      </c>
      <c r="B6148" s="30" t="s">
        <v>15</v>
      </c>
      <c r="C6148" s="30" t="s">
        <v>46</v>
      </c>
      <c r="D6148" s="30" t="s">
        <v>47</v>
      </c>
      <c r="E6148" s="31" t="s">
        <v>540</v>
      </c>
      <c r="F6148" s="31" t="s">
        <v>49</v>
      </c>
      <c r="G6148" s="32" t="s">
        <v>50</v>
      </c>
      <c r="H6148" s="33">
        <v>14750</v>
      </c>
      <c r="I6148" s="34">
        <f>Table3[[#This Row],[Volume, kg.]]/1000</f>
        <v>14.75</v>
      </c>
      <c r="J6148" s="34">
        <v>0.21299999999999999</v>
      </c>
      <c r="K6148" s="34">
        <f t="shared" si="192"/>
        <v>3141.75</v>
      </c>
      <c r="L6148" s="34">
        <v>1.9</v>
      </c>
      <c r="M6148" s="34">
        <v>28025</v>
      </c>
      <c r="N6148" s="34">
        <f t="shared" si="193"/>
        <v>8.92018779342723</v>
      </c>
    </row>
    <row r="6149" spans="1:14" x14ac:dyDescent="0.45">
      <c r="A6149" s="30">
        <v>2025</v>
      </c>
      <c r="B6149" s="30" t="s">
        <v>15</v>
      </c>
      <c r="C6149" s="30" t="s">
        <v>46</v>
      </c>
      <c r="D6149" s="30" t="s">
        <v>102</v>
      </c>
      <c r="E6149" s="31" t="s">
        <v>157</v>
      </c>
      <c r="F6149" s="31" t="s">
        <v>127</v>
      </c>
      <c r="G6149" s="32" t="s">
        <v>128</v>
      </c>
      <c r="H6149" s="33">
        <v>393540</v>
      </c>
      <c r="I6149" s="34">
        <f>Table3[[#This Row],[Volume, kg.]]/1000</f>
        <v>393.54</v>
      </c>
      <c r="J6149" s="34">
        <v>0.253</v>
      </c>
      <c r="K6149" s="34">
        <f t="shared" si="192"/>
        <v>99565.62</v>
      </c>
      <c r="L6149" s="34">
        <v>2.23</v>
      </c>
      <c r="M6149" s="34">
        <v>876403.5</v>
      </c>
      <c r="N6149" s="34">
        <f t="shared" si="193"/>
        <v>8.8142292490118574</v>
      </c>
    </row>
    <row r="6150" spans="1:14" x14ac:dyDescent="0.45">
      <c r="A6150" s="30">
        <v>2025</v>
      </c>
      <c r="B6150" s="30" t="s">
        <v>15</v>
      </c>
      <c r="C6150" s="30" t="s">
        <v>46</v>
      </c>
      <c r="D6150" s="30" t="s">
        <v>47</v>
      </c>
      <c r="E6150" s="31" t="s">
        <v>75</v>
      </c>
      <c r="F6150" s="31" t="s">
        <v>49</v>
      </c>
      <c r="G6150" s="32" t="s">
        <v>50</v>
      </c>
      <c r="H6150" s="33">
        <v>77020</v>
      </c>
      <c r="I6150" s="34">
        <f>Table3[[#This Row],[Volume, kg.]]/1000</f>
        <v>77.02</v>
      </c>
      <c r="J6150" s="34">
        <v>0.23100000000000001</v>
      </c>
      <c r="K6150" s="34">
        <f t="shared" si="192"/>
        <v>17791.620000000003</v>
      </c>
      <c r="L6150" s="34">
        <v>2</v>
      </c>
      <c r="M6150" s="34">
        <v>154208</v>
      </c>
      <c r="N6150" s="34">
        <f t="shared" si="193"/>
        <v>8.6580086580086579</v>
      </c>
    </row>
    <row r="6151" spans="1:14" x14ac:dyDescent="0.45">
      <c r="A6151" s="30">
        <v>2025</v>
      </c>
      <c r="B6151" s="30" t="s">
        <v>15</v>
      </c>
      <c r="C6151" s="30" t="s">
        <v>46</v>
      </c>
      <c r="D6151" s="30" t="s">
        <v>47</v>
      </c>
      <c r="E6151" s="31" t="s">
        <v>97</v>
      </c>
      <c r="F6151" s="31" t="s">
        <v>49</v>
      </c>
      <c r="G6151" s="32" t="s">
        <v>50</v>
      </c>
      <c r="H6151" s="33">
        <v>107110</v>
      </c>
      <c r="I6151" s="34">
        <f>Table3[[#This Row],[Volume, kg.]]/1000</f>
        <v>107.11</v>
      </c>
      <c r="J6151" s="34">
        <v>0.23010000000000003</v>
      </c>
      <c r="K6151" s="34">
        <f t="shared" si="192"/>
        <v>24646.011000000002</v>
      </c>
      <c r="L6151" s="34">
        <v>1.99</v>
      </c>
      <c r="M6151" s="34">
        <v>213528.5</v>
      </c>
      <c r="N6151" s="34">
        <f t="shared" si="193"/>
        <v>8.6484137331594955</v>
      </c>
    </row>
    <row r="6152" spans="1:14" x14ac:dyDescent="0.45">
      <c r="A6152" s="30">
        <v>2025</v>
      </c>
      <c r="B6152" s="30" t="s">
        <v>15</v>
      </c>
      <c r="C6152" s="30" t="s">
        <v>46</v>
      </c>
      <c r="D6152" s="30" t="s">
        <v>47</v>
      </c>
      <c r="E6152" s="31" t="s">
        <v>355</v>
      </c>
      <c r="F6152" s="31" t="s">
        <v>60</v>
      </c>
      <c r="G6152" s="32" t="s">
        <v>50</v>
      </c>
      <c r="H6152" s="33">
        <v>79200</v>
      </c>
      <c r="I6152" s="34">
        <f>Table3[[#This Row],[Volume, kg.]]/1000</f>
        <v>79.2</v>
      </c>
      <c r="J6152" s="34">
        <v>0.24969999999999998</v>
      </c>
      <c r="K6152" s="34">
        <f t="shared" ref="K6152:K6215" si="194">H6152*J6152</f>
        <v>19776.239999999998</v>
      </c>
      <c r="L6152" s="34">
        <v>2.1</v>
      </c>
      <c r="M6152" s="34">
        <v>166464</v>
      </c>
      <c r="N6152" s="34">
        <f t="shared" ref="N6152:N6215" si="195">L6152/J6152</f>
        <v>8.4100921105326396</v>
      </c>
    </row>
    <row r="6153" spans="1:14" x14ac:dyDescent="0.45">
      <c r="A6153" s="30">
        <v>2025</v>
      </c>
      <c r="B6153" s="30" t="s">
        <v>15</v>
      </c>
      <c r="C6153" s="30" t="s">
        <v>46</v>
      </c>
      <c r="D6153" s="30" t="s">
        <v>47</v>
      </c>
      <c r="E6153" s="31" t="s">
        <v>96</v>
      </c>
      <c r="F6153" s="31" t="s">
        <v>49</v>
      </c>
      <c r="G6153" s="32" t="s">
        <v>50</v>
      </c>
      <c r="H6153" s="33">
        <v>53410</v>
      </c>
      <c r="I6153" s="34">
        <f>Table3[[#This Row],[Volume, kg.]]/1000</f>
        <v>53.41</v>
      </c>
      <c r="J6153" s="34">
        <v>0.24590000000000001</v>
      </c>
      <c r="K6153" s="34">
        <f t="shared" si="194"/>
        <v>13133.519</v>
      </c>
      <c r="L6153" s="34">
        <v>2.09</v>
      </c>
      <c r="M6153" s="34">
        <v>111536.5</v>
      </c>
      <c r="N6153" s="34">
        <f t="shared" si="195"/>
        <v>8.4993899959333046</v>
      </c>
    </row>
    <row r="6154" spans="1:14" x14ac:dyDescent="0.45">
      <c r="A6154" s="30">
        <v>2025</v>
      </c>
      <c r="B6154" s="30" t="s">
        <v>15</v>
      </c>
      <c r="C6154" s="30" t="s">
        <v>46</v>
      </c>
      <c r="D6154" s="30" t="s">
        <v>102</v>
      </c>
      <c r="E6154" s="31" t="s">
        <v>730</v>
      </c>
      <c r="F6154" s="31" t="s">
        <v>487</v>
      </c>
      <c r="G6154" s="32" t="s">
        <v>341</v>
      </c>
      <c r="H6154" s="33">
        <v>287950</v>
      </c>
      <c r="I6154" s="34">
        <f>Table3[[#This Row],[Volume, kg.]]/1000</f>
        <v>287.95</v>
      </c>
      <c r="J6154" s="34">
        <v>0.25509999999999999</v>
      </c>
      <c r="K6154" s="34">
        <f t="shared" si="194"/>
        <v>73456.044999999998</v>
      </c>
      <c r="L6154" s="34">
        <v>2.25</v>
      </c>
      <c r="M6154" s="34">
        <v>649216.5</v>
      </c>
      <c r="N6154" s="34">
        <f t="shared" si="195"/>
        <v>8.8200705605644849</v>
      </c>
    </row>
    <row r="6155" spans="1:14" x14ac:dyDescent="0.45">
      <c r="A6155" s="30">
        <v>2025</v>
      </c>
      <c r="B6155" s="30" t="s">
        <v>15</v>
      </c>
      <c r="C6155" s="30" t="s">
        <v>46</v>
      </c>
      <c r="D6155" s="30" t="s">
        <v>47</v>
      </c>
      <c r="E6155" s="31" t="s">
        <v>518</v>
      </c>
      <c r="F6155" s="31" t="s">
        <v>49</v>
      </c>
      <c r="G6155" s="32" t="s">
        <v>50</v>
      </c>
      <c r="H6155" s="33">
        <v>57300</v>
      </c>
      <c r="I6155" s="34">
        <f>Table3[[#This Row],[Volume, kg.]]/1000</f>
        <v>57.3</v>
      </c>
      <c r="J6155" s="34">
        <v>0.2437</v>
      </c>
      <c r="K6155" s="34">
        <f t="shared" si="194"/>
        <v>13964.01</v>
      </c>
      <c r="L6155" s="34">
        <v>2.08</v>
      </c>
      <c r="M6155" s="34">
        <v>119223</v>
      </c>
      <c r="N6155" s="34">
        <f t="shared" si="195"/>
        <v>8.5350841198194498</v>
      </c>
    </row>
    <row r="6156" spans="1:14" x14ac:dyDescent="0.45">
      <c r="A6156" s="30">
        <v>2025</v>
      </c>
      <c r="B6156" s="30" t="s">
        <v>15</v>
      </c>
      <c r="C6156" s="30" t="s">
        <v>46</v>
      </c>
      <c r="D6156" s="30" t="s">
        <v>47</v>
      </c>
      <c r="E6156" s="31" t="s">
        <v>87</v>
      </c>
      <c r="F6156" s="31" t="s">
        <v>49</v>
      </c>
      <c r="G6156" s="32" t="s">
        <v>50</v>
      </c>
      <c r="H6156" s="33">
        <v>10980</v>
      </c>
      <c r="I6156" s="34">
        <f>Table3[[#This Row],[Volume, kg.]]/1000</f>
        <v>10.98</v>
      </c>
      <c r="J6156" s="34">
        <v>0.26350000000000001</v>
      </c>
      <c r="K6156" s="34">
        <f t="shared" si="194"/>
        <v>2893.23</v>
      </c>
      <c r="L6156" s="34">
        <v>2.14</v>
      </c>
      <c r="M6156" s="34">
        <v>23507</v>
      </c>
      <c r="N6156" s="34">
        <f t="shared" si="195"/>
        <v>8.1214421252371913</v>
      </c>
    </row>
    <row r="6157" spans="1:14" x14ac:dyDescent="0.45">
      <c r="A6157" s="30">
        <v>2025</v>
      </c>
      <c r="B6157" s="30" t="s">
        <v>15</v>
      </c>
      <c r="C6157" s="30" t="s">
        <v>46</v>
      </c>
      <c r="D6157" s="30" t="s">
        <v>47</v>
      </c>
      <c r="E6157" s="31" t="s">
        <v>285</v>
      </c>
      <c r="F6157" s="31" t="s">
        <v>49</v>
      </c>
      <c r="G6157" s="32" t="s">
        <v>50</v>
      </c>
      <c r="H6157" s="33">
        <v>70690</v>
      </c>
      <c r="I6157" s="34">
        <f>Table3[[#This Row],[Volume, kg.]]/1000</f>
        <v>70.69</v>
      </c>
      <c r="J6157" s="34">
        <v>0.2228</v>
      </c>
      <c r="K6157" s="34">
        <f t="shared" si="194"/>
        <v>15749.732</v>
      </c>
      <c r="L6157" s="34">
        <v>1.98</v>
      </c>
      <c r="M6157" s="34">
        <v>139796.5</v>
      </c>
      <c r="N6157" s="34">
        <f t="shared" si="195"/>
        <v>8.8868940754039496</v>
      </c>
    </row>
    <row r="6158" spans="1:14" x14ac:dyDescent="0.45">
      <c r="A6158" s="30">
        <v>2025</v>
      </c>
      <c r="B6158" s="30" t="s">
        <v>15</v>
      </c>
      <c r="C6158" s="30" t="s">
        <v>46</v>
      </c>
      <c r="D6158" s="30" t="s">
        <v>47</v>
      </c>
      <c r="E6158" s="31" t="s">
        <v>508</v>
      </c>
      <c r="F6158" s="31" t="s">
        <v>60</v>
      </c>
      <c r="G6158" s="32" t="s">
        <v>50</v>
      </c>
      <c r="H6158" s="33">
        <v>91820</v>
      </c>
      <c r="I6158" s="34">
        <f>Table3[[#This Row],[Volume, kg.]]/1000</f>
        <v>91.82</v>
      </c>
      <c r="J6158" s="34">
        <v>0.26950000000000002</v>
      </c>
      <c r="K6158" s="34">
        <f t="shared" si="194"/>
        <v>24745.49</v>
      </c>
      <c r="L6158" s="34">
        <v>2.1800000000000002</v>
      </c>
      <c r="M6158" s="34">
        <v>200230.5</v>
      </c>
      <c r="N6158" s="34">
        <f t="shared" si="195"/>
        <v>8.0890538033395174</v>
      </c>
    </row>
    <row r="6159" spans="1:14" x14ac:dyDescent="0.45">
      <c r="A6159" s="30">
        <v>2025</v>
      </c>
      <c r="B6159" s="30" t="s">
        <v>15</v>
      </c>
      <c r="C6159" s="30" t="s">
        <v>46</v>
      </c>
      <c r="D6159" s="30" t="s">
        <v>47</v>
      </c>
      <c r="E6159" s="31" t="s">
        <v>430</v>
      </c>
      <c r="F6159" s="31" t="s">
        <v>49</v>
      </c>
      <c r="G6159" s="32" t="s">
        <v>50</v>
      </c>
      <c r="H6159" s="33">
        <v>3960</v>
      </c>
      <c r="I6159" s="34">
        <f>Table3[[#This Row],[Volume, kg.]]/1000</f>
        <v>3.96</v>
      </c>
      <c r="J6159" s="34">
        <v>0.19899999999999998</v>
      </c>
      <c r="K6159" s="34">
        <f t="shared" si="194"/>
        <v>788.04</v>
      </c>
      <c r="L6159" s="34">
        <v>1.85</v>
      </c>
      <c r="M6159" s="34">
        <v>7326</v>
      </c>
      <c r="N6159" s="34">
        <f t="shared" si="195"/>
        <v>9.2964824120603033</v>
      </c>
    </row>
    <row r="6160" spans="1:14" x14ac:dyDescent="0.45">
      <c r="A6160" s="30">
        <v>2025</v>
      </c>
      <c r="B6160" s="30" t="s">
        <v>15</v>
      </c>
      <c r="C6160" s="30" t="s">
        <v>46</v>
      </c>
      <c r="D6160" s="30" t="s">
        <v>47</v>
      </c>
      <c r="E6160" s="31" t="s">
        <v>453</v>
      </c>
      <c r="F6160" s="31" t="s">
        <v>57</v>
      </c>
      <c r="G6160" s="32" t="s">
        <v>50</v>
      </c>
      <c r="H6160" s="33">
        <v>170220</v>
      </c>
      <c r="I6160" s="34">
        <f>Table3[[#This Row],[Volume, kg.]]/1000</f>
        <v>170.22</v>
      </c>
      <c r="J6160" s="34">
        <v>0.25730000000000003</v>
      </c>
      <c r="K6160" s="34">
        <f t="shared" si="194"/>
        <v>43797.606000000007</v>
      </c>
      <c r="L6160" s="34">
        <v>2.15</v>
      </c>
      <c r="M6160" s="34">
        <v>365943.5</v>
      </c>
      <c r="N6160" s="34">
        <f t="shared" si="195"/>
        <v>8.3560046638165559</v>
      </c>
    </row>
    <row r="6161" spans="1:14" x14ac:dyDescent="0.45">
      <c r="A6161" s="30">
        <v>2025</v>
      </c>
      <c r="B6161" s="30" t="s">
        <v>15</v>
      </c>
      <c r="C6161" s="30" t="s">
        <v>46</v>
      </c>
      <c r="D6161" s="30" t="s">
        <v>47</v>
      </c>
      <c r="E6161" s="31" t="s">
        <v>227</v>
      </c>
      <c r="F6161" s="31" t="s">
        <v>57</v>
      </c>
      <c r="G6161" s="32" t="s">
        <v>50</v>
      </c>
      <c r="H6161" s="33">
        <v>38180</v>
      </c>
      <c r="I6161" s="34">
        <f>Table3[[#This Row],[Volume, kg.]]/1000</f>
        <v>38.18</v>
      </c>
      <c r="J6161" s="34">
        <v>0.23910000000000001</v>
      </c>
      <c r="K6161" s="34">
        <f t="shared" si="194"/>
        <v>9128.8379999999997</v>
      </c>
      <c r="L6161" s="34">
        <v>2.08</v>
      </c>
      <c r="M6161" s="34">
        <v>79338.5</v>
      </c>
      <c r="N6161" s="34">
        <f t="shared" si="195"/>
        <v>8.6992890004182346</v>
      </c>
    </row>
    <row r="6162" spans="1:14" x14ac:dyDescent="0.45">
      <c r="A6162" s="30">
        <v>2025</v>
      </c>
      <c r="B6162" s="30" t="s">
        <v>15</v>
      </c>
      <c r="C6162" s="30" t="s">
        <v>46</v>
      </c>
      <c r="D6162" s="30" t="s">
        <v>47</v>
      </c>
      <c r="E6162" s="31" t="s">
        <v>509</v>
      </c>
      <c r="F6162" s="31" t="s">
        <v>49</v>
      </c>
      <c r="G6162" s="32" t="s">
        <v>50</v>
      </c>
      <c r="H6162" s="33">
        <v>42180</v>
      </c>
      <c r="I6162" s="34">
        <f>Table3[[#This Row],[Volume, kg.]]/1000</f>
        <v>42.18</v>
      </c>
      <c r="J6162" s="34">
        <v>0.23649999999999999</v>
      </c>
      <c r="K6162" s="34">
        <f t="shared" si="194"/>
        <v>9975.57</v>
      </c>
      <c r="L6162" s="34">
        <v>2.08</v>
      </c>
      <c r="M6162" s="34">
        <v>87916.5</v>
      </c>
      <c r="N6162" s="34">
        <f t="shared" si="195"/>
        <v>8.7949260042283299</v>
      </c>
    </row>
    <row r="6163" spans="1:14" x14ac:dyDescent="0.45">
      <c r="A6163" s="30">
        <v>2025</v>
      </c>
      <c r="B6163" s="30" t="s">
        <v>15</v>
      </c>
      <c r="C6163" s="30" t="s">
        <v>46</v>
      </c>
      <c r="D6163" s="30" t="s">
        <v>47</v>
      </c>
      <c r="E6163" s="31" t="s">
        <v>66</v>
      </c>
      <c r="F6163" s="31" t="s">
        <v>49</v>
      </c>
      <c r="G6163" s="32" t="s">
        <v>50</v>
      </c>
      <c r="H6163" s="33">
        <v>22720</v>
      </c>
      <c r="I6163" s="34">
        <f>Table3[[#This Row],[Volume, kg.]]/1000</f>
        <v>22.72</v>
      </c>
      <c r="J6163" s="34">
        <v>0.24600000000000002</v>
      </c>
      <c r="K6163" s="34">
        <f t="shared" si="194"/>
        <v>5589.1200000000008</v>
      </c>
      <c r="L6163" s="34">
        <v>2.09</v>
      </c>
      <c r="M6163" s="34">
        <v>47555</v>
      </c>
      <c r="N6163" s="34">
        <f t="shared" si="195"/>
        <v>8.4959349593495919</v>
      </c>
    </row>
    <row r="6164" spans="1:14" x14ac:dyDescent="0.45">
      <c r="A6164" s="30">
        <v>2025</v>
      </c>
      <c r="B6164" s="30" t="s">
        <v>15</v>
      </c>
      <c r="C6164" s="30" t="s">
        <v>46</v>
      </c>
      <c r="D6164" s="30" t="s">
        <v>47</v>
      </c>
      <c r="E6164" s="31" t="s">
        <v>159</v>
      </c>
      <c r="F6164" s="31" t="s">
        <v>81</v>
      </c>
      <c r="G6164" s="32" t="s">
        <v>50</v>
      </c>
      <c r="H6164" s="33">
        <v>126910</v>
      </c>
      <c r="I6164" s="34">
        <f>Table3[[#This Row],[Volume, kg.]]/1000</f>
        <v>126.91</v>
      </c>
      <c r="J6164" s="34">
        <v>0.25559999999999999</v>
      </c>
      <c r="K6164" s="34">
        <f t="shared" si="194"/>
        <v>32438.196</v>
      </c>
      <c r="L6164" s="34">
        <v>2.16</v>
      </c>
      <c r="M6164" s="34">
        <v>274140.5</v>
      </c>
      <c r="N6164" s="34">
        <f t="shared" si="195"/>
        <v>8.4507042253521139</v>
      </c>
    </row>
    <row r="6165" spans="1:14" x14ac:dyDescent="0.45">
      <c r="A6165" s="30">
        <v>2025</v>
      </c>
      <c r="B6165" s="30" t="s">
        <v>15</v>
      </c>
      <c r="C6165" s="30" t="s">
        <v>46</v>
      </c>
      <c r="D6165" s="30" t="s">
        <v>47</v>
      </c>
      <c r="E6165" s="31" t="s">
        <v>405</v>
      </c>
      <c r="F6165" s="31" t="s">
        <v>240</v>
      </c>
      <c r="G6165" s="32" t="s">
        <v>50</v>
      </c>
      <c r="H6165" s="33">
        <v>51090</v>
      </c>
      <c r="I6165" s="34">
        <f>Table3[[#This Row],[Volume, kg.]]/1000</f>
        <v>51.09</v>
      </c>
      <c r="J6165" s="34">
        <v>0.222</v>
      </c>
      <c r="K6165" s="34">
        <f t="shared" si="194"/>
        <v>11341.98</v>
      </c>
      <c r="L6165" s="34">
        <v>1.97</v>
      </c>
      <c r="M6165" s="34">
        <v>100634.5</v>
      </c>
      <c r="N6165" s="34">
        <f t="shared" si="195"/>
        <v>8.8738738738738743</v>
      </c>
    </row>
    <row r="6166" spans="1:14" x14ac:dyDescent="0.45">
      <c r="A6166" s="30">
        <v>2025</v>
      </c>
      <c r="B6166" s="30" t="s">
        <v>15</v>
      </c>
      <c r="C6166" s="30" t="s">
        <v>46</v>
      </c>
      <c r="D6166" s="30" t="s">
        <v>47</v>
      </c>
      <c r="E6166" s="31" t="s">
        <v>255</v>
      </c>
      <c r="F6166" s="31" t="s">
        <v>60</v>
      </c>
      <c r="G6166" s="32" t="s">
        <v>50</v>
      </c>
      <c r="H6166" s="33">
        <v>68530</v>
      </c>
      <c r="I6166" s="34">
        <f>Table3[[#This Row],[Volume, kg.]]/1000</f>
        <v>68.53</v>
      </c>
      <c r="J6166" s="34">
        <v>0.25120000000000003</v>
      </c>
      <c r="K6166" s="34">
        <f t="shared" si="194"/>
        <v>17214.736000000001</v>
      </c>
      <c r="L6166" s="34">
        <v>2.12</v>
      </c>
      <c r="M6166" s="34">
        <v>145156.5</v>
      </c>
      <c r="N6166" s="34">
        <f t="shared" si="195"/>
        <v>8.4394904458598727</v>
      </c>
    </row>
    <row r="6167" spans="1:14" x14ac:dyDescent="0.45">
      <c r="A6167" s="30">
        <v>2025</v>
      </c>
      <c r="B6167" s="30" t="s">
        <v>15</v>
      </c>
      <c r="C6167" s="30" t="s">
        <v>46</v>
      </c>
      <c r="D6167" s="30" t="s">
        <v>47</v>
      </c>
      <c r="E6167" s="31" t="s">
        <v>309</v>
      </c>
      <c r="F6167" s="31" t="s">
        <v>81</v>
      </c>
      <c r="G6167" s="32" t="s">
        <v>50</v>
      </c>
      <c r="H6167" s="33">
        <v>33460</v>
      </c>
      <c r="I6167" s="34">
        <f>Table3[[#This Row],[Volume, kg.]]/1000</f>
        <v>33.46</v>
      </c>
      <c r="J6167" s="34">
        <v>0.21179999999999999</v>
      </c>
      <c r="K6167" s="34">
        <f t="shared" si="194"/>
        <v>7086.8279999999995</v>
      </c>
      <c r="L6167" s="34">
        <v>1.93</v>
      </c>
      <c r="M6167" s="34">
        <v>64741.5</v>
      </c>
      <c r="N6167" s="34">
        <f t="shared" si="195"/>
        <v>9.1123701605288012</v>
      </c>
    </row>
    <row r="6168" spans="1:14" x14ac:dyDescent="0.45">
      <c r="A6168" s="30">
        <v>2025</v>
      </c>
      <c r="B6168" s="30" t="s">
        <v>15</v>
      </c>
      <c r="C6168" s="30" t="s">
        <v>46</v>
      </c>
      <c r="D6168" s="30" t="s">
        <v>47</v>
      </c>
      <c r="E6168" s="31" t="s">
        <v>510</v>
      </c>
      <c r="F6168" s="31" t="s">
        <v>49</v>
      </c>
      <c r="G6168" s="32" t="s">
        <v>50</v>
      </c>
      <c r="H6168" s="33">
        <v>43570</v>
      </c>
      <c r="I6168" s="34">
        <f>Table3[[#This Row],[Volume, kg.]]/1000</f>
        <v>43.57</v>
      </c>
      <c r="J6168" s="34">
        <v>0.24420000000000003</v>
      </c>
      <c r="K6168" s="34">
        <f t="shared" si="194"/>
        <v>10639.794000000002</v>
      </c>
      <c r="L6168" s="34">
        <v>2.0499999999999998</v>
      </c>
      <c r="M6168" s="34">
        <v>89376</v>
      </c>
      <c r="N6168" s="34">
        <f t="shared" si="195"/>
        <v>8.3947583947583926</v>
      </c>
    </row>
    <row r="6169" spans="1:14" x14ac:dyDescent="0.45">
      <c r="A6169" s="30">
        <v>2025</v>
      </c>
      <c r="B6169" s="30" t="s">
        <v>15</v>
      </c>
      <c r="C6169" s="30" t="s">
        <v>46</v>
      </c>
      <c r="D6169" s="30" t="s">
        <v>47</v>
      </c>
      <c r="E6169" s="31" t="s">
        <v>136</v>
      </c>
      <c r="F6169" s="31" t="s">
        <v>49</v>
      </c>
      <c r="G6169" s="32" t="s">
        <v>50</v>
      </c>
      <c r="H6169" s="33">
        <v>54620</v>
      </c>
      <c r="I6169" s="34">
        <f>Table3[[#This Row],[Volume, kg.]]/1000</f>
        <v>54.62</v>
      </c>
      <c r="J6169" s="34">
        <v>0.25900000000000001</v>
      </c>
      <c r="K6169" s="34">
        <f t="shared" si="194"/>
        <v>14146.58</v>
      </c>
      <c r="L6169" s="34">
        <v>2.16</v>
      </c>
      <c r="M6169" s="34">
        <v>117711</v>
      </c>
      <c r="N6169" s="34">
        <f t="shared" si="195"/>
        <v>8.3397683397683409</v>
      </c>
    </row>
    <row r="6170" spans="1:14" x14ac:dyDescent="0.45">
      <c r="A6170" s="30">
        <v>2025</v>
      </c>
      <c r="B6170" s="30" t="s">
        <v>15</v>
      </c>
      <c r="C6170" s="30" t="s">
        <v>46</v>
      </c>
      <c r="D6170" s="30" t="s">
        <v>47</v>
      </c>
      <c r="E6170" s="31" t="s">
        <v>316</v>
      </c>
      <c r="F6170" s="31" t="s">
        <v>57</v>
      </c>
      <c r="G6170" s="32" t="s">
        <v>50</v>
      </c>
      <c r="H6170" s="33">
        <v>46860</v>
      </c>
      <c r="I6170" s="34">
        <f>Table3[[#This Row],[Volume, kg.]]/1000</f>
        <v>46.86</v>
      </c>
      <c r="J6170" s="34">
        <v>0.24379999999999999</v>
      </c>
      <c r="K6170" s="34">
        <f t="shared" si="194"/>
        <v>11424.467999999999</v>
      </c>
      <c r="L6170" s="34">
        <v>2.09</v>
      </c>
      <c r="M6170" s="34">
        <v>97816</v>
      </c>
      <c r="N6170" s="34">
        <f t="shared" si="195"/>
        <v>8.5726004922067265</v>
      </c>
    </row>
    <row r="6171" spans="1:14" x14ac:dyDescent="0.45">
      <c r="A6171" s="30">
        <v>2025</v>
      </c>
      <c r="B6171" s="30" t="s">
        <v>15</v>
      </c>
      <c r="C6171" s="30" t="s">
        <v>46</v>
      </c>
      <c r="D6171" s="30" t="s">
        <v>47</v>
      </c>
      <c r="E6171" s="31" t="s">
        <v>482</v>
      </c>
      <c r="F6171" s="31" t="s">
        <v>49</v>
      </c>
      <c r="G6171" s="32" t="s">
        <v>50</v>
      </c>
      <c r="H6171" s="33">
        <v>31040</v>
      </c>
      <c r="I6171" s="34">
        <f>Table3[[#This Row],[Volume, kg.]]/1000</f>
        <v>31.04</v>
      </c>
      <c r="J6171" s="34">
        <v>0.25120000000000003</v>
      </c>
      <c r="K6171" s="34">
        <f t="shared" si="194"/>
        <v>7797.2480000000014</v>
      </c>
      <c r="L6171" s="34">
        <v>2.0499999999999998</v>
      </c>
      <c r="M6171" s="34">
        <v>63632</v>
      </c>
      <c r="N6171" s="34">
        <f t="shared" si="195"/>
        <v>8.1608280254777057</v>
      </c>
    </row>
    <row r="6172" spans="1:14" x14ac:dyDescent="0.45">
      <c r="A6172" s="30">
        <v>2025</v>
      </c>
      <c r="B6172" s="30" t="s">
        <v>15</v>
      </c>
      <c r="C6172" s="30" t="s">
        <v>46</v>
      </c>
      <c r="D6172" s="30" t="s">
        <v>47</v>
      </c>
      <c r="E6172" s="31" t="s">
        <v>53</v>
      </c>
      <c r="F6172" s="31" t="s">
        <v>54</v>
      </c>
      <c r="G6172" s="32" t="s">
        <v>50</v>
      </c>
      <c r="H6172" s="33">
        <v>19180</v>
      </c>
      <c r="I6172" s="34">
        <f>Table3[[#This Row],[Volume, kg.]]/1000</f>
        <v>19.18</v>
      </c>
      <c r="J6172" s="34">
        <v>0.22550000000000001</v>
      </c>
      <c r="K6172" s="34">
        <f t="shared" si="194"/>
        <v>4325.09</v>
      </c>
      <c r="L6172" s="34">
        <v>2.02</v>
      </c>
      <c r="M6172" s="34">
        <v>38667</v>
      </c>
      <c r="N6172" s="34">
        <f t="shared" si="195"/>
        <v>8.9578713968957864</v>
      </c>
    </row>
    <row r="6173" spans="1:14" x14ac:dyDescent="0.45">
      <c r="A6173" s="30">
        <v>2025</v>
      </c>
      <c r="B6173" s="30" t="s">
        <v>15</v>
      </c>
      <c r="C6173" s="30" t="s">
        <v>46</v>
      </c>
      <c r="D6173" s="30" t="s">
        <v>47</v>
      </c>
      <c r="E6173" s="31" t="s">
        <v>151</v>
      </c>
      <c r="F6173" s="31" t="s">
        <v>60</v>
      </c>
      <c r="G6173" s="32" t="s">
        <v>50</v>
      </c>
      <c r="H6173" s="33">
        <v>77900</v>
      </c>
      <c r="I6173" s="34">
        <f>Table3[[#This Row],[Volume, kg.]]/1000</f>
        <v>77.900000000000006</v>
      </c>
      <c r="J6173" s="34">
        <v>0.26179999999999998</v>
      </c>
      <c r="K6173" s="34">
        <f t="shared" si="194"/>
        <v>20394.219999999998</v>
      </c>
      <c r="L6173" s="34">
        <v>2.1800000000000002</v>
      </c>
      <c r="M6173" s="34">
        <v>170038</v>
      </c>
      <c r="N6173" s="34">
        <f t="shared" si="195"/>
        <v>8.3269671504965643</v>
      </c>
    </row>
    <row r="6174" spans="1:14" x14ac:dyDescent="0.45">
      <c r="A6174" s="30">
        <v>2025</v>
      </c>
      <c r="B6174" s="30" t="s">
        <v>15</v>
      </c>
      <c r="C6174" s="30" t="s">
        <v>46</v>
      </c>
      <c r="D6174" s="30" t="s">
        <v>47</v>
      </c>
      <c r="E6174" s="31" t="s">
        <v>78</v>
      </c>
      <c r="F6174" s="31" t="s">
        <v>49</v>
      </c>
      <c r="G6174" s="32" t="s">
        <v>50</v>
      </c>
      <c r="H6174" s="33">
        <v>8750</v>
      </c>
      <c r="I6174" s="34">
        <f>Table3[[#This Row],[Volume, kg.]]/1000</f>
        <v>8.75</v>
      </c>
      <c r="J6174" s="34">
        <v>0.26800000000000002</v>
      </c>
      <c r="K6174" s="34">
        <f t="shared" si="194"/>
        <v>2345</v>
      </c>
      <c r="L6174" s="34">
        <v>2.2000000000000002</v>
      </c>
      <c r="M6174" s="34">
        <v>19250</v>
      </c>
      <c r="N6174" s="34">
        <f t="shared" si="195"/>
        <v>8.2089552238805972</v>
      </c>
    </row>
    <row r="6175" spans="1:14" x14ac:dyDescent="0.45">
      <c r="A6175" s="30">
        <v>2025</v>
      </c>
      <c r="B6175" s="30" t="s">
        <v>15</v>
      </c>
      <c r="C6175" s="30" t="s">
        <v>46</v>
      </c>
      <c r="D6175" s="30" t="s">
        <v>47</v>
      </c>
      <c r="E6175" s="31" t="s">
        <v>252</v>
      </c>
      <c r="F6175" s="31" t="s">
        <v>49</v>
      </c>
      <c r="G6175" s="32" t="s">
        <v>50</v>
      </c>
      <c r="H6175" s="33">
        <v>57060</v>
      </c>
      <c r="I6175" s="34">
        <f>Table3[[#This Row],[Volume, kg.]]/1000</f>
        <v>57.06</v>
      </c>
      <c r="J6175" s="34">
        <v>0.25140000000000001</v>
      </c>
      <c r="K6175" s="34">
        <f t="shared" si="194"/>
        <v>14344.884</v>
      </c>
      <c r="L6175" s="34">
        <v>2.11</v>
      </c>
      <c r="M6175" s="34">
        <v>120186</v>
      </c>
      <c r="N6175" s="34">
        <f t="shared" si="195"/>
        <v>8.3929992044550517</v>
      </c>
    </row>
    <row r="6176" spans="1:14" x14ac:dyDescent="0.45">
      <c r="A6176" s="30">
        <v>2025</v>
      </c>
      <c r="B6176" s="30" t="s">
        <v>15</v>
      </c>
      <c r="C6176" s="30" t="s">
        <v>46</v>
      </c>
      <c r="D6176" s="30" t="s">
        <v>47</v>
      </c>
      <c r="E6176" s="31" t="s">
        <v>95</v>
      </c>
      <c r="F6176" s="31" t="s">
        <v>49</v>
      </c>
      <c r="G6176" s="32" t="s">
        <v>50</v>
      </c>
      <c r="H6176" s="33">
        <v>44810</v>
      </c>
      <c r="I6176" s="34">
        <f>Table3[[#This Row],[Volume, kg.]]/1000</f>
        <v>44.81</v>
      </c>
      <c r="J6176" s="34">
        <v>0.23960000000000001</v>
      </c>
      <c r="K6176" s="34">
        <f t="shared" si="194"/>
        <v>10736.476000000001</v>
      </c>
      <c r="L6176" s="34">
        <v>2.0499999999999998</v>
      </c>
      <c r="M6176" s="34">
        <v>92020.5</v>
      </c>
      <c r="N6176" s="34">
        <f t="shared" si="195"/>
        <v>8.5559265442403998</v>
      </c>
    </row>
    <row r="6177" spans="1:14" x14ac:dyDescent="0.45">
      <c r="A6177" s="30">
        <v>2025</v>
      </c>
      <c r="B6177" s="30" t="s">
        <v>15</v>
      </c>
      <c r="C6177" s="30" t="s">
        <v>46</v>
      </c>
      <c r="D6177" s="30" t="s">
        <v>47</v>
      </c>
      <c r="E6177" s="31" t="s">
        <v>205</v>
      </c>
      <c r="F6177" s="31" t="s">
        <v>49</v>
      </c>
      <c r="G6177" s="32" t="s">
        <v>50</v>
      </c>
      <c r="H6177" s="33">
        <v>68970</v>
      </c>
      <c r="I6177" s="34">
        <f>Table3[[#This Row],[Volume, kg.]]/1000</f>
        <v>68.97</v>
      </c>
      <c r="J6177" s="34">
        <v>0.25259999999999999</v>
      </c>
      <c r="K6177" s="34">
        <f t="shared" si="194"/>
        <v>17421.822</v>
      </c>
      <c r="L6177" s="34">
        <v>2.13</v>
      </c>
      <c r="M6177" s="34">
        <v>146996</v>
      </c>
      <c r="N6177" s="34">
        <f t="shared" si="195"/>
        <v>8.4323040380047498</v>
      </c>
    </row>
    <row r="6178" spans="1:14" x14ac:dyDescent="0.45">
      <c r="A6178" s="30">
        <v>2025</v>
      </c>
      <c r="B6178" s="30" t="s">
        <v>15</v>
      </c>
      <c r="C6178" s="30" t="s">
        <v>46</v>
      </c>
      <c r="D6178" s="30" t="s">
        <v>102</v>
      </c>
      <c r="E6178" s="31" t="s">
        <v>366</v>
      </c>
      <c r="F6178" s="31" t="s">
        <v>367</v>
      </c>
      <c r="G6178" s="32" t="s">
        <v>368</v>
      </c>
      <c r="H6178" s="33">
        <v>82650</v>
      </c>
      <c r="I6178" s="34">
        <f>Table3[[#This Row],[Volume, kg.]]/1000</f>
        <v>82.65</v>
      </c>
      <c r="J6178" s="34">
        <v>0.24489999999999998</v>
      </c>
      <c r="K6178" s="34">
        <f t="shared" si="194"/>
        <v>20240.984999999997</v>
      </c>
      <c r="L6178" s="34">
        <v>2.19</v>
      </c>
      <c r="M6178" s="34">
        <v>181057</v>
      </c>
      <c r="N6178" s="34">
        <f t="shared" si="195"/>
        <v>8.9424254797876692</v>
      </c>
    </row>
    <row r="6179" spans="1:14" x14ac:dyDescent="0.45">
      <c r="A6179" s="30">
        <v>2025</v>
      </c>
      <c r="B6179" s="30" t="s">
        <v>15</v>
      </c>
      <c r="C6179" s="30" t="s">
        <v>46</v>
      </c>
      <c r="D6179" s="30" t="s">
        <v>47</v>
      </c>
      <c r="E6179" s="31" t="s">
        <v>413</v>
      </c>
      <c r="F6179" s="31" t="s">
        <v>49</v>
      </c>
      <c r="G6179" s="32" t="s">
        <v>50</v>
      </c>
      <c r="H6179" s="33">
        <v>31300</v>
      </c>
      <c r="I6179" s="34">
        <f>Table3[[#This Row],[Volume, kg.]]/1000</f>
        <v>31.3</v>
      </c>
      <c r="J6179" s="34">
        <v>0.20960000000000001</v>
      </c>
      <c r="K6179" s="34">
        <f t="shared" si="194"/>
        <v>6560.4800000000005</v>
      </c>
      <c r="L6179" s="34">
        <v>1.91</v>
      </c>
      <c r="M6179" s="34">
        <v>59662.5</v>
      </c>
      <c r="N6179" s="34">
        <f t="shared" si="195"/>
        <v>9.1125954198473273</v>
      </c>
    </row>
    <row r="6180" spans="1:14" x14ac:dyDescent="0.45">
      <c r="A6180" s="30">
        <v>2025</v>
      </c>
      <c r="B6180" s="30" t="s">
        <v>15</v>
      </c>
      <c r="C6180" s="30" t="s">
        <v>46</v>
      </c>
      <c r="D6180" s="30" t="s">
        <v>102</v>
      </c>
      <c r="E6180" s="31" t="s">
        <v>418</v>
      </c>
      <c r="F6180" s="31" t="s">
        <v>104</v>
      </c>
      <c r="G6180" s="32" t="s">
        <v>105</v>
      </c>
      <c r="H6180" s="33">
        <v>315780</v>
      </c>
      <c r="I6180" s="34">
        <f>Table3[[#This Row],[Volume, kg.]]/1000</f>
        <v>315.77999999999997</v>
      </c>
      <c r="J6180" s="34">
        <v>0.23530000000000001</v>
      </c>
      <c r="K6180" s="34">
        <f t="shared" si="194"/>
        <v>74303.034</v>
      </c>
      <c r="L6180" s="34">
        <v>2.17</v>
      </c>
      <c r="M6180" s="34">
        <v>686032</v>
      </c>
      <c r="N6180" s="34">
        <f t="shared" si="195"/>
        <v>9.222269443263917</v>
      </c>
    </row>
    <row r="6181" spans="1:14" x14ac:dyDescent="0.45">
      <c r="A6181" s="30">
        <v>2025</v>
      </c>
      <c r="B6181" s="30" t="s">
        <v>15</v>
      </c>
      <c r="C6181" s="30" t="s">
        <v>46</v>
      </c>
      <c r="D6181" s="30" t="s">
        <v>47</v>
      </c>
      <c r="E6181" s="31" t="s">
        <v>488</v>
      </c>
      <c r="F6181" s="31" t="s">
        <v>57</v>
      </c>
      <c r="G6181" s="32" t="s">
        <v>50</v>
      </c>
      <c r="H6181" s="33">
        <v>109850</v>
      </c>
      <c r="I6181" s="34">
        <f>Table3[[#This Row],[Volume, kg.]]/1000</f>
        <v>109.85</v>
      </c>
      <c r="J6181" s="34">
        <v>0.25619999999999998</v>
      </c>
      <c r="K6181" s="34">
        <f t="shared" si="194"/>
        <v>28143.57</v>
      </c>
      <c r="L6181" s="34">
        <v>2.14</v>
      </c>
      <c r="M6181" s="34">
        <v>235315</v>
      </c>
      <c r="N6181" s="34">
        <f t="shared" si="195"/>
        <v>8.3528493364558951</v>
      </c>
    </row>
    <row r="6182" spans="1:14" x14ac:dyDescent="0.45">
      <c r="A6182" s="30">
        <v>2025</v>
      </c>
      <c r="B6182" s="30" t="s">
        <v>15</v>
      </c>
      <c r="C6182" s="30" t="s">
        <v>46</v>
      </c>
      <c r="D6182" s="30" t="s">
        <v>47</v>
      </c>
      <c r="E6182" s="31" t="s">
        <v>489</v>
      </c>
      <c r="F6182" s="31" t="s">
        <v>81</v>
      </c>
      <c r="G6182" s="32" t="s">
        <v>50</v>
      </c>
      <c r="H6182" s="33">
        <v>3240</v>
      </c>
      <c r="I6182" s="34">
        <f>Table3[[#This Row],[Volume, kg.]]/1000</f>
        <v>3.24</v>
      </c>
      <c r="J6182" s="34">
        <v>0.24559999999999998</v>
      </c>
      <c r="K6182" s="34">
        <f t="shared" si="194"/>
        <v>795.74399999999991</v>
      </c>
      <c r="L6182" s="34">
        <v>2.0699999999999998</v>
      </c>
      <c r="M6182" s="34">
        <v>6721.5</v>
      </c>
      <c r="N6182" s="34">
        <f t="shared" si="195"/>
        <v>8.4283387622149828</v>
      </c>
    </row>
    <row r="6183" spans="1:14" x14ac:dyDescent="0.45">
      <c r="A6183" s="30">
        <v>2025</v>
      </c>
      <c r="B6183" s="30" t="s">
        <v>15</v>
      </c>
      <c r="C6183" s="30" t="s">
        <v>46</v>
      </c>
      <c r="D6183" s="30" t="s">
        <v>47</v>
      </c>
      <c r="E6183" s="31" t="s">
        <v>512</v>
      </c>
      <c r="F6183" s="31" t="s">
        <v>81</v>
      </c>
      <c r="G6183" s="32" t="s">
        <v>50</v>
      </c>
      <c r="H6183" s="33">
        <v>5530</v>
      </c>
      <c r="I6183" s="34">
        <f>Table3[[#This Row],[Volume, kg.]]/1000</f>
        <v>5.53</v>
      </c>
      <c r="J6183" s="34">
        <v>0.251</v>
      </c>
      <c r="K6183" s="34">
        <f t="shared" si="194"/>
        <v>1388.03</v>
      </c>
      <c r="L6183" s="34">
        <v>2.1</v>
      </c>
      <c r="M6183" s="34">
        <v>11613</v>
      </c>
      <c r="N6183" s="34">
        <f t="shared" si="195"/>
        <v>8.3665338645418323</v>
      </c>
    </row>
    <row r="6184" spans="1:14" x14ac:dyDescent="0.45">
      <c r="A6184" s="30">
        <v>2025</v>
      </c>
      <c r="B6184" s="30" t="s">
        <v>15</v>
      </c>
      <c r="C6184" s="30" t="s">
        <v>46</v>
      </c>
      <c r="D6184" s="30" t="s">
        <v>47</v>
      </c>
      <c r="E6184" s="31" t="s">
        <v>517</v>
      </c>
      <c r="F6184" s="31" t="s">
        <v>57</v>
      </c>
      <c r="G6184" s="32" t="s">
        <v>50</v>
      </c>
      <c r="H6184" s="33">
        <v>89540</v>
      </c>
      <c r="I6184" s="34">
        <f>Table3[[#This Row],[Volume, kg.]]/1000</f>
        <v>89.54</v>
      </c>
      <c r="J6184" s="34">
        <v>0.2515</v>
      </c>
      <c r="K6184" s="34">
        <f t="shared" si="194"/>
        <v>22519.31</v>
      </c>
      <c r="L6184" s="34">
        <v>2.11</v>
      </c>
      <c r="M6184" s="34">
        <v>189373.5</v>
      </c>
      <c r="N6184" s="34">
        <f t="shared" si="195"/>
        <v>8.3896620278330012</v>
      </c>
    </row>
    <row r="6185" spans="1:14" x14ac:dyDescent="0.45">
      <c r="A6185" s="30">
        <v>2025</v>
      </c>
      <c r="B6185" s="30" t="s">
        <v>15</v>
      </c>
      <c r="C6185" s="30" t="s">
        <v>46</v>
      </c>
      <c r="D6185" s="30" t="s">
        <v>47</v>
      </c>
      <c r="E6185" s="31" t="s">
        <v>603</v>
      </c>
      <c r="F6185" s="31" t="s">
        <v>49</v>
      </c>
      <c r="G6185" s="32" t="s">
        <v>50</v>
      </c>
      <c r="H6185" s="33">
        <v>86380</v>
      </c>
      <c r="I6185" s="34">
        <f>Table3[[#This Row],[Volume, kg.]]/1000</f>
        <v>86.38</v>
      </c>
      <c r="J6185" s="34">
        <v>0.23760000000000001</v>
      </c>
      <c r="K6185" s="34">
        <f t="shared" si="194"/>
        <v>20523.887999999999</v>
      </c>
      <c r="L6185" s="34">
        <v>2.04</v>
      </c>
      <c r="M6185" s="34">
        <v>176371.5</v>
      </c>
      <c r="N6185" s="34">
        <f t="shared" si="195"/>
        <v>8.5858585858585865</v>
      </c>
    </row>
    <row r="6186" spans="1:14" x14ac:dyDescent="0.45">
      <c r="A6186" s="30">
        <v>2025</v>
      </c>
      <c r="B6186" s="30" t="s">
        <v>15</v>
      </c>
      <c r="C6186" s="30" t="s">
        <v>46</v>
      </c>
      <c r="D6186" s="30" t="s">
        <v>47</v>
      </c>
      <c r="E6186" s="31" t="s">
        <v>590</v>
      </c>
      <c r="F6186" s="31" t="s">
        <v>49</v>
      </c>
      <c r="G6186" s="32" t="s">
        <v>50</v>
      </c>
      <c r="H6186" s="33">
        <v>8520</v>
      </c>
      <c r="I6186" s="34">
        <f>Table3[[#This Row],[Volume, kg.]]/1000</f>
        <v>8.52</v>
      </c>
      <c r="J6186" s="34">
        <v>0.218</v>
      </c>
      <c r="K6186" s="34">
        <f t="shared" si="194"/>
        <v>1857.36</v>
      </c>
      <c r="L6186" s="34">
        <v>1.95</v>
      </c>
      <c r="M6186" s="34">
        <v>16614</v>
      </c>
      <c r="N6186" s="34">
        <f t="shared" si="195"/>
        <v>8.9449541284403669</v>
      </c>
    </row>
    <row r="6187" spans="1:14" x14ac:dyDescent="0.45">
      <c r="A6187" s="30">
        <v>2025</v>
      </c>
      <c r="B6187" s="30" t="s">
        <v>15</v>
      </c>
      <c r="C6187" s="30" t="s">
        <v>46</v>
      </c>
      <c r="D6187" s="30" t="s">
        <v>47</v>
      </c>
      <c r="E6187" s="31" t="s">
        <v>593</v>
      </c>
      <c r="F6187" s="31" t="s">
        <v>49</v>
      </c>
      <c r="G6187" s="32" t="s">
        <v>50</v>
      </c>
      <c r="H6187" s="33">
        <v>130830</v>
      </c>
      <c r="I6187" s="34">
        <f>Table3[[#This Row],[Volume, kg.]]/1000</f>
        <v>130.83000000000001</v>
      </c>
      <c r="J6187" s="34">
        <v>0.24179999999999999</v>
      </c>
      <c r="K6187" s="34">
        <f t="shared" si="194"/>
        <v>31634.694</v>
      </c>
      <c r="L6187" s="34">
        <v>2.0699999999999998</v>
      </c>
      <c r="M6187" s="34">
        <v>271161</v>
      </c>
      <c r="N6187" s="34">
        <f t="shared" si="195"/>
        <v>8.5607940446650126</v>
      </c>
    </row>
    <row r="6188" spans="1:14" x14ac:dyDescent="0.45">
      <c r="A6188" s="30">
        <v>2025</v>
      </c>
      <c r="B6188" s="30" t="s">
        <v>15</v>
      </c>
      <c r="C6188" s="30" t="s">
        <v>46</v>
      </c>
      <c r="D6188" s="30" t="s">
        <v>47</v>
      </c>
      <c r="E6188" s="31" t="s">
        <v>606</v>
      </c>
      <c r="F6188" s="31" t="s">
        <v>49</v>
      </c>
      <c r="G6188" s="32" t="s">
        <v>50</v>
      </c>
      <c r="H6188" s="33">
        <v>16900</v>
      </c>
      <c r="I6188" s="34">
        <f>Table3[[#This Row],[Volume, kg.]]/1000</f>
        <v>16.899999999999999</v>
      </c>
      <c r="J6188" s="34">
        <v>0.20899999999999999</v>
      </c>
      <c r="K6188" s="34">
        <f t="shared" si="194"/>
        <v>3532.1</v>
      </c>
      <c r="L6188" s="34">
        <v>1.9</v>
      </c>
      <c r="M6188" s="34">
        <v>32110</v>
      </c>
      <c r="N6188" s="34">
        <f t="shared" si="195"/>
        <v>9.0909090909090917</v>
      </c>
    </row>
    <row r="6189" spans="1:14" x14ac:dyDescent="0.45">
      <c r="A6189" s="30">
        <v>2025</v>
      </c>
      <c r="B6189" s="30" t="s">
        <v>15</v>
      </c>
      <c r="C6189" s="30" t="s">
        <v>46</v>
      </c>
      <c r="D6189" s="30" t="s">
        <v>47</v>
      </c>
      <c r="E6189" s="31" t="s">
        <v>619</v>
      </c>
      <c r="F6189" s="31" t="s">
        <v>81</v>
      </c>
      <c r="G6189" s="32" t="s">
        <v>50</v>
      </c>
      <c r="H6189" s="33">
        <v>54140</v>
      </c>
      <c r="I6189" s="34">
        <f>Table3[[#This Row],[Volume, kg.]]/1000</f>
        <v>54.14</v>
      </c>
      <c r="J6189" s="34">
        <v>0.2676</v>
      </c>
      <c r="K6189" s="34">
        <f t="shared" si="194"/>
        <v>14487.864</v>
      </c>
      <c r="L6189" s="34">
        <v>2.2400000000000002</v>
      </c>
      <c r="M6189" s="34">
        <v>121041.5</v>
      </c>
      <c r="N6189" s="34">
        <f t="shared" si="195"/>
        <v>8.3707025411061284</v>
      </c>
    </row>
    <row r="6190" spans="1:14" x14ac:dyDescent="0.45">
      <c r="A6190" s="30">
        <v>2025</v>
      </c>
      <c r="B6190" s="30" t="s">
        <v>15</v>
      </c>
      <c r="C6190" s="30" t="s">
        <v>46</v>
      </c>
      <c r="D6190" s="30" t="s">
        <v>47</v>
      </c>
      <c r="E6190" s="31" t="s">
        <v>643</v>
      </c>
      <c r="F6190" s="31" t="s">
        <v>57</v>
      </c>
      <c r="G6190" s="32" t="s">
        <v>50</v>
      </c>
      <c r="H6190" s="33">
        <v>10700</v>
      </c>
      <c r="I6190" s="34">
        <f>Table3[[#This Row],[Volume, kg.]]/1000</f>
        <v>10.7</v>
      </c>
      <c r="J6190" s="34">
        <v>0.24050000000000002</v>
      </c>
      <c r="K6190" s="34">
        <f t="shared" si="194"/>
        <v>2573.3500000000004</v>
      </c>
      <c r="L6190" s="34">
        <v>2</v>
      </c>
      <c r="M6190" s="34">
        <v>21400</v>
      </c>
      <c r="N6190" s="34">
        <f t="shared" si="195"/>
        <v>8.3160083160083147</v>
      </c>
    </row>
    <row r="6191" spans="1:14" x14ac:dyDescent="0.45">
      <c r="A6191" s="30">
        <v>2025</v>
      </c>
      <c r="B6191" s="30" t="s">
        <v>15</v>
      </c>
      <c r="C6191" s="30" t="s">
        <v>46</v>
      </c>
      <c r="D6191" s="30" t="s">
        <v>47</v>
      </c>
      <c r="E6191" s="31" t="s">
        <v>646</v>
      </c>
      <c r="F6191" s="31" t="s">
        <v>49</v>
      </c>
      <c r="G6191" s="32" t="s">
        <v>50</v>
      </c>
      <c r="H6191" s="33">
        <v>65320</v>
      </c>
      <c r="I6191" s="34">
        <f>Table3[[#This Row],[Volume, kg.]]/1000</f>
        <v>65.319999999999993</v>
      </c>
      <c r="J6191" s="34">
        <v>0.2432</v>
      </c>
      <c r="K6191" s="34">
        <f t="shared" si="194"/>
        <v>15885.824000000001</v>
      </c>
      <c r="L6191" s="34">
        <v>2.0699999999999998</v>
      </c>
      <c r="M6191" s="34">
        <v>135290</v>
      </c>
      <c r="N6191" s="34">
        <f t="shared" si="195"/>
        <v>8.5115131578947363</v>
      </c>
    </row>
    <row r="6192" spans="1:14" x14ac:dyDescent="0.45">
      <c r="A6192" s="30">
        <v>2025</v>
      </c>
      <c r="B6192" s="30" t="s">
        <v>15</v>
      </c>
      <c r="C6192" s="30" t="s">
        <v>46</v>
      </c>
      <c r="D6192" s="30" t="s">
        <v>47</v>
      </c>
      <c r="E6192" s="31" t="s">
        <v>670</v>
      </c>
      <c r="F6192" s="31" t="s">
        <v>81</v>
      </c>
      <c r="G6192" s="32" t="s">
        <v>50</v>
      </c>
      <c r="H6192" s="33">
        <v>43280</v>
      </c>
      <c r="I6192" s="34">
        <f>Table3[[#This Row],[Volume, kg.]]/1000</f>
        <v>43.28</v>
      </c>
      <c r="J6192" s="34">
        <v>0.24399999999999999</v>
      </c>
      <c r="K6192" s="34">
        <f t="shared" si="194"/>
        <v>10560.32</v>
      </c>
      <c r="L6192" s="34">
        <v>2.02</v>
      </c>
      <c r="M6192" s="34">
        <v>87514</v>
      </c>
      <c r="N6192" s="34">
        <f t="shared" si="195"/>
        <v>8.278688524590164</v>
      </c>
    </row>
    <row r="6193" spans="1:14" x14ac:dyDescent="0.45">
      <c r="A6193" s="30">
        <v>2025</v>
      </c>
      <c r="B6193" s="30" t="s">
        <v>15</v>
      </c>
      <c r="C6193" s="30" t="s">
        <v>46</v>
      </c>
      <c r="D6193" s="30" t="s">
        <v>47</v>
      </c>
      <c r="E6193" s="31" t="s">
        <v>662</v>
      </c>
      <c r="F6193" s="31" t="s">
        <v>57</v>
      </c>
      <c r="G6193" s="32" t="s">
        <v>50</v>
      </c>
      <c r="H6193" s="33">
        <v>33270</v>
      </c>
      <c r="I6193" s="34">
        <f>Table3[[#This Row],[Volume, kg.]]/1000</f>
        <v>33.270000000000003</v>
      </c>
      <c r="J6193" s="34">
        <v>0.2482</v>
      </c>
      <c r="K6193" s="34">
        <f t="shared" si="194"/>
        <v>8257.6139999999996</v>
      </c>
      <c r="L6193" s="34">
        <v>2.09</v>
      </c>
      <c r="M6193" s="34">
        <v>69379.5</v>
      </c>
      <c r="N6193" s="34">
        <f t="shared" si="195"/>
        <v>8.4206285253827549</v>
      </c>
    </row>
    <row r="6194" spans="1:14" x14ac:dyDescent="0.45">
      <c r="A6194" s="30">
        <v>2025</v>
      </c>
      <c r="B6194" s="30" t="s">
        <v>15</v>
      </c>
      <c r="C6194" s="30" t="s">
        <v>46</v>
      </c>
      <c r="D6194" s="30" t="s">
        <v>47</v>
      </c>
      <c r="E6194" s="31" t="s">
        <v>676</v>
      </c>
      <c r="F6194" s="31" t="s">
        <v>60</v>
      </c>
      <c r="G6194" s="32" t="s">
        <v>50</v>
      </c>
      <c r="H6194" s="33">
        <v>57760</v>
      </c>
      <c r="I6194" s="34">
        <f>Table3[[#This Row],[Volume, kg.]]/1000</f>
        <v>57.76</v>
      </c>
      <c r="J6194" s="34">
        <v>0.25879999999999997</v>
      </c>
      <c r="K6194" s="34">
        <f t="shared" si="194"/>
        <v>14948.287999999999</v>
      </c>
      <c r="L6194" s="34">
        <v>2.16</v>
      </c>
      <c r="M6194" s="34">
        <v>124540</v>
      </c>
      <c r="N6194" s="34">
        <f t="shared" si="195"/>
        <v>8.3462132921174668</v>
      </c>
    </row>
    <row r="6195" spans="1:14" x14ac:dyDescent="0.45">
      <c r="A6195" s="30">
        <v>2025</v>
      </c>
      <c r="B6195" s="30" t="s">
        <v>15</v>
      </c>
      <c r="C6195" s="30" t="s">
        <v>46</v>
      </c>
      <c r="D6195" s="30" t="s">
        <v>47</v>
      </c>
      <c r="E6195" s="31" t="s">
        <v>678</v>
      </c>
      <c r="F6195" s="31" t="s">
        <v>60</v>
      </c>
      <c r="G6195" s="32" t="s">
        <v>50</v>
      </c>
      <c r="H6195" s="33">
        <v>43820</v>
      </c>
      <c r="I6195" s="34">
        <f>Table3[[#This Row],[Volume, kg.]]/1000</f>
        <v>43.82</v>
      </c>
      <c r="J6195" s="34">
        <v>0.22329999999999997</v>
      </c>
      <c r="K6195" s="34">
        <f t="shared" si="194"/>
        <v>9785.0059999999994</v>
      </c>
      <c r="L6195" s="34">
        <v>1.93</v>
      </c>
      <c r="M6195" s="34">
        <v>84578.5</v>
      </c>
      <c r="N6195" s="34">
        <f t="shared" si="195"/>
        <v>8.643081056874161</v>
      </c>
    </row>
    <row r="6196" spans="1:14" x14ac:dyDescent="0.45">
      <c r="A6196" s="30">
        <v>2025</v>
      </c>
      <c r="B6196" s="30" t="s">
        <v>15</v>
      </c>
      <c r="C6196" s="30" t="s">
        <v>46</v>
      </c>
      <c r="D6196" s="30" t="s">
        <v>47</v>
      </c>
      <c r="E6196" s="31" t="s">
        <v>679</v>
      </c>
      <c r="F6196" s="31" t="s">
        <v>49</v>
      </c>
      <c r="G6196" s="32" t="s">
        <v>50</v>
      </c>
      <c r="H6196" s="33">
        <v>4230</v>
      </c>
      <c r="I6196" s="34">
        <f>Table3[[#This Row],[Volume, kg.]]/1000</f>
        <v>4.2300000000000004</v>
      </c>
      <c r="J6196" s="34">
        <v>0.24239999999999998</v>
      </c>
      <c r="K6196" s="34">
        <f t="shared" si="194"/>
        <v>1025.3519999999999</v>
      </c>
      <c r="L6196" s="34">
        <v>2.08</v>
      </c>
      <c r="M6196" s="34">
        <v>8784</v>
      </c>
      <c r="N6196" s="34">
        <f t="shared" si="195"/>
        <v>8.5808580858085826</v>
      </c>
    </row>
    <row r="6197" spans="1:14" x14ac:dyDescent="0.45">
      <c r="A6197" s="30">
        <v>2025</v>
      </c>
      <c r="B6197" s="30" t="s">
        <v>15</v>
      </c>
      <c r="C6197" s="30" t="s">
        <v>46</v>
      </c>
      <c r="D6197" s="30" t="s">
        <v>47</v>
      </c>
      <c r="E6197" s="31" t="s">
        <v>684</v>
      </c>
      <c r="F6197" s="31" t="s">
        <v>685</v>
      </c>
      <c r="G6197" s="32" t="s">
        <v>341</v>
      </c>
      <c r="H6197" s="33">
        <v>8590</v>
      </c>
      <c r="I6197" s="34">
        <f>Table3[[#This Row],[Volume, kg.]]/1000</f>
        <v>8.59</v>
      </c>
      <c r="J6197" s="34">
        <v>0.25700000000000001</v>
      </c>
      <c r="K6197" s="34">
        <f t="shared" si="194"/>
        <v>2207.63</v>
      </c>
      <c r="L6197" s="34">
        <v>2.15</v>
      </c>
      <c r="M6197" s="34">
        <v>18468.5</v>
      </c>
      <c r="N6197" s="34">
        <f t="shared" si="195"/>
        <v>8.3657587548638119</v>
      </c>
    </row>
    <row r="6198" spans="1:14" x14ac:dyDescent="0.45">
      <c r="A6198" s="30">
        <v>2025</v>
      </c>
      <c r="B6198" s="30" t="s">
        <v>15</v>
      </c>
      <c r="C6198" s="30" t="s">
        <v>46</v>
      </c>
      <c r="D6198" s="30" t="s">
        <v>47</v>
      </c>
      <c r="E6198" s="31" t="s">
        <v>687</v>
      </c>
      <c r="F6198" s="31" t="s">
        <v>49</v>
      </c>
      <c r="G6198" s="32" t="s">
        <v>50</v>
      </c>
      <c r="H6198" s="33">
        <v>10030</v>
      </c>
      <c r="I6198" s="34">
        <f>Table3[[#This Row],[Volume, kg.]]/1000</f>
        <v>10.029999999999999</v>
      </c>
      <c r="J6198" s="34">
        <v>0.2465</v>
      </c>
      <c r="K6198" s="34">
        <f t="shared" si="194"/>
        <v>2472.395</v>
      </c>
      <c r="L6198" s="34">
        <v>2.15</v>
      </c>
      <c r="M6198" s="34">
        <v>21564.5</v>
      </c>
      <c r="N6198" s="34">
        <f t="shared" si="195"/>
        <v>8.7221095334685597</v>
      </c>
    </row>
    <row r="6199" spans="1:14" x14ac:dyDescent="0.45">
      <c r="A6199" s="30">
        <v>2025</v>
      </c>
      <c r="B6199" s="30" t="s">
        <v>15</v>
      </c>
      <c r="C6199" s="30" t="s">
        <v>46</v>
      </c>
      <c r="D6199" s="30" t="s">
        <v>47</v>
      </c>
      <c r="E6199" s="31" t="s">
        <v>688</v>
      </c>
      <c r="F6199" s="31" t="s">
        <v>60</v>
      </c>
      <c r="G6199" s="32" t="s">
        <v>50</v>
      </c>
      <c r="H6199" s="33">
        <v>7240</v>
      </c>
      <c r="I6199" s="34">
        <f>Table3[[#This Row],[Volume, kg.]]/1000</f>
        <v>7.24</v>
      </c>
      <c r="J6199" s="34">
        <v>0.252</v>
      </c>
      <c r="K6199" s="34">
        <f t="shared" si="194"/>
        <v>1824.48</v>
      </c>
      <c r="L6199" s="34">
        <v>2.1</v>
      </c>
      <c r="M6199" s="34">
        <v>15204</v>
      </c>
      <c r="N6199" s="34">
        <f t="shared" si="195"/>
        <v>8.3333333333333339</v>
      </c>
    </row>
    <row r="6200" spans="1:14" x14ac:dyDescent="0.45">
      <c r="A6200" s="30">
        <v>2025</v>
      </c>
      <c r="B6200" s="30" t="s">
        <v>15</v>
      </c>
      <c r="C6200" s="30" t="s">
        <v>46</v>
      </c>
      <c r="D6200" s="30" t="s">
        <v>47</v>
      </c>
      <c r="E6200" s="31" t="s">
        <v>698</v>
      </c>
      <c r="F6200" s="31" t="s">
        <v>57</v>
      </c>
      <c r="G6200" s="32" t="s">
        <v>50</v>
      </c>
      <c r="H6200" s="33">
        <v>8810</v>
      </c>
      <c r="I6200" s="34">
        <f>Table3[[#This Row],[Volume, kg.]]/1000</f>
        <v>8.81</v>
      </c>
      <c r="J6200" s="34">
        <v>0.28600000000000003</v>
      </c>
      <c r="K6200" s="34">
        <f t="shared" si="194"/>
        <v>2519.6600000000003</v>
      </c>
      <c r="L6200" s="34">
        <v>2.35</v>
      </c>
      <c r="M6200" s="34">
        <v>20703.5</v>
      </c>
      <c r="N6200" s="34">
        <f t="shared" si="195"/>
        <v>8.2167832167832167</v>
      </c>
    </row>
    <row r="6201" spans="1:14" x14ac:dyDescent="0.45">
      <c r="A6201" s="30">
        <v>2025</v>
      </c>
      <c r="B6201" s="30" t="s">
        <v>15</v>
      </c>
      <c r="C6201" s="30" t="s">
        <v>46</v>
      </c>
      <c r="D6201" s="30" t="s">
        <v>102</v>
      </c>
      <c r="E6201" s="31" t="s">
        <v>706</v>
      </c>
      <c r="F6201" s="31" t="s">
        <v>349</v>
      </c>
      <c r="G6201" s="32" t="s">
        <v>105</v>
      </c>
      <c r="H6201" s="33">
        <v>160370</v>
      </c>
      <c r="I6201" s="34">
        <f>Table3[[#This Row],[Volume, kg.]]/1000</f>
        <v>160.37</v>
      </c>
      <c r="J6201" s="34">
        <v>0.21149999999999999</v>
      </c>
      <c r="K6201" s="34">
        <f t="shared" si="194"/>
        <v>33918.254999999997</v>
      </c>
      <c r="L6201" s="34">
        <v>2.0299999999999998</v>
      </c>
      <c r="M6201" s="34">
        <v>326028</v>
      </c>
      <c r="N6201" s="34">
        <f t="shared" si="195"/>
        <v>9.5981087470449165</v>
      </c>
    </row>
    <row r="6202" spans="1:14" x14ac:dyDescent="0.45">
      <c r="A6202" s="30">
        <v>2025</v>
      </c>
      <c r="B6202" s="30" t="s">
        <v>15</v>
      </c>
      <c r="C6202" s="30" t="s">
        <v>46</v>
      </c>
      <c r="D6202" s="30" t="s">
        <v>47</v>
      </c>
      <c r="E6202" s="31" t="s">
        <v>714</v>
      </c>
      <c r="F6202" s="31" t="s">
        <v>238</v>
      </c>
      <c r="G6202" s="32" t="s">
        <v>50</v>
      </c>
      <c r="H6202" s="33">
        <v>74750</v>
      </c>
      <c r="I6202" s="34">
        <f>Table3[[#This Row],[Volume, kg.]]/1000</f>
        <v>74.75</v>
      </c>
      <c r="J6202" s="34">
        <v>0.25379999999999997</v>
      </c>
      <c r="K6202" s="34">
        <f t="shared" si="194"/>
        <v>18971.55</v>
      </c>
      <c r="L6202" s="34">
        <v>2.16</v>
      </c>
      <c r="M6202" s="34">
        <v>161497.5</v>
      </c>
      <c r="N6202" s="34">
        <f t="shared" si="195"/>
        <v>8.5106382978723421</v>
      </c>
    </row>
    <row r="6203" spans="1:14" x14ac:dyDescent="0.45">
      <c r="A6203" s="30">
        <v>2025</v>
      </c>
      <c r="B6203" s="30" t="s">
        <v>15</v>
      </c>
      <c r="C6203" s="30" t="s">
        <v>46</v>
      </c>
      <c r="D6203" s="30" t="s">
        <v>47</v>
      </c>
      <c r="E6203" s="31" t="s">
        <v>721</v>
      </c>
      <c r="F6203" s="31" t="s">
        <v>49</v>
      </c>
      <c r="G6203" s="32" t="s">
        <v>50</v>
      </c>
      <c r="H6203" s="33">
        <v>44690</v>
      </c>
      <c r="I6203" s="34">
        <f>Table3[[#This Row],[Volume, kg.]]/1000</f>
        <v>44.69</v>
      </c>
      <c r="J6203" s="34">
        <v>0.24210000000000001</v>
      </c>
      <c r="K6203" s="34">
        <f t="shared" si="194"/>
        <v>10819.449000000001</v>
      </c>
      <c r="L6203" s="34">
        <v>2.06</v>
      </c>
      <c r="M6203" s="34">
        <v>92270.5</v>
      </c>
      <c r="N6203" s="34">
        <f t="shared" si="195"/>
        <v>8.5088806278397353</v>
      </c>
    </row>
    <row r="6204" spans="1:14" x14ac:dyDescent="0.45">
      <c r="A6204" s="30">
        <v>2025</v>
      </c>
      <c r="B6204" s="30" t="s">
        <v>15</v>
      </c>
      <c r="C6204" s="30" t="s">
        <v>46</v>
      </c>
      <c r="D6204" s="30" t="s">
        <v>47</v>
      </c>
      <c r="E6204" s="31" t="s">
        <v>722</v>
      </c>
      <c r="F6204" s="31" t="s">
        <v>49</v>
      </c>
      <c r="G6204" s="32" t="s">
        <v>50</v>
      </c>
      <c r="H6204" s="33">
        <v>34780</v>
      </c>
      <c r="I6204" s="34">
        <f>Table3[[#This Row],[Volume, kg.]]/1000</f>
        <v>34.78</v>
      </c>
      <c r="J6204" s="34">
        <v>0.247</v>
      </c>
      <c r="K6204" s="34">
        <f t="shared" si="194"/>
        <v>8590.66</v>
      </c>
      <c r="L6204" s="34">
        <v>2.0699999999999998</v>
      </c>
      <c r="M6204" s="34">
        <v>71941.5</v>
      </c>
      <c r="N6204" s="34">
        <f t="shared" si="195"/>
        <v>8.3805668016194321</v>
      </c>
    </row>
    <row r="6205" spans="1:14" x14ac:dyDescent="0.45">
      <c r="A6205" s="30">
        <v>2025</v>
      </c>
      <c r="B6205" s="30" t="s">
        <v>15</v>
      </c>
      <c r="C6205" s="30" t="s">
        <v>46</v>
      </c>
      <c r="D6205" s="30" t="s">
        <v>47</v>
      </c>
      <c r="E6205" s="31" t="s">
        <v>724</v>
      </c>
      <c r="F6205" s="31" t="s">
        <v>64</v>
      </c>
      <c r="G6205" s="32" t="s">
        <v>50</v>
      </c>
      <c r="H6205" s="33">
        <v>23340</v>
      </c>
      <c r="I6205" s="34">
        <f>Table3[[#This Row],[Volume, kg.]]/1000</f>
        <v>23.34</v>
      </c>
      <c r="J6205" s="34">
        <v>0.22120000000000001</v>
      </c>
      <c r="K6205" s="34">
        <f t="shared" si="194"/>
        <v>5162.808</v>
      </c>
      <c r="L6205" s="34">
        <v>1.95</v>
      </c>
      <c r="M6205" s="34">
        <v>45513</v>
      </c>
      <c r="N6205" s="34">
        <f t="shared" si="195"/>
        <v>8.8155515370705242</v>
      </c>
    </row>
    <row r="6206" spans="1:14" x14ac:dyDescent="0.45">
      <c r="A6206" s="30">
        <v>2025</v>
      </c>
      <c r="B6206" s="30" t="s">
        <v>15</v>
      </c>
      <c r="C6206" s="30" t="s">
        <v>46</v>
      </c>
      <c r="D6206" s="30" t="s">
        <v>47</v>
      </c>
      <c r="E6206" s="31" t="s">
        <v>725</v>
      </c>
      <c r="F6206" s="31" t="s">
        <v>49</v>
      </c>
      <c r="G6206" s="32" t="s">
        <v>50</v>
      </c>
      <c r="H6206" s="33">
        <v>11050</v>
      </c>
      <c r="I6206" s="34">
        <f>Table3[[#This Row],[Volume, kg.]]/1000</f>
        <v>11.05</v>
      </c>
      <c r="J6206" s="34">
        <v>0.223</v>
      </c>
      <c r="K6206" s="34">
        <f t="shared" si="194"/>
        <v>2464.15</v>
      </c>
      <c r="L6206" s="34">
        <v>1.9</v>
      </c>
      <c r="M6206" s="34">
        <v>20995</v>
      </c>
      <c r="N6206" s="34">
        <f t="shared" si="195"/>
        <v>8.5201793721973083</v>
      </c>
    </row>
    <row r="6207" spans="1:14" x14ac:dyDescent="0.45">
      <c r="A6207" s="30">
        <v>2025</v>
      </c>
      <c r="B6207" s="30" t="s">
        <v>15</v>
      </c>
      <c r="C6207" s="30" t="s">
        <v>46</v>
      </c>
      <c r="D6207" s="30" t="s">
        <v>102</v>
      </c>
      <c r="E6207" s="31" t="s">
        <v>732</v>
      </c>
      <c r="F6207" s="31" t="s">
        <v>349</v>
      </c>
      <c r="G6207" s="32" t="s">
        <v>105</v>
      </c>
      <c r="H6207" s="33">
        <v>91130</v>
      </c>
      <c r="I6207" s="34">
        <f>Table3[[#This Row],[Volume, kg.]]/1000</f>
        <v>91.13</v>
      </c>
      <c r="J6207" s="34">
        <v>0.24249999999999999</v>
      </c>
      <c r="K6207" s="34">
        <f t="shared" si="194"/>
        <v>22099.024999999998</v>
      </c>
      <c r="L6207" s="34">
        <v>2.19</v>
      </c>
      <c r="M6207" s="34">
        <v>199748.5</v>
      </c>
      <c r="N6207" s="34">
        <f t="shared" si="195"/>
        <v>9.0309278350515463</v>
      </c>
    </row>
    <row r="6208" spans="1:14" x14ac:dyDescent="0.45">
      <c r="A6208" s="30">
        <v>2025</v>
      </c>
      <c r="B6208" s="30" t="s">
        <v>15</v>
      </c>
      <c r="C6208" s="30" t="s">
        <v>46</v>
      </c>
      <c r="D6208" s="30" t="s">
        <v>102</v>
      </c>
      <c r="E6208" s="31" t="s">
        <v>735</v>
      </c>
      <c r="F6208" s="31" t="s">
        <v>736</v>
      </c>
      <c r="G6208" s="32" t="s">
        <v>50</v>
      </c>
      <c r="H6208" s="33">
        <v>317800</v>
      </c>
      <c r="I6208" s="34">
        <f>Table3[[#This Row],[Volume, kg.]]/1000</f>
        <v>317.8</v>
      </c>
      <c r="J6208" s="34">
        <v>0.2225</v>
      </c>
      <c r="K6208" s="34">
        <f t="shared" si="194"/>
        <v>70710.5</v>
      </c>
      <c r="L6208" s="34">
        <v>2.09</v>
      </c>
      <c r="M6208" s="34">
        <v>663857</v>
      </c>
      <c r="N6208" s="34">
        <f t="shared" si="195"/>
        <v>9.3932584269662911</v>
      </c>
    </row>
    <row r="6209" spans="1:14" x14ac:dyDescent="0.45">
      <c r="A6209" s="30">
        <v>2025</v>
      </c>
      <c r="B6209" s="30" t="s">
        <v>15</v>
      </c>
      <c r="C6209" s="30" t="s">
        <v>46</v>
      </c>
      <c r="D6209" s="30" t="s">
        <v>47</v>
      </c>
      <c r="E6209" s="31" t="s">
        <v>738</v>
      </c>
      <c r="F6209" s="31" t="s">
        <v>81</v>
      </c>
      <c r="G6209" s="32" t="s">
        <v>50</v>
      </c>
      <c r="H6209" s="33">
        <v>22960</v>
      </c>
      <c r="I6209" s="34">
        <f>Table3[[#This Row],[Volume, kg.]]/1000</f>
        <v>22.96</v>
      </c>
      <c r="J6209" s="34">
        <v>0.2621</v>
      </c>
      <c r="K6209" s="34">
        <f t="shared" si="194"/>
        <v>6017.8159999999998</v>
      </c>
      <c r="L6209" s="34">
        <v>2.14</v>
      </c>
      <c r="M6209" s="34">
        <v>49193.5</v>
      </c>
      <c r="N6209" s="34">
        <f t="shared" si="195"/>
        <v>8.1648225867989321</v>
      </c>
    </row>
    <row r="6210" spans="1:14" x14ac:dyDescent="0.45">
      <c r="A6210" s="30">
        <v>2025</v>
      </c>
      <c r="B6210" s="30" t="s">
        <v>15</v>
      </c>
      <c r="C6210" s="30" t="s">
        <v>46</v>
      </c>
      <c r="D6210" s="30" t="s">
        <v>47</v>
      </c>
      <c r="E6210" s="31" t="s">
        <v>741</v>
      </c>
      <c r="F6210" s="31" t="s">
        <v>60</v>
      </c>
      <c r="G6210" s="32" t="s">
        <v>50</v>
      </c>
      <c r="H6210" s="33">
        <v>21060</v>
      </c>
      <c r="I6210" s="34">
        <f>Table3[[#This Row],[Volume, kg.]]/1000</f>
        <v>21.06</v>
      </c>
      <c r="J6210" s="34">
        <v>0.23530000000000001</v>
      </c>
      <c r="K6210" s="34">
        <f t="shared" si="194"/>
        <v>4955.4180000000006</v>
      </c>
      <c r="L6210" s="34">
        <v>2</v>
      </c>
      <c r="M6210" s="34">
        <v>42038.5</v>
      </c>
      <c r="N6210" s="34">
        <f t="shared" si="195"/>
        <v>8.4997875053123675</v>
      </c>
    </row>
    <row r="6211" spans="1:14" x14ac:dyDescent="0.45">
      <c r="A6211" s="30">
        <v>2025</v>
      </c>
      <c r="B6211" s="30" t="s">
        <v>15</v>
      </c>
      <c r="C6211" s="30" t="s">
        <v>46</v>
      </c>
      <c r="D6211" s="30" t="s">
        <v>47</v>
      </c>
      <c r="E6211" s="31" t="s">
        <v>744</v>
      </c>
      <c r="F6211" s="31" t="s">
        <v>49</v>
      </c>
      <c r="G6211" s="32" t="s">
        <v>50</v>
      </c>
      <c r="H6211" s="33">
        <v>171610</v>
      </c>
      <c r="I6211" s="34">
        <f>Table3[[#This Row],[Volume, kg.]]/1000</f>
        <v>171.61</v>
      </c>
      <c r="J6211" s="34">
        <v>0.26289999999999997</v>
      </c>
      <c r="K6211" s="34">
        <f t="shared" si="194"/>
        <v>45116.268999999993</v>
      </c>
      <c r="L6211" s="34">
        <v>2.19</v>
      </c>
      <c r="M6211" s="34">
        <v>375132.5</v>
      </c>
      <c r="N6211" s="34">
        <f t="shared" si="195"/>
        <v>8.3301635602890833</v>
      </c>
    </row>
    <row r="6212" spans="1:14" x14ac:dyDescent="0.45">
      <c r="A6212" s="30">
        <v>2025</v>
      </c>
      <c r="B6212" s="30" t="s">
        <v>15</v>
      </c>
      <c r="C6212" s="30" t="s">
        <v>46</v>
      </c>
      <c r="D6212" s="30" t="s">
        <v>102</v>
      </c>
      <c r="E6212" s="31" t="s">
        <v>746</v>
      </c>
      <c r="F6212" s="31" t="s">
        <v>127</v>
      </c>
      <c r="G6212" s="32" t="s">
        <v>128</v>
      </c>
      <c r="H6212" s="33">
        <v>168350</v>
      </c>
      <c r="I6212" s="34">
        <f>Table3[[#This Row],[Volume, kg.]]/1000</f>
        <v>168.35</v>
      </c>
      <c r="J6212" s="34">
        <v>0.23309999999999997</v>
      </c>
      <c r="K6212" s="34">
        <f t="shared" si="194"/>
        <v>39242.384999999995</v>
      </c>
      <c r="L6212" s="34">
        <v>2.13</v>
      </c>
      <c r="M6212" s="34">
        <v>359147.5</v>
      </c>
      <c r="N6212" s="34">
        <f t="shared" si="195"/>
        <v>9.1377091377091375</v>
      </c>
    </row>
    <row r="6213" spans="1:14" x14ac:dyDescent="0.45">
      <c r="A6213" s="30">
        <v>2025</v>
      </c>
      <c r="B6213" s="30" t="s">
        <v>15</v>
      </c>
      <c r="C6213" s="30" t="s">
        <v>46</v>
      </c>
      <c r="D6213" s="30" t="s">
        <v>102</v>
      </c>
      <c r="E6213" s="31" t="s">
        <v>747</v>
      </c>
      <c r="F6213" s="31" t="s">
        <v>748</v>
      </c>
      <c r="G6213" s="32" t="s">
        <v>128</v>
      </c>
      <c r="H6213" s="33">
        <v>131530</v>
      </c>
      <c r="I6213" s="34">
        <f>Table3[[#This Row],[Volume, kg.]]/1000</f>
        <v>131.53</v>
      </c>
      <c r="J6213" s="34">
        <v>0.22870000000000001</v>
      </c>
      <c r="K6213" s="34">
        <f t="shared" si="194"/>
        <v>30080.911000000004</v>
      </c>
      <c r="L6213" s="34">
        <v>2.08</v>
      </c>
      <c r="M6213" s="34">
        <v>273995.5</v>
      </c>
      <c r="N6213" s="34">
        <f t="shared" si="195"/>
        <v>9.0948841276781813</v>
      </c>
    </row>
    <row r="6214" spans="1:14" x14ac:dyDescent="0.45">
      <c r="A6214" s="30">
        <v>2025</v>
      </c>
      <c r="B6214" s="30" t="s">
        <v>16</v>
      </c>
      <c r="C6214" s="30" t="s">
        <v>46</v>
      </c>
      <c r="D6214" s="30" t="s">
        <v>102</v>
      </c>
      <c r="E6214" s="31" t="s">
        <v>188</v>
      </c>
      <c r="F6214" s="31" t="s">
        <v>189</v>
      </c>
      <c r="G6214" s="32" t="s">
        <v>128</v>
      </c>
      <c r="H6214" s="33">
        <v>717250</v>
      </c>
      <c r="I6214" s="34">
        <f>Table3[[#This Row],[Volume, kg.]]/1000</f>
        <v>717.25</v>
      </c>
      <c r="J6214" s="34">
        <v>0.23719999999999999</v>
      </c>
      <c r="K6214" s="34">
        <f t="shared" si="194"/>
        <v>170131.69999999998</v>
      </c>
      <c r="L6214" s="34">
        <v>2.2000000000000002</v>
      </c>
      <c r="M6214" s="34">
        <v>1578898.5</v>
      </c>
      <c r="N6214" s="34">
        <f t="shared" si="195"/>
        <v>9.2748735244519409</v>
      </c>
    </row>
    <row r="6215" spans="1:14" x14ac:dyDescent="0.45">
      <c r="A6215" s="30">
        <v>2025</v>
      </c>
      <c r="B6215" s="30" t="s">
        <v>16</v>
      </c>
      <c r="C6215" s="30" t="s">
        <v>46</v>
      </c>
      <c r="D6215" s="30" t="s">
        <v>102</v>
      </c>
      <c r="E6215" s="31" t="s">
        <v>336</v>
      </c>
      <c r="F6215" s="31" t="s">
        <v>114</v>
      </c>
      <c r="G6215" s="32" t="s">
        <v>108</v>
      </c>
      <c r="H6215" s="33">
        <v>41300</v>
      </c>
      <c r="I6215" s="34">
        <f>Table3[[#This Row],[Volume, kg.]]/1000</f>
        <v>41.3</v>
      </c>
      <c r="J6215" s="34">
        <v>0.2286</v>
      </c>
      <c r="K6215" s="34">
        <f t="shared" si="194"/>
        <v>9441.18</v>
      </c>
      <c r="L6215" s="34">
        <v>2.17</v>
      </c>
      <c r="M6215" s="34">
        <v>89598</v>
      </c>
      <c r="N6215" s="34">
        <f t="shared" si="195"/>
        <v>9.4925634295713035</v>
      </c>
    </row>
    <row r="6216" spans="1:14" x14ac:dyDescent="0.45">
      <c r="A6216" s="30">
        <v>2025</v>
      </c>
      <c r="B6216" s="30" t="s">
        <v>16</v>
      </c>
      <c r="C6216" s="30" t="s">
        <v>46</v>
      </c>
      <c r="D6216" s="30" t="s">
        <v>47</v>
      </c>
      <c r="E6216" s="31" t="s">
        <v>181</v>
      </c>
      <c r="F6216" s="31" t="s">
        <v>57</v>
      </c>
      <c r="G6216" s="32" t="s">
        <v>50</v>
      </c>
      <c r="H6216" s="33">
        <v>6970</v>
      </c>
      <c r="I6216" s="34">
        <f>Table3[[#This Row],[Volume, kg.]]/1000</f>
        <v>6.97</v>
      </c>
      <c r="J6216" s="34">
        <v>0.24299999999999999</v>
      </c>
      <c r="K6216" s="34">
        <f t="shared" ref="K6216:K6279" si="196">H6216*J6216</f>
        <v>1693.71</v>
      </c>
      <c r="L6216" s="34">
        <v>2.1</v>
      </c>
      <c r="M6216" s="34">
        <v>14637</v>
      </c>
      <c r="N6216" s="34">
        <f t="shared" ref="N6216:N6279" si="197">L6216/J6216</f>
        <v>8.6419753086419764</v>
      </c>
    </row>
    <row r="6217" spans="1:14" x14ac:dyDescent="0.45">
      <c r="A6217" s="30">
        <v>2025</v>
      </c>
      <c r="B6217" s="30" t="s">
        <v>16</v>
      </c>
      <c r="C6217" s="30" t="s">
        <v>46</v>
      </c>
      <c r="D6217" s="30" t="s">
        <v>47</v>
      </c>
      <c r="E6217" s="31" t="s">
        <v>232</v>
      </c>
      <c r="F6217" s="31" t="s">
        <v>49</v>
      </c>
      <c r="G6217" s="32" t="s">
        <v>50</v>
      </c>
      <c r="H6217" s="33">
        <v>70020</v>
      </c>
      <c r="I6217" s="34">
        <f>Table3[[#This Row],[Volume, kg.]]/1000</f>
        <v>70.02</v>
      </c>
      <c r="J6217" s="34">
        <v>0.26539999999999997</v>
      </c>
      <c r="K6217" s="34">
        <f t="shared" si="196"/>
        <v>18583.307999999997</v>
      </c>
      <c r="L6217" s="34">
        <v>2.2000000000000002</v>
      </c>
      <c r="M6217" s="34">
        <v>154291</v>
      </c>
      <c r="N6217" s="34">
        <f t="shared" si="197"/>
        <v>8.2893745290128127</v>
      </c>
    </row>
    <row r="6218" spans="1:14" x14ac:dyDescent="0.45">
      <c r="A6218" s="30">
        <v>2025</v>
      </c>
      <c r="B6218" s="30" t="s">
        <v>16</v>
      </c>
      <c r="C6218" s="30" t="s">
        <v>46</v>
      </c>
      <c r="D6218" s="30" t="s">
        <v>47</v>
      </c>
      <c r="E6218" s="31" t="s">
        <v>213</v>
      </c>
      <c r="F6218" s="31" t="s">
        <v>49</v>
      </c>
      <c r="G6218" s="32" t="s">
        <v>50</v>
      </c>
      <c r="H6218" s="33">
        <v>145970</v>
      </c>
      <c r="I6218" s="34">
        <f>Table3[[#This Row],[Volume, kg.]]/1000</f>
        <v>145.97</v>
      </c>
      <c r="J6218" s="34">
        <v>0.24050000000000002</v>
      </c>
      <c r="K6218" s="34">
        <f t="shared" si="196"/>
        <v>35105.785000000003</v>
      </c>
      <c r="L6218" s="34">
        <v>2.08</v>
      </c>
      <c r="M6218" s="34">
        <v>303872</v>
      </c>
      <c r="N6218" s="34">
        <f t="shared" si="197"/>
        <v>8.6486486486486491</v>
      </c>
    </row>
    <row r="6219" spans="1:14" x14ac:dyDescent="0.45">
      <c r="A6219" s="30">
        <v>2025</v>
      </c>
      <c r="B6219" s="30" t="s">
        <v>16</v>
      </c>
      <c r="C6219" s="30" t="s">
        <v>46</v>
      </c>
      <c r="D6219" s="30" t="s">
        <v>47</v>
      </c>
      <c r="E6219" s="31" t="s">
        <v>69</v>
      </c>
      <c r="F6219" s="31" t="s">
        <v>49</v>
      </c>
      <c r="G6219" s="32" t="s">
        <v>50</v>
      </c>
      <c r="H6219" s="33">
        <v>255450</v>
      </c>
      <c r="I6219" s="34">
        <f>Table3[[#This Row],[Volume, kg.]]/1000</f>
        <v>255.45</v>
      </c>
      <c r="J6219" s="34">
        <v>0.23809999999999998</v>
      </c>
      <c r="K6219" s="34">
        <f t="shared" si="196"/>
        <v>60822.644999999997</v>
      </c>
      <c r="L6219" s="34">
        <v>2.0699999999999998</v>
      </c>
      <c r="M6219" s="34">
        <v>529022.5</v>
      </c>
      <c r="N6219" s="34">
        <f t="shared" si="197"/>
        <v>8.69382612347753</v>
      </c>
    </row>
    <row r="6220" spans="1:14" x14ac:dyDescent="0.45">
      <c r="A6220" s="30">
        <v>2025</v>
      </c>
      <c r="B6220" s="30" t="s">
        <v>16</v>
      </c>
      <c r="C6220" s="30" t="s">
        <v>46</v>
      </c>
      <c r="D6220" s="30" t="s">
        <v>47</v>
      </c>
      <c r="E6220" s="31" t="s">
        <v>326</v>
      </c>
      <c r="F6220" s="31" t="s">
        <v>57</v>
      </c>
      <c r="G6220" s="32" t="s">
        <v>50</v>
      </c>
      <c r="H6220" s="33">
        <v>33850</v>
      </c>
      <c r="I6220" s="34">
        <f>Table3[[#This Row],[Volume, kg.]]/1000</f>
        <v>33.85</v>
      </c>
      <c r="J6220" s="34">
        <v>0.25619999999999998</v>
      </c>
      <c r="K6220" s="34">
        <f t="shared" si="196"/>
        <v>8672.369999999999</v>
      </c>
      <c r="L6220" s="34">
        <v>2.1800000000000002</v>
      </c>
      <c r="M6220" s="34">
        <v>73799.5</v>
      </c>
      <c r="N6220" s="34">
        <f t="shared" si="197"/>
        <v>8.5089773614363793</v>
      </c>
    </row>
    <row r="6221" spans="1:14" x14ac:dyDescent="0.45">
      <c r="A6221" s="30">
        <v>2025</v>
      </c>
      <c r="B6221" s="30" t="s">
        <v>16</v>
      </c>
      <c r="C6221" s="30" t="s">
        <v>46</v>
      </c>
      <c r="D6221" s="30" t="s">
        <v>47</v>
      </c>
      <c r="E6221" s="31" t="s">
        <v>327</v>
      </c>
      <c r="F6221" s="31" t="s">
        <v>49</v>
      </c>
      <c r="G6221" s="32" t="s">
        <v>50</v>
      </c>
      <c r="H6221" s="33">
        <v>22250</v>
      </c>
      <c r="I6221" s="34">
        <f>Table3[[#This Row],[Volume, kg.]]/1000</f>
        <v>22.25</v>
      </c>
      <c r="J6221" s="34">
        <v>0.2127</v>
      </c>
      <c r="K6221" s="34">
        <f t="shared" si="196"/>
        <v>4732.5749999999998</v>
      </c>
      <c r="L6221" s="34">
        <v>1.96</v>
      </c>
      <c r="M6221" s="34">
        <v>43624.5</v>
      </c>
      <c r="N6221" s="34">
        <f t="shared" si="197"/>
        <v>9.2148566055477197</v>
      </c>
    </row>
    <row r="6222" spans="1:14" x14ac:dyDescent="0.45">
      <c r="A6222" s="30">
        <v>2025</v>
      </c>
      <c r="B6222" s="30" t="s">
        <v>16</v>
      </c>
      <c r="C6222" s="30" t="s">
        <v>46</v>
      </c>
      <c r="D6222" s="30" t="s">
        <v>47</v>
      </c>
      <c r="E6222" s="31" t="s">
        <v>201</v>
      </c>
      <c r="F6222" s="31" t="s">
        <v>49</v>
      </c>
      <c r="G6222" s="32" t="s">
        <v>50</v>
      </c>
      <c r="H6222" s="33">
        <v>95880</v>
      </c>
      <c r="I6222" s="34">
        <f>Table3[[#This Row],[Volume, kg.]]/1000</f>
        <v>95.88</v>
      </c>
      <c r="J6222" s="34">
        <v>0.2419</v>
      </c>
      <c r="K6222" s="34">
        <f t="shared" si="196"/>
        <v>23193.371999999999</v>
      </c>
      <c r="L6222" s="34">
        <v>2.1</v>
      </c>
      <c r="M6222" s="34">
        <v>201197.5</v>
      </c>
      <c r="N6222" s="34">
        <f t="shared" si="197"/>
        <v>8.6812732534105006</v>
      </c>
    </row>
    <row r="6223" spans="1:14" x14ac:dyDescent="0.45">
      <c r="A6223" s="30">
        <v>2025</v>
      </c>
      <c r="B6223" s="30" t="s">
        <v>16</v>
      </c>
      <c r="C6223" s="30" t="s">
        <v>46</v>
      </c>
      <c r="D6223" s="30" t="s">
        <v>47</v>
      </c>
      <c r="E6223" s="31" t="s">
        <v>381</v>
      </c>
      <c r="F6223" s="31" t="s">
        <v>49</v>
      </c>
      <c r="G6223" s="32" t="s">
        <v>50</v>
      </c>
      <c r="H6223" s="33">
        <v>49790</v>
      </c>
      <c r="I6223" s="34">
        <f>Table3[[#This Row],[Volume, kg.]]/1000</f>
        <v>49.79</v>
      </c>
      <c r="J6223" s="34">
        <v>0.2432</v>
      </c>
      <c r="K6223" s="34">
        <f t="shared" si="196"/>
        <v>12108.928</v>
      </c>
      <c r="L6223" s="34">
        <v>2.09</v>
      </c>
      <c r="M6223" s="34">
        <v>104133.5</v>
      </c>
      <c r="N6223" s="34">
        <f t="shared" si="197"/>
        <v>8.59375</v>
      </c>
    </row>
    <row r="6224" spans="1:14" x14ac:dyDescent="0.45">
      <c r="A6224" s="30">
        <v>2025</v>
      </c>
      <c r="B6224" s="30" t="s">
        <v>16</v>
      </c>
      <c r="C6224" s="30" t="s">
        <v>46</v>
      </c>
      <c r="D6224" s="30" t="s">
        <v>47</v>
      </c>
      <c r="E6224" s="31" t="s">
        <v>382</v>
      </c>
      <c r="F6224" s="31" t="s">
        <v>60</v>
      </c>
      <c r="G6224" s="32" t="s">
        <v>50</v>
      </c>
      <c r="H6224" s="33">
        <v>42780</v>
      </c>
      <c r="I6224" s="34">
        <f>Table3[[#This Row],[Volume, kg.]]/1000</f>
        <v>42.78</v>
      </c>
      <c r="J6224" s="34">
        <v>0.2414</v>
      </c>
      <c r="K6224" s="34">
        <f t="shared" si="196"/>
        <v>10327.092000000001</v>
      </c>
      <c r="L6224" s="34">
        <v>2.09</v>
      </c>
      <c r="M6224" s="34">
        <v>89332.5</v>
      </c>
      <c r="N6224" s="34">
        <f t="shared" si="197"/>
        <v>8.6578293289146639</v>
      </c>
    </row>
    <row r="6225" spans="1:14" x14ac:dyDescent="0.45">
      <c r="A6225" s="30">
        <v>2025</v>
      </c>
      <c r="B6225" s="30" t="s">
        <v>16</v>
      </c>
      <c r="C6225" s="30" t="s">
        <v>46</v>
      </c>
      <c r="D6225" s="30" t="s">
        <v>47</v>
      </c>
      <c r="E6225" s="31" t="s">
        <v>149</v>
      </c>
      <c r="F6225" s="31" t="s">
        <v>49</v>
      </c>
      <c r="G6225" s="32" t="s">
        <v>50</v>
      </c>
      <c r="H6225" s="33">
        <v>67440</v>
      </c>
      <c r="I6225" s="34">
        <f>Table3[[#This Row],[Volume, kg.]]/1000</f>
        <v>67.44</v>
      </c>
      <c r="J6225" s="34">
        <v>0.23699999999999999</v>
      </c>
      <c r="K6225" s="34">
        <f t="shared" si="196"/>
        <v>15983.279999999999</v>
      </c>
      <c r="L6225" s="34">
        <v>2.0699999999999998</v>
      </c>
      <c r="M6225" s="34">
        <v>139357.5</v>
      </c>
      <c r="N6225" s="34">
        <f t="shared" si="197"/>
        <v>8.7341772151898738</v>
      </c>
    </row>
    <row r="6226" spans="1:14" x14ac:dyDescent="0.45">
      <c r="A6226" s="30">
        <v>2025</v>
      </c>
      <c r="B6226" s="30" t="s">
        <v>16</v>
      </c>
      <c r="C6226" s="30" t="s">
        <v>46</v>
      </c>
      <c r="D6226" s="30" t="s">
        <v>47</v>
      </c>
      <c r="E6226" s="31" t="s">
        <v>383</v>
      </c>
      <c r="F6226" s="31" t="s">
        <v>49</v>
      </c>
      <c r="G6226" s="32" t="s">
        <v>50</v>
      </c>
      <c r="H6226" s="33">
        <v>3650</v>
      </c>
      <c r="I6226" s="34">
        <f>Table3[[#This Row],[Volume, kg.]]/1000</f>
        <v>3.65</v>
      </c>
      <c r="J6226" s="34">
        <v>0.20600000000000002</v>
      </c>
      <c r="K6226" s="34">
        <f t="shared" si="196"/>
        <v>751.90000000000009</v>
      </c>
      <c r="L6226" s="34">
        <v>1.95</v>
      </c>
      <c r="M6226" s="34">
        <v>7117.5</v>
      </c>
      <c r="N6226" s="34">
        <f t="shared" si="197"/>
        <v>9.4660194174757279</v>
      </c>
    </row>
    <row r="6227" spans="1:14" x14ac:dyDescent="0.45">
      <c r="A6227" s="30">
        <v>2025</v>
      </c>
      <c r="B6227" s="30" t="s">
        <v>16</v>
      </c>
      <c r="C6227" s="30" t="s">
        <v>46</v>
      </c>
      <c r="D6227" s="30" t="s">
        <v>47</v>
      </c>
      <c r="E6227" s="31" t="s">
        <v>493</v>
      </c>
      <c r="F6227" s="31" t="s">
        <v>49</v>
      </c>
      <c r="G6227" s="32" t="s">
        <v>50</v>
      </c>
      <c r="H6227" s="33">
        <v>43680</v>
      </c>
      <c r="I6227" s="34">
        <f>Table3[[#This Row],[Volume, kg.]]/1000</f>
        <v>43.68</v>
      </c>
      <c r="J6227" s="34">
        <v>0.26519999999999999</v>
      </c>
      <c r="K6227" s="34">
        <f t="shared" si="196"/>
        <v>11583.936</v>
      </c>
      <c r="L6227" s="34">
        <v>2.23</v>
      </c>
      <c r="M6227" s="34">
        <v>97561</v>
      </c>
      <c r="N6227" s="34">
        <f t="shared" si="197"/>
        <v>8.4087481146304679</v>
      </c>
    </row>
    <row r="6228" spans="1:14" x14ac:dyDescent="0.45">
      <c r="A6228" s="30">
        <v>2025</v>
      </c>
      <c r="B6228" s="30" t="s">
        <v>16</v>
      </c>
      <c r="C6228" s="30" t="s">
        <v>46</v>
      </c>
      <c r="D6228" s="30" t="s">
        <v>47</v>
      </c>
      <c r="E6228" s="31" t="s">
        <v>208</v>
      </c>
      <c r="F6228" s="31" t="s">
        <v>49</v>
      </c>
      <c r="G6228" s="32" t="s">
        <v>50</v>
      </c>
      <c r="H6228" s="33">
        <v>143780</v>
      </c>
      <c r="I6228" s="34">
        <f>Table3[[#This Row],[Volume, kg.]]/1000</f>
        <v>143.78</v>
      </c>
      <c r="J6228" s="34">
        <v>0.24390000000000001</v>
      </c>
      <c r="K6228" s="34">
        <f t="shared" si="196"/>
        <v>35067.942000000003</v>
      </c>
      <c r="L6228" s="34">
        <v>2.11</v>
      </c>
      <c r="M6228" s="34">
        <v>303275</v>
      </c>
      <c r="N6228" s="34">
        <f t="shared" si="197"/>
        <v>8.6510865108651078</v>
      </c>
    </row>
    <row r="6229" spans="1:14" x14ac:dyDescent="0.45">
      <c r="A6229" s="30">
        <v>2025</v>
      </c>
      <c r="B6229" s="30" t="s">
        <v>16</v>
      </c>
      <c r="C6229" s="30" t="s">
        <v>46</v>
      </c>
      <c r="D6229" s="30" t="s">
        <v>47</v>
      </c>
      <c r="E6229" s="31" t="s">
        <v>71</v>
      </c>
      <c r="F6229" s="31" t="s">
        <v>49</v>
      </c>
      <c r="G6229" s="32" t="s">
        <v>50</v>
      </c>
      <c r="H6229" s="33">
        <v>12300</v>
      </c>
      <c r="I6229" s="34">
        <f>Table3[[#This Row],[Volume, kg.]]/1000</f>
        <v>12.3</v>
      </c>
      <c r="J6229" s="34">
        <v>0.26700000000000002</v>
      </c>
      <c r="K6229" s="34">
        <f t="shared" si="196"/>
        <v>3284.1000000000004</v>
      </c>
      <c r="L6229" s="34">
        <v>2.25</v>
      </c>
      <c r="M6229" s="34">
        <v>27675</v>
      </c>
      <c r="N6229" s="34">
        <f t="shared" si="197"/>
        <v>8.4269662921348303</v>
      </c>
    </row>
    <row r="6230" spans="1:14" x14ac:dyDescent="0.45">
      <c r="A6230" s="30">
        <v>2025</v>
      </c>
      <c r="B6230" s="30" t="s">
        <v>16</v>
      </c>
      <c r="C6230" s="30" t="s">
        <v>46</v>
      </c>
      <c r="D6230" s="30" t="s">
        <v>47</v>
      </c>
      <c r="E6230" s="31" t="s">
        <v>123</v>
      </c>
      <c r="F6230" s="31" t="s">
        <v>49</v>
      </c>
      <c r="G6230" s="32" t="s">
        <v>50</v>
      </c>
      <c r="H6230" s="33">
        <v>76310</v>
      </c>
      <c r="I6230" s="34">
        <f>Table3[[#This Row],[Volume, kg.]]/1000</f>
        <v>76.31</v>
      </c>
      <c r="J6230" s="34">
        <v>0.24739999999999998</v>
      </c>
      <c r="K6230" s="34">
        <f t="shared" si="196"/>
        <v>18879.093999999997</v>
      </c>
      <c r="L6230" s="34">
        <v>2.12</v>
      </c>
      <c r="M6230" s="34">
        <v>161936.5</v>
      </c>
      <c r="N6230" s="34">
        <f t="shared" si="197"/>
        <v>8.5691188358932919</v>
      </c>
    </row>
    <row r="6231" spans="1:14" x14ac:dyDescent="0.45">
      <c r="A6231" s="30">
        <v>2025</v>
      </c>
      <c r="B6231" s="30" t="s">
        <v>16</v>
      </c>
      <c r="C6231" s="30" t="s">
        <v>46</v>
      </c>
      <c r="D6231" s="30" t="s">
        <v>47</v>
      </c>
      <c r="E6231" s="31" t="s">
        <v>99</v>
      </c>
      <c r="F6231" s="31" t="s">
        <v>49</v>
      </c>
      <c r="G6231" s="32" t="s">
        <v>50</v>
      </c>
      <c r="H6231" s="33">
        <v>236680</v>
      </c>
      <c r="I6231" s="34">
        <f>Table3[[#This Row],[Volume, kg.]]/1000</f>
        <v>236.68</v>
      </c>
      <c r="J6231" s="34">
        <v>0.2397</v>
      </c>
      <c r="K6231" s="34">
        <f t="shared" si="196"/>
        <v>56732.195999999996</v>
      </c>
      <c r="L6231" s="34">
        <v>2.08</v>
      </c>
      <c r="M6231" s="34">
        <v>493466</v>
      </c>
      <c r="N6231" s="34">
        <f t="shared" si="197"/>
        <v>8.677513558614935</v>
      </c>
    </row>
    <row r="6232" spans="1:14" x14ac:dyDescent="0.45">
      <c r="A6232" s="30">
        <v>2025</v>
      </c>
      <c r="B6232" s="30" t="s">
        <v>16</v>
      </c>
      <c r="C6232" s="30" t="s">
        <v>46</v>
      </c>
      <c r="D6232" s="30" t="s">
        <v>47</v>
      </c>
      <c r="E6232" s="31" t="s">
        <v>165</v>
      </c>
      <c r="F6232" s="31" t="s">
        <v>57</v>
      </c>
      <c r="G6232" s="32" t="s">
        <v>50</v>
      </c>
      <c r="H6232" s="33">
        <v>25270</v>
      </c>
      <c r="I6232" s="34">
        <f>Table3[[#This Row],[Volume, kg.]]/1000</f>
        <v>25.27</v>
      </c>
      <c r="J6232" s="34">
        <v>0.22870000000000001</v>
      </c>
      <c r="K6232" s="34">
        <f t="shared" si="196"/>
        <v>5779.2490000000007</v>
      </c>
      <c r="L6232" s="34">
        <v>2.04</v>
      </c>
      <c r="M6232" s="34">
        <v>51485.5</v>
      </c>
      <c r="N6232" s="34">
        <f t="shared" si="197"/>
        <v>8.9199825098382153</v>
      </c>
    </row>
    <row r="6233" spans="1:14" x14ac:dyDescent="0.45">
      <c r="A6233" s="30">
        <v>2025</v>
      </c>
      <c r="B6233" s="30" t="s">
        <v>16</v>
      </c>
      <c r="C6233" s="30" t="s">
        <v>46</v>
      </c>
      <c r="D6233" s="30" t="s">
        <v>47</v>
      </c>
      <c r="E6233" s="31" t="s">
        <v>226</v>
      </c>
      <c r="F6233" s="31" t="s">
        <v>60</v>
      </c>
      <c r="G6233" s="32" t="s">
        <v>50</v>
      </c>
      <c r="H6233" s="33">
        <v>24920</v>
      </c>
      <c r="I6233" s="34">
        <f>Table3[[#This Row],[Volume, kg.]]/1000</f>
        <v>24.92</v>
      </c>
      <c r="J6233" s="34">
        <v>0.26839999999999997</v>
      </c>
      <c r="K6233" s="34">
        <f t="shared" si="196"/>
        <v>6688.5279999999993</v>
      </c>
      <c r="L6233" s="34">
        <v>2.2000000000000002</v>
      </c>
      <c r="M6233" s="34">
        <v>54824</v>
      </c>
      <c r="N6233" s="34">
        <f t="shared" si="197"/>
        <v>8.1967213114754109</v>
      </c>
    </row>
    <row r="6234" spans="1:14" x14ac:dyDescent="0.45">
      <c r="A6234" s="30">
        <v>2025</v>
      </c>
      <c r="B6234" s="30" t="s">
        <v>16</v>
      </c>
      <c r="C6234" s="30" t="s">
        <v>46</v>
      </c>
      <c r="D6234" s="30" t="s">
        <v>47</v>
      </c>
      <c r="E6234" s="31" t="s">
        <v>219</v>
      </c>
      <c r="F6234" s="31" t="s">
        <v>57</v>
      </c>
      <c r="G6234" s="32" t="s">
        <v>50</v>
      </c>
      <c r="H6234" s="33">
        <v>8180</v>
      </c>
      <c r="I6234" s="34">
        <f>Table3[[#This Row],[Volume, kg.]]/1000</f>
        <v>8.18</v>
      </c>
      <c r="J6234" s="34">
        <v>0.2555</v>
      </c>
      <c r="K6234" s="34">
        <f t="shared" si="196"/>
        <v>2089.9900000000002</v>
      </c>
      <c r="L6234" s="34">
        <v>2.2000000000000002</v>
      </c>
      <c r="M6234" s="34">
        <v>17996</v>
      </c>
      <c r="N6234" s="34">
        <f t="shared" si="197"/>
        <v>8.6105675146771041</v>
      </c>
    </row>
    <row r="6235" spans="1:14" x14ac:dyDescent="0.45">
      <c r="A6235" s="30">
        <v>2025</v>
      </c>
      <c r="B6235" s="30" t="s">
        <v>16</v>
      </c>
      <c r="C6235" s="30" t="s">
        <v>46</v>
      </c>
      <c r="D6235" s="30" t="s">
        <v>47</v>
      </c>
      <c r="E6235" s="31" t="s">
        <v>182</v>
      </c>
      <c r="F6235" s="31" t="s">
        <v>81</v>
      </c>
      <c r="G6235" s="32" t="s">
        <v>50</v>
      </c>
      <c r="H6235" s="33">
        <v>92620</v>
      </c>
      <c r="I6235" s="34">
        <f>Table3[[#This Row],[Volume, kg.]]/1000</f>
        <v>92.62</v>
      </c>
      <c r="J6235" s="34">
        <v>0.23430000000000001</v>
      </c>
      <c r="K6235" s="34">
        <f t="shared" si="196"/>
        <v>21700.866000000002</v>
      </c>
      <c r="L6235" s="34">
        <v>2.0699999999999998</v>
      </c>
      <c r="M6235" s="34">
        <v>191352.5</v>
      </c>
      <c r="N6235" s="34">
        <f t="shared" si="197"/>
        <v>8.8348271446862991</v>
      </c>
    </row>
    <row r="6236" spans="1:14" x14ac:dyDescent="0.45">
      <c r="A6236" s="30">
        <v>2025</v>
      </c>
      <c r="B6236" s="30" t="s">
        <v>16</v>
      </c>
      <c r="C6236" s="30" t="s">
        <v>46</v>
      </c>
      <c r="D6236" s="30" t="s">
        <v>47</v>
      </c>
      <c r="E6236" s="31" t="s">
        <v>322</v>
      </c>
      <c r="F6236" s="31" t="s">
        <v>57</v>
      </c>
      <c r="G6236" s="32" t="s">
        <v>50</v>
      </c>
      <c r="H6236" s="33">
        <v>17760</v>
      </c>
      <c r="I6236" s="34">
        <f>Table3[[#This Row],[Volume, kg.]]/1000</f>
        <v>17.760000000000002</v>
      </c>
      <c r="J6236" s="34">
        <v>0.2369</v>
      </c>
      <c r="K6236" s="34">
        <f t="shared" si="196"/>
        <v>4207.3440000000001</v>
      </c>
      <c r="L6236" s="34">
        <v>2.06</v>
      </c>
      <c r="M6236" s="34">
        <v>36549</v>
      </c>
      <c r="N6236" s="34">
        <f t="shared" si="197"/>
        <v>8.695652173913043</v>
      </c>
    </row>
    <row r="6237" spans="1:14" x14ac:dyDescent="0.45">
      <c r="A6237" s="30">
        <v>2025</v>
      </c>
      <c r="B6237" s="30" t="s">
        <v>16</v>
      </c>
      <c r="C6237" s="30" t="s">
        <v>46</v>
      </c>
      <c r="D6237" s="30" t="s">
        <v>47</v>
      </c>
      <c r="E6237" s="31" t="s">
        <v>65</v>
      </c>
      <c r="F6237" s="31" t="s">
        <v>49</v>
      </c>
      <c r="G6237" s="32" t="s">
        <v>50</v>
      </c>
      <c r="H6237" s="33">
        <v>88480</v>
      </c>
      <c r="I6237" s="34">
        <f>Table3[[#This Row],[Volume, kg.]]/1000</f>
        <v>88.48</v>
      </c>
      <c r="J6237" s="34">
        <v>0.23170000000000002</v>
      </c>
      <c r="K6237" s="34">
        <f t="shared" si="196"/>
        <v>20500.816000000003</v>
      </c>
      <c r="L6237" s="34">
        <v>2.04</v>
      </c>
      <c r="M6237" s="34">
        <v>180135.5</v>
      </c>
      <c r="N6237" s="34">
        <f t="shared" si="197"/>
        <v>8.8044885627967187</v>
      </c>
    </row>
    <row r="6238" spans="1:14" x14ac:dyDescent="0.45">
      <c r="A6238" s="30">
        <v>2025</v>
      </c>
      <c r="B6238" s="30" t="s">
        <v>16</v>
      </c>
      <c r="C6238" s="30" t="s">
        <v>46</v>
      </c>
      <c r="D6238" s="30" t="s">
        <v>47</v>
      </c>
      <c r="E6238" s="31" t="s">
        <v>245</v>
      </c>
      <c r="F6238" s="31" t="s">
        <v>57</v>
      </c>
      <c r="G6238" s="32" t="s">
        <v>50</v>
      </c>
      <c r="H6238" s="33">
        <v>30710</v>
      </c>
      <c r="I6238" s="34">
        <f>Table3[[#This Row],[Volume, kg.]]/1000</f>
        <v>30.71</v>
      </c>
      <c r="J6238" s="34">
        <v>0.26300000000000001</v>
      </c>
      <c r="K6238" s="34">
        <f t="shared" si="196"/>
        <v>8076.7300000000005</v>
      </c>
      <c r="L6238" s="34">
        <v>2.23</v>
      </c>
      <c r="M6238" s="34">
        <v>68334.5</v>
      </c>
      <c r="N6238" s="34">
        <f t="shared" si="197"/>
        <v>8.4790874524714823</v>
      </c>
    </row>
    <row r="6239" spans="1:14" x14ac:dyDescent="0.45">
      <c r="A6239" s="30">
        <v>2025</v>
      </c>
      <c r="B6239" s="30" t="s">
        <v>16</v>
      </c>
      <c r="C6239" s="30" t="s">
        <v>46</v>
      </c>
      <c r="D6239" s="30" t="s">
        <v>47</v>
      </c>
      <c r="E6239" s="31" t="s">
        <v>303</v>
      </c>
      <c r="F6239" s="31" t="s">
        <v>57</v>
      </c>
      <c r="G6239" s="32" t="s">
        <v>50</v>
      </c>
      <c r="H6239" s="33">
        <v>31480</v>
      </c>
      <c r="I6239" s="34">
        <f>Table3[[#This Row],[Volume, kg.]]/1000</f>
        <v>31.48</v>
      </c>
      <c r="J6239" s="34">
        <v>0.24210000000000001</v>
      </c>
      <c r="K6239" s="34">
        <f t="shared" si="196"/>
        <v>7621.308</v>
      </c>
      <c r="L6239" s="34">
        <v>2.0699999999999998</v>
      </c>
      <c r="M6239" s="34">
        <v>65095</v>
      </c>
      <c r="N6239" s="34">
        <f t="shared" si="197"/>
        <v>8.5501858736059475</v>
      </c>
    </row>
    <row r="6240" spans="1:14" x14ac:dyDescent="0.45">
      <c r="A6240" s="30">
        <v>2025</v>
      </c>
      <c r="B6240" s="30" t="s">
        <v>16</v>
      </c>
      <c r="C6240" s="30" t="s">
        <v>46</v>
      </c>
      <c r="D6240" s="30" t="s">
        <v>47</v>
      </c>
      <c r="E6240" s="31" t="s">
        <v>163</v>
      </c>
      <c r="F6240" s="31" t="s">
        <v>60</v>
      </c>
      <c r="G6240" s="32" t="s">
        <v>50</v>
      </c>
      <c r="H6240" s="33">
        <v>120680</v>
      </c>
      <c r="I6240" s="34">
        <f>Table3[[#This Row],[Volume, kg.]]/1000</f>
        <v>120.68</v>
      </c>
      <c r="J6240" s="34">
        <v>0.24340000000000001</v>
      </c>
      <c r="K6240" s="34">
        <f t="shared" si="196"/>
        <v>29373.512000000002</v>
      </c>
      <c r="L6240" s="34">
        <v>2.1</v>
      </c>
      <c r="M6240" s="34">
        <v>253473</v>
      </c>
      <c r="N6240" s="34">
        <f t="shared" si="197"/>
        <v>8.6277732128184059</v>
      </c>
    </row>
    <row r="6241" spans="1:14" x14ac:dyDescent="0.45">
      <c r="A6241" s="30">
        <v>2025</v>
      </c>
      <c r="B6241" s="30" t="s">
        <v>16</v>
      </c>
      <c r="C6241" s="30" t="s">
        <v>46</v>
      </c>
      <c r="D6241" s="30" t="s">
        <v>47</v>
      </c>
      <c r="E6241" s="31" t="s">
        <v>229</v>
      </c>
      <c r="F6241" s="31" t="s">
        <v>57</v>
      </c>
      <c r="G6241" s="32" t="s">
        <v>50</v>
      </c>
      <c r="H6241" s="33">
        <v>49380</v>
      </c>
      <c r="I6241" s="34">
        <f>Table3[[#This Row],[Volume, kg.]]/1000</f>
        <v>49.38</v>
      </c>
      <c r="J6241" s="34">
        <v>0.24149999999999999</v>
      </c>
      <c r="K6241" s="34">
        <f t="shared" si="196"/>
        <v>11925.27</v>
      </c>
      <c r="L6241" s="34">
        <v>2.08</v>
      </c>
      <c r="M6241" s="34">
        <v>102834</v>
      </c>
      <c r="N6241" s="34">
        <f t="shared" si="197"/>
        <v>8.6128364389233951</v>
      </c>
    </row>
    <row r="6242" spans="1:14" x14ac:dyDescent="0.45">
      <c r="A6242" s="30">
        <v>2025</v>
      </c>
      <c r="B6242" s="30" t="s">
        <v>16</v>
      </c>
      <c r="C6242" s="30" t="s">
        <v>46</v>
      </c>
      <c r="D6242" s="30" t="s">
        <v>47</v>
      </c>
      <c r="E6242" s="31" t="s">
        <v>172</v>
      </c>
      <c r="F6242" s="31" t="s">
        <v>57</v>
      </c>
      <c r="G6242" s="32" t="s">
        <v>50</v>
      </c>
      <c r="H6242" s="33">
        <v>8380</v>
      </c>
      <c r="I6242" s="34">
        <f>Table3[[#This Row],[Volume, kg.]]/1000</f>
        <v>8.3800000000000008</v>
      </c>
      <c r="J6242" s="34">
        <v>0.2525</v>
      </c>
      <c r="K6242" s="34">
        <f t="shared" si="196"/>
        <v>2115.9499999999998</v>
      </c>
      <c r="L6242" s="34">
        <v>2.1</v>
      </c>
      <c r="M6242" s="34">
        <v>17598</v>
      </c>
      <c r="N6242" s="34">
        <f t="shared" si="197"/>
        <v>8.3168316831683171</v>
      </c>
    </row>
    <row r="6243" spans="1:14" x14ac:dyDescent="0.45">
      <c r="A6243" s="30">
        <v>2025</v>
      </c>
      <c r="B6243" s="30" t="s">
        <v>16</v>
      </c>
      <c r="C6243" s="30" t="s">
        <v>46</v>
      </c>
      <c r="D6243" s="30" t="s">
        <v>47</v>
      </c>
      <c r="E6243" s="31" t="s">
        <v>251</v>
      </c>
      <c r="F6243" s="31" t="s">
        <v>49</v>
      </c>
      <c r="G6243" s="32" t="s">
        <v>50</v>
      </c>
      <c r="H6243" s="33">
        <v>14550</v>
      </c>
      <c r="I6243" s="34">
        <f>Table3[[#This Row],[Volume, kg.]]/1000</f>
        <v>14.55</v>
      </c>
      <c r="J6243" s="34">
        <v>0.26300000000000001</v>
      </c>
      <c r="K6243" s="34">
        <f t="shared" si="196"/>
        <v>3826.65</v>
      </c>
      <c r="L6243" s="34">
        <v>2.2000000000000002</v>
      </c>
      <c r="M6243" s="34">
        <v>32010</v>
      </c>
      <c r="N6243" s="34">
        <f t="shared" si="197"/>
        <v>8.3650190114068437</v>
      </c>
    </row>
    <row r="6244" spans="1:14" x14ac:dyDescent="0.45">
      <c r="A6244" s="30">
        <v>2025</v>
      </c>
      <c r="B6244" s="30" t="s">
        <v>16</v>
      </c>
      <c r="C6244" s="30" t="s">
        <v>46</v>
      </c>
      <c r="D6244" s="30" t="s">
        <v>47</v>
      </c>
      <c r="E6244" s="31" t="s">
        <v>655</v>
      </c>
      <c r="F6244" s="31" t="s">
        <v>49</v>
      </c>
      <c r="G6244" s="32" t="s">
        <v>50</v>
      </c>
      <c r="H6244" s="33">
        <v>130750</v>
      </c>
      <c r="I6244" s="34">
        <f>Table3[[#This Row],[Volume, kg.]]/1000</f>
        <v>130.75</v>
      </c>
      <c r="J6244" s="34">
        <v>0.25040000000000001</v>
      </c>
      <c r="K6244" s="34">
        <f t="shared" si="196"/>
        <v>32739.800000000003</v>
      </c>
      <c r="L6244" s="34">
        <v>2.16</v>
      </c>
      <c r="M6244" s="34">
        <v>281895.5</v>
      </c>
      <c r="N6244" s="34">
        <f t="shared" si="197"/>
        <v>8.6261980830670932</v>
      </c>
    </row>
    <row r="6245" spans="1:14" x14ac:dyDescent="0.45">
      <c r="A6245" s="30">
        <v>2025</v>
      </c>
      <c r="B6245" s="30" t="s">
        <v>16</v>
      </c>
      <c r="C6245" s="30" t="s">
        <v>46</v>
      </c>
      <c r="D6245" s="30" t="s">
        <v>47</v>
      </c>
      <c r="E6245" s="31" t="s">
        <v>170</v>
      </c>
      <c r="F6245" s="31" t="s">
        <v>49</v>
      </c>
      <c r="G6245" s="32" t="s">
        <v>50</v>
      </c>
      <c r="H6245" s="33">
        <v>8960</v>
      </c>
      <c r="I6245" s="34">
        <f>Table3[[#This Row],[Volume, kg.]]/1000</f>
        <v>8.9600000000000009</v>
      </c>
      <c r="J6245" s="34">
        <v>0.23949999999999999</v>
      </c>
      <c r="K6245" s="34">
        <f t="shared" si="196"/>
        <v>2145.92</v>
      </c>
      <c r="L6245" s="34">
        <v>2.1</v>
      </c>
      <c r="M6245" s="34">
        <v>18816</v>
      </c>
      <c r="N6245" s="34">
        <f t="shared" si="197"/>
        <v>8.7682672233820469</v>
      </c>
    </row>
    <row r="6246" spans="1:14" x14ac:dyDescent="0.45">
      <c r="A6246" s="30">
        <v>2025</v>
      </c>
      <c r="B6246" s="30" t="s">
        <v>16</v>
      </c>
      <c r="C6246" s="30" t="s">
        <v>46</v>
      </c>
      <c r="D6246" s="30" t="s">
        <v>47</v>
      </c>
      <c r="E6246" s="31" t="s">
        <v>320</v>
      </c>
      <c r="F6246" s="31" t="s">
        <v>49</v>
      </c>
      <c r="G6246" s="32" t="s">
        <v>50</v>
      </c>
      <c r="H6246" s="33">
        <v>43510</v>
      </c>
      <c r="I6246" s="34">
        <f>Table3[[#This Row],[Volume, kg.]]/1000</f>
        <v>43.51</v>
      </c>
      <c r="J6246" s="34">
        <v>0.23850000000000002</v>
      </c>
      <c r="K6246" s="34">
        <f t="shared" si="196"/>
        <v>10377.135</v>
      </c>
      <c r="L6246" s="34">
        <v>2.09</v>
      </c>
      <c r="M6246" s="34">
        <v>90970.5</v>
      </c>
      <c r="N6246" s="34">
        <f t="shared" si="197"/>
        <v>8.7631027253668758</v>
      </c>
    </row>
    <row r="6247" spans="1:14" x14ac:dyDescent="0.45">
      <c r="A6247" s="30">
        <v>2025</v>
      </c>
      <c r="B6247" s="30" t="s">
        <v>16</v>
      </c>
      <c r="C6247" s="30" t="s">
        <v>46</v>
      </c>
      <c r="D6247" s="30" t="s">
        <v>47</v>
      </c>
      <c r="E6247" s="31" t="s">
        <v>301</v>
      </c>
      <c r="F6247" s="31" t="s">
        <v>60</v>
      </c>
      <c r="G6247" s="32" t="s">
        <v>50</v>
      </c>
      <c r="H6247" s="33">
        <v>131290</v>
      </c>
      <c r="I6247" s="34">
        <f>Table3[[#This Row],[Volume, kg.]]/1000</f>
        <v>131.29</v>
      </c>
      <c r="J6247" s="34">
        <v>0.26390000000000002</v>
      </c>
      <c r="K6247" s="34">
        <f t="shared" si="196"/>
        <v>34647.431000000004</v>
      </c>
      <c r="L6247" s="34">
        <v>2.21</v>
      </c>
      <c r="M6247" s="34">
        <v>290159</v>
      </c>
      <c r="N6247" s="34">
        <f t="shared" si="197"/>
        <v>8.3743842364532011</v>
      </c>
    </row>
    <row r="6248" spans="1:14" x14ac:dyDescent="0.45">
      <c r="A6248" s="30">
        <v>2025</v>
      </c>
      <c r="B6248" s="30" t="s">
        <v>16</v>
      </c>
      <c r="C6248" s="30" t="s">
        <v>46</v>
      </c>
      <c r="D6248" s="30" t="s">
        <v>47</v>
      </c>
      <c r="E6248" s="31" t="s">
        <v>461</v>
      </c>
      <c r="F6248" s="31" t="s">
        <v>54</v>
      </c>
      <c r="G6248" s="32" t="s">
        <v>50</v>
      </c>
      <c r="H6248" s="33">
        <v>51210</v>
      </c>
      <c r="I6248" s="34">
        <f>Table3[[#This Row],[Volume, kg.]]/1000</f>
        <v>51.21</v>
      </c>
      <c r="J6248" s="34">
        <v>0.22420000000000001</v>
      </c>
      <c r="K6248" s="34">
        <f t="shared" si="196"/>
        <v>11481.282000000001</v>
      </c>
      <c r="L6248" s="34">
        <v>1.97</v>
      </c>
      <c r="M6248" s="34">
        <v>101138.5</v>
      </c>
      <c r="N6248" s="34">
        <f t="shared" si="197"/>
        <v>8.7867975022301508</v>
      </c>
    </row>
    <row r="6249" spans="1:14" x14ac:dyDescent="0.45">
      <c r="A6249" s="30">
        <v>2025</v>
      </c>
      <c r="B6249" s="30" t="s">
        <v>16</v>
      </c>
      <c r="C6249" s="30" t="s">
        <v>46</v>
      </c>
      <c r="D6249" s="30" t="s">
        <v>47</v>
      </c>
      <c r="E6249" s="31" t="s">
        <v>174</v>
      </c>
      <c r="F6249" s="31" t="s">
        <v>57</v>
      </c>
      <c r="G6249" s="32" t="s">
        <v>50</v>
      </c>
      <c r="H6249" s="33">
        <v>11850</v>
      </c>
      <c r="I6249" s="34">
        <f>Table3[[#This Row],[Volume, kg.]]/1000</f>
        <v>11.85</v>
      </c>
      <c r="J6249" s="34">
        <v>0.23019999999999999</v>
      </c>
      <c r="K6249" s="34">
        <f t="shared" si="196"/>
        <v>2727.87</v>
      </c>
      <c r="L6249" s="34">
        <v>2.04</v>
      </c>
      <c r="M6249" s="34">
        <v>24223.5</v>
      </c>
      <c r="N6249" s="34">
        <f t="shared" si="197"/>
        <v>8.8618592528236331</v>
      </c>
    </row>
    <row r="6250" spans="1:14" x14ac:dyDescent="0.45">
      <c r="A6250" s="30">
        <v>2025</v>
      </c>
      <c r="B6250" s="30" t="s">
        <v>16</v>
      </c>
      <c r="C6250" s="30" t="s">
        <v>46</v>
      </c>
      <c r="D6250" s="30" t="s">
        <v>47</v>
      </c>
      <c r="E6250" s="31" t="s">
        <v>325</v>
      </c>
      <c r="F6250" s="31" t="s">
        <v>60</v>
      </c>
      <c r="G6250" s="32" t="s">
        <v>50</v>
      </c>
      <c r="H6250" s="33">
        <v>78730</v>
      </c>
      <c r="I6250" s="34">
        <f>Table3[[#This Row],[Volume, kg.]]/1000</f>
        <v>78.73</v>
      </c>
      <c r="J6250" s="34">
        <v>0.2621</v>
      </c>
      <c r="K6250" s="34">
        <f t="shared" si="196"/>
        <v>20635.133000000002</v>
      </c>
      <c r="L6250" s="34">
        <v>2.2000000000000002</v>
      </c>
      <c r="M6250" s="34">
        <v>172949.5</v>
      </c>
      <c r="N6250" s="34">
        <f t="shared" si="197"/>
        <v>8.3937428462418939</v>
      </c>
    </row>
    <row r="6251" spans="1:14" x14ac:dyDescent="0.45">
      <c r="A6251" s="30">
        <v>2025</v>
      </c>
      <c r="B6251" s="30" t="s">
        <v>16</v>
      </c>
      <c r="C6251" s="30" t="s">
        <v>46</v>
      </c>
      <c r="D6251" s="30" t="s">
        <v>47</v>
      </c>
      <c r="E6251" s="31" t="s">
        <v>51</v>
      </c>
      <c r="F6251" s="31" t="s">
        <v>49</v>
      </c>
      <c r="G6251" s="32" t="s">
        <v>50</v>
      </c>
      <c r="H6251" s="33">
        <v>55240</v>
      </c>
      <c r="I6251" s="34">
        <f>Table3[[#This Row],[Volume, kg.]]/1000</f>
        <v>55.24</v>
      </c>
      <c r="J6251" s="34">
        <v>0.26030000000000003</v>
      </c>
      <c r="K6251" s="34">
        <f t="shared" si="196"/>
        <v>14378.972000000002</v>
      </c>
      <c r="L6251" s="34">
        <v>2.1800000000000002</v>
      </c>
      <c r="M6251" s="34">
        <v>120621.5</v>
      </c>
      <c r="N6251" s="34">
        <f t="shared" si="197"/>
        <v>8.3749519784863615</v>
      </c>
    </row>
    <row r="6252" spans="1:14" x14ac:dyDescent="0.45">
      <c r="A6252" s="30">
        <v>2025</v>
      </c>
      <c r="B6252" s="30" t="s">
        <v>16</v>
      </c>
      <c r="C6252" s="30" t="s">
        <v>46</v>
      </c>
      <c r="D6252" s="30" t="s">
        <v>47</v>
      </c>
      <c r="E6252" s="31" t="s">
        <v>179</v>
      </c>
      <c r="F6252" s="31" t="s">
        <v>60</v>
      </c>
      <c r="G6252" s="32" t="s">
        <v>50</v>
      </c>
      <c r="H6252" s="33">
        <v>136910</v>
      </c>
      <c r="I6252" s="34">
        <f>Table3[[#This Row],[Volume, kg.]]/1000</f>
        <v>136.91</v>
      </c>
      <c r="J6252" s="34">
        <v>0.2656</v>
      </c>
      <c r="K6252" s="34">
        <f t="shared" si="196"/>
        <v>36363.296000000002</v>
      </c>
      <c r="L6252" s="34">
        <v>2.2200000000000002</v>
      </c>
      <c r="M6252" s="34">
        <v>303632.5</v>
      </c>
      <c r="N6252" s="34">
        <f t="shared" si="197"/>
        <v>8.3584337349397604</v>
      </c>
    </row>
    <row r="6253" spans="1:14" x14ac:dyDescent="0.45">
      <c r="A6253" s="30">
        <v>2025</v>
      </c>
      <c r="B6253" s="30" t="s">
        <v>16</v>
      </c>
      <c r="C6253" s="30" t="s">
        <v>46</v>
      </c>
      <c r="D6253" s="30" t="s">
        <v>47</v>
      </c>
      <c r="E6253" s="31" t="s">
        <v>258</v>
      </c>
      <c r="F6253" s="31" t="s">
        <v>49</v>
      </c>
      <c r="G6253" s="32" t="s">
        <v>50</v>
      </c>
      <c r="H6253" s="33">
        <v>700830</v>
      </c>
      <c r="I6253" s="34">
        <f>Table3[[#This Row],[Volume, kg.]]/1000</f>
        <v>700.83</v>
      </c>
      <c r="J6253" s="34">
        <v>0.23929999999999998</v>
      </c>
      <c r="K6253" s="34">
        <f t="shared" si="196"/>
        <v>167708.61899999998</v>
      </c>
      <c r="L6253" s="34">
        <v>2.0699999999999998</v>
      </c>
      <c r="M6253" s="34">
        <v>1451908</v>
      </c>
      <c r="N6253" s="34">
        <f t="shared" si="197"/>
        <v>8.6502298370246553</v>
      </c>
    </row>
    <row r="6254" spans="1:14" x14ac:dyDescent="0.45">
      <c r="A6254" s="30">
        <v>2025</v>
      </c>
      <c r="B6254" s="30" t="s">
        <v>16</v>
      </c>
      <c r="C6254" s="30" t="s">
        <v>46</v>
      </c>
      <c r="D6254" s="30" t="s">
        <v>47</v>
      </c>
      <c r="E6254" s="31" t="s">
        <v>375</v>
      </c>
      <c r="F6254" s="31" t="s">
        <v>49</v>
      </c>
      <c r="G6254" s="32" t="s">
        <v>50</v>
      </c>
      <c r="H6254" s="33">
        <v>106570</v>
      </c>
      <c r="I6254" s="34">
        <f>Table3[[#This Row],[Volume, kg.]]/1000</f>
        <v>106.57</v>
      </c>
      <c r="J6254" s="34">
        <v>0.25719999999999998</v>
      </c>
      <c r="K6254" s="34">
        <f t="shared" si="196"/>
        <v>27409.804</v>
      </c>
      <c r="L6254" s="34">
        <v>2.17</v>
      </c>
      <c r="M6254" s="34">
        <v>231652</v>
      </c>
      <c r="N6254" s="34">
        <f t="shared" si="197"/>
        <v>8.437013996889581</v>
      </c>
    </row>
    <row r="6255" spans="1:14" x14ac:dyDescent="0.45">
      <c r="A6255" s="30">
        <v>2025</v>
      </c>
      <c r="B6255" s="30" t="s">
        <v>16</v>
      </c>
      <c r="C6255" s="30" t="s">
        <v>46</v>
      </c>
      <c r="D6255" s="30" t="s">
        <v>47</v>
      </c>
      <c r="E6255" s="31" t="s">
        <v>363</v>
      </c>
      <c r="F6255" s="31" t="s">
        <v>60</v>
      </c>
      <c r="G6255" s="32" t="s">
        <v>50</v>
      </c>
      <c r="H6255" s="33">
        <v>94470</v>
      </c>
      <c r="I6255" s="34">
        <f>Table3[[#This Row],[Volume, kg.]]/1000</f>
        <v>94.47</v>
      </c>
      <c r="J6255" s="34">
        <v>0.24480000000000002</v>
      </c>
      <c r="K6255" s="34">
        <f t="shared" si="196"/>
        <v>23126.256000000001</v>
      </c>
      <c r="L6255" s="34">
        <v>2.12</v>
      </c>
      <c r="M6255" s="34">
        <v>199983</v>
      </c>
      <c r="N6255" s="34">
        <f t="shared" si="197"/>
        <v>8.6601307189542478</v>
      </c>
    </row>
    <row r="6256" spans="1:14" x14ac:dyDescent="0.45">
      <c r="A6256" s="30">
        <v>2025</v>
      </c>
      <c r="B6256" s="30" t="s">
        <v>16</v>
      </c>
      <c r="C6256" s="30" t="s">
        <v>46</v>
      </c>
      <c r="D6256" s="30" t="s">
        <v>47</v>
      </c>
      <c r="E6256" s="31" t="s">
        <v>166</v>
      </c>
      <c r="F6256" s="31" t="s">
        <v>49</v>
      </c>
      <c r="G6256" s="32" t="s">
        <v>50</v>
      </c>
      <c r="H6256" s="33">
        <v>14100</v>
      </c>
      <c r="I6256" s="34">
        <f>Table3[[#This Row],[Volume, kg.]]/1000</f>
        <v>14.1</v>
      </c>
      <c r="J6256" s="34">
        <v>0.2727</v>
      </c>
      <c r="K6256" s="34">
        <f t="shared" si="196"/>
        <v>3845.07</v>
      </c>
      <c r="L6256" s="34">
        <v>2.2400000000000002</v>
      </c>
      <c r="M6256" s="34">
        <v>31565</v>
      </c>
      <c r="N6256" s="34">
        <f t="shared" si="197"/>
        <v>8.2141547488082143</v>
      </c>
    </row>
    <row r="6257" spans="1:14" x14ac:dyDescent="0.45">
      <c r="A6257" s="30">
        <v>2025</v>
      </c>
      <c r="B6257" s="30" t="s">
        <v>16</v>
      </c>
      <c r="C6257" s="30" t="s">
        <v>46</v>
      </c>
      <c r="D6257" s="30" t="s">
        <v>47</v>
      </c>
      <c r="E6257" s="31" t="s">
        <v>293</v>
      </c>
      <c r="F6257" s="31" t="s">
        <v>60</v>
      </c>
      <c r="G6257" s="32" t="s">
        <v>50</v>
      </c>
      <c r="H6257" s="33">
        <v>200150</v>
      </c>
      <c r="I6257" s="34">
        <f>Table3[[#This Row],[Volume, kg.]]/1000</f>
        <v>200.15</v>
      </c>
      <c r="J6257" s="34">
        <v>0.26629999999999998</v>
      </c>
      <c r="K6257" s="34">
        <f t="shared" si="196"/>
        <v>53299.945</v>
      </c>
      <c r="L6257" s="34">
        <v>2.21</v>
      </c>
      <c r="M6257" s="34">
        <v>442356</v>
      </c>
      <c r="N6257" s="34">
        <f t="shared" si="197"/>
        <v>8.2989110026286141</v>
      </c>
    </row>
    <row r="6258" spans="1:14" x14ac:dyDescent="0.45">
      <c r="A6258" s="30">
        <v>2025</v>
      </c>
      <c r="B6258" s="30" t="s">
        <v>16</v>
      </c>
      <c r="C6258" s="30" t="s">
        <v>46</v>
      </c>
      <c r="D6258" s="30" t="s">
        <v>47</v>
      </c>
      <c r="E6258" s="31" t="s">
        <v>242</v>
      </c>
      <c r="F6258" s="31" t="s">
        <v>60</v>
      </c>
      <c r="G6258" s="32" t="s">
        <v>50</v>
      </c>
      <c r="H6258" s="33">
        <v>51910</v>
      </c>
      <c r="I6258" s="34">
        <f>Table3[[#This Row],[Volume, kg.]]/1000</f>
        <v>51.91</v>
      </c>
      <c r="J6258" s="34">
        <v>0.24789999999999998</v>
      </c>
      <c r="K6258" s="34">
        <f t="shared" si="196"/>
        <v>12868.489</v>
      </c>
      <c r="L6258" s="34">
        <v>2.12</v>
      </c>
      <c r="M6258" s="34">
        <v>110192.5</v>
      </c>
      <c r="N6258" s="34">
        <f t="shared" si="197"/>
        <v>8.5518354175070606</v>
      </c>
    </row>
    <row r="6259" spans="1:14" x14ac:dyDescent="0.45">
      <c r="A6259" s="30">
        <v>2025</v>
      </c>
      <c r="B6259" s="30" t="s">
        <v>16</v>
      </c>
      <c r="C6259" s="30" t="s">
        <v>46</v>
      </c>
      <c r="D6259" s="30" t="s">
        <v>47</v>
      </c>
      <c r="E6259" s="31" t="s">
        <v>244</v>
      </c>
      <c r="F6259" s="31" t="s">
        <v>60</v>
      </c>
      <c r="G6259" s="32" t="s">
        <v>50</v>
      </c>
      <c r="H6259" s="33">
        <v>153810</v>
      </c>
      <c r="I6259" s="34">
        <f>Table3[[#This Row],[Volume, kg.]]/1000</f>
        <v>153.81</v>
      </c>
      <c r="J6259" s="34">
        <v>0.25219999999999998</v>
      </c>
      <c r="K6259" s="34">
        <f t="shared" si="196"/>
        <v>38790.881999999998</v>
      </c>
      <c r="L6259" s="34">
        <v>2.15</v>
      </c>
      <c r="M6259" s="34">
        <v>329973.5</v>
      </c>
      <c r="N6259" s="34">
        <f t="shared" si="197"/>
        <v>8.5249801744647105</v>
      </c>
    </row>
    <row r="6260" spans="1:14" x14ac:dyDescent="0.45">
      <c r="A6260" s="30">
        <v>2025</v>
      </c>
      <c r="B6260" s="30" t="s">
        <v>16</v>
      </c>
      <c r="C6260" s="30" t="s">
        <v>46</v>
      </c>
      <c r="D6260" s="30" t="s">
        <v>47</v>
      </c>
      <c r="E6260" s="31" t="s">
        <v>256</v>
      </c>
      <c r="F6260" s="31" t="s">
        <v>81</v>
      </c>
      <c r="G6260" s="32" t="s">
        <v>50</v>
      </c>
      <c r="H6260" s="33">
        <v>104420</v>
      </c>
      <c r="I6260" s="34">
        <f>Table3[[#This Row],[Volume, kg.]]/1000</f>
        <v>104.42</v>
      </c>
      <c r="J6260" s="34">
        <v>0.22839999999999999</v>
      </c>
      <c r="K6260" s="34">
        <f t="shared" si="196"/>
        <v>23849.527999999998</v>
      </c>
      <c r="L6260" s="34">
        <v>2.0299999999999998</v>
      </c>
      <c r="M6260" s="34">
        <v>212256.5</v>
      </c>
      <c r="N6260" s="34">
        <f t="shared" si="197"/>
        <v>8.8879159369527141</v>
      </c>
    </row>
    <row r="6261" spans="1:14" x14ac:dyDescent="0.45">
      <c r="A6261" s="30">
        <v>2025</v>
      </c>
      <c r="B6261" s="30" t="s">
        <v>16</v>
      </c>
      <c r="C6261" s="30" t="s">
        <v>46</v>
      </c>
      <c r="D6261" s="30" t="s">
        <v>47</v>
      </c>
      <c r="E6261" s="31" t="s">
        <v>164</v>
      </c>
      <c r="F6261" s="31" t="s">
        <v>49</v>
      </c>
      <c r="G6261" s="32" t="s">
        <v>50</v>
      </c>
      <c r="H6261" s="33">
        <v>33270</v>
      </c>
      <c r="I6261" s="34">
        <f>Table3[[#This Row],[Volume, kg.]]/1000</f>
        <v>33.270000000000003</v>
      </c>
      <c r="J6261" s="34">
        <v>0.25929999999999997</v>
      </c>
      <c r="K6261" s="34">
        <f t="shared" si="196"/>
        <v>8626.9110000000001</v>
      </c>
      <c r="L6261" s="34">
        <v>2.16</v>
      </c>
      <c r="M6261" s="34">
        <v>71839.5</v>
      </c>
      <c r="N6261" s="34">
        <f t="shared" si="197"/>
        <v>8.3301195526417295</v>
      </c>
    </row>
    <row r="6262" spans="1:14" x14ac:dyDescent="0.45">
      <c r="A6262" s="30">
        <v>2025</v>
      </c>
      <c r="B6262" s="30" t="s">
        <v>16</v>
      </c>
      <c r="C6262" s="30" t="s">
        <v>46</v>
      </c>
      <c r="D6262" s="30" t="s">
        <v>47</v>
      </c>
      <c r="E6262" s="31" t="s">
        <v>294</v>
      </c>
      <c r="F6262" s="31" t="s">
        <v>81</v>
      </c>
      <c r="G6262" s="32" t="s">
        <v>50</v>
      </c>
      <c r="H6262" s="33">
        <v>4540</v>
      </c>
      <c r="I6262" s="34">
        <f>Table3[[#This Row],[Volume, kg.]]/1000</f>
        <v>4.54</v>
      </c>
      <c r="J6262" s="34">
        <v>0.21850000000000003</v>
      </c>
      <c r="K6262" s="34">
        <f t="shared" si="196"/>
        <v>991.99000000000012</v>
      </c>
      <c r="L6262" s="34">
        <v>2</v>
      </c>
      <c r="M6262" s="34">
        <v>9080</v>
      </c>
      <c r="N6262" s="34">
        <f t="shared" si="197"/>
        <v>9.1533180778032026</v>
      </c>
    </row>
    <row r="6263" spans="1:14" x14ac:dyDescent="0.45">
      <c r="A6263" s="30">
        <v>2025</v>
      </c>
      <c r="B6263" s="30" t="s">
        <v>16</v>
      </c>
      <c r="C6263" s="30" t="s">
        <v>46</v>
      </c>
      <c r="D6263" s="30" t="s">
        <v>47</v>
      </c>
      <c r="E6263" s="31" t="s">
        <v>358</v>
      </c>
      <c r="F6263" s="31" t="s">
        <v>60</v>
      </c>
      <c r="G6263" s="32" t="s">
        <v>50</v>
      </c>
      <c r="H6263" s="33">
        <v>185550</v>
      </c>
      <c r="I6263" s="34">
        <f>Table3[[#This Row],[Volume, kg.]]/1000</f>
        <v>185.55</v>
      </c>
      <c r="J6263" s="34">
        <v>0.2462</v>
      </c>
      <c r="K6263" s="34">
        <f t="shared" si="196"/>
        <v>45682.41</v>
      </c>
      <c r="L6263" s="34">
        <v>2.11</v>
      </c>
      <c r="M6263" s="34">
        <v>391266</v>
      </c>
      <c r="N6263" s="34">
        <f t="shared" si="197"/>
        <v>8.5702680747359867</v>
      </c>
    </row>
    <row r="6264" spans="1:14" x14ac:dyDescent="0.45">
      <c r="A6264" s="30">
        <v>2025</v>
      </c>
      <c r="B6264" s="30" t="s">
        <v>16</v>
      </c>
      <c r="C6264" s="30" t="s">
        <v>46</v>
      </c>
      <c r="D6264" s="30" t="s">
        <v>47</v>
      </c>
      <c r="E6264" s="31" t="s">
        <v>464</v>
      </c>
      <c r="F6264" s="31" t="s">
        <v>57</v>
      </c>
      <c r="G6264" s="32" t="s">
        <v>50</v>
      </c>
      <c r="H6264" s="33">
        <v>47280</v>
      </c>
      <c r="I6264" s="34">
        <f>Table3[[#This Row],[Volume, kg.]]/1000</f>
        <v>47.28</v>
      </c>
      <c r="J6264" s="34">
        <v>0.253</v>
      </c>
      <c r="K6264" s="34">
        <f t="shared" si="196"/>
        <v>11961.84</v>
      </c>
      <c r="L6264" s="34">
        <v>2.16</v>
      </c>
      <c r="M6264" s="34">
        <v>102057</v>
      </c>
      <c r="N6264" s="34">
        <f t="shared" si="197"/>
        <v>8.537549407114625</v>
      </c>
    </row>
    <row r="6265" spans="1:14" x14ac:dyDescent="0.45">
      <c r="A6265" s="30">
        <v>2025</v>
      </c>
      <c r="B6265" s="30" t="s">
        <v>16</v>
      </c>
      <c r="C6265" s="30" t="s">
        <v>46</v>
      </c>
      <c r="D6265" s="30" t="s">
        <v>47</v>
      </c>
      <c r="E6265" s="31" t="s">
        <v>260</v>
      </c>
      <c r="F6265" s="31" t="s">
        <v>49</v>
      </c>
      <c r="G6265" s="32" t="s">
        <v>50</v>
      </c>
      <c r="H6265" s="33">
        <v>19730</v>
      </c>
      <c r="I6265" s="34">
        <f>Table3[[#This Row],[Volume, kg.]]/1000</f>
        <v>19.73</v>
      </c>
      <c r="J6265" s="34">
        <v>0.2253</v>
      </c>
      <c r="K6265" s="34">
        <f t="shared" si="196"/>
        <v>4445.1689999999999</v>
      </c>
      <c r="L6265" s="34">
        <v>2.0299999999999998</v>
      </c>
      <c r="M6265" s="34">
        <v>40006.5</v>
      </c>
      <c r="N6265" s="34">
        <f t="shared" si="197"/>
        <v>9.0102086107412322</v>
      </c>
    </row>
    <row r="6266" spans="1:14" x14ac:dyDescent="0.45">
      <c r="A6266" s="30">
        <v>2025</v>
      </c>
      <c r="B6266" s="30" t="s">
        <v>16</v>
      </c>
      <c r="C6266" s="30" t="s">
        <v>46</v>
      </c>
      <c r="D6266" s="30" t="s">
        <v>47</v>
      </c>
      <c r="E6266" s="31" t="s">
        <v>689</v>
      </c>
      <c r="F6266" s="31" t="s">
        <v>49</v>
      </c>
      <c r="G6266" s="32" t="s">
        <v>50</v>
      </c>
      <c r="H6266" s="33">
        <v>11550</v>
      </c>
      <c r="I6266" s="34">
        <f>Table3[[#This Row],[Volume, kg.]]/1000</f>
        <v>11.55</v>
      </c>
      <c r="J6266" s="34">
        <v>0.19600000000000001</v>
      </c>
      <c r="K6266" s="34">
        <f t="shared" si="196"/>
        <v>2263.8000000000002</v>
      </c>
      <c r="L6266" s="34">
        <v>1.9</v>
      </c>
      <c r="M6266" s="34">
        <v>21945</v>
      </c>
      <c r="N6266" s="34">
        <f t="shared" si="197"/>
        <v>9.6938775510204067</v>
      </c>
    </row>
    <row r="6267" spans="1:14" x14ac:dyDescent="0.45">
      <c r="A6267" s="30">
        <v>2025</v>
      </c>
      <c r="B6267" s="30" t="s">
        <v>16</v>
      </c>
      <c r="C6267" s="30" t="s">
        <v>46</v>
      </c>
      <c r="D6267" s="30" t="s">
        <v>47</v>
      </c>
      <c r="E6267" s="31" t="s">
        <v>187</v>
      </c>
      <c r="F6267" s="31" t="s">
        <v>54</v>
      </c>
      <c r="G6267" s="32" t="s">
        <v>50</v>
      </c>
      <c r="H6267" s="33">
        <v>26480</v>
      </c>
      <c r="I6267" s="34">
        <f>Table3[[#This Row],[Volume, kg.]]/1000</f>
        <v>26.48</v>
      </c>
      <c r="J6267" s="34">
        <v>0.20660000000000001</v>
      </c>
      <c r="K6267" s="34">
        <f t="shared" si="196"/>
        <v>5470.768</v>
      </c>
      <c r="L6267" s="34">
        <v>1.94</v>
      </c>
      <c r="M6267" s="34">
        <v>51291.5</v>
      </c>
      <c r="N6267" s="34">
        <f t="shared" si="197"/>
        <v>9.3901258470474342</v>
      </c>
    </row>
    <row r="6268" spans="1:14" x14ac:dyDescent="0.45">
      <c r="A6268" s="30">
        <v>2025</v>
      </c>
      <c r="B6268" s="30" t="s">
        <v>16</v>
      </c>
      <c r="C6268" s="30" t="s">
        <v>46</v>
      </c>
      <c r="D6268" s="30" t="s">
        <v>47</v>
      </c>
      <c r="E6268" s="31" t="s">
        <v>191</v>
      </c>
      <c r="F6268" s="31" t="s">
        <v>49</v>
      </c>
      <c r="G6268" s="32" t="s">
        <v>50</v>
      </c>
      <c r="H6268" s="33">
        <v>50550</v>
      </c>
      <c r="I6268" s="34">
        <f>Table3[[#This Row],[Volume, kg.]]/1000</f>
        <v>50.55</v>
      </c>
      <c r="J6268" s="34">
        <v>0.248</v>
      </c>
      <c r="K6268" s="34">
        <f t="shared" si="196"/>
        <v>12536.4</v>
      </c>
      <c r="L6268" s="34">
        <v>2.11</v>
      </c>
      <c r="M6268" s="34">
        <v>106830</v>
      </c>
      <c r="N6268" s="34">
        <f t="shared" si="197"/>
        <v>8.508064516129032</v>
      </c>
    </row>
    <row r="6269" spans="1:14" x14ac:dyDescent="0.45">
      <c r="A6269" s="30">
        <v>2025</v>
      </c>
      <c r="B6269" s="30" t="s">
        <v>16</v>
      </c>
      <c r="C6269" s="30" t="s">
        <v>46</v>
      </c>
      <c r="D6269" s="30" t="s">
        <v>47</v>
      </c>
      <c r="E6269" s="31" t="s">
        <v>291</v>
      </c>
      <c r="F6269" s="31" t="s">
        <v>57</v>
      </c>
      <c r="G6269" s="32" t="s">
        <v>50</v>
      </c>
      <c r="H6269" s="33">
        <v>116610</v>
      </c>
      <c r="I6269" s="34">
        <f>Table3[[#This Row],[Volume, kg.]]/1000</f>
        <v>116.61</v>
      </c>
      <c r="J6269" s="34">
        <v>0.2404</v>
      </c>
      <c r="K6269" s="34">
        <f t="shared" si="196"/>
        <v>28033.044000000002</v>
      </c>
      <c r="L6269" s="34">
        <v>2.09</v>
      </c>
      <c r="M6269" s="34">
        <v>244155.5</v>
      </c>
      <c r="N6269" s="34">
        <f t="shared" si="197"/>
        <v>8.6938435940099819</v>
      </c>
    </row>
    <row r="6270" spans="1:14" x14ac:dyDescent="0.45">
      <c r="A6270" s="30">
        <v>2025</v>
      </c>
      <c r="B6270" s="30" t="s">
        <v>16</v>
      </c>
      <c r="C6270" s="30" t="s">
        <v>46</v>
      </c>
      <c r="D6270" s="30" t="s">
        <v>47</v>
      </c>
      <c r="E6270" s="31" t="s">
        <v>352</v>
      </c>
      <c r="F6270" s="31" t="s">
        <v>54</v>
      </c>
      <c r="G6270" s="32" t="s">
        <v>50</v>
      </c>
      <c r="H6270" s="33">
        <v>152490</v>
      </c>
      <c r="I6270" s="34">
        <f>Table3[[#This Row],[Volume, kg.]]/1000</f>
        <v>152.49</v>
      </c>
      <c r="J6270" s="34">
        <v>0.24340000000000001</v>
      </c>
      <c r="K6270" s="34">
        <f t="shared" si="196"/>
        <v>37116.065999999999</v>
      </c>
      <c r="L6270" s="34">
        <v>2.1</v>
      </c>
      <c r="M6270" s="34">
        <v>319776</v>
      </c>
      <c r="N6270" s="34">
        <f t="shared" si="197"/>
        <v>8.6277732128184059</v>
      </c>
    </row>
    <row r="6271" spans="1:14" x14ac:dyDescent="0.45">
      <c r="A6271" s="30">
        <v>2025</v>
      </c>
      <c r="B6271" s="30" t="s">
        <v>16</v>
      </c>
      <c r="C6271" s="30" t="s">
        <v>46</v>
      </c>
      <c r="D6271" s="30" t="s">
        <v>47</v>
      </c>
      <c r="E6271" s="31" t="s">
        <v>465</v>
      </c>
      <c r="F6271" s="31" t="s">
        <v>57</v>
      </c>
      <c r="G6271" s="32" t="s">
        <v>50</v>
      </c>
      <c r="H6271" s="33">
        <v>164180</v>
      </c>
      <c r="I6271" s="34">
        <f>Table3[[#This Row],[Volume, kg.]]/1000</f>
        <v>164.18</v>
      </c>
      <c r="J6271" s="34">
        <v>0.25230000000000002</v>
      </c>
      <c r="K6271" s="34">
        <f t="shared" si="196"/>
        <v>41422.614000000001</v>
      </c>
      <c r="L6271" s="34">
        <v>2.15</v>
      </c>
      <c r="M6271" s="34">
        <v>352375.5</v>
      </c>
      <c r="N6271" s="34">
        <f t="shared" si="197"/>
        <v>8.5216012683313505</v>
      </c>
    </row>
    <row r="6272" spans="1:14" x14ac:dyDescent="0.45">
      <c r="A6272" s="30">
        <v>2025</v>
      </c>
      <c r="B6272" s="30" t="s">
        <v>16</v>
      </c>
      <c r="C6272" s="30" t="s">
        <v>46</v>
      </c>
      <c r="D6272" s="30" t="s">
        <v>47</v>
      </c>
      <c r="E6272" s="31" t="s">
        <v>110</v>
      </c>
      <c r="F6272" s="31" t="s">
        <v>57</v>
      </c>
      <c r="G6272" s="32" t="s">
        <v>50</v>
      </c>
      <c r="H6272" s="33">
        <v>28650</v>
      </c>
      <c r="I6272" s="34">
        <f>Table3[[#This Row],[Volume, kg.]]/1000</f>
        <v>28.65</v>
      </c>
      <c r="J6272" s="34">
        <v>0.24100000000000002</v>
      </c>
      <c r="K6272" s="34">
        <f t="shared" si="196"/>
        <v>6904.6500000000005</v>
      </c>
      <c r="L6272" s="34">
        <v>2.08</v>
      </c>
      <c r="M6272" s="34">
        <v>59645.5</v>
      </c>
      <c r="N6272" s="34">
        <f t="shared" si="197"/>
        <v>8.6307053941908709</v>
      </c>
    </row>
    <row r="6273" spans="1:14" x14ac:dyDescent="0.45">
      <c r="A6273" s="30">
        <v>2025</v>
      </c>
      <c r="B6273" s="30" t="s">
        <v>16</v>
      </c>
      <c r="C6273" s="30" t="s">
        <v>46</v>
      </c>
      <c r="D6273" s="30" t="s">
        <v>47</v>
      </c>
      <c r="E6273" s="31" t="s">
        <v>162</v>
      </c>
      <c r="F6273" s="31" t="s">
        <v>49</v>
      </c>
      <c r="G6273" s="32" t="s">
        <v>50</v>
      </c>
      <c r="H6273" s="33">
        <v>30580</v>
      </c>
      <c r="I6273" s="34">
        <f>Table3[[#This Row],[Volume, kg.]]/1000</f>
        <v>30.58</v>
      </c>
      <c r="J6273" s="34">
        <v>0.24929999999999999</v>
      </c>
      <c r="K6273" s="34">
        <f t="shared" si="196"/>
        <v>7623.5940000000001</v>
      </c>
      <c r="L6273" s="34">
        <v>2.09</v>
      </c>
      <c r="M6273" s="34">
        <v>63872</v>
      </c>
      <c r="N6273" s="34">
        <f t="shared" si="197"/>
        <v>8.3834737264340156</v>
      </c>
    </row>
    <row r="6274" spans="1:14" x14ac:dyDescent="0.45">
      <c r="A6274" s="30">
        <v>2025</v>
      </c>
      <c r="B6274" s="30" t="s">
        <v>16</v>
      </c>
      <c r="C6274" s="30" t="s">
        <v>46</v>
      </c>
      <c r="D6274" s="30" t="s">
        <v>47</v>
      </c>
      <c r="E6274" s="31" t="s">
        <v>385</v>
      </c>
      <c r="F6274" s="31" t="s">
        <v>57</v>
      </c>
      <c r="G6274" s="32" t="s">
        <v>50</v>
      </c>
      <c r="H6274" s="33">
        <v>110480</v>
      </c>
      <c r="I6274" s="34">
        <f>Table3[[#This Row],[Volume, kg.]]/1000</f>
        <v>110.48</v>
      </c>
      <c r="J6274" s="34">
        <v>0.25700000000000001</v>
      </c>
      <c r="K6274" s="34">
        <f t="shared" si="196"/>
        <v>28393.360000000001</v>
      </c>
      <c r="L6274" s="34">
        <v>2.15</v>
      </c>
      <c r="M6274" s="34">
        <v>237792.5</v>
      </c>
      <c r="N6274" s="34">
        <f t="shared" si="197"/>
        <v>8.3657587548638119</v>
      </c>
    </row>
    <row r="6275" spans="1:14" x14ac:dyDescent="0.45">
      <c r="A6275" s="30">
        <v>2025</v>
      </c>
      <c r="B6275" s="30" t="s">
        <v>16</v>
      </c>
      <c r="C6275" s="30" t="s">
        <v>46</v>
      </c>
      <c r="D6275" s="30" t="s">
        <v>47</v>
      </c>
      <c r="E6275" s="31" t="s">
        <v>142</v>
      </c>
      <c r="F6275" s="31" t="s">
        <v>57</v>
      </c>
      <c r="G6275" s="32" t="s">
        <v>50</v>
      </c>
      <c r="H6275" s="33">
        <v>72590</v>
      </c>
      <c r="I6275" s="34">
        <f>Table3[[#This Row],[Volume, kg.]]/1000</f>
        <v>72.59</v>
      </c>
      <c r="J6275" s="34">
        <v>0.25379999999999997</v>
      </c>
      <c r="K6275" s="34">
        <f t="shared" si="196"/>
        <v>18423.341999999997</v>
      </c>
      <c r="L6275" s="34">
        <v>2.17</v>
      </c>
      <c r="M6275" s="34">
        <v>157834</v>
      </c>
      <c r="N6275" s="34">
        <f t="shared" si="197"/>
        <v>8.5500394011032324</v>
      </c>
    </row>
    <row r="6276" spans="1:14" x14ac:dyDescent="0.45">
      <c r="A6276" s="30">
        <v>2025</v>
      </c>
      <c r="B6276" s="30" t="s">
        <v>16</v>
      </c>
      <c r="C6276" s="30" t="s">
        <v>46</v>
      </c>
      <c r="D6276" s="30" t="s">
        <v>47</v>
      </c>
      <c r="E6276" s="31" t="s">
        <v>160</v>
      </c>
      <c r="F6276" s="31" t="s">
        <v>49</v>
      </c>
      <c r="G6276" s="32" t="s">
        <v>50</v>
      </c>
      <c r="H6276" s="33">
        <v>59220</v>
      </c>
      <c r="I6276" s="34">
        <f>Table3[[#This Row],[Volume, kg.]]/1000</f>
        <v>59.22</v>
      </c>
      <c r="J6276" s="34">
        <v>0.24710000000000001</v>
      </c>
      <c r="K6276" s="34">
        <f t="shared" si="196"/>
        <v>14633.262000000001</v>
      </c>
      <c r="L6276" s="34">
        <v>2.14</v>
      </c>
      <c r="M6276" s="34">
        <v>126731.5</v>
      </c>
      <c r="N6276" s="34">
        <f t="shared" si="197"/>
        <v>8.6604613516794817</v>
      </c>
    </row>
    <row r="6277" spans="1:14" x14ac:dyDescent="0.45">
      <c r="A6277" s="30">
        <v>2025</v>
      </c>
      <c r="B6277" s="30" t="s">
        <v>16</v>
      </c>
      <c r="C6277" s="30" t="s">
        <v>46</v>
      </c>
      <c r="D6277" s="30" t="s">
        <v>47</v>
      </c>
      <c r="E6277" s="31" t="s">
        <v>86</v>
      </c>
      <c r="F6277" s="31" t="s">
        <v>49</v>
      </c>
      <c r="G6277" s="32" t="s">
        <v>50</v>
      </c>
      <c r="H6277" s="33">
        <v>199220</v>
      </c>
      <c r="I6277" s="34">
        <f>Table3[[#This Row],[Volume, kg.]]/1000</f>
        <v>199.22</v>
      </c>
      <c r="J6277" s="34">
        <v>0.21899999999999997</v>
      </c>
      <c r="K6277" s="34">
        <f t="shared" si="196"/>
        <v>43629.179999999993</v>
      </c>
      <c r="L6277" s="34">
        <v>1.98</v>
      </c>
      <c r="M6277" s="34">
        <v>394680</v>
      </c>
      <c r="N6277" s="34">
        <f t="shared" si="197"/>
        <v>9.0410958904109595</v>
      </c>
    </row>
    <row r="6278" spans="1:14" x14ac:dyDescent="0.45">
      <c r="A6278" s="30">
        <v>2025</v>
      </c>
      <c r="B6278" s="30" t="s">
        <v>16</v>
      </c>
      <c r="C6278" s="30" t="s">
        <v>46</v>
      </c>
      <c r="D6278" s="30" t="s">
        <v>47</v>
      </c>
      <c r="E6278" s="31" t="s">
        <v>523</v>
      </c>
      <c r="F6278" s="31" t="s">
        <v>49</v>
      </c>
      <c r="G6278" s="32" t="s">
        <v>50</v>
      </c>
      <c r="H6278" s="33">
        <v>44040</v>
      </c>
      <c r="I6278" s="34">
        <f>Table3[[#This Row],[Volume, kg.]]/1000</f>
        <v>44.04</v>
      </c>
      <c r="J6278" s="34">
        <v>0.25109999999999999</v>
      </c>
      <c r="K6278" s="34">
        <f t="shared" si="196"/>
        <v>11058.444</v>
      </c>
      <c r="L6278" s="34">
        <v>2.15</v>
      </c>
      <c r="M6278" s="34">
        <v>94684.5</v>
      </c>
      <c r="N6278" s="34">
        <f t="shared" si="197"/>
        <v>8.5623257666268415</v>
      </c>
    </row>
    <row r="6279" spans="1:14" x14ac:dyDescent="0.45">
      <c r="A6279" s="30">
        <v>2025</v>
      </c>
      <c r="B6279" s="30" t="s">
        <v>16</v>
      </c>
      <c r="C6279" s="30" t="s">
        <v>46</v>
      </c>
      <c r="D6279" s="30" t="s">
        <v>47</v>
      </c>
      <c r="E6279" s="31" t="s">
        <v>451</v>
      </c>
      <c r="F6279" s="31" t="s">
        <v>54</v>
      </c>
      <c r="G6279" s="32" t="s">
        <v>50</v>
      </c>
      <c r="H6279" s="33">
        <v>24010</v>
      </c>
      <c r="I6279" s="34">
        <f>Table3[[#This Row],[Volume, kg.]]/1000</f>
        <v>24.01</v>
      </c>
      <c r="J6279" s="34">
        <v>0.20949999999999999</v>
      </c>
      <c r="K6279" s="34">
        <f t="shared" si="196"/>
        <v>5030.0950000000003</v>
      </c>
      <c r="L6279" s="34">
        <v>1.91</v>
      </c>
      <c r="M6279" s="34">
        <v>45774.5</v>
      </c>
      <c r="N6279" s="34">
        <f t="shared" si="197"/>
        <v>9.1169451073985677</v>
      </c>
    </row>
    <row r="6280" spans="1:14" x14ac:dyDescent="0.45">
      <c r="A6280" s="30">
        <v>2025</v>
      </c>
      <c r="B6280" s="30" t="s">
        <v>16</v>
      </c>
      <c r="C6280" s="30" t="s">
        <v>46</v>
      </c>
      <c r="D6280" s="30" t="s">
        <v>47</v>
      </c>
      <c r="E6280" s="31" t="s">
        <v>431</v>
      </c>
      <c r="F6280" s="31" t="s">
        <v>49</v>
      </c>
      <c r="G6280" s="32" t="s">
        <v>50</v>
      </c>
      <c r="H6280" s="33">
        <v>102190</v>
      </c>
      <c r="I6280" s="34">
        <f>Table3[[#This Row],[Volume, kg.]]/1000</f>
        <v>102.19</v>
      </c>
      <c r="J6280" s="34">
        <v>0.24050000000000002</v>
      </c>
      <c r="K6280" s="34">
        <f t="shared" ref="K6280:K6343" si="198">H6280*J6280</f>
        <v>24576.695000000003</v>
      </c>
      <c r="L6280" s="34">
        <v>2.08</v>
      </c>
      <c r="M6280" s="34">
        <v>212682</v>
      </c>
      <c r="N6280" s="34">
        <f t="shared" ref="N6280:N6343" si="199">L6280/J6280</f>
        <v>8.6486486486486491</v>
      </c>
    </row>
    <row r="6281" spans="1:14" x14ac:dyDescent="0.45">
      <c r="A6281" s="30">
        <v>2025</v>
      </c>
      <c r="B6281" s="30" t="s">
        <v>16</v>
      </c>
      <c r="C6281" s="30" t="s">
        <v>46</v>
      </c>
      <c r="D6281" s="30" t="s">
        <v>47</v>
      </c>
      <c r="E6281" s="31" t="s">
        <v>167</v>
      </c>
      <c r="F6281" s="31" t="s">
        <v>49</v>
      </c>
      <c r="G6281" s="32" t="s">
        <v>50</v>
      </c>
      <c r="H6281" s="33">
        <v>282080</v>
      </c>
      <c r="I6281" s="34">
        <f>Table3[[#This Row],[Volume, kg.]]/1000</f>
        <v>282.08</v>
      </c>
      <c r="J6281" s="34">
        <v>0.24299999999999999</v>
      </c>
      <c r="K6281" s="34">
        <f t="shared" si="198"/>
        <v>68545.440000000002</v>
      </c>
      <c r="L6281" s="34">
        <v>2.09</v>
      </c>
      <c r="M6281" s="34">
        <v>590121.5</v>
      </c>
      <c r="N6281" s="34">
        <f t="shared" si="199"/>
        <v>8.6008230452674894</v>
      </c>
    </row>
    <row r="6282" spans="1:14" x14ac:dyDescent="0.45">
      <c r="A6282" s="30">
        <v>2025</v>
      </c>
      <c r="B6282" s="30" t="s">
        <v>16</v>
      </c>
      <c r="C6282" s="30" t="s">
        <v>46</v>
      </c>
      <c r="D6282" s="30" t="s">
        <v>47</v>
      </c>
      <c r="E6282" s="31" t="s">
        <v>329</v>
      </c>
      <c r="F6282" s="31" t="s">
        <v>49</v>
      </c>
      <c r="G6282" s="32" t="s">
        <v>50</v>
      </c>
      <c r="H6282" s="33">
        <v>106430</v>
      </c>
      <c r="I6282" s="34">
        <f>Table3[[#This Row],[Volume, kg.]]/1000</f>
        <v>106.43</v>
      </c>
      <c r="J6282" s="34">
        <v>0.2445</v>
      </c>
      <c r="K6282" s="34">
        <f t="shared" si="198"/>
        <v>26022.134999999998</v>
      </c>
      <c r="L6282" s="34">
        <v>2.09</v>
      </c>
      <c r="M6282" s="34">
        <v>222174</v>
      </c>
      <c r="N6282" s="34">
        <f t="shared" si="199"/>
        <v>8.5480572597137012</v>
      </c>
    </row>
    <row r="6283" spans="1:14" x14ac:dyDescent="0.45">
      <c r="A6283" s="30">
        <v>2025</v>
      </c>
      <c r="B6283" s="30" t="s">
        <v>16</v>
      </c>
      <c r="C6283" s="30" t="s">
        <v>46</v>
      </c>
      <c r="D6283" s="30" t="s">
        <v>47</v>
      </c>
      <c r="E6283" s="31" t="s">
        <v>190</v>
      </c>
      <c r="F6283" s="31" t="s">
        <v>81</v>
      </c>
      <c r="G6283" s="32" t="s">
        <v>50</v>
      </c>
      <c r="H6283" s="33">
        <v>19780</v>
      </c>
      <c r="I6283" s="34">
        <f>Table3[[#This Row],[Volume, kg.]]/1000</f>
        <v>19.78</v>
      </c>
      <c r="J6283" s="34">
        <v>0.23079999999999998</v>
      </c>
      <c r="K6283" s="34">
        <f t="shared" si="198"/>
        <v>4565.2239999999993</v>
      </c>
      <c r="L6283" s="34">
        <v>2.0499999999999998</v>
      </c>
      <c r="M6283" s="34">
        <v>40549</v>
      </c>
      <c r="N6283" s="34">
        <f t="shared" si="199"/>
        <v>8.88214904679376</v>
      </c>
    </row>
    <row r="6284" spans="1:14" x14ac:dyDescent="0.45">
      <c r="A6284" s="30">
        <v>2025</v>
      </c>
      <c r="B6284" s="30" t="s">
        <v>16</v>
      </c>
      <c r="C6284" s="30" t="s">
        <v>46</v>
      </c>
      <c r="D6284" s="30" t="s">
        <v>47</v>
      </c>
      <c r="E6284" s="31" t="s">
        <v>466</v>
      </c>
      <c r="F6284" s="31" t="s">
        <v>57</v>
      </c>
      <c r="G6284" s="32" t="s">
        <v>50</v>
      </c>
      <c r="H6284" s="33">
        <v>21880</v>
      </c>
      <c r="I6284" s="34">
        <f>Table3[[#This Row],[Volume, kg.]]/1000</f>
        <v>21.88</v>
      </c>
      <c r="J6284" s="34">
        <v>0.24460000000000001</v>
      </c>
      <c r="K6284" s="34">
        <f t="shared" si="198"/>
        <v>5351.848</v>
      </c>
      <c r="L6284" s="34">
        <v>2.12</v>
      </c>
      <c r="M6284" s="34">
        <v>46365</v>
      </c>
      <c r="N6284" s="34">
        <f t="shared" si="199"/>
        <v>8.6672117743254287</v>
      </c>
    </row>
    <row r="6285" spans="1:14" x14ac:dyDescent="0.45">
      <c r="A6285" s="30">
        <v>2025</v>
      </c>
      <c r="B6285" s="30" t="s">
        <v>16</v>
      </c>
      <c r="C6285" s="30" t="s">
        <v>46</v>
      </c>
      <c r="D6285" s="30" t="s">
        <v>47</v>
      </c>
      <c r="E6285" s="31" t="s">
        <v>241</v>
      </c>
      <c r="F6285" s="31" t="s">
        <v>57</v>
      </c>
      <c r="G6285" s="32" t="s">
        <v>50</v>
      </c>
      <c r="H6285" s="33">
        <v>46650</v>
      </c>
      <c r="I6285" s="34">
        <f>Table3[[#This Row],[Volume, kg.]]/1000</f>
        <v>46.65</v>
      </c>
      <c r="J6285" s="34">
        <v>0.2225</v>
      </c>
      <c r="K6285" s="34">
        <f t="shared" si="198"/>
        <v>10379.625</v>
      </c>
      <c r="L6285" s="34">
        <v>2</v>
      </c>
      <c r="M6285" s="34">
        <v>93220</v>
      </c>
      <c r="N6285" s="34">
        <f t="shared" si="199"/>
        <v>8.9887640449438209</v>
      </c>
    </row>
    <row r="6286" spans="1:14" x14ac:dyDescent="0.45">
      <c r="A6286" s="30">
        <v>2025</v>
      </c>
      <c r="B6286" s="30" t="s">
        <v>16</v>
      </c>
      <c r="C6286" s="30" t="s">
        <v>46</v>
      </c>
      <c r="D6286" s="30" t="s">
        <v>47</v>
      </c>
      <c r="E6286" s="31" t="s">
        <v>263</v>
      </c>
      <c r="F6286" s="31" t="s">
        <v>81</v>
      </c>
      <c r="G6286" s="32" t="s">
        <v>50</v>
      </c>
      <c r="H6286" s="33">
        <v>77480</v>
      </c>
      <c r="I6286" s="34">
        <f>Table3[[#This Row],[Volume, kg.]]/1000</f>
        <v>77.48</v>
      </c>
      <c r="J6286" s="34">
        <v>0.2422</v>
      </c>
      <c r="K6286" s="34">
        <f t="shared" si="198"/>
        <v>18765.655999999999</v>
      </c>
      <c r="L6286" s="34">
        <v>2.1</v>
      </c>
      <c r="M6286" s="34">
        <v>162756</v>
      </c>
      <c r="N6286" s="34">
        <f t="shared" si="199"/>
        <v>8.6705202312138727</v>
      </c>
    </row>
    <row r="6287" spans="1:14" x14ac:dyDescent="0.45">
      <c r="A6287" s="30">
        <v>2025</v>
      </c>
      <c r="B6287" s="30" t="s">
        <v>16</v>
      </c>
      <c r="C6287" s="30" t="s">
        <v>46</v>
      </c>
      <c r="D6287" s="30" t="s">
        <v>47</v>
      </c>
      <c r="E6287" s="31" t="s">
        <v>333</v>
      </c>
      <c r="F6287" s="31" t="s">
        <v>57</v>
      </c>
      <c r="G6287" s="32" t="s">
        <v>50</v>
      </c>
      <c r="H6287" s="33">
        <v>75880</v>
      </c>
      <c r="I6287" s="34">
        <f>Table3[[#This Row],[Volume, kg.]]/1000</f>
        <v>75.88</v>
      </c>
      <c r="J6287" s="34">
        <v>0.26200000000000001</v>
      </c>
      <c r="K6287" s="34">
        <f t="shared" si="198"/>
        <v>19880.560000000001</v>
      </c>
      <c r="L6287" s="34">
        <v>2.21</v>
      </c>
      <c r="M6287" s="34">
        <v>167655</v>
      </c>
      <c r="N6287" s="34">
        <f t="shared" si="199"/>
        <v>8.4351145038167932</v>
      </c>
    </row>
    <row r="6288" spans="1:14" x14ac:dyDescent="0.45">
      <c r="A6288" s="30">
        <v>2025</v>
      </c>
      <c r="B6288" s="30" t="s">
        <v>16</v>
      </c>
      <c r="C6288" s="30" t="s">
        <v>46</v>
      </c>
      <c r="D6288" s="30" t="s">
        <v>47</v>
      </c>
      <c r="E6288" s="31" t="s">
        <v>236</v>
      </c>
      <c r="F6288" s="31" t="s">
        <v>49</v>
      </c>
      <c r="G6288" s="32" t="s">
        <v>50</v>
      </c>
      <c r="H6288" s="33">
        <v>70230</v>
      </c>
      <c r="I6288" s="34">
        <f>Table3[[#This Row],[Volume, kg.]]/1000</f>
        <v>70.23</v>
      </c>
      <c r="J6288" s="34">
        <v>0.2397</v>
      </c>
      <c r="K6288" s="34">
        <f t="shared" si="198"/>
        <v>16834.131000000001</v>
      </c>
      <c r="L6288" s="34">
        <v>2.0699999999999998</v>
      </c>
      <c r="M6288" s="34">
        <v>145397.5</v>
      </c>
      <c r="N6288" s="34">
        <f t="shared" si="199"/>
        <v>8.6357947434292868</v>
      </c>
    </row>
    <row r="6289" spans="1:14" x14ac:dyDescent="0.45">
      <c r="A6289" s="30">
        <v>2025</v>
      </c>
      <c r="B6289" s="30" t="s">
        <v>16</v>
      </c>
      <c r="C6289" s="30" t="s">
        <v>46</v>
      </c>
      <c r="D6289" s="30" t="s">
        <v>47</v>
      </c>
      <c r="E6289" s="31" t="s">
        <v>527</v>
      </c>
      <c r="F6289" s="31" t="s">
        <v>60</v>
      </c>
      <c r="G6289" s="32" t="s">
        <v>50</v>
      </c>
      <c r="H6289" s="33">
        <v>70840</v>
      </c>
      <c r="I6289" s="34">
        <f>Table3[[#This Row],[Volume, kg.]]/1000</f>
        <v>70.84</v>
      </c>
      <c r="J6289" s="34">
        <v>0.2407</v>
      </c>
      <c r="K6289" s="34">
        <f t="shared" si="198"/>
        <v>17051.187999999998</v>
      </c>
      <c r="L6289" s="34">
        <v>2.1</v>
      </c>
      <c r="M6289" s="34">
        <v>148725.5</v>
      </c>
      <c r="N6289" s="34">
        <f t="shared" si="199"/>
        <v>8.7245533859576234</v>
      </c>
    </row>
    <row r="6290" spans="1:14" x14ac:dyDescent="0.45">
      <c r="A6290" s="30">
        <v>2025</v>
      </c>
      <c r="B6290" s="30" t="s">
        <v>16</v>
      </c>
      <c r="C6290" s="30" t="s">
        <v>46</v>
      </c>
      <c r="D6290" s="30" t="s">
        <v>47</v>
      </c>
      <c r="E6290" s="31" t="s">
        <v>121</v>
      </c>
      <c r="F6290" s="31" t="s">
        <v>60</v>
      </c>
      <c r="G6290" s="32" t="s">
        <v>50</v>
      </c>
      <c r="H6290" s="33">
        <v>15160</v>
      </c>
      <c r="I6290" s="34">
        <f>Table3[[#This Row],[Volume, kg.]]/1000</f>
        <v>15.16</v>
      </c>
      <c r="J6290" s="34">
        <v>0.20899999999999999</v>
      </c>
      <c r="K6290" s="34">
        <f t="shared" si="198"/>
        <v>3168.44</v>
      </c>
      <c r="L6290" s="34">
        <v>1.95</v>
      </c>
      <c r="M6290" s="34">
        <v>29562</v>
      </c>
      <c r="N6290" s="34">
        <f t="shared" si="199"/>
        <v>9.330143540669857</v>
      </c>
    </row>
    <row r="6291" spans="1:14" x14ac:dyDescent="0.45">
      <c r="A6291" s="30">
        <v>2025</v>
      </c>
      <c r="B6291" s="30" t="s">
        <v>16</v>
      </c>
      <c r="C6291" s="30" t="s">
        <v>46</v>
      </c>
      <c r="D6291" s="30" t="s">
        <v>47</v>
      </c>
      <c r="E6291" s="31" t="s">
        <v>313</v>
      </c>
      <c r="F6291" s="31" t="s">
        <v>60</v>
      </c>
      <c r="G6291" s="32" t="s">
        <v>50</v>
      </c>
      <c r="H6291" s="33">
        <v>59260</v>
      </c>
      <c r="I6291" s="34">
        <f>Table3[[#This Row],[Volume, kg.]]/1000</f>
        <v>59.26</v>
      </c>
      <c r="J6291" s="34">
        <v>0.25579999999999997</v>
      </c>
      <c r="K6291" s="34">
        <f t="shared" si="198"/>
        <v>15158.707999999999</v>
      </c>
      <c r="L6291" s="34">
        <v>2.17</v>
      </c>
      <c r="M6291" s="34">
        <v>128866.5</v>
      </c>
      <c r="N6291" s="34">
        <f t="shared" si="199"/>
        <v>8.4831899921813925</v>
      </c>
    </row>
    <row r="6292" spans="1:14" x14ac:dyDescent="0.45">
      <c r="A6292" s="30">
        <v>2025</v>
      </c>
      <c r="B6292" s="30" t="s">
        <v>16</v>
      </c>
      <c r="C6292" s="30" t="s">
        <v>46</v>
      </c>
      <c r="D6292" s="30" t="s">
        <v>47</v>
      </c>
      <c r="E6292" s="31" t="s">
        <v>288</v>
      </c>
      <c r="F6292" s="31" t="s">
        <v>49</v>
      </c>
      <c r="G6292" s="32" t="s">
        <v>50</v>
      </c>
      <c r="H6292" s="33">
        <v>55060</v>
      </c>
      <c r="I6292" s="34">
        <f>Table3[[#This Row],[Volume, kg.]]/1000</f>
        <v>55.06</v>
      </c>
      <c r="J6292" s="34">
        <v>0.25989999999999996</v>
      </c>
      <c r="K6292" s="34">
        <f t="shared" si="198"/>
        <v>14310.093999999997</v>
      </c>
      <c r="L6292" s="34">
        <v>2.19</v>
      </c>
      <c r="M6292" s="34">
        <v>120806.5</v>
      </c>
      <c r="N6292" s="34">
        <f t="shared" si="199"/>
        <v>8.4263178145440563</v>
      </c>
    </row>
    <row r="6293" spans="1:14" x14ac:dyDescent="0.45">
      <c r="A6293" s="30">
        <v>2025</v>
      </c>
      <c r="B6293" s="30" t="s">
        <v>16</v>
      </c>
      <c r="C6293" s="30" t="s">
        <v>46</v>
      </c>
      <c r="D6293" s="30" t="s">
        <v>47</v>
      </c>
      <c r="E6293" s="31" t="s">
        <v>70</v>
      </c>
      <c r="F6293" s="31" t="s">
        <v>49</v>
      </c>
      <c r="G6293" s="32" t="s">
        <v>50</v>
      </c>
      <c r="H6293" s="33">
        <v>96190</v>
      </c>
      <c r="I6293" s="34">
        <f>Table3[[#This Row],[Volume, kg.]]/1000</f>
        <v>96.19</v>
      </c>
      <c r="J6293" s="34">
        <v>0.2492</v>
      </c>
      <c r="K6293" s="34">
        <f t="shared" si="198"/>
        <v>23970.547999999999</v>
      </c>
      <c r="L6293" s="34">
        <v>2.14</v>
      </c>
      <c r="M6293" s="34">
        <v>205581.5</v>
      </c>
      <c r="N6293" s="34">
        <f t="shared" si="199"/>
        <v>8.5874799357945424</v>
      </c>
    </row>
    <row r="6294" spans="1:14" x14ac:dyDescent="0.45">
      <c r="A6294" s="30">
        <v>2025</v>
      </c>
      <c r="B6294" s="30" t="s">
        <v>16</v>
      </c>
      <c r="C6294" s="30" t="s">
        <v>46</v>
      </c>
      <c r="D6294" s="30" t="s">
        <v>47</v>
      </c>
      <c r="E6294" s="31" t="s">
        <v>265</v>
      </c>
      <c r="F6294" s="31" t="s">
        <v>49</v>
      </c>
      <c r="G6294" s="32" t="s">
        <v>50</v>
      </c>
      <c r="H6294" s="33">
        <v>89990</v>
      </c>
      <c r="I6294" s="34">
        <f>Table3[[#This Row],[Volume, kg.]]/1000</f>
        <v>89.99</v>
      </c>
      <c r="J6294" s="34">
        <v>0.2422</v>
      </c>
      <c r="K6294" s="34">
        <f t="shared" si="198"/>
        <v>21795.578000000001</v>
      </c>
      <c r="L6294" s="34">
        <v>2.0699999999999998</v>
      </c>
      <c r="M6294" s="34">
        <v>186672</v>
      </c>
      <c r="N6294" s="34">
        <f t="shared" si="199"/>
        <v>8.5466556564822458</v>
      </c>
    </row>
    <row r="6295" spans="1:14" x14ac:dyDescent="0.45">
      <c r="A6295" s="30">
        <v>2025</v>
      </c>
      <c r="B6295" s="30" t="s">
        <v>16</v>
      </c>
      <c r="C6295" s="30" t="s">
        <v>46</v>
      </c>
      <c r="D6295" s="30" t="s">
        <v>47</v>
      </c>
      <c r="E6295" s="31" t="s">
        <v>467</v>
      </c>
      <c r="F6295" s="31" t="s">
        <v>57</v>
      </c>
      <c r="G6295" s="32" t="s">
        <v>50</v>
      </c>
      <c r="H6295" s="33">
        <v>62170</v>
      </c>
      <c r="I6295" s="34">
        <f>Table3[[#This Row],[Volume, kg.]]/1000</f>
        <v>62.17</v>
      </c>
      <c r="J6295" s="34">
        <v>0.25950000000000001</v>
      </c>
      <c r="K6295" s="34">
        <f t="shared" si="198"/>
        <v>16133.115</v>
      </c>
      <c r="L6295" s="34">
        <v>2.2000000000000002</v>
      </c>
      <c r="M6295" s="34">
        <v>136488.5</v>
      </c>
      <c r="N6295" s="34">
        <f t="shared" si="199"/>
        <v>8.4778420038535653</v>
      </c>
    </row>
    <row r="6296" spans="1:14" x14ac:dyDescent="0.45">
      <c r="A6296" s="30">
        <v>2025</v>
      </c>
      <c r="B6296" s="30" t="s">
        <v>16</v>
      </c>
      <c r="C6296" s="30" t="s">
        <v>46</v>
      </c>
      <c r="D6296" s="30" t="s">
        <v>47</v>
      </c>
      <c r="E6296" s="31" t="s">
        <v>192</v>
      </c>
      <c r="F6296" s="31" t="s">
        <v>49</v>
      </c>
      <c r="G6296" s="32" t="s">
        <v>50</v>
      </c>
      <c r="H6296" s="33">
        <v>5920</v>
      </c>
      <c r="I6296" s="34">
        <f>Table3[[#This Row],[Volume, kg.]]/1000</f>
        <v>5.92</v>
      </c>
      <c r="J6296" s="34">
        <v>0.24299999999999999</v>
      </c>
      <c r="K6296" s="34">
        <f t="shared" si="198"/>
        <v>1438.56</v>
      </c>
      <c r="L6296" s="34">
        <v>2.0499999999999998</v>
      </c>
      <c r="M6296" s="34">
        <v>12136</v>
      </c>
      <c r="N6296" s="34">
        <f t="shared" si="199"/>
        <v>8.4362139917695469</v>
      </c>
    </row>
    <row r="6297" spans="1:14" x14ac:dyDescent="0.45">
      <c r="A6297" s="30">
        <v>2025</v>
      </c>
      <c r="B6297" s="30" t="s">
        <v>16</v>
      </c>
      <c r="C6297" s="30" t="s">
        <v>46</v>
      </c>
      <c r="D6297" s="30" t="s">
        <v>47</v>
      </c>
      <c r="E6297" s="31" t="s">
        <v>277</v>
      </c>
      <c r="F6297" s="31" t="s">
        <v>60</v>
      </c>
      <c r="G6297" s="32" t="s">
        <v>50</v>
      </c>
      <c r="H6297" s="33">
        <v>32620</v>
      </c>
      <c r="I6297" s="34">
        <f>Table3[[#This Row],[Volume, kg.]]/1000</f>
        <v>32.619999999999997</v>
      </c>
      <c r="J6297" s="34">
        <v>0.2084</v>
      </c>
      <c r="K6297" s="34">
        <f t="shared" si="198"/>
        <v>6798.0079999999998</v>
      </c>
      <c r="L6297" s="34">
        <v>1.92</v>
      </c>
      <c r="M6297" s="34">
        <v>62752.5</v>
      </c>
      <c r="N6297" s="34">
        <f t="shared" si="199"/>
        <v>9.2130518234165066</v>
      </c>
    </row>
    <row r="6298" spans="1:14" x14ac:dyDescent="0.45">
      <c r="A6298" s="30">
        <v>2025</v>
      </c>
      <c r="B6298" s="30" t="s">
        <v>16</v>
      </c>
      <c r="C6298" s="30" t="s">
        <v>46</v>
      </c>
      <c r="D6298" s="30" t="s">
        <v>47</v>
      </c>
      <c r="E6298" s="31" t="s">
        <v>324</v>
      </c>
      <c r="F6298" s="31" t="s">
        <v>81</v>
      </c>
      <c r="G6298" s="32" t="s">
        <v>50</v>
      </c>
      <c r="H6298" s="33">
        <v>195770</v>
      </c>
      <c r="I6298" s="34">
        <f>Table3[[#This Row],[Volume, kg.]]/1000</f>
        <v>195.77</v>
      </c>
      <c r="J6298" s="34">
        <v>0.23440000000000003</v>
      </c>
      <c r="K6298" s="34">
        <f t="shared" si="198"/>
        <v>45888.488000000005</v>
      </c>
      <c r="L6298" s="34">
        <v>2.0499999999999998</v>
      </c>
      <c r="M6298" s="34">
        <v>401272.5</v>
      </c>
      <c r="N6298" s="34">
        <f t="shared" si="199"/>
        <v>8.7457337883959028</v>
      </c>
    </row>
    <row r="6299" spans="1:14" x14ac:dyDescent="0.45">
      <c r="A6299" s="30">
        <v>2025</v>
      </c>
      <c r="B6299" s="30" t="s">
        <v>16</v>
      </c>
      <c r="C6299" s="30" t="s">
        <v>46</v>
      </c>
      <c r="D6299" s="30" t="s">
        <v>47</v>
      </c>
      <c r="E6299" s="31" t="s">
        <v>74</v>
      </c>
      <c r="F6299" s="31" t="s">
        <v>49</v>
      </c>
      <c r="G6299" s="32" t="s">
        <v>50</v>
      </c>
      <c r="H6299" s="33">
        <v>47830</v>
      </c>
      <c r="I6299" s="34">
        <f>Table3[[#This Row],[Volume, kg.]]/1000</f>
        <v>47.83</v>
      </c>
      <c r="J6299" s="34">
        <v>0.24989999999999998</v>
      </c>
      <c r="K6299" s="34">
        <f t="shared" si="198"/>
        <v>11952.716999999999</v>
      </c>
      <c r="L6299" s="34">
        <v>2.13</v>
      </c>
      <c r="M6299" s="34">
        <v>102014</v>
      </c>
      <c r="N6299" s="34">
        <f t="shared" si="199"/>
        <v>8.5234093637454986</v>
      </c>
    </row>
    <row r="6300" spans="1:14" x14ac:dyDescent="0.45">
      <c r="A6300" s="30">
        <v>2025</v>
      </c>
      <c r="B6300" s="30" t="s">
        <v>16</v>
      </c>
      <c r="C6300" s="30" t="s">
        <v>46</v>
      </c>
      <c r="D6300" s="30" t="s">
        <v>47</v>
      </c>
      <c r="E6300" s="31" t="s">
        <v>135</v>
      </c>
      <c r="F6300" s="31" t="s">
        <v>49</v>
      </c>
      <c r="G6300" s="32" t="s">
        <v>50</v>
      </c>
      <c r="H6300" s="33">
        <v>12070</v>
      </c>
      <c r="I6300" s="34">
        <f>Table3[[#This Row],[Volume, kg.]]/1000</f>
        <v>12.07</v>
      </c>
      <c r="J6300" s="34">
        <v>0.23050000000000001</v>
      </c>
      <c r="K6300" s="34">
        <f t="shared" si="198"/>
        <v>2782.1350000000002</v>
      </c>
      <c r="L6300" s="34">
        <v>2</v>
      </c>
      <c r="M6300" s="34">
        <v>24140</v>
      </c>
      <c r="N6300" s="34">
        <f t="shared" si="199"/>
        <v>8.676789587852495</v>
      </c>
    </row>
    <row r="6301" spans="1:14" x14ac:dyDescent="0.45">
      <c r="A6301" s="30">
        <v>2025</v>
      </c>
      <c r="B6301" s="30" t="s">
        <v>16</v>
      </c>
      <c r="C6301" s="30" t="s">
        <v>46</v>
      </c>
      <c r="D6301" s="30" t="s">
        <v>47</v>
      </c>
      <c r="E6301" s="31" t="s">
        <v>125</v>
      </c>
      <c r="F6301" s="31" t="s">
        <v>60</v>
      </c>
      <c r="G6301" s="32" t="s">
        <v>50</v>
      </c>
      <c r="H6301" s="33">
        <v>34220</v>
      </c>
      <c r="I6301" s="34">
        <f>Table3[[#This Row],[Volume, kg.]]/1000</f>
        <v>34.22</v>
      </c>
      <c r="J6301" s="34">
        <v>0.2412</v>
      </c>
      <c r="K6301" s="34">
        <f t="shared" si="198"/>
        <v>8253.8639999999996</v>
      </c>
      <c r="L6301" s="34">
        <v>2.08</v>
      </c>
      <c r="M6301" s="34">
        <v>71234.5</v>
      </c>
      <c r="N6301" s="34">
        <f t="shared" si="199"/>
        <v>8.6235489220563846</v>
      </c>
    </row>
    <row r="6302" spans="1:14" x14ac:dyDescent="0.45">
      <c r="A6302" s="30">
        <v>2025</v>
      </c>
      <c r="B6302" s="30" t="s">
        <v>16</v>
      </c>
      <c r="C6302" s="30" t="s">
        <v>46</v>
      </c>
      <c r="D6302" s="30" t="s">
        <v>47</v>
      </c>
      <c r="E6302" s="31" t="s">
        <v>390</v>
      </c>
      <c r="F6302" s="31" t="s">
        <v>60</v>
      </c>
      <c r="G6302" s="32" t="s">
        <v>50</v>
      </c>
      <c r="H6302" s="33">
        <v>62790</v>
      </c>
      <c r="I6302" s="34">
        <f>Table3[[#This Row],[Volume, kg.]]/1000</f>
        <v>62.79</v>
      </c>
      <c r="J6302" s="34">
        <v>0.22649999999999998</v>
      </c>
      <c r="K6302" s="34">
        <f t="shared" si="198"/>
        <v>14221.934999999999</v>
      </c>
      <c r="L6302" s="34">
        <v>2.02</v>
      </c>
      <c r="M6302" s="34">
        <v>126824</v>
      </c>
      <c r="N6302" s="34">
        <f t="shared" si="199"/>
        <v>8.9183222958057407</v>
      </c>
    </row>
    <row r="6303" spans="1:14" x14ac:dyDescent="0.45">
      <c r="A6303" s="30">
        <v>2025</v>
      </c>
      <c r="B6303" s="30" t="s">
        <v>16</v>
      </c>
      <c r="C6303" s="30" t="s">
        <v>46</v>
      </c>
      <c r="D6303" s="30" t="s">
        <v>47</v>
      </c>
      <c r="E6303" s="31" t="s">
        <v>144</v>
      </c>
      <c r="F6303" s="31" t="s">
        <v>49</v>
      </c>
      <c r="G6303" s="32" t="s">
        <v>50</v>
      </c>
      <c r="H6303" s="33">
        <v>149870</v>
      </c>
      <c r="I6303" s="34">
        <f>Table3[[#This Row],[Volume, kg.]]/1000</f>
        <v>149.87</v>
      </c>
      <c r="J6303" s="34">
        <v>0.2422</v>
      </c>
      <c r="K6303" s="34">
        <f t="shared" si="198"/>
        <v>36298.514000000003</v>
      </c>
      <c r="L6303" s="34">
        <v>2.09</v>
      </c>
      <c r="M6303" s="34">
        <v>313039.5</v>
      </c>
      <c r="N6303" s="34">
        <f t="shared" si="199"/>
        <v>8.6292320396366637</v>
      </c>
    </row>
    <row r="6304" spans="1:14" x14ac:dyDescent="0.45">
      <c r="A6304" s="30">
        <v>2025</v>
      </c>
      <c r="B6304" s="30" t="s">
        <v>16</v>
      </c>
      <c r="C6304" s="30" t="s">
        <v>46</v>
      </c>
      <c r="D6304" s="30" t="s">
        <v>47</v>
      </c>
      <c r="E6304" s="31" t="s">
        <v>570</v>
      </c>
      <c r="F6304" s="31" t="s">
        <v>49</v>
      </c>
      <c r="G6304" s="32" t="s">
        <v>50</v>
      </c>
      <c r="H6304" s="33">
        <v>10980</v>
      </c>
      <c r="I6304" s="34">
        <f>Table3[[#This Row],[Volume, kg.]]/1000</f>
        <v>10.98</v>
      </c>
      <c r="J6304" s="34">
        <v>0.22699999999999998</v>
      </c>
      <c r="K6304" s="34">
        <f t="shared" si="198"/>
        <v>2492.4599999999996</v>
      </c>
      <c r="L6304" s="34">
        <v>2</v>
      </c>
      <c r="M6304" s="34">
        <v>21960</v>
      </c>
      <c r="N6304" s="34">
        <f t="shared" si="199"/>
        <v>8.8105726872246706</v>
      </c>
    </row>
    <row r="6305" spans="1:14" x14ac:dyDescent="0.45">
      <c r="A6305" s="30">
        <v>2025</v>
      </c>
      <c r="B6305" s="30" t="s">
        <v>16</v>
      </c>
      <c r="C6305" s="30" t="s">
        <v>46</v>
      </c>
      <c r="D6305" s="30" t="s">
        <v>47</v>
      </c>
      <c r="E6305" s="31" t="s">
        <v>100</v>
      </c>
      <c r="F6305" s="31" t="s">
        <v>60</v>
      </c>
      <c r="G6305" s="32" t="s">
        <v>50</v>
      </c>
      <c r="H6305" s="33">
        <v>8780</v>
      </c>
      <c r="I6305" s="34">
        <f>Table3[[#This Row],[Volume, kg.]]/1000</f>
        <v>8.7799999999999994</v>
      </c>
      <c r="J6305" s="34">
        <v>0.26050000000000001</v>
      </c>
      <c r="K6305" s="34">
        <f t="shared" si="198"/>
        <v>2287.19</v>
      </c>
      <c r="L6305" s="34">
        <v>2.2000000000000002</v>
      </c>
      <c r="M6305" s="34">
        <v>19316</v>
      </c>
      <c r="N6305" s="34">
        <f t="shared" si="199"/>
        <v>8.4452975047984644</v>
      </c>
    </row>
    <row r="6306" spans="1:14" x14ac:dyDescent="0.45">
      <c r="A6306" s="30">
        <v>2025</v>
      </c>
      <c r="B6306" s="30" t="s">
        <v>16</v>
      </c>
      <c r="C6306" s="30" t="s">
        <v>46</v>
      </c>
      <c r="D6306" s="30" t="s">
        <v>47</v>
      </c>
      <c r="E6306" s="31" t="s">
        <v>269</v>
      </c>
      <c r="F6306" s="31" t="s">
        <v>60</v>
      </c>
      <c r="G6306" s="32" t="s">
        <v>50</v>
      </c>
      <c r="H6306" s="33">
        <v>58410</v>
      </c>
      <c r="I6306" s="34">
        <f>Table3[[#This Row],[Volume, kg.]]/1000</f>
        <v>58.41</v>
      </c>
      <c r="J6306" s="34">
        <v>0.26860000000000001</v>
      </c>
      <c r="K6306" s="34">
        <f t="shared" si="198"/>
        <v>15688.925999999999</v>
      </c>
      <c r="L6306" s="34">
        <v>2.2400000000000002</v>
      </c>
      <c r="M6306" s="34">
        <v>131091.5</v>
      </c>
      <c r="N6306" s="34">
        <f t="shared" si="199"/>
        <v>8.339538346984364</v>
      </c>
    </row>
    <row r="6307" spans="1:14" x14ac:dyDescent="0.45">
      <c r="A6307" s="30">
        <v>2025</v>
      </c>
      <c r="B6307" s="30" t="s">
        <v>16</v>
      </c>
      <c r="C6307" s="30" t="s">
        <v>46</v>
      </c>
      <c r="D6307" s="30" t="s">
        <v>47</v>
      </c>
      <c r="E6307" s="31" t="s">
        <v>501</v>
      </c>
      <c r="F6307" s="31" t="s">
        <v>81</v>
      </c>
      <c r="G6307" s="32" t="s">
        <v>50</v>
      </c>
      <c r="H6307" s="33">
        <v>21590</v>
      </c>
      <c r="I6307" s="34">
        <f>Table3[[#This Row],[Volume, kg.]]/1000</f>
        <v>21.59</v>
      </c>
      <c r="J6307" s="34">
        <v>0.24840000000000001</v>
      </c>
      <c r="K6307" s="34">
        <f t="shared" si="198"/>
        <v>5362.9560000000001</v>
      </c>
      <c r="L6307" s="34">
        <v>2.09</v>
      </c>
      <c r="M6307" s="34">
        <v>45117.5</v>
      </c>
      <c r="N6307" s="34">
        <f t="shared" si="199"/>
        <v>8.4138486312399348</v>
      </c>
    </row>
    <row r="6308" spans="1:14" x14ac:dyDescent="0.45">
      <c r="A6308" s="30">
        <v>2025</v>
      </c>
      <c r="B6308" s="30" t="s">
        <v>16</v>
      </c>
      <c r="C6308" s="30" t="s">
        <v>46</v>
      </c>
      <c r="D6308" s="30" t="s">
        <v>47</v>
      </c>
      <c r="E6308" s="31" t="s">
        <v>283</v>
      </c>
      <c r="F6308" s="31" t="s">
        <v>49</v>
      </c>
      <c r="G6308" s="32" t="s">
        <v>50</v>
      </c>
      <c r="H6308" s="33">
        <v>21690</v>
      </c>
      <c r="I6308" s="34">
        <f>Table3[[#This Row],[Volume, kg.]]/1000</f>
        <v>21.69</v>
      </c>
      <c r="J6308" s="34">
        <v>0.25090000000000001</v>
      </c>
      <c r="K6308" s="34">
        <f t="shared" si="198"/>
        <v>5442.0210000000006</v>
      </c>
      <c r="L6308" s="34">
        <v>2.15</v>
      </c>
      <c r="M6308" s="34">
        <v>46572.5</v>
      </c>
      <c r="N6308" s="34">
        <f t="shared" si="199"/>
        <v>8.569151056197688</v>
      </c>
    </row>
    <row r="6309" spans="1:14" x14ac:dyDescent="0.45">
      <c r="A6309" s="30">
        <v>2025</v>
      </c>
      <c r="B6309" s="30" t="s">
        <v>16</v>
      </c>
      <c r="C6309" s="30" t="s">
        <v>46</v>
      </c>
      <c r="D6309" s="30" t="s">
        <v>47</v>
      </c>
      <c r="E6309" s="31" t="s">
        <v>147</v>
      </c>
      <c r="F6309" s="31" t="s">
        <v>57</v>
      </c>
      <c r="G6309" s="32" t="s">
        <v>50</v>
      </c>
      <c r="H6309" s="33">
        <v>62150</v>
      </c>
      <c r="I6309" s="34">
        <f>Table3[[#This Row],[Volume, kg.]]/1000</f>
        <v>62.15</v>
      </c>
      <c r="J6309" s="34">
        <v>0.25940000000000002</v>
      </c>
      <c r="K6309" s="34">
        <f t="shared" si="198"/>
        <v>16121.710000000001</v>
      </c>
      <c r="L6309" s="34">
        <v>2.19</v>
      </c>
      <c r="M6309" s="34">
        <v>135811.5</v>
      </c>
      <c r="N6309" s="34">
        <f t="shared" si="199"/>
        <v>8.4425597532767913</v>
      </c>
    </row>
    <row r="6310" spans="1:14" x14ac:dyDescent="0.45">
      <c r="A6310" s="30">
        <v>2025</v>
      </c>
      <c r="B6310" s="30" t="s">
        <v>16</v>
      </c>
      <c r="C6310" s="30" t="s">
        <v>46</v>
      </c>
      <c r="D6310" s="30" t="s">
        <v>47</v>
      </c>
      <c r="E6310" s="31" t="s">
        <v>502</v>
      </c>
      <c r="F6310" s="31" t="s">
        <v>49</v>
      </c>
      <c r="G6310" s="32" t="s">
        <v>50</v>
      </c>
      <c r="H6310" s="33">
        <v>5150</v>
      </c>
      <c r="I6310" s="34">
        <f>Table3[[#This Row],[Volume, kg.]]/1000</f>
        <v>5.15</v>
      </c>
      <c r="J6310" s="34">
        <v>0.28249999999999997</v>
      </c>
      <c r="K6310" s="34">
        <f t="shared" si="198"/>
        <v>1454.8749999999998</v>
      </c>
      <c r="L6310" s="34">
        <v>2.2999999999999998</v>
      </c>
      <c r="M6310" s="34">
        <v>11845</v>
      </c>
      <c r="N6310" s="34">
        <f t="shared" si="199"/>
        <v>8.1415929203539825</v>
      </c>
    </row>
    <row r="6311" spans="1:14" x14ac:dyDescent="0.45">
      <c r="A6311" s="30">
        <v>2025</v>
      </c>
      <c r="B6311" s="30" t="s">
        <v>16</v>
      </c>
      <c r="C6311" s="30" t="s">
        <v>46</v>
      </c>
      <c r="D6311" s="30" t="s">
        <v>47</v>
      </c>
      <c r="E6311" s="31" t="s">
        <v>210</v>
      </c>
      <c r="F6311" s="31" t="s">
        <v>60</v>
      </c>
      <c r="G6311" s="32" t="s">
        <v>50</v>
      </c>
      <c r="H6311" s="33">
        <v>124790</v>
      </c>
      <c r="I6311" s="34">
        <f>Table3[[#This Row],[Volume, kg.]]/1000</f>
        <v>124.79</v>
      </c>
      <c r="J6311" s="34">
        <v>0.2445</v>
      </c>
      <c r="K6311" s="34">
        <f t="shared" si="198"/>
        <v>30511.154999999999</v>
      </c>
      <c r="L6311" s="34">
        <v>2.1</v>
      </c>
      <c r="M6311" s="34">
        <v>262333</v>
      </c>
      <c r="N6311" s="34">
        <f t="shared" si="199"/>
        <v>8.5889570552147241</v>
      </c>
    </row>
    <row r="6312" spans="1:14" x14ac:dyDescent="0.45">
      <c r="A6312" s="30">
        <v>2025</v>
      </c>
      <c r="B6312" s="30" t="s">
        <v>16</v>
      </c>
      <c r="C6312" s="30" t="s">
        <v>46</v>
      </c>
      <c r="D6312" s="30" t="s">
        <v>47</v>
      </c>
      <c r="E6312" s="31" t="s">
        <v>253</v>
      </c>
      <c r="F6312" s="31" t="s">
        <v>57</v>
      </c>
      <c r="G6312" s="32" t="s">
        <v>50</v>
      </c>
      <c r="H6312" s="33">
        <v>91760</v>
      </c>
      <c r="I6312" s="34">
        <f>Table3[[#This Row],[Volume, kg.]]/1000</f>
        <v>91.76</v>
      </c>
      <c r="J6312" s="34">
        <v>0.25120000000000003</v>
      </c>
      <c r="K6312" s="34">
        <f t="shared" si="198"/>
        <v>23050.112000000005</v>
      </c>
      <c r="L6312" s="34">
        <v>2.13</v>
      </c>
      <c r="M6312" s="34">
        <v>195739.5</v>
      </c>
      <c r="N6312" s="34">
        <f t="shared" si="199"/>
        <v>8.4792993630573239</v>
      </c>
    </row>
    <row r="6313" spans="1:14" x14ac:dyDescent="0.45">
      <c r="A6313" s="30">
        <v>2025</v>
      </c>
      <c r="B6313" s="30" t="s">
        <v>16</v>
      </c>
      <c r="C6313" s="30" t="s">
        <v>46</v>
      </c>
      <c r="D6313" s="30" t="s">
        <v>47</v>
      </c>
      <c r="E6313" s="31" t="s">
        <v>667</v>
      </c>
      <c r="F6313" s="31" t="s">
        <v>60</v>
      </c>
      <c r="G6313" s="32" t="s">
        <v>50</v>
      </c>
      <c r="H6313" s="33">
        <v>115890</v>
      </c>
      <c r="I6313" s="34">
        <f>Table3[[#This Row],[Volume, kg.]]/1000</f>
        <v>115.89</v>
      </c>
      <c r="J6313" s="34">
        <v>0.2369</v>
      </c>
      <c r="K6313" s="34">
        <f t="shared" si="198"/>
        <v>27454.341</v>
      </c>
      <c r="L6313" s="34">
        <v>2.0699999999999998</v>
      </c>
      <c r="M6313" s="34">
        <v>239946</v>
      </c>
      <c r="N6313" s="34">
        <f t="shared" si="199"/>
        <v>8.7378640776699026</v>
      </c>
    </row>
    <row r="6314" spans="1:14" x14ac:dyDescent="0.45">
      <c r="A6314" s="30">
        <v>2025</v>
      </c>
      <c r="B6314" s="30" t="s">
        <v>16</v>
      </c>
      <c r="C6314" s="30" t="s">
        <v>46</v>
      </c>
      <c r="D6314" s="30" t="s">
        <v>47</v>
      </c>
      <c r="E6314" s="31" t="s">
        <v>171</v>
      </c>
      <c r="F6314" s="31" t="s">
        <v>49</v>
      </c>
      <c r="G6314" s="32" t="s">
        <v>50</v>
      </c>
      <c r="H6314" s="33">
        <v>57000</v>
      </c>
      <c r="I6314" s="34">
        <f>Table3[[#This Row],[Volume, kg.]]/1000</f>
        <v>57</v>
      </c>
      <c r="J6314" s="34">
        <v>0.23269999999999999</v>
      </c>
      <c r="K6314" s="34">
        <f t="shared" si="198"/>
        <v>13263.9</v>
      </c>
      <c r="L6314" s="34">
        <v>2.06</v>
      </c>
      <c r="M6314" s="34">
        <v>117197.5</v>
      </c>
      <c r="N6314" s="34">
        <f t="shared" si="199"/>
        <v>8.8525999140524281</v>
      </c>
    </row>
    <row r="6315" spans="1:14" x14ac:dyDescent="0.45">
      <c r="A6315" s="30">
        <v>2025</v>
      </c>
      <c r="B6315" s="30" t="s">
        <v>16</v>
      </c>
      <c r="C6315" s="30" t="s">
        <v>46</v>
      </c>
      <c r="D6315" s="30" t="s">
        <v>47</v>
      </c>
      <c r="E6315" s="31" t="s">
        <v>233</v>
      </c>
      <c r="F6315" s="31" t="s">
        <v>57</v>
      </c>
      <c r="G6315" s="32" t="s">
        <v>50</v>
      </c>
      <c r="H6315" s="33">
        <v>149280</v>
      </c>
      <c r="I6315" s="34">
        <f>Table3[[#This Row],[Volume, kg.]]/1000</f>
        <v>149.28</v>
      </c>
      <c r="J6315" s="34">
        <v>0.2656</v>
      </c>
      <c r="K6315" s="34">
        <f t="shared" si="198"/>
        <v>39648.768000000004</v>
      </c>
      <c r="L6315" s="34">
        <v>2.21</v>
      </c>
      <c r="M6315" s="34">
        <v>330354</v>
      </c>
      <c r="N6315" s="34">
        <f t="shared" si="199"/>
        <v>8.3207831325301207</v>
      </c>
    </row>
    <row r="6316" spans="1:14" x14ac:dyDescent="0.45">
      <c r="A6316" s="30">
        <v>2025</v>
      </c>
      <c r="B6316" s="30" t="s">
        <v>16</v>
      </c>
      <c r="C6316" s="30" t="s">
        <v>46</v>
      </c>
      <c r="D6316" s="30" t="s">
        <v>47</v>
      </c>
      <c r="E6316" s="31" t="s">
        <v>745</v>
      </c>
      <c r="F6316" s="31" t="s">
        <v>57</v>
      </c>
      <c r="G6316" s="32" t="s">
        <v>50</v>
      </c>
      <c r="H6316" s="33">
        <v>143930</v>
      </c>
      <c r="I6316" s="34">
        <f>Table3[[#This Row],[Volume, kg.]]/1000</f>
        <v>143.93</v>
      </c>
      <c r="J6316" s="34">
        <v>0.25730000000000003</v>
      </c>
      <c r="K6316" s="34">
        <f t="shared" si="198"/>
        <v>37033.189000000006</v>
      </c>
      <c r="L6316" s="34">
        <v>2.1800000000000002</v>
      </c>
      <c r="M6316" s="34">
        <v>313103.5</v>
      </c>
      <c r="N6316" s="34">
        <f t="shared" si="199"/>
        <v>8.4726000777302755</v>
      </c>
    </row>
    <row r="6317" spans="1:14" x14ac:dyDescent="0.45">
      <c r="A6317" s="30">
        <v>2025</v>
      </c>
      <c r="B6317" s="30" t="s">
        <v>16</v>
      </c>
      <c r="C6317" s="30" t="s">
        <v>46</v>
      </c>
      <c r="D6317" s="30" t="s">
        <v>47</v>
      </c>
      <c r="E6317" s="31" t="s">
        <v>503</v>
      </c>
      <c r="F6317" s="31" t="s">
        <v>49</v>
      </c>
      <c r="G6317" s="32" t="s">
        <v>50</v>
      </c>
      <c r="H6317" s="33">
        <v>109260</v>
      </c>
      <c r="I6317" s="34">
        <f>Table3[[#This Row],[Volume, kg.]]/1000</f>
        <v>109.26</v>
      </c>
      <c r="J6317" s="34">
        <v>0.24510000000000001</v>
      </c>
      <c r="K6317" s="34">
        <f t="shared" si="198"/>
        <v>26779.626</v>
      </c>
      <c r="L6317" s="34">
        <v>2.11</v>
      </c>
      <c r="M6317" s="34">
        <v>230422</v>
      </c>
      <c r="N6317" s="34">
        <f t="shared" si="199"/>
        <v>8.6087311301509573</v>
      </c>
    </row>
    <row r="6318" spans="1:14" x14ac:dyDescent="0.45">
      <c r="A6318" s="30">
        <v>2025</v>
      </c>
      <c r="B6318" s="30" t="s">
        <v>16</v>
      </c>
      <c r="C6318" s="30" t="s">
        <v>46</v>
      </c>
      <c r="D6318" s="30" t="s">
        <v>47</v>
      </c>
      <c r="E6318" s="31" t="s">
        <v>56</v>
      </c>
      <c r="F6318" s="31" t="s">
        <v>57</v>
      </c>
      <c r="G6318" s="32" t="s">
        <v>50</v>
      </c>
      <c r="H6318" s="33">
        <v>17750</v>
      </c>
      <c r="I6318" s="34">
        <f>Table3[[#This Row],[Volume, kg.]]/1000</f>
        <v>17.75</v>
      </c>
      <c r="J6318" s="34">
        <v>0.24609999999999999</v>
      </c>
      <c r="K6318" s="34">
        <f t="shared" si="198"/>
        <v>4368.2749999999996</v>
      </c>
      <c r="L6318" s="34">
        <v>2.1</v>
      </c>
      <c r="M6318" s="34">
        <v>37299.5</v>
      </c>
      <c r="N6318" s="34">
        <f t="shared" si="199"/>
        <v>8.5331166192604648</v>
      </c>
    </row>
    <row r="6319" spans="1:14" x14ac:dyDescent="0.45">
      <c r="A6319" s="30">
        <v>2025</v>
      </c>
      <c r="B6319" s="30" t="s">
        <v>16</v>
      </c>
      <c r="C6319" s="30" t="s">
        <v>46</v>
      </c>
      <c r="D6319" s="30" t="s">
        <v>47</v>
      </c>
      <c r="E6319" s="31" t="s">
        <v>90</v>
      </c>
      <c r="F6319" s="31" t="s">
        <v>49</v>
      </c>
      <c r="G6319" s="32" t="s">
        <v>50</v>
      </c>
      <c r="H6319" s="33">
        <v>55130</v>
      </c>
      <c r="I6319" s="34">
        <f>Table3[[#This Row],[Volume, kg.]]/1000</f>
        <v>55.13</v>
      </c>
      <c r="J6319" s="34">
        <v>0.2437</v>
      </c>
      <c r="K6319" s="34">
        <f t="shared" si="198"/>
        <v>13435.181</v>
      </c>
      <c r="L6319" s="34">
        <v>2.12</v>
      </c>
      <c r="M6319" s="34">
        <v>117115</v>
      </c>
      <c r="N6319" s="34">
        <f t="shared" si="199"/>
        <v>8.6992203528929011</v>
      </c>
    </row>
    <row r="6320" spans="1:14" x14ac:dyDescent="0.45">
      <c r="A6320" s="30">
        <v>2025</v>
      </c>
      <c r="B6320" s="30" t="s">
        <v>16</v>
      </c>
      <c r="C6320" s="30" t="s">
        <v>46</v>
      </c>
      <c r="D6320" s="30" t="s">
        <v>47</v>
      </c>
      <c r="E6320" s="31" t="s">
        <v>275</v>
      </c>
      <c r="F6320" s="31" t="s">
        <v>54</v>
      </c>
      <c r="G6320" s="32" t="s">
        <v>50</v>
      </c>
      <c r="H6320" s="33">
        <v>49590</v>
      </c>
      <c r="I6320" s="34">
        <f>Table3[[#This Row],[Volume, kg.]]/1000</f>
        <v>49.59</v>
      </c>
      <c r="J6320" s="34">
        <v>0.23399999999999999</v>
      </c>
      <c r="K6320" s="34">
        <f t="shared" si="198"/>
        <v>11604.06</v>
      </c>
      <c r="L6320" s="34">
        <v>2.0299999999999998</v>
      </c>
      <c r="M6320" s="34">
        <v>100863.5</v>
      </c>
      <c r="N6320" s="34">
        <f t="shared" si="199"/>
        <v>8.6752136752136746</v>
      </c>
    </row>
    <row r="6321" spans="1:14" x14ac:dyDescent="0.45">
      <c r="A6321" s="30">
        <v>2025</v>
      </c>
      <c r="B6321" s="30" t="s">
        <v>16</v>
      </c>
      <c r="C6321" s="30" t="s">
        <v>46</v>
      </c>
      <c r="D6321" s="30" t="s">
        <v>47</v>
      </c>
      <c r="E6321" s="31" t="s">
        <v>599</v>
      </c>
      <c r="F6321" s="31" t="s">
        <v>57</v>
      </c>
      <c r="G6321" s="32" t="s">
        <v>50</v>
      </c>
      <c r="H6321" s="33">
        <v>59950</v>
      </c>
      <c r="I6321" s="34">
        <f>Table3[[#This Row],[Volume, kg.]]/1000</f>
        <v>59.95</v>
      </c>
      <c r="J6321" s="34">
        <v>0.26769999999999999</v>
      </c>
      <c r="K6321" s="34">
        <f t="shared" si="198"/>
        <v>16048.615</v>
      </c>
      <c r="L6321" s="34">
        <v>2.25</v>
      </c>
      <c r="M6321" s="34">
        <v>134883</v>
      </c>
      <c r="N6321" s="34">
        <f t="shared" si="199"/>
        <v>8.4049308927904374</v>
      </c>
    </row>
    <row r="6322" spans="1:14" x14ac:dyDescent="0.45">
      <c r="A6322" s="30">
        <v>2025</v>
      </c>
      <c r="B6322" s="30" t="s">
        <v>16</v>
      </c>
      <c r="C6322" s="30" t="s">
        <v>46</v>
      </c>
      <c r="D6322" s="30" t="s">
        <v>47</v>
      </c>
      <c r="E6322" s="31" t="s">
        <v>311</v>
      </c>
      <c r="F6322" s="31" t="s">
        <v>57</v>
      </c>
      <c r="G6322" s="32" t="s">
        <v>50</v>
      </c>
      <c r="H6322" s="33">
        <v>123730</v>
      </c>
      <c r="I6322" s="34">
        <f>Table3[[#This Row],[Volume, kg.]]/1000</f>
        <v>123.73</v>
      </c>
      <c r="J6322" s="34">
        <v>0.25879999999999997</v>
      </c>
      <c r="K6322" s="34">
        <f t="shared" si="198"/>
        <v>32021.323999999997</v>
      </c>
      <c r="L6322" s="34">
        <v>2.1800000000000002</v>
      </c>
      <c r="M6322" s="34">
        <v>270063.5</v>
      </c>
      <c r="N6322" s="34">
        <f t="shared" si="199"/>
        <v>8.4234930448222585</v>
      </c>
    </row>
    <row r="6323" spans="1:14" x14ac:dyDescent="0.45">
      <c r="A6323" s="30">
        <v>2025</v>
      </c>
      <c r="B6323" s="30" t="s">
        <v>16</v>
      </c>
      <c r="C6323" s="30" t="s">
        <v>46</v>
      </c>
      <c r="D6323" s="30" t="s">
        <v>47</v>
      </c>
      <c r="E6323" s="31" t="s">
        <v>361</v>
      </c>
      <c r="F6323" s="31" t="s">
        <v>57</v>
      </c>
      <c r="G6323" s="32" t="s">
        <v>50</v>
      </c>
      <c r="H6323" s="33">
        <v>9220</v>
      </c>
      <c r="I6323" s="34">
        <f>Table3[[#This Row],[Volume, kg.]]/1000</f>
        <v>9.2200000000000006</v>
      </c>
      <c r="J6323" s="34">
        <v>0.23149999999999998</v>
      </c>
      <c r="K6323" s="34">
        <f t="shared" si="198"/>
        <v>2134.4299999999998</v>
      </c>
      <c r="L6323" s="34">
        <v>2</v>
      </c>
      <c r="M6323" s="34">
        <v>18440</v>
      </c>
      <c r="N6323" s="34">
        <f t="shared" si="199"/>
        <v>8.6393088552915778</v>
      </c>
    </row>
    <row r="6324" spans="1:14" x14ac:dyDescent="0.45">
      <c r="A6324" s="30">
        <v>2025</v>
      </c>
      <c r="B6324" s="30" t="s">
        <v>16</v>
      </c>
      <c r="C6324" s="30" t="s">
        <v>46</v>
      </c>
      <c r="D6324" s="30" t="s">
        <v>47</v>
      </c>
      <c r="E6324" s="31" t="s">
        <v>356</v>
      </c>
      <c r="F6324" s="31" t="s">
        <v>49</v>
      </c>
      <c r="G6324" s="32" t="s">
        <v>50</v>
      </c>
      <c r="H6324" s="33">
        <v>13290</v>
      </c>
      <c r="I6324" s="34">
        <f>Table3[[#This Row],[Volume, kg.]]/1000</f>
        <v>13.29</v>
      </c>
      <c r="J6324" s="34">
        <v>0.2397</v>
      </c>
      <c r="K6324" s="34">
        <f t="shared" si="198"/>
        <v>3185.6129999999998</v>
      </c>
      <c r="L6324" s="34">
        <v>2.1</v>
      </c>
      <c r="M6324" s="34">
        <v>27909</v>
      </c>
      <c r="N6324" s="34">
        <f t="shared" si="199"/>
        <v>8.7609511889862333</v>
      </c>
    </row>
    <row r="6325" spans="1:14" x14ac:dyDescent="0.45">
      <c r="A6325" s="30">
        <v>2025</v>
      </c>
      <c r="B6325" s="30" t="s">
        <v>16</v>
      </c>
      <c r="C6325" s="30" t="s">
        <v>46</v>
      </c>
      <c r="D6325" s="30" t="s">
        <v>47</v>
      </c>
      <c r="E6325" s="31" t="s">
        <v>637</v>
      </c>
      <c r="F6325" s="31" t="s">
        <v>60</v>
      </c>
      <c r="G6325" s="32" t="s">
        <v>50</v>
      </c>
      <c r="H6325" s="33">
        <v>13530</v>
      </c>
      <c r="I6325" s="34">
        <f>Table3[[#This Row],[Volume, kg.]]/1000</f>
        <v>13.53</v>
      </c>
      <c r="J6325" s="34">
        <v>0.23010000000000003</v>
      </c>
      <c r="K6325" s="34">
        <f t="shared" si="198"/>
        <v>3113.2530000000002</v>
      </c>
      <c r="L6325" s="34">
        <v>2.0299999999999998</v>
      </c>
      <c r="M6325" s="34">
        <v>27493.5</v>
      </c>
      <c r="N6325" s="34">
        <f t="shared" si="199"/>
        <v>8.8222511951325497</v>
      </c>
    </row>
    <row r="6326" spans="1:14" x14ac:dyDescent="0.45">
      <c r="A6326" s="30">
        <v>2025</v>
      </c>
      <c r="B6326" s="30" t="s">
        <v>16</v>
      </c>
      <c r="C6326" s="30" t="s">
        <v>46</v>
      </c>
      <c r="D6326" s="30" t="s">
        <v>47</v>
      </c>
      <c r="E6326" s="31" t="s">
        <v>573</v>
      </c>
      <c r="F6326" s="31" t="s">
        <v>49</v>
      </c>
      <c r="G6326" s="32" t="s">
        <v>50</v>
      </c>
      <c r="H6326" s="33">
        <v>45600</v>
      </c>
      <c r="I6326" s="34">
        <f>Table3[[#This Row],[Volume, kg.]]/1000</f>
        <v>45.6</v>
      </c>
      <c r="J6326" s="34">
        <v>0.22359999999999999</v>
      </c>
      <c r="K6326" s="34">
        <f t="shared" si="198"/>
        <v>10196.16</v>
      </c>
      <c r="L6326" s="34">
        <v>1.99</v>
      </c>
      <c r="M6326" s="34">
        <v>90950.5</v>
      </c>
      <c r="N6326" s="34">
        <f t="shared" si="199"/>
        <v>8.8998211091234349</v>
      </c>
    </row>
    <row r="6327" spans="1:14" x14ac:dyDescent="0.45">
      <c r="A6327" s="30">
        <v>2025</v>
      </c>
      <c r="B6327" s="30" t="s">
        <v>16</v>
      </c>
      <c r="C6327" s="30" t="s">
        <v>46</v>
      </c>
      <c r="D6327" s="30" t="s">
        <v>47</v>
      </c>
      <c r="E6327" s="31" t="s">
        <v>153</v>
      </c>
      <c r="F6327" s="31" t="s">
        <v>57</v>
      </c>
      <c r="G6327" s="32" t="s">
        <v>50</v>
      </c>
      <c r="H6327" s="33">
        <v>26600</v>
      </c>
      <c r="I6327" s="34">
        <f>Table3[[#This Row],[Volume, kg.]]/1000</f>
        <v>26.6</v>
      </c>
      <c r="J6327" s="34">
        <v>0.25469999999999998</v>
      </c>
      <c r="K6327" s="34">
        <f t="shared" si="198"/>
        <v>6775.0199999999995</v>
      </c>
      <c r="L6327" s="34">
        <v>2.16</v>
      </c>
      <c r="M6327" s="34">
        <v>57432</v>
      </c>
      <c r="N6327" s="34">
        <f t="shared" si="199"/>
        <v>8.4805653710247366</v>
      </c>
    </row>
    <row r="6328" spans="1:14" x14ac:dyDescent="0.45">
      <c r="A6328" s="30">
        <v>2025</v>
      </c>
      <c r="B6328" s="30" t="s">
        <v>16</v>
      </c>
      <c r="C6328" s="30" t="s">
        <v>46</v>
      </c>
      <c r="D6328" s="30" t="s">
        <v>47</v>
      </c>
      <c r="E6328" s="31" t="s">
        <v>609</v>
      </c>
      <c r="F6328" s="31" t="s">
        <v>81</v>
      </c>
      <c r="G6328" s="32" t="s">
        <v>50</v>
      </c>
      <c r="H6328" s="33">
        <v>33840</v>
      </c>
      <c r="I6328" s="34">
        <f>Table3[[#This Row],[Volume, kg.]]/1000</f>
        <v>33.840000000000003</v>
      </c>
      <c r="J6328" s="34">
        <v>0.24660000000000001</v>
      </c>
      <c r="K6328" s="34">
        <f t="shared" si="198"/>
        <v>8344.9440000000013</v>
      </c>
      <c r="L6328" s="34">
        <v>2.14</v>
      </c>
      <c r="M6328" s="34">
        <v>72298</v>
      </c>
      <c r="N6328" s="34">
        <f t="shared" si="199"/>
        <v>8.6780210867802108</v>
      </c>
    </row>
    <row r="6329" spans="1:14" x14ac:dyDescent="0.45">
      <c r="A6329" s="30">
        <v>2025</v>
      </c>
      <c r="B6329" s="30" t="s">
        <v>16</v>
      </c>
      <c r="C6329" s="30" t="s">
        <v>46</v>
      </c>
      <c r="D6329" s="30" t="s">
        <v>47</v>
      </c>
      <c r="E6329" s="31" t="s">
        <v>262</v>
      </c>
      <c r="F6329" s="31" t="s">
        <v>81</v>
      </c>
      <c r="G6329" s="32" t="s">
        <v>50</v>
      </c>
      <c r="H6329" s="33">
        <v>40480</v>
      </c>
      <c r="I6329" s="34">
        <f>Table3[[#This Row],[Volume, kg.]]/1000</f>
        <v>40.479999999999997</v>
      </c>
      <c r="J6329" s="34">
        <v>0.23089999999999999</v>
      </c>
      <c r="K6329" s="34">
        <f t="shared" si="198"/>
        <v>9346.8320000000003</v>
      </c>
      <c r="L6329" s="34">
        <v>2.0699999999999998</v>
      </c>
      <c r="M6329" s="34">
        <v>83640.5</v>
      </c>
      <c r="N6329" s="34">
        <f t="shared" si="199"/>
        <v>8.9649198787353832</v>
      </c>
    </row>
    <row r="6330" spans="1:14" x14ac:dyDescent="0.45">
      <c r="A6330" s="30">
        <v>2025</v>
      </c>
      <c r="B6330" s="30" t="s">
        <v>16</v>
      </c>
      <c r="C6330" s="30" t="s">
        <v>46</v>
      </c>
      <c r="D6330" s="30" t="s">
        <v>47</v>
      </c>
      <c r="E6330" s="31" t="s">
        <v>197</v>
      </c>
      <c r="F6330" s="31" t="s">
        <v>57</v>
      </c>
      <c r="G6330" s="32" t="s">
        <v>50</v>
      </c>
      <c r="H6330" s="33">
        <v>140690</v>
      </c>
      <c r="I6330" s="34">
        <f>Table3[[#This Row],[Volume, kg.]]/1000</f>
        <v>140.69</v>
      </c>
      <c r="J6330" s="34">
        <v>0.25969999999999999</v>
      </c>
      <c r="K6330" s="34">
        <f t="shared" si="198"/>
        <v>36537.192999999999</v>
      </c>
      <c r="L6330" s="34">
        <v>2.1800000000000002</v>
      </c>
      <c r="M6330" s="34">
        <v>306969.5</v>
      </c>
      <c r="N6330" s="34">
        <f t="shared" si="199"/>
        <v>8.3943011166730859</v>
      </c>
    </row>
    <row r="6331" spans="1:14" x14ac:dyDescent="0.45">
      <c r="A6331" s="30">
        <v>2025</v>
      </c>
      <c r="B6331" s="30" t="s">
        <v>16</v>
      </c>
      <c r="C6331" s="30" t="s">
        <v>46</v>
      </c>
      <c r="D6331" s="30" t="s">
        <v>47</v>
      </c>
      <c r="E6331" s="31" t="s">
        <v>177</v>
      </c>
      <c r="F6331" s="31" t="s">
        <v>49</v>
      </c>
      <c r="G6331" s="32" t="s">
        <v>50</v>
      </c>
      <c r="H6331" s="33">
        <v>21350</v>
      </c>
      <c r="I6331" s="34">
        <f>Table3[[#This Row],[Volume, kg.]]/1000</f>
        <v>21.35</v>
      </c>
      <c r="J6331" s="34">
        <v>0.26649999999999996</v>
      </c>
      <c r="K6331" s="34">
        <f t="shared" si="198"/>
        <v>5689.7749999999987</v>
      </c>
      <c r="L6331" s="34">
        <v>2.21</v>
      </c>
      <c r="M6331" s="34">
        <v>47284</v>
      </c>
      <c r="N6331" s="34">
        <f t="shared" si="199"/>
        <v>8.2926829268292686</v>
      </c>
    </row>
    <row r="6332" spans="1:14" x14ac:dyDescent="0.45">
      <c r="A6332" s="30">
        <v>2025</v>
      </c>
      <c r="B6332" s="30" t="s">
        <v>16</v>
      </c>
      <c r="C6332" s="30" t="s">
        <v>46</v>
      </c>
      <c r="D6332" s="30" t="s">
        <v>47</v>
      </c>
      <c r="E6332" s="31" t="s">
        <v>206</v>
      </c>
      <c r="F6332" s="31" t="s">
        <v>81</v>
      </c>
      <c r="G6332" s="32" t="s">
        <v>50</v>
      </c>
      <c r="H6332" s="33">
        <v>72610</v>
      </c>
      <c r="I6332" s="34">
        <f>Table3[[#This Row],[Volume, kg.]]/1000</f>
        <v>72.61</v>
      </c>
      <c r="J6332" s="34">
        <v>0.25019999999999998</v>
      </c>
      <c r="K6332" s="34">
        <f t="shared" si="198"/>
        <v>18167.021999999997</v>
      </c>
      <c r="L6332" s="34">
        <v>2.12</v>
      </c>
      <c r="M6332" s="34">
        <v>153919.5</v>
      </c>
      <c r="N6332" s="34">
        <f t="shared" si="199"/>
        <v>8.4732214228617124</v>
      </c>
    </row>
    <row r="6333" spans="1:14" x14ac:dyDescent="0.45">
      <c r="A6333" s="30">
        <v>2025</v>
      </c>
      <c r="B6333" s="30" t="s">
        <v>16</v>
      </c>
      <c r="C6333" s="30" t="s">
        <v>46</v>
      </c>
      <c r="D6333" s="30" t="s">
        <v>47</v>
      </c>
      <c r="E6333" s="31" t="s">
        <v>350</v>
      </c>
      <c r="F6333" s="31" t="s">
        <v>49</v>
      </c>
      <c r="G6333" s="32" t="s">
        <v>50</v>
      </c>
      <c r="H6333" s="33">
        <v>92260</v>
      </c>
      <c r="I6333" s="34">
        <f>Table3[[#This Row],[Volume, kg.]]/1000</f>
        <v>92.26</v>
      </c>
      <c r="J6333" s="34">
        <v>0.25159999999999999</v>
      </c>
      <c r="K6333" s="34">
        <f t="shared" si="198"/>
        <v>23212.615999999998</v>
      </c>
      <c r="L6333" s="34">
        <v>2.15</v>
      </c>
      <c r="M6333" s="34">
        <v>197954</v>
      </c>
      <c r="N6333" s="34">
        <f t="shared" si="199"/>
        <v>8.5453100158982505</v>
      </c>
    </row>
    <row r="6334" spans="1:14" x14ac:dyDescent="0.45">
      <c r="A6334" s="30">
        <v>2025</v>
      </c>
      <c r="B6334" s="30" t="s">
        <v>16</v>
      </c>
      <c r="C6334" s="30" t="s">
        <v>46</v>
      </c>
      <c r="D6334" s="30" t="s">
        <v>47</v>
      </c>
      <c r="E6334" s="31" t="s">
        <v>395</v>
      </c>
      <c r="F6334" s="31" t="s">
        <v>81</v>
      </c>
      <c r="G6334" s="32" t="s">
        <v>50</v>
      </c>
      <c r="H6334" s="33">
        <v>14770</v>
      </c>
      <c r="I6334" s="34">
        <f>Table3[[#This Row],[Volume, kg.]]/1000</f>
        <v>14.77</v>
      </c>
      <c r="J6334" s="34">
        <v>0.24350000000000002</v>
      </c>
      <c r="K6334" s="34">
        <f t="shared" si="198"/>
        <v>3596.4950000000003</v>
      </c>
      <c r="L6334" s="34">
        <v>2.0499999999999998</v>
      </c>
      <c r="M6334" s="34">
        <v>30278.5</v>
      </c>
      <c r="N6334" s="34">
        <f t="shared" si="199"/>
        <v>8.4188911704312108</v>
      </c>
    </row>
    <row r="6335" spans="1:14" x14ac:dyDescent="0.45">
      <c r="A6335" s="30">
        <v>2025</v>
      </c>
      <c r="B6335" s="30" t="s">
        <v>16</v>
      </c>
      <c r="C6335" s="30" t="s">
        <v>46</v>
      </c>
      <c r="D6335" s="30" t="s">
        <v>47</v>
      </c>
      <c r="E6335" s="31" t="s">
        <v>548</v>
      </c>
      <c r="F6335" s="31" t="s">
        <v>49</v>
      </c>
      <c r="G6335" s="32" t="s">
        <v>50</v>
      </c>
      <c r="H6335" s="33">
        <v>88790</v>
      </c>
      <c r="I6335" s="34">
        <f>Table3[[#This Row],[Volume, kg.]]/1000</f>
        <v>88.79</v>
      </c>
      <c r="J6335" s="34">
        <v>0.2364</v>
      </c>
      <c r="K6335" s="34">
        <f t="shared" si="198"/>
        <v>20989.955999999998</v>
      </c>
      <c r="L6335" s="34">
        <v>2.0699999999999998</v>
      </c>
      <c r="M6335" s="34">
        <v>183786.5</v>
      </c>
      <c r="N6335" s="34">
        <f t="shared" si="199"/>
        <v>8.7563451776649739</v>
      </c>
    </row>
    <row r="6336" spans="1:14" x14ac:dyDescent="0.45">
      <c r="A6336" s="30">
        <v>2025</v>
      </c>
      <c r="B6336" s="30" t="s">
        <v>16</v>
      </c>
      <c r="C6336" s="30" t="s">
        <v>46</v>
      </c>
      <c r="D6336" s="30" t="s">
        <v>47</v>
      </c>
      <c r="E6336" s="31" t="s">
        <v>98</v>
      </c>
      <c r="F6336" s="31" t="s">
        <v>49</v>
      </c>
      <c r="G6336" s="32" t="s">
        <v>50</v>
      </c>
      <c r="H6336" s="33">
        <v>51030</v>
      </c>
      <c r="I6336" s="34">
        <f>Table3[[#This Row],[Volume, kg.]]/1000</f>
        <v>51.03</v>
      </c>
      <c r="J6336" s="34">
        <v>0.23960000000000001</v>
      </c>
      <c r="K6336" s="34">
        <f t="shared" si="198"/>
        <v>12226.788</v>
      </c>
      <c r="L6336" s="34">
        <v>2.06</v>
      </c>
      <c r="M6336" s="34">
        <v>105277</v>
      </c>
      <c r="N6336" s="34">
        <f t="shared" si="199"/>
        <v>8.5976627712854761</v>
      </c>
    </row>
    <row r="6337" spans="1:14" x14ac:dyDescent="0.45">
      <c r="A6337" s="30">
        <v>2025</v>
      </c>
      <c r="B6337" s="30" t="s">
        <v>16</v>
      </c>
      <c r="C6337" s="30" t="s">
        <v>46</v>
      </c>
      <c r="D6337" s="30" t="s">
        <v>47</v>
      </c>
      <c r="E6337" s="31" t="s">
        <v>354</v>
      </c>
      <c r="F6337" s="31" t="s">
        <v>60</v>
      </c>
      <c r="G6337" s="32" t="s">
        <v>50</v>
      </c>
      <c r="H6337" s="33">
        <v>4120</v>
      </c>
      <c r="I6337" s="34">
        <f>Table3[[#This Row],[Volume, kg.]]/1000</f>
        <v>4.12</v>
      </c>
      <c r="J6337" s="34">
        <v>0.215</v>
      </c>
      <c r="K6337" s="34">
        <f t="shared" si="198"/>
        <v>885.8</v>
      </c>
      <c r="L6337" s="34">
        <v>2</v>
      </c>
      <c r="M6337" s="34">
        <v>8240</v>
      </c>
      <c r="N6337" s="34">
        <f t="shared" si="199"/>
        <v>9.3023255813953494</v>
      </c>
    </row>
    <row r="6338" spans="1:14" x14ac:dyDescent="0.45">
      <c r="A6338" s="30">
        <v>2025</v>
      </c>
      <c r="B6338" s="30" t="s">
        <v>16</v>
      </c>
      <c r="C6338" s="30" t="s">
        <v>46</v>
      </c>
      <c r="D6338" s="30" t="s">
        <v>47</v>
      </c>
      <c r="E6338" s="31" t="s">
        <v>129</v>
      </c>
      <c r="F6338" s="31" t="s">
        <v>57</v>
      </c>
      <c r="G6338" s="32" t="s">
        <v>50</v>
      </c>
      <c r="H6338" s="33">
        <v>23290</v>
      </c>
      <c r="I6338" s="34">
        <f>Table3[[#This Row],[Volume, kg.]]/1000</f>
        <v>23.29</v>
      </c>
      <c r="J6338" s="34">
        <v>0.24890000000000001</v>
      </c>
      <c r="K6338" s="34">
        <f t="shared" si="198"/>
        <v>5796.8810000000003</v>
      </c>
      <c r="L6338" s="34">
        <v>2.13</v>
      </c>
      <c r="M6338" s="34">
        <v>49627</v>
      </c>
      <c r="N6338" s="34">
        <f t="shared" si="199"/>
        <v>8.5576536761751694</v>
      </c>
    </row>
    <row r="6339" spans="1:14" x14ac:dyDescent="0.45">
      <c r="A6339" s="30">
        <v>2025</v>
      </c>
      <c r="B6339" s="30" t="s">
        <v>16</v>
      </c>
      <c r="C6339" s="30" t="s">
        <v>46</v>
      </c>
      <c r="D6339" s="30" t="s">
        <v>47</v>
      </c>
      <c r="E6339" s="31" t="s">
        <v>80</v>
      </c>
      <c r="F6339" s="31" t="s">
        <v>81</v>
      </c>
      <c r="G6339" s="32" t="s">
        <v>50</v>
      </c>
      <c r="H6339" s="33">
        <v>27940</v>
      </c>
      <c r="I6339" s="34">
        <f>Table3[[#This Row],[Volume, kg.]]/1000</f>
        <v>27.94</v>
      </c>
      <c r="J6339" s="34">
        <v>0.2291</v>
      </c>
      <c r="K6339" s="34">
        <f t="shared" si="198"/>
        <v>6401.0540000000001</v>
      </c>
      <c r="L6339" s="34">
        <v>2.0299999999999998</v>
      </c>
      <c r="M6339" s="34">
        <v>56845</v>
      </c>
      <c r="N6339" s="34">
        <f t="shared" si="199"/>
        <v>8.8607594936708853</v>
      </c>
    </row>
    <row r="6340" spans="1:14" x14ac:dyDescent="0.45">
      <c r="A6340" s="30">
        <v>2025</v>
      </c>
      <c r="B6340" s="30" t="s">
        <v>16</v>
      </c>
      <c r="C6340" s="30" t="s">
        <v>46</v>
      </c>
      <c r="D6340" s="30" t="s">
        <v>47</v>
      </c>
      <c r="E6340" s="31" t="s">
        <v>473</v>
      </c>
      <c r="F6340" s="31" t="s">
        <v>57</v>
      </c>
      <c r="G6340" s="32" t="s">
        <v>50</v>
      </c>
      <c r="H6340" s="33">
        <v>52900</v>
      </c>
      <c r="I6340" s="34">
        <f>Table3[[#This Row],[Volume, kg.]]/1000</f>
        <v>52.9</v>
      </c>
      <c r="J6340" s="34">
        <v>0.27989999999999998</v>
      </c>
      <c r="K6340" s="34">
        <f t="shared" si="198"/>
        <v>14806.71</v>
      </c>
      <c r="L6340" s="34">
        <v>2.2999999999999998</v>
      </c>
      <c r="M6340" s="34">
        <v>121490.5</v>
      </c>
      <c r="N6340" s="34">
        <f t="shared" si="199"/>
        <v>8.2172204358699528</v>
      </c>
    </row>
    <row r="6341" spans="1:14" x14ac:dyDescent="0.45">
      <c r="A6341" s="30">
        <v>2025</v>
      </c>
      <c r="B6341" s="30" t="s">
        <v>16</v>
      </c>
      <c r="C6341" s="30" t="s">
        <v>46</v>
      </c>
      <c r="D6341" s="30" t="s">
        <v>47</v>
      </c>
      <c r="E6341" s="31" t="s">
        <v>374</v>
      </c>
      <c r="F6341" s="31" t="s">
        <v>81</v>
      </c>
      <c r="G6341" s="32" t="s">
        <v>50</v>
      </c>
      <c r="H6341" s="33">
        <v>11820</v>
      </c>
      <c r="I6341" s="34">
        <f>Table3[[#This Row],[Volume, kg.]]/1000</f>
        <v>11.82</v>
      </c>
      <c r="J6341" s="34">
        <v>0.20100000000000001</v>
      </c>
      <c r="K6341" s="34">
        <f t="shared" si="198"/>
        <v>2375.8200000000002</v>
      </c>
      <c r="L6341" s="34">
        <v>1.85</v>
      </c>
      <c r="M6341" s="34">
        <v>21867</v>
      </c>
      <c r="N6341" s="34">
        <f t="shared" si="199"/>
        <v>9.2039800995024876</v>
      </c>
    </row>
    <row r="6342" spans="1:14" x14ac:dyDescent="0.45">
      <c r="A6342" s="30">
        <v>2025</v>
      </c>
      <c r="B6342" s="30" t="s">
        <v>16</v>
      </c>
      <c r="C6342" s="30" t="s">
        <v>46</v>
      </c>
      <c r="D6342" s="30" t="s">
        <v>47</v>
      </c>
      <c r="E6342" s="31" t="s">
        <v>296</v>
      </c>
      <c r="F6342" s="31" t="s">
        <v>60</v>
      </c>
      <c r="G6342" s="32" t="s">
        <v>50</v>
      </c>
      <c r="H6342" s="33">
        <v>100640</v>
      </c>
      <c r="I6342" s="34">
        <f>Table3[[#This Row],[Volume, kg.]]/1000</f>
        <v>100.64</v>
      </c>
      <c r="J6342" s="34">
        <v>0.24850000000000003</v>
      </c>
      <c r="K6342" s="34">
        <f t="shared" si="198"/>
        <v>25009.040000000001</v>
      </c>
      <c r="L6342" s="34">
        <v>2.13</v>
      </c>
      <c r="M6342" s="34">
        <v>214283</v>
      </c>
      <c r="N6342" s="34">
        <f t="shared" si="199"/>
        <v>8.5714285714285694</v>
      </c>
    </row>
    <row r="6343" spans="1:14" x14ac:dyDescent="0.45">
      <c r="A6343" s="30">
        <v>2025</v>
      </c>
      <c r="B6343" s="30" t="s">
        <v>16</v>
      </c>
      <c r="C6343" s="30" t="s">
        <v>46</v>
      </c>
      <c r="D6343" s="30" t="s">
        <v>47</v>
      </c>
      <c r="E6343" s="31" t="s">
        <v>194</v>
      </c>
      <c r="F6343" s="31" t="s">
        <v>49</v>
      </c>
      <c r="G6343" s="32" t="s">
        <v>50</v>
      </c>
      <c r="H6343" s="33">
        <v>8230</v>
      </c>
      <c r="I6343" s="34">
        <f>Table3[[#This Row],[Volume, kg.]]/1000</f>
        <v>8.23</v>
      </c>
      <c r="J6343" s="34">
        <v>0.214</v>
      </c>
      <c r="K6343" s="34">
        <f t="shared" si="198"/>
        <v>1761.22</v>
      </c>
      <c r="L6343" s="34">
        <v>1.95</v>
      </c>
      <c r="M6343" s="34">
        <v>16048.5</v>
      </c>
      <c r="N6343" s="34">
        <f t="shared" si="199"/>
        <v>9.1121495327102799</v>
      </c>
    </row>
    <row r="6344" spans="1:14" x14ac:dyDescent="0.45">
      <c r="A6344" s="30">
        <v>2025</v>
      </c>
      <c r="B6344" s="30" t="s">
        <v>16</v>
      </c>
      <c r="C6344" s="30" t="s">
        <v>46</v>
      </c>
      <c r="D6344" s="30" t="s">
        <v>102</v>
      </c>
      <c r="E6344" s="31" t="s">
        <v>103</v>
      </c>
      <c r="F6344" s="31" t="s">
        <v>104</v>
      </c>
      <c r="G6344" s="32" t="s">
        <v>105</v>
      </c>
      <c r="H6344" s="33">
        <v>140740</v>
      </c>
      <c r="I6344" s="34">
        <f>Table3[[#This Row],[Volume, kg.]]/1000</f>
        <v>140.74</v>
      </c>
      <c r="J6344" s="34">
        <v>0.20879999999999999</v>
      </c>
      <c r="K6344" s="34">
        <f t="shared" ref="K6344:K6407" si="200">H6344*J6344</f>
        <v>29386.511999999999</v>
      </c>
      <c r="L6344" s="34">
        <v>2.06</v>
      </c>
      <c r="M6344" s="34">
        <v>289778</v>
      </c>
      <c r="N6344" s="34">
        <f t="shared" ref="N6344:N6407" si="201">L6344/J6344</f>
        <v>9.8659003831417635</v>
      </c>
    </row>
    <row r="6345" spans="1:14" x14ac:dyDescent="0.45">
      <c r="A6345" s="30">
        <v>2025</v>
      </c>
      <c r="B6345" s="30" t="s">
        <v>16</v>
      </c>
      <c r="C6345" s="30" t="s">
        <v>46</v>
      </c>
      <c r="D6345" s="30" t="s">
        <v>47</v>
      </c>
      <c r="E6345" s="31" t="s">
        <v>203</v>
      </c>
      <c r="F6345" s="31" t="s">
        <v>57</v>
      </c>
      <c r="G6345" s="32" t="s">
        <v>50</v>
      </c>
      <c r="H6345" s="33">
        <v>12390</v>
      </c>
      <c r="I6345" s="34">
        <f>Table3[[#This Row],[Volume, kg.]]/1000</f>
        <v>12.39</v>
      </c>
      <c r="J6345" s="34">
        <v>0.2296</v>
      </c>
      <c r="K6345" s="34">
        <f t="shared" si="200"/>
        <v>2844.7440000000001</v>
      </c>
      <c r="L6345" s="34">
        <v>2.06</v>
      </c>
      <c r="M6345" s="34">
        <v>25465.5</v>
      </c>
      <c r="N6345" s="34">
        <f t="shared" si="201"/>
        <v>8.9721254355400699</v>
      </c>
    </row>
    <row r="6346" spans="1:14" x14ac:dyDescent="0.45">
      <c r="A6346" s="30">
        <v>2025</v>
      </c>
      <c r="B6346" s="30" t="s">
        <v>16</v>
      </c>
      <c r="C6346" s="30" t="s">
        <v>46</v>
      </c>
      <c r="D6346" s="30" t="s">
        <v>47</v>
      </c>
      <c r="E6346" s="31" t="s">
        <v>137</v>
      </c>
      <c r="F6346" s="31" t="s">
        <v>49</v>
      </c>
      <c r="G6346" s="32" t="s">
        <v>50</v>
      </c>
      <c r="H6346" s="33">
        <v>37250</v>
      </c>
      <c r="I6346" s="34">
        <f>Table3[[#This Row],[Volume, kg.]]/1000</f>
        <v>37.25</v>
      </c>
      <c r="J6346" s="34">
        <v>0.2334</v>
      </c>
      <c r="K6346" s="34">
        <f t="shared" si="200"/>
        <v>8694.15</v>
      </c>
      <c r="L6346" s="34">
        <v>2.06</v>
      </c>
      <c r="M6346" s="34">
        <v>76605.5</v>
      </c>
      <c r="N6346" s="34">
        <f t="shared" si="201"/>
        <v>8.8260497000856901</v>
      </c>
    </row>
    <row r="6347" spans="1:14" x14ac:dyDescent="0.45">
      <c r="A6347" s="30">
        <v>2025</v>
      </c>
      <c r="B6347" s="30" t="s">
        <v>16</v>
      </c>
      <c r="C6347" s="30" t="s">
        <v>46</v>
      </c>
      <c r="D6347" s="30" t="s">
        <v>47</v>
      </c>
      <c r="E6347" s="31" t="s">
        <v>58</v>
      </c>
      <c r="F6347" s="31" t="s">
        <v>49</v>
      </c>
      <c r="G6347" s="32" t="s">
        <v>50</v>
      </c>
      <c r="H6347" s="33">
        <v>38610</v>
      </c>
      <c r="I6347" s="34">
        <f>Table3[[#This Row],[Volume, kg.]]/1000</f>
        <v>38.61</v>
      </c>
      <c r="J6347" s="34">
        <v>0.2303</v>
      </c>
      <c r="K6347" s="34">
        <f t="shared" si="200"/>
        <v>8891.8829999999998</v>
      </c>
      <c r="L6347" s="34">
        <v>2.06</v>
      </c>
      <c r="M6347" s="34">
        <v>79389.5</v>
      </c>
      <c r="N6347" s="34">
        <f t="shared" si="201"/>
        <v>8.9448545375597046</v>
      </c>
    </row>
    <row r="6348" spans="1:14" x14ac:dyDescent="0.45">
      <c r="A6348" s="30">
        <v>2025</v>
      </c>
      <c r="B6348" s="30" t="s">
        <v>16</v>
      </c>
      <c r="C6348" s="30" t="s">
        <v>46</v>
      </c>
      <c r="D6348" s="30" t="s">
        <v>102</v>
      </c>
      <c r="E6348" s="31" t="s">
        <v>691</v>
      </c>
      <c r="F6348" s="31" t="s">
        <v>657</v>
      </c>
      <c r="G6348" s="32" t="s">
        <v>119</v>
      </c>
      <c r="H6348" s="33">
        <v>30910</v>
      </c>
      <c r="I6348" s="34">
        <f>Table3[[#This Row],[Volume, kg.]]/1000</f>
        <v>30.91</v>
      </c>
      <c r="J6348" s="34">
        <v>0.24399999999999999</v>
      </c>
      <c r="K6348" s="34">
        <f t="shared" si="200"/>
        <v>7542.04</v>
      </c>
      <c r="L6348" s="34">
        <v>2.25</v>
      </c>
      <c r="M6348" s="34">
        <v>69547.5</v>
      </c>
      <c r="N6348" s="34">
        <f t="shared" si="201"/>
        <v>9.221311475409836</v>
      </c>
    </row>
    <row r="6349" spans="1:14" x14ac:dyDescent="0.45">
      <c r="A6349" s="30">
        <v>2025</v>
      </c>
      <c r="B6349" s="30" t="s">
        <v>16</v>
      </c>
      <c r="C6349" s="30" t="s">
        <v>46</v>
      </c>
      <c r="D6349" s="30" t="s">
        <v>102</v>
      </c>
      <c r="E6349" s="31" t="s">
        <v>126</v>
      </c>
      <c r="F6349" s="31" t="s">
        <v>127</v>
      </c>
      <c r="G6349" s="32" t="s">
        <v>128</v>
      </c>
      <c r="H6349" s="33">
        <v>568000</v>
      </c>
      <c r="I6349" s="34">
        <f>Table3[[#This Row],[Volume, kg.]]/1000</f>
        <v>568</v>
      </c>
      <c r="J6349" s="34">
        <v>0.23719999999999999</v>
      </c>
      <c r="K6349" s="34">
        <f t="shared" si="200"/>
        <v>134729.60000000001</v>
      </c>
      <c r="L6349" s="34">
        <v>2.2000000000000002</v>
      </c>
      <c r="M6349" s="34">
        <v>1250440</v>
      </c>
      <c r="N6349" s="34">
        <f t="shared" si="201"/>
        <v>9.2748735244519409</v>
      </c>
    </row>
    <row r="6350" spans="1:14" x14ac:dyDescent="0.45">
      <c r="A6350" s="30">
        <v>2025</v>
      </c>
      <c r="B6350" s="30" t="s">
        <v>16</v>
      </c>
      <c r="C6350" s="30" t="s">
        <v>46</v>
      </c>
      <c r="D6350" s="30" t="s">
        <v>47</v>
      </c>
      <c r="E6350" s="31" t="s">
        <v>335</v>
      </c>
      <c r="F6350" s="31" t="s">
        <v>54</v>
      </c>
      <c r="G6350" s="32" t="s">
        <v>50</v>
      </c>
      <c r="H6350" s="33">
        <v>221470</v>
      </c>
      <c r="I6350" s="34">
        <f>Table3[[#This Row],[Volume, kg.]]/1000</f>
        <v>221.47</v>
      </c>
      <c r="J6350" s="34">
        <v>0.24350000000000002</v>
      </c>
      <c r="K6350" s="34">
        <f t="shared" si="200"/>
        <v>53927.945000000007</v>
      </c>
      <c r="L6350" s="34">
        <v>2.09</v>
      </c>
      <c r="M6350" s="34">
        <v>462782</v>
      </c>
      <c r="N6350" s="34">
        <f t="shared" si="201"/>
        <v>8.5831622176591367</v>
      </c>
    </row>
    <row r="6351" spans="1:14" x14ac:dyDescent="0.45">
      <c r="A6351" s="30">
        <v>2025</v>
      </c>
      <c r="B6351" s="30" t="s">
        <v>16</v>
      </c>
      <c r="C6351" s="30" t="s">
        <v>46</v>
      </c>
      <c r="D6351" s="30" t="s">
        <v>47</v>
      </c>
      <c r="E6351" s="31" t="s">
        <v>401</v>
      </c>
      <c r="F6351" s="31" t="s">
        <v>57</v>
      </c>
      <c r="G6351" s="32" t="s">
        <v>50</v>
      </c>
      <c r="H6351" s="33">
        <v>10000</v>
      </c>
      <c r="I6351" s="34">
        <f>Table3[[#This Row],[Volume, kg.]]/1000</f>
        <v>10</v>
      </c>
      <c r="J6351" s="34">
        <v>0.25440000000000002</v>
      </c>
      <c r="K6351" s="34">
        <f t="shared" si="200"/>
        <v>2544</v>
      </c>
      <c r="L6351" s="34">
        <v>2.13</v>
      </c>
      <c r="M6351" s="34">
        <v>21270.5</v>
      </c>
      <c r="N6351" s="34">
        <f t="shared" si="201"/>
        <v>8.3726415094339615</v>
      </c>
    </row>
    <row r="6352" spans="1:14" x14ac:dyDescent="0.45">
      <c r="A6352" s="30">
        <v>2025</v>
      </c>
      <c r="B6352" s="30" t="s">
        <v>16</v>
      </c>
      <c r="C6352" s="30" t="s">
        <v>46</v>
      </c>
      <c r="D6352" s="30" t="s">
        <v>47</v>
      </c>
      <c r="E6352" s="31" t="s">
        <v>567</v>
      </c>
      <c r="F6352" s="31" t="s">
        <v>49</v>
      </c>
      <c r="G6352" s="32" t="s">
        <v>50</v>
      </c>
      <c r="H6352" s="33">
        <v>79700</v>
      </c>
      <c r="I6352" s="34">
        <f>Table3[[#This Row],[Volume, kg.]]/1000</f>
        <v>79.7</v>
      </c>
      <c r="J6352" s="34">
        <v>0.23550000000000001</v>
      </c>
      <c r="K6352" s="34">
        <f t="shared" si="200"/>
        <v>18769.350000000002</v>
      </c>
      <c r="L6352" s="34">
        <v>2.04</v>
      </c>
      <c r="M6352" s="34">
        <v>162786</v>
      </c>
      <c r="N6352" s="34">
        <f t="shared" si="201"/>
        <v>8.6624203821656049</v>
      </c>
    </row>
    <row r="6353" spans="1:14" x14ac:dyDescent="0.45">
      <c r="A6353" s="30">
        <v>2025</v>
      </c>
      <c r="B6353" s="30" t="s">
        <v>16</v>
      </c>
      <c r="C6353" s="30" t="s">
        <v>46</v>
      </c>
      <c r="D6353" s="30" t="s">
        <v>47</v>
      </c>
      <c r="E6353" s="31" t="s">
        <v>243</v>
      </c>
      <c r="F6353" s="31" t="s">
        <v>60</v>
      </c>
      <c r="G6353" s="32" t="s">
        <v>50</v>
      </c>
      <c r="H6353" s="33">
        <v>60000</v>
      </c>
      <c r="I6353" s="34">
        <f>Table3[[#This Row],[Volume, kg.]]/1000</f>
        <v>60</v>
      </c>
      <c r="J6353" s="34">
        <v>0.27949999999999997</v>
      </c>
      <c r="K6353" s="34">
        <f t="shared" si="200"/>
        <v>16770</v>
      </c>
      <c r="L6353" s="34">
        <v>2.2999999999999998</v>
      </c>
      <c r="M6353" s="34">
        <v>137986</v>
      </c>
      <c r="N6353" s="34">
        <f t="shared" si="201"/>
        <v>8.2289803220035775</v>
      </c>
    </row>
    <row r="6354" spans="1:14" x14ac:dyDescent="0.45">
      <c r="A6354" s="30">
        <v>2025</v>
      </c>
      <c r="B6354" s="30" t="s">
        <v>16</v>
      </c>
      <c r="C6354" s="30" t="s">
        <v>46</v>
      </c>
      <c r="D6354" s="30" t="s">
        <v>47</v>
      </c>
      <c r="E6354" s="31" t="s">
        <v>259</v>
      </c>
      <c r="F6354" s="31" t="s">
        <v>54</v>
      </c>
      <c r="G6354" s="32" t="s">
        <v>50</v>
      </c>
      <c r="H6354" s="33">
        <v>13820</v>
      </c>
      <c r="I6354" s="34">
        <f>Table3[[#This Row],[Volume, kg.]]/1000</f>
        <v>13.82</v>
      </c>
      <c r="J6354" s="34">
        <v>0.23800000000000002</v>
      </c>
      <c r="K6354" s="34">
        <f t="shared" si="200"/>
        <v>3289.1600000000003</v>
      </c>
      <c r="L6354" s="34">
        <v>2.1</v>
      </c>
      <c r="M6354" s="34">
        <v>29022</v>
      </c>
      <c r="N6354" s="34">
        <f t="shared" si="201"/>
        <v>8.8235294117647065</v>
      </c>
    </row>
    <row r="6355" spans="1:14" x14ac:dyDescent="0.45">
      <c r="A6355" s="30">
        <v>2025</v>
      </c>
      <c r="B6355" s="30" t="s">
        <v>16</v>
      </c>
      <c r="C6355" s="30" t="s">
        <v>46</v>
      </c>
      <c r="D6355" s="30" t="s">
        <v>47</v>
      </c>
      <c r="E6355" s="31" t="s">
        <v>477</v>
      </c>
      <c r="F6355" s="31" t="s">
        <v>54</v>
      </c>
      <c r="G6355" s="32" t="s">
        <v>50</v>
      </c>
      <c r="H6355" s="33">
        <v>31690</v>
      </c>
      <c r="I6355" s="34">
        <f>Table3[[#This Row],[Volume, kg.]]/1000</f>
        <v>31.69</v>
      </c>
      <c r="J6355" s="34">
        <v>0.22820000000000001</v>
      </c>
      <c r="K6355" s="34">
        <f t="shared" si="200"/>
        <v>7231.6580000000004</v>
      </c>
      <c r="L6355" s="34">
        <v>2.02</v>
      </c>
      <c r="M6355" s="34">
        <v>64019.5</v>
      </c>
      <c r="N6355" s="34">
        <f t="shared" si="201"/>
        <v>8.8518843120070105</v>
      </c>
    </row>
    <row r="6356" spans="1:14" x14ac:dyDescent="0.45">
      <c r="A6356" s="30">
        <v>2025</v>
      </c>
      <c r="B6356" s="30" t="s">
        <v>16</v>
      </c>
      <c r="C6356" s="30" t="s">
        <v>46</v>
      </c>
      <c r="D6356" s="30" t="s">
        <v>47</v>
      </c>
      <c r="E6356" s="31" t="s">
        <v>204</v>
      </c>
      <c r="F6356" s="31" t="s">
        <v>49</v>
      </c>
      <c r="G6356" s="32" t="s">
        <v>50</v>
      </c>
      <c r="H6356" s="33">
        <v>194150</v>
      </c>
      <c r="I6356" s="34">
        <f>Table3[[#This Row],[Volume, kg.]]/1000</f>
        <v>194.15</v>
      </c>
      <c r="J6356" s="34">
        <v>0.25420000000000004</v>
      </c>
      <c r="K6356" s="34">
        <f t="shared" si="200"/>
        <v>49352.930000000008</v>
      </c>
      <c r="L6356" s="34">
        <v>2.16</v>
      </c>
      <c r="M6356" s="34">
        <v>418726</v>
      </c>
      <c r="N6356" s="34">
        <f t="shared" si="201"/>
        <v>8.4972462627852074</v>
      </c>
    </row>
    <row r="6357" spans="1:14" x14ac:dyDescent="0.45">
      <c r="A6357" s="30">
        <v>2025</v>
      </c>
      <c r="B6357" s="30" t="s">
        <v>16</v>
      </c>
      <c r="C6357" s="30" t="s">
        <v>46</v>
      </c>
      <c r="D6357" s="30" t="s">
        <v>47</v>
      </c>
      <c r="E6357" s="31" t="s">
        <v>540</v>
      </c>
      <c r="F6357" s="31" t="s">
        <v>49</v>
      </c>
      <c r="G6357" s="32" t="s">
        <v>50</v>
      </c>
      <c r="H6357" s="33">
        <v>32740</v>
      </c>
      <c r="I6357" s="34">
        <f>Table3[[#This Row],[Volume, kg.]]/1000</f>
        <v>32.74</v>
      </c>
      <c r="J6357" s="34">
        <v>0.217</v>
      </c>
      <c r="K6357" s="34">
        <f t="shared" si="200"/>
        <v>7104.58</v>
      </c>
      <c r="L6357" s="34">
        <v>1.98</v>
      </c>
      <c r="M6357" s="34">
        <v>64679.5</v>
      </c>
      <c r="N6357" s="34">
        <f t="shared" si="201"/>
        <v>9.1244239631336406</v>
      </c>
    </row>
    <row r="6358" spans="1:14" x14ac:dyDescent="0.45">
      <c r="A6358" s="30">
        <v>2025</v>
      </c>
      <c r="B6358" s="30" t="s">
        <v>16</v>
      </c>
      <c r="C6358" s="30" t="s">
        <v>46</v>
      </c>
      <c r="D6358" s="30" t="s">
        <v>47</v>
      </c>
      <c r="E6358" s="31" t="s">
        <v>154</v>
      </c>
      <c r="F6358" s="31" t="s">
        <v>60</v>
      </c>
      <c r="G6358" s="32" t="s">
        <v>50</v>
      </c>
      <c r="H6358" s="33">
        <v>15320</v>
      </c>
      <c r="I6358" s="34">
        <f>Table3[[#This Row],[Volume, kg.]]/1000</f>
        <v>15.32</v>
      </c>
      <c r="J6358" s="34">
        <v>0.22210000000000002</v>
      </c>
      <c r="K6358" s="34">
        <f t="shared" si="200"/>
        <v>3402.5720000000001</v>
      </c>
      <c r="L6358" s="34">
        <v>2</v>
      </c>
      <c r="M6358" s="34">
        <v>30640</v>
      </c>
      <c r="N6358" s="34">
        <f t="shared" si="201"/>
        <v>9.0049527239981977</v>
      </c>
    </row>
    <row r="6359" spans="1:14" x14ac:dyDescent="0.45">
      <c r="A6359" s="30">
        <v>2025</v>
      </c>
      <c r="B6359" s="30" t="s">
        <v>16</v>
      </c>
      <c r="C6359" s="30" t="s">
        <v>46</v>
      </c>
      <c r="D6359" s="30" t="s">
        <v>102</v>
      </c>
      <c r="E6359" s="31" t="s">
        <v>157</v>
      </c>
      <c r="F6359" s="31" t="s">
        <v>127</v>
      </c>
      <c r="G6359" s="32" t="s">
        <v>128</v>
      </c>
      <c r="H6359" s="33">
        <v>352140</v>
      </c>
      <c r="I6359" s="34">
        <f>Table3[[#This Row],[Volume, kg.]]/1000</f>
        <v>352.14</v>
      </c>
      <c r="J6359" s="34">
        <v>0.2409</v>
      </c>
      <c r="K6359" s="34">
        <f t="shared" si="200"/>
        <v>84830.525999999998</v>
      </c>
      <c r="L6359" s="34">
        <v>2.2200000000000002</v>
      </c>
      <c r="M6359" s="34">
        <v>783416.5</v>
      </c>
      <c r="N6359" s="34">
        <f t="shared" si="201"/>
        <v>9.2154420921544222</v>
      </c>
    </row>
    <row r="6360" spans="1:14" x14ac:dyDescent="0.45">
      <c r="A6360" s="30">
        <v>2025</v>
      </c>
      <c r="B6360" s="30" t="s">
        <v>16</v>
      </c>
      <c r="C6360" s="30" t="s">
        <v>46</v>
      </c>
      <c r="D6360" s="30" t="s">
        <v>47</v>
      </c>
      <c r="E6360" s="31" t="s">
        <v>75</v>
      </c>
      <c r="F6360" s="31" t="s">
        <v>49</v>
      </c>
      <c r="G6360" s="32" t="s">
        <v>50</v>
      </c>
      <c r="H6360" s="33">
        <v>43110</v>
      </c>
      <c r="I6360" s="34">
        <f>Table3[[#This Row],[Volume, kg.]]/1000</f>
        <v>43.11</v>
      </c>
      <c r="J6360" s="34">
        <v>0.25780000000000003</v>
      </c>
      <c r="K6360" s="34">
        <f t="shared" si="200"/>
        <v>11113.758000000002</v>
      </c>
      <c r="L6360" s="34">
        <v>2.17</v>
      </c>
      <c r="M6360" s="34">
        <v>93687</v>
      </c>
      <c r="N6360" s="34">
        <f t="shared" si="201"/>
        <v>8.4173778122575627</v>
      </c>
    </row>
    <row r="6361" spans="1:14" x14ac:dyDescent="0.45">
      <c r="A6361" s="30">
        <v>2025</v>
      </c>
      <c r="B6361" s="30" t="s">
        <v>16</v>
      </c>
      <c r="C6361" s="30" t="s">
        <v>46</v>
      </c>
      <c r="D6361" s="30" t="s">
        <v>47</v>
      </c>
      <c r="E6361" s="31" t="s">
        <v>97</v>
      </c>
      <c r="F6361" s="31" t="s">
        <v>49</v>
      </c>
      <c r="G6361" s="32" t="s">
        <v>50</v>
      </c>
      <c r="H6361" s="33">
        <v>195860</v>
      </c>
      <c r="I6361" s="34">
        <f>Table3[[#This Row],[Volume, kg.]]/1000</f>
        <v>195.86</v>
      </c>
      <c r="J6361" s="34">
        <v>0.25009999999999999</v>
      </c>
      <c r="K6361" s="34">
        <f t="shared" si="200"/>
        <v>48984.585999999996</v>
      </c>
      <c r="L6361" s="34">
        <v>2.13</v>
      </c>
      <c r="M6361" s="34">
        <v>418083.5</v>
      </c>
      <c r="N6361" s="34">
        <f t="shared" si="201"/>
        <v>8.5165933626549375</v>
      </c>
    </row>
    <row r="6362" spans="1:14" x14ac:dyDescent="0.45">
      <c r="A6362" s="30">
        <v>2025</v>
      </c>
      <c r="B6362" s="30" t="s">
        <v>16</v>
      </c>
      <c r="C6362" s="30" t="s">
        <v>46</v>
      </c>
      <c r="D6362" s="30" t="s">
        <v>47</v>
      </c>
      <c r="E6362" s="31" t="s">
        <v>355</v>
      </c>
      <c r="F6362" s="31" t="s">
        <v>60</v>
      </c>
      <c r="G6362" s="32" t="s">
        <v>50</v>
      </c>
      <c r="H6362" s="33">
        <v>96380</v>
      </c>
      <c r="I6362" s="34">
        <f>Table3[[#This Row],[Volume, kg.]]/1000</f>
        <v>96.38</v>
      </c>
      <c r="J6362" s="34">
        <v>0.26679999999999998</v>
      </c>
      <c r="K6362" s="34">
        <f t="shared" si="200"/>
        <v>25714.183999999997</v>
      </c>
      <c r="L6362" s="34">
        <v>2.2200000000000002</v>
      </c>
      <c r="M6362" s="34">
        <v>214018.5</v>
      </c>
      <c r="N6362" s="34">
        <f t="shared" si="201"/>
        <v>8.3208395802098956</v>
      </c>
    </row>
    <row r="6363" spans="1:14" x14ac:dyDescent="0.45">
      <c r="A6363" s="30">
        <v>2025</v>
      </c>
      <c r="B6363" s="30" t="s">
        <v>16</v>
      </c>
      <c r="C6363" s="30" t="s">
        <v>46</v>
      </c>
      <c r="D6363" s="30" t="s">
        <v>47</v>
      </c>
      <c r="E6363" s="31" t="s">
        <v>345</v>
      </c>
      <c r="F6363" s="31" t="s">
        <v>81</v>
      </c>
      <c r="G6363" s="32" t="s">
        <v>50</v>
      </c>
      <c r="H6363" s="33">
        <v>125130</v>
      </c>
      <c r="I6363" s="34">
        <f>Table3[[#This Row],[Volume, kg.]]/1000</f>
        <v>125.13</v>
      </c>
      <c r="J6363" s="34">
        <v>0.24210000000000001</v>
      </c>
      <c r="K6363" s="34">
        <f t="shared" si="200"/>
        <v>30293.973000000002</v>
      </c>
      <c r="L6363" s="34">
        <v>2.09</v>
      </c>
      <c r="M6363" s="34">
        <v>261472</v>
      </c>
      <c r="N6363" s="34">
        <f t="shared" si="201"/>
        <v>8.6327963651383719</v>
      </c>
    </row>
    <row r="6364" spans="1:14" x14ac:dyDescent="0.45">
      <c r="A6364" s="30">
        <v>2025</v>
      </c>
      <c r="B6364" s="30" t="s">
        <v>16</v>
      </c>
      <c r="C6364" s="30" t="s">
        <v>46</v>
      </c>
      <c r="D6364" s="30" t="s">
        <v>47</v>
      </c>
      <c r="E6364" s="31" t="s">
        <v>365</v>
      </c>
      <c r="F6364" s="31" t="s">
        <v>49</v>
      </c>
      <c r="G6364" s="32" t="s">
        <v>50</v>
      </c>
      <c r="H6364" s="33">
        <v>41980</v>
      </c>
      <c r="I6364" s="34">
        <f>Table3[[#This Row],[Volume, kg.]]/1000</f>
        <v>41.98</v>
      </c>
      <c r="J6364" s="34">
        <v>0.25519999999999998</v>
      </c>
      <c r="K6364" s="34">
        <f t="shared" si="200"/>
        <v>10713.295999999998</v>
      </c>
      <c r="L6364" s="34">
        <v>2.1800000000000002</v>
      </c>
      <c r="M6364" s="34">
        <v>91328.5</v>
      </c>
      <c r="N6364" s="34">
        <f t="shared" si="201"/>
        <v>8.5423197492163023</v>
      </c>
    </row>
    <row r="6365" spans="1:14" x14ac:dyDescent="0.45">
      <c r="A6365" s="30">
        <v>2025</v>
      </c>
      <c r="B6365" s="30" t="s">
        <v>16</v>
      </c>
      <c r="C6365" s="30" t="s">
        <v>46</v>
      </c>
      <c r="D6365" s="30" t="s">
        <v>47</v>
      </c>
      <c r="E6365" s="31" t="s">
        <v>96</v>
      </c>
      <c r="F6365" s="31" t="s">
        <v>49</v>
      </c>
      <c r="G6365" s="32" t="s">
        <v>50</v>
      </c>
      <c r="H6365" s="33">
        <v>28540</v>
      </c>
      <c r="I6365" s="34">
        <f>Table3[[#This Row],[Volume, kg.]]/1000</f>
        <v>28.54</v>
      </c>
      <c r="J6365" s="34">
        <v>0.2586</v>
      </c>
      <c r="K6365" s="34">
        <f t="shared" si="200"/>
        <v>7380.4439999999995</v>
      </c>
      <c r="L6365" s="34">
        <v>2.1800000000000002</v>
      </c>
      <c r="M6365" s="34">
        <v>62333</v>
      </c>
      <c r="N6365" s="34">
        <f t="shared" si="201"/>
        <v>8.4300077339520509</v>
      </c>
    </row>
    <row r="6366" spans="1:14" x14ac:dyDescent="0.45">
      <c r="A6366" s="30">
        <v>2025</v>
      </c>
      <c r="B6366" s="30" t="s">
        <v>16</v>
      </c>
      <c r="C6366" s="30" t="s">
        <v>46</v>
      </c>
      <c r="D6366" s="30" t="s">
        <v>47</v>
      </c>
      <c r="E6366" s="31" t="s">
        <v>369</v>
      </c>
      <c r="F6366" s="31" t="s">
        <v>57</v>
      </c>
      <c r="G6366" s="32" t="s">
        <v>50</v>
      </c>
      <c r="H6366" s="33">
        <v>10350</v>
      </c>
      <c r="I6366" s="34">
        <f>Table3[[#This Row],[Volume, kg.]]/1000</f>
        <v>10.35</v>
      </c>
      <c r="J6366" s="34">
        <v>0.23199999999999998</v>
      </c>
      <c r="K6366" s="34">
        <f t="shared" si="200"/>
        <v>2401.1999999999998</v>
      </c>
      <c r="L6366" s="34">
        <v>2.0499999999999998</v>
      </c>
      <c r="M6366" s="34">
        <v>21217.5</v>
      </c>
      <c r="N6366" s="34">
        <f t="shared" si="201"/>
        <v>8.8362068965517242</v>
      </c>
    </row>
    <row r="6367" spans="1:14" x14ac:dyDescent="0.45">
      <c r="A6367" s="30">
        <v>2025</v>
      </c>
      <c r="B6367" s="30" t="s">
        <v>16</v>
      </c>
      <c r="C6367" s="30" t="s">
        <v>46</v>
      </c>
      <c r="D6367" s="30" t="s">
        <v>102</v>
      </c>
      <c r="E6367" s="31" t="s">
        <v>730</v>
      </c>
      <c r="F6367" s="31" t="s">
        <v>487</v>
      </c>
      <c r="G6367" s="32" t="s">
        <v>341</v>
      </c>
      <c r="H6367" s="33">
        <v>275010</v>
      </c>
      <c r="I6367" s="34">
        <f>Table3[[#This Row],[Volume, kg.]]/1000</f>
        <v>275.01</v>
      </c>
      <c r="J6367" s="34">
        <v>0.25329999999999997</v>
      </c>
      <c r="K6367" s="34">
        <f t="shared" si="200"/>
        <v>69660.032999999996</v>
      </c>
      <c r="L6367" s="34">
        <v>2.2799999999999998</v>
      </c>
      <c r="M6367" s="34">
        <v>627878</v>
      </c>
      <c r="N6367" s="34">
        <f t="shared" si="201"/>
        <v>9.0011843663639954</v>
      </c>
    </row>
    <row r="6368" spans="1:14" x14ac:dyDescent="0.45">
      <c r="A6368" s="30">
        <v>2025</v>
      </c>
      <c r="B6368" s="30" t="s">
        <v>16</v>
      </c>
      <c r="C6368" s="30" t="s">
        <v>46</v>
      </c>
      <c r="D6368" s="30" t="s">
        <v>102</v>
      </c>
      <c r="E6368" s="31" t="s">
        <v>710</v>
      </c>
      <c r="F6368" s="31" t="s">
        <v>189</v>
      </c>
      <c r="G6368" s="32" t="s">
        <v>128</v>
      </c>
      <c r="H6368" s="33">
        <v>101930</v>
      </c>
      <c r="I6368" s="34">
        <f>Table3[[#This Row],[Volume, kg.]]/1000</f>
        <v>101.93</v>
      </c>
      <c r="J6368" s="34">
        <v>0.21940000000000001</v>
      </c>
      <c r="K6368" s="34">
        <f t="shared" si="200"/>
        <v>22363.442000000003</v>
      </c>
      <c r="L6368" s="34">
        <v>2.1</v>
      </c>
      <c r="M6368" s="34">
        <v>214110.5</v>
      </c>
      <c r="N6368" s="34">
        <f t="shared" si="201"/>
        <v>9.5715587967183229</v>
      </c>
    </row>
    <row r="6369" spans="1:14" x14ac:dyDescent="0.45">
      <c r="A6369" s="30">
        <v>2025</v>
      </c>
      <c r="B6369" s="30" t="s">
        <v>16</v>
      </c>
      <c r="C6369" s="30" t="s">
        <v>46</v>
      </c>
      <c r="D6369" s="30" t="s">
        <v>47</v>
      </c>
      <c r="E6369" s="31" t="s">
        <v>518</v>
      </c>
      <c r="F6369" s="31" t="s">
        <v>49</v>
      </c>
      <c r="G6369" s="32" t="s">
        <v>50</v>
      </c>
      <c r="H6369" s="33">
        <v>91460</v>
      </c>
      <c r="I6369" s="34">
        <f>Table3[[#This Row],[Volume, kg.]]/1000</f>
        <v>91.46</v>
      </c>
      <c r="J6369" s="34">
        <v>0.24590000000000001</v>
      </c>
      <c r="K6369" s="34">
        <f t="shared" si="200"/>
        <v>22490.013999999999</v>
      </c>
      <c r="L6369" s="34">
        <v>2.12</v>
      </c>
      <c r="M6369" s="34">
        <v>193959.5</v>
      </c>
      <c r="N6369" s="34">
        <f t="shared" si="201"/>
        <v>8.6213908092720626</v>
      </c>
    </row>
    <row r="6370" spans="1:14" x14ac:dyDescent="0.45">
      <c r="A6370" s="30">
        <v>2025</v>
      </c>
      <c r="B6370" s="30" t="s">
        <v>16</v>
      </c>
      <c r="C6370" s="30" t="s">
        <v>46</v>
      </c>
      <c r="D6370" s="30" t="s">
        <v>47</v>
      </c>
      <c r="E6370" s="31" t="s">
        <v>87</v>
      </c>
      <c r="F6370" s="31" t="s">
        <v>49</v>
      </c>
      <c r="G6370" s="32" t="s">
        <v>50</v>
      </c>
      <c r="H6370" s="33">
        <v>22620</v>
      </c>
      <c r="I6370" s="34">
        <f>Table3[[#This Row],[Volume, kg.]]/1000</f>
        <v>22.62</v>
      </c>
      <c r="J6370" s="34">
        <v>0.24440000000000001</v>
      </c>
      <c r="K6370" s="34">
        <f t="shared" si="200"/>
        <v>5528.3280000000004</v>
      </c>
      <c r="L6370" s="34">
        <v>2.11</v>
      </c>
      <c r="M6370" s="34">
        <v>47750</v>
      </c>
      <c r="N6370" s="34">
        <f t="shared" si="201"/>
        <v>8.6333878887070377</v>
      </c>
    </row>
    <row r="6371" spans="1:14" x14ac:dyDescent="0.45">
      <c r="A6371" s="30">
        <v>2025</v>
      </c>
      <c r="B6371" s="30" t="s">
        <v>16</v>
      </c>
      <c r="C6371" s="30" t="s">
        <v>46</v>
      </c>
      <c r="D6371" s="30" t="s">
        <v>47</v>
      </c>
      <c r="E6371" s="31" t="s">
        <v>68</v>
      </c>
      <c r="F6371" s="31" t="s">
        <v>49</v>
      </c>
      <c r="G6371" s="32" t="s">
        <v>50</v>
      </c>
      <c r="H6371" s="33">
        <v>33130</v>
      </c>
      <c r="I6371" s="34">
        <f>Table3[[#This Row],[Volume, kg.]]/1000</f>
        <v>33.130000000000003</v>
      </c>
      <c r="J6371" s="34">
        <v>0.26050000000000001</v>
      </c>
      <c r="K6371" s="34">
        <f t="shared" si="200"/>
        <v>8630.3649999999998</v>
      </c>
      <c r="L6371" s="34">
        <v>2.15</v>
      </c>
      <c r="M6371" s="34">
        <v>71182</v>
      </c>
      <c r="N6371" s="34">
        <f t="shared" si="201"/>
        <v>8.253358925143953</v>
      </c>
    </row>
    <row r="6372" spans="1:14" x14ac:dyDescent="0.45">
      <c r="A6372" s="30">
        <v>2025</v>
      </c>
      <c r="B6372" s="30" t="s">
        <v>16</v>
      </c>
      <c r="C6372" s="30" t="s">
        <v>46</v>
      </c>
      <c r="D6372" s="30" t="s">
        <v>47</v>
      </c>
      <c r="E6372" s="31" t="s">
        <v>285</v>
      </c>
      <c r="F6372" s="31" t="s">
        <v>49</v>
      </c>
      <c r="G6372" s="32" t="s">
        <v>50</v>
      </c>
      <c r="H6372" s="33">
        <v>41570</v>
      </c>
      <c r="I6372" s="34">
        <f>Table3[[#This Row],[Volume, kg.]]/1000</f>
        <v>41.57</v>
      </c>
      <c r="J6372" s="34">
        <v>0.2437</v>
      </c>
      <c r="K6372" s="34">
        <f t="shared" si="200"/>
        <v>10130.609</v>
      </c>
      <c r="L6372" s="34">
        <v>2.11</v>
      </c>
      <c r="M6372" s="34">
        <v>87811.5</v>
      </c>
      <c r="N6372" s="34">
        <f t="shared" si="201"/>
        <v>8.6581862946245387</v>
      </c>
    </row>
    <row r="6373" spans="1:14" x14ac:dyDescent="0.45">
      <c r="A6373" s="30">
        <v>2025</v>
      </c>
      <c r="B6373" s="30" t="s">
        <v>16</v>
      </c>
      <c r="C6373" s="30" t="s">
        <v>46</v>
      </c>
      <c r="D6373" s="30" t="s">
        <v>47</v>
      </c>
      <c r="E6373" s="31" t="s">
        <v>508</v>
      </c>
      <c r="F6373" s="31" t="s">
        <v>60</v>
      </c>
      <c r="G6373" s="32" t="s">
        <v>50</v>
      </c>
      <c r="H6373" s="33">
        <v>26170</v>
      </c>
      <c r="I6373" s="34">
        <f>Table3[[#This Row],[Volume, kg.]]/1000</f>
        <v>26.17</v>
      </c>
      <c r="J6373" s="34">
        <v>0.25429999999999997</v>
      </c>
      <c r="K6373" s="34">
        <f t="shared" si="200"/>
        <v>6655.030999999999</v>
      </c>
      <c r="L6373" s="34">
        <v>2.19</v>
      </c>
      <c r="M6373" s="34">
        <v>57283</v>
      </c>
      <c r="N6373" s="34">
        <f t="shared" si="201"/>
        <v>8.6118757373181296</v>
      </c>
    </row>
    <row r="6374" spans="1:14" x14ac:dyDescent="0.45">
      <c r="A6374" s="30">
        <v>2025</v>
      </c>
      <c r="B6374" s="30" t="s">
        <v>16</v>
      </c>
      <c r="C6374" s="30" t="s">
        <v>46</v>
      </c>
      <c r="D6374" s="30" t="s">
        <v>47</v>
      </c>
      <c r="E6374" s="31" t="s">
        <v>453</v>
      </c>
      <c r="F6374" s="31" t="s">
        <v>57</v>
      </c>
      <c r="G6374" s="32" t="s">
        <v>50</v>
      </c>
      <c r="H6374" s="33">
        <v>67760</v>
      </c>
      <c r="I6374" s="34">
        <f>Table3[[#This Row],[Volume, kg.]]/1000</f>
        <v>67.760000000000005</v>
      </c>
      <c r="J6374" s="34">
        <v>0.25790000000000002</v>
      </c>
      <c r="K6374" s="34">
        <f t="shared" si="200"/>
        <v>17475.304</v>
      </c>
      <c r="L6374" s="34">
        <v>2.19</v>
      </c>
      <c r="M6374" s="34">
        <v>148574.5</v>
      </c>
      <c r="N6374" s="34">
        <f t="shared" si="201"/>
        <v>8.4916634354400919</v>
      </c>
    </row>
    <row r="6375" spans="1:14" x14ac:dyDescent="0.45">
      <c r="A6375" s="30">
        <v>2025</v>
      </c>
      <c r="B6375" s="30" t="s">
        <v>16</v>
      </c>
      <c r="C6375" s="30" t="s">
        <v>46</v>
      </c>
      <c r="D6375" s="30" t="s">
        <v>47</v>
      </c>
      <c r="E6375" s="31" t="s">
        <v>227</v>
      </c>
      <c r="F6375" s="31" t="s">
        <v>57</v>
      </c>
      <c r="G6375" s="32" t="s">
        <v>50</v>
      </c>
      <c r="H6375" s="33">
        <v>21960</v>
      </c>
      <c r="I6375" s="34">
        <f>Table3[[#This Row],[Volume, kg.]]/1000</f>
        <v>21.96</v>
      </c>
      <c r="J6375" s="34">
        <v>0.26069999999999999</v>
      </c>
      <c r="K6375" s="34">
        <f t="shared" si="200"/>
        <v>5724.9719999999998</v>
      </c>
      <c r="L6375" s="34">
        <v>2.1800000000000002</v>
      </c>
      <c r="M6375" s="34">
        <v>47968</v>
      </c>
      <c r="N6375" s="34">
        <f t="shared" si="201"/>
        <v>8.3621020329881102</v>
      </c>
    </row>
    <row r="6376" spans="1:14" x14ac:dyDescent="0.45">
      <c r="A6376" s="30">
        <v>2025</v>
      </c>
      <c r="B6376" s="30" t="s">
        <v>16</v>
      </c>
      <c r="C6376" s="30" t="s">
        <v>46</v>
      </c>
      <c r="D6376" s="30" t="s">
        <v>47</v>
      </c>
      <c r="E6376" s="31" t="s">
        <v>509</v>
      </c>
      <c r="F6376" s="31" t="s">
        <v>49</v>
      </c>
      <c r="G6376" s="32" t="s">
        <v>50</v>
      </c>
      <c r="H6376" s="33">
        <v>47620</v>
      </c>
      <c r="I6376" s="34">
        <f>Table3[[#This Row],[Volume, kg.]]/1000</f>
        <v>47.62</v>
      </c>
      <c r="J6376" s="34">
        <v>0.24829999999999999</v>
      </c>
      <c r="K6376" s="34">
        <f t="shared" si="200"/>
        <v>11824.046</v>
      </c>
      <c r="L6376" s="34">
        <v>2.14</v>
      </c>
      <c r="M6376" s="34">
        <v>101869</v>
      </c>
      <c r="N6376" s="34">
        <f t="shared" si="201"/>
        <v>8.6186065243656866</v>
      </c>
    </row>
    <row r="6377" spans="1:14" x14ac:dyDescent="0.45">
      <c r="A6377" s="30">
        <v>2025</v>
      </c>
      <c r="B6377" s="30" t="s">
        <v>16</v>
      </c>
      <c r="C6377" s="30" t="s">
        <v>46</v>
      </c>
      <c r="D6377" s="30" t="s">
        <v>47</v>
      </c>
      <c r="E6377" s="31" t="s">
        <v>66</v>
      </c>
      <c r="F6377" s="31" t="s">
        <v>49</v>
      </c>
      <c r="G6377" s="32" t="s">
        <v>50</v>
      </c>
      <c r="H6377" s="33">
        <v>123500</v>
      </c>
      <c r="I6377" s="34">
        <f>Table3[[#This Row],[Volume, kg.]]/1000</f>
        <v>123.5</v>
      </c>
      <c r="J6377" s="34">
        <v>0.2364</v>
      </c>
      <c r="K6377" s="34">
        <f t="shared" si="200"/>
        <v>29195.4</v>
      </c>
      <c r="L6377" s="34">
        <v>2.0699999999999998</v>
      </c>
      <c r="M6377" s="34">
        <v>255716</v>
      </c>
      <c r="N6377" s="34">
        <f t="shared" si="201"/>
        <v>8.7563451776649739</v>
      </c>
    </row>
    <row r="6378" spans="1:14" x14ac:dyDescent="0.45">
      <c r="A6378" s="30">
        <v>2025</v>
      </c>
      <c r="B6378" s="30" t="s">
        <v>16</v>
      </c>
      <c r="C6378" s="30" t="s">
        <v>46</v>
      </c>
      <c r="D6378" s="30" t="s">
        <v>47</v>
      </c>
      <c r="E6378" s="31" t="s">
        <v>405</v>
      </c>
      <c r="F6378" s="31" t="s">
        <v>240</v>
      </c>
      <c r="G6378" s="32" t="s">
        <v>50</v>
      </c>
      <c r="H6378" s="33">
        <v>9470</v>
      </c>
      <c r="I6378" s="34">
        <f>Table3[[#This Row],[Volume, kg.]]/1000</f>
        <v>9.4700000000000006</v>
      </c>
      <c r="J6378" s="34">
        <v>0.23219999999999999</v>
      </c>
      <c r="K6378" s="34">
        <f t="shared" si="200"/>
        <v>2198.9339999999997</v>
      </c>
      <c r="L6378" s="34">
        <v>2.0499999999999998</v>
      </c>
      <c r="M6378" s="34">
        <v>19413.5</v>
      </c>
      <c r="N6378" s="34">
        <f t="shared" si="201"/>
        <v>8.8285960378983628</v>
      </c>
    </row>
    <row r="6379" spans="1:14" x14ac:dyDescent="0.45">
      <c r="A6379" s="30">
        <v>2025</v>
      </c>
      <c r="B6379" s="30" t="s">
        <v>16</v>
      </c>
      <c r="C6379" s="30" t="s">
        <v>46</v>
      </c>
      <c r="D6379" s="30" t="s">
        <v>47</v>
      </c>
      <c r="E6379" s="31" t="s">
        <v>347</v>
      </c>
      <c r="F6379" s="31" t="s">
        <v>49</v>
      </c>
      <c r="G6379" s="32" t="s">
        <v>50</v>
      </c>
      <c r="H6379" s="33">
        <v>10140</v>
      </c>
      <c r="I6379" s="34">
        <f>Table3[[#This Row],[Volume, kg.]]/1000</f>
        <v>10.14</v>
      </c>
      <c r="J6379" s="34">
        <v>0.27350000000000002</v>
      </c>
      <c r="K6379" s="34">
        <f t="shared" si="200"/>
        <v>2773.2900000000004</v>
      </c>
      <c r="L6379" s="34">
        <v>2.25</v>
      </c>
      <c r="M6379" s="34">
        <v>22815</v>
      </c>
      <c r="N6379" s="34">
        <f t="shared" si="201"/>
        <v>8.2266910420475305</v>
      </c>
    </row>
    <row r="6380" spans="1:14" x14ac:dyDescent="0.45">
      <c r="A6380" s="30">
        <v>2025</v>
      </c>
      <c r="B6380" s="30" t="s">
        <v>16</v>
      </c>
      <c r="C6380" s="30" t="s">
        <v>46</v>
      </c>
      <c r="D6380" s="30" t="s">
        <v>47</v>
      </c>
      <c r="E6380" s="31" t="s">
        <v>255</v>
      </c>
      <c r="F6380" s="31" t="s">
        <v>60</v>
      </c>
      <c r="G6380" s="32" t="s">
        <v>50</v>
      </c>
      <c r="H6380" s="33">
        <v>22660</v>
      </c>
      <c r="I6380" s="34">
        <f>Table3[[#This Row],[Volume, kg.]]/1000</f>
        <v>22.66</v>
      </c>
      <c r="J6380" s="34">
        <v>0.26269999999999999</v>
      </c>
      <c r="K6380" s="34">
        <f t="shared" si="200"/>
        <v>5952.7820000000002</v>
      </c>
      <c r="L6380" s="34">
        <v>2.1800000000000002</v>
      </c>
      <c r="M6380" s="34">
        <v>49509</v>
      </c>
      <c r="N6380" s="34">
        <f t="shared" si="201"/>
        <v>8.2984392843547781</v>
      </c>
    </row>
    <row r="6381" spans="1:14" x14ac:dyDescent="0.45">
      <c r="A6381" s="30">
        <v>2025</v>
      </c>
      <c r="B6381" s="30" t="s">
        <v>16</v>
      </c>
      <c r="C6381" s="30" t="s">
        <v>46</v>
      </c>
      <c r="D6381" s="30" t="s">
        <v>47</v>
      </c>
      <c r="E6381" s="31" t="s">
        <v>309</v>
      </c>
      <c r="F6381" s="31" t="s">
        <v>81</v>
      </c>
      <c r="G6381" s="32" t="s">
        <v>50</v>
      </c>
      <c r="H6381" s="33">
        <v>33150</v>
      </c>
      <c r="I6381" s="34">
        <f>Table3[[#This Row],[Volume, kg.]]/1000</f>
        <v>33.15</v>
      </c>
      <c r="J6381" s="34">
        <v>0.22989999999999999</v>
      </c>
      <c r="K6381" s="34">
        <f t="shared" si="200"/>
        <v>7621.1849999999995</v>
      </c>
      <c r="L6381" s="34">
        <v>2.0299999999999998</v>
      </c>
      <c r="M6381" s="34">
        <v>67312</v>
      </c>
      <c r="N6381" s="34">
        <f t="shared" si="201"/>
        <v>8.8299260548064371</v>
      </c>
    </row>
    <row r="6382" spans="1:14" x14ac:dyDescent="0.45">
      <c r="A6382" s="30">
        <v>2025</v>
      </c>
      <c r="B6382" s="30" t="s">
        <v>16</v>
      </c>
      <c r="C6382" s="30" t="s">
        <v>46</v>
      </c>
      <c r="D6382" s="30" t="s">
        <v>47</v>
      </c>
      <c r="E6382" s="31" t="s">
        <v>510</v>
      </c>
      <c r="F6382" s="31" t="s">
        <v>49</v>
      </c>
      <c r="G6382" s="32" t="s">
        <v>50</v>
      </c>
      <c r="H6382" s="33">
        <v>52990</v>
      </c>
      <c r="I6382" s="34">
        <f>Table3[[#This Row],[Volume, kg.]]/1000</f>
        <v>52.99</v>
      </c>
      <c r="J6382" s="34">
        <v>0.22649999999999998</v>
      </c>
      <c r="K6382" s="34">
        <f t="shared" si="200"/>
        <v>12002.234999999999</v>
      </c>
      <c r="L6382" s="34">
        <v>2.02</v>
      </c>
      <c r="M6382" s="34">
        <v>106922</v>
      </c>
      <c r="N6382" s="34">
        <f t="shared" si="201"/>
        <v>8.9183222958057407</v>
      </c>
    </row>
    <row r="6383" spans="1:14" x14ac:dyDescent="0.45">
      <c r="A6383" s="30">
        <v>2025</v>
      </c>
      <c r="B6383" s="30" t="s">
        <v>16</v>
      </c>
      <c r="C6383" s="30" t="s">
        <v>46</v>
      </c>
      <c r="D6383" s="30" t="s">
        <v>47</v>
      </c>
      <c r="E6383" s="31" t="s">
        <v>136</v>
      </c>
      <c r="F6383" s="31" t="s">
        <v>49</v>
      </c>
      <c r="G6383" s="32" t="s">
        <v>50</v>
      </c>
      <c r="H6383" s="33">
        <v>63850</v>
      </c>
      <c r="I6383" s="34">
        <f>Table3[[#This Row],[Volume, kg.]]/1000</f>
        <v>63.85</v>
      </c>
      <c r="J6383" s="34">
        <v>0.2487</v>
      </c>
      <c r="K6383" s="34">
        <f t="shared" si="200"/>
        <v>15879.495000000001</v>
      </c>
      <c r="L6383" s="34">
        <v>2.14</v>
      </c>
      <c r="M6383" s="34">
        <v>136825.5</v>
      </c>
      <c r="N6383" s="34">
        <f t="shared" si="201"/>
        <v>8.60474467229594</v>
      </c>
    </row>
    <row r="6384" spans="1:14" x14ac:dyDescent="0.45">
      <c r="A6384" s="30">
        <v>2025</v>
      </c>
      <c r="B6384" s="30" t="s">
        <v>16</v>
      </c>
      <c r="C6384" s="30" t="s">
        <v>46</v>
      </c>
      <c r="D6384" s="30" t="s">
        <v>47</v>
      </c>
      <c r="E6384" s="31" t="s">
        <v>316</v>
      </c>
      <c r="F6384" s="31" t="s">
        <v>57</v>
      </c>
      <c r="G6384" s="32" t="s">
        <v>50</v>
      </c>
      <c r="H6384" s="33">
        <v>26110</v>
      </c>
      <c r="I6384" s="34">
        <f>Table3[[#This Row],[Volume, kg.]]/1000</f>
        <v>26.11</v>
      </c>
      <c r="J6384" s="34">
        <v>0.2591</v>
      </c>
      <c r="K6384" s="34">
        <f t="shared" si="200"/>
        <v>6765.1009999999997</v>
      </c>
      <c r="L6384" s="34">
        <v>2.19</v>
      </c>
      <c r="M6384" s="34">
        <v>57151</v>
      </c>
      <c r="N6384" s="34">
        <f t="shared" si="201"/>
        <v>8.452335005789271</v>
      </c>
    </row>
    <row r="6385" spans="1:14" x14ac:dyDescent="0.45">
      <c r="A6385" s="30">
        <v>2025</v>
      </c>
      <c r="B6385" s="30" t="s">
        <v>16</v>
      </c>
      <c r="C6385" s="30" t="s">
        <v>46</v>
      </c>
      <c r="D6385" s="30" t="s">
        <v>47</v>
      </c>
      <c r="E6385" s="31" t="s">
        <v>53</v>
      </c>
      <c r="F6385" s="31" t="s">
        <v>54</v>
      </c>
      <c r="G6385" s="32" t="s">
        <v>50</v>
      </c>
      <c r="H6385" s="33">
        <v>85660</v>
      </c>
      <c r="I6385" s="34">
        <f>Table3[[#This Row],[Volume, kg.]]/1000</f>
        <v>85.66</v>
      </c>
      <c r="J6385" s="34">
        <v>0.24460000000000001</v>
      </c>
      <c r="K6385" s="34">
        <f t="shared" si="200"/>
        <v>20952.436000000002</v>
      </c>
      <c r="L6385" s="34">
        <v>2.08</v>
      </c>
      <c r="M6385" s="34">
        <v>178433.5</v>
      </c>
      <c r="N6385" s="34">
        <f t="shared" si="201"/>
        <v>8.5036794766966466</v>
      </c>
    </row>
    <row r="6386" spans="1:14" x14ac:dyDescent="0.45">
      <c r="A6386" s="30">
        <v>2025</v>
      </c>
      <c r="B6386" s="30" t="s">
        <v>16</v>
      </c>
      <c r="C6386" s="30" t="s">
        <v>46</v>
      </c>
      <c r="D6386" s="30" t="s">
        <v>47</v>
      </c>
      <c r="E6386" s="31" t="s">
        <v>151</v>
      </c>
      <c r="F6386" s="31" t="s">
        <v>60</v>
      </c>
      <c r="G6386" s="32" t="s">
        <v>50</v>
      </c>
      <c r="H6386" s="33">
        <v>71200</v>
      </c>
      <c r="I6386" s="34">
        <f>Table3[[#This Row],[Volume, kg.]]/1000</f>
        <v>71.2</v>
      </c>
      <c r="J6386" s="34">
        <v>0.24729999999999999</v>
      </c>
      <c r="K6386" s="34">
        <f t="shared" si="200"/>
        <v>17607.759999999998</v>
      </c>
      <c r="L6386" s="34">
        <v>2.13</v>
      </c>
      <c r="M6386" s="34">
        <v>151804</v>
      </c>
      <c r="N6386" s="34">
        <f t="shared" si="201"/>
        <v>8.6130206227254344</v>
      </c>
    </row>
    <row r="6387" spans="1:14" x14ac:dyDescent="0.45">
      <c r="A6387" s="30">
        <v>2025</v>
      </c>
      <c r="B6387" s="30" t="s">
        <v>16</v>
      </c>
      <c r="C6387" s="30" t="s">
        <v>46</v>
      </c>
      <c r="D6387" s="30" t="s">
        <v>47</v>
      </c>
      <c r="E6387" s="31" t="s">
        <v>252</v>
      </c>
      <c r="F6387" s="31" t="s">
        <v>49</v>
      </c>
      <c r="G6387" s="32" t="s">
        <v>50</v>
      </c>
      <c r="H6387" s="33">
        <v>78230</v>
      </c>
      <c r="I6387" s="34">
        <f>Table3[[#This Row],[Volume, kg.]]/1000</f>
        <v>78.23</v>
      </c>
      <c r="J6387" s="34">
        <v>0.25180000000000002</v>
      </c>
      <c r="K6387" s="34">
        <f t="shared" si="200"/>
        <v>19698.314000000002</v>
      </c>
      <c r="L6387" s="34">
        <v>2.14</v>
      </c>
      <c r="M6387" s="34">
        <v>167404</v>
      </c>
      <c r="N6387" s="34">
        <f t="shared" si="201"/>
        <v>8.4988085782366962</v>
      </c>
    </row>
    <row r="6388" spans="1:14" x14ac:dyDescent="0.45">
      <c r="A6388" s="30">
        <v>2025</v>
      </c>
      <c r="B6388" s="30" t="s">
        <v>16</v>
      </c>
      <c r="C6388" s="30" t="s">
        <v>46</v>
      </c>
      <c r="D6388" s="30" t="s">
        <v>47</v>
      </c>
      <c r="E6388" s="31" t="s">
        <v>205</v>
      </c>
      <c r="F6388" s="31" t="s">
        <v>49</v>
      </c>
      <c r="G6388" s="32" t="s">
        <v>50</v>
      </c>
      <c r="H6388" s="33">
        <v>23440</v>
      </c>
      <c r="I6388" s="34">
        <f>Table3[[#This Row],[Volume, kg.]]/1000</f>
        <v>23.44</v>
      </c>
      <c r="J6388" s="34">
        <v>0.2112</v>
      </c>
      <c r="K6388" s="34">
        <f t="shared" si="200"/>
        <v>4950.5280000000002</v>
      </c>
      <c r="L6388" s="34">
        <v>1.94</v>
      </c>
      <c r="M6388" s="34">
        <v>45386</v>
      </c>
      <c r="N6388" s="34">
        <f t="shared" si="201"/>
        <v>9.1856060606060606</v>
      </c>
    </row>
    <row r="6389" spans="1:14" x14ac:dyDescent="0.45">
      <c r="A6389" s="30">
        <v>2025</v>
      </c>
      <c r="B6389" s="30" t="s">
        <v>16</v>
      </c>
      <c r="C6389" s="30" t="s">
        <v>46</v>
      </c>
      <c r="D6389" s="30" t="s">
        <v>47</v>
      </c>
      <c r="E6389" s="31" t="s">
        <v>413</v>
      </c>
      <c r="F6389" s="31" t="s">
        <v>49</v>
      </c>
      <c r="G6389" s="32" t="s">
        <v>50</v>
      </c>
      <c r="H6389" s="33">
        <v>112880</v>
      </c>
      <c r="I6389" s="34">
        <f>Table3[[#This Row],[Volume, kg.]]/1000</f>
        <v>112.88</v>
      </c>
      <c r="J6389" s="34">
        <v>0.2429</v>
      </c>
      <c r="K6389" s="34">
        <f t="shared" si="200"/>
        <v>27418.552</v>
      </c>
      <c r="L6389" s="34">
        <v>2.11</v>
      </c>
      <c r="M6389" s="34">
        <v>237848</v>
      </c>
      <c r="N6389" s="34">
        <f t="shared" si="201"/>
        <v>8.6867023466447097</v>
      </c>
    </row>
    <row r="6390" spans="1:14" x14ac:dyDescent="0.45">
      <c r="A6390" s="30">
        <v>2025</v>
      </c>
      <c r="B6390" s="30" t="s">
        <v>16</v>
      </c>
      <c r="C6390" s="30" t="s">
        <v>46</v>
      </c>
      <c r="D6390" s="30" t="s">
        <v>102</v>
      </c>
      <c r="E6390" s="31" t="s">
        <v>418</v>
      </c>
      <c r="F6390" s="31" t="s">
        <v>104</v>
      </c>
      <c r="G6390" s="32" t="s">
        <v>105</v>
      </c>
      <c r="H6390" s="33">
        <v>667510</v>
      </c>
      <c r="I6390" s="34">
        <f>Table3[[#This Row],[Volume, kg.]]/1000</f>
        <v>667.51</v>
      </c>
      <c r="J6390" s="34">
        <v>0.23960000000000001</v>
      </c>
      <c r="K6390" s="34">
        <f t="shared" si="200"/>
        <v>159935.39600000001</v>
      </c>
      <c r="L6390" s="34">
        <v>2.2200000000000002</v>
      </c>
      <c r="M6390" s="34">
        <v>1481175.5</v>
      </c>
      <c r="N6390" s="34">
        <f t="shared" si="201"/>
        <v>9.265442404006679</v>
      </c>
    </row>
    <row r="6391" spans="1:14" x14ac:dyDescent="0.45">
      <c r="A6391" s="30">
        <v>2025</v>
      </c>
      <c r="B6391" s="30" t="s">
        <v>16</v>
      </c>
      <c r="C6391" s="30" t="s">
        <v>46</v>
      </c>
      <c r="D6391" s="30" t="s">
        <v>47</v>
      </c>
      <c r="E6391" s="31" t="s">
        <v>436</v>
      </c>
      <c r="F6391" s="31" t="s">
        <v>57</v>
      </c>
      <c r="G6391" s="32" t="s">
        <v>50</v>
      </c>
      <c r="H6391" s="33">
        <v>17550</v>
      </c>
      <c r="I6391" s="34">
        <f>Table3[[#This Row],[Volume, kg.]]/1000</f>
        <v>17.55</v>
      </c>
      <c r="J6391" s="34">
        <v>0.25190000000000001</v>
      </c>
      <c r="K6391" s="34">
        <f t="shared" si="200"/>
        <v>4420.8450000000003</v>
      </c>
      <c r="L6391" s="34">
        <v>2.15</v>
      </c>
      <c r="M6391" s="34">
        <v>37732.5</v>
      </c>
      <c r="N6391" s="34">
        <f t="shared" si="201"/>
        <v>8.5351329892814594</v>
      </c>
    </row>
    <row r="6392" spans="1:14" x14ac:dyDescent="0.45">
      <c r="A6392" s="30">
        <v>2025</v>
      </c>
      <c r="B6392" s="30" t="s">
        <v>16</v>
      </c>
      <c r="C6392" s="30" t="s">
        <v>46</v>
      </c>
      <c r="D6392" s="30" t="s">
        <v>47</v>
      </c>
      <c r="E6392" s="31" t="s">
        <v>488</v>
      </c>
      <c r="F6392" s="31" t="s">
        <v>57</v>
      </c>
      <c r="G6392" s="32" t="s">
        <v>50</v>
      </c>
      <c r="H6392" s="33">
        <v>124230</v>
      </c>
      <c r="I6392" s="34">
        <f>Table3[[#This Row],[Volume, kg.]]/1000</f>
        <v>124.23</v>
      </c>
      <c r="J6392" s="34">
        <v>0.22440000000000002</v>
      </c>
      <c r="K6392" s="34">
        <f t="shared" si="200"/>
        <v>27877.212000000003</v>
      </c>
      <c r="L6392" s="34">
        <v>2</v>
      </c>
      <c r="M6392" s="34">
        <v>248605</v>
      </c>
      <c r="N6392" s="34">
        <f t="shared" si="201"/>
        <v>8.9126559714795004</v>
      </c>
    </row>
    <row r="6393" spans="1:14" x14ac:dyDescent="0.45">
      <c r="A6393" s="30">
        <v>2025</v>
      </c>
      <c r="B6393" s="30" t="s">
        <v>16</v>
      </c>
      <c r="C6393" s="30" t="s">
        <v>46</v>
      </c>
      <c r="D6393" s="30" t="s">
        <v>47</v>
      </c>
      <c r="E6393" s="31" t="s">
        <v>489</v>
      </c>
      <c r="F6393" s="31" t="s">
        <v>81</v>
      </c>
      <c r="G6393" s="32" t="s">
        <v>50</v>
      </c>
      <c r="H6393" s="33">
        <v>6530</v>
      </c>
      <c r="I6393" s="34">
        <f>Table3[[#This Row],[Volume, kg.]]/1000</f>
        <v>6.53</v>
      </c>
      <c r="J6393" s="34">
        <v>0.20699999999999999</v>
      </c>
      <c r="K6393" s="34">
        <f t="shared" si="200"/>
        <v>1351.71</v>
      </c>
      <c r="L6393" s="34">
        <v>1.95</v>
      </c>
      <c r="M6393" s="34">
        <v>12733.5</v>
      </c>
      <c r="N6393" s="34">
        <f t="shared" si="201"/>
        <v>9.4202898550724647</v>
      </c>
    </row>
    <row r="6394" spans="1:14" x14ac:dyDescent="0.45">
      <c r="A6394" s="30">
        <v>2025</v>
      </c>
      <c r="B6394" s="30" t="s">
        <v>16</v>
      </c>
      <c r="C6394" s="30" t="s">
        <v>46</v>
      </c>
      <c r="D6394" s="30" t="s">
        <v>47</v>
      </c>
      <c r="E6394" s="31" t="s">
        <v>517</v>
      </c>
      <c r="F6394" s="31" t="s">
        <v>57</v>
      </c>
      <c r="G6394" s="32" t="s">
        <v>50</v>
      </c>
      <c r="H6394" s="33">
        <v>36010</v>
      </c>
      <c r="I6394" s="34">
        <f>Table3[[#This Row],[Volume, kg.]]/1000</f>
        <v>36.01</v>
      </c>
      <c r="J6394" s="34">
        <v>0.24299999999999999</v>
      </c>
      <c r="K6394" s="34">
        <f t="shared" si="200"/>
        <v>8750.43</v>
      </c>
      <c r="L6394" s="34">
        <v>2.11</v>
      </c>
      <c r="M6394" s="34">
        <v>76132</v>
      </c>
      <c r="N6394" s="34">
        <f t="shared" si="201"/>
        <v>8.6831275720164598</v>
      </c>
    </row>
    <row r="6395" spans="1:14" x14ac:dyDescent="0.45">
      <c r="A6395" s="30">
        <v>2025</v>
      </c>
      <c r="B6395" s="30" t="s">
        <v>16</v>
      </c>
      <c r="C6395" s="30" t="s">
        <v>46</v>
      </c>
      <c r="D6395" s="30" t="s">
        <v>47</v>
      </c>
      <c r="E6395" s="31" t="s">
        <v>533</v>
      </c>
      <c r="F6395" s="31" t="s">
        <v>60</v>
      </c>
      <c r="G6395" s="32" t="s">
        <v>50</v>
      </c>
      <c r="H6395" s="33">
        <v>26930</v>
      </c>
      <c r="I6395" s="34">
        <f>Table3[[#This Row],[Volume, kg.]]/1000</f>
        <v>26.93</v>
      </c>
      <c r="J6395" s="34">
        <v>0.25120000000000003</v>
      </c>
      <c r="K6395" s="34">
        <f t="shared" si="200"/>
        <v>6764.8160000000007</v>
      </c>
      <c r="L6395" s="34">
        <v>2.12</v>
      </c>
      <c r="M6395" s="34">
        <v>57137</v>
      </c>
      <c r="N6395" s="34">
        <f t="shared" si="201"/>
        <v>8.4394904458598727</v>
      </c>
    </row>
    <row r="6396" spans="1:14" x14ac:dyDescent="0.45">
      <c r="A6396" s="30">
        <v>2025</v>
      </c>
      <c r="B6396" s="30" t="s">
        <v>16</v>
      </c>
      <c r="C6396" s="30" t="s">
        <v>46</v>
      </c>
      <c r="D6396" s="30" t="s">
        <v>47</v>
      </c>
      <c r="E6396" s="31" t="s">
        <v>603</v>
      </c>
      <c r="F6396" s="31" t="s">
        <v>49</v>
      </c>
      <c r="G6396" s="32" t="s">
        <v>50</v>
      </c>
      <c r="H6396" s="33">
        <v>100850</v>
      </c>
      <c r="I6396" s="34">
        <f>Table3[[#This Row],[Volume, kg.]]/1000</f>
        <v>100.85</v>
      </c>
      <c r="J6396" s="34">
        <v>0.2606</v>
      </c>
      <c r="K6396" s="34">
        <f t="shared" si="200"/>
        <v>26281.51</v>
      </c>
      <c r="L6396" s="34">
        <v>2.19</v>
      </c>
      <c r="M6396" s="34">
        <v>220563</v>
      </c>
      <c r="N6396" s="34">
        <f t="shared" si="201"/>
        <v>8.4036838066001529</v>
      </c>
    </row>
    <row r="6397" spans="1:14" x14ac:dyDescent="0.45">
      <c r="A6397" s="30">
        <v>2025</v>
      </c>
      <c r="B6397" s="30" t="s">
        <v>16</v>
      </c>
      <c r="C6397" s="30" t="s">
        <v>46</v>
      </c>
      <c r="D6397" s="30" t="s">
        <v>47</v>
      </c>
      <c r="E6397" s="31" t="s">
        <v>593</v>
      </c>
      <c r="F6397" s="31" t="s">
        <v>49</v>
      </c>
      <c r="G6397" s="32" t="s">
        <v>50</v>
      </c>
      <c r="H6397" s="33">
        <v>74110</v>
      </c>
      <c r="I6397" s="34">
        <f>Table3[[#This Row],[Volume, kg.]]/1000</f>
        <v>74.11</v>
      </c>
      <c r="J6397" s="34">
        <v>0.24989999999999998</v>
      </c>
      <c r="K6397" s="34">
        <f t="shared" si="200"/>
        <v>18520.089</v>
      </c>
      <c r="L6397" s="34">
        <v>2.14</v>
      </c>
      <c r="M6397" s="34">
        <v>158860.5</v>
      </c>
      <c r="N6397" s="34">
        <f t="shared" si="201"/>
        <v>8.5634253701480603</v>
      </c>
    </row>
    <row r="6398" spans="1:14" x14ac:dyDescent="0.45">
      <c r="A6398" s="30">
        <v>2025</v>
      </c>
      <c r="B6398" s="30" t="s">
        <v>16</v>
      </c>
      <c r="C6398" s="30" t="s">
        <v>46</v>
      </c>
      <c r="D6398" s="30" t="s">
        <v>47</v>
      </c>
      <c r="E6398" s="31" t="s">
        <v>646</v>
      </c>
      <c r="F6398" s="31" t="s">
        <v>49</v>
      </c>
      <c r="G6398" s="32" t="s">
        <v>50</v>
      </c>
      <c r="H6398" s="33">
        <v>33380</v>
      </c>
      <c r="I6398" s="34">
        <f>Table3[[#This Row],[Volume, kg.]]/1000</f>
        <v>33.380000000000003</v>
      </c>
      <c r="J6398" s="34">
        <v>0.24059999999999998</v>
      </c>
      <c r="K6398" s="34">
        <f t="shared" si="200"/>
        <v>8031.2279999999992</v>
      </c>
      <c r="L6398" s="34">
        <v>2.0699999999999998</v>
      </c>
      <c r="M6398" s="34">
        <v>69211.5</v>
      </c>
      <c r="N6398" s="34">
        <f t="shared" si="201"/>
        <v>8.6034912718204488</v>
      </c>
    </row>
    <row r="6399" spans="1:14" x14ac:dyDescent="0.45">
      <c r="A6399" s="30">
        <v>2025</v>
      </c>
      <c r="B6399" s="30" t="s">
        <v>16</v>
      </c>
      <c r="C6399" s="30" t="s">
        <v>46</v>
      </c>
      <c r="D6399" s="30" t="s">
        <v>47</v>
      </c>
      <c r="E6399" s="31" t="s">
        <v>670</v>
      </c>
      <c r="F6399" s="31" t="s">
        <v>81</v>
      </c>
      <c r="G6399" s="32" t="s">
        <v>50</v>
      </c>
      <c r="H6399" s="33">
        <v>70750</v>
      </c>
      <c r="I6399" s="34">
        <f>Table3[[#This Row],[Volume, kg.]]/1000</f>
        <v>70.75</v>
      </c>
      <c r="J6399" s="34">
        <v>0.22760000000000002</v>
      </c>
      <c r="K6399" s="34">
        <f t="shared" si="200"/>
        <v>16102.700000000003</v>
      </c>
      <c r="L6399" s="34">
        <v>2.0299999999999998</v>
      </c>
      <c r="M6399" s="34">
        <v>143425</v>
      </c>
      <c r="N6399" s="34">
        <f t="shared" si="201"/>
        <v>8.9191564147627407</v>
      </c>
    </row>
    <row r="6400" spans="1:14" x14ac:dyDescent="0.45">
      <c r="A6400" s="30">
        <v>2025</v>
      </c>
      <c r="B6400" s="30" t="s">
        <v>16</v>
      </c>
      <c r="C6400" s="30" t="s">
        <v>46</v>
      </c>
      <c r="D6400" s="30" t="s">
        <v>47</v>
      </c>
      <c r="E6400" s="31" t="s">
        <v>673</v>
      </c>
      <c r="F6400" s="31" t="s">
        <v>49</v>
      </c>
      <c r="G6400" s="32" t="s">
        <v>50</v>
      </c>
      <c r="H6400" s="33">
        <v>8360</v>
      </c>
      <c r="I6400" s="34">
        <f>Table3[[#This Row],[Volume, kg.]]/1000</f>
        <v>8.36</v>
      </c>
      <c r="J6400" s="34">
        <v>0.22649999999999998</v>
      </c>
      <c r="K6400" s="34">
        <f t="shared" si="200"/>
        <v>1893.5399999999997</v>
      </c>
      <c r="L6400" s="34">
        <v>2</v>
      </c>
      <c r="M6400" s="34">
        <v>16720</v>
      </c>
      <c r="N6400" s="34">
        <f t="shared" si="201"/>
        <v>8.8300220750551883</v>
      </c>
    </row>
    <row r="6401" spans="1:14" x14ac:dyDescent="0.45">
      <c r="A6401" s="30">
        <v>2025</v>
      </c>
      <c r="B6401" s="30" t="s">
        <v>16</v>
      </c>
      <c r="C6401" s="30" t="s">
        <v>46</v>
      </c>
      <c r="D6401" s="30" t="s">
        <v>47</v>
      </c>
      <c r="E6401" s="31" t="s">
        <v>676</v>
      </c>
      <c r="F6401" s="31" t="s">
        <v>60</v>
      </c>
      <c r="G6401" s="32" t="s">
        <v>50</v>
      </c>
      <c r="H6401" s="33">
        <v>134360</v>
      </c>
      <c r="I6401" s="34">
        <f>Table3[[#This Row],[Volume, kg.]]/1000</f>
        <v>134.36000000000001</v>
      </c>
      <c r="J6401" s="34">
        <v>0.2611</v>
      </c>
      <c r="K6401" s="34">
        <f t="shared" si="200"/>
        <v>35081.396000000001</v>
      </c>
      <c r="L6401" s="34">
        <v>2.19</v>
      </c>
      <c r="M6401" s="34">
        <v>293924</v>
      </c>
      <c r="N6401" s="34">
        <f t="shared" si="201"/>
        <v>8.3875909613175033</v>
      </c>
    </row>
    <row r="6402" spans="1:14" x14ac:dyDescent="0.45">
      <c r="A6402" s="30">
        <v>2025</v>
      </c>
      <c r="B6402" s="30" t="s">
        <v>16</v>
      </c>
      <c r="C6402" s="30" t="s">
        <v>46</v>
      </c>
      <c r="D6402" s="30" t="s">
        <v>47</v>
      </c>
      <c r="E6402" s="31" t="s">
        <v>678</v>
      </c>
      <c r="F6402" s="31" t="s">
        <v>60</v>
      </c>
      <c r="G6402" s="32" t="s">
        <v>50</v>
      </c>
      <c r="H6402" s="33">
        <v>96080</v>
      </c>
      <c r="I6402" s="34">
        <f>Table3[[#This Row],[Volume, kg.]]/1000</f>
        <v>96.08</v>
      </c>
      <c r="J6402" s="34">
        <v>0.21690000000000001</v>
      </c>
      <c r="K6402" s="34">
        <f t="shared" si="200"/>
        <v>20839.752</v>
      </c>
      <c r="L6402" s="34">
        <v>1.96</v>
      </c>
      <c r="M6402" s="34">
        <v>188560</v>
      </c>
      <c r="N6402" s="34">
        <f t="shared" si="201"/>
        <v>9.0364223144306131</v>
      </c>
    </row>
    <row r="6403" spans="1:14" x14ac:dyDescent="0.45">
      <c r="A6403" s="30">
        <v>2025</v>
      </c>
      <c r="B6403" s="30" t="s">
        <v>16</v>
      </c>
      <c r="C6403" s="30" t="s">
        <v>46</v>
      </c>
      <c r="D6403" s="30" t="s">
        <v>47</v>
      </c>
      <c r="E6403" s="31" t="s">
        <v>679</v>
      </c>
      <c r="F6403" s="31" t="s">
        <v>49</v>
      </c>
      <c r="G6403" s="32" t="s">
        <v>50</v>
      </c>
      <c r="H6403" s="33">
        <v>2160</v>
      </c>
      <c r="I6403" s="34">
        <f>Table3[[#This Row],[Volume, kg.]]/1000</f>
        <v>2.16</v>
      </c>
      <c r="J6403" s="34">
        <v>0.26649999999999996</v>
      </c>
      <c r="K6403" s="34">
        <f t="shared" si="200"/>
        <v>575.63999999999987</v>
      </c>
      <c r="L6403" s="34">
        <v>2.25</v>
      </c>
      <c r="M6403" s="34">
        <v>4860</v>
      </c>
      <c r="N6403" s="34">
        <f t="shared" si="201"/>
        <v>8.4427767354596632</v>
      </c>
    </row>
    <row r="6404" spans="1:14" x14ac:dyDescent="0.45">
      <c r="A6404" s="30">
        <v>2025</v>
      </c>
      <c r="B6404" s="30" t="s">
        <v>16</v>
      </c>
      <c r="C6404" s="30" t="s">
        <v>46</v>
      </c>
      <c r="D6404" s="30" t="s">
        <v>47</v>
      </c>
      <c r="E6404" s="31" t="s">
        <v>687</v>
      </c>
      <c r="F6404" s="31" t="s">
        <v>49</v>
      </c>
      <c r="G6404" s="32" t="s">
        <v>50</v>
      </c>
      <c r="H6404" s="33">
        <v>10190</v>
      </c>
      <c r="I6404" s="34">
        <f>Table3[[#This Row],[Volume, kg.]]/1000</f>
        <v>10.19</v>
      </c>
      <c r="J6404" s="34">
        <v>0.2205</v>
      </c>
      <c r="K6404" s="34">
        <f t="shared" si="200"/>
        <v>2246.895</v>
      </c>
      <c r="L6404" s="34">
        <v>1.95</v>
      </c>
      <c r="M6404" s="34">
        <v>19870.5</v>
      </c>
      <c r="N6404" s="34">
        <f t="shared" si="201"/>
        <v>8.8435374149659864</v>
      </c>
    </row>
    <row r="6405" spans="1:14" x14ac:dyDescent="0.45">
      <c r="A6405" s="30">
        <v>2025</v>
      </c>
      <c r="B6405" s="30" t="s">
        <v>16</v>
      </c>
      <c r="C6405" s="30" t="s">
        <v>46</v>
      </c>
      <c r="D6405" s="30" t="s">
        <v>47</v>
      </c>
      <c r="E6405" s="31" t="s">
        <v>688</v>
      </c>
      <c r="F6405" s="31" t="s">
        <v>60</v>
      </c>
      <c r="G6405" s="32" t="s">
        <v>50</v>
      </c>
      <c r="H6405" s="33">
        <v>32750</v>
      </c>
      <c r="I6405" s="34">
        <f>Table3[[#This Row],[Volume, kg.]]/1000</f>
        <v>32.75</v>
      </c>
      <c r="J6405" s="34">
        <v>0.28199999999999997</v>
      </c>
      <c r="K6405" s="34">
        <f t="shared" si="200"/>
        <v>9235.5</v>
      </c>
      <c r="L6405" s="34">
        <v>2.27</v>
      </c>
      <c r="M6405" s="34">
        <v>74233.5</v>
      </c>
      <c r="N6405" s="34">
        <f t="shared" si="201"/>
        <v>8.0496453900709231</v>
      </c>
    </row>
    <row r="6406" spans="1:14" x14ac:dyDescent="0.45">
      <c r="A6406" s="30">
        <v>2025</v>
      </c>
      <c r="B6406" s="30" t="s">
        <v>16</v>
      </c>
      <c r="C6406" s="30" t="s">
        <v>46</v>
      </c>
      <c r="D6406" s="30" t="s">
        <v>47</v>
      </c>
      <c r="E6406" s="31" t="s">
        <v>698</v>
      </c>
      <c r="F6406" s="31" t="s">
        <v>57</v>
      </c>
      <c r="G6406" s="32" t="s">
        <v>50</v>
      </c>
      <c r="H6406" s="33">
        <v>10970</v>
      </c>
      <c r="I6406" s="34">
        <f>Table3[[#This Row],[Volume, kg.]]/1000</f>
        <v>10.97</v>
      </c>
      <c r="J6406" s="34">
        <v>0.247</v>
      </c>
      <c r="K6406" s="34">
        <f t="shared" si="200"/>
        <v>2709.59</v>
      </c>
      <c r="L6406" s="34">
        <v>2.1</v>
      </c>
      <c r="M6406" s="34">
        <v>23037</v>
      </c>
      <c r="N6406" s="34">
        <f t="shared" si="201"/>
        <v>8.5020242914979764</v>
      </c>
    </row>
    <row r="6407" spans="1:14" x14ac:dyDescent="0.45">
      <c r="A6407" s="30">
        <v>2025</v>
      </c>
      <c r="B6407" s="30" t="s">
        <v>16</v>
      </c>
      <c r="C6407" s="30" t="s">
        <v>46</v>
      </c>
      <c r="D6407" s="30" t="s">
        <v>102</v>
      </c>
      <c r="E6407" s="31" t="s">
        <v>706</v>
      </c>
      <c r="F6407" s="31" t="s">
        <v>349</v>
      </c>
      <c r="G6407" s="32" t="s">
        <v>105</v>
      </c>
      <c r="H6407" s="33">
        <v>58350</v>
      </c>
      <c r="I6407" s="34">
        <f>Table3[[#This Row],[Volume, kg.]]/1000</f>
        <v>58.35</v>
      </c>
      <c r="J6407" s="34">
        <v>0.2024</v>
      </c>
      <c r="K6407" s="34">
        <f t="shared" si="200"/>
        <v>11810.039999999999</v>
      </c>
      <c r="L6407" s="34">
        <v>2.0299999999999998</v>
      </c>
      <c r="M6407" s="34">
        <v>118339.5</v>
      </c>
      <c r="N6407" s="34">
        <f t="shared" si="201"/>
        <v>10.029644268774703</v>
      </c>
    </row>
    <row r="6408" spans="1:14" x14ac:dyDescent="0.45">
      <c r="A6408" s="30">
        <v>2025</v>
      </c>
      <c r="B6408" s="30" t="s">
        <v>16</v>
      </c>
      <c r="C6408" s="30" t="s">
        <v>46</v>
      </c>
      <c r="D6408" s="30" t="s">
        <v>102</v>
      </c>
      <c r="E6408" s="31" t="s">
        <v>708</v>
      </c>
      <c r="F6408" s="31" t="s">
        <v>397</v>
      </c>
      <c r="G6408" s="32" t="s">
        <v>105</v>
      </c>
      <c r="H6408" s="33">
        <v>141920</v>
      </c>
      <c r="I6408" s="34">
        <f>Table3[[#This Row],[Volume, kg.]]/1000</f>
        <v>141.91999999999999</v>
      </c>
      <c r="J6408" s="34">
        <v>0.2293</v>
      </c>
      <c r="K6408" s="34">
        <f t="shared" ref="K6408:K6471" si="202">H6408*J6408</f>
        <v>32542.256000000001</v>
      </c>
      <c r="L6408" s="34">
        <v>2.1800000000000002</v>
      </c>
      <c r="M6408" s="34">
        <v>309145.5</v>
      </c>
      <c r="N6408" s="34">
        <f t="shared" ref="N6408:N6471" si="203">L6408/J6408</f>
        <v>9.5071958133449641</v>
      </c>
    </row>
    <row r="6409" spans="1:14" x14ac:dyDescent="0.45">
      <c r="A6409" s="30">
        <v>2025</v>
      </c>
      <c r="B6409" s="30" t="s">
        <v>16</v>
      </c>
      <c r="C6409" s="30" t="s">
        <v>46</v>
      </c>
      <c r="D6409" s="30" t="s">
        <v>47</v>
      </c>
      <c r="E6409" s="31" t="s">
        <v>714</v>
      </c>
      <c r="F6409" s="31" t="s">
        <v>238</v>
      </c>
      <c r="G6409" s="32" t="s">
        <v>50</v>
      </c>
      <c r="H6409" s="33">
        <v>28660</v>
      </c>
      <c r="I6409" s="34">
        <f>Table3[[#This Row],[Volume, kg.]]/1000</f>
        <v>28.66</v>
      </c>
      <c r="J6409" s="34">
        <v>0.26</v>
      </c>
      <c r="K6409" s="34">
        <f t="shared" si="202"/>
        <v>7451.6</v>
      </c>
      <c r="L6409" s="34">
        <v>2.19</v>
      </c>
      <c r="M6409" s="34">
        <v>62794</v>
      </c>
      <c r="N6409" s="34">
        <f t="shared" si="203"/>
        <v>8.4230769230769234</v>
      </c>
    </row>
    <row r="6410" spans="1:14" x14ac:dyDescent="0.45">
      <c r="A6410" s="30">
        <v>2025</v>
      </c>
      <c r="B6410" s="30" t="s">
        <v>16</v>
      </c>
      <c r="C6410" s="30" t="s">
        <v>46</v>
      </c>
      <c r="D6410" s="30" t="s">
        <v>47</v>
      </c>
      <c r="E6410" s="31" t="s">
        <v>721</v>
      </c>
      <c r="F6410" s="31" t="s">
        <v>49</v>
      </c>
      <c r="G6410" s="32" t="s">
        <v>50</v>
      </c>
      <c r="H6410" s="33">
        <v>18580</v>
      </c>
      <c r="I6410" s="34">
        <f>Table3[[#This Row],[Volume, kg.]]/1000</f>
        <v>18.579999999999998</v>
      </c>
      <c r="J6410" s="34">
        <v>0.27010000000000001</v>
      </c>
      <c r="K6410" s="34">
        <f t="shared" si="202"/>
        <v>5018.4580000000005</v>
      </c>
      <c r="L6410" s="34">
        <v>2.25</v>
      </c>
      <c r="M6410" s="34">
        <v>41805</v>
      </c>
      <c r="N6410" s="34">
        <f t="shared" si="203"/>
        <v>8.3302480562754528</v>
      </c>
    </row>
    <row r="6411" spans="1:14" x14ac:dyDescent="0.45">
      <c r="A6411" s="30">
        <v>2025</v>
      </c>
      <c r="B6411" s="30" t="s">
        <v>16</v>
      </c>
      <c r="C6411" s="30" t="s">
        <v>46</v>
      </c>
      <c r="D6411" s="30" t="s">
        <v>47</v>
      </c>
      <c r="E6411" s="31" t="s">
        <v>723</v>
      </c>
      <c r="F6411" s="31" t="s">
        <v>49</v>
      </c>
      <c r="G6411" s="32" t="s">
        <v>50</v>
      </c>
      <c r="H6411" s="33">
        <v>46320</v>
      </c>
      <c r="I6411" s="34">
        <f>Table3[[#This Row],[Volume, kg.]]/1000</f>
        <v>46.32</v>
      </c>
      <c r="J6411" s="34">
        <v>0.2366</v>
      </c>
      <c r="K6411" s="34">
        <f t="shared" si="202"/>
        <v>10959.312</v>
      </c>
      <c r="L6411" s="34">
        <v>2.09</v>
      </c>
      <c r="M6411" s="34">
        <v>96809.5</v>
      </c>
      <c r="N6411" s="34">
        <f t="shared" si="203"/>
        <v>8.8334742180896022</v>
      </c>
    </row>
    <row r="6412" spans="1:14" x14ac:dyDescent="0.45">
      <c r="A6412" s="30">
        <v>2025</v>
      </c>
      <c r="B6412" s="30" t="s">
        <v>16</v>
      </c>
      <c r="C6412" s="30" t="s">
        <v>46</v>
      </c>
      <c r="D6412" s="30" t="s">
        <v>47</v>
      </c>
      <c r="E6412" s="31" t="s">
        <v>722</v>
      </c>
      <c r="F6412" s="31" t="s">
        <v>49</v>
      </c>
      <c r="G6412" s="32" t="s">
        <v>50</v>
      </c>
      <c r="H6412" s="33">
        <v>137290</v>
      </c>
      <c r="I6412" s="34">
        <f>Table3[[#This Row],[Volume, kg.]]/1000</f>
        <v>137.29</v>
      </c>
      <c r="J6412" s="34">
        <v>0.2306</v>
      </c>
      <c r="K6412" s="34">
        <f t="shared" si="202"/>
        <v>31659.074000000001</v>
      </c>
      <c r="L6412" s="34">
        <v>2.0299999999999998</v>
      </c>
      <c r="M6412" s="34">
        <v>278156.5</v>
      </c>
      <c r="N6412" s="34">
        <f t="shared" si="203"/>
        <v>8.8031222896790968</v>
      </c>
    </row>
    <row r="6413" spans="1:14" x14ac:dyDescent="0.45">
      <c r="A6413" s="30">
        <v>2025</v>
      </c>
      <c r="B6413" s="30" t="s">
        <v>16</v>
      </c>
      <c r="C6413" s="30" t="s">
        <v>46</v>
      </c>
      <c r="D6413" s="30" t="s">
        <v>47</v>
      </c>
      <c r="E6413" s="31" t="s">
        <v>725</v>
      </c>
      <c r="F6413" s="31" t="s">
        <v>49</v>
      </c>
      <c r="G6413" s="32" t="s">
        <v>50</v>
      </c>
      <c r="H6413" s="33">
        <v>8510</v>
      </c>
      <c r="I6413" s="34">
        <f>Table3[[#This Row],[Volume, kg.]]/1000</f>
        <v>8.51</v>
      </c>
      <c r="J6413" s="34">
        <v>0.2545</v>
      </c>
      <c r="K6413" s="34">
        <f t="shared" si="202"/>
        <v>2165.7950000000001</v>
      </c>
      <c r="L6413" s="34">
        <v>2.15</v>
      </c>
      <c r="M6413" s="34">
        <v>18296.5</v>
      </c>
      <c r="N6413" s="34">
        <f t="shared" si="203"/>
        <v>8.4479371316306473</v>
      </c>
    </row>
    <row r="6414" spans="1:14" x14ac:dyDescent="0.45">
      <c r="A6414" s="30">
        <v>2025</v>
      </c>
      <c r="B6414" s="30" t="s">
        <v>16</v>
      </c>
      <c r="C6414" s="30" t="s">
        <v>46</v>
      </c>
      <c r="D6414" s="30" t="s">
        <v>102</v>
      </c>
      <c r="E6414" s="31" t="s">
        <v>735</v>
      </c>
      <c r="F6414" s="31" t="s">
        <v>736</v>
      </c>
      <c r="G6414" s="32" t="s">
        <v>50</v>
      </c>
      <c r="H6414" s="33">
        <v>358870</v>
      </c>
      <c r="I6414" s="34">
        <f>Table3[[#This Row],[Volume, kg.]]/1000</f>
        <v>358.87</v>
      </c>
      <c r="J6414" s="34">
        <v>0.22649999999999998</v>
      </c>
      <c r="K6414" s="34">
        <f t="shared" si="202"/>
        <v>81284.054999999993</v>
      </c>
      <c r="L6414" s="34">
        <v>2.15</v>
      </c>
      <c r="M6414" s="34">
        <v>773109</v>
      </c>
      <c r="N6414" s="34">
        <f t="shared" si="203"/>
        <v>9.4922737306843263</v>
      </c>
    </row>
    <row r="6415" spans="1:14" x14ac:dyDescent="0.45">
      <c r="A6415" s="30">
        <v>2025</v>
      </c>
      <c r="B6415" s="30" t="s">
        <v>16</v>
      </c>
      <c r="C6415" s="30" t="s">
        <v>46</v>
      </c>
      <c r="D6415" s="30" t="s">
        <v>47</v>
      </c>
      <c r="E6415" s="31" t="s">
        <v>738</v>
      </c>
      <c r="F6415" s="31" t="s">
        <v>81</v>
      </c>
      <c r="G6415" s="32" t="s">
        <v>50</v>
      </c>
      <c r="H6415" s="33">
        <v>38200</v>
      </c>
      <c r="I6415" s="34">
        <f>Table3[[#This Row],[Volume, kg.]]/1000</f>
        <v>38.200000000000003</v>
      </c>
      <c r="J6415" s="34">
        <v>0.21479999999999999</v>
      </c>
      <c r="K6415" s="34">
        <f t="shared" si="202"/>
        <v>8205.3599999999988</v>
      </c>
      <c r="L6415" s="34">
        <v>1.93</v>
      </c>
      <c r="M6415" s="34">
        <v>73839</v>
      </c>
      <c r="N6415" s="34">
        <f t="shared" si="203"/>
        <v>8.9851024208566113</v>
      </c>
    </row>
    <row r="6416" spans="1:14" x14ac:dyDescent="0.45">
      <c r="A6416" s="30">
        <v>2025</v>
      </c>
      <c r="B6416" s="30" t="s">
        <v>16</v>
      </c>
      <c r="C6416" s="30" t="s">
        <v>46</v>
      </c>
      <c r="D6416" s="30" t="s">
        <v>47</v>
      </c>
      <c r="E6416" s="31" t="s">
        <v>749</v>
      </c>
      <c r="F6416" s="31" t="s">
        <v>57</v>
      </c>
      <c r="G6416" s="32" t="s">
        <v>50</v>
      </c>
      <c r="H6416" s="33">
        <v>21960</v>
      </c>
      <c r="I6416" s="34">
        <f>Table3[[#This Row],[Volume, kg.]]/1000</f>
        <v>21.96</v>
      </c>
      <c r="J6416" s="34">
        <v>0.27260000000000001</v>
      </c>
      <c r="K6416" s="34">
        <f t="shared" si="202"/>
        <v>5986.2960000000003</v>
      </c>
      <c r="L6416" s="34">
        <v>2.2200000000000002</v>
      </c>
      <c r="M6416" s="34">
        <v>48838.5</v>
      </c>
      <c r="N6416" s="34">
        <f t="shared" si="203"/>
        <v>8.14380044020543</v>
      </c>
    </row>
    <row r="6417" spans="1:14" x14ac:dyDescent="0.45">
      <c r="A6417" s="30">
        <v>2025</v>
      </c>
      <c r="B6417" s="30" t="s">
        <v>16</v>
      </c>
      <c r="C6417" s="30" t="s">
        <v>46</v>
      </c>
      <c r="D6417" s="30" t="s">
        <v>47</v>
      </c>
      <c r="E6417" s="31" t="s">
        <v>741</v>
      </c>
      <c r="F6417" s="31" t="s">
        <v>60</v>
      </c>
      <c r="G6417" s="32" t="s">
        <v>50</v>
      </c>
      <c r="H6417" s="33">
        <v>10580</v>
      </c>
      <c r="I6417" s="34">
        <f>Table3[[#This Row],[Volume, kg.]]/1000</f>
        <v>10.58</v>
      </c>
      <c r="J6417" s="34">
        <v>0.17399999999999999</v>
      </c>
      <c r="K6417" s="34">
        <f t="shared" si="202"/>
        <v>1840.9199999999998</v>
      </c>
      <c r="L6417" s="34">
        <v>1.75</v>
      </c>
      <c r="M6417" s="34">
        <v>18515</v>
      </c>
      <c r="N6417" s="34">
        <f t="shared" si="203"/>
        <v>10.057471264367816</v>
      </c>
    </row>
    <row r="6418" spans="1:14" x14ac:dyDescent="0.45">
      <c r="A6418" s="30">
        <v>2025</v>
      </c>
      <c r="B6418" s="30" t="s">
        <v>16</v>
      </c>
      <c r="C6418" s="30" t="s">
        <v>46</v>
      </c>
      <c r="D6418" s="30" t="s">
        <v>47</v>
      </c>
      <c r="E6418" s="31" t="s">
        <v>742</v>
      </c>
      <c r="F6418" s="31" t="s">
        <v>49</v>
      </c>
      <c r="G6418" s="32" t="s">
        <v>50</v>
      </c>
      <c r="H6418" s="33">
        <v>2800</v>
      </c>
      <c r="I6418" s="34">
        <f>Table3[[#This Row],[Volume, kg.]]/1000</f>
        <v>2.8</v>
      </c>
      <c r="J6418" s="34">
        <v>0.21850000000000003</v>
      </c>
      <c r="K6418" s="34">
        <f t="shared" si="202"/>
        <v>611.80000000000007</v>
      </c>
      <c r="L6418" s="34">
        <v>1.95</v>
      </c>
      <c r="M6418" s="34">
        <v>5460</v>
      </c>
      <c r="N6418" s="34">
        <f t="shared" si="203"/>
        <v>8.9244851258581228</v>
      </c>
    </row>
    <row r="6419" spans="1:14" x14ac:dyDescent="0.45">
      <c r="A6419" s="30">
        <v>2025</v>
      </c>
      <c r="B6419" s="30" t="s">
        <v>16</v>
      </c>
      <c r="C6419" s="30" t="s">
        <v>46</v>
      </c>
      <c r="D6419" s="30" t="s">
        <v>47</v>
      </c>
      <c r="E6419" s="31" t="s">
        <v>744</v>
      </c>
      <c r="F6419" s="31" t="s">
        <v>49</v>
      </c>
      <c r="G6419" s="32" t="s">
        <v>50</v>
      </c>
      <c r="H6419" s="33">
        <v>156750</v>
      </c>
      <c r="I6419" s="34">
        <f>Table3[[#This Row],[Volume, kg.]]/1000</f>
        <v>156.75</v>
      </c>
      <c r="J6419" s="34">
        <v>0.26640000000000003</v>
      </c>
      <c r="K6419" s="34">
        <f t="shared" si="202"/>
        <v>41758.200000000004</v>
      </c>
      <c r="L6419" s="34">
        <v>2.2200000000000002</v>
      </c>
      <c r="M6419" s="34">
        <v>347407.5</v>
      </c>
      <c r="N6419" s="34">
        <f t="shared" si="203"/>
        <v>8.3333333333333339</v>
      </c>
    </row>
    <row r="6420" spans="1:14" x14ac:dyDescent="0.45">
      <c r="A6420" s="30">
        <v>2025</v>
      </c>
      <c r="B6420" s="30" t="s">
        <v>16</v>
      </c>
      <c r="C6420" s="30" t="s">
        <v>46</v>
      </c>
      <c r="D6420" s="30" t="s">
        <v>47</v>
      </c>
      <c r="E6420" s="31" t="s">
        <v>750</v>
      </c>
      <c r="F6420" s="31" t="s">
        <v>49</v>
      </c>
      <c r="G6420" s="32" t="s">
        <v>50</v>
      </c>
      <c r="H6420" s="33">
        <v>21550</v>
      </c>
      <c r="I6420" s="34">
        <f>Table3[[#This Row],[Volume, kg.]]/1000</f>
        <v>21.55</v>
      </c>
      <c r="J6420" s="34">
        <v>0.24309999999999998</v>
      </c>
      <c r="K6420" s="34">
        <f t="shared" si="202"/>
        <v>5238.8049999999994</v>
      </c>
      <c r="L6420" s="34">
        <v>2.09</v>
      </c>
      <c r="M6420" s="34">
        <v>44962.5</v>
      </c>
      <c r="N6420" s="34">
        <f t="shared" si="203"/>
        <v>8.5972850678733028</v>
      </c>
    </row>
    <row r="6421" spans="1:14" x14ac:dyDescent="0.45">
      <c r="A6421" s="30">
        <v>2025</v>
      </c>
      <c r="B6421" s="30" t="s">
        <v>16</v>
      </c>
      <c r="C6421" s="30" t="s">
        <v>46</v>
      </c>
      <c r="D6421" s="30" t="s">
        <v>102</v>
      </c>
      <c r="E6421" s="31" t="s">
        <v>746</v>
      </c>
      <c r="F6421" s="31" t="s">
        <v>127</v>
      </c>
      <c r="G6421" s="32" t="s">
        <v>128</v>
      </c>
      <c r="H6421" s="33">
        <v>268210</v>
      </c>
      <c r="I6421" s="34">
        <f>Table3[[#This Row],[Volume, kg.]]/1000</f>
        <v>268.20999999999998</v>
      </c>
      <c r="J6421" s="34">
        <v>0.23469999999999999</v>
      </c>
      <c r="K6421" s="34">
        <f t="shared" si="202"/>
        <v>62948.886999999995</v>
      </c>
      <c r="L6421" s="34">
        <v>2.2000000000000002</v>
      </c>
      <c r="M6421" s="34">
        <v>589222.5</v>
      </c>
      <c r="N6421" s="34">
        <f t="shared" si="203"/>
        <v>9.3736685129953141</v>
      </c>
    </row>
    <row r="6422" spans="1:14" x14ac:dyDescent="0.45">
      <c r="A6422" s="30">
        <v>2025</v>
      </c>
      <c r="B6422" s="30" t="s">
        <v>16</v>
      </c>
      <c r="C6422" s="30" t="s">
        <v>46</v>
      </c>
      <c r="D6422" s="30" t="s">
        <v>102</v>
      </c>
      <c r="E6422" s="31" t="s">
        <v>747</v>
      </c>
      <c r="F6422" s="31" t="s">
        <v>748</v>
      </c>
      <c r="G6422" s="32" t="s">
        <v>128</v>
      </c>
      <c r="H6422" s="33">
        <v>321960</v>
      </c>
      <c r="I6422" s="34">
        <f>Table3[[#This Row],[Volume, kg.]]/1000</f>
        <v>321.95999999999998</v>
      </c>
      <c r="J6422" s="34">
        <v>0.23649999999999999</v>
      </c>
      <c r="K6422" s="34">
        <f t="shared" si="202"/>
        <v>76143.539999999994</v>
      </c>
      <c r="L6422" s="34">
        <v>2.2000000000000002</v>
      </c>
      <c r="M6422" s="34">
        <v>708731</v>
      </c>
      <c r="N6422" s="34">
        <f t="shared" si="203"/>
        <v>9.3023255813953494</v>
      </c>
    </row>
    <row r="6423" spans="1:14" x14ac:dyDescent="0.45">
      <c r="A6423" s="30">
        <v>2025</v>
      </c>
      <c r="B6423" s="30" t="s">
        <v>16</v>
      </c>
      <c r="C6423" s="30" t="s">
        <v>46</v>
      </c>
      <c r="D6423" s="30" t="s">
        <v>47</v>
      </c>
      <c r="E6423" s="31" t="s">
        <v>751</v>
      </c>
      <c r="F6423" s="31" t="s">
        <v>57</v>
      </c>
      <c r="G6423" s="32" t="s">
        <v>50</v>
      </c>
      <c r="H6423" s="33">
        <v>41460</v>
      </c>
      <c r="I6423" s="34">
        <f>Table3[[#This Row],[Volume, kg.]]/1000</f>
        <v>41.46</v>
      </c>
      <c r="J6423" s="34">
        <v>0.24440000000000001</v>
      </c>
      <c r="K6423" s="34">
        <f t="shared" si="202"/>
        <v>10132.824000000001</v>
      </c>
      <c r="L6423" s="34">
        <v>2.09</v>
      </c>
      <c r="M6423" s="34">
        <v>86829</v>
      </c>
      <c r="N6423" s="34">
        <f t="shared" si="203"/>
        <v>8.5515548281505716</v>
      </c>
    </row>
    <row r="6424" spans="1:14" x14ac:dyDescent="0.45">
      <c r="A6424" s="30">
        <v>2025</v>
      </c>
      <c r="B6424" s="30" t="s">
        <v>16</v>
      </c>
      <c r="C6424" s="30" t="s">
        <v>46</v>
      </c>
      <c r="D6424" s="30" t="s">
        <v>47</v>
      </c>
      <c r="E6424" s="31" t="s">
        <v>752</v>
      </c>
      <c r="F6424" s="31" t="s">
        <v>49</v>
      </c>
      <c r="G6424" s="32" t="s">
        <v>50</v>
      </c>
      <c r="H6424" s="33">
        <v>14670</v>
      </c>
      <c r="I6424" s="34">
        <f>Table3[[#This Row],[Volume, kg.]]/1000</f>
        <v>14.67</v>
      </c>
      <c r="J6424" s="34">
        <v>0.26150000000000001</v>
      </c>
      <c r="K6424" s="34">
        <f t="shared" si="202"/>
        <v>3836.2049999999999</v>
      </c>
      <c r="L6424" s="34">
        <v>2.2000000000000002</v>
      </c>
      <c r="M6424" s="34">
        <v>32274</v>
      </c>
      <c r="N6424" s="34">
        <f t="shared" si="203"/>
        <v>8.413001912045889</v>
      </c>
    </row>
    <row r="6425" spans="1:14" x14ac:dyDescent="0.45">
      <c r="A6425" s="30">
        <v>2025</v>
      </c>
      <c r="B6425" s="30" t="s">
        <v>17</v>
      </c>
      <c r="C6425" s="30" t="s">
        <v>46</v>
      </c>
      <c r="D6425" s="39" t="str">
        <f>VLOOKUP(Table3[[#This Row],[Vendor]],[1]Name.KSN!$C$2:$F$804,4,0)</f>
        <v>Broker</v>
      </c>
      <c r="E6425" s="31" t="s">
        <v>188</v>
      </c>
      <c r="F6425" s="31" t="s">
        <v>189</v>
      </c>
      <c r="G6425" s="32" t="s">
        <v>128</v>
      </c>
      <c r="H6425" s="33">
        <v>1118210</v>
      </c>
      <c r="I6425" s="34">
        <f>Table3[[#This Row],[Volume, kg.]]/1000</f>
        <v>1118.21</v>
      </c>
      <c r="J6425" s="34">
        <v>0.24399999999999999</v>
      </c>
      <c r="K6425" s="34">
        <f t="shared" si="202"/>
        <v>272843.24</v>
      </c>
      <c r="L6425" s="34">
        <v>2.33</v>
      </c>
      <c r="M6425" s="34">
        <v>2601764</v>
      </c>
      <c r="N6425" s="34">
        <f t="shared" si="203"/>
        <v>9.5491803278688536</v>
      </c>
    </row>
    <row r="6426" spans="1:14" x14ac:dyDescent="0.45">
      <c r="A6426" s="30">
        <v>2025</v>
      </c>
      <c r="B6426" s="30" t="s">
        <v>17</v>
      </c>
      <c r="C6426" s="30" t="s">
        <v>46</v>
      </c>
      <c r="D6426" s="39" t="str">
        <f>VLOOKUP(Table3[[#This Row],[Vendor]],[1]Name.KSN!$C$2:$F$804,4,0)</f>
        <v>Broker</v>
      </c>
      <c r="E6426" s="31" t="s">
        <v>336</v>
      </c>
      <c r="F6426" s="31" t="s">
        <v>114</v>
      </c>
      <c r="G6426" s="32" t="s">
        <v>108</v>
      </c>
      <c r="H6426" s="33">
        <v>966480</v>
      </c>
      <c r="I6426" s="34">
        <f>Table3[[#This Row],[Volume, kg.]]/1000</f>
        <v>966.48</v>
      </c>
      <c r="J6426" s="34">
        <v>0.24859999999999999</v>
      </c>
      <c r="K6426" s="34">
        <f t="shared" si="202"/>
        <v>240266.92799999999</v>
      </c>
      <c r="L6426" s="34">
        <v>2.36</v>
      </c>
      <c r="M6426" s="34">
        <v>2285709</v>
      </c>
      <c r="N6426" s="34">
        <f t="shared" si="203"/>
        <v>9.4931617055510866</v>
      </c>
    </row>
    <row r="6427" spans="1:14" x14ac:dyDescent="0.45">
      <c r="A6427" s="30">
        <v>2025</v>
      </c>
      <c r="B6427" s="30" t="s">
        <v>17</v>
      </c>
      <c r="C6427" s="30" t="s">
        <v>46</v>
      </c>
      <c r="D6427" s="39" t="str">
        <f>VLOOKUP(Table3[[#This Row],[Vendor]],[1]Name.KSN!$C$2:$F$804,4,0)</f>
        <v>Farmer</v>
      </c>
      <c r="E6427" s="31" t="s">
        <v>181</v>
      </c>
      <c r="F6427" s="31" t="s">
        <v>57</v>
      </c>
      <c r="G6427" s="32" t="s">
        <v>50</v>
      </c>
      <c r="H6427" s="33">
        <v>16600</v>
      </c>
      <c r="I6427" s="34">
        <f>Table3[[#This Row],[Volume, kg.]]/1000</f>
        <v>16.600000000000001</v>
      </c>
      <c r="J6427" s="34">
        <v>0.28420000000000001</v>
      </c>
      <c r="K6427" s="34">
        <f t="shared" si="202"/>
        <v>4717.72</v>
      </c>
      <c r="L6427" s="34">
        <v>2.39</v>
      </c>
      <c r="M6427" s="34">
        <v>39602</v>
      </c>
      <c r="N6427" s="34">
        <f t="shared" si="203"/>
        <v>8.4095707248416609</v>
      </c>
    </row>
    <row r="6428" spans="1:14" x14ac:dyDescent="0.45">
      <c r="A6428" s="30">
        <v>2025</v>
      </c>
      <c r="B6428" s="30" t="s">
        <v>17</v>
      </c>
      <c r="C6428" s="30" t="s">
        <v>46</v>
      </c>
      <c r="D6428" s="39" t="str">
        <f>VLOOKUP(Table3[[#This Row],[Vendor]],[1]Name.KSN!$C$2:$F$804,4,0)</f>
        <v>Farmer</v>
      </c>
      <c r="E6428" s="31" t="s">
        <v>232</v>
      </c>
      <c r="F6428" s="31" t="s">
        <v>49</v>
      </c>
      <c r="G6428" s="32" t="s">
        <v>50</v>
      </c>
      <c r="H6428" s="33">
        <v>29230</v>
      </c>
      <c r="I6428" s="34">
        <f>Table3[[#This Row],[Volume, kg.]]/1000</f>
        <v>29.23</v>
      </c>
      <c r="J6428" s="34">
        <v>0.26850000000000002</v>
      </c>
      <c r="K6428" s="34">
        <f t="shared" si="202"/>
        <v>7848.2550000000001</v>
      </c>
      <c r="L6428" s="34">
        <v>2.25</v>
      </c>
      <c r="M6428" s="34">
        <v>65656.5</v>
      </c>
      <c r="N6428" s="34">
        <f t="shared" si="203"/>
        <v>8.3798882681564244</v>
      </c>
    </row>
    <row r="6429" spans="1:14" x14ac:dyDescent="0.45">
      <c r="A6429" s="30">
        <v>2025</v>
      </c>
      <c r="B6429" s="30" t="s">
        <v>17</v>
      </c>
      <c r="C6429" s="30" t="s">
        <v>46</v>
      </c>
      <c r="D6429" s="39" t="str">
        <f>VLOOKUP(Table3[[#This Row],[Vendor]],[1]Name.KSN!$C$2:$F$804,4,0)</f>
        <v>Farmer</v>
      </c>
      <c r="E6429" s="31" t="s">
        <v>213</v>
      </c>
      <c r="F6429" s="31" t="s">
        <v>49</v>
      </c>
      <c r="G6429" s="32" t="s">
        <v>50</v>
      </c>
      <c r="H6429" s="33">
        <v>61190</v>
      </c>
      <c r="I6429" s="34">
        <f>Table3[[#This Row],[Volume, kg.]]/1000</f>
        <v>61.19</v>
      </c>
      <c r="J6429" s="34">
        <v>0.24249999999999999</v>
      </c>
      <c r="K6429" s="34">
        <f t="shared" si="202"/>
        <v>14838.574999999999</v>
      </c>
      <c r="L6429" s="34">
        <v>2.13</v>
      </c>
      <c r="M6429" s="34">
        <v>130438.5</v>
      </c>
      <c r="N6429" s="34">
        <f t="shared" si="203"/>
        <v>8.7835051546391743</v>
      </c>
    </row>
    <row r="6430" spans="1:14" x14ac:dyDescent="0.45">
      <c r="A6430" s="30">
        <v>2025</v>
      </c>
      <c r="B6430" s="30" t="s">
        <v>17</v>
      </c>
      <c r="C6430" s="30" t="s">
        <v>46</v>
      </c>
      <c r="D6430" s="39" t="str">
        <f>VLOOKUP(Table3[[#This Row],[Vendor]],[1]Name.KSN!$C$2:$F$804,4,0)</f>
        <v>Farmer</v>
      </c>
      <c r="E6430" s="31" t="s">
        <v>69</v>
      </c>
      <c r="F6430" s="31" t="s">
        <v>49</v>
      </c>
      <c r="G6430" s="32" t="s">
        <v>50</v>
      </c>
      <c r="H6430" s="33">
        <v>75160</v>
      </c>
      <c r="I6430" s="34">
        <f>Table3[[#This Row],[Volume, kg.]]/1000</f>
        <v>75.16</v>
      </c>
      <c r="J6430" s="34">
        <v>0.24239999999999998</v>
      </c>
      <c r="K6430" s="34">
        <f t="shared" si="202"/>
        <v>18218.784</v>
      </c>
      <c r="L6430" s="34">
        <v>2.11</v>
      </c>
      <c r="M6430" s="34">
        <v>158807</v>
      </c>
      <c r="N6430" s="34">
        <f t="shared" si="203"/>
        <v>8.7046204620462042</v>
      </c>
    </row>
    <row r="6431" spans="1:14" x14ac:dyDescent="0.45">
      <c r="A6431" s="30">
        <v>2025</v>
      </c>
      <c r="B6431" s="30" t="s">
        <v>17</v>
      </c>
      <c r="C6431" s="30" t="s">
        <v>46</v>
      </c>
      <c r="D6431" s="39" t="str">
        <f>VLOOKUP(Table3[[#This Row],[Vendor]],[1]Name.KSN!$C$2:$F$804,4,0)</f>
        <v>Farmer</v>
      </c>
      <c r="E6431" s="31" t="s">
        <v>202</v>
      </c>
      <c r="F6431" s="31" t="s">
        <v>57</v>
      </c>
      <c r="G6431" s="32" t="s">
        <v>50</v>
      </c>
      <c r="H6431" s="33">
        <v>7580</v>
      </c>
      <c r="I6431" s="34">
        <f>Table3[[#This Row],[Volume, kg.]]/1000</f>
        <v>7.58</v>
      </c>
      <c r="J6431" s="34">
        <v>0.22899999999999998</v>
      </c>
      <c r="K6431" s="34">
        <f t="shared" si="202"/>
        <v>1735.82</v>
      </c>
      <c r="L6431" s="34">
        <v>2.0499999999999998</v>
      </c>
      <c r="M6431" s="34">
        <v>15539</v>
      </c>
      <c r="N6431" s="34">
        <f t="shared" si="203"/>
        <v>8.9519650655021827</v>
      </c>
    </row>
    <row r="6432" spans="1:14" x14ac:dyDescent="0.45">
      <c r="A6432" s="30">
        <v>2025</v>
      </c>
      <c r="B6432" s="30" t="s">
        <v>17</v>
      </c>
      <c r="C6432" s="30" t="s">
        <v>46</v>
      </c>
      <c r="D6432" s="39" t="str">
        <f>VLOOKUP(Table3[[#This Row],[Vendor]],[1]Name.KSN!$C$2:$F$804,4,0)</f>
        <v>Farmer</v>
      </c>
      <c r="E6432" s="31" t="s">
        <v>381</v>
      </c>
      <c r="F6432" s="31" t="s">
        <v>49</v>
      </c>
      <c r="G6432" s="32" t="s">
        <v>50</v>
      </c>
      <c r="H6432" s="33">
        <v>6460</v>
      </c>
      <c r="I6432" s="34">
        <f>Table3[[#This Row],[Volume, kg.]]/1000</f>
        <v>6.46</v>
      </c>
      <c r="J6432" s="34">
        <v>0.24</v>
      </c>
      <c r="K6432" s="34">
        <f t="shared" si="202"/>
        <v>1550.3999999999999</v>
      </c>
      <c r="L6432" s="34">
        <v>2.1</v>
      </c>
      <c r="M6432" s="34">
        <v>13566</v>
      </c>
      <c r="N6432" s="34">
        <f t="shared" si="203"/>
        <v>8.75</v>
      </c>
    </row>
    <row r="6433" spans="1:14" x14ac:dyDescent="0.45">
      <c r="A6433" s="30">
        <v>2025</v>
      </c>
      <c r="B6433" s="30" t="s">
        <v>17</v>
      </c>
      <c r="C6433" s="30" t="s">
        <v>46</v>
      </c>
      <c r="D6433" s="39" t="str">
        <f>VLOOKUP(Table3[[#This Row],[Vendor]],[1]Name.KSN!$C$2:$F$804,4,0)</f>
        <v>Farmer</v>
      </c>
      <c r="E6433" s="31" t="s">
        <v>382</v>
      </c>
      <c r="F6433" s="31" t="s">
        <v>60</v>
      </c>
      <c r="G6433" s="32" t="s">
        <v>50</v>
      </c>
      <c r="H6433" s="33">
        <v>64020</v>
      </c>
      <c r="I6433" s="34">
        <f>Table3[[#This Row],[Volume, kg.]]/1000</f>
        <v>64.02</v>
      </c>
      <c r="J6433" s="34">
        <v>0.2656</v>
      </c>
      <c r="K6433" s="34">
        <f t="shared" si="202"/>
        <v>17003.712</v>
      </c>
      <c r="L6433" s="34">
        <v>2.2400000000000002</v>
      </c>
      <c r="M6433" s="34">
        <v>143532.5</v>
      </c>
      <c r="N6433" s="34">
        <f t="shared" si="203"/>
        <v>8.4337349397590362</v>
      </c>
    </row>
    <row r="6434" spans="1:14" x14ac:dyDescent="0.45">
      <c r="A6434" s="30">
        <v>2025</v>
      </c>
      <c r="B6434" s="30" t="s">
        <v>17</v>
      </c>
      <c r="C6434" s="30" t="s">
        <v>46</v>
      </c>
      <c r="D6434" s="39" t="str">
        <f>VLOOKUP(Table3[[#This Row],[Vendor]],[1]Name.KSN!$C$2:$F$804,4,0)</f>
        <v>Farmer</v>
      </c>
      <c r="E6434" s="31" t="s">
        <v>178</v>
      </c>
      <c r="F6434" s="31" t="s">
        <v>49</v>
      </c>
      <c r="G6434" s="32" t="s">
        <v>50</v>
      </c>
      <c r="H6434" s="33">
        <v>11660</v>
      </c>
      <c r="I6434" s="34">
        <f>Table3[[#This Row],[Volume, kg.]]/1000</f>
        <v>11.66</v>
      </c>
      <c r="J6434" s="34">
        <v>0.23680000000000001</v>
      </c>
      <c r="K6434" s="34">
        <f t="shared" si="202"/>
        <v>2761.0880000000002</v>
      </c>
      <c r="L6434" s="34">
        <v>2.1</v>
      </c>
      <c r="M6434" s="34">
        <v>24488</v>
      </c>
      <c r="N6434" s="34">
        <f t="shared" si="203"/>
        <v>8.8682432432432439</v>
      </c>
    </row>
    <row r="6435" spans="1:14" x14ac:dyDescent="0.45">
      <c r="A6435" s="30">
        <v>2025</v>
      </c>
      <c r="B6435" s="30" t="s">
        <v>17</v>
      </c>
      <c r="C6435" s="30" t="s">
        <v>46</v>
      </c>
      <c r="D6435" s="39" t="str">
        <f>VLOOKUP(Table3[[#This Row],[Vendor]],[1]Name.KSN!$C$2:$F$804,4,0)</f>
        <v>Farmer</v>
      </c>
      <c r="E6435" s="31" t="s">
        <v>235</v>
      </c>
      <c r="F6435" s="31" t="s">
        <v>57</v>
      </c>
      <c r="G6435" s="32" t="s">
        <v>50</v>
      </c>
      <c r="H6435" s="33">
        <v>14680</v>
      </c>
      <c r="I6435" s="34">
        <f>Table3[[#This Row],[Volume, kg.]]/1000</f>
        <v>14.68</v>
      </c>
      <c r="J6435" s="34">
        <v>0.24530000000000002</v>
      </c>
      <c r="K6435" s="34">
        <f t="shared" si="202"/>
        <v>3601.0040000000004</v>
      </c>
      <c r="L6435" s="34">
        <v>2.2000000000000002</v>
      </c>
      <c r="M6435" s="34">
        <v>32296</v>
      </c>
      <c r="N6435" s="34">
        <f t="shared" si="203"/>
        <v>8.9686098654708513</v>
      </c>
    </row>
    <row r="6436" spans="1:14" x14ac:dyDescent="0.45">
      <c r="A6436" s="30">
        <v>2025</v>
      </c>
      <c r="B6436" s="30" t="s">
        <v>17</v>
      </c>
      <c r="C6436" s="30" t="s">
        <v>46</v>
      </c>
      <c r="D6436" s="39" t="str">
        <f>VLOOKUP(Table3[[#This Row],[Vendor]],[1]Name.KSN!$C$2:$F$804,4,0)</f>
        <v>Farmer</v>
      </c>
      <c r="E6436" s="31" t="s">
        <v>149</v>
      </c>
      <c r="F6436" s="31" t="s">
        <v>49</v>
      </c>
      <c r="G6436" s="32" t="s">
        <v>50</v>
      </c>
      <c r="H6436" s="33">
        <v>4610</v>
      </c>
      <c r="I6436" s="34">
        <f>Table3[[#This Row],[Volume, kg.]]/1000</f>
        <v>4.6100000000000003</v>
      </c>
      <c r="J6436" s="34">
        <v>0.245</v>
      </c>
      <c r="K6436" s="34">
        <f t="shared" si="202"/>
        <v>1129.45</v>
      </c>
      <c r="L6436" s="34">
        <v>2.15</v>
      </c>
      <c r="M6436" s="34">
        <v>9911.5</v>
      </c>
      <c r="N6436" s="34">
        <f t="shared" si="203"/>
        <v>8.7755102040816322</v>
      </c>
    </row>
    <row r="6437" spans="1:14" x14ac:dyDescent="0.45">
      <c r="A6437" s="30">
        <v>2025</v>
      </c>
      <c r="B6437" s="30" t="s">
        <v>17</v>
      </c>
      <c r="C6437" s="30" t="s">
        <v>46</v>
      </c>
      <c r="D6437" s="39" t="str">
        <f>VLOOKUP(Table3[[#This Row],[Vendor]],[1]Name.KSN!$C$2:$F$804,4,0)</f>
        <v>Farmer</v>
      </c>
      <c r="E6437" s="31" t="s">
        <v>208</v>
      </c>
      <c r="F6437" s="31" t="s">
        <v>49</v>
      </c>
      <c r="G6437" s="32" t="s">
        <v>50</v>
      </c>
      <c r="H6437" s="33">
        <v>83280</v>
      </c>
      <c r="I6437" s="34">
        <f>Table3[[#This Row],[Volume, kg.]]/1000</f>
        <v>83.28</v>
      </c>
      <c r="J6437" s="34">
        <v>0.24729999999999999</v>
      </c>
      <c r="K6437" s="34">
        <f t="shared" si="202"/>
        <v>20595.144</v>
      </c>
      <c r="L6437" s="34">
        <v>2.13</v>
      </c>
      <c r="M6437" s="34">
        <v>177797.5</v>
      </c>
      <c r="N6437" s="34">
        <f t="shared" si="203"/>
        <v>8.6130206227254344</v>
      </c>
    </row>
    <row r="6438" spans="1:14" x14ac:dyDescent="0.45">
      <c r="A6438" s="30">
        <v>2025</v>
      </c>
      <c r="B6438" s="30" t="s">
        <v>17</v>
      </c>
      <c r="C6438" s="30" t="s">
        <v>46</v>
      </c>
      <c r="D6438" s="39" t="str">
        <f>VLOOKUP(Table3[[#This Row],[Vendor]],[1]Name.KSN!$C$2:$F$804,4,0)</f>
        <v>Farmer</v>
      </c>
      <c r="E6438" s="31" t="s">
        <v>185</v>
      </c>
      <c r="F6438" s="31" t="s">
        <v>57</v>
      </c>
      <c r="G6438" s="32" t="s">
        <v>50</v>
      </c>
      <c r="H6438" s="33">
        <v>26350</v>
      </c>
      <c r="I6438" s="34">
        <f>Table3[[#This Row],[Volume, kg.]]/1000</f>
        <v>26.35</v>
      </c>
      <c r="J6438" s="34">
        <v>0.23860000000000001</v>
      </c>
      <c r="K6438" s="34">
        <f t="shared" si="202"/>
        <v>6287.1100000000006</v>
      </c>
      <c r="L6438" s="34">
        <v>2.1</v>
      </c>
      <c r="M6438" s="34">
        <v>55256</v>
      </c>
      <c r="N6438" s="34">
        <f t="shared" si="203"/>
        <v>8.8013411567476947</v>
      </c>
    </row>
    <row r="6439" spans="1:14" x14ac:dyDescent="0.45">
      <c r="A6439" s="30">
        <v>2025</v>
      </c>
      <c r="B6439" s="30" t="s">
        <v>17</v>
      </c>
      <c r="C6439" s="30" t="s">
        <v>46</v>
      </c>
      <c r="D6439" s="39" t="str">
        <f>VLOOKUP(Table3[[#This Row],[Vendor]],[1]Name.KSN!$C$2:$F$804,4,0)</f>
        <v>Farmer</v>
      </c>
      <c r="E6439" s="31" t="s">
        <v>99</v>
      </c>
      <c r="F6439" s="31" t="s">
        <v>49</v>
      </c>
      <c r="G6439" s="32" t="s">
        <v>50</v>
      </c>
      <c r="H6439" s="33">
        <v>10480</v>
      </c>
      <c r="I6439" s="34">
        <f>Table3[[#This Row],[Volume, kg.]]/1000</f>
        <v>10.48</v>
      </c>
      <c r="J6439" s="34">
        <v>0.22750000000000001</v>
      </c>
      <c r="K6439" s="34">
        <f t="shared" si="202"/>
        <v>2384.2000000000003</v>
      </c>
      <c r="L6439" s="34">
        <v>2.0499999999999998</v>
      </c>
      <c r="M6439" s="34">
        <v>21484</v>
      </c>
      <c r="N6439" s="34">
        <f t="shared" si="203"/>
        <v>9.0109890109890092</v>
      </c>
    </row>
    <row r="6440" spans="1:14" x14ac:dyDescent="0.45">
      <c r="A6440" s="30">
        <v>2025</v>
      </c>
      <c r="B6440" s="30" t="s">
        <v>17</v>
      </c>
      <c r="C6440" s="30" t="s">
        <v>46</v>
      </c>
      <c r="D6440" s="39" t="str">
        <f>VLOOKUP(Table3[[#This Row],[Vendor]],[1]Name.KSN!$C$2:$F$804,4,0)</f>
        <v>Farmer</v>
      </c>
      <c r="E6440" s="31" t="s">
        <v>165</v>
      </c>
      <c r="F6440" s="31" t="s">
        <v>57</v>
      </c>
      <c r="G6440" s="32" t="s">
        <v>50</v>
      </c>
      <c r="H6440" s="33">
        <v>42640</v>
      </c>
      <c r="I6440" s="34">
        <f>Table3[[#This Row],[Volume, kg.]]/1000</f>
        <v>42.64</v>
      </c>
      <c r="J6440" s="34">
        <v>0.2621</v>
      </c>
      <c r="K6440" s="34">
        <f t="shared" si="202"/>
        <v>11175.944</v>
      </c>
      <c r="L6440" s="34">
        <v>2.21</v>
      </c>
      <c r="M6440" s="34">
        <v>94158</v>
      </c>
      <c r="N6440" s="34">
        <f t="shared" si="203"/>
        <v>8.4318962228157197</v>
      </c>
    </row>
    <row r="6441" spans="1:14" x14ac:dyDescent="0.45">
      <c r="A6441" s="30">
        <v>2025</v>
      </c>
      <c r="B6441" s="30" t="s">
        <v>17</v>
      </c>
      <c r="C6441" s="30" t="s">
        <v>46</v>
      </c>
      <c r="D6441" s="39" t="str">
        <f>VLOOKUP(Table3[[#This Row],[Vendor]],[1]Name.KSN!$C$2:$F$804,4,0)</f>
        <v>Farmer</v>
      </c>
      <c r="E6441" s="31" t="s">
        <v>226</v>
      </c>
      <c r="F6441" s="31" t="s">
        <v>60</v>
      </c>
      <c r="G6441" s="32" t="s">
        <v>50</v>
      </c>
      <c r="H6441" s="33">
        <v>20890</v>
      </c>
      <c r="I6441" s="34">
        <f>Table3[[#This Row],[Volume, kg.]]/1000</f>
        <v>20.89</v>
      </c>
      <c r="J6441" s="34">
        <v>0.24579999999999999</v>
      </c>
      <c r="K6441" s="34">
        <f t="shared" si="202"/>
        <v>5134.7619999999997</v>
      </c>
      <c r="L6441" s="34">
        <v>2.1800000000000002</v>
      </c>
      <c r="M6441" s="34">
        <v>45538</v>
      </c>
      <c r="N6441" s="34">
        <f t="shared" si="203"/>
        <v>8.8689991863303508</v>
      </c>
    </row>
    <row r="6442" spans="1:14" x14ac:dyDescent="0.45">
      <c r="A6442" s="30">
        <v>2025</v>
      </c>
      <c r="B6442" s="30" t="s">
        <v>17</v>
      </c>
      <c r="C6442" s="30" t="s">
        <v>46</v>
      </c>
      <c r="D6442" s="39" t="str">
        <f>VLOOKUP(Table3[[#This Row],[Vendor]],[1]Name.KSN!$C$2:$F$804,4,0)</f>
        <v>Farmer</v>
      </c>
      <c r="E6442" s="31" t="s">
        <v>219</v>
      </c>
      <c r="F6442" s="31" t="s">
        <v>57</v>
      </c>
      <c r="G6442" s="32" t="s">
        <v>50</v>
      </c>
      <c r="H6442" s="33">
        <v>11780</v>
      </c>
      <c r="I6442" s="34">
        <f>Table3[[#This Row],[Volume, kg.]]/1000</f>
        <v>11.78</v>
      </c>
      <c r="J6442" s="34">
        <v>0.2797</v>
      </c>
      <c r="K6442" s="34">
        <f t="shared" si="202"/>
        <v>3294.866</v>
      </c>
      <c r="L6442" s="34">
        <v>2.2999999999999998</v>
      </c>
      <c r="M6442" s="34">
        <v>27094</v>
      </c>
      <c r="N6442" s="34">
        <f t="shared" si="203"/>
        <v>8.2230961744726478</v>
      </c>
    </row>
    <row r="6443" spans="1:14" x14ac:dyDescent="0.45">
      <c r="A6443" s="30">
        <v>2025</v>
      </c>
      <c r="B6443" s="30" t="s">
        <v>17</v>
      </c>
      <c r="C6443" s="30" t="s">
        <v>46</v>
      </c>
      <c r="D6443" s="39" t="str">
        <f>VLOOKUP(Table3[[#This Row],[Vendor]],[1]Name.KSN!$C$2:$F$804,4,0)</f>
        <v>Farmer</v>
      </c>
      <c r="E6443" s="31" t="s">
        <v>182</v>
      </c>
      <c r="F6443" s="31" t="s">
        <v>81</v>
      </c>
      <c r="G6443" s="32" t="s">
        <v>50</v>
      </c>
      <c r="H6443" s="33">
        <v>142740</v>
      </c>
      <c r="I6443" s="34">
        <f>Table3[[#This Row],[Volume, kg.]]/1000</f>
        <v>142.74</v>
      </c>
      <c r="J6443" s="34">
        <v>0.252</v>
      </c>
      <c r="K6443" s="34">
        <f t="shared" si="202"/>
        <v>35970.480000000003</v>
      </c>
      <c r="L6443" s="34">
        <v>2.17</v>
      </c>
      <c r="M6443" s="34">
        <v>309481</v>
      </c>
      <c r="N6443" s="34">
        <f t="shared" si="203"/>
        <v>8.6111111111111107</v>
      </c>
    </row>
    <row r="6444" spans="1:14" x14ac:dyDescent="0.45">
      <c r="A6444" s="30">
        <v>2025</v>
      </c>
      <c r="B6444" s="30" t="s">
        <v>17</v>
      </c>
      <c r="C6444" s="30" t="s">
        <v>46</v>
      </c>
      <c r="D6444" s="39" t="str">
        <f>VLOOKUP(Table3[[#This Row],[Vendor]],[1]Name.KSN!$C$2:$F$804,4,0)</f>
        <v>Farmer</v>
      </c>
      <c r="E6444" s="31" t="s">
        <v>322</v>
      </c>
      <c r="F6444" s="31" t="s">
        <v>57</v>
      </c>
      <c r="G6444" s="32" t="s">
        <v>50</v>
      </c>
      <c r="H6444" s="33">
        <v>30330</v>
      </c>
      <c r="I6444" s="34">
        <f>Table3[[#This Row],[Volume, kg.]]/1000</f>
        <v>30.33</v>
      </c>
      <c r="J6444" s="34">
        <v>0.25769999999999998</v>
      </c>
      <c r="K6444" s="34">
        <f t="shared" si="202"/>
        <v>7816.0409999999993</v>
      </c>
      <c r="L6444" s="34">
        <v>2.1800000000000002</v>
      </c>
      <c r="M6444" s="34">
        <v>66177.5</v>
      </c>
      <c r="N6444" s="34">
        <f t="shared" si="203"/>
        <v>8.4594489716724883</v>
      </c>
    </row>
    <row r="6445" spans="1:14" x14ac:dyDescent="0.45">
      <c r="A6445" s="30">
        <v>2025</v>
      </c>
      <c r="B6445" s="30" t="s">
        <v>17</v>
      </c>
      <c r="C6445" s="30" t="s">
        <v>46</v>
      </c>
      <c r="D6445" s="39" t="str">
        <f>VLOOKUP(Table3[[#This Row],[Vendor]],[1]Name.KSN!$C$2:$F$804,4,0)</f>
        <v>Farmer</v>
      </c>
      <c r="E6445" s="31" t="s">
        <v>82</v>
      </c>
      <c r="F6445" s="31" t="s">
        <v>57</v>
      </c>
      <c r="G6445" s="32" t="s">
        <v>50</v>
      </c>
      <c r="H6445" s="33">
        <v>11310</v>
      </c>
      <c r="I6445" s="34">
        <f>Table3[[#This Row],[Volume, kg.]]/1000</f>
        <v>11.31</v>
      </c>
      <c r="J6445" s="34">
        <v>0.26129999999999998</v>
      </c>
      <c r="K6445" s="34">
        <f t="shared" si="202"/>
        <v>2955.3029999999999</v>
      </c>
      <c r="L6445" s="34">
        <v>2.27</v>
      </c>
      <c r="M6445" s="34">
        <v>25710</v>
      </c>
      <c r="N6445" s="34">
        <f t="shared" si="203"/>
        <v>8.6873325679295839</v>
      </c>
    </row>
    <row r="6446" spans="1:14" x14ac:dyDescent="0.45">
      <c r="A6446" s="30">
        <v>2025</v>
      </c>
      <c r="B6446" s="30" t="s">
        <v>17</v>
      </c>
      <c r="C6446" s="30" t="s">
        <v>46</v>
      </c>
      <c r="D6446" s="39" t="str">
        <f>VLOOKUP(Table3[[#This Row],[Vendor]],[1]Name.KSN!$C$2:$F$804,4,0)</f>
        <v>Farmer</v>
      </c>
      <c r="E6446" s="31" t="s">
        <v>245</v>
      </c>
      <c r="F6446" s="31" t="s">
        <v>57</v>
      </c>
      <c r="G6446" s="32" t="s">
        <v>50</v>
      </c>
      <c r="H6446" s="33">
        <v>61500</v>
      </c>
      <c r="I6446" s="34">
        <f>Table3[[#This Row],[Volume, kg.]]/1000</f>
        <v>61.5</v>
      </c>
      <c r="J6446" s="34">
        <v>0.25559999999999999</v>
      </c>
      <c r="K6446" s="34">
        <f t="shared" si="202"/>
        <v>15719.4</v>
      </c>
      <c r="L6446" s="34">
        <v>2.19</v>
      </c>
      <c r="M6446" s="34">
        <v>134550</v>
      </c>
      <c r="N6446" s="34">
        <f t="shared" si="203"/>
        <v>8.568075117370892</v>
      </c>
    </row>
    <row r="6447" spans="1:14" x14ac:dyDescent="0.45">
      <c r="A6447" s="30">
        <v>2025</v>
      </c>
      <c r="B6447" s="30" t="s">
        <v>17</v>
      </c>
      <c r="C6447" s="30" t="s">
        <v>46</v>
      </c>
      <c r="D6447" s="39" t="str">
        <f>VLOOKUP(Table3[[#This Row],[Vendor]],[1]Name.KSN!$C$2:$F$804,4,0)</f>
        <v>Farmer</v>
      </c>
      <c r="E6447" s="31" t="s">
        <v>303</v>
      </c>
      <c r="F6447" s="31" t="s">
        <v>57</v>
      </c>
      <c r="G6447" s="32" t="s">
        <v>50</v>
      </c>
      <c r="H6447" s="33">
        <v>24650</v>
      </c>
      <c r="I6447" s="34">
        <f>Table3[[#This Row],[Volume, kg.]]/1000</f>
        <v>24.65</v>
      </c>
      <c r="J6447" s="34">
        <v>0.25469999999999998</v>
      </c>
      <c r="K6447" s="34">
        <f t="shared" si="202"/>
        <v>6278.3549999999996</v>
      </c>
      <c r="L6447" s="34">
        <v>2.1800000000000002</v>
      </c>
      <c r="M6447" s="34">
        <v>53773</v>
      </c>
      <c r="N6447" s="34">
        <f t="shared" si="203"/>
        <v>8.5590891244601508</v>
      </c>
    </row>
    <row r="6448" spans="1:14" x14ac:dyDescent="0.45">
      <c r="A6448" s="30">
        <v>2025</v>
      </c>
      <c r="B6448" s="30" t="s">
        <v>17</v>
      </c>
      <c r="C6448" s="30" t="s">
        <v>46</v>
      </c>
      <c r="D6448" s="39" t="str">
        <f>VLOOKUP(Table3[[#This Row],[Vendor]],[1]Name.KSN!$C$2:$F$804,4,0)</f>
        <v>Farmer</v>
      </c>
      <c r="E6448" s="31" t="s">
        <v>163</v>
      </c>
      <c r="F6448" s="31" t="s">
        <v>60</v>
      </c>
      <c r="G6448" s="32" t="s">
        <v>50</v>
      </c>
      <c r="H6448" s="33">
        <v>3430</v>
      </c>
      <c r="I6448" s="34">
        <f>Table3[[#This Row],[Volume, kg.]]/1000</f>
        <v>3.43</v>
      </c>
      <c r="J6448" s="34">
        <v>0.23250000000000001</v>
      </c>
      <c r="K6448" s="34">
        <f t="shared" si="202"/>
        <v>797.47500000000002</v>
      </c>
      <c r="L6448" s="34">
        <v>2.1</v>
      </c>
      <c r="M6448" s="34">
        <v>7203</v>
      </c>
      <c r="N6448" s="34">
        <f t="shared" si="203"/>
        <v>9.0322580645161281</v>
      </c>
    </row>
    <row r="6449" spans="1:14" x14ac:dyDescent="0.45">
      <c r="A6449" s="30">
        <v>2025</v>
      </c>
      <c r="B6449" s="30" t="s">
        <v>17</v>
      </c>
      <c r="C6449" s="30" t="s">
        <v>46</v>
      </c>
      <c r="D6449" s="39" t="str">
        <f>VLOOKUP(Table3[[#This Row],[Vendor]],[1]Name.KSN!$C$2:$F$804,4,0)</f>
        <v>Farmer</v>
      </c>
      <c r="E6449" s="31" t="s">
        <v>172</v>
      </c>
      <c r="F6449" s="31" t="s">
        <v>57</v>
      </c>
      <c r="G6449" s="32" t="s">
        <v>50</v>
      </c>
      <c r="H6449" s="33">
        <v>8840</v>
      </c>
      <c r="I6449" s="34">
        <f>Table3[[#This Row],[Volume, kg.]]/1000</f>
        <v>8.84</v>
      </c>
      <c r="J6449" s="34">
        <v>0.2787</v>
      </c>
      <c r="K6449" s="34">
        <f t="shared" si="202"/>
        <v>2463.7080000000001</v>
      </c>
      <c r="L6449" s="34">
        <v>2.34</v>
      </c>
      <c r="M6449" s="34">
        <v>20686</v>
      </c>
      <c r="N6449" s="34">
        <f t="shared" si="203"/>
        <v>8.3961248654467155</v>
      </c>
    </row>
    <row r="6450" spans="1:14" x14ac:dyDescent="0.45">
      <c r="A6450" s="30">
        <v>2025</v>
      </c>
      <c r="B6450" s="30" t="s">
        <v>17</v>
      </c>
      <c r="C6450" s="30" t="s">
        <v>46</v>
      </c>
      <c r="D6450" s="39" t="str">
        <f>VLOOKUP(Table3[[#This Row],[Vendor]],[1]Name.KSN!$C$2:$F$804,4,0)</f>
        <v>Farmer</v>
      </c>
      <c r="E6450" s="31" t="s">
        <v>655</v>
      </c>
      <c r="F6450" s="31" t="s">
        <v>49</v>
      </c>
      <c r="G6450" s="32" t="s">
        <v>50</v>
      </c>
      <c r="H6450" s="33">
        <v>15240</v>
      </c>
      <c r="I6450" s="34">
        <f>Table3[[#This Row],[Volume, kg.]]/1000</f>
        <v>15.24</v>
      </c>
      <c r="J6450" s="34">
        <v>0.2429</v>
      </c>
      <c r="K6450" s="34">
        <f t="shared" si="202"/>
        <v>3701.7960000000003</v>
      </c>
      <c r="L6450" s="34">
        <v>2.11</v>
      </c>
      <c r="M6450" s="34">
        <v>32084</v>
      </c>
      <c r="N6450" s="34">
        <f t="shared" si="203"/>
        <v>8.6867023466447097</v>
      </c>
    </row>
    <row r="6451" spans="1:14" x14ac:dyDescent="0.45">
      <c r="A6451" s="30">
        <v>2025</v>
      </c>
      <c r="B6451" s="30" t="s">
        <v>17</v>
      </c>
      <c r="C6451" s="30" t="s">
        <v>46</v>
      </c>
      <c r="D6451" s="39" t="str">
        <f>VLOOKUP(Table3[[#This Row],[Vendor]],[1]Name.KSN!$C$2:$F$804,4,0)</f>
        <v>Farmer</v>
      </c>
      <c r="E6451" s="31" t="s">
        <v>170</v>
      </c>
      <c r="F6451" s="31" t="s">
        <v>49</v>
      </c>
      <c r="G6451" s="32" t="s">
        <v>50</v>
      </c>
      <c r="H6451" s="33">
        <v>15780</v>
      </c>
      <c r="I6451" s="34">
        <f>Table3[[#This Row],[Volume, kg.]]/1000</f>
        <v>15.78</v>
      </c>
      <c r="J6451" s="34">
        <v>0.26440000000000002</v>
      </c>
      <c r="K6451" s="34">
        <f t="shared" si="202"/>
        <v>4172.232</v>
      </c>
      <c r="L6451" s="34">
        <v>2.2200000000000002</v>
      </c>
      <c r="M6451" s="34">
        <v>35106.5</v>
      </c>
      <c r="N6451" s="34">
        <f t="shared" si="203"/>
        <v>8.396369137670197</v>
      </c>
    </row>
    <row r="6452" spans="1:14" x14ac:dyDescent="0.45">
      <c r="A6452" s="30">
        <v>2025</v>
      </c>
      <c r="B6452" s="30" t="s">
        <v>17</v>
      </c>
      <c r="C6452" s="30" t="s">
        <v>46</v>
      </c>
      <c r="D6452" s="39" t="str">
        <f>VLOOKUP(Table3[[#This Row],[Vendor]],[1]Name.KSN!$C$2:$F$804,4,0)</f>
        <v>Farmer</v>
      </c>
      <c r="E6452" s="31" t="s">
        <v>320</v>
      </c>
      <c r="F6452" s="31" t="s">
        <v>49</v>
      </c>
      <c r="G6452" s="32" t="s">
        <v>50</v>
      </c>
      <c r="H6452" s="33">
        <v>24060</v>
      </c>
      <c r="I6452" s="34">
        <f>Table3[[#This Row],[Volume, kg.]]/1000</f>
        <v>24.06</v>
      </c>
      <c r="J6452" s="34">
        <v>0.25819999999999999</v>
      </c>
      <c r="K6452" s="34">
        <f t="shared" si="202"/>
        <v>6212.2919999999995</v>
      </c>
      <c r="L6452" s="34">
        <v>2.19</v>
      </c>
      <c r="M6452" s="34">
        <v>52793</v>
      </c>
      <c r="N6452" s="34">
        <f t="shared" si="203"/>
        <v>8.4817970565453145</v>
      </c>
    </row>
    <row r="6453" spans="1:14" x14ac:dyDescent="0.45">
      <c r="A6453" s="30">
        <v>2025</v>
      </c>
      <c r="B6453" s="30" t="s">
        <v>17</v>
      </c>
      <c r="C6453" s="30" t="s">
        <v>46</v>
      </c>
      <c r="D6453" s="39" t="str">
        <f>VLOOKUP(Table3[[#This Row],[Vendor]],[1]Name.KSN!$C$2:$F$804,4,0)</f>
        <v>Farmer</v>
      </c>
      <c r="E6453" s="31" t="s">
        <v>301</v>
      </c>
      <c r="F6453" s="31" t="s">
        <v>60</v>
      </c>
      <c r="G6453" s="32" t="s">
        <v>50</v>
      </c>
      <c r="H6453" s="33">
        <v>11180</v>
      </c>
      <c r="I6453" s="34">
        <f>Table3[[#This Row],[Volume, kg.]]/1000</f>
        <v>11.18</v>
      </c>
      <c r="J6453" s="34">
        <v>0.24149999999999999</v>
      </c>
      <c r="K6453" s="34">
        <f t="shared" si="202"/>
        <v>2699.97</v>
      </c>
      <c r="L6453" s="34">
        <v>2.1</v>
      </c>
      <c r="M6453" s="34">
        <v>23478</v>
      </c>
      <c r="N6453" s="34">
        <f t="shared" si="203"/>
        <v>8.6956521739130448</v>
      </c>
    </row>
    <row r="6454" spans="1:14" x14ac:dyDescent="0.45">
      <c r="A6454" s="30">
        <v>2025</v>
      </c>
      <c r="B6454" s="30" t="s">
        <v>17</v>
      </c>
      <c r="C6454" s="30" t="s">
        <v>46</v>
      </c>
      <c r="D6454" s="39" t="str">
        <f>VLOOKUP(Table3[[#This Row],[Vendor]],[1]Name.KSN!$C$2:$F$804,4,0)</f>
        <v>Farmer</v>
      </c>
      <c r="E6454" s="31" t="s">
        <v>174</v>
      </c>
      <c r="F6454" s="31" t="s">
        <v>57</v>
      </c>
      <c r="G6454" s="32" t="s">
        <v>50</v>
      </c>
      <c r="H6454" s="33">
        <v>28320</v>
      </c>
      <c r="I6454" s="34">
        <f>Table3[[#This Row],[Volume, kg.]]/1000</f>
        <v>28.32</v>
      </c>
      <c r="J6454" s="34">
        <v>0.25059999999999999</v>
      </c>
      <c r="K6454" s="34">
        <f t="shared" si="202"/>
        <v>7096.9919999999993</v>
      </c>
      <c r="L6454" s="34">
        <v>2.23</v>
      </c>
      <c r="M6454" s="34">
        <v>63206</v>
      </c>
      <c r="N6454" s="34">
        <f t="shared" si="203"/>
        <v>8.8986432561851565</v>
      </c>
    </row>
    <row r="6455" spans="1:14" x14ac:dyDescent="0.45">
      <c r="A6455" s="30">
        <v>2025</v>
      </c>
      <c r="B6455" s="30" t="s">
        <v>17</v>
      </c>
      <c r="C6455" s="30" t="s">
        <v>46</v>
      </c>
      <c r="D6455" s="39" t="str">
        <f>VLOOKUP(Table3[[#This Row],[Vendor]],[1]Name.KSN!$C$2:$F$804,4,0)</f>
        <v>Farmer</v>
      </c>
      <c r="E6455" s="31" t="s">
        <v>325</v>
      </c>
      <c r="F6455" s="31" t="s">
        <v>60</v>
      </c>
      <c r="G6455" s="32" t="s">
        <v>50</v>
      </c>
      <c r="H6455" s="33">
        <v>43270</v>
      </c>
      <c r="I6455" s="34">
        <f>Table3[[#This Row],[Volume, kg.]]/1000</f>
        <v>43.27</v>
      </c>
      <c r="J6455" s="34">
        <v>0.24940000000000001</v>
      </c>
      <c r="K6455" s="34">
        <f t="shared" si="202"/>
        <v>10791.538</v>
      </c>
      <c r="L6455" s="34">
        <v>2.1800000000000002</v>
      </c>
      <c r="M6455" s="34">
        <v>94247.5</v>
      </c>
      <c r="N6455" s="34">
        <f t="shared" si="203"/>
        <v>8.7409783480352843</v>
      </c>
    </row>
    <row r="6456" spans="1:14" x14ac:dyDescent="0.45">
      <c r="A6456" s="30">
        <v>2025</v>
      </c>
      <c r="B6456" s="30" t="s">
        <v>17</v>
      </c>
      <c r="C6456" s="30" t="s">
        <v>46</v>
      </c>
      <c r="D6456" s="39" t="str">
        <f>VLOOKUP(Table3[[#This Row],[Vendor]],[1]Name.KSN!$C$2:$F$804,4,0)</f>
        <v>Farmer</v>
      </c>
      <c r="E6456" s="31" t="s">
        <v>179</v>
      </c>
      <c r="F6456" s="31" t="s">
        <v>60</v>
      </c>
      <c r="G6456" s="32" t="s">
        <v>50</v>
      </c>
      <c r="H6456" s="33">
        <v>140840</v>
      </c>
      <c r="I6456" s="34">
        <f>Table3[[#This Row],[Volume, kg.]]/1000</f>
        <v>140.84</v>
      </c>
      <c r="J6456" s="34">
        <v>0.25700000000000001</v>
      </c>
      <c r="K6456" s="34">
        <f t="shared" si="202"/>
        <v>36195.879999999997</v>
      </c>
      <c r="L6456" s="34">
        <v>2.21</v>
      </c>
      <c r="M6456" s="34">
        <v>310643</v>
      </c>
      <c r="N6456" s="34">
        <f t="shared" si="203"/>
        <v>8.5992217898832681</v>
      </c>
    </row>
    <row r="6457" spans="1:14" x14ac:dyDescent="0.45">
      <c r="A6457" s="30">
        <v>2025</v>
      </c>
      <c r="B6457" s="30" t="s">
        <v>17</v>
      </c>
      <c r="C6457" s="30" t="s">
        <v>46</v>
      </c>
      <c r="D6457" s="39" t="str">
        <f>VLOOKUP(Table3[[#This Row],[Vendor]],[1]Name.KSN!$C$2:$F$804,4,0)</f>
        <v>Farmer</v>
      </c>
      <c r="E6457" s="31" t="s">
        <v>258</v>
      </c>
      <c r="F6457" s="31" t="s">
        <v>49</v>
      </c>
      <c r="G6457" s="32" t="s">
        <v>50</v>
      </c>
      <c r="H6457" s="33">
        <v>253420</v>
      </c>
      <c r="I6457" s="34">
        <f>Table3[[#This Row],[Volume, kg.]]/1000</f>
        <v>253.42</v>
      </c>
      <c r="J6457" s="34">
        <v>0.2379</v>
      </c>
      <c r="K6457" s="34">
        <f t="shared" si="202"/>
        <v>60288.618000000002</v>
      </c>
      <c r="L6457" s="34">
        <v>2.1</v>
      </c>
      <c r="M6457" s="34">
        <v>531537</v>
      </c>
      <c r="N6457" s="34">
        <f t="shared" si="203"/>
        <v>8.827238335435057</v>
      </c>
    </row>
    <row r="6458" spans="1:14" x14ac:dyDescent="0.45">
      <c r="A6458" s="30">
        <v>2025</v>
      </c>
      <c r="B6458" s="30" t="s">
        <v>17</v>
      </c>
      <c r="C6458" s="30" t="s">
        <v>46</v>
      </c>
      <c r="D6458" s="39" t="str">
        <f>VLOOKUP(Table3[[#This Row],[Vendor]],[1]Name.KSN!$C$2:$F$804,4,0)</f>
        <v>Farmer</v>
      </c>
      <c r="E6458" s="31" t="s">
        <v>293</v>
      </c>
      <c r="F6458" s="31" t="s">
        <v>60</v>
      </c>
      <c r="G6458" s="32" t="s">
        <v>50</v>
      </c>
      <c r="H6458" s="33">
        <v>7350</v>
      </c>
      <c r="I6458" s="34">
        <f>Table3[[#This Row],[Volume, kg.]]/1000</f>
        <v>7.35</v>
      </c>
      <c r="J6458" s="34">
        <v>0.27550000000000002</v>
      </c>
      <c r="K6458" s="34">
        <f t="shared" si="202"/>
        <v>2024.9250000000002</v>
      </c>
      <c r="L6458" s="34">
        <v>2.35</v>
      </c>
      <c r="M6458" s="34">
        <v>17272.5</v>
      </c>
      <c r="N6458" s="34">
        <f t="shared" si="203"/>
        <v>8.5299455535390187</v>
      </c>
    </row>
    <row r="6459" spans="1:14" x14ac:dyDescent="0.45">
      <c r="A6459" s="30">
        <v>2025</v>
      </c>
      <c r="B6459" s="30" t="s">
        <v>17</v>
      </c>
      <c r="C6459" s="30" t="s">
        <v>46</v>
      </c>
      <c r="D6459" s="39" t="str">
        <f>VLOOKUP(Table3[[#This Row],[Vendor]],[1]Name.KSN!$C$2:$F$804,4,0)</f>
        <v>Farmer</v>
      </c>
      <c r="E6459" s="31" t="s">
        <v>242</v>
      </c>
      <c r="F6459" s="31" t="s">
        <v>60</v>
      </c>
      <c r="G6459" s="32" t="s">
        <v>50</v>
      </c>
      <c r="H6459" s="33">
        <v>16780</v>
      </c>
      <c r="I6459" s="34">
        <f>Table3[[#This Row],[Volume, kg.]]/1000</f>
        <v>16.78</v>
      </c>
      <c r="J6459" s="34">
        <v>0.26190000000000002</v>
      </c>
      <c r="K6459" s="34">
        <f t="shared" si="202"/>
        <v>4394.6820000000007</v>
      </c>
      <c r="L6459" s="34">
        <v>2.23</v>
      </c>
      <c r="M6459" s="34">
        <v>37457</v>
      </c>
      <c r="N6459" s="34">
        <f t="shared" si="203"/>
        <v>8.5147002672775862</v>
      </c>
    </row>
    <row r="6460" spans="1:14" x14ac:dyDescent="0.45">
      <c r="A6460" s="30">
        <v>2025</v>
      </c>
      <c r="B6460" s="30" t="s">
        <v>17</v>
      </c>
      <c r="C6460" s="30" t="s">
        <v>46</v>
      </c>
      <c r="D6460" s="39" t="str">
        <f>VLOOKUP(Table3[[#This Row],[Vendor]],[1]Name.KSN!$C$2:$F$804,4,0)</f>
        <v>Farmer</v>
      </c>
      <c r="E6460" s="31" t="s">
        <v>384</v>
      </c>
      <c r="F6460" s="31" t="s">
        <v>60</v>
      </c>
      <c r="G6460" s="32" t="s">
        <v>50</v>
      </c>
      <c r="H6460" s="33">
        <v>9550</v>
      </c>
      <c r="I6460" s="34">
        <f>Table3[[#This Row],[Volume, kg.]]/1000</f>
        <v>9.5500000000000007</v>
      </c>
      <c r="J6460" s="34">
        <v>0.26500000000000001</v>
      </c>
      <c r="K6460" s="34">
        <f t="shared" si="202"/>
        <v>2530.75</v>
      </c>
      <c r="L6460" s="34">
        <v>2.25</v>
      </c>
      <c r="M6460" s="34">
        <v>21487.5</v>
      </c>
      <c r="N6460" s="34">
        <f t="shared" si="203"/>
        <v>8.4905660377358494</v>
      </c>
    </row>
    <row r="6461" spans="1:14" x14ac:dyDescent="0.45">
      <c r="A6461" s="30">
        <v>2025</v>
      </c>
      <c r="B6461" s="30" t="s">
        <v>17</v>
      </c>
      <c r="C6461" s="30" t="s">
        <v>46</v>
      </c>
      <c r="D6461" s="39" t="str">
        <f>VLOOKUP(Table3[[#This Row],[Vendor]],[1]Name.KSN!$C$2:$F$804,4,0)</f>
        <v>Farmer</v>
      </c>
      <c r="E6461" s="31" t="s">
        <v>244</v>
      </c>
      <c r="F6461" s="31" t="s">
        <v>60</v>
      </c>
      <c r="G6461" s="32" t="s">
        <v>50</v>
      </c>
      <c r="H6461" s="33">
        <v>29040</v>
      </c>
      <c r="I6461" s="34">
        <f>Table3[[#This Row],[Volume, kg.]]/1000</f>
        <v>29.04</v>
      </c>
      <c r="J6461" s="34">
        <v>0.25309999999999999</v>
      </c>
      <c r="K6461" s="34">
        <f t="shared" si="202"/>
        <v>7350.0239999999994</v>
      </c>
      <c r="L6461" s="34">
        <v>2.17</v>
      </c>
      <c r="M6461" s="34">
        <v>63102.5</v>
      </c>
      <c r="N6461" s="34">
        <f t="shared" si="203"/>
        <v>8.5736862900039519</v>
      </c>
    </row>
    <row r="6462" spans="1:14" x14ac:dyDescent="0.45">
      <c r="A6462" s="30">
        <v>2025</v>
      </c>
      <c r="B6462" s="30" t="s">
        <v>17</v>
      </c>
      <c r="C6462" s="30" t="s">
        <v>46</v>
      </c>
      <c r="D6462" s="39" t="str">
        <f>VLOOKUP(Table3[[#This Row],[Vendor]],[1]Name.KSN!$C$2:$F$804,4,0)</f>
        <v>Farmer</v>
      </c>
      <c r="E6462" s="31" t="s">
        <v>198</v>
      </c>
      <c r="F6462" s="31" t="s">
        <v>49</v>
      </c>
      <c r="G6462" s="32" t="s">
        <v>50</v>
      </c>
      <c r="H6462" s="33">
        <v>25370</v>
      </c>
      <c r="I6462" s="34">
        <f>Table3[[#This Row],[Volume, kg.]]/1000</f>
        <v>25.37</v>
      </c>
      <c r="J6462" s="34">
        <v>0.26500000000000001</v>
      </c>
      <c r="K6462" s="34">
        <f t="shared" si="202"/>
        <v>6723.05</v>
      </c>
      <c r="L6462" s="34">
        <v>2.2400000000000002</v>
      </c>
      <c r="M6462" s="34">
        <v>56808</v>
      </c>
      <c r="N6462" s="34">
        <f t="shared" si="203"/>
        <v>8.4528301886792452</v>
      </c>
    </row>
    <row r="6463" spans="1:14" x14ac:dyDescent="0.45">
      <c r="A6463" s="30">
        <v>2025</v>
      </c>
      <c r="B6463" s="30" t="s">
        <v>17</v>
      </c>
      <c r="C6463" s="30" t="s">
        <v>46</v>
      </c>
      <c r="D6463" s="39" t="str">
        <f>VLOOKUP(Table3[[#This Row],[Vendor]],[1]Name.KSN!$C$2:$F$804,4,0)</f>
        <v>Farmer</v>
      </c>
      <c r="E6463" s="31" t="s">
        <v>164</v>
      </c>
      <c r="F6463" s="31" t="s">
        <v>49</v>
      </c>
      <c r="G6463" s="32" t="s">
        <v>50</v>
      </c>
      <c r="H6463" s="33">
        <v>9250</v>
      </c>
      <c r="I6463" s="34">
        <f>Table3[[#This Row],[Volume, kg.]]/1000</f>
        <v>9.25</v>
      </c>
      <c r="J6463" s="34">
        <v>0.26769999999999999</v>
      </c>
      <c r="K6463" s="34">
        <f t="shared" si="202"/>
        <v>2476.2249999999999</v>
      </c>
      <c r="L6463" s="34">
        <v>2.27</v>
      </c>
      <c r="M6463" s="34">
        <v>20988.5</v>
      </c>
      <c r="N6463" s="34">
        <f t="shared" si="203"/>
        <v>8.4796413896152405</v>
      </c>
    </row>
    <row r="6464" spans="1:14" x14ac:dyDescent="0.45">
      <c r="A6464" s="30">
        <v>2025</v>
      </c>
      <c r="B6464" s="30" t="s">
        <v>17</v>
      </c>
      <c r="C6464" s="30" t="s">
        <v>46</v>
      </c>
      <c r="D6464" s="39" t="str">
        <f>VLOOKUP(Table3[[#This Row],[Vendor]],[1]Name.KSN!$C$2:$F$804,4,0)</f>
        <v>Farmer</v>
      </c>
      <c r="E6464" s="31" t="s">
        <v>220</v>
      </c>
      <c r="F6464" s="31" t="s">
        <v>49</v>
      </c>
      <c r="G6464" s="32" t="s">
        <v>50</v>
      </c>
      <c r="H6464" s="33">
        <v>14260</v>
      </c>
      <c r="I6464" s="34">
        <f>Table3[[#This Row],[Volume, kg.]]/1000</f>
        <v>14.26</v>
      </c>
      <c r="J6464" s="34">
        <v>0.26500000000000001</v>
      </c>
      <c r="K6464" s="34">
        <f t="shared" si="202"/>
        <v>3778.9</v>
      </c>
      <c r="L6464" s="34">
        <v>2.2200000000000002</v>
      </c>
      <c r="M6464" s="34">
        <v>31625</v>
      </c>
      <c r="N6464" s="34">
        <f t="shared" si="203"/>
        <v>8.3773584905660385</v>
      </c>
    </row>
    <row r="6465" spans="1:14" x14ac:dyDescent="0.45">
      <c r="A6465" s="30">
        <v>2025</v>
      </c>
      <c r="B6465" s="30" t="s">
        <v>17</v>
      </c>
      <c r="C6465" s="30" t="s">
        <v>46</v>
      </c>
      <c r="D6465" s="39" t="str">
        <f>VLOOKUP(Table3[[#This Row],[Vendor]],[1]Name.KSN!$C$2:$F$804,4,0)</f>
        <v>Farmer</v>
      </c>
      <c r="E6465" s="31" t="s">
        <v>294</v>
      </c>
      <c r="F6465" s="31" t="s">
        <v>81</v>
      </c>
      <c r="G6465" s="32" t="s">
        <v>50</v>
      </c>
      <c r="H6465" s="33">
        <v>13340</v>
      </c>
      <c r="I6465" s="34">
        <f>Table3[[#This Row],[Volume, kg.]]/1000</f>
        <v>13.34</v>
      </c>
      <c r="J6465" s="34">
        <v>0.23960000000000001</v>
      </c>
      <c r="K6465" s="34">
        <f t="shared" si="202"/>
        <v>3196.2640000000001</v>
      </c>
      <c r="L6465" s="34">
        <v>2.11</v>
      </c>
      <c r="M6465" s="34">
        <v>28134</v>
      </c>
      <c r="N6465" s="34">
        <f t="shared" si="203"/>
        <v>8.8063439065108504</v>
      </c>
    </row>
    <row r="6466" spans="1:14" x14ac:dyDescent="0.45">
      <c r="A6466" s="30">
        <v>2025</v>
      </c>
      <c r="B6466" s="30" t="s">
        <v>17</v>
      </c>
      <c r="C6466" s="30" t="s">
        <v>46</v>
      </c>
      <c r="D6466" s="39" t="str">
        <f>VLOOKUP(Table3[[#This Row],[Vendor]],[1]Name.KSN!$C$2:$F$804,4,0)</f>
        <v>Farmer</v>
      </c>
      <c r="E6466" s="31" t="s">
        <v>358</v>
      </c>
      <c r="F6466" s="31" t="s">
        <v>60</v>
      </c>
      <c r="G6466" s="32" t="s">
        <v>50</v>
      </c>
      <c r="H6466" s="33">
        <v>9560</v>
      </c>
      <c r="I6466" s="34">
        <f>Table3[[#This Row],[Volume, kg.]]/1000</f>
        <v>9.56</v>
      </c>
      <c r="J6466" s="34">
        <v>0.25850000000000001</v>
      </c>
      <c r="K6466" s="34">
        <f t="shared" si="202"/>
        <v>2471.2600000000002</v>
      </c>
      <c r="L6466" s="34">
        <v>2.2000000000000002</v>
      </c>
      <c r="M6466" s="34">
        <v>21032</v>
      </c>
      <c r="N6466" s="34">
        <f t="shared" si="203"/>
        <v>8.5106382978723403</v>
      </c>
    </row>
    <row r="6467" spans="1:14" x14ac:dyDescent="0.45">
      <c r="A6467" s="30">
        <v>2025</v>
      </c>
      <c r="B6467" s="30" t="s">
        <v>17</v>
      </c>
      <c r="C6467" s="30" t="s">
        <v>46</v>
      </c>
      <c r="D6467" s="39" t="str">
        <f>VLOOKUP(Table3[[#This Row],[Vendor]],[1]Name.KSN!$C$2:$F$804,4,0)</f>
        <v>Farmer</v>
      </c>
      <c r="E6467" s="31" t="s">
        <v>260</v>
      </c>
      <c r="F6467" s="31" t="s">
        <v>49</v>
      </c>
      <c r="G6467" s="32" t="s">
        <v>50</v>
      </c>
      <c r="H6467" s="33">
        <v>18320</v>
      </c>
      <c r="I6467" s="34">
        <f>Table3[[#This Row],[Volume, kg.]]/1000</f>
        <v>18.32</v>
      </c>
      <c r="J6467" s="34">
        <v>0.23230000000000001</v>
      </c>
      <c r="K6467" s="34">
        <f t="shared" si="202"/>
        <v>4255.7359999999999</v>
      </c>
      <c r="L6467" s="34">
        <v>2.08</v>
      </c>
      <c r="M6467" s="34">
        <v>38052</v>
      </c>
      <c r="N6467" s="34">
        <f t="shared" si="203"/>
        <v>8.9539388721480844</v>
      </c>
    </row>
    <row r="6468" spans="1:14" x14ac:dyDescent="0.45">
      <c r="A6468" s="30">
        <v>2025</v>
      </c>
      <c r="B6468" s="30" t="s">
        <v>17</v>
      </c>
      <c r="C6468" s="30" t="s">
        <v>46</v>
      </c>
      <c r="D6468" s="39" t="str">
        <f>VLOOKUP(Table3[[#This Row],[Vendor]],[1]Name.KSN!$C$2:$F$804,4,0)</f>
        <v>Farmer</v>
      </c>
      <c r="E6468" s="31" t="s">
        <v>689</v>
      </c>
      <c r="F6468" s="31" t="s">
        <v>49</v>
      </c>
      <c r="G6468" s="32" t="s">
        <v>50</v>
      </c>
      <c r="H6468" s="33">
        <v>5810</v>
      </c>
      <c r="I6468" s="34">
        <f>Table3[[#This Row],[Volume, kg.]]/1000</f>
        <v>5.81</v>
      </c>
      <c r="J6468" s="34">
        <v>0.26649999999999996</v>
      </c>
      <c r="K6468" s="34">
        <f t="shared" si="202"/>
        <v>1548.3649999999998</v>
      </c>
      <c r="L6468" s="34">
        <v>2.2999999999999998</v>
      </c>
      <c r="M6468" s="34">
        <v>13363</v>
      </c>
      <c r="N6468" s="34">
        <f t="shared" si="203"/>
        <v>8.6303939962476548</v>
      </c>
    </row>
    <row r="6469" spans="1:14" x14ac:dyDescent="0.45">
      <c r="A6469" s="30">
        <v>2025</v>
      </c>
      <c r="B6469" s="30" t="s">
        <v>17</v>
      </c>
      <c r="C6469" s="30" t="s">
        <v>46</v>
      </c>
      <c r="D6469" s="39" t="str">
        <f>VLOOKUP(Table3[[#This Row],[Vendor]],[1]Name.KSN!$C$2:$F$804,4,0)</f>
        <v>Farmer</v>
      </c>
      <c r="E6469" s="31" t="s">
        <v>191</v>
      </c>
      <c r="F6469" s="31" t="s">
        <v>49</v>
      </c>
      <c r="G6469" s="32" t="s">
        <v>50</v>
      </c>
      <c r="H6469" s="33">
        <v>45680</v>
      </c>
      <c r="I6469" s="34">
        <f>Table3[[#This Row],[Volume, kg.]]/1000</f>
        <v>45.68</v>
      </c>
      <c r="J6469" s="34">
        <v>0.24249999999999999</v>
      </c>
      <c r="K6469" s="34">
        <f t="shared" si="202"/>
        <v>11077.4</v>
      </c>
      <c r="L6469" s="34">
        <v>2.11</v>
      </c>
      <c r="M6469" s="34">
        <v>96356</v>
      </c>
      <c r="N6469" s="34">
        <f t="shared" si="203"/>
        <v>8.7010309278350508</v>
      </c>
    </row>
    <row r="6470" spans="1:14" x14ac:dyDescent="0.45">
      <c r="A6470" s="30">
        <v>2025</v>
      </c>
      <c r="B6470" s="30" t="s">
        <v>17</v>
      </c>
      <c r="C6470" s="30" t="s">
        <v>46</v>
      </c>
      <c r="D6470" s="39" t="str">
        <f>VLOOKUP(Table3[[#This Row],[Vendor]],[1]Name.KSN!$C$2:$F$804,4,0)</f>
        <v>Farmer</v>
      </c>
      <c r="E6470" s="31" t="s">
        <v>291</v>
      </c>
      <c r="F6470" s="31" t="s">
        <v>57</v>
      </c>
      <c r="G6470" s="32" t="s">
        <v>50</v>
      </c>
      <c r="H6470" s="33">
        <v>20340</v>
      </c>
      <c r="I6470" s="34">
        <f>Table3[[#This Row],[Volume, kg.]]/1000</f>
        <v>20.34</v>
      </c>
      <c r="J6470" s="34">
        <v>0.17050000000000001</v>
      </c>
      <c r="K6470" s="34">
        <f t="shared" si="202"/>
        <v>3467.9700000000003</v>
      </c>
      <c r="L6470" s="34">
        <v>1.77</v>
      </c>
      <c r="M6470" s="34">
        <v>35979</v>
      </c>
      <c r="N6470" s="34">
        <f t="shared" si="203"/>
        <v>10.381231671554252</v>
      </c>
    </row>
    <row r="6471" spans="1:14" x14ac:dyDescent="0.45">
      <c r="A6471" s="30">
        <v>2025</v>
      </c>
      <c r="B6471" s="30" t="s">
        <v>17</v>
      </c>
      <c r="C6471" s="30" t="s">
        <v>46</v>
      </c>
      <c r="D6471" s="39" t="str">
        <f>VLOOKUP(Table3[[#This Row],[Vendor]],[1]Name.KSN!$C$2:$F$804,4,0)</f>
        <v>Farmer</v>
      </c>
      <c r="E6471" s="31" t="s">
        <v>352</v>
      </c>
      <c r="F6471" s="31" t="s">
        <v>54</v>
      </c>
      <c r="G6471" s="32" t="s">
        <v>50</v>
      </c>
      <c r="H6471" s="33">
        <v>19940</v>
      </c>
      <c r="I6471" s="34">
        <f>Table3[[#This Row],[Volume, kg.]]/1000</f>
        <v>19.940000000000001</v>
      </c>
      <c r="J6471" s="34">
        <v>0.25129999999999997</v>
      </c>
      <c r="K6471" s="34">
        <f t="shared" si="202"/>
        <v>5010.9219999999996</v>
      </c>
      <c r="L6471" s="34">
        <v>2.15</v>
      </c>
      <c r="M6471" s="34">
        <v>42916</v>
      </c>
      <c r="N6471" s="34">
        <f t="shared" si="203"/>
        <v>8.5555113410266621</v>
      </c>
    </row>
    <row r="6472" spans="1:14" x14ac:dyDescent="0.45">
      <c r="A6472" s="30">
        <v>2025</v>
      </c>
      <c r="B6472" s="30" t="s">
        <v>17</v>
      </c>
      <c r="C6472" s="30" t="s">
        <v>46</v>
      </c>
      <c r="D6472" s="39" t="str">
        <f>VLOOKUP(Table3[[#This Row],[Vendor]],[1]Name.KSN!$C$2:$F$804,4,0)</f>
        <v>Farmer</v>
      </c>
      <c r="E6472" s="31" t="s">
        <v>110</v>
      </c>
      <c r="F6472" s="31" t="s">
        <v>57</v>
      </c>
      <c r="G6472" s="32" t="s">
        <v>50</v>
      </c>
      <c r="H6472" s="33">
        <v>5730</v>
      </c>
      <c r="I6472" s="34">
        <f>Table3[[#This Row],[Volume, kg.]]/1000</f>
        <v>5.73</v>
      </c>
      <c r="J6472" s="34">
        <v>0.27300000000000002</v>
      </c>
      <c r="K6472" s="34">
        <f t="shared" ref="K6472:K6535" si="204">H6472*J6472</f>
        <v>1564.2900000000002</v>
      </c>
      <c r="L6472" s="34">
        <v>2.25</v>
      </c>
      <c r="M6472" s="34">
        <v>12892.5</v>
      </c>
      <c r="N6472" s="34">
        <f t="shared" ref="N6472:N6535" si="205">L6472/J6472</f>
        <v>8.2417582417582409</v>
      </c>
    </row>
    <row r="6473" spans="1:14" x14ac:dyDescent="0.45">
      <c r="A6473" s="30">
        <v>2025</v>
      </c>
      <c r="B6473" s="30" t="s">
        <v>17</v>
      </c>
      <c r="C6473" s="30" t="s">
        <v>46</v>
      </c>
      <c r="D6473" s="39" t="str">
        <f>VLOOKUP(Table3[[#This Row],[Vendor]],[1]Name.KSN!$C$2:$F$804,4,0)</f>
        <v>Farmer</v>
      </c>
      <c r="E6473" s="31" t="s">
        <v>142</v>
      </c>
      <c r="F6473" s="31" t="s">
        <v>57</v>
      </c>
      <c r="G6473" s="32" t="s">
        <v>50</v>
      </c>
      <c r="H6473" s="33">
        <v>57950</v>
      </c>
      <c r="I6473" s="34">
        <f>Table3[[#This Row],[Volume, kg.]]/1000</f>
        <v>57.95</v>
      </c>
      <c r="J6473" s="34">
        <v>0.26550000000000001</v>
      </c>
      <c r="K6473" s="34">
        <f t="shared" si="204"/>
        <v>15385.725</v>
      </c>
      <c r="L6473" s="34">
        <v>2.31</v>
      </c>
      <c r="M6473" s="34">
        <v>134067.5</v>
      </c>
      <c r="N6473" s="34">
        <f t="shared" si="205"/>
        <v>8.7005649717514117</v>
      </c>
    </row>
    <row r="6474" spans="1:14" x14ac:dyDescent="0.45">
      <c r="A6474" s="30">
        <v>2025</v>
      </c>
      <c r="B6474" s="30" t="s">
        <v>17</v>
      </c>
      <c r="C6474" s="30" t="s">
        <v>46</v>
      </c>
      <c r="D6474" s="39" t="str">
        <f>VLOOKUP(Table3[[#This Row],[Vendor]],[1]Name.KSN!$C$2:$F$804,4,0)</f>
        <v>Farmer</v>
      </c>
      <c r="E6474" s="31" t="s">
        <v>86</v>
      </c>
      <c r="F6474" s="31" t="s">
        <v>49</v>
      </c>
      <c r="G6474" s="32" t="s">
        <v>50</v>
      </c>
      <c r="H6474" s="33">
        <v>58210</v>
      </c>
      <c r="I6474" s="34">
        <f>Table3[[#This Row],[Volume, kg.]]/1000</f>
        <v>58.21</v>
      </c>
      <c r="J6474" s="34">
        <v>0.2389</v>
      </c>
      <c r="K6474" s="34">
        <f t="shared" si="204"/>
        <v>13906.369000000001</v>
      </c>
      <c r="L6474" s="34">
        <v>2.1</v>
      </c>
      <c r="M6474" s="34">
        <v>122161</v>
      </c>
      <c r="N6474" s="34">
        <f t="shared" si="205"/>
        <v>8.7902888237756382</v>
      </c>
    </row>
    <row r="6475" spans="1:14" x14ac:dyDescent="0.45">
      <c r="A6475" s="30">
        <v>2025</v>
      </c>
      <c r="B6475" s="30" t="s">
        <v>17</v>
      </c>
      <c r="C6475" s="30" t="s">
        <v>46</v>
      </c>
      <c r="D6475" s="39" t="str">
        <f>VLOOKUP(Table3[[#This Row],[Vendor]],[1]Name.KSN!$C$2:$F$804,4,0)</f>
        <v>Farmer</v>
      </c>
      <c r="E6475" s="31" t="s">
        <v>431</v>
      </c>
      <c r="F6475" s="31" t="s">
        <v>49</v>
      </c>
      <c r="G6475" s="32" t="s">
        <v>50</v>
      </c>
      <c r="H6475" s="33">
        <v>56540</v>
      </c>
      <c r="I6475" s="34">
        <f>Table3[[#This Row],[Volume, kg.]]/1000</f>
        <v>56.54</v>
      </c>
      <c r="J6475" s="34">
        <v>0.2369</v>
      </c>
      <c r="K6475" s="34">
        <f t="shared" si="204"/>
        <v>13394.325999999999</v>
      </c>
      <c r="L6475" s="34">
        <v>2.1</v>
      </c>
      <c r="M6475" s="34">
        <v>118657</v>
      </c>
      <c r="N6475" s="34">
        <f t="shared" si="205"/>
        <v>8.8644997889404813</v>
      </c>
    </row>
    <row r="6476" spans="1:14" x14ac:dyDescent="0.45">
      <c r="A6476" s="30">
        <v>2025</v>
      </c>
      <c r="B6476" s="30" t="s">
        <v>17</v>
      </c>
      <c r="C6476" s="30" t="s">
        <v>46</v>
      </c>
      <c r="D6476" s="39" t="str">
        <f>VLOOKUP(Table3[[#This Row],[Vendor]],[1]Name.KSN!$C$2:$F$804,4,0)</f>
        <v>Farmer</v>
      </c>
      <c r="E6476" s="31" t="s">
        <v>167</v>
      </c>
      <c r="F6476" s="31" t="s">
        <v>49</v>
      </c>
      <c r="G6476" s="32" t="s">
        <v>50</v>
      </c>
      <c r="H6476" s="33">
        <v>136810</v>
      </c>
      <c r="I6476" s="34">
        <f>Table3[[#This Row],[Volume, kg.]]/1000</f>
        <v>136.81</v>
      </c>
      <c r="J6476" s="34">
        <v>0.2455</v>
      </c>
      <c r="K6476" s="34">
        <f t="shared" si="204"/>
        <v>33586.854999999996</v>
      </c>
      <c r="L6476" s="34">
        <v>2.14</v>
      </c>
      <c r="M6476" s="34">
        <v>292404</v>
      </c>
      <c r="N6476" s="34">
        <f t="shared" si="205"/>
        <v>8.7169042769857441</v>
      </c>
    </row>
    <row r="6477" spans="1:14" x14ac:dyDescent="0.45">
      <c r="A6477" s="30">
        <v>2025</v>
      </c>
      <c r="B6477" s="30" t="s">
        <v>17</v>
      </c>
      <c r="C6477" s="30" t="s">
        <v>46</v>
      </c>
      <c r="D6477" s="39" t="str">
        <f>VLOOKUP(Table3[[#This Row],[Vendor]],[1]Name.KSN!$C$2:$F$804,4,0)</f>
        <v>Farmer</v>
      </c>
      <c r="E6477" s="31" t="s">
        <v>329</v>
      </c>
      <c r="F6477" s="31" t="s">
        <v>49</v>
      </c>
      <c r="G6477" s="32" t="s">
        <v>50</v>
      </c>
      <c r="H6477" s="33">
        <v>38330</v>
      </c>
      <c r="I6477" s="34">
        <f>Table3[[#This Row],[Volume, kg.]]/1000</f>
        <v>38.33</v>
      </c>
      <c r="J6477" s="34">
        <v>0.25609999999999999</v>
      </c>
      <c r="K6477" s="34">
        <f t="shared" si="204"/>
        <v>9816.3130000000001</v>
      </c>
      <c r="L6477" s="34">
        <v>2.17</v>
      </c>
      <c r="M6477" s="34">
        <v>83049</v>
      </c>
      <c r="N6477" s="34">
        <f t="shared" si="205"/>
        <v>8.4732526356891835</v>
      </c>
    </row>
    <row r="6478" spans="1:14" x14ac:dyDescent="0.45">
      <c r="A6478" s="30">
        <v>2025</v>
      </c>
      <c r="B6478" s="30" t="s">
        <v>17</v>
      </c>
      <c r="C6478" s="30" t="s">
        <v>46</v>
      </c>
      <c r="D6478" s="39" t="str">
        <f>VLOOKUP(Table3[[#This Row],[Vendor]],[1]Name.KSN!$C$2:$F$804,4,0)</f>
        <v>Farmer</v>
      </c>
      <c r="E6478" s="31" t="s">
        <v>190</v>
      </c>
      <c r="F6478" s="31" t="s">
        <v>81</v>
      </c>
      <c r="G6478" s="32" t="s">
        <v>50</v>
      </c>
      <c r="H6478" s="33">
        <v>18200</v>
      </c>
      <c r="I6478" s="34">
        <f>Table3[[#This Row],[Volume, kg.]]/1000</f>
        <v>18.2</v>
      </c>
      <c r="J6478" s="34">
        <v>0.2525</v>
      </c>
      <c r="K6478" s="34">
        <f t="shared" si="204"/>
        <v>4595.5</v>
      </c>
      <c r="L6478" s="34">
        <v>2.14</v>
      </c>
      <c r="M6478" s="34">
        <v>39002</v>
      </c>
      <c r="N6478" s="34">
        <f t="shared" si="205"/>
        <v>8.4752475247524757</v>
      </c>
    </row>
    <row r="6479" spans="1:14" x14ac:dyDescent="0.45">
      <c r="A6479" s="30">
        <v>2025</v>
      </c>
      <c r="B6479" s="30" t="s">
        <v>17</v>
      </c>
      <c r="C6479" s="30" t="s">
        <v>46</v>
      </c>
      <c r="D6479" s="39" t="str">
        <f>VLOOKUP(Table3[[#This Row],[Vendor]],[1]Name.KSN!$C$2:$F$804,4,0)</f>
        <v>Farmer</v>
      </c>
      <c r="E6479" s="31" t="s">
        <v>132</v>
      </c>
      <c r="F6479" s="31" t="s">
        <v>49</v>
      </c>
      <c r="G6479" s="32" t="s">
        <v>50</v>
      </c>
      <c r="H6479" s="33">
        <v>12780</v>
      </c>
      <c r="I6479" s="34">
        <f>Table3[[#This Row],[Volume, kg.]]/1000</f>
        <v>12.78</v>
      </c>
      <c r="J6479" s="34">
        <v>0.2278</v>
      </c>
      <c r="K6479" s="34">
        <f t="shared" si="204"/>
        <v>2911.2840000000001</v>
      </c>
      <c r="L6479" s="34">
        <v>2.0299999999999998</v>
      </c>
      <c r="M6479" s="34">
        <v>25882.5</v>
      </c>
      <c r="N6479" s="34">
        <f t="shared" si="205"/>
        <v>8.9113257243195783</v>
      </c>
    </row>
    <row r="6480" spans="1:14" x14ac:dyDescent="0.45">
      <c r="A6480" s="30">
        <v>2025</v>
      </c>
      <c r="B6480" s="30" t="s">
        <v>17</v>
      </c>
      <c r="C6480" s="30" t="s">
        <v>46</v>
      </c>
      <c r="D6480" s="39" t="str">
        <f>VLOOKUP(Table3[[#This Row],[Vendor]],[1]Name.KSN!$C$2:$F$804,4,0)</f>
        <v>Farmer</v>
      </c>
      <c r="E6480" s="31" t="s">
        <v>241</v>
      </c>
      <c r="F6480" s="31" t="s">
        <v>57</v>
      </c>
      <c r="G6480" s="32" t="s">
        <v>50</v>
      </c>
      <c r="H6480" s="33">
        <v>37570</v>
      </c>
      <c r="I6480" s="34">
        <f>Table3[[#This Row],[Volume, kg.]]/1000</f>
        <v>37.57</v>
      </c>
      <c r="J6480" s="34">
        <v>0.26500000000000001</v>
      </c>
      <c r="K6480" s="34">
        <f t="shared" si="204"/>
        <v>9956.0500000000011</v>
      </c>
      <c r="L6480" s="34">
        <v>2.2400000000000002</v>
      </c>
      <c r="M6480" s="34">
        <v>84302</v>
      </c>
      <c r="N6480" s="34">
        <f t="shared" si="205"/>
        <v>8.4528301886792452</v>
      </c>
    </row>
    <row r="6481" spans="1:14" x14ac:dyDescent="0.45">
      <c r="A6481" s="30">
        <v>2025</v>
      </c>
      <c r="B6481" s="30" t="s">
        <v>17</v>
      </c>
      <c r="C6481" s="30" t="s">
        <v>46</v>
      </c>
      <c r="D6481" s="39" t="str">
        <f>VLOOKUP(Table3[[#This Row],[Vendor]],[1]Name.KSN!$C$2:$F$804,4,0)</f>
        <v>Farmer</v>
      </c>
      <c r="E6481" s="31" t="s">
        <v>263</v>
      </c>
      <c r="F6481" s="31" t="s">
        <v>81</v>
      </c>
      <c r="G6481" s="32" t="s">
        <v>50</v>
      </c>
      <c r="H6481" s="33">
        <v>14560</v>
      </c>
      <c r="I6481" s="34">
        <f>Table3[[#This Row],[Volume, kg.]]/1000</f>
        <v>14.56</v>
      </c>
      <c r="J6481" s="34">
        <v>0.26899999999999996</v>
      </c>
      <c r="K6481" s="34">
        <f t="shared" si="204"/>
        <v>3916.6399999999994</v>
      </c>
      <c r="L6481" s="34">
        <v>2.25</v>
      </c>
      <c r="M6481" s="34">
        <v>32760</v>
      </c>
      <c r="N6481" s="34">
        <f t="shared" si="205"/>
        <v>8.3643122676579935</v>
      </c>
    </row>
    <row r="6482" spans="1:14" x14ac:dyDescent="0.45">
      <c r="A6482" s="30">
        <v>2025</v>
      </c>
      <c r="B6482" s="30" t="s">
        <v>17</v>
      </c>
      <c r="C6482" s="30" t="s">
        <v>46</v>
      </c>
      <c r="D6482" s="39" t="str">
        <f>VLOOKUP(Table3[[#This Row],[Vendor]],[1]Name.KSN!$C$2:$F$804,4,0)</f>
        <v>Farmer</v>
      </c>
      <c r="E6482" s="31" t="s">
        <v>333</v>
      </c>
      <c r="F6482" s="31" t="s">
        <v>57</v>
      </c>
      <c r="G6482" s="32" t="s">
        <v>50</v>
      </c>
      <c r="H6482" s="33">
        <v>44270</v>
      </c>
      <c r="I6482" s="34">
        <f>Table3[[#This Row],[Volume, kg.]]/1000</f>
        <v>44.27</v>
      </c>
      <c r="J6482" s="34">
        <v>0.2651</v>
      </c>
      <c r="K6482" s="34">
        <f t="shared" si="204"/>
        <v>11735.977000000001</v>
      </c>
      <c r="L6482" s="34">
        <v>2.23</v>
      </c>
      <c r="M6482" s="34">
        <v>98555.5</v>
      </c>
      <c r="N6482" s="34">
        <f t="shared" si="205"/>
        <v>8.4119200301772921</v>
      </c>
    </row>
    <row r="6483" spans="1:14" x14ac:dyDescent="0.45">
      <c r="A6483" s="30">
        <v>2025</v>
      </c>
      <c r="B6483" s="30" t="s">
        <v>17</v>
      </c>
      <c r="C6483" s="30" t="s">
        <v>46</v>
      </c>
      <c r="D6483" s="39" t="str">
        <f>VLOOKUP(Table3[[#This Row],[Vendor]],[1]Name.KSN!$C$2:$F$804,4,0)</f>
        <v>Farmer</v>
      </c>
      <c r="E6483" s="31" t="s">
        <v>308</v>
      </c>
      <c r="F6483" s="31" t="s">
        <v>81</v>
      </c>
      <c r="G6483" s="32" t="s">
        <v>50</v>
      </c>
      <c r="H6483" s="33">
        <v>12650</v>
      </c>
      <c r="I6483" s="34">
        <f>Table3[[#This Row],[Volume, kg.]]/1000</f>
        <v>12.65</v>
      </c>
      <c r="J6483" s="34">
        <v>0.21</v>
      </c>
      <c r="K6483" s="34">
        <f t="shared" si="204"/>
        <v>2656.5</v>
      </c>
      <c r="L6483" s="34">
        <v>1.95</v>
      </c>
      <c r="M6483" s="34">
        <v>24667.5</v>
      </c>
      <c r="N6483" s="34">
        <f t="shared" si="205"/>
        <v>9.2857142857142865</v>
      </c>
    </row>
    <row r="6484" spans="1:14" x14ac:dyDescent="0.45">
      <c r="A6484" s="30">
        <v>2025</v>
      </c>
      <c r="B6484" s="30" t="s">
        <v>17</v>
      </c>
      <c r="C6484" s="30" t="s">
        <v>46</v>
      </c>
      <c r="D6484" s="39" t="str">
        <f>VLOOKUP(Table3[[#This Row],[Vendor]],[1]Name.KSN!$C$2:$F$804,4,0)</f>
        <v>Farmer</v>
      </c>
      <c r="E6484" s="31" t="s">
        <v>236</v>
      </c>
      <c r="F6484" s="31" t="s">
        <v>49</v>
      </c>
      <c r="G6484" s="32" t="s">
        <v>50</v>
      </c>
      <c r="H6484" s="33">
        <v>23160</v>
      </c>
      <c r="I6484" s="34">
        <f>Table3[[#This Row],[Volume, kg.]]/1000</f>
        <v>23.16</v>
      </c>
      <c r="J6484" s="34">
        <v>0.23379999999999998</v>
      </c>
      <c r="K6484" s="34">
        <f t="shared" si="204"/>
        <v>5414.8079999999991</v>
      </c>
      <c r="L6484" s="34">
        <v>2.08</v>
      </c>
      <c r="M6484" s="34">
        <v>48076</v>
      </c>
      <c r="N6484" s="34">
        <f t="shared" si="205"/>
        <v>8.8964927288280595</v>
      </c>
    </row>
    <row r="6485" spans="1:14" x14ac:dyDescent="0.45">
      <c r="A6485" s="30">
        <v>2025</v>
      </c>
      <c r="B6485" s="30" t="s">
        <v>17</v>
      </c>
      <c r="C6485" s="30" t="s">
        <v>46</v>
      </c>
      <c r="D6485" s="39" t="str">
        <f>VLOOKUP(Table3[[#This Row],[Vendor]],[1]Name.KSN!$C$2:$F$804,4,0)</f>
        <v>Farmer</v>
      </c>
      <c r="E6485" s="31" t="s">
        <v>527</v>
      </c>
      <c r="F6485" s="31" t="s">
        <v>60</v>
      </c>
      <c r="G6485" s="32" t="s">
        <v>50</v>
      </c>
      <c r="H6485" s="33">
        <v>14380</v>
      </c>
      <c r="I6485" s="34">
        <f>Table3[[#This Row],[Volume, kg.]]/1000</f>
        <v>14.38</v>
      </c>
      <c r="J6485" s="34">
        <v>0.22899999999999998</v>
      </c>
      <c r="K6485" s="34">
        <f t="shared" si="204"/>
        <v>3293.0199999999995</v>
      </c>
      <c r="L6485" s="34">
        <v>2.0499999999999998</v>
      </c>
      <c r="M6485" s="34">
        <v>29479</v>
      </c>
      <c r="N6485" s="34">
        <f t="shared" si="205"/>
        <v>8.9519650655021827</v>
      </c>
    </row>
    <row r="6486" spans="1:14" x14ac:dyDescent="0.45">
      <c r="A6486" s="30">
        <v>2025</v>
      </c>
      <c r="B6486" s="30" t="s">
        <v>17</v>
      </c>
      <c r="C6486" s="30" t="s">
        <v>46</v>
      </c>
      <c r="D6486" s="39" t="str">
        <f>VLOOKUP(Table3[[#This Row],[Vendor]],[1]Name.KSN!$C$2:$F$804,4,0)</f>
        <v>Farmer</v>
      </c>
      <c r="E6486" s="31" t="s">
        <v>313</v>
      </c>
      <c r="F6486" s="31" t="s">
        <v>60</v>
      </c>
      <c r="G6486" s="32" t="s">
        <v>50</v>
      </c>
      <c r="H6486" s="33">
        <v>25580</v>
      </c>
      <c r="I6486" s="34">
        <f>Table3[[#This Row],[Volume, kg.]]/1000</f>
        <v>25.58</v>
      </c>
      <c r="J6486" s="34">
        <v>0.22739999999999999</v>
      </c>
      <c r="K6486" s="34">
        <f t="shared" si="204"/>
        <v>5816.8919999999998</v>
      </c>
      <c r="L6486" s="34">
        <v>2.04</v>
      </c>
      <c r="M6486" s="34">
        <v>52162</v>
      </c>
      <c r="N6486" s="34">
        <f t="shared" si="205"/>
        <v>8.9709762532981543</v>
      </c>
    </row>
    <row r="6487" spans="1:14" x14ac:dyDescent="0.45">
      <c r="A6487" s="30">
        <v>2025</v>
      </c>
      <c r="B6487" s="30" t="s">
        <v>17</v>
      </c>
      <c r="C6487" s="30" t="s">
        <v>46</v>
      </c>
      <c r="D6487" s="39" t="str">
        <f>VLOOKUP(Table3[[#This Row],[Vendor]],[1]Name.KSN!$C$2:$F$804,4,0)</f>
        <v>Farmer</v>
      </c>
      <c r="E6487" s="31" t="s">
        <v>288</v>
      </c>
      <c r="F6487" s="31" t="s">
        <v>49</v>
      </c>
      <c r="G6487" s="32" t="s">
        <v>50</v>
      </c>
      <c r="H6487" s="33">
        <v>99990</v>
      </c>
      <c r="I6487" s="34">
        <f>Table3[[#This Row],[Volume, kg.]]/1000</f>
        <v>99.99</v>
      </c>
      <c r="J6487" s="34">
        <v>0.2445</v>
      </c>
      <c r="K6487" s="34">
        <f t="shared" si="204"/>
        <v>24447.555</v>
      </c>
      <c r="L6487" s="34">
        <v>2.12</v>
      </c>
      <c r="M6487" s="34">
        <v>211619</v>
      </c>
      <c r="N6487" s="34">
        <f t="shared" si="205"/>
        <v>8.6707566462167698</v>
      </c>
    </row>
    <row r="6488" spans="1:14" x14ac:dyDescent="0.45">
      <c r="A6488" s="30">
        <v>2025</v>
      </c>
      <c r="B6488" s="30" t="s">
        <v>17</v>
      </c>
      <c r="C6488" s="30" t="s">
        <v>46</v>
      </c>
      <c r="D6488" s="39" t="str">
        <f>VLOOKUP(Table3[[#This Row],[Vendor]],[1]Name.KSN!$C$2:$F$804,4,0)</f>
        <v>Farmer</v>
      </c>
      <c r="E6488" s="31" t="s">
        <v>70</v>
      </c>
      <c r="F6488" s="31" t="s">
        <v>49</v>
      </c>
      <c r="G6488" s="32" t="s">
        <v>50</v>
      </c>
      <c r="H6488" s="33">
        <v>261660</v>
      </c>
      <c r="I6488" s="34">
        <f>Table3[[#This Row],[Volume, kg.]]/1000</f>
        <v>261.66000000000003</v>
      </c>
      <c r="J6488" s="34">
        <v>0.24719999999999998</v>
      </c>
      <c r="K6488" s="34">
        <f t="shared" si="204"/>
        <v>64682.351999999992</v>
      </c>
      <c r="L6488" s="34">
        <v>2.15</v>
      </c>
      <c r="M6488" s="34">
        <v>561649.5</v>
      </c>
      <c r="N6488" s="34">
        <f t="shared" si="205"/>
        <v>8.6974110032362457</v>
      </c>
    </row>
    <row r="6489" spans="1:14" x14ac:dyDescent="0.45">
      <c r="A6489" s="30">
        <v>2025</v>
      </c>
      <c r="B6489" s="30" t="s">
        <v>17</v>
      </c>
      <c r="C6489" s="30" t="s">
        <v>46</v>
      </c>
      <c r="D6489" s="39" t="str">
        <f>VLOOKUP(Table3[[#This Row],[Vendor]],[1]Name.KSN!$C$2:$F$804,4,0)</f>
        <v>Farmer</v>
      </c>
      <c r="E6489" s="31" t="s">
        <v>265</v>
      </c>
      <c r="F6489" s="31" t="s">
        <v>49</v>
      </c>
      <c r="G6489" s="32" t="s">
        <v>50</v>
      </c>
      <c r="H6489" s="33">
        <v>49010</v>
      </c>
      <c r="I6489" s="34">
        <f>Table3[[#This Row],[Volume, kg.]]/1000</f>
        <v>49.01</v>
      </c>
      <c r="J6489" s="34">
        <v>0.22940000000000002</v>
      </c>
      <c r="K6489" s="34">
        <f t="shared" si="204"/>
        <v>11242.894</v>
      </c>
      <c r="L6489" s="34">
        <v>2.0499999999999998</v>
      </c>
      <c r="M6489" s="34">
        <v>100340.5</v>
      </c>
      <c r="N6489" s="34">
        <f t="shared" si="205"/>
        <v>8.9363557105492575</v>
      </c>
    </row>
    <row r="6490" spans="1:14" x14ac:dyDescent="0.45">
      <c r="A6490" s="30">
        <v>2025</v>
      </c>
      <c r="B6490" s="30" t="s">
        <v>17</v>
      </c>
      <c r="C6490" s="30" t="s">
        <v>46</v>
      </c>
      <c r="D6490" s="39" t="str">
        <f>VLOOKUP(Table3[[#This Row],[Vendor]],[1]Name.KSN!$C$2:$F$804,4,0)</f>
        <v>Farmer</v>
      </c>
      <c r="E6490" s="31" t="s">
        <v>467</v>
      </c>
      <c r="F6490" s="31" t="s">
        <v>57</v>
      </c>
      <c r="G6490" s="32" t="s">
        <v>50</v>
      </c>
      <c r="H6490" s="33">
        <v>15550</v>
      </c>
      <c r="I6490" s="34">
        <f>Table3[[#This Row],[Volume, kg.]]/1000</f>
        <v>15.55</v>
      </c>
      <c r="J6490" s="34">
        <v>0.27440000000000003</v>
      </c>
      <c r="K6490" s="34">
        <f t="shared" si="204"/>
        <v>4266.92</v>
      </c>
      <c r="L6490" s="34">
        <v>2.31</v>
      </c>
      <c r="M6490" s="34">
        <v>35886.5</v>
      </c>
      <c r="N6490" s="34">
        <f t="shared" si="205"/>
        <v>8.4183673469387745</v>
      </c>
    </row>
    <row r="6491" spans="1:14" x14ac:dyDescent="0.45">
      <c r="A6491" s="30">
        <v>2025</v>
      </c>
      <c r="B6491" s="30" t="s">
        <v>17</v>
      </c>
      <c r="C6491" s="30" t="s">
        <v>46</v>
      </c>
      <c r="D6491" s="39" t="str">
        <f>VLOOKUP(Table3[[#This Row],[Vendor]],[1]Name.KSN!$C$2:$F$804,4,0)</f>
        <v>Farmer</v>
      </c>
      <c r="E6491" s="31" t="s">
        <v>277</v>
      </c>
      <c r="F6491" s="31" t="s">
        <v>60</v>
      </c>
      <c r="G6491" s="32" t="s">
        <v>50</v>
      </c>
      <c r="H6491" s="33">
        <v>48680</v>
      </c>
      <c r="I6491" s="34">
        <f>Table3[[#This Row],[Volume, kg.]]/1000</f>
        <v>48.68</v>
      </c>
      <c r="J6491" s="34">
        <v>0.2243</v>
      </c>
      <c r="K6491" s="34">
        <f t="shared" si="204"/>
        <v>10918.923999999999</v>
      </c>
      <c r="L6491" s="34">
        <v>2.02</v>
      </c>
      <c r="M6491" s="34">
        <v>98567</v>
      </c>
      <c r="N6491" s="34">
        <f t="shared" si="205"/>
        <v>9.0057958091841286</v>
      </c>
    </row>
    <row r="6492" spans="1:14" x14ac:dyDescent="0.45">
      <c r="A6492" s="30">
        <v>2025</v>
      </c>
      <c r="B6492" s="30" t="s">
        <v>17</v>
      </c>
      <c r="C6492" s="30" t="s">
        <v>46</v>
      </c>
      <c r="D6492" s="39" t="str">
        <f>VLOOKUP(Table3[[#This Row],[Vendor]],[1]Name.KSN!$C$2:$F$804,4,0)</f>
        <v>Farmer</v>
      </c>
      <c r="E6492" s="31" t="s">
        <v>324</v>
      </c>
      <c r="F6492" s="31" t="s">
        <v>81</v>
      </c>
      <c r="G6492" s="32" t="s">
        <v>50</v>
      </c>
      <c r="H6492" s="33">
        <v>18530</v>
      </c>
      <c r="I6492" s="34">
        <f>Table3[[#This Row],[Volume, kg.]]/1000</f>
        <v>18.53</v>
      </c>
      <c r="J6492" s="34">
        <v>0.22620000000000001</v>
      </c>
      <c r="K6492" s="34">
        <f t="shared" si="204"/>
        <v>4191.4859999999999</v>
      </c>
      <c r="L6492" s="34">
        <v>2.06</v>
      </c>
      <c r="M6492" s="34">
        <v>38089.5</v>
      </c>
      <c r="N6492" s="34">
        <f t="shared" si="205"/>
        <v>9.1069849690539346</v>
      </c>
    </row>
    <row r="6493" spans="1:14" x14ac:dyDescent="0.45">
      <c r="A6493" s="30">
        <v>2025</v>
      </c>
      <c r="B6493" s="30" t="s">
        <v>17</v>
      </c>
      <c r="C6493" s="30" t="s">
        <v>46</v>
      </c>
      <c r="D6493" s="39" t="str">
        <f>VLOOKUP(Table3[[#This Row],[Vendor]],[1]Name.KSN!$C$2:$F$804,4,0)</f>
        <v>Farmer</v>
      </c>
      <c r="E6493" s="31" t="s">
        <v>74</v>
      </c>
      <c r="F6493" s="31" t="s">
        <v>49</v>
      </c>
      <c r="G6493" s="32" t="s">
        <v>50</v>
      </c>
      <c r="H6493" s="33">
        <v>33690</v>
      </c>
      <c r="I6493" s="34">
        <f>Table3[[#This Row],[Volume, kg.]]/1000</f>
        <v>33.69</v>
      </c>
      <c r="J6493" s="34">
        <v>0.23519999999999999</v>
      </c>
      <c r="K6493" s="34">
        <f t="shared" si="204"/>
        <v>7923.8879999999999</v>
      </c>
      <c r="L6493" s="34">
        <v>2.08</v>
      </c>
      <c r="M6493" s="34">
        <v>70166.5</v>
      </c>
      <c r="N6493" s="34">
        <f t="shared" si="205"/>
        <v>8.8435374149659864</v>
      </c>
    </row>
    <row r="6494" spans="1:14" x14ac:dyDescent="0.45">
      <c r="A6494" s="30">
        <v>2025</v>
      </c>
      <c r="B6494" s="30" t="s">
        <v>17</v>
      </c>
      <c r="C6494" s="30" t="s">
        <v>46</v>
      </c>
      <c r="D6494" s="39" t="str">
        <f>VLOOKUP(Table3[[#This Row],[Vendor]],[1]Name.KSN!$C$2:$F$804,4,0)</f>
        <v>Farmer</v>
      </c>
      <c r="E6494" s="31" t="s">
        <v>144</v>
      </c>
      <c r="F6494" s="31" t="s">
        <v>49</v>
      </c>
      <c r="G6494" s="32" t="s">
        <v>50</v>
      </c>
      <c r="H6494" s="33">
        <v>115790</v>
      </c>
      <c r="I6494" s="34">
        <f>Table3[[#This Row],[Volume, kg.]]/1000</f>
        <v>115.79</v>
      </c>
      <c r="J6494" s="34">
        <v>0.23800000000000002</v>
      </c>
      <c r="K6494" s="34">
        <f t="shared" si="204"/>
        <v>27558.02</v>
      </c>
      <c r="L6494" s="34">
        <v>2.1</v>
      </c>
      <c r="M6494" s="34">
        <v>242861.5</v>
      </c>
      <c r="N6494" s="34">
        <f t="shared" si="205"/>
        <v>8.8235294117647065</v>
      </c>
    </row>
    <row r="6495" spans="1:14" x14ac:dyDescent="0.45">
      <c r="A6495" s="30">
        <v>2025</v>
      </c>
      <c r="B6495" s="30" t="s">
        <v>17</v>
      </c>
      <c r="C6495" s="30" t="s">
        <v>46</v>
      </c>
      <c r="D6495" s="39" t="str">
        <f>VLOOKUP(Table3[[#This Row],[Vendor]],[1]Name.KSN!$C$2:$F$804,4,0)</f>
        <v>Farmer</v>
      </c>
      <c r="E6495" s="31" t="s">
        <v>283</v>
      </c>
      <c r="F6495" s="31" t="s">
        <v>49</v>
      </c>
      <c r="G6495" s="32" t="s">
        <v>50</v>
      </c>
      <c r="H6495" s="33">
        <v>31570</v>
      </c>
      <c r="I6495" s="34">
        <f>Table3[[#This Row],[Volume, kg.]]/1000</f>
        <v>31.57</v>
      </c>
      <c r="J6495" s="34">
        <v>0.22789999999999999</v>
      </c>
      <c r="K6495" s="34">
        <f t="shared" si="204"/>
        <v>7194.8029999999999</v>
      </c>
      <c r="L6495" s="34">
        <v>2.0499999999999998</v>
      </c>
      <c r="M6495" s="34">
        <v>64695</v>
      </c>
      <c r="N6495" s="34">
        <f t="shared" si="205"/>
        <v>8.9951733216322936</v>
      </c>
    </row>
    <row r="6496" spans="1:14" x14ac:dyDescent="0.45">
      <c r="A6496" s="30">
        <v>2025</v>
      </c>
      <c r="B6496" s="30" t="s">
        <v>17</v>
      </c>
      <c r="C6496" s="30" t="s">
        <v>46</v>
      </c>
      <c r="D6496" s="39" t="str">
        <f>VLOOKUP(Table3[[#This Row],[Vendor]],[1]Name.KSN!$C$2:$F$804,4,0)</f>
        <v>Farmer</v>
      </c>
      <c r="E6496" s="31" t="s">
        <v>268</v>
      </c>
      <c r="F6496" s="31" t="s">
        <v>57</v>
      </c>
      <c r="G6496" s="32" t="s">
        <v>50</v>
      </c>
      <c r="H6496" s="33">
        <v>15830</v>
      </c>
      <c r="I6496" s="34">
        <f>Table3[[#This Row],[Volume, kg.]]/1000</f>
        <v>15.83</v>
      </c>
      <c r="J6496" s="34">
        <v>0.252</v>
      </c>
      <c r="K6496" s="34">
        <f t="shared" si="204"/>
        <v>3989.16</v>
      </c>
      <c r="L6496" s="34">
        <v>2.2000000000000002</v>
      </c>
      <c r="M6496" s="34">
        <v>34826</v>
      </c>
      <c r="N6496" s="34">
        <f t="shared" si="205"/>
        <v>8.7301587301587311</v>
      </c>
    </row>
    <row r="6497" spans="1:14" x14ac:dyDescent="0.45">
      <c r="A6497" s="30">
        <v>2025</v>
      </c>
      <c r="B6497" s="30" t="s">
        <v>17</v>
      </c>
      <c r="C6497" s="30" t="s">
        <v>46</v>
      </c>
      <c r="D6497" s="39" t="str">
        <f>VLOOKUP(Table3[[#This Row],[Vendor]],[1]Name.KSN!$C$2:$F$804,4,0)</f>
        <v>Farmer</v>
      </c>
      <c r="E6497" s="31" t="s">
        <v>147</v>
      </c>
      <c r="F6497" s="31" t="s">
        <v>57</v>
      </c>
      <c r="G6497" s="32" t="s">
        <v>50</v>
      </c>
      <c r="H6497" s="33">
        <v>30720</v>
      </c>
      <c r="I6497" s="34">
        <f>Table3[[#This Row],[Volume, kg.]]/1000</f>
        <v>30.72</v>
      </c>
      <c r="J6497" s="34">
        <v>0.28059999999999996</v>
      </c>
      <c r="K6497" s="34">
        <f t="shared" si="204"/>
        <v>8620.0319999999992</v>
      </c>
      <c r="L6497" s="34">
        <v>2.31</v>
      </c>
      <c r="M6497" s="34">
        <v>70968.5</v>
      </c>
      <c r="N6497" s="34">
        <f t="shared" si="205"/>
        <v>8.2323592302209558</v>
      </c>
    </row>
    <row r="6498" spans="1:14" x14ac:dyDescent="0.45">
      <c r="A6498" s="30">
        <v>2025</v>
      </c>
      <c r="B6498" s="30" t="s">
        <v>17</v>
      </c>
      <c r="C6498" s="30" t="s">
        <v>46</v>
      </c>
      <c r="D6498" s="39" t="str">
        <f>VLOOKUP(Table3[[#This Row],[Vendor]],[1]Name.KSN!$C$2:$F$804,4,0)</f>
        <v>Farmer</v>
      </c>
      <c r="E6498" s="31" t="s">
        <v>210</v>
      </c>
      <c r="F6498" s="31" t="s">
        <v>60</v>
      </c>
      <c r="G6498" s="32" t="s">
        <v>50</v>
      </c>
      <c r="H6498" s="33">
        <v>57610</v>
      </c>
      <c r="I6498" s="34">
        <f>Table3[[#This Row],[Volume, kg.]]/1000</f>
        <v>57.61</v>
      </c>
      <c r="J6498" s="34">
        <v>0.2777</v>
      </c>
      <c r="K6498" s="34">
        <f t="shared" si="204"/>
        <v>15998.297</v>
      </c>
      <c r="L6498" s="34">
        <v>2.33</v>
      </c>
      <c r="M6498" s="34">
        <v>134074</v>
      </c>
      <c r="N6498" s="34">
        <f t="shared" si="205"/>
        <v>8.390349297803386</v>
      </c>
    </row>
    <row r="6499" spans="1:14" x14ac:dyDescent="0.45">
      <c r="A6499" s="30">
        <v>2025</v>
      </c>
      <c r="B6499" s="30" t="s">
        <v>17</v>
      </c>
      <c r="C6499" s="30" t="s">
        <v>46</v>
      </c>
      <c r="D6499" s="39" t="str">
        <f>VLOOKUP(Table3[[#This Row],[Vendor]],[1]Name.KSN!$C$2:$F$804,4,0)</f>
        <v>Farmer</v>
      </c>
      <c r="E6499" s="31" t="s">
        <v>253</v>
      </c>
      <c r="F6499" s="31" t="s">
        <v>57</v>
      </c>
      <c r="G6499" s="32" t="s">
        <v>50</v>
      </c>
      <c r="H6499" s="33">
        <v>9520</v>
      </c>
      <c r="I6499" s="34">
        <f>Table3[[#This Row],[Volume, kg.]]/1000</f>
        <v>9.52</v>
      </c>
      <c r="J6499" s="34">
        <v>0.28100000000000003</v>
      </c>
      <c r="K6499" s="34">
        <f t="shared" si="204"/>
        <v>2675.1200000000003</v>
      </c>
      <c r="L6499" s="34">
        <v>2.2999999999999998</v>
      </c>
      <c r="M6499" s="34">
        <v>21896</v>
      </c>
      <c r="N6499" s="34">
        <f t="shared" si="205"/>
        <v>8.1850533807829162</v>
      </c>
    </row>
    <row r="6500" spans="1:14" x14ac:dyDescent="0.45">
      <c r="A6500" s="30">
        <v>2025</v>
      </c>
      <c r="B6500" s="30" t="s">
        <v>17</v>
      </c>
      <c r="C6500" s="30" t="s">
        <v>46</v>
      </c>
      <c r="D6500" s="39" t="str">
        <f>VLOOKUP(Table3[[#This Row],[Vendor]],[1]Name.KSN!$C$2:$F$804,4,0)</f>
        <v>Farmer</v>
      </c>
      <c r="E6500" s="31" t="s">
        <v>667</v>
      </c>
      <c r="F6500" s="31" t="s">
        <v>60</v>
      </c>
      <c r="G6500" s="32" t="s">
        <v>50</v>
      </c>
      <c r="H6500" s="33">
        <v>64060</v>
      </c>
      <c r="I6500" s="34">
        <f>Table3[[#This Row],[Volume, kg.]]/1000</f>
        <v>64.06</v>
      </c>
      <c r="J6500" s="34">
        <v>0.2586</v>
      </c>
      <c r="K6500" s="34">
        <f t="shared" si="204"/>
        <v>16565.916000000001</v>
      </c>
      <c r="L6500" s="34">
        <v>2.1800000000000002</v>
      </c>
      <c r="M6500" s="34">
        <v>139790.5</v>
      </c>
      <c r="N6500" s="34">
        <f t="shared" si="205"/>
        <v>8.4300077339520509</v>
      </c>
    </row>
    <row r="6501" spans="1:14" x14ac:dyDescent="0.45">
      <c r="A6501" s="30">
        <v>2025</v>
      </c>
      <c r="B6501" s="30" t="s">
        <v>17</v>
      </c>
      <c r="C6501" s="30" t="s">
        <v>46</v>
      </c>
      <c r="D6501" s="39" t="str">
        <f>VLOOKUP(Table3[[#This Row],[Vendor]],[1]Name.KSN!$C$2:$F$804,4,0)</f>
        <v>Farmer</v>
      </c>
      <c r="E6501" s="31" t="s">
        <v>171</v>
      </c>
      <c r="F6501" s="31" t="s">
        <v>49</v>
      </c>
      <c r="G6501" s="32" t="s">
        <v>50</v>
      </c>
      <c r="H6501" s="33">
        <v>2720</v>
      </c>
      <c r="I6501" s="34">
        <f>Table3[[#This Row],[Volume, kg.]]/1000</f>
        <v>2.72</v>
      </c>
      <c r="J6501" s="34">
        <v>0.2155</v>
      </c>
      <c r="K6501" s="34">
        <f t="shared" si="204"/>
        <v>586.16</v>
      </c>
      <c r="L6501" s="34">
        <v>2</v>
      </c>
      <c r="M6501" s="34">
        <v>5440</v>
      </c>
      <c r="N6501" s="34">
        <f t="shared" si="205"/>
        <v>9.2807424593967518</v>
      </c>
    </row>
    <row r="6502" spans="1:14" x14ac:dyDescent="0.45">
      <c r="A6502" s="30">
        <v>2025</v>
      </c>
      <c r="B6502" s="30" t="s">
        <v>17</v>
      </c>
      <c r="C6502" s="30" t="s">
        <v>46</v>
      </c>
      <c r="D6502" s="39" t="str">
        <f>VLOOKUP(Table3[[#This Row],[Vendor]],[1]Name.KSN!$C$2:$F$804,4,0)</f>
        <v>Farmer</v>
      </c>
      <c r="E6502" s="31" t="s">
        <v>233</v>
      </c>
      <c r="F6502" s="31" t="s">
        <v>57</v>
      </c>
      <c r="G6502" s="32" t="s">
        <v>50</v>
      </c>
      <c r="H6502" s="33">
        <v>10110</v>
      </c>
      <c r="I6502" s="34">
        <f>Table3[[#This Row],[Volume, kg.]]/1000</f>
        <v>10.11</v>
      </c>
      <c r="J6502" s="34">
        <v>0.27550000000000002</v>
      </c>
      <c r="K6502" s="34">
        <f t="shared" si="204"/>
        <v>2785.3050000000003</v>
      </c>
      <c r="L6502" s="34">
        <v>2.34</v>
      </c>
      <c r="M6502" s="34">
        <v>23664.5</v>
      </c>
      <c r="N6502" s="34">
        <f t="shared" si="205"/>
        <v>8.4936479128856615</v>
      </c>
    </row>
    <row r="6503" spans="1:14" x14ac:dyDescent="0.45">
      <c r="A6503" s="30">
        <v>2025</v>
      </c>
      <c r="B6503" s="30" t="s">
        <v>17</v>
      </c>
      <c r="C6503" s="30" t="s">
        <v>46</v>
      </c>
      <c r="D6503" s="39" t="str">
        <f>VLOOKUP(Table3[[#This Row],[Vendor]],[1]Name.KSN!$C$2:$F$804,4,0)</f>
        <v>Farmer</v>
      </c>
      <c r="E6503" s="31" t="s">
        <v>745</v>
      </c>
      <c r="F6503" s="31" t="s">
        <v>57</v>
      </c>
      <c r="G6503" s="32" t="s">
        <v>50</v>
      </c>
      <c r="H6503" s="33">
        <v>13590</v>
      </c>
      <c r="I6503" s="34">
        <f>Table3[[#This Row],[Volume, kg.]]/1000</f>
        <v>13.59</v>
      </c>
      <c r="J6503" s="34">
        <v>0.24859999999999999</v>
      </c>
      <c r="K6503" s="34">
        <f t="shared" si="204"/>
        <v>3378.4739999999997</v>
      </c>
      <c r="L6503" s="34">
        <v>2.15</v>
      </c>
      <c r="M6503" s="34">
        <v>29218.5</v>
      </c>
      <c r="N6503" s="34">
        <f t="shared" si="205"/>
        <v>8.6484312148028959</v>
      </c>
    </row>
    <row r="6504" spans="1:14" x14ac:dyDescent="0.45">
      <c r="A6504" s="30">
        <v>2025</v>
      </c>
      <c r="B6504" s="30" t="s">
        <v>17</v>
      </c>
      <c r="C6504" s="30" t="s">
        <v>46</v>
      </c>
      <c r="D6504" s="39" t="str">
        <f>VLOOKUP(Table3[[#This Row],[Vendor]],[1]Name.KSN!$C$2:$F$804,4,0)</f>
        <v>Farmer</v>
      </c>
      <c r="E6504" s="31" t="s">
        <v>503</v>
      </c>
      <c r="F6504" s="31" t="s">
        <v>49</v>
      </c>
      <c r="G6504" s="32" t="s">
        <v>50</v>
      </c>
      <c r="H6504" s="33">
        <v>19060</v>
      </c>
      <c r="I6504" s="34">
        <f>Table3[[#This Row],[Volume, kg.]]/1000</f>
        <v>19.059999999999999</v>
      </c>
      <c r="J6504" s="34">
        <v>0.26550000000000001</v>
      </c>
      <c r="K6504" s="34">
        <f t="shared" si="204"/>
        <v>5060.43</v>
      </c>
      <c r="L6504" s="34">
        <v>2.2200000000000002</v>
      </c>
      <c r="M6504" s="34">
        <v>42261</v>
      </c>
      <c r="N6504" s="34">
        <f t="shared" si="205"/>
        <v>8.361581920903955</v>
      </c>
    </row>
    <row r="6505" spans="1:14" x14ac:dyDescent="0.45">
      <c r="A6505" s="30">
        <v>2025</v>
      </c>
      <c r="B6505" s="30" t="s">
        <v>17</v>
      </c>
      <c r="C6505" s="30" t="s">
        <v>46</v>
      </c>
      <c r="D6505" s="39" t="str">
        <f>VLOOKUP(Table3[[#This Row],[Vendor]],[1]Name.KSN!$C$2:$F$804,4,0)</f>
        <v>Farmer</v>
      </c>
      <c r="E6505" s="31" t="s">
        <v>56</v>
      </c>
      <c r="F6505" s="31" t="s">
        <v>57</v>
      </c>
      <c r="G6505" s="32" t="s">
        <v>50</v>
      </c>
      <c r="H6505" s="33">
        <v>15560</v>
      </c>
      <c r="I6505" s="34">
        <f>Table3[[#This Row],[Volume, kg.]]/1000</f>
        <v>15.56</v>
      </c>
      <c r="J6505" s="34">
        <v>0.2475</v>
      </c>
      <c r="K6505" s="34">
        <f t="shared" si="204"/>
        <v>3851.1</v>
      </c>
      <c r="L6505" s="34">
        <v>2.1800000000000002</v>
      </c>
      <c r="M6505" s="34">
        <v>33887</v>
      </c>
      <c r="N6505" s="34">
        <f t="shared" si="205"/>
        <v>8.808080808080808</v>
      </c>
    </row>
    <row r="6506" spans="1:14" x14ac:dyDescent="0.45">
      <c r="A6506" s="30">
        <v>2025</v>
      </c>
      <c r="B6506" s="30" t="s">
        <v>17</v>
      </c>
      <c r="C6506" s="30" t="s">
        <v>46</v>
      </c>
      <c r="D6506" s="39" t="str">
        <f>VLOOKUP(Table3[[#This Row],[Vendor]],[1]Name.KSN!$C$2:$F$804,4,0)</f>
        <v>Farmer</v>
      </c>
      <c r="E6506" s="31" t="s">
        <v>90</v>
      </c>
      <c r="F6506" s="31" t="s">
        <v>49</v>
      </c>
      <c r="G6506" s="32" t="s">
        <v>50</v>
      </c>
      <c r="H6506" s="33">
        <v>83700</v>
      </c>
      <c r="I6506" s="34">
        <f>Table3[[#This Row],[Volume, kg.]]/1000</f>
        <v>83.7</v>
      </c>
      <c r="J6506" s="34">
        <v>0.24379999999999999</v>
      </c>
      <c r="K6506" s="34">
        <f t="shared" si="204"/>
        <v>20406.059999999998</v>
      </c>
      <c r="L6506" s="34">
        <v>2.13</v>
      </c>
      <c r="M6506" s="34">
        <v>178189.5</v>
      </c>
      <c r="N6506" s="34">
        <f t="shared" si="205"/>
        <v>8.7366694011484825</v>
      </c>
    </row>
    <row r="6507" spans="1:14" x14ac:dyDescent="0.45">
      <c r="A6507" s="30">
        <v>2025</v>
      </c>
      <c r="B6507" s="30" t="s">
        <v>17</v>
      </c>
      <c r="C6507" s="30" t="s">
        <v>46</v>
      </c>
      <c r="D6507" s="39" t="str">
        <f>VLOOKUP(Table3[[#This Row],[Vendor]],[1]Name.KSN!$C$2:$F$804,4,0)</f>
        <v>Farmer</v>
      </c>
      <c r="E6507" s="31" t="s">
        <v>275</v>
      </c>
      <c r="F6507" s="31" t="s">
        <v>54</v>
      </c>
      <c r="G6507" s="32" t="s">
        <v>50</v>
      </c>
      <c r="H6507" s="33">
        <v>54340</v>
      </c>
      <c r="I6507" s="34">
        <f>Table3[[#This Row],[Volume, kg.]]/1000</f>
        <v>54.34</v>
      </c>
      <c r="J6507" s="34">
        <v>0.26140000000000002</v>
      </c>
      <c r="K6507" s="34">
        <f t="shared" si="204"/>
        <v>14204.476000000001</v>
      </c>
      <c r="L6507" s="34">
        <v>2.2000000000000002</v>
      </c>
      <c r="M6507" s="34">
        <v>119792</v>
      </c>
      <c r="N6507" s="34">
        <f t="shared" si="205"/>
        <v>8.4162203519510328</v>
      </c>
    </row>
    <row r="6508" spans="1:14" x14ac:dyDescent="0.45">
      <c r="A6508" s="30">
        <v>2025</v>
      </c>
      <c r="B6508" s="30" t="s">
        <v>17</v>
      </c>
      <c r="C6508" s="30" t="s">
        <v>46</v>
      </c>
      <c r="D6508" s="39" t="str">
        <f>VLOOKUP(Table3[[#This Row],[Vendor]],[1]Name.KSN!$C$2:$F$804,4,0)</f>
        <v>Farmer</v>
      </c>
      <c r="E6508" s="31" t="s">
        <v>311</v>
      </c>
      <c r="F6508" s="31" t="s">
        <v>57</v>
      </c>
      <c r="G6508" s="32" t="s">
        <v>50</v>
      </c>
      <c r="H6508" s="33">
        <v>15860</v>
      </c>
      <c r="I6508" s="34">
        <f>Table3[[#This Row],[Volume, kg.]]/1000</f>
        <v>15.86</v>
      </c>
      <c r="J6508" s="34">
        <v>0.29670000000000002</v>
      </c>
      <c r="K6508" s="34">
        <f t="shared" si="204"/>
        <v>4705.6620000000003</v>
      </c>
      <c r="L6508" s="34">
        <v>2.39</v>
      </c>
      <c r="M6508" s="34">
        <v>37935.5</v>
      </c>
      <c r="N6508" s="34">
        <f t="shared" si="205"/>
        <v>8.0552746882372759</v>
      </c>
    </row>
    <row r="6509" spans="1:14" x14ac:dyDescent="0.45">
      <c r="A6509" s="30">
        <v>2025</v>
      </c>
      <c r="B6509" s="30" t="s">
        <v>17</v>
      </c>
      <c r="C6509" s="30" t="s">
        <v>46</v>
      </c>
      <c r="D6509" s="39" t="str">
        <f>VLOOKUP(Table3[[#This Row],[Vendor]],[1]Name.KSN!$C$2:$F$804,4,0)</f>
        <v>Farmer</v>
      </c>
      <c r="E6509" s="31" t="s">
        <v>356</v>
      </c>
      <c r="F6509" s="31" t="s">
        <v>49</v>
      </c>
      <c r="G6509" s="32" t="s">
        <v>50</v>
      </c>
      <c r="H6509" s="33">
        <v>7330</v>
      </c>
      <c r="I6509" s="34">
        <f>Table3[[#This Row],[Volume, kg.]]/1000</f>
        <v>7.33</v>
      </c>
      <c r="J6509" s="34">
        <v>0.255</v>
      </c>
      <c r="K6509" s="34">
        <f t="shared" si="204"/>
        <v>1869.15</v>
      </c>
      <c r="L6509" s="34">
        <v>2.1800000000000002</v>
      </c>
      <c r="M6509" s="34">
        <v>16003.5</v>
      </c>
      <c r="N6509" s="34">
        <f t="shared" si="205"/>
        <v>8.5490196078431371</v>
      </c>
    </row>
    <row r="6510" spans="1:14" x14ac:dyDescent="0.45">
      <c r="A6510" s="30">
        <v>2025</v>
      </c>
      <c r="B6510" s="30" t="s">
        <v>17</v>
      </c>
      <c r="C6510" s="30" t="s">
        <v>46</v>
      </c>
      <c r="D6510" s="39" t="str">
        <f>VLOOKUP(Table3[[#This Row],[Vendor]],[1]Name.KSN!$C$2:$F$804,4,0)</f>
        <v>Broker</v>
      </c>
      <c r="E6510" s="31" t="s">
        <v>753</v>
      </c>
      <c r="F6510" s="31" t="s">
        <v>118</v>
      </c>
      <c r="G6510" s="32" t="s">
        <v>119</v>
      </c>
      <c r="H6510" s="33">
        <v>217160</v>
      </c>
      <c r="I6510" s="34">
        <f>Table3[[#This Row],[Volume, kg.]]/1000</f>
        <v>217.16</v>
      </c>
      <c r="J6510" s="34">
        <v>0.24350000000000002</v>
      </c>
      <c r="K6510" s="34">
        <f t="shared" si="204"/>
        <v>52878.460000000006</v>
      </c>
      <c r="L6510" s="34">
        <v>2.4</v>
      </c>
      <c r="M6510" s="34">
        <v>521577.5</v>
      </c>
      <c r="N6510" s="34">
        <f t="shared" si="205"/>
        <v>9.8562628336755633</v>
      </c>
    </row>
    <row r="6511" spans="1:14" x14ac:dyDescent="0.45">
      <c r="A6511" s="30">
        <v>2025</v>
      </c>
      <c r="B6511" s="30" t="s">
        <v>17</v>
      </c>
      <c r="C6511" s="30" t="s">
        <v>46</v>
      </c>
      <c r="D6511" s="39" t="str">
        <f>VLOOKUP(Table3[[#This Row],[Vendor]],[1]Name.KSN!$C$2:$F$804,4,0)</f>
        <v>Farmer</v>
      </c>
      <c r="E6511" s="31" t="s">
        <v>177</v>
      </c>
      <c r="F6511" s="31" t="s">
        <v>49</v>
      </c>
      <c r="G6511" s="32" t="s">
        <v>50</v>
      </c>
      <c r="H6511" s="33">
        <v>32520</v>
      </c>
      <c r="I6511" s="34">
        <f>Table3[[#This Row],[Volume, kg.]]/1000</f>
        <v>32.520000000000003</v>
      </c>
      <c r="J6511" s="34">
        <v>0.23780000000000001</v>
      </c>
      <c r="K6511" s="34">
        <f t="shared" si="204"/>
        <v>7733.2560000000003</v>
      </c>
      <c r="L6511" s="34">
        <v>2.08</v>
      </c>
      <c r="M6511" s="34">
        <v>67676</v>
      </c>
      <c r="N6511" s="34">
        <f t="shared" si="205"/>
        <v>8.7468460891505462</v>
      </c>
    </row>
    <row r="6512" spans="1:14" x14ac:dyDescent="0.45">
      <c r="A6512" s="30">
        <v>2025</v>
      </c>
      <c r="B6512" s="30" t="s">
        <v>17</v>
      </c>
      <c r="C6512" s="30" t="s">
        <v>46</v>
      </c>
      <c r="D6512" s="39" t="str">
        <f>VLOOKUP(Table3[[#This Row],[Vendor]],[1]Name.KSN!$C$2:$F$804,4,0)</f>
        <v>Farmer</v>
      </c>
      <c r="E6512" s="31" t="s">
        <v>206</v>
      </c>
      <c r="F6512" s="31" t="s">
        <v>81</v>
      </c>
      <c r="G6512" s="32" t="s">
        <v>50</v>
      </c>
      <c r="H6512" s="33">
        <v>110290</v>
      </c>
      <c r="I6512" s="34">
        <f>Table3[[#This Row],[Volume, kg.]]/1000</f>
        <v>110.29</v>
      </c>
      <c r="J6512" s="34">
        <v>0.25540000000000002</v>
      </c>
      <c r="K6512" s="34">
        <f t="shared" si="204"/>
        <v>28168.066000000003</v>
      </c>
      <c r="L6512" s="34">
        <v>2.2000000000000002</v>
      </c>
      <c r="M6512" s="34">
        <v>242464.5</v>
      </c>
      <c r="N6512" s="34">
        <f t="shared" si="205"/>
        <v>8.6139389193422087</v>
      </c>
    </row>
    <row r="6513" spans="1:14" x14ac:dyDescent="0.45">
      <c r="A6513" s="30">
        <v>2025</v>
      </c>
      <c r="B6513" s="30" t="s">
        <v>17</v>
      </c>
      <c r="C6513" s="30" t="s">
        <v>46</v>
      </c>
      <c r="D6513" s="39" t="str">
        <f>VLOOKUP(Table3[[#This Row],[Vendor]],[1]Name.KSN!$C$2:$F$804,4,0)</f>
        <v>Farmer</v>
      </c>
      <c r="E6513" s="31" t="s">
        <v>350</v>
      </c>
      <c r="F6513" s="31" t="s">
        <v>49</v>
      </c>
      <c r="G6513" s="32" t="s">
        <v>50</v>
      </c>
      <c r="H6513" s="33">
        <v>9890</v>
      </c>
      <c r="I6513" s="34">
        <f>Table3[[#This Row],[Volume, kg.]]/1000</f>
        <v>9.89</v>
      </c>
      <c r="J6513" s="34">
        <v>0.20850000000000002</v>
      </c>
      <c r="K6513" s="34">
        <f t="shared" si="204"/>
        <v>2062.0650000000001</v>
      </c>
      <c r="L6513" s="34">
        <v>1.95</v>
      </c>
      <c r="M6513" s="34">
        <v>19285.5</v>
      </c>
      <c r="N6513" s="34">
        <f t="shared" si="205"/>
        <v>9.3525179856115095</v>
      </c>
    </row>
    <row r="6514" spans="1:14" x14ac:dyDescent="0.45">
      <c r="A6514" s="30">
        <v>2025</v>
      </c>
      <c r="B6514" s="30" t="s">
        <v>17</v>
      </c>
      <c r="C6514" s="30" t="s">
        <v>46</v>
      </c>
      <c r="D6514" s="39" t="str">
        <f>VLOOKUP(Table3[[#This Row],[Vendor]],[1]Name.KSN!$C$2:$F$804,4,0)</f>
        <v>Farmer</v>
      </c>
      <c r="E6514" s="31" t="s">
        <v>548</v>
      </c>
      <c r="F6514" s="31" t="s">
        <v>49</v>
      </c>
      <c r="G6514" s="32" t="s">
        <v>50</v>
      </c>
      <c r="H6514" s="33">
        <v>19960</v>
      </c>
      <c r="I6514" s="34">
        <f>Table3[[#This Row],[Volume, kg.]]/1000</f>
        <v>19.96</v>
      </c>
      <c r="J6514" s="34">
        <v>0.23769999999999999</v>
      </c>
      <c r="K6514" s="34">
        <f t="shared" si="204"/>
        <v>4744.4920000000002</v>
      </c>
      <c r="L6514" s="34">
        <v>2.08</v>
      </c>
      <c r="M6514" s="34">
        <v>41548</v>
      </c>
      <c r="N6514" s="34">
        <f t="shared" si="205"/>
        <v>8.7505258729490958</v>
      </c>
    </row>
    <row r="6515" spans="1:14" x14ac:dyDescent="0.45">
      <c r="A6515" s="30">
        <v>2025</v>
      </c>
      <c r="B6515" s="30" t="s">
        <v>17</v>
      </c>
      <c r="C6515" s="30" t="s">
        <v>46</v>
      </c>
      <c r="D6515" s="39" t="str">
        <f>VLOOKUP(Table3[[#This Row],[Vendor]],[1]Name.KSN!$C$2:$F$804,4,0)</f>
        <v>Farmer</v>
      </c>
      <c r="E6515" s="31" t="s">
        <v>98</v>
      </c>
      <c r="F6515" s="31" t="s">
        <v>49</v>
      </c>
      <c r="G6515" s="32" t="s">
        <v>50</v>
      </c>
      <c r="H6515" s="33">
        <v>62250</v>
      </c>
      <c r="I6515" s="34">
        <f>Table3[[#This Row],[Volume, kg.]]/1000</f>
        <v>62.25</v>
      </c>
      <c r="J6515" s="34">
        <v>0.26190000000000002</v>
      </c>
      <c r="K6515" s="34">
        <f t="shared" si="204"/>
        <v>16303.275000000001</v>
      </c>
      <c r="L6515" s="34">
        <v>2.2200000000000002</v>
      </c>
      <c r="M6515" s="34">
        <v>138122.5</v>
      </c>
      <c r="N6515" s="34">
        <f t="shared" si="205"/>
        <v>8.4765177548682704</v>
      </c>
    </row>
    <row r="6516" spans="1:14" x14ac:dyDescent="0.45">
      <c r="A6516" s="30">
        <v>2025</v>
      </c>
      <c r="B6516" s="30" t="s">
        <v>17</v>
      </c>
      <c r="C6516" s="30" t="s">
        <v>46</v>
      </c>
      <c r="D6516" s="39" t="str">
        <f>VLOOKUP(Table3[[#This Row],[Vendor]],[1]Name.KSN!$C$2:$F$804,4,0)</f>
        <v>Farmer</v>
      </c>
      <c r="E6516" s="31" t="s">
        <v>129</v>
      </c>
      <c r="F6516" s="31" t="s">
        <v>57</v>
      </c>
      <c r="G6516" s="32" t="s">
        <v>50</v>
      </c>
      <c r="H6516" s="33">
        <v>13720</v>
      </c>
      <c r="I6516" s="34">
        <f>Table3[[#This Row],[Volume, kg.]]/1000</f>
        <v>13.72</v>
      </c>
      <c r="J6516" s="34">
        <v>0.2281</v>
      </c>
      <c r="K6516" s="34">
        <f t="shared" si="204"/>
        <v>3129.5320000000002</v>
      </c>
      <c r="L6516" s="34">
        <v>2.06</v>
      </c>
      <c r="M6516" s="34">
        <v>28252.5</v>
      </c>
      <c r="N6516" s="34">
        <f t="shared" si="205"/>
        <v>9.0311266988163084</v>
      </c>
    </row>
    <row r="6517" spans="1:14" x14ac:dyDescent="0.45">
      <c r="A6517" s="30">
        <v>2025</v>
      </c>
      <c r="B6517" s="30" t="s">
        <v>17</v>
      </c>
      <c r="C6517" s="30" t="s">
        <v>46</v>
      </c>
      <c r="D6517" s="39" t="str">
        <f>VLOOKUP(Table3[[#This Row],[Vendor]],[1]Name.KSN!$C$2:$F$804,4,0)</f>
        <v>Farmer</v>
      </c>
      <c r="E6517" s="31" t="s">
        <v>80</v>
      </c>
      <c r="F6517" s="31" t="s">
        <v>81</v>
      </c>
      <c r="G6517" s="32" t="s">
        <v>50</v>
      </c>
      <c r="H6517" s="33">
        <v>51930</v>
      </c>
      <c r="I6517" s="34">
        <f>Table3[[#This Row],[Volume, kg.]]/1000</f>
        <v>51.93</v>
      </c>
      <c r="J6517" s="34">
        <v>0.2324</v>
      </c>
      <c r="K6517" s="34">
        <f t="shared" si="204"/>
        <v>12068.531999999999</v>
      </c>
      <c r="L6517" s="34">
        <v>2.06</v>
      </c>
      <c r="M6517" s="34">
        <v>106808</v>
      </c>
      <c r="N6517" s="34">
        <f t="shared" si="205"/>
        <v>8.8640275387263348</v>
      </c>
    </row>
    <row r="6518" spans="1:14" x14ac:dyDescent="0.45">
      <c r="A6518" s="30">
        <v>2025</v>
      </c>
      <c r="B6518" s="30" t="s">
        <v>17</v>
      </c>
      <c r="C6518" s="30" t="s">
        <v>46</v>
      </c>
      <c r="D6518" s="39" t="str">
        <f>VLOOKUP(Table3[[#This Row],[Vendor]],[1]Name.KSN!$C$2:$F$804,4,0)</f>
        <v>Farmer</v>
      </c>
      <c r="E6518" s="31" t="s">
        <v>296</v>
      </c>
      <c r="F6518" s="31" t="s">
        <v>60</v>
      </c>
      <c r="G6518" s="32" t="s">
        <v>50</v>
      </c>
      <c r="H6518" s="33">
        <v>8340</v>
      </c>
      <c r="I6518" s="34">
        <f>Table3[[#This Row],[Volume, kg.]]/1000</f>
        <v>8.34</v>
      </c>
      <c r="J6518" s="34">
        <v>0.28800000000000003</v>
      </c>
      <c r="K6518" s="34">
        <f t="shared" si="204"/>
        <v>2401.92</v>
      </c>
      <c r="L6518" s="34">
        <v>2.35</v>
      </c>
      <c r="M6518" s="34">
        <v>19599</v>
      </c>
      <c r="N6518" s="34">
        <f t="shared" si="205"/>
        <v>8.1597222222222214</v>
      </c>
    </row>
    <row r="6519" spans="1:14" x14ac:dyDescent="0.45">
      <c r="A6519" s="30">
        <v>2025</v>
      </c>
      <c r="B6519" s="30" t="s">
        <v>17</v>
      </c>
      <c r="C6519" s="30" t="s">
        <v>46</v>
      </c>
      <c r="D6519" s="39" t="str">
        <f>VLOOKUP(Table3[[#This Row],[Vendor]],[1]Name.KSN!$C$2:$F$804,4,0)</f>
        <v>Farmer</v>
      </c>
      <c r="E6519" s="31" t="s">
        <v>194</v>
      </c>
      <c r="F6519" s="31" t="s">
        <v>49</v>
      </c>
      <c r="G6519" s="32" t="s">
        <v>50</v>
      </c>
      <c r="H6519" s="33">
        <v>40850</v>
      </c>
      <c r="I6519" s="34">
        <f>Table3[[#This Row],[Volume, kg.]]/1000</f>
        <v>40.85</v>
      </c>
      <c r="J6519" s="34">
        <v>0.22460000000000002</v>
      </c>
      <c r="K6519" s="34">
        <f t="shared" si="204"/>
        <v>9174.9100000000017</v>
      </c>
      <c r="L6519" s="34">
        <v>2.02</v>
      </c>
      <c r="M6519" s="34">
        <v>82579.5</v>
      </c>
      <c r="N6519" s="34">
        <f t="shared" si="205"/>
        <v>8.9937666963490646</v>
      </c>
    </row>
    <row r="6520" spans="1:14" x14ac:dyDescent="0.45">
      <c r="A6520" s="30">
        <v>2025</v>
      </c>
      <c r="B6520" s="30" t="s">
        <v>17</v>
      </c>
      <c r="C6520" s="30" t="s">
        <v>46</v>
      </c>
      <c r="D6520" s="39" t="str">
        <f>VLOOKUP(Table3[[#This Row],[Vendor]],[1]Name.KSN!$C$2:$F$804,4,0)</f>
        <v>Broker</v>
      </c>
      <c r="E6520" s="31" t="s">
        <v>563</v>
      </c>
      <c r="F6520" s="31" t="s">
        <v>564</v>
      </c>
      <c r="G6520" s="32" t="s">
        <v>565</v>
      </c>
      <c r="H6520" s="33">
        <v>349120</v>
      </c>
      <c r="I6520" s="34">
        <f>Table3[[#This Row],[Volume, kg.]]/1000</f>
        <v>349.12</v>
      </c>
      <c r="J6520" s="34">
        <v>0.2384</v>
      </c>
      <c r="K6520" s="34">
        <f t="shared" si="204"/>
        <v>83230.207999999999</v>
      </c>
      <c r="L6520" s="34">
        <v>2.35</v>
      </c>
      <c r="M6520" s="34">
        <v>820188</v>
      </c>
      <c r="N6520" s="34">
        <f t="shared" si="205"/>
        <v>9.8573825503355703</v>
      </c>
    </row>
    <row r="6521" spans="1:14" x14ac:dyDescent="0.45">
      <c r="A6521" s="30">
        <v>2025</v>
      </c>
      <c r="B6521" s="30" t="s">
        <v>17</v>
      </c>
      <c r="C6521" s="30" t="s">
        <v>46</v>
      </c>
      <c r="D6521" s="39" t="str">
        <f>VLOOKUP(Table3[[#This Row],[Vendor]],[1]Name.KSN!$C$2:$F$804,4,0)</f>
        <v>Farmer</v>
      </c>
      <c r="E6521" s="31" t="s">
        <v>267</v>
      </c>
      <c r="F6521" s="31" t="s">
        <v>57</v>
      </c>
      <c r="G6521" s="32" t="s">
        <v>50</v>
      </c>
      <c r="H6521" s="33">
        <v>22930</v>
      </c>
      <c r="I6521" s="34">
        <f>Table3[[#This Row],[Volume, kg.]]/1000</f>
        <v>22.93</v>
      </c>
      <c r="J6521" s="34">
        <v>0.26400000000000001</v>
      </c>
      <c r="K6521" s="34">
        <f t="shared" si="204"/>
        <v>6053.52</v>
      </c>
      <c r="L6521" s="34">
        <v>2.27</v>
      </c>
      <c r="M6521" s="34">
        <v>52002.5</v>
      </c>
      <c r="N6521" s="34">
        <f t="shared" si="205"/>
        <v>8.5984848484848477</v>
      </c>
    </row>
    <row r="6522" spans="1:14" x14ac:dyDescent="0.45">
      <c r="A6522" s="30">
        <v>2025</v>
      </c>
      <c r="B6522" s="30" t="s">
        <v>17</v>
      </c>
      <c r="C6522" s="30" t="s">
        <v>46</v>
      </c>
      <c r="D6522" s="39" t="str">
        <f>VLOOKUP(Table3[[#This Row],[Vendor]],[1]Name.KSN!$C$2:$F$804,4,0)</f>
        <v>Broker</v>
      </c>
      <c r="E6522" s="31" t="s">
        <v>103</v>
      </c>
      <c r="F6522" s="31" t="s">
        <v>104</v>
      </c>
      <c r="G6522" s="32" t="s">
        <v>105</v>
      </c>
      <c r="H6522" s="33">
        <v>947290</v>
      </c>
      <c r="I6522" s="34">
        <f>Table3[[#This Row],[Volume, kg.]]/1000</f>
        <v>947.29</v>
      </c>
      <c r="J6522" s="34">
        <v>0.2402</v>
      </c>
      <c r="K6522" s="34">
        <f t="shared" si="204"/>
        <v>227539.05799999999</v>
      </c>
      <c r="L6522" s="34">
        <v>2.2999999999999998</v>
      </c>
      <c r="M6522" s="34">
        <v>2178913</v>
      </c>
      <c r="N6522" s="34">
        <f t="shared" si="205"/>
        <v>9.5753538717735207</v>
      </c>
    </row>
    <row r="6523" spans="1:14" x14ac:dyDescent="0.45">
      <c r="A6523" s="30">
        <v>2025</v>
      </c>
      <c r="B6523" s="30" t="s">
        <v>17</v>
      </c>
      <c r="C6523" s="30" t="s">
        <v>46</v>
      </c>
      <c r="D6523" s="39" t="str">
        <f>VLOOKUP(Table3[[#This Row],[Vendor]],[1]Name.KSN!$C$2:$F$804,4,0)</f>
        <v>Farmer</v>
      </c>
      <c r="E6523" s="31" t="s">
        <v>203</v>
      </c>
      <c r="F6523" s="31" t="s">
        <v>57</v>
      </c>
      <c r="G6523" s="32" t="s">
        <v>50</v>
      </c>
      <c r="H6523" s="33">
        <v>14100</v>
      </c>
      <c r="I6523" s="34">
        <f>Table3[[#This Row],[Volume, kg.]]/1000</f>
        <v>14.1</v>
      </c>
      <c r="J6523" s="34">
        <v>0.25420000000000004</v>
      </c>
      <c r="K6523" s="34">
        <f t="shared" si="204"/>
        <v>3584.2200000000007</v>
      </c>
      <c r="L6523" s="34">
        <v>2.17</v>
      </c>
      <c r="M6523" s="34">
        <v>30604.5</v>
      </c>
      <c r="N6523" s="34">
        <f t="shared" si="205"/>
        <v>8.5365853658536572</v>
      </c>
    </row>
    <row r="6524" spans="1:14" x14ac:dyDescent="0.45">
      <c r="A6524" s="30">
        <v>2025</v>
      </c>
      <c r="B6524" s="30" t="s">
        <v>17</v>
      </c>
      <c r="C6524" s="30" t="s">
        <v>46</v>
      </c>
      <c r="D6524" s="39" t="str">
        <f>VLOOKUP(Table3[[#This Row],[Vendor]],[1]Name.KSN!$C$2:$F$804,4,0)</f>
        <v>Farmer</v>
      </c>
      <c r="E6524" s="31" t="s">
        <v>137</v>
      </c>
      <c r="F6524" s="31" t="s">
        <v>49</v>
      </c>
      <c r="G6524" s="32" t="s">
        <v>50</v>
      </c>
      <c r="H6524" s="33">
        <v>6970</v>
      </c>
      <c r="I6524" s="34">
        <f>Table3[[#This Row],[Volume, kg.]]/1000</f>
        <v>6.97</v>
      </c>
      <c r="J6524" s="34">
        <v>0.22800000000000001</v>
      </c>
      <c r="K6524" s="34">
        <f t="shared" si="204"/>
        <v>1589.16</v>
      </c>
      <c r="L6524" s="34">
        <v>2.0499999999999998</v>
      </c>
      <c r="M6524" s="34">
        <v>14288.5</v>
      </c>
      <c r="N6524" s="34">
        <f t="shared" si="205"/>
        <v>8.9912280701754383</v>
      </c>
    </row>
    <row r="6525" spans="1:14" x14ac:dyDescent="0.45">
      <c r="A6525" s="30">
        <v>2025</v>
      </c>
      <c r="B6525" s="30" t="s">
        <v>17</v>
      </c>
      <c r="C6525" s="30" t="s">
        <v>46</v>
      </c>
      <c r="D6525" s="39" t="str">
        <f>VLOOKUP(Table3[[#This Row],[Vendor]],[1]Name.KSN!$C$2:$F$804,4,0)</f>
        <v>Farmer</v>
      </c>
      <c r="E6525" s="31" t="s">
        <v>274</v>
      </c>
      <c r="F6525" s="31" t="s">
        <v>49</v>
      </c>
      <c r="G6525" s="32" t="s">
        <v>50</v>
      </c>
      <c r="H6525" s="33">
        <v>13830</v>
      </c>
      <c r="I6525" s="34">
        <f>Table3[[#This Row],[Volume, kg.]]/1000</f>
        <v>13.83</v>
      </c>
      <c r="J6525" s="34">
        <v>0.23699999999999999</v>
      </c>
      <c r="K6525" s="34">
        <f t="shared" si="204"/>
        <v>3277.71</v>
      </c>
      <c r="L6525" s="34">
        <v>2.15</v>
      </c>
      <c r="M6525" s="34">
        <v>29711.5</v>
      </c>
      <c r="N6525" s="34">
        <f t="shared" si="205"/>
        <v>9.071729957805907</v>
      </c>
    </row>
    <row r="6526" spans="1:14" x14ac:dyDescent="0.45">
      <c r="A6526" s="30">
        <v>2025</v>
      </c>
      <c r="B6526" s="30" t="s">
        <v>17</v>
      </c>
      <c r="C6526" s="30" t="s">
        <v>46</v>
      </c>
      <c r="D6526" s="39" t="str">
        <f>VLOOKUP(Table3[[#This Row],[Vendor]],[1]Name.KSN!$C$2:$F$804,4,0)</f>
        <v>Farmer</v>
      </c>
      <c r="E6526" s="31" t="s">
        <v>58</v>
      </c>
      <c r="F6526" s="31" t="s">
        <v>49</v>
      </c>
      <c r="G6526" s="32" t="s">
        <v>50</v>
      </c>
      <c r="H6526" s="33">
        <v>14890</v>
      </c>
      <c r="I6526" s="34">
        <f>Table3[[#This Row],[Volume, kg.]]/1000</f>
        <v>14.89</v>
      </c>
      <c r="J6526" s="34">
        <v>0.23600000000000002</v>
      </c>
      <c r="K6526" s="34">
        <f t="shared" si="204"/>
        <v>3514.0400000000004</v>
      </c>
      <c r="L6526" s="34">
        <v>2.08</v>
      </c>
      <c r="M6526" s="34">
        <v>31011</v>
      </c>
      <c r="N6526" s="34">
        <f t="shared" si="205"/>
        <v>8.8135593220338979</v>
      </c>
    </row>
    <row r="6527" spans="1:14" x14ac:dyDescent="0.45">
      <c r="A6527" s="30">
        <v>2025</v>
      </c>
      <c r="B6527" s="30" t="s">
        <v>17</v>
      </c>
      <c r="C6527" s="30" t="s">
        <v>46</v>
      </c>
      <c r="D6527" s="39" t="str">
        <f>VLOOKUP(Table3[[#This Row],[Vendor]],[1]Name.KSN!$C$2:$F$804,4,0)</f>
        <v>Broker</v>
      </c>
      <c r="E6527" s="31" t="s">
        <v>348</v>
      </c>
      <c r="F6527" s="31" t="s">
        <v>349</v>
      </c>
      <c r="G6527" s="32" t="s">
        <v>105</v>
      </c>
      <c r="H6527" s="33">
        <v>1669460</v>
      </c>
      <c r="I6527" s="34">
        <f>Table3[[#This Row],[Volume, kg.]]/1000</f>
        <v>1669.46</v>
      </c>
      <c r="J6527" s="34">
        <v>0.2339</v>
      </c>
      <c r="K6527" s="34">
        <f t="shared" si="204"/>
        <v>390486.69400000002</v>
      </c>
      <c r="L6527" s="34">
        <v>2.2599999999999998</v>
      </c>
      <c r="M6527" s="34">
        <v>3769172.5</v>
      </c>
      <c r="N6527" s="34">
        <f t="shared" si="205"/>
        <v>9.662248824283882</v>
      </c>
    </row>
    <row r="6528" spans="1:14" x14ac:dyDescent="0.45">
      <c r="A6528" s="30">
        <v>2025</v>
      </c>
      <c r="B6528" s="30" t="s">
        <v>17</v>
      </c>
      <c r="C6528" s="30" t="s">
        <v>46</v>
      </c>
      <c r="D6528" s="39" t="str">
        <f>VLOOKUP(Table3[[#This Row],[Vendor]],[1]Name.KSN!$C$2:$F$804,4,0)</f>
        <v>Broker</v>
      </c>
      <c r="E6528" s="31" t="s">
        <v>691</v>
      </c>
      <c r="F6528" s="31" t="s">
        <v>657</v>
      </c>
      <c r="G6528" s="32" t="s">
        <v>119</v>
      </c>
      <c r="H6528" s="33">
        <v>123780</v>
      </c>
      <c r="I6528" s="34">
        <f>Table3[[#This Row],[Volume, kg.]]/1000</f>
        <v>123.78</v>
      </c>
      <c r="J6528" s="34">
        <v>0.27050000000000002</v>
      </c>
      <c r="K6528" s="34">
        <f t="shared" si="204"/>
        <v>33482.490000000005</v>
      </c>
      <c r="L6528" s="34">
        <v>2.5499999999999998</v>
      </c>
      <c r="M6528" s="34">
        <v>315670</v>
      </c>
      <c r="N6528" s="34">
        <f t="shared" si="205"/>
        <v>9.426987060998151</v>
      </c>
    </row>
    <row r="6529" spans="1:14" x14ac:dyDescent="0.45">
      <c r="A6529" s="30">
        <v>2025</v>
      </c>
      <c r="B6529" s="30" t="s">
        <v>17</v>
      </c>
      <c r="C6529" s="30" t="s">
        <v>46</v>
      </c>
      <c r="D6529" s="39" t="str">
        <f>VLOOKUP(Table3[[#This Row],[Vendor]],[1]Name.KSN!$C$2:$F$804,4,0)</f>
        <v>Broker</v>
      </c>
      <c r="E6529" s="31" t="s">
        <v>126</v>
      </c>
      <c r="F6529" s="31" t="s">
        <v>127</v>
      </c>
      <c r="G6529" s="32" t="s">
        <v>128</v>
      </c>
      <c r="H6529" s="33">
        <v>937940</v>
      </c>
      <c r="I6529" s="34">
        <f>Table3[[#This Row],[Volume, kg.]]/1000</f>
        <v>937.94</v>
      </c>
      <c r="J6529" s="34">
        <v>0.25159999999999999</v>
      </c>
      <c r="K6529" s="34">
        <f t="shared" si="204"/>
        <v>235985.704</v>
      </c>
      <c r="L6529" s="34">
        <v>2.36</v>
      </c>
      <c r="M6529" s="34">
        <v>2213600.5</v>
      </c>
      <c r="N6529" s="34">
        <f t="shared" si="205"/>
        <v>9.3799682034976151</v>
      </c>
    </row>
    <row r="6530" spans="1:14" x14ac:dyDescent="0.45">
      <c r="A6530" s="30">
        <v>2025</v>
      </c>
      <c r="B6530" s="30" t="s">
        <v>17</v>
      </c>
      <c r="C6530" s="30" t="s">
        <v>46</v>
      </c>
      <c r="D6530" s="39" t="str">
        <f>VLOOKUP(Table3[[#This Row],[Vendor]],[1]Name.KSN!$C$2:$F$804,4,0)</f>
        <v>Farmer</v>
      </c>
      <c r="E6530" s="31" t="s">
        <v>335</v>
      </c>
      <c r="F6530" s="31" t="s">
        <v>54</v>
      </c>
      <c r="G6530" s="32" t="s">
        <v>50</v>
      </c>
      <c r="H6530" s="33">
        <v>12580</v>
      </c>
      <c r="I6530" s="34">
        <f>Table3[[#This Row],[Volume, kg.]]/1000</f>
        <v>12.58</v>
      </c>
      <c r="J6530" s="34">
        <v>0.2205</v>
      </c>
      <c r="K6530" s="34">
        <f t="shared" si="204"/>
        <v>2773.89</v>
      </c>
      <c r="L6530" s="34">
        <v>2</v>
      </c>
      <c r="M6530" s="34">
        <v>25160</v>
      </c>
      <c r="N6530" s="34">
        <f t="shared" si="205"/>
        <v>9.0702947845804989</v>
      </c>
    </row>
    <row r="6531" spans="1:14" x14ac:dyDescent="0.45">
      <c r="A6531" s="30">
        <v>2025</v>
      </c>
      <c r="B6531" s="30" t="s">
        <v>17</v>
      </c>
      <c r="C6531" s="30" t="s">
        <v>46</v>
      </c>
      <c r="D6531" s="39" t="str">
        <f>VLOOKUP(Table3[[#This Row],[Vendor]],[1]Name.KSN!$C$2:$F$804,4,0)</f>
        <v>Broker</v>
      </c>
      <c r="E6531" s="31" t="s">
        <v>117</v>
      </c>
      <c r="F6531" s="31" t="s">
        <v>118</v>
      </c>
      <c r="G6531" s="32" t="s">
        <v>119</v>
      </c>
      <c r="H6531" s="33">
        <v>75240</v>
      </c>
      <c r="I6531" s="34">
        <f>Table3[[#This Row],[Volume, kg.]]/1000</f>
        <v>75.239999999999995</v>
      </c>
      <c r="J6531" s="34">
        <v>0.21920000000000001</v>
      </c>
      <c r="K6531" s="34">
        <f t="shared" si="204"/>
        <v>16492.608</v>
      </c>
      <c r="L6531" s="34">
        <v>2.35</v>
      </c>
      <c r="M6531" s="34">
        <v>176506</v>
      </c>
      <c r="N6531" s="34">
        <f t="shared" si="205"/>
        <v>10.72080291970803</v>
      </c>
    </row>
    <row r="6532" spans="1:14" x14ac:dyDescent="0.45">
      <c r="A6532" s="30">
        <v>2025</v>
      </c>
      <c r="B6532" s="30" t="s">
        <v>17</v>
      </c>
      <c r="C6532" s="30" t="s">
        <v>46</v>
      </c>
      <c r="D6532" s="39" t="str">
        <f>VLOOKUP(Table3[[#This Row],[Vendor]],[1]Name.KSN!$C$2:$F$804,4,0)</f>
        <v>Farmer</v>
      </c>
      <c r="E6532" s="31" t="s">
        <v>602</v>
      </c>
      <c r="F6532" s="31" t="s">
        <v>49</v>
      </c>
      <c r="G6532" s="32" t="s">
        <v>50</v>
      </c>
      <c r="H6532" s="33">
        <v>14580</v>
      </c>
      <c r="I6532" s="34">
        <f>Table3[[#This Row],[Volume, kg.]]/1000</f>
        <v>14.58</v>
      </c>
      <c r="J6532" s="34">
        <v>0.2397</v>
      </c>
      <c r="K6532" s="34">
        <f t="shared" si="204"/>
        <v>3494.826</v>
      </c>
      <c r="L6532" s="34">
        <v>2.1</v>
      </c>
      <c r="M6532" s="34">
        <v>30618</v>
      </c>
      <c r="N6532" s="34">
        <f t="shared" si="205"/>
        <v>8.7609511889862333</v>
      </c>
    </row>
    <row r="6533" spans="1:14" x14ac:dyDescent="0.45">
      <c r="A6533" s="30">
        <v>2025</v>
      </c>
      <c r="B6533" s="30" t="s">
        <v>17</v>
      </c>
      <c r="C6533" s="30" t="s">
        <v>46</v>
      </c>
      <c r="D6533" s="39" t="str">
        <f>VLOOKUP(Table3[[#This Row],[Vendor]],[1]Name.KSN!$C$2:$F$804,4,0)</f>
        <v>Farmer</v>
      </c>
      <c r="E6533" s="31" t="s">
        <v>243</v>
      </c>
      <c r="F6533" s="31" t="s">
        <v>60</v>
      </c>
      <c r="G6533" s="32" t="s">
        <v>50</v>
      </c>
      <c r="H6533" s="33">
        <v>23980</v>
      </c>
      <c r="I6533" s="34">
        <f>Table3[[#This Row],[Volume, kg.]]/1000</f>
        <v>23.98</v>
      </c>
      <c r="J6533" s="34">
        <v>0.25769999999999998</v>
      </c>
      <c r="K6533" s="34">
        <f t="shared" si="204"/>
        <v>6179.6459999999997</v>
      </c>
      <c r="L6533" s="34">
        <v>2.21</v>
      </c>
      <c r="M6533" s="34">
        <v>52976.5</v>
      </c>
      <c r="N6533" s="34">
        <f t="shared" si="205"/>
        <v>8.5758634070624762</v>
      </c>
    </row>
    <row r="6534" spans="1:14" x14ac:dyDescent="0.45">
      <c r="A6534" s="30">
        <v>2025</v>
      </c>
      <c r="B6534" s="30" t="s">
        <v>17</v>
      </c>
      <c r="C6534" s="30" t="s">
        <v>46</v>
      </c>
      <c r="D6534" s="39" t="str">
        <f>VLOOKUP(Table3[[#This Row],[Vendor]],[1]Name.KSN!$C$2:$F$804,4,0)</f>
        <v>Farmer</v>
      </c>
      <c r="E6534" s="31" t="s">
        <v>259</v>
      </c>
      <c r="F6534" s="31" t="s">
        <v>54</v>
      </c>
      <c r="G6534" s="32" t="s">
        <v>50</v>
      </c>
      <c r="H6534" s="33">
        <v>8720</v>
      </c>
      <c r="I6534" s="34">
        <f>Table3[[#This Row],[Volume, kg.]]/1000</f>
        <v>8.7200000000000006</v>
      </c>
      <c r="J6534" s="34">
        <v>0.26219999999999999</v>
      </c>
      <c r="K6534" s="34">
        <f t="shared" si="204"/>
        <v>2286.384</v>
      </c>
      <c r="L6534" s="34">
        <v>2.2000000000000002</v>
      </c>
      <c r="M6534" s="34">
        <v>19184</v>
      </c>
      <c r="N6534" s="34">
        <f t="shared" si="205"/>
        <v>8.3905415713196039</v>
      </c>
    </row>
    <row r="6535" spans="1:14" x14ac:dyDescent="0.45">
      <c r="A6535" s="30">
        <v>2025</v>
      </c>
      <c r="B6535" s="30" t="s">
        <v>17</v>
      </c>
      <c r="C6535" s="30" t="s">
        <v>46</v>
      </c>
      <c r="D6535" s="39" t="str">
        <f>VLOOKUP(Table3[[#This Row],[Vendor]],[1]Name.KSN!$C$2:$F$804,4,0)</f>
        <v>Farmer</v>
      </c>
      <c r="E6535" s="31" t="s">
        <v>477</v>
      </c>
      <c r="F6535" s="31" t="s">
        <v>54</v>
      </c>
      <c r="G6535" s="32" t="s">
        <v>50</v>
      </c>
      <c r="H6535" s="33">
        <v>22160</v>
      </c>
      <c r="I6535" s="34">
        <f>Table3[[#This Row],[Volume, kg.]]/1000</f>
        <v>22.16</v>
      </c>
      <c r="J6535" s="34">
        <v>0.2329</v>
      </c>
      <c r="K6535" s="34">
        <f t="shared" si="204"/>
        <v>5161.0640000000003</v>
      </c>
      <c r="L6535" s="34">
        <v>2.0699999999999998</v>
      </c>
      <c r="M6535" s="34">
        <v>45762.5</v>
      </c>
      <c r="N6535" s="34">
        <f t="shared" si="205"/>
        <v>8.8879347359381704</v>
      </c>
    </row>
    <row r="6536" spans="1:14" x14ac:dyDescent="0.45">
      <c r="A6536" s="30">
        <v>2025</v>
      </c>
      <c r="B6536" s="30" t="s">
        <v>17</v>
      </c>
      <c r="C6536" s="30" t="s">
        <v>46</v>
      </c>
      <c r="D6536" s="39" t="str">
        <f>VLOOKUP(Table3[[#This Row],[Vendor]],[1]Name.KSN!$C$2:$F$804,4,0)</f>
        <v>Farmer</v>
      </c>
      <c r="E6536" s="31" t="s">
        <v>204</v>
      </c>
      <c r="F6536" s="31" t="s">
        <v>49</v>
      </c>
      <c r="G6536" s="32" t="s">
        <v>50</v>
      </c>
      <c r="H6536" s="33">
        <v>66700</v>
      </c>
      <c r="I6536" s="34">
        <f>Table3[[#This Row],[Volume, kg.]]/1000</f>
        <v>66.7</v>
      </c>
      <c r="J6536" s="34">
        <v>0.25670000000000004</v>
      </c>
      <c r="K6536" s="34">
        <f t="shared" ref="K6536:K6599" si="206">H6536*J6536</f>
        <v>17121.890000000003</v>
      </c>
      <c r="L6536" s="34">
        <v>2.2000000000000002</v>
      </c>
      <c r="M6536" s="34">
        <v>146511</v>
      </c>
      <c r="N6536" s="34">
        <f t="shared" ref="N6536:N6599" si="207">L6536/J6536</f>
        <v>8.5703155434359175</v>
      </c>
    </row>
    <row r="6537" spans="1:14" x14ac:dyDescent="0.45">
      <c r="A6537" s="30">
        <v>2025</v>
      </c>
      <c r="B6537" s="30" t="s">
        <v>17</v>
      </c>
      <c r="C6537" s="30" t="s">
        <v>46</v>
      </c>
      <c r="D6537" s="39" t="str">
        <f>VLOOKUP(Table3[[#This Row],[Vendor]],[1]Name.KSN!$C$2:$F$804,4,0)</f>
        <v>Farmer</v>
      </c>
      <c r="E6537" s="31" t="s">
        <v>540</v>
      </c>
      <c r="F6537" s="31" t="s">
        <v>49</v>
      </c>
      <c r="G6537" s="32" t="s">
        <v>50</v>
      </c>
      <c r="H6537" s="33">
        <v>23210</v>
      </c>
      <c r="I6537" s="34">
        <f>Table3[[#This Row],[Volume, kg.]]/1000</f>
        <v>23.21</v>
      </c>
      <c r="J6537" s="34">
        <v>0.23070000000000002</v>
      </c>
      <c r="K6537" s="34">
        <f t="shared" si="206"/>
        <v>5354.5470000000005</v>
      </c>
      <c r="L6537" s="34">
        <v>2.0699999999999998</v>
      </c>
      <c r="M6537" s="34">
        <v>47952</v>
      </c>
      <c r="N6537" s="34">
        <f t="shared" si="207"/>
        <v>8.9726918075422617</v>
      </c>
    </row>
    <row r="6538" spans="1:14" x14ac:dyDescent="0.45">
      <c r="A6538" s="30">
        <v>2025</v>
      </c>
      <c r="B6538" s="30" t="s">
        <v>17</v>
      </c>
      <c r="C6538" s="30" t="s">
        <v>46</v>
      </c>
      <c r="D6538" s="39" t="str">
        <f>VLOOKUP(Table3[[#This Row],[Vendor]],[1]Name.KSN!$C$2:$F$804,4,0)</f>
        <v>Broker</v>
      </c>
      <c r="E6538" s="31" t="s">
        <v>157</v>
      </c>
      <c r="F6538" s="31" t="s">
        <v>127</v>
      </c>
      <c r="G6538" s="32" t="s">
        <v>128</v>
      </c>
      <c r="H6538" s="33">
        <v>441030</v>
      </c>
      <c r="I6538" s="34">
        <f>Table3[[#This Row],[Volume, kg.]]/1000</f>
        <v>441.03</v>
      </c>
      <c r="J6538" s="34">
        <v>0.249</v>
      </c>
      <c r="K6538" s="34">
        <f t="shared" si="206"/>
        <v>109816.47</v>
      </c>
      <c r="L6538" s="34">
        <v>2.33</v>
      </c>
      <c r="M6538" s="34">
        <v>1027552.5</v>
      </c>
      <c r="N6538" s="34">
        <f t="shared" si="207"/>
        <v>9.3574297188755029</v>
      </c>
    </row>
    <row r="6539" spans="1:14" x14ac:dyDescent="0.45">
      <c r="A6539" s="30">
        <v>2025</v>
      </c>
      <c r="B6539" s="30" t="s">
        <v>17</v>
      </c>
      <c r="C6539" s="30" t="s">
        <v>46</v>
      </c>
      <c r="D6539" s="39" t="str">
        <f>VLOOKUP(Table3[[#This Row],[Vendor]],[1]Name.KSN!$C$2:$F$804,4,0)</f>
        <v>Farmer</v>
      </c>
      <c r="E6539" s="31" t="s">
        <v>75</v>
      </c>
      <c r="F6539" s="31" t="s">
        <v>49</v>
      </c>
      <c r="G6539" s="32" t="s">
        <v>50</v>
      </c>
      <c r="H6539" s="33">
        <v>50770</v>
      </c>
      <c r="I6539" s="34">
        <f>Table3[[#This Row],[Volume, kg.]]/1000</f>
        <v>50.77</v>
      </c>
      <c r="J6539" s="34">
        <v>0.20980000000000001</v>
      </c>
      <c r="K6539" s="34">
        <f t="shared" si="206"/>
        <v>10651.546</v>
      </c>
      <c r="L6539" s="34">
        <v>1.96</v>
      </c>
      <c r="M6539" s="34">
        <v>99293</v>
      </c>
      <c r="N6539" s="34">
        <f t="shared" si="207"/>
        <v>9.3422306959008576</v>
      </c>
    </row>
    <row r="6540" spans="1:14" x14ac:dyDescent="0.45">
      <c r="A6540" s="30">
        <v>2025</v>
      </c>
      <c r="B6540" s="30" t="s">
        <v>17</v>
      </c>
      <c r="C6540" s="30" t="s">
        <v>46</v>
      </c>
      <c r="D6540" s="39" t="str">
        <f>VLOOKUP(Table3[[#This Row],[Vendor]],[1]Name.KSN!$C$2:$F$804,4,0)</f>
        <v>Farmer</v>
      </c>
      <c r="E6540" s="31" t="s">
        <v>97</v>
      </c>
      <c r="F6540" s="31" t="s">
        <v>49</v>
      </c>
      <c r="G6540" s="32" t="s">
        <v>50</v>
      </c>
      <c r="H6540" s="33">
        <v>9050</v>
      </c>
      <c r="I6540" s="34">
        <f>Table3[[#This Row],[Volume, kg.]]/1000</f>
        <v>9.0500000000000007</v>
      </c>
      <c r="J6540" s="34">
        <v>0.28000000000000003</v>
      </c>
      <c r="K6540" s="34">
        <f t="shared" si="206"/>
        <v>2534.0000000000005</v>
      </c>
      <c r="L6540" s="34">
        <v>2.4</v>
      </c>
      <c r="M6540" s="34">
        <v>21720</v>
      </c>
      <c r="N6540" s="34">
        <f t="shared" si="207"/>
        <v>8.5714285714285712</v>
      </c>
    </row>
    <row r="6541" spans="1:14" x14ac:dyDescent="0.45">
      <c r="A6541" s="30">
        <v>2025</v>
      </c>
      <c r="B6541" s="30" t="s">
        <v>17</v>
      </c>
      <c r="C6541" s="30" t="s">
        <v>46</v>
      </c>
      <c r="D6541" s="39" t="str">
        <f>VLOOKUP(Table3[[#This Row],[Vendor]],[1]Name.KSN!$C$2:$F$804,4,0)</f>
        <v>Farmer</v>
      </c>
      <c r="E6541" s="31" t="s">
        <v>355</v>
      </c>
      <c r="F6541" s="31" t="s">
        <v>60</v>
      </c>
      <c r="G6541" s="32" t="s">
        <v>50</v>
      </c>
      <c r="H6541" s="33">
        <v>34130</v>
      </c>
      <c r="I6541" s="34">
        <f>Table3[[#This Row],[Volume, kg.]]/1000</f>
        <v>34.130000000000003</v>
      </c>
      <c r="J6541" s="34">
        <v>0.26550000000000001</v>
      </c>
      <c r="K6541" s="34">
        <f t="shared" si="206"/>
        <v>9061.5150000000012</v>
      </c>
      <c r="L6541" s="34">
        <v>2.2200000000000002</v>
      </c>
      <c r="M6541" s="34">
        <v>75903.5</v>
      </c>
      <c r="N6541" s="34">
        <f t="shared" si="207"/>
        <v>8.361581920903955</v>
      </c>
    </row>
    <row r="6542" spans="1:14" x14ac:dyDescent="0.45">
      <c r="A6542" s="30">
        <v>2025</v>
      </c>
      <c r="B6542" s="30" t="s">
        <v>17</v>
      </c>
      <c r="C6542" s="30" t="s">
        <v>46</v>
      </c>
      <c r="D6542" s="39" t="str">
        <f>VLOOKUP(Table3[[#This Row],[Vendor]],[1]Name.KSN!$C$2:$F$804,4,0)</f>
        <v>Farmer</v>
      </c>
      <c r="E6542" s="31" t="s">
        <v>345</v>
      </c>
      <c r="F6542" s="31" t="s">
        <v>81</v>
      </c>
      <c r="G6542" s="32" t="s">
        <v>50</v>
      </c>
      <c r="H6542" s="33">
        <v>35810</v>
      </c>
      <c r="I6542" s="34">
        <f>Table3[[#This Row],[Volume, kg.]]/1000</f>
        <v>35.81</v>
      </c>
      <c r="J6542" s="34">
        <v>0.25259999999999999</v>
      </c>
      <c r="K6542" s="34">
        <f t="shared" si="206"/>
        <v>9045.6059999999998</v>
      </c>
      <c r="L6542" s="34">
        <v>2.23</v>
      </c>
      <c r="M6542" s="34">
        <v>79876</v>
      </c>
      <c r="N6542" s="34">
        <f t="shared" si="207"/>
        <v>8.8281868566904205</v>
      </c>
    </row>
    <row r="6543" spans="1:14" x14ac:dyDescent="0.45">
      <c r="A6543" s="30">
        <v>2025</v>
      </c>
      <c r="B6543" s="30" t="s">
        <v>17</v>
      </c>
      <c r="C6543" s="30" t="s">
        <v>46</v>
      </c>
      <c r="D6543" s="39" t="str">
        <f>VLOOKUP(Table3[[#This Row],[Vendor]],[1]Name.KSN!$C$2:$F$804,4,0)</f>
        <v>Farmer</v>
      </c>
      <c r="E6543" s="31" t="s">
        <v>96</v>
      </c>
      <c r="F6543" s="31" t="s">
        <v>49</v>
      </c>
      <c r="G6543" s="32" t="s">
        <v>50</v>
      </c>
      <c r="H6543" s="33">
        <v>17590</v>
      </c>
      <c r="I6543" s="34">
        <f>Table3[[#This Row],[Volume, kg.]]/1000</f>
        <v>17.59</v>
      </c>
      <c r="J6543" s="34">
        <v>0.25780000000000003</v>
      </c>
      <c r="K6543" s="34">
        <f t="shared" si="206"/>
        <v>4534.7020000000002</v>
      </c>
      <c r="L6543" s="34">
        <v>2.2000000000000002</v>
      </c>
      <c r="M6543" s="34">
        <v>38698</v>
      </c>
      <c r="N6543" s="34">
        <f t="shared" si="207"/>
        <v>8.5337470907680366</v>
      </c>
    </row>
    <row r="6544" spans="1:14" x14ac:dyDescent="0.45">
      <c r="A6544" s="30">
        <v>2025</v>
      </c>
      <c r="B6544" s="30" t="s">
        <v>17</v>
      </c>
      <c r="C6544" s="30" t="s">
        <v>46</v>
      </c>
      <c r="D6544" s="39" t="str">
        <f>VLOOKUP(Table3[[#This Row],[Vendor]],[1]Name.KSN!$C$2:$F$804,4,0)</f>
        <v>Broker</v>
      </c>
      <c r="E6544" s="31" t="s">
        <v>730</v>
      </c>
      <c r="F6544" s="31" t="s">
        <v>487</v>
      </c>
      <c r="G6544" s="32" t="s">
        <v>341</v>
      </c>
      <c r="H6544" s="33">
        <v>116660</v>
      </c>
      <c r="I6544" s="34">
        <f>Table3[[#This Row],[Volume, kg.]]/1000</f>
        <v>116.66</v>
      </c>
      <c r="J6544" s="34">
        <v>0.24179999999999999</v>
      </c>
      <c r="K6544" s="34">
        <f t="shared" si="206"/>
        <v>28208.387999999999</v>
      </c>
      <c r="L6544" s="34">
        <v>2.2599999999999998</v>
      </c>
      <c r="M6544" s="34">
        <v>264026.5</v>
      </c>
      <c r="N6544" s="34">
        <f t="shared" si="207"/>
        <v>9.3465674110835391</v>
      </c>
    </row>
    <row r="6545" spans="1:14" x14ac:dyDescent="0.45">
      <c r="A6545" s="30">
        <v>2025</v>
      </c>
      <c r="B6545" s="30" t="s">
        <v>17</v>
      </c>
      <c r="C6545" s="30" t="s">
        <v>46</v>
      </c>
      <c r="D6545" s="39" t="str">
        <f>VLOOKUP(Table3[[#This Row],[Vendor]],[1]Name.KSN!$C$2:$F$804,4,0)</f>
        <v>Farmer</v>
      </c>
      <c r="E6545" s="31" t="s">
        <v>87</v>
      </c>
      <c r="F6545" s="31" t="s">
        <v>49</v>
      </c>
      <c r="G6545" s="32" t="s">
        <v>50</v>
      </c>
      <c r="H6545" s="33">
        <v>5020</v>
      </c>
      <c r="I6545" s="34">
        <f>Table3[[#This Row],[Volume, kg.]]/1000</f>
        <v>5.0199999999999996</v>
      </c>
      <c r="J6545" s="34">
        <v>0.191</v>
      </c>
      <c r="K6545" s="34">
        <f t="shared" si="206"/>
        <v>958.82</v>
      </c>
      <c r="L6545" s="34">
        <v>1.85</v>
      </c>
      <c r="M6545" s="34">
        <v>9287</v>
      </c>
      <c r="N6545" s="34">
        <f t="shared" si="207"/>
        <v>9.6858638743455501</v>
      </c>
    </row>
    <row r="6546" spans="1:14" x14ac:dyDescent="0.45">
      <c r="A6546" s="30">
        <v>2025</v>
      </c>
      <c r="B6546" s="30" t="s">
        <v>17</v>
      </c>
      <c r="C6546" s="30" t="s">
        <v>46</v>
      </c>
      <c r="D6546" s="39" t="str">
        <f>VLOOKUP(Table3[[#This Row],[Vendor]],[1]Name.KSN!$C$2:$F$804,4,0)</f>
        <v>Farmer</v>
      </c>
      <c r="E6546" s="31" t="s">
        <v>285</v>
      </c>
      <c r="F6546" s="31" t="s">
        <v>49</v>
      </c>
      <c r="G6546" s="32" t="s">
        <v>50</v>
      </c>
      <c r="H6546" s="33">
        <v>66130</v>
      </c>
      <c r="I6546" s="34">
        <f>Table3[[#This Row],[Volume, kg.]]/1000</f>
        <v>66.13</v>
      </c>
      <c r="J6546" s="34">
        <v>0.24239999999999998</v>
      </c>
      <c r="K6546" s="34">
        <f t="shared" si="206"/>
        <v>16029.911999999998</v>
      </c>
      <c r="L6546" s="34">
        <v>2.12</v>
      </c>
      <c r="M6546" s="34">
        <v>140008</v>
      </c>
      <c r="N6546" s="34">
        <f t="shared" si="207"/>
        <v>8.7458745874587471</v>
      </c>
    </row>
    <row r="6547" spans="1:14" x14ac:dyDescent="0.45">
      <c r="A6547" s="30">
        <v>2025</v>
      </c>
      <c r="B6547" s="30" t="s">
        <v>17</v>
      </c>
      <c r="C6547" s="30" t="s">
        <v>46</v>
      </c>
      <c r="D6547" s="39" t="str">
        <f>VLOOKUP(Table3[[#This Row],[Vendor]],[1]Name.KSN!$C$2:$F$804,4,0)</f>
        <v>Farmer</v>
      </c>
      <c r="E6547" s="31" t="s">
        <v>227</v>
      </c>
      <c r="F6547" s="31" t="s">
        <v>57</v>
      </c>
      <c r="G6547" s="32" t="s">
        <v>50</v>
      </c>
      <c r="H6547" s="33">
        <v>60160</v>
      </c>
      <c r="I6547" s="34">
        <f>Table3[[#This Row],[Volume, kg.]]/1000</f>
        <v>60.16</v>
      </c>
      <c r="J6547" s="34">
        <v>0.255</v>
      </c>
      <c r="K6547" s="34">
        <f t="shared" si="206"/>
        <v>15340.800000000001</v>
      </c>
      <c r="L6547" s="34">
        <v>2.2000000000000002</v>
      </c>
      <c r="M6547" s="34">
        <v>132127</v>
      </c>
      <c r="N6547" s="34">
        <f t="shared" si="207"/>
        <v>8.6274509803921582</v>
      </c>
    </row>
    <row r="6548" spans="1:14" x14ac:dyDescent="0.45">
      <c r="A6548" s="30">
        <v>2025</v>
      </c>
      <c r="B6548" s="30" t="s">
        <v>17</v>
      </c>
      <c r="C6548" s="30" t="s">
        <v>46</v>
      </c>
      <c r="D6548" s="39" t="str">
        <f>VLOOKUP(Table3[[#This Row],[Vendor]],[1]Name.KSN!$C$2:$F$804,4,0)</f>
        <v>Farmer</v>
      </c>
      <c r="E6548" s="31" t="s">
        <v>509</v>
      </c>
      <c r="F6548" s="31" t="s">
        <v>49</v>
      </c>
      <c r="G6548" s="32" t="s">
        <v>50</v>
      </c>
      <c r="H6548" s="33">
        <v>20710</v>
      </c>
      <c r="I6548" s="34">
        <f>Table3[[#This Row],[Volume, kg.]]/1000</f>
        <v>20.71</v>
      </c>
      <c r="J6548" s="34">
        <v>0.24719999999999998</v>
      </c>
      <c r="K6548" s="34">
        <f t="shared" si="206"/>
        <v>5119.5119999999997</v>
      </c>
      <c r="L6548" s="34">
        <v>2.1800000000000002</v>
      </c>
      <c r="M6548" s="34">
        <v>45220</v>
      </c>
      <c r="N6548" s="34">
        <f t="shared" si="207"/>
        <v>8.8187702265372181</v>
      </c>
    </row>
    <row r="6549" spans="1:14" x14ac:dyDescent="0.45">
      <c r="A6549" s="30">
        <v>2025</v>
      </c>
      <c r="B6549" s="30" t="s">
        <v>17</v>
      </c>
      <c r="C6549" s="30" t="s">
        <v>46</v>
      </c>
      <c r="D6549" s="39" t="str">
        <f>VLOOKUP(Table3[[#This Row],[Vendor]],[1]Name.KSN!$C$2:$F$804,4,0)</f>
        <v>Farmer</v>
      </c>
      <c r="E6549" s="31" t="s">
        <v>159</v>
      </c>
      <c r="F6549" s="31" t="s">
        <v>81</v>
      </c>
      <c r="G6549" s="32" t="s">
        <v>50</v>
      </c>
      <c r="H6549" s="33">
        <v>39120</v>
      </c>
      <c r="I6549" s="34">
        <f>Table3[[#This Row],[Volume, kg.]]/1000</f>
        <v>39.119999999999997</v>
      </c>
      <c r="J6549" s="34">
        <v>0.23149999999999998</v>
      </c>
      <c r="K6549" s="34">
        <f t="shared" si="206"/>
        <v>9056.2799999999988</v>
      </c>
      <c r="L6549" s="34">
        <v>2.06</v>
      </c>
      <c r="M6549" s="34">
        <v>80780</v>
      </c>
      <c r="N6549" s="34">
        <f t="shared" si="207"/>
        <v>8.8984881209503257</v>
      </c>
    </row>
    <row r="6550" spans="1:14" x14ac:dyDescent="0.45">
      <c r="A6550" s="30">
        <v>2025</v>
      </c>
      <c r="B6550" s="30" t="s">
        <v>17</v>
      </c>
      <c r="C6550" s="30" t="s">
        <v>46</v>
      </c>
      <c r="D6550" s="39" t="str">
        <f>VLOOKUP(Table3[[#This Row],[Vendor]],[1]Name.KSN!$C$2:$F$804,4,0)</f>
        <v>Farmer</v>
      </c>
      <c r="E6550" s="31" t="s">
        <v>61</v>
      </c>
      <c r="F6550" s="31" t="s">
        <v>57</v>
      </c>
      <c r="G6550" s="32" t="s">
        <v>50</v>
      </c>
      <c r="H6550" s="33">
        <v>5200</v>
      </c>
      <c r="I6550" s="34">
        <f>Table3[[#This Row],[Volume, kg.]]/1000</f>
        <v>5.2</v>
      </c>
      <c r="J6550" s="34">
        <v>0.27050000000000002</v>
      </c>
      <c r="K6550" s="34">
        <f t="shared" si="206"/>
        <v>1406.6000000000001</v>
      </c>
      <c r="L6550" s="34">
        <v>2.25</v>
      </c>
      <c r="M6550" s="34">
        <v>11700</v>
      </c>
      <c r="N6550" s="34">
        <f t="shared" si="207"/>
        <v>8.317929759704251</v>
      </c>
    </row>
    <row r="6551" spans="1:14" x14ac:dyDescent="0.45">
      <c r="A6551" s="30">
        <v>2025</v>
      </c>
      <c r="B6551" s="30" t="s">
        <v>17</v>
      </c>
      <c r="C6551" s="30" t="s">
        <v>46</v>
      </c>
      <c r="D6551" s="39" t="str">
        <f>VLOOKUP(Table3[[#This Row],[Vendor]],[1]Name.KSN!$C$2:$F$804,4,0)</f>
        <v>Farmer</v>
      </c>
      <c r="E6551" s="31" t="s">
        <v>405</v>
      </c>
      <c r="F6551" s="31" t="s">
        <v>240</v>
      </c>
      <c r="G6551" s="32" t="s">
        <v>50</v>
      </c>
      <c r="H6551" s="33">
        <v>6040</v>
      </c>
      <c r="I6551" s="34">
        <f>Table3[[#This Row],[Volume, kg.]]/1000</f>
        <v>6.04</v>
      </c>
      <c r="J6551" s="34">
        <v>0.1837</v>
      </c>
      <c r="K6551" s="34">
        <f t="shared" si="206"/>
        <v>1109.548</v>
      </c>
      <c r="L6551" s="34">
        <v>1.8</v>
      </c>
      <c r="M6551" s="34">
        <v>10849</v>
      </c>
      <c r="N6551" s="34">
        <f t="shared" si="207"/>
        <v>9.7985846488840505</v>
      </c>
    </row>
    <row r="6552" spans="1:14" x14ac:dyDescent="0.45">
      <c r="A6552" s="30">
        <v>2025</v>
      </c>
      <c r="B6552" s="30" t="s">
        <v>17</v>
      </c>
      <c r="C6552" s="30" t="s">
        <v>46</v>
      </c>
      <c r="D6552" s="39" t="str">
        <f>VLOOKUP(Table3[[#This Row],[Vendor]],[1]Name.KSN!$C$2:$F$804,4,0)</f>
        <v>Farmer</v>
      </c>
      <c r="E6552" s="31" t="s">
        <v>347</v>
      </c>
      <c r="F6552" s="31" t="s">
        <v>49</v>
      </c>
      <c r="G6552" s="32" t="s">
        <v>50</v>
      </c>
      <c r="H6552" s="33">
        <v>11650</v>
      </c>
      <c r="I6552" s="34">
        <f>Table3[[#This Row],[Volume, kg.]]/1000</f>
        <v>11.65</v>
      </c>
      <c r="J6552" s="34">
        <v>0.2823</v>
      </c>
      <c r="K6552" s="34">
        <f t="shared" si="206"/>
        <v>3288.7950000000001</v>
      </c>
      <c r="L6552" s="34">
        <v>2.3199999999999998</v>
      </c>
      <c r="M6552" s="34">
        <v>26983</v>
      </c>
      <c r="N6552" s="34">
        <f t="shared" si="207"/>
        <v>8.218207580588027</v>
      </c>
    </row>
    <row r="6553" spans="1:14" x14ac:dyDescent="0.45">
      <c r="A6553" s="30">
        <v>2025</v>
      </c>
      <c r="B6553" s="30" t="s">
        <v>17</v>
      </c>
      <c r="C6553" s="30" t="s">
        <v>46</v>
      </c>
      <c r="D6553" s="39" t="str">
        <f>VLOOKUP(Table3[[#This Row],[Vendor]],[1]Name.KSN!$C$2:$F$804,4,0)</f>
        <v>Farmer</v>
      </c>
      <c r="E6553" s="31" t="s">
        <v>255</v>
      </c>
      <c r="F6553" s="31" t="s">
        <v>60</v>
      </c>
      <c r="G6553" s="32" t="s">
        <v>50</v>
      </c>
      <c r="H6553" s="33">
        <v>4570</v>
      </c>
      <c r="I6553" s="34">
        <f>Table3[[#This Row],[Volume, kg.]]/1000</f>
        <v>4.57</v>
      </c>
      <c r="J6553" s="34">
        <v>0.247</v>
      </c>
      <c r="K6553" s="34">
        <f t="shared" si="206"/>
        <v>1128.79</v>
      </c>
      <c r="L6553" s="34">
        <v>2.25</v>
      </c>
      <c r="M6553" s="34">
        <v>10282.5</v>
      </c>
      <c r="N6553" s="34">
        <f t="shared" si="207"/>
        <v>9.1093117408906892</v>
      </c>
    </row>
    <row r="6554" spans="1:14" x14ac:dyDescent="0.45">
      <c r="A6554" s="30">
        <v>2025</v>
      </c>
      <c r="B6554" s="30" t="s">
        <v>17</v>
      </c>
      <c r="C6554" s="30" t="s">
        <v>46</v>
      </c>
      <c r="D6554" s="39" t="str">
        <f>VLOOKUP(Table3[[#This Row],[Vendor]],[1]Name.KSN!$C$2:$F$804,4,0)</f>
        <v>Farmer</v>
      </c>
      <c r="E6554" s="31" t="s">
        <v>309</v>
      </c>
      <c r="F6554" s="31" t="s">
        <v>81</v>
      </c>
      <c r="G6554" s="32" t="s">
        <v>50</v>
      </c>
      <c r="H6554" s="33">
        <v>12640</v>
      </c>
      <c r="I6554" s="34">
        <f>Table3[[#This Row],[Volume, kg.]]/1000</f>
        <v>12.64</v>
      </c>
      <c r="J6554" s="34">
        <v>0.19800000000000001</v>
      </c>
      <c r="K6554" s="34">
        <f t="shared" si="206"/>
        <v>2502.7200000000003</v>
      </c>
      <c r="L6554" s="34">
        <v>1.9</v>
      </c>
      <c r="M6554" s="34">
        <v>24016</v>
      </c>
      <c r="N6554" s="34">
        <f t="shared" si="207"/>
        <v>9.5959595959595951</v>
      </c>
    </row>
    <row r="6555" spans="1:14" x14ac:dyDescent="0.45">
      <c r="A6555" s="30">
        <v>2025</v>
      </c>
      <c r="B6555" s="30" t="s">
        <v>17</v>
      </c>
      <c r="C6555" s="30" t="s">
        <v>46</v>
      </c>
      <c r="D6555" s="39" t="str">
        <f>VLOOKUP(Table3[[#This Row],[Vendor]],[1]Name.KSN!$C$2:$F$804,4,0)</f>
        <v>Farmer</v>
      </c>
      <c r="E6555" s="31" t="s">
        <v>510</v>
      </c>
      <c r="F6555" s="31" t="s">
        <v>49</v>
      </c>
      <c r="G6555" s="32" t="s">
        <v>50</v>
      </c>
      <c r="H6555" s="33">
        <v>14450</v>
      </c>
      <c r="I6555" s="34">
        <f>Table3[[#This Row],[Volume, kg.]]/1000</f>
        <v>14.45</v>
      </c>
      <c r="J6555" s="34">
        <v>0.25659999999999999</v>
      </c>
      <c r="K6555" s="34">
        <f t="shared" si="206"/>
        <v>3707.87</v>
      </c>
      <c r="L6555" s="34">
        <v>2.19</v>
      </c>
      <c r="M6555" s="34">
        <v>31693</v>
      </c>
      <c r="N6555" s="34">
        <f t="shared" si="207"/>
        <v>8.534684333593141</v>
      </c>
    </row>
    <row r="6556" spans="1:14" x14ac:dyDescent="0.45">
      <c r="A6556" s="30">
        <v>2025</v>
      </c>
      <c r="B6556" s="30" t="s">
        <v>17</v>
      </c>
      <c r="C6556" s="30" t="s">
        <v>46</v>
      </c>
      <c r="D6556" s="39" t="str">
        <f>VLOOKUP(Table3[[#This Row],[Vendor]],[1]Name.KSN!$C$2:$F$804,4,0)</f>
        <v>Farmer</v>
      </c>
      <c r="E6556" s="31" t="s">
        <v>53</v>
      </c>
      <c r="F6556" s="31" t="s">
        <v>54</v>
      </c>
      <c r="G6556" s="32" t="s">
        <v>50</v>
      </c>
      <c r="H6556" s="33">
        <v>152780</v>
      </c>
      <c r="I6556" s="34">
        <f>Table3[[#This Row],[Volume, kg.]]/1000</f>
        <v>152.78</v>
      </c>
      <c r="J6556" s="34">
        <v>0.24280000000000002</v>
      </c>
      <c r="K6556" s="34">
        <f t="shared" si="206"/>
        <v>37094.984000000004</v>
      </c>
      <c r="L6556" s="34">
        <v>2.15</v>
      </c>
      <c r="M6556" s="34">
        <v>327776.5</v>
      </c>
      <c r="N6556" s="34">
        <f t="shared" si="207"/>
        <v>8.8550247116968688</v>
      </c>
    </row>
    <row r="6557" spans="1:14" x14ac:dyDescent="0.45">
      <c r="A6557" s="30">
        <v>2025</v>
      </c>
      <c r="B6557" s="30" t="s">
        <v>17</v>
      </c>
      <c r="C6557" s="30" t="s">
        <v>46</v>
      </c>
      <c r="D6557" s="39" t="str">
        <f>VLOOKUP(Table3[[#This Row],[Vendor]],[1]Name.KSN!$C$2:$F$804,4,0)</f>
        <v>Farmer</v>
      </c>
      <c r="E6557" s="31" t="s">
        <v>151</v>
      </c>
      <c r="F6557" s="31" t="s">
        <v>60</v>
      </c>
      <c r="G6557" s="32" t="s">
        <v>50</v>
      </c>
      <c r="H6557" s="33">
        <v>27090</v>
      </c>
      <c r="I6557" s="34">
        <f>Table3[[#This Row],[Volume, kg.]]/1000</f>
        <v>27.09</v>
      </c>
      <c r="J6557" s="34">
        <v>0.20499999999999999</v>
      </c>
      <c r="K6557" s="34">
        <f t="shared" si="206"/>
        <v>5553.45</v>
      </c>
      <c r="L6557" s="34">
        <v>1.92</v>
      </c>
      <c r="M6557" s="34">
        <v>51981</v>
      </c>
      <c r="N6557" s="34">
        <f t="shared" si="207"/>
        <v>9.3658536585365848</v>
      </c>
    </row>
    <row r="6558" spans="1:14" x14ac:dyDescent="0.45">
      <c r="A6558" s="30">
        <v>2025</v>
      </c>
      <c r="B6558" s="30" t="s">
        <v>17</v>
      </c>
      <c r="C6558" s="30" t="s">
        <v>46</v>
      </c>
      <c r="D6558" s="39" t="str">
        <f>VLOOKUP(Table3[[#This Row],[Vendor]],[1]Name.KSN!$C$2:$F$804,4,0)</f>
        <v>Broker</v>
      </c>
      <c r="E6558" s="31" t="s">
        <v>658</v>
      </c>
      <c r="F6558" s="31" t="s">
        <v>64</v>
      </c>
      <c r="G6558" s="32" t="s">
        <v>50</v>
      </c>
      <c r="H6558" s="33">
        <v>17510</v>
      </c>
      <c r="I6558" s="34">
        <f>Table3[[#This Row],[Volume, kg.]]/1000</f>
        <v>17.510000000000002</v>
      </c>
      <c r="J6558" s="34">
        <v>0.251</v>
      </c>
      <c r="K6558" s="34">
        <f t="shared" si="206"/>
        <v>4395.01</v>
      </c>
      <c r="L6558" s="34">
        <v>2.4500000000000002</v>
      </c>
      <c r="M6558" s="34">
        <v>42899.5</v>
      </c>
      <c r="N6558" s="34">
        <f t="shared" si="207"/>
        <v>9.760956175298805</v>
      </c>
    </row>
    <row r="6559" spans="1:14" x14ac:dyDescent="0.45">
      <c r="A6559" s="30">
        <v>2025</v>
      </c>
      <c r="B6559" s="30" t="s">
        <v>17</v>
      </c>
      <c r="C6559" s="30" t="s">
        <v>46</v>
      </c>
      <c r="D6559" s="39" t="str">
        <f>VLOOKUP(Table3[[#This Row],[Vendor]],[1]Name.KSN!$C$2:$F$804,4,0)</f>
        <v>Farmer</v>
      </c>
      <c r="E6559" s="31" t="s">
        <v>252</v>
      </c>
      <c r="F6559" s="31" t="s">
        <v>49</v>
      </c>
      <c r="G6559" s="32" t="s">
        <v>50</v>
      </c>
      <c r="H6559" s="33">
        <v>62820</v>
      </c>
      <c r="I6559" s="34">
        <f>Table3[[#This Row],[Volume, kg.]]/1000</f>
        <v>62.82</v>
      </c>
      <c r="J6559" s="34">
        <v>0.2447</v>
      </c>
      <c r="K6559" s="34">
        <f t="shared" si="206"/>
        <v>15372.054</v>
      </c>
      <c r="L6559" s="34">
        <v>2.16</v>
      </c>
      <c r="M6559" s="34">
        <v>135562</v>
      </c>
      <c r="N6559" s="34">
        <f t="shared" si="207"/>
        <v>8.8271352676747039</v>
      </c>
    </row>
    <row r="6560" spans="1:14" x14ac:dyDescent="0.45">
      <c r="A6560" s="30">
        <v>2025</v>
      </c>
      <c r="B6560" s="30" t="s">
        <v>17</v>
      </c>
      <c r="C6560" s="30" t="s">
        <v>46</v>
      </c>
      <c r="D6560" s="39" t="str">
        <f>VLOOKUP(Table3[[#This Row],[Vendor]],[1]Name.KSN!$C$2:$F$804,4,0)</f>
        <v>Farmer</v>
      </c>
      <c r="E6560" s="31" t="s">
        <v>95</v>
      </c>
      <c r="F6560" s="31" t="s">
        <v>49</v>
      </c>
      <c r="G6560" s="32" t="s">
        <v>50</v>
      </c>
      <c r="H6560" s="33">
        <v>43420</v>
      </c>
      <c r="I6560" s="34">
        <f>Table3[[#This Row],[Volume, kg.]]/1000</f>
        <v>43.42</v>
      </c>
      <c r="J6560" s="34">
        <v>0.24859999999999999</v>
      </c>
      <c r="K6560" s="34">
        <f t="shared" si="206"/>
        <v>10794.212</v>
      </c>
      <c r="L6560" s="34">
        <v>2.17</v>
      </c>
      <c r="M6560" s="34">
        <v>94343.5</v>
      </c>
      <c r="N6560" s="34">
        <f t="shared" si="207"/>
        <v>8.7288817377312959</v>
      </c>
    </row>
    <row r="6561" spans="1:14" x14ac:dyDescent="0.45">
      <c r="A6561" s="30">
        <v>2025</v>
      </c>
      <c r="B6561" s="30" t="s">
        <v>17</v>
      </c>
      <c r="C6561" s="30" t="s">
        <v>46</v>
      </c>
      <c r="D6561" s="39" t="str">
        <f>VLOOKUP(Table3[[#This Row],[Vendor]],[1]Name.KSN!$C$2:$F$804,4,0)</f>
        <v>Farmer</v>
      </c>
      <c r="E6561" s="31" t="s">
        <v>205</v>
      </c>
      <c r="F6561" s="31" t="s">
        <v>49</v>
      </c>
      <c r="G6561" s="32" t="s">
        <v>50</v>
      </c>
      <c r="H6561" s="33">
        <v>92030</v>
      </c>
      <c r="I6561" s="34">
        <f>Table3[[#This Row],[Volume, kg.]]/1000</f>
        <v>92.03</v>
      </c>
      <c r="J6561" s="34">
        <v>0.2394</v>
      </c>
      <c r="K6561" s="34">
        <f t="shared" si="206"/>
        <v>22031.982</v>
      </c>
      <c r="L6561" s="34">
        <v>2.12</v>
      </c>
      <c r="M6561" s="34">
        <v>195156.5</v>
      </c>
      <c r="N6561" s="34">
        <f t="shared" si="207"/>
        <v>8.8554720133667502</v>
      </c>
    </row>
    <row r="6562" spans="1:14" x14ac:dyDescent="0.45">
      <c r="A6562" s="30">
        <v>2025</v>
      </c>
      <c r="B6562" s="30" t="s">
        <v>17</v>
      </c>
      <c r="C6562" s="30" t="s">
        <v>46</v>
      </c>
      <c r="D6562" s="39" t="str">
        <f>VLOOKUP(Table3[[#This Row],[Vendor]],[1]Name.KSN!$C$2:$F$804,4,0)</f>
        <v>Broker</v>
      </c>
      <c r="E6562" s="31" t="s">
        <v>366</v>
      </c>
      <c r="F6562" s="31" t="s">
        <v>367</v>
      </c>
      <c r="G6562" s="32" t="s">
        <v>368</v>
      </c>
      <c r="H6562" s="33">
        <v>76960</v>
      </c>
      <c r="I6562" s="34">
        <f>Table3[[#This Row],[Volume, kg.]]/1000</f>
        <v>76.959999999999994</v>
      </c>
      <c r="J6562" s="34">
        <v>0.2291</v>
      </c>
      <c r="K6562" s="34">
        <f t="shared" si="206"/>
        <v>17631.536</v>
      </c>
      <c r="L6562" s="34">
        <v>2.2200000000000002</v>
      </c>
      <c r="M6562" s="34">
        <v>170581.5</v>
      </c>
      <c r="N6562" s="34">
        <f t="shared" si="207"/>
        <v>9.6900916630292464</v>
      </c>
    </row>
    <row r="6563" spans="1:14" x14ac:dyDescent="0.45">
      <c r="A6563" s="30">
        <v>2025</v>
      </c>
      <c r="B6563" s="30" t="s">
        <v>17</v>
      </c>
      <c r="C6563" s="30" t="s">
        <v>46</v>
      </c>
      <c r="D6563" s="39" t="str">
        <f>VLOOKUP(Table3[[#This Row],[Vendor]],[1]Name.KSN!$C$2:$F$804,4,0)</f>
        <v>Farmer</v>
      </c>
      <c r="E6563" s="31" t="s">
        <v>410</v>
      </c>
      <c r="F6563" s="31" t="s">
        <v>54</v>
      </c>
      <c r="G6563" s="32" t="s">
        <v>50</v>
      </c>
      <c r="H6563" s="33">
        <v>16400</v>
      </c>
      <c r="I6563" s="34">
        <f>Table3[[#This Row],[Volume, kg.]]/1000</f>
        <v>16.399999999999999</v>
      </c>
      <c r="J6563" s="34">
        <v>0.23250000000000001</v>
      </c>
      <c r="K6563" s="34">
        <f t="shared" si="206"/>
        <v>3813</v>
      </c>
      <c r="L6563" s="34">
        <v>2.1</v>
      </c>
      <c r="M6563" s="34">
        <v>34440</v>
      </c>
      <c r="N6563" s="34">
        <f t="shared" si="207"/>
        <v>9.0322580645161281</v>
      </c>
    </row>
    <row r="6564" spans="1:14" x14ac:dyDescent="0.45">
      <c r="A6564" s="30">
        <v>2025</v>
      </c>
      <c r="B6564" s="30" t="s">
        <v>17</v>
      </c>
      <c r="C6564" s="30" t="s">
        <v>46</v>
      </c>
      <c r="D6564" s="39" t="str">
        <f>VLOOKUP(Table3[[#This Row],[Vendor]],[1]Name.KSN!$C$2:$F$804,4,0)</f>
        <v>Broker</v>
      </c>
      <c r="E6564" s="31" t="s">
        <v>418</v>
      </c>
      <c r="F6564" s="31" t="s">
        <v>104</v>
      </c>
      <c r="G6564" s="32" t="s">
        <v>105</v>
      </c>
      <c r="H6564" s="33">
        <v>1332970</v>
      </c>
      <c r="I6564" s="34">
        <f>Table3[[#This Row],[Volume, kg.]]/1000</f>
        <v>1332.97</v>
      </c>
      <c r="J6564" s="34">
        <v>0.24239999999999998</v>
      </c>
      <c r="K6564" s="34">
        <f t="shared" si="206"/>
        <v>323111.92799999996</v>
      </c>
      <c r="L6564" s="34">
        <v>2.34</v>
      </c>
      <c r="M6564" s="34">
        <v>3123845</v>
      </c>
      <c r="N6564" s="34">
        <f t="shared" si="207"/>
        <v>9.653465346534654</v>
      </c>
    </row>
    <row r="6565" spans="1:14" x14ac:dyDescent="0.45">
      <c r="A6565" s="30">
        <v>2025</v>
      </c>
      <c r="B6565" s="30" t="s">
        <v>17</v>
      </c>
      <c r="C6565" s="30" t="s">
        <v>46</v>
      </c>
      <c r="D6565" s="39" t="str">
        <f>VLOOKUP(Table3[[#This Row],[Vendor]],[1]Name.KSN!$C$2:$F$804,4,0)</f>
        <v>Farmer</v>
      </c>
      <c r="E6565" s="31" t="s">
        <v>517</v>
      </c>
      <c r="F6565" s="31" t="s">
        <v>57</v>
      </c>
      <c r="G6565" s="32" t="s">
        <v>50</v>
      </c>
      <c r="H6565" s="33">
        <v>5650</v>
      </c>
      <c r="I6565" s="34">
        <f>Table3[[#This Row],[Volume, kg.]]/1000</f>
        <v>5.65</v>
      </c>
      <c r="J6565" s="34">
        <v>0.26950000000000002</v>
      </c>
      <c r="K6565" s="34">
        <f t="shared" si="206"/>
        <v>1522.6750000000002</v>
      </c>
      <c r="L6565" s="34">
        <v>2.25</v>
      </c>
      <c r="M6565" s="34">
        <v>12712.5</v>
      </c>
      <c r="N6565" s="34">
        <f t="shared" si="207"/>
        <v>8.3487940630797777</v>
      </c>
    </row>
    <row r="6566" spans="1:14" x14ac:dyDescent="0.45">
      <c r="A6566" s="30">
        <v>2025</v>
      </c>
      <c r="B6566" s="30" t="s">
        <v>17</v>
      </c>
      <c r="C6566" s="30" t="s">
        <v>46</v>
      </c>
      <c r="D6566" s="39" t="str">
        <f>VLOOKUP(Table3[[#This Row],[Vendor]],[1]Name.KSN!$C$2:$F$804,4,0)</f>
        <v>Farmer</v>
      </c>
      <c r="E6566" s="31" t="s">
        <v>603</v>
      </c>
      <c r="F6566" s="31" t="s">
        <v>49</v>
      </c>
      <c r="G6566" s="32" t="s">
        <v>50</v>
      </c>
      <c r="H6566" s="33">
        <v>43170</v>
      </c>
      <c r="I6566" s="34">
        <f>Table3[[#This Row],[Volume, kg.]]/1000</f>
        <v>43.17</v>
      </c>
      <c r="J6566" s="34">
        <v>0.25659999999999999</v>
      </c>
      <c r="K6566" s="34">
        <f t="shared" si="206"/>
        <v>11077.422</v>
      </c>
      <c r="L6566" s="34">
        <v>2.21</v>
      </c>
      <c r="M6566" s="34">
        <v>95291</v>
      </c>
      <c r="N6566" s="34">
        <f t="shared" si="207"/>
        <v>8.6126266562743563</v>
      </c>
    </row>
    <row r="6567" spans="1:14" x14ac:dyDescent="0.45">
      <c r="A6567" s="30">
        <v>2025</v>
      </c>
      <c r="B6567" s="30" t="s">
        <v>17</v>
      </c>
      <c r="C6567" s="30" t="s">
        <v>46</v>
      </c>
      <c r="D6567" s="39" t="str">
        <f>VLOOKUP(Table3[[#This Row],[Vendor]],[1]Name.KSN!$C$2:$F$804,4,0)</f>
        <v>Broker</v>
      </c>
      <c r="E6567" s="31" t="s">
        <v>555</v>
      </c>
      <c r="F6567" s="31" t="s">
        <v>556</v>
      </c>
      <c r="G6567" s="32" t="s">
        <v>557</v>
      </c>
      <c r="H6567" s="33">
        <v>31330</v>
      </c>
      <c r="I6567" s="34">
        <f>Table3[[#This Row],[Volume, kg.]]/1000</f>
        <v>31.33</v>
      </c>
      <c r="J6567" s="34">
        <v>0.26899999999999996</v>
      </c>
      <c r="K6567" s="34">
        <f t="shared" si="206"/>
        <v>8427.7699999999986</v>
      </c>
      <c r="L6567" s="34">
        <v>2.6</v>
      </c>
      <c r="M6567" s="34">
        <v>81458</v>
      </c>
      <c r="N6567" s="34">
        <f t="shared" si="207"/>
        <v>9.6654275092936821</v>
      </c>
    </row>
    <row r="6568" spans="1:14" x14ac:dyDescent="0.45">
      <c r="A6568" s="30">
        <v>2025</v>
      </c>
      <c r="B6568" s="30" t="s">
        <v>17</v>
      </c>
      <c r="C6568" s="30" t="s">
        <v>46</v>
      </c>
      <c r="D6568" s="39" t="str">
        <f>VLOOKUP(Table3[[#This Row],[Vendor]],[1]Name.KSN!$C$2:$F$804,4,0)</f>
        <v>Farmer</v>
      </c>
      <c r="E6568" s="31" t="s">
        <v>593</v>
      </c>
      <c r="F6568" s="31" t="s">
        <v>49</v>
      </c>
      <c r="G6568" s="32" t="s">
        <v>50</v>
      </c>
      <c r="H6568" s="33">
        <v>23900</v>
      </c>
      <c r="I6568" s="34">
        <f>Table3[[#This Row],[Volume, kg.]]/1000</f>
        <v>23.9</v>
      </c>
      <c r="J6568" s="34">
        <v>0.25429999999999997</v>
      </c>
      <c r="K6568" s="34">
        <f t="shared" si="206"/>
        <v>6077.7699999999995</v>
      </c>
      <c r="L6568" s="34">
        <v>2.1800000000000002</v>
      </c>
      <c r="M6568" s="34">
        <v>52058</v>
      </c>
      <c r="N6568" s="34">
        <f t="shared" si="207"/>
        <v>8.5725521038143935</v>
      </c>
    </row>
    <row r="6569" spans="1:14" x14ac:dyDescent="0.45">
      <c r="A6569" s="30">
        <v>2025</v>
      </c>
      <c r="B6569" s="30" t="s">
        <v>17</v>
      </c>
      <c r="C6569" s="30" t="s">
        <v>46</v>
      </c>
      <c r="D6569" s="39" t="str">
        <f>VLOOKUP(Table3[[#This Row],[Vendor]],[1]Name.KSN!$C$2:$F$804,4,0)</f>
        <v>Farmer</v>
      </c>
      <c r="E6569" s="31" t="s">
        <v>612</v>
      </c>
      <c r="F6569" s="31" t="s">
        <v>57</v>
      </c>
      <c r="G6569" s="32" t="s">
        <v>50</v>
      </c>
      <c r="H6569" s="33">
        <v>12050</v>
      </c>
      <c r="I6569" s="34">
        <f>Table3[[#This Row],[Volume, kg.]]/1000</f>
        <v>12.05</v>
      </c>
      <c r="J6569" s="34">
        <v>0.27500000000000002</v>
      </c>
      <c r="K6569" s="34">
        <f t="shared" si="206"/>
        <v>3313.7500000000005</v>
      </c>
      <c r="L6569" s="34">
        <v>2.35</v>
      </c>
      <c r="M6569" s="34">
        <v>28317.5</v>
      </c>
      <c r="N6569" s="34">
        <f t="shared" si="207"/>
        <v>8.545454545454545</v>
      </c>
    </row>
    <row r="6570" spans="1:14" x14ac:dyDescent="0.45">
      <c r="A6570" s="30">
        <v>2025</v>
      </c>
      <c r="B6570" s="30" t="s">
        <v>17</v>
      </c>
      <c r="C6570" s="30" t="s">
        <v>46</v>
      </c>
      <c r="D6570" s="39" t="str">
        <f>VLOOKUP(Table3[[#This Row],[Vendor]],[1]Name.KSN!$C$2:$F$804,4,0)</f>
        <v>Farmer</v>
      </c>
      <c r="E6570" s="31" t="s">
        <v>619</v>
      </c>
      <c r="F6570" s="31" t="s">
        <v>81</v>
      </c>
      <c r="G6570" s="32" t="s">
        <v>50</v>
      </c>
      <c r="H6570" s="33">
        <v>13750</v>
      </c>
      <c r="I6570" s="34">
        <f>Table3[[#This Row],[Volume, kg.]]/1000</f>
        <v>13.75</v>
      </c>
      <c r="J6570" s="34">
        <v>0.26100000000000001</v>
      </c>
      <c r="K6570" s="34">
        <f t="shared" si="206"/>
        <v>3588.75</v>
      </c>
      <c r="L6570" s="34">
        <v>2.2000000000000002</v>
      </c>
      <c r="M6570" s="34">
        <v>30250</v>
      </c>
      <c r="N6570" s="34">
        <f t="shared" si="207"/>
        <v>8.4291187739463602</v>
      </c>
    </row>
    <row r="6571" spans="1:14" x14ac:dyDescent="0.45">
      <c r="A6571" s="30">
        <v>2025</v>
      </c>
      <c r="B6571" s="30" t="s">
        <v>17</v>
      </c>
      <c r="C6571" s="30" t="s">
        <v>46</v>
      </c>
      <c r="D6571" s="39" t="str">
        <f>VLOOKUP(Table3[[#This Row],[Vendor]],[1]Name.KSN!$C$2:$F$804,4,0)</f>
        <v>Farmer</v>
      </c>
      <c r="E6571" s="31" t="s">
        <v>659</v>
      </c>
      <c r="F6571" s="31" t="s">
        <v>49</v>
      </c>
      <c r="G6571" s="32" t="s">
        <v>50</v>
      </c>
      <c r="H6571" s="33">
        <v>44890</v>
      </c>
      <c r="I6571" s="34">
        <f>Table3[[#This Row],[Volume, kg.]]/1000</f>
        <v>44.89</v>
      </c>
      <c r="J6571" s="34">
        <v>0.26190000000000002</v>
      </c>
      <c r="K6571" s="34">
        <f t="shared" si="206"/>
        <v>11756.691000000001</v>
      </c>
      <c r="L6571" s="34">
        <v>2.2200000000000002</v>
      </c>
      <c r="M6571" s="34">
        <v>99672</v>
      </c>
      <c r="N6571" s="34">
        <f t="shared" si="207"/>
        <v>8.4765177548682704</v>
      </c>
    </row>
    <row r="6572" spans="1:14" x14ac:dyDescent="0.45">
      <c r="A6572" s="30">
        <v>2025</v>
      </c>
      <c r="B6572" s="30" t="s">
        <v>17</v>
      </c>
      <c r="C6572" s="30" t="s">
        <v>46</v>
      </c>
      <c r="D6572" s="39" t="str">
        <f>VLOOKUP(Table3[[#This Row],[Vendor]],[1]Name.KSN!$C$2:$F$804,4,0)</f>
        <v>Farmer</v>
      </c>
      <c r="E6572" s="31" t="s">
        <v>646</v>
      </c>
      <c r="F6572" s="31" t="s">
        <v>49</v>
      </c>
      <c r="G6572" s="32" t="s">
        <v>50</v>
      </c>
      <c r="H6572" s="33">
        <v>39500</v>
      </c>
      <c r="I6572" s="34">
        <f>Table3[[#This Row],[Volume, kg.]]/1000</f>
        <v>39.5</v>
      </c>
      <c r="J6572" s="34">
        <v>0.22829999999999998</v>
      </c>
      <c r="K6572" s="34">
        <f t="shared" si="206"/>
        <v>9017.8499999999985</v>
      </c>
      <c r="L6572" s="34">
        <v>2.06</v>
      </c>
      <c r="M6572" s="34">
        <v>81346.5</v>
      </c>
      <c r="N6572" s="34">
        <f t="shared" si="207"/>
        <v>9.0232150678931244</v>
      </c>
    </row>
    <row r="6573" spans="1:14" x14ac:dyDescent="0.45">
      <c r="A6573" s="30">
        <v>2025</v>
      </c>
      <c r="B6573" s="30" t="s">
        <v>17</v>
      </c>
      <c r="C6573" s="30" t="s">
        <v>46</v>
      </c>
      <c r="D6573" s="39" t="str">
        <f>VLOOKUP(Table3[[#This Row],[Vendor]],[1]Name.KSN!$C$2:$F$804,4,0)</f>
        <v>Farmer</v>
      </c>
      <c r="E6573" s="31" t="s">
        <v>670</v>
      </c>
      <c r="F6573" s="31" t="s">
        <v>81</v>
      </c>
      <c r="G6573" s="32" t="s">
        <v>50</v>
      </c>
      <c r="H6573" s="33">
        <v>39770</v>
      </c>
      <c r="I6573" s="34">
        <f>Table3[[#This Row],[Volume, kg.]]/1000</f>
        <v>39.770000000000003</v>
      </c>
      <c r="J6573" s="34">
        <v>0.24429999999999999</v>
      </c>
      <c r="K6573" s="34">
        <f t="shared" si="206"/>
        <v>9715.8109999999997</v>
      </c>
      <c r="L6573" s="34">
        <v>2.1800000000000002</v>
      </c>
      <c r="M6573" s="34">
        <v>86512</v>
      </c>
      <c r="N6573" s="34">
        <f t="shared" si="207"/>
        <v>8.9234547687269767</v>
      </c>
    </row>
    <row r="6574" spans="1:14" x14ac:dyDescent="0.45">
      <c r="A6574" s="30">
        <v>2025</v>
      </c>
      <c r="B6574" s="30" t="s">
        <v>17</v>
      </c>
      <c r="C6574" s="30" t="s">
        <v>46</v>
      </c>
      <c r="D6574" s="39" t="str">
        <f>VLOOKUP(Table3[[#This Row],[Vendor]],[1]Name.KSN!$C$2:$F$804,4,0)</f>
        <v>Farmer</v>
      </c>
      <c r="E6574" s="31" t="s">
        <v>662</v>
      </c>
      <c r="F6574" s="31" t="s">
        <v>57</v>
      </c>
      <c r="G6574" s="32" t="s">
        <v>50</v>
      </c>
      <c r="H6574" s="33">
        <v>15300</v>
      </c>
      <c r="I6574" s="34">
        <f>Table3[[#This Row],[Volume, kg.]]/1000</f>
        <v>15.3</v>
      </c>
      <c r="J6574" s="34">
        <v>0.26839999999999997</v>
      </c>
      <c r="K6574" s="34">
        <f t="shared" si="206"/>
        <v>4106.5199999999995</v>
      </c>
      <c r="L6574" s="34">
        <v>2.3199999999999998</v>
      </c>
      <c r="M6574" s="34">
        <v>35533</v>
      </c>
      <c r="N6574" s="34">
        <f t="shared" si="207"/>
        <v>8.6438152011922504</v>
      </c>
    </row>
    <row r="6575" spans="1:14" x14ac:dyDescent="0.45">
      <c r="A6575" s="30">
        <v>2025</v>
      </c>
      <c r="B6575" s="30" t="s">
        <v>17</v>
      </c>
      <c r="C6575" s="30" t="s">
        <v>46</v>
      </c>
      <c r="D6575" s="39" t="str">
        <f>VLOOKUP(Table3[[#This Row],[Vendor]],[1]Name.KSN!$C$2:$F$804,4,0)</f>
        <v>Farmer</v>
      </c>
      <c r="E6575" s="31" t="s">
        <v>676</v>
      </c>
      <c r="F6575" s="31" t="s">
        <v>60</v>
      </c>
      <c r="G6575" s="32" t="s">
        <v>50</v>
      </c>
      <c r="H6575" s="33">
        <v>20230</v>
      </c>
      <c r="I6575" s="34">
        <f>Table3[[#This Row],[Volume, kg.]]/1000</f>
        <v>20.23</v>
      </c>
      <c r="J6575" s="34">
        <v>0.25170000000000003</v>
      </c>
      <c r="K6575" s="34">
        <f t="shared" si="206"/>
        <v>5091.8910000000005</v>
      </c>
      <c r="L6575" s="34">
        <v>2.15</v>
      </c>
      <c r="M6575" s="34">
        <v>43494.5</v>
      </c>
      <c r="N6575" s="34">
        <f t="shared" si="207"/>
        <v>8.5419149781485881</v>
      </c>
    </row>
    <row r="6576" spans="1:14" x14ac:dyDescent="0.45">
      <c r="A6576" s="30">
        <v>2025</v>
      </c>
      <c r="B6576" s="30" t="s">
        <v>17</v>
      </c>
      <c r="C6576" s="30" t="s">
        <v>46</v>
      </c>
      <c r="D6576" s="39" t="str">
        <f>VLOOKUP(Table3[[#This Row],[Vendor]],[1]Name.KSN!$C$2:$F$804,4,0)</f>
        <v>Broker</v>
      </c>
      <c r="E6576" s="31" t="s">
        <v>695</v>
      </c>
      <c r="F6576" s="31" t="s">
        <v>696</v>
      </c>
      <c r="G6576" s="32" t="s">
        <v>557</v>
      </c>
      <c r="H6576" s="33">
        <v>563680</v>
      </c>
      <c r="I6576" s="34">
        <f>Table3[[#This Row],[Volume, kg.]]/1000</f>
        <v>563.67999999999995</v>
      </c>
      <c r="J6576" s="34">
        <v>0.23620000000000002</v>
      </c>
      <c r="K6576" s="34">
        <f t="shared" si="206"/>
        <v>133141.21600000001</v>
      </c>
      <c r="L6576" s="34">
        <v>2.27</v>
      </c>
      <c r="M6576" s="34">
        <v>1280791.5</v>
      </c>
      <c r="N6576" s="34">
        <f t="shared" si="207"/>
        <v>9.610499576629973</v>
      </c>
    </row>
    <row r="6577" spans="1:14" x14ac:dyDescent="0.45">
      <c r="A6577" s="30">
        <v>2025</v>
      </c>
      <c r="B6577" s="30" t="s">
        <v>17</v>
      </c>
      <c r="C6577" s="30" t="s">
        <v>46</v>
      </c>
      <c r="D6577" s="39" t="str">
        <f>VLOOKUP(Table3[[#This Row],[Vendor]],[1]Name.KSN!$C$2:$F$804,4,0)</f>
        <v>Farmer</v>
      </c>
      <c r="E6577" s="31" t="s">
        <v>687</v>
      </c>
      <c r="F6577" s="31" t="s">
        <v>49</v>
      </c>
      <c r="G6577" s="32" t="s">
        <v>50</v>
      </c>
      <c r="H6577" s="33">
        <v>21200</v>
      </c>
      <c r="I6577" s="34">
        <f>Table3[[#This Row],[Volume, kg.]]/1000</f>
        <v>21.2</v>
      </c>
      <c r="J6577" s="34">
        <v>0.247</v>
      </c>
      <c r="K6577" s="34">
        <f t="shared" si="206"/>
        <v>5236.3999999999996</v>
      </c>
      <c r="L6577" s="34">
        <v>2.14</v>
      </c>
      <c r="M6577" s="34">
        <v>45452</v>
      </c>
      <c r="N6577" s="34">
        <f t="shared" si="207"/>
        <v>8.6639676113360338</v>
      </c>
    </row>
    <row r="6578" spans="1:14" x14ac:dyDescent="0.45">
      <c r="A6578" s="30">
        <v>2025</v>
      </c>
      <c r="B6578" s="30" t="s">
        <v>17</v>
      </c>
      <c r="C6578" s="30" t="s">
        <v>46</v>
      </c>
      <c r="D6578" s="39" t="str">
        <f>VLOOKUP(Table3[[#This Row],[Vendor]],[1]Name.KSN!$C$2:$F$804,4,0)</f>
        <v>Farmer</v>
      </c>
      <c r="E6578" s="31" t="s">
        <v>688</v>
      </c>
      <c r="F6578" s="31" t="s">
        <v>60</v>
      </c>
      <c r="G6578" s="32" t="s">
        <v>50</v>
      </c>
      <c r="H6578" s="33">
        <v>17870</v>
      </c>
      <c r="I6578" s="34">
        <f>Table3[[#This Row],[Volume, kg.]]/1000</f>
        <v>17.87</v>
      </c>
      <c r="J6578" s="34">
        <v>0.25869999999999999</v>
      </c>
      <c r="K6578" s="34">
        <f t="shared" si="206"/>
        <v>4622.9690000000001</v>
      </c>
      <c r="L6578" s="34">
        <v>2.19</v>
      </c>
      <c r="M6578" s="34">
        <v>39059.5</v>
      </c>
      <c r="N6578" s="34">
        <f t="shared" si="207"/>
        <v>8.4654039427908785</v>
      </c>
    </row>
    <row r="6579" spans="1:14" x14ac:dyDescent="0.45">
      <c r="A6579" s="30">
        <v>2025</v>
      </c>
      <c r="B6579" s="30" t="s">
        <v>17</v>
      </c>
      <c r="C6579" s="30" t="s">
        <v>46</v>
      </c>
      <c r="D6579" s="39" t="str">
        <f>VLOOKUP(Table3[[#This Row],[Vendor]],[1]Name.KSN!$C$2:$F$804,4,0)</f>
        <v>Broker</v>
      </c>
      <c r="E6579" s="31" t="s">
        <v>697</v>
      </c>
      <c r="F6579" s="31" t="s">
        <v>107</v>
      </c>
      <c r="G6579" s="32" t="s">
        <v>108</v>
      </c>
      <c r="H6579" s="33">
        <v>885920</v>
      </c>
      <c r="I6579" s="34">
        <f>Table3[[#This Row],[Volume, kg.]]/1000</f>
        <v>885.92</v>
      </c>
      <c r="J6579" s="34">
        <v>0.2457</v>
      </c>
      <c r="K6579" s="34">
        <f t="shared" si="206"/>
        <v>217670.54399999999</v>
      </c>
      <c r="L6579" s="34">
        <v>2.34</v>
      </c>
      <c r="M6579" s="34">
        <v>2073859</v>
      </c>
      <c r="N6579" s="34">
        <f t="shared" si="207"/>
        <v>9.5238095238095237</v>
      </c>
    </row>
    <row r="6580" spans="1:14" x14ac:dyDescent="0.45">
      <c r="A6580" s="30">
        <v>2025</v>
      </c>
      <c r="B6580" s="30" t="s">
        <v>17</v>
      </c>
      <c r="C6580" s="30" t="s">
        <v>46</v>
      </c>
      <c r="D6580" s="39" t="str">
        <f>VLOOKUP(Table3[[#This Row],[Vendor]],[1]Name.KSN!$C$2:$F$804,4,0)</f>
        <v>Broker</v>
      </c>
      <c r="E6580" s="31" t="s">
        <v>703</v>
      </c>
      <c r="F6580" s="31" t="s">
        <v>704</v>
      </c>
      <c r="G6580" s="32" t="s">
        <v>705</v>
      </c>
      <c r="H6580" s="33">
        <v>29880</v>
      </c>
      <c r="I6580" s="34">
        <f>Table3[[#This Row],[Volume, kg.]]/1000</f>
        <v>29.88</v>
      </c>
      <c r="J6580" s="34">
        <v>0.23149999999999998</v>
      </c>
      <c r="K6580" s="34">
        <f t="shared" si="206"/>
        <v>6917.2199999999993</v>
      </c>
      <c r="L6580" s="34">
        <v>2.35</v>
      </c>
      <c r="M6580" s="34">
        <v>70218</v>
      </c>
      <c r="N6580" s="34">
        <f t="shared" si="207"/>
        <v>10.151187904967603</v>
      </c>
    </row>
    <row r="6581" spans="1:14" x14ac:dyDescent="0.45">
      <c r="A6581" s="30">
        <v>2025</v>
      </c>
      <c r="B6581" s="30" t="s">
        <v>17</v>
      </c>
      <c r="C6581" s="30" t="s">
        <v>46</v>
      </c>
      <c r="D6581" s="39" t="str">
        <f>VLOOKUP(Table3[[#This Row],[Vendor]],[1]Name.KSN!$C$2:$F$804,4,0)</f>
        <v>Broker</v>
      </c>
      <c r="E6581" s="31" t="s">
        <v>706</v>
      </c>
      <c r="F6581" s="31" t="s">
        <v>349</v>
      </c>
      <c r="G6581" s="32" t="s">
        <v>105</v>
      </c>
      <c r="H6581" s="33">
        <v>293950</v>
      </c>
      <c r="I6581" s="34">
        <f>Table3[[#This Row],[Volume, kg.]]/1000</f>
        <v>293.95</v>
      </c>
      <c r="J6581" s="34">
        <v>0.2261</v>
      </c>
      <c r="K6581" s="34">
        <f t="shared" si="206"/>
        <v>66462.095000000001</v>
      </c>
      <c r="L6581" s="34">
        <v>2.25</v>
      </c>
      <c r="M6581" s="34">
        <v>660226</v>
      </c>
      <c r="N6581" s="34">
        <f t="shared" si="207"/>
        <v>9.9513489606368868</v>
      </c>
    </row>
    <row r="6582" spans="1:14" x14ac:dyDescent="0.45">
      <c r="A6582" s="30">
        <v>2025</v>
      </c>
      <c r="B6582" s="30" t="s">
        <v>17</v>
      </c>
      <c r="C6582" s="30" t="s">
        <v>46</v>
      </c>
      <c r="D6582" s="39" t="str">
        <f>VLOOKUP(Table3[[#This Row],[Vendor]],[1]Name.KSN!$C$2:$F$804,4,0)</f>
        <v>Broker</v>
      </c>
      <c r="E6582" s="31" t="s">
        <v>707</v>
      </c>
      <c r="F6582" s="31" t="s">
        <v>331</v>
      </c>
      <c r="G6582" s="32" t="s">
        <v>105</v>
      </c>
      <c r="H6582" s="33">
        <v>197550</v>
      </c>
      <c r="I6582" s="34">
        <f>Table3[[#This Row],[Volume, kg.]]/1000</f>
        <v>197.55</v>
      </c>
      <c r="J6582" s="34">
        <v>0.22920000000000001</v>
      </c>
      <c r="K6582" s="34">
        <f t="shared" si="206"/>
        <v>45278.460000000006</v>
      </c>
      <c r="L6582" s="34">
        <v>2.2799999999999998</v>
      </c>
      <c r="M6582" s="34">
        <v>450380.5</v>
      </c>
      <c r="N6582" s="34">
        <f t="shared" si="207"/>
        <v>9.9476439790575899</v>
      </c>
    </row>
    <row r="6583" spans="1:14" x14ac:dyDescent="0.45">
      <c r="A6583" s="30">
        <v>2025</v>
      </c>
      <c r="B6583" s="30" t="s">
        <v>17</v>
      </c>
      <c r="C6583" s="30" t="s">
        <v>46</v>
      </c>
      <c r="D6583" s="39" t="str">
        <f>VLOOKUP(Table3[[#This Row],[Vendor]],[1]Name.KSN!$C$2:$F$804,4,0)</f>
        <v>Broker</v>
      </c>
      <c r="E6583" s="31" t="s">
        <v>708</v>
      </c>
      <c r="F6583" s="31" t="s">
        <v>397</v>
      </c>
      <c r="G6583" s="32" t="s">
        <v>105</v>
      </c>
      <c r="H6583" s="33">
        <v>316100</v>
      </c>
      <c r="I6583" s="34">
        <f>Table3[[#This Row],[Volume, kg.]]/1000</f>
        <v>316.10000000000002</v>
      </c>
      <c r="J6583" s="34">
        <v>0.221</v>
      </c>
      <c r="K6583" s="34">
        <f t="shared" si="206"/>
        <v>69858.100000000006</v>
      </c>
      <c r="L6583" s="34">
        <v>2.1800000000000002</v>
      </c>
      <c r="M6583" s="34">
        <v>689994.5</v>
      </c>
      <c r="N6583" s="34">
        <f t="shared" si="207"/>
        <v>9.8642533936651589</v>
      </c>
    </row>
    <row r="6584" spans="1:14" x14ac:dyDescent="0.45">
      <c r="A6584" s="30">
        <v>2025</v>
      </c>
      <c r="B6584" s="30" t="s">
        <v>17</v>
      </c>
      <c r="C6584" s="30" t="s">
        <v>46</v>
      </c>
      <c r="D6584" s="39" t="str">
        <f>VLOOKUP(Table3[[#This Row],[Vendor]],[1]Name.KSN!$C$2:$F$804,4,0)</f>
        <v>Farmer</v>
      </c>
      <c r="E6584" s="31" t="s">
        <v>709</v>
      </c>
      <c r="F6584" s="31" t="s">
        <v>49</v>
      </c>
      <c r="G6584" s="32" t="s">
        <v>50</v>
      </c>
      <c r="H6584" s="33">
        <v>12440</v>
      </c>
      <c r="I6584" s="34">
        <f>Table3[[#This Row],[Volume, kg.]]/1000</f>
        <v>12.44</v>
      </c>
      <c r="J6584" s="34">
        <v>0.223</v>
      </c>
      <c r="K6584" s="34">
        <f t="shared" si="206"/>
        <v>2774.12</v>
      </c>
      <c r="L6584" s="34">
        <v>2.02</v>
      </c>
      <c r="M6584" s="34">
        <v>25181.5</v>
      </c>
      <c r="N6584" s="34">
        <f t="shared" si="207"/>
        <v>9.0582959641255609</v>
      </c>
    </row>
    <row r="6585" spans="1:14" x14ac:dyDescent="0.45">
      <c r="A6585" s="30">
        <v>2025</v>
      </c>
      <c r="B6585" s="30" t="s">
        <v>17</v>
      </c>
      <c r="C6585" s="30" t="s">
        <v>46</v>
      </c>
      <c r="D6585" s="39" t="str">
        <f>VLOOKUP(Table3[[#This Row],[Vendor]],[1]Name.KSN!$C$2:$F$804,4,0)</f>
        <v>Farmer</v>
      </c>
      <c r="E6585" s="31" t="s">
        <v>722</v>
      </c>
      <c r="F6585" s="31" t="s">
        <v>49</v>
      </c>
      <c r="G6585" s="32" t="s">
        <v>50</v>
      </c>
      <c r="H6585" s="33">
        <v>11250</v>
      </c>
      <c r="I6585" s="34">
        <f>Table3[[#This Row],[Volume, kg.]]/1000</f>
        <v>11.25</v>
      </c>
      <c r="J6585" s="34">
        <v>0.28000000000000003</v>
      </c>
      <c r="K6585" s="34">
        <f t="shared" si="206"/>
        <v>3150.0000000000005</v>
      </c>
      <c r="L6585" s="34">
        <v>2.35</v>
      </c>
      <c r="M6585" s="34">
        <v>26437.5</v>
      </c>
      <c r="N6585" s="34">
        <f t="shared" si="207"/>
        <v>8.3928571428571423</v>
      </c>
    </row>
    <row r="6586" spans="1:14" x14ac:dyDescent="0.45">
      <c r="A6586" s="30">
        <v>2025</v>
      </c>
      <c r="B6586" s="30" t="s">
        <v>17</v>
      </c>
      <c r="C6586" s="30" t="s">
        <v>46</v>
      </c>
      <c r="D6586" s="39" t="str">
        <f>VLOOKUP(Table3[[#This Row],[Vendor]],[1]Name.KSN!$C$2:$F$804,4,0)</f>
        <v>Farmer</v>
      </c>
      <c r="E6586" s="31" t="s">
        <v>724</v>
      </c>
      <c r="F6586" s="31" t="s">
        <v>64</v>
      </c>
      <c r="G6586" s="32" t="s">
        <v>50</v>
      </c>
      <c r="H6586" s="33">
        <v>25910</v>
      </c>
      <c r="I6586" s="34">
        <f>Table3[[#This Row],[Volume, kg.]]/1000</f>
        <v>25.91</v>
      </c>
      <c r="J6586" s="34">
        <v>0.2606</v>
      </c>
      <c r="K6586" s="34">
        <f t="shared" si="206"/>
        <v>6752.1459999999997</v>
      </c>
      <c r="L6586" s="34">
        <v>2.25</v>
      </c>
      <c r="M6586" s="34">
        <v>58340</v>
      </c>
      <c r="N6586" s="34">
        <f t="shared" si="207"/>
        <v>8.6339217191097468</v>
      </c>
    </row>
    <row r="6587" spans="1:14" x14ac:dyDescent="0.45">
      <c r="A6587" s="30">
        <v>2025</v>
      </c>
      <c r="B6587" s="30" t="s">
        <v>17</v>
      </c>
      <c r="C6587" s="30" t="s">
        <v>46</v>
      </c>
      <c r="D6587" s="39" t="str">
        <f>VLOOKUP(Table3[[#This Row],[Vendor]],[1]Name.KSN!$C$2:$F$804,4,0)</f>
        <v>Broker</v>
      </c>
      <c r="E6587" s="31" t="s">
        <v>754</v>
      </c>
      <c r="F6587" s="31" t="s">
        <v>755</v>
      </c>
      <c r="G6587" s="32" t="s">
        <v>557</v>
      </c>
      <c r="H6587" s="33">
        <v>29850</v>
      </c>
      <c r="I6587" s="34">
        <f>Table3[[#This Row],[Volume, kg.]]/1000</f>
        <v>29.85</v>
      </c>
      <c r="J6587" s="34">
        <v>0.27200000000000002</v>
      </c>
      <c r="K6587" s="34">
        <f t="shared" si="206"/>
        <v>8119.2000000000007</v>
      </c>
      <c r="L6587" s="34">
        <v>2.5499999999999998</v>
      </c>
      <c r="M6587" s="34">
        <v>76117.5</v>
      </c>
      <c r="N6587" s="34">
        <f t="shared" si="207"/>
        <v>9.3749999999999982</v>
      </c>
    </row>
    <row r="6588" spans="1:14" x14ac:dyDescent="0.45">
      <c r="A6588" s="30">
        <v>2025</v>
      </c>
      <c r="B6588" s="30" t="s">
        <v>17</v>
      </c>
      <c r="C6588" s="30" t="s">
        <v>46</v>
      </c>
      <c r="D6588" s="39" t="str">
        <f>VLOOKUP(Table3[[#This Row],[Vendor]],[1]Name.KSN!$C$2:$F$804,4,0)</f>
        <v>Broker</v>
      </c>
      <c r="E6588" s="31" t="s">
        <v>732</v>
      </c>
      <c r="F6588" s="31" t="s">
        <v>349</v>
      </c>
      <c r="G6588" s="32" t="s">
        <v>105</v>
      </c>
      <c r="H6588" s="33">
        <v>682090</v>
      </c>
      <c r="I6588" s="34">
        <f>Table3[[#This Row],[Volume, kg.]]/1000</f>
        <v>682.09</v>
      </c>
      <c r="J6588" s="34">
        <v>0.2437</v>
      </c>
      <c r="K6588" s="34">
        <f t="shared" si="206"/>
        <v>166225.33300000001</v>
      </c>
      <c r="L6588" s="34">
        <v>2.2999999999999998</v>
      </c>
      <c r="M6588" s="34">
        <v>1567089</v>
      </c>
      <c r="N6588" s="34">
        <f t="shared" si="207"/>
        <v>9.4378334017234291</v>
      </c>
    </row>
    <row r="6589" spans="1:14" x14ac:dyDescent="0.45">
      <c r="A6589" s="30">
        <v>2025</v>
      </c>
      <c r="B6589" s="30" t="s">
        <v>17</v>
      </c>
      <c r="C6589" s="30" t="s">
        <v>46</v>
      </c>
      <c r="D6589" s="39" t="str">
        <f>VLOOKUP(Table3[[#This Row],[Vendor]],[1]Name.KSN!$C$2:$F$804,4,0)</f>
        <v>Broker</v>
      </c>
      <c r="E6589" s="31" t="s">
        <v>735</v>
      </c>
      <c r="F6589" s="31" t="s">
        <v>736</v>
      </c>
      <c r="G6589" s="32" t="s">
        <v>50</v>
      </c>
      <c r="H6589" s="33">
        <v>447990</v>
      </c>
      <c r="I6589" s="34">
        <f>Table3[[#This Row],[Volume, kg.]]/1000</f>
        <v>447.99</v>
      </c>
      <c r="J6589" s="34">
        <v>0.24309999999999998</v>
      </c>
      <c r="K6589" s="34">
        <f t="shared" si="206"/>
        <v>108906.36899999999</v>
      </c>
      <c r="L6589" s="34">
        <v>2.2799999999999998</v>
      </c>
      <c r="M6589" s="34">
        <v>1020020.5</v>
      </c>
      <c r="N6589" s="34">
        <f t="shared" si="207"/>
        <v>9.3788564376799677</v>
      </c>
    </row>
    <row r="6590" spans="1:14" x14ac:dyDescent="0.45">
      <c r="A6590" s="30">
        <v>2025</v>
      </c>
      <c r="B6590" s="30" t="s">
        <v>17</v>
      </c>
      <c r="C6590" s="30" t="s">
        <v>46</v>
      </c>
      <c r="D6590" s="39" t="str">
        <f>VLOOKUP(Table3[[#This Row],[Vendor]],[1]Name.KSN!$C$2:$F$804,4,0)</f>
        <v>Farmer</v>
      </c>
      <c r="E6590" s="31" t="s">
        <v>749</v>
      </c>
      <c r="F6590" s="31" t="s">
        <v>57</v>
      </c>
      <c r="G6590" s="32" t="s">
        <v>50</v>
      </c>
      <c r="H6590" s="33">
        <v>10960</v>
      </c>
      <c r="I6590" s="34">
        <f>Table3[[#This Row],[Volume, kg.]]/1000</f>
        <v>10.96</v>
      </c>
      <c r="J6590" s="34">
        <v>0.23139999999999999</v>
      </c>
      <c r="K6590" s="34">
        <f t="shared" si="206"/>
        <v>2536.1439999999998</v>
      </c>
      <c r="L6590" s="34">
        <v>2.1</v>
      </c>
      <c r="M6590" s="34">
        <v>23016</v>
      </c>
      <c r="N6590" s="34">
        <f t="shared" si="207"/>
        <v>9.0751944684528958</v>
      </c>
    </row>
    <row r="6591" spans="1:14" x14ac:dyDescent="0.45">
      <c r="A6591" s="30">
        <v>2025</v>
      </c>
      <c r="B6591" s="30" t="s">
        <v>17</v>
      </c>
      <c r="C6591" s="30" t="s">
        <v>46</v>
      </c>
      <c r="D6591" s="39" t="str">
        <f>VLOOKUP(Table3[[#This Row],[Vendor]],[1]Name.KSN!$C$2:$F$804,4,0)</f>
        <v>Broker</v>
      </c>
      <c r="E6591" s="31" t="s">
        <v>743</v>
      </c>
      <c r="F6591" s="31" t="s">
        <v>127</v>
      </c>
      <c r="G6591" s="32" t="s">
        <v>128</v>
      </c>
      <c r="H6591" s="33">
        <v>101480</v>
      </c>
      <c r="I6591" s="34">
        <f>Table3[[#This Row],[Volume, kg.]]/1000</f>
        <v>101.48</v>
      </c>
      <c r="J6591" s="34">
        <v>0.23139999999999999</v>
      </c>
      <c r="K6591" s="34">
        <f t="shared" si="206"/>
        <v>23482.471999999998</v>
      </c>
      <c r="L6591" s="34">
        <v>2.23</v>
      </c>
      <c r="M6591" s="34">
        <v>226185.5</v>
      </c>
      <c r="N6591" s="34">
        <f t="shared" si="207"/>
        <v>9.6369922212618846</v>
      </c>
    </row>
    <row r="6592" spans="1:14" x14ac:dyDescent="0.45">
      <c r="A6592" s="30">
        <v>2025</v>
      </c>
      <c r="B6592" s="30" t="s">
        <v>17</v>
      </c>
      <c r="C6592" s="30" t="s">
        <v>46</v>
      </c>
      <c r="D6592" s="39" t="str">
        <f>VLOOKUP(Table3[[#This Row],[Vendor]],[1]Name.KSN!$C$2:$F$804,4,0)</f>
        <v>Farmer</v>
      </c>
      <c r="E6592" s="31" t="s">
        <v>750</v>
      </c>
      <c r="F6592" s="31" t="s">
        <v>49</v>
      </c>
      <c r="G6592" s="32" t="s">
        <v>50</v>
      </c>
      <c r="H6592" s="33">
        <v>41560</v>
      </c>
      <c r="I6592" s="34">
        <f>Table3[[#This Row],[Volume, kg.]]/1000</f>
        <v>41.56</v>
      </c>
      <c r="J6592" s="34">
        <v>0.24729999999999999</v>
      </c>
      <c r="K6592" s="34">
        <f t="shared" si="206"/>
        <v>10277.788</v>
      </c>
      <c r="L6592" s="34">
        <v>2.14</v>
      </c>
      <c r="M6592" s="34">
        <v>89132.5</v>
      </c>
      <c r="N6592" s="34">
        <f t="shared" si="207"/>
        <v>8.6534573392640528</v>
      </c>
    </row>
    <row r="6593" spans="1:14" x14ac:dyDescent="0.45">
      <c r="A6593" s="30">
        <v>2025</v>
      </c>
      <c r="B6593" s="30" t="s">
        <v>17</v>
      </c>
      <c r="C6593" s="30" t="s">
        <v>46</v>
      </c>
      <c r="D6593" s="39" t="str">
        <f>VLOOKUP(Table3[[#This Row],[Vendor]],[1]Name.KSN!$C$2:$F$804,4,0)</f>
        <v>Broker</v>
      </c>
      <c r="E6593" s="31" t="s">
        <v>746</v>
      </c>
      <c r="F6593" s="31" t="s">
        <v>127</v>
      </c>
      <c r="G6593" s="32" t="s">
        <v>128</v>
      </c>
      <c r="H6593" s="33">
        <v>153700</v>
      </c>
      <c r="I6593" s="34">
        <f>Table3[[#This Row],[Volume, kg.]]/1000</f>
        <v>153.69999999999999</v>
      </c>
      <c r="J6593" s="34">
        <v>0.2429</v>
      </c>
      <c r="K6593" s="34">
        <f t="shared" si="206"/>
        <v>37333.730000000003</v>
      </c>
      <c r="L6593" s="34">
        <v>2.31</v>
      </c>
      <c r="M6593" s="34">
        <v>354364</v>
      </c>
      <c r="N6593" s="34">
        <f t="shared" si="207"/>
        <v>9.5100864553314128</v>
      </c>
    </row>
    <row r="6594" spans="1:14" x14ac:dyDescent="0.45">
      <c r="A6594" s="30">
        <v>2025</v>
      </c>
      <c r="B6594" s="30" t="s">
        <v>17</v>
      </c>
      <c r="C6594" s="30" t="s">
        <v>46</v>
      </c>
      <c r="D6594" s="39" t="str">
        <f>VLOOKUP(Table3[[#This Row],[Vendor]],[1]Name.KSN!$C$2:$F$804,4,0)</f>
        <v>Broker</v>
      </c>
      <c r="E6594" s="31" t="s">
        <v>747</v>
      </c>
      <c r="F6594" s="31" t="s">
        <v>748</v>
      </c>
      <c r="G6594" s="32" t="s">
        <v>128</v>
      </c>
      <c r="H6594" s="33">
        <v>25130</v>
      </c>
      <c r="I6594" s="34">
        <f>Table3[[#This Row],[Volume, kg.]]/1000</f>
        <v>25.13</v>
      </c>
      <c r="J6594" s="34">
        <v>0.23749999999999999</v>
      </c>
      <c r="K6594" s="34">
        <f t="shared" si="206"/>
        <v>5968.375</v>
      </c>
      <c r="L6594" s="34">
        <v>2.25</v>
      </c>
      <c r="M6594" s="34">
        <v>56542.5</v>
      </c>
      <c r="N6594" s="34">
        <f t="shared" si="207"/>
        <v>9.4736842105263168</v>
      </c>
    </row>
    <row r="6595" spans="1:14" x14ac:dyDescent="0.45">
      <c r="A6595" s="30">
        <v>2025</v>
      </c>
      <c r="B6595" s="30" t="s">
        <v>17</v>
      </c>
      <c r="C6595" s="30" t="s">
        <v>46</v>
      </c>
      <c r="D6595" s="39" t="str">
        <f>VLOOKUP(Table3[[#This Row],[Vendor]],[1]Name.KSN!$C$2:$F$804,4,0)</f>
        <v>Farmer</v>
      </c>
      <c r="E6595" s="31" t="s">
        <v>751</v>
      </c>
      <c r="F6595" s="31" t="s">
        <v>57</v>
      </c>
      <c r="G6595" s="32" t="s">
        <v>50</v>
      </c>
      <c r="H6595" s="33">
        <v>42070</v>
      </c>
      <c r="I6595" s="34">
        <f>Table3[[#This Row],[Volume, kg.]]/1000</f>
        <v>42.07</v>
      </c>
      <c r="J6595" s="34">
        <v>0.25239999999999996</v>
      </c>
      <c r="K6595" s="34">
        <f t="shared" si="206"/>
        <v>10618.467999999999</v>
      </c>
      <c r="L6595" s="34">
        <v>2.23</v>
      </c>
      <c r="M6595" s="34">
        <v>93734</v>
      </c>
      <c r="N6595" s="34">
        <f t="shared" si="207"/>
        <v>8.8351822503961976</v>
      </c>
    </row>
    <row r="6596" spans="1:14" x14ac:dyDescent="0.45">
      <c r="A6596" s="30">
        <v>2025</v>
      </c>
      <c r="B6596" s="30" t="s">
        <v>17</v>
      </c>
      <c r="C6596" s="30" t="s">
        <v>46</v>
      </c>
      <c r="D6596" s="39" t="str">
        <f>VLOOKUP(Table3[[#This Row],[Vendor]],[1]Name.KSN!$C$2:$F$804,4,0)</f>
        <v>Farmer</v>
      </c>
      <c r="E6596" s="31" t="s">
        <v>752</v>
      </c>
      <c r="F6596" s="31" t="s">
        <v>49</v>
      </c>
      <c r="G6596" s="32" t="s">
        <v>50</v>
      </c>
      <c r="H6596" s="33">
        <v>17570</v>
      </c>
      <c r="I6596" s="34">
        <f>Table3[[#This Row],[Volume, kg.]]/1000</f>
        <v>17.57</v>
      </c>
      <c r="J6596" s="34">
        <v>0.23100000000000001</v>
      </c>
      <c r="K6596" s="34">
        <f t="shared" si="206"/>
        <v>4058.67</v>
      </c>
      <c r="L6596" s="34">
        <v>2.0499999999999998</v>
      </c>
      <c r="M6596" s="34">
        <v>36018.5</v>
      </c>
      <c r="N6596" s="34">
        <f t="shared" si="207"/>
        <v>8.8744588744588739</v>
      </c>
    </row>
    <row r="6597" spans="1:14" x14ac:dyDescent="0.45">
      <c r="A6597" s="30">
        <v>2025</v>
      </c>
      <c r="B6597" s="30" t="s">
        <v>17</v>
      </c>
      <c r="C6597" s="30" t="s">
        <v>46</v>
      </c>
      <c r="D6597" s="39" t="str">
        <f>VLOOKUP(Table3[[#This Row],[Vendor]],[1]Name.KSN!$C$2:$F$804,4,0)</f>
        <v>Broker</v>
      </c>
      <c r="E6597" s="31" t="s">
        <v>756</v>
      </c>
      <c r="F6597" s="31" t="s">
        <v>349</v>
      </c>
      <c r="G6597" s="32" t="s">
        <v>105</v>
      </c>
      <c r="H6597" s="33">
        <v>29220</v>
      </c>
      <c r="I6597" s="34">
        <f>Table3[[#This Row],[Volume, kg.]]/1000</f>
        <v>29.22</v>
      </c>
      <c r="J6597" s="34">
        <v>0.2445</v>
      </c>
      <c r="K6597" s="34">
        <f t="shared" si="206"/>
        <v>7144.29</v>
      </c>
      <c r="L6597" s="34">
        <v>2.4</v>
      </c>
      <c r="M6597" s="34">
        <v>70128</v>
      </c>
      <c r="N6597" s="34">
        <f t="shared" si="207"/>
        <v>9.8159509202453989</v>
      </c>
    </row>
    <row r="6598" spans="1:14" x14ac:dyDescent="0.45">
      <c r="A6598" s="30">
        <v>2025</v>
      </c>
      <c r="B6598" s="30" t="s">
        <v>17</v>
      </c>
      <c r="C6598" s="30" t="s">
        <v>46</v>
      </c>
      <c r="D6598" s="39" t="str">
        <f>VLOOKUP(Table3[[#This Row],[Vendor]],[1]Name.KSN!$C$2:$F$804,4,0)</f>
        <v>Broker</v>
      </c>
      <c r="E6598" s="31" t="s">
        <v>757</v>
      </c>
      <c r="F6598" s="31" t="s">
        <v>331</v>
      </c>
      <c r="G6598" s="32" t="s">
        <v>105</v>
      </c>
      <c r="H6598" s="33">
        <v>155310</v>
      </c>
      <c r="I6598" s="34">
        <f>Table3[[#This Row],[Volume, kg.]]/1000</f>
        <v>155.31</v>
      </c>
      <c r="J6598" s="34">
        <v>0.23199999999999998</v>
      </c>
      <c r="K6598" s="34">
        <f t="shared" si="206"/>
        <v>36031.919999999998</v>
      </c>
      <c r="L6598" s="34">
        <v>2.29</v>
      </c>
      <c r="M6598" s="34">
        <v>356419.5</v>
      </c>
      <c r="N6598" s="34">
        <f t="shared" si="207"/>
        <v>9.8706896551724146</v>
      </c>
    </row>
    <row r="6599" spans="1:14" x14ac:dyDescent="0.45">
      <c r="A6599" s="30">
        <v>2025</v>
      </c>
      <c r="B6599" s="30" t="s">
        <v>17</v>
      </c>
      <c r="C6599" s="30" t="s">
        <v>46</v>
      </c>
      <c r="D6599" s="39" t="str">
        <f>VLOOKUP(Table3[[#This Row],[Vendor]],[1]Name.KSN!$C$2:$F$804,4,0)</f>
        <v>Broker</v>
      </c>
      <c r="E6599" s="31" t="s">
        <v>758</v>
      </c>
      <c r="F6599" s="31" t="s">
        <v>759</v>
      </c>
      <c r="G6599" s="32" t="s">
        <v>760</v>
      </c>
      <c r="H6599" s="33">
        <v>87710</v>
      </c>
      <c r="I6599" s="34">
        <f>Table3[[#This Row],[Volume, kg.]]/1000</f>
        <v>87.71</v>
      </c>
      <c r="J6599" s="34">
        <v>0.2293</v>
      </c>
      <c r="K6599" s="34">
        <f t="shared" si="206"/>
        <v>20111.903000000002</v>
      </c>
      <c r="L6599" s="34">
        <v>2.35</v>
      </c>
      <c r="M6599" s="34">
        <v>206083</v>
      </c>
      <c r="N6599" s="34">
        <f t="shared" si="207"/>
        <v>10.248582642825992</v>
      </c>
    </row>
    <row r="6600" spans="1:14" x14ac:dyDescent="0.45">
      <c r="A6600" s="30">
        <v>2025</v>
      </c>
      <c r="B6600" s="30" t="s">
        <v>17</v>
      </c>
      <c r="C6600" s="30" t="s">
        <v>46</v>
      </c>
      <c r="D6600" s="39" t="str">
        <f>VLOOKUP(Table3[[#This Row],[Vendor]],[1]Name.KSN!$C$2:$F$804,4,0)</f>
        <v>Broker</v>
      </c>
      <c r="E6600" s="31" t="s">
        <v>761</v>
      </c>
      <c r="F6600" s="31" t="s">
        <v>127</v>
      </c>
      <c r="G6600" s="32" t="s">
        <v>128</v>
      </c>
      <c r="H6600" s="33">
        <v>26740</v>
      </c>
      <c r="I6600" s="34">
        <f>Table3[[#This Row],[Volume, kg.]]/1000</f>
        <v>26.74</v>
      </c>
      <c r="J6600" s="34">
        <v>0.2475</v>
      </c>
      <c r="K6600" s="34">
        <f t="shared" ref="K6600:K6663" si="208">H6600*J6600</f>
        <v>6618.15</v>
      </c>
      <c r="L6600" s="34">
        <v>2.4500000000000002</v>
      </c>
      <c r="M6600" s="34">
        <v>65513</v>
      </c>
      <c r="N6600" s="34">
        <f t="shared" ref="N6600:N6663" si="209">L6600/J6600</f>
        <v>9.8989898989898997</v>
      </c>
    </row>
    <row r="6601" spans="1:14" x14ac:dyDescent="0.45">
      <c r="A6601" s="30">
        <v>2025</v>
      </c>
      <c r="B6601" s="30" t="s">
        <v>17</v>
      </c>
      <c r="C6601" s="30" t="s">
        <v>46</v>
      </c>
      <c r="D6601" s="39" t="str">
        <f>VLOOKUP(Table3[[#This Row],[Vendor]],[1]Name.KSN!$C$2:$F$804,4,0)</f>
        <v>Broker</v>
      </c>
      <c r="E6601" s="31" t="s">
        <v>762</v>
      </c>
      <c r="F6601" s="31" t="s">
        <v>64</v>
      </c>
      <c r="G6601" s="32" t="s">
        <v>50</v>
      </c>
      <c r="H6601" s="33">
        <v>34690</v>
      </c>
      <c r="I6601" s="34">
        <f>Table3[[#This Row],[Volume, kg.]]/1000</f>
        <v>34.69</v>
      </c>
      <c r="J6601" s="34">
        <v>0.2094</v>
      </c>
      <c r="K6601" s="34">
        <f t="shared" si="208"/>
        <v>7264.0860000000002</v>
      </c>
      <c r="L6601" s="34">
        <v>2.2599999999999998</v>
      </c>
      <c r="M6601" s="34">
        <v>78365</v>
      </c>
      <c r="N6601" s="34">
        <f t="shared" si="209"/>
        <v>10.792741165234</v>
      </c>
    </row>
    <row r="6602" spans="1:14" x14ac:dyDescent="0.45">
      <c r="A6602" s="30">
        <v>2025</v>
      </c>
      <c r="B6602" s="30" t="s">
        <v>17</v>
      </c>
      <c r="C6602" s="30" t="s">
        <v>46</v>
      </c>
      <c r="D6602" s="39" t="str">
        <f>VLOOKUP(Table3[[#This Row],[Vendor]],[1]Name.KSN!$C$2:$F$804,4,0)</f>
        <v>Broker</v>
      </c>
      <c r="E6602" s="31" t="s">
        <v>763</v>
      </c>
      <c r="F6602" s="31" t="s">
        <v>764</v>
      </c>
      <c r="G6602" s="32" t="s">
        <v>108</v>
      </c>
      <c r="H6602" s="33">
        <v>358920</v>
      </c>
      <c r="I6602" s="34">
        <f>Table3[[#This Row],[Volume, kg.]]/1000</f>
        <v>358.92</v>
      </c>
      <c r="J6602" s="34">
        <v>0.24929999999999999</v>
      </c>
      <c r="K6602" s="34">
        <f t="shared" si="208"/>
        <v>89478.755999999994</v>
      </c>
      <c r="L6602" s="34">
        <v>2.4500000000000002</v>
      </c>
      <c r="M6602" s="34">
        <v>877795</v>
      </c>
      <c r="N6602" s="34">
        <f t="shared" si="209"/>
        <v>9.8275170477336555</v>
      </c>
    </row>
    <row r="6603" spans="1:14" x14ac:dyDescent="0.45">
      <c r="A6603" s="30">
        <v>2025</v>
      </c>
      <c r="B6603" s="30" t="s">
        <v>18</v>
      </c>
      <c r="C6603" s="30" t="s">
        <v>46</v>
      </c>
      <c r="D6603" s="30" t="s">
        <v>102</v>
      </c>
      <c r="E6603" s="31" t="s">
        <v>188</v>
      </c>
      <c r="F6603" s="31" t="s">
        <v>189</v>
      </c>
      <c r="G6603" s="32" t="s">
        <v>128</v>
      </c>
      <c r="H6603" s="33">
        <v>412770</v>
      </c>
      <c r="I6603" s="34">
        <f>Table3[[#This Row],[Volume, kg.]]/1000</f>
        <v>412.77</v>
      </c>
      <c r="J6603" s="34">
        <v>0.23719999999999999</v>
      </c>
      <c r="K6603" s="34">
        <f t="shared" si="208"/>
        <v>97909.043999999994</v>
      </c>
      <c r="L6603" s="34">
        <v>2.4900000000000002</v>
      </c>
      <c r="M6603" s="34">
        <v>1025992.5</v>
      </c>
      <c r="N6603" s="34">
        <f t="shared" si="209"/>
        <v>10.497470489038786</v>
      </c>
    </row>
    <row r="6604" spans="1:14" x14ac:dyDescent="0.45">
      <c r="A6604" s="30">
        <v>2025</v>
      </c>
      <c r="B6604" s="30" t="s">
        <v>18</v>
      </c>
      <c r="C6604" s="30" t="s">
        <v>46</v>
      </c>
      <c r="D6604" s="30" t="s">
        <v>102</v>
      </c>
      <c r="E6604" s="31" t="s">
        <v>222</v>
      </c>
      <c r="F6604" s="31" t="s">
        <v>223</v>
      </c>
      <c r="G6604" s="32" t="s">
        <v>50</v>
      </c>
      <c r="H6604" s="33">
        <v>17550</v>
      </c>
      <c r="I6604" s="34">
        <f>Table3[[#This Row],[Volume, kg.]]/1000</f>
        <v>17.55</v>
      </c>
      <c r="J6604" s="34">
        <v>0.24350000000000002</v>
      </c>
      <c r="K6604" s="34">
        <f t="shared" si="208"/>
        <v>4273.4250000000002</v>
      </c>
      <c r="L6604" s="34">
        <v>2.5</v>
      </c>
      <c r="M6604" s="34">
        <v>43875</v>
      </c>
      <c r="N6604" s="34">
        <f t="shared" si="209"/>
        <v>10.266940451745379</v>
      </c>
    </row>
    <row r="6605" spans="1:14" x14ac:dyDescent="0.45">
      <c r="A6605" s="30">
        <v>2025</v>
      </c>
      <c r="B6605" s="30" t="s">
        <v>18</v>
      </c>
      <c r="C6605" s="30" t="s">
        <v>46</v>
      </c>
      <c r="D6605" s="30" t="s">
        <v>102</v>
      </c>
      <c r="E6605" s="31" t="s">
        <v>336</v>
      </c>
      <c r="F6605" s="31" t="s">
        <v>114</v>
      </c>
      <c r="G6605" s="32" t="s">
        <v>108</v>
      </c>
      <c r="H6605" s="33">
        <v>872130</v>
      </c>
      <c r="I6605" s="34">
        <f>Table3[[#This Row],[Volume, kg.]]/1000</f>
        <v>872.13</v>
      </c>
      <c r="J6605" s="34">
        <v>0.26929999999999998</v>
      </c>
      <c r="K6605" s="34">
        <f t="shared" si="208"/>
        <v>234864.609</v>
      </c>
      <c r="L6605" s="34">
        <v>2.65</v>
      </c>
      <c r="M6605" s="34">
        <v>2309527</v>
      </c>
      <c r="N6605" s="34">
        <f t="shared" si="209"/>
        <v>9.8403267731154855</v>
      </c>
    </row>
    <row r="6606" spans="1:14" x14ac:dyDescent="0.45">
      <c r="A6606" s="30">
        <v>2025</v>
      </c>
      <c r="B6606" s="30" t="s">
        <v>18</v>
      </c>
      <c r="C6606" s="30" t="s">
        <v>46</v>
      </c>
      <c r="D6606" s="30" t="s">
        <v>47</v>
      </c>
      <c r="E6606" s="31" t="s">
        <v>433</v>
      </c>
      <c r="F6606" s="31" t="s">
        <v>49</v>
      </c>
      <c r="G6606" s="32" t="s">
        <v>50</v>
      </c>
      <c r="H6606" s="33">
        <v>3420</v>
      </c>
      <c r="I6606" s="34">
        <f>Table3[[#This Row],[Volume, kg.]]/1000</f>
        <v>3.42</v>
      </c>
      <c r="J6606" s="34">
        <v>0.18600000000000003</v>
      </c>
      <c r="K6606" s="34">
        <f t="shared" si="208"/>
        <v>636.12000000000012</v>
      </c>
      <c r="L6606" s="34">
        <v>1.95</v>
      </c>
      <c r="M6606" s="34">
        <v>6669</v>
      </c>
      <c r="N6606" s="34">
        <f t="shared" si="209"/>
        <v>10.483870967741934</v>
      </c>
    </row>
    <row r="6607" spans="1:14" x14ac:dyDescent="0.45">
      <c r="A6607" s="30">
        <v>2025</v>
      </c>
      <c r="B6607" s="30" t="s">
        <v>18</v>
      </c>
      <c r="C6607" s="30" t="s">
        <v>46</v>
      </c>
      <c r="D6607" s="30" t="s">
        <v>47</v>
      </c>
      <c r="E6607" s="31" t="s">
        <v>165</v>
      </c>
      <c r="F6607" s="31" t="s">
        <v>57</v>
      </c>
      <c r="G6607" s="32" t="s">
        <v>50</v>
      </c>
      <c r="H6607" s="33">
        <v>3090</v>
      </c>
      <c r="I6607" s="34">
        <f>Table3[[#This Row],[Volume, kg.]]/1000</f>
        <v>3.09</v>
      </c>
      <c r="J6607" s="34">
        <v>0.17649999999999999</v>
      </c>
      <c r="K6607" s="34">
        <f t="shared" si="208"/>
        <v>545.38499999999999</v>
      </c>
      <c r="L6607" s="34">
        <v>1.9</v>
      </c>
      <c r="M6607" s="34">
        <v>5871</v>
      </c>
      <c r="N6607" s="34">
        <f t="shared" si="209"/>
        <v>10.76487252124646</v>
      </c>
    </row>
    <row r="6608" spans="1:14" x14ac:dyDescent="0.45">
      <c r="A6608" s="30">
        <v>2025</v>
      </c>
      <c r="B6608" s="30" t="s">
        <v>18</v>
      </c>
      <c r="C6608" s="30" t="s">
        <v>46</v>
      </c>
      <c r="D6608" s="30" t="s">
        <v>47</v>
      </c>
      <c r="E6608" s="31" t="s">
        <v>226</v>
      </c>
      <c r="F6608" s="31" t="s">
        <v>60</v>
      </c>
      <c r="G6608" s="32" t="s">
        <v>50</v>
      </c>
      <c r="H6608" s="33">
        <v>21515</v>
      </c>
      <c r="I6608" s="34">
        <f>Table3[[#This Row],[Volume, kg.]]/1000</f>
        <v>21.515000000000001</v>
      </c>
      <c r="J6608" s="34">
        <v>0.30380000000000001</v>
      </c>
      <c r="K6608" s="34">
        <f t="shared" si="208"/>
        <v>6536.2570000000005</v>
      </c>
      <c r="L6608" s="34">
        <v>2.65</v>
      </c>
      <c r="M6608" s="34">
        <v>57109</v>
      </c>
      <c r="N6608" s="34">
        <f t="shared" si="209"/>
        <v>8.7228439763001973</v>
      </c>
    </row>
    <row r="6609" spans="1:14" x14ac:dyDescent="0.45">
      <c r="A6609" s="30">
        <v>2025</v>
      </c>
      <c r="B6609" s="30" t="s">
        <v>18</v>
      </c>
      <c r="C6609" s="30" t="s">
        <v>46</v>
      </c>
      <c r="D6609" s="30" t="s">
        <v>47</v>
      </c>
      <c r="E6609" s="31" t="s">
        <v>182</v>
      </c>
      <c r="F6609" s="31" t="s">
        <v>81</v>
      </c>
      <c r="G6609" s="32" t="s">
        <v>50</v>
      </c>
      <c r="H6609" s="33">
        <v>63790</v>
      </c>
      <c r="I6609" s="34">
        <f>Table3[[#This Row],[Volume, kg.]]/1000</f>
        <v>63.79</v>
      </c>
      <c r="J6609" s="34">
        <v>0.27889999999999998</v>
      </c>
      <c r="K6609" s="34">
        <f t="shared" si="208"/>
        <v>17791.030999999999</v>
      </c>
      <c r="L6609" s="34">
        <v>2.38</v>
      </c>
      <c r="M6609" s="34">
        <v>151611</v>
      </c>
      <c r="N6609" s="34">
        <f t="shared" si="209"/>
        <v>8.5335245607744721</v>
      </c>
    </row>
    <row r="6610" spans="1:14" x14ac:dyDescent="0.45">
      <c r="A6610" s="30">
        <v>2025</v>
      </c>
      <c r="B6610" s="30" t="s">
        <v>18</v>
      </c>
      <c r="C6610" s="30" t="s">
        <v>46</v>
      </c>
      <c r="D6610" s="30" t="s">
        <v>47</v>
      </c>
      <c r="E6610" s="31" t="s">
        <v>195</v>
      </c>
      <c r="F6610" s="31" t="s">
        <v>57</v>
      </c>
      <c r="G6610" s="32" t="s">
        <v>50</v>
      </c>
      <c r="H6610" s="33">
        <v>5986</v>
      </c>
      <c r="I6610" s="34">
        <f>Table3[[#This Row],[Volume, kg.]]/1000</f>
        <v>5.9859999999999998</v>
      </c>
      <c r="J6610" s="34">
        <v>0.27649999999999997</v>
      </c>
      <c r="K6610" s="34">
        <f t="shared" si="208"/>
        <v>1655.1289999999999</v>
      </c>
      <c r="L6610" s="34">
        <v>2.7</v>
      </c>
      <c r="M6610" s="34">
        <v>16162.2</v>
      </c>
      <c r="N6610" s="34">
        <f t="shared" si="209"/>
        <v>9.7649186256781206</v>
      </c>
    </row>
    <row r="6611" spans="1:14" x14ac:dyDescent="0.45">
      <c r="A6611" s="30">
        <v>2025</v>
      </c>
      <c r="B6611" s="30" t="s">
        <v>18</v>
      </c>
      <c r="C6611" s="30" t="s">
        <v>46</v>
      </c>
      <c r="D6611" s="30" t="s">
        <v>47</v>
      </c>
      <c r="E6611" s="31" t="s">
        <v>82</v>
      </c>
      <c r="F6611" s="31" t="s">
        <v>57</v>
      </c>
      <c r="G6611" s="32" t="s">
        <v>50</v>
      </c>
      <c r="H6611" s="33">
        <v>21770</v>
      </c>
      <c r="I6611" s="34">
        <f>Table3[[#This Row],[Volume, kg.]]/1000</f>
        <v>21.77</v>
      </c>
      <c r="J6611" s="34">
        <v>0.32119999999999999</v>
      </c>
      <c r="K6611" s="34">
        <f t="shared" si="208"/>
        <v>6992.5239999999994</v>
      </c>
      <c r="L6611" s="34">
        <v>2.83</v>
      </c>
      <c r="M6611" s="34">
        <v>61684.7</v>
      </c>
      <c r="N6611" s="34">
        <f t="shared" si="209"/>
        <v>8.8107098381070994</v>
      </c>
    </row>
    <row r="6612" spans="1:14" x14ac:dyDescent="0.45">
      <c r="A6612" s="30">
        <v>2025</v>
      </c>
      <c r="B6612" s="30" t="s">
        <v>18</v>
      </c>
      <c r="C6612" s="30" t="s">
        <v>46</v>
      </c>
      <c r="D6612" s="30" t="s">
        <v>47</v>
      </c>
      <c r="E6612" s="31" t="s">
        <v>245</v>
      </c>
      <c r="F6612" s="31" t="s">
        <v>57</v>
      </c>
      <c r="G6612" s="32" t="s">
        <v>50</v>
      </c>
      <c r="H6612" s="33">
        <v>4522</v>
      </c>
      <c r="I6612" s="34">
        <f>Table3[[#This Row],[Volume, kg.]]/1000</f>
        <v>4.5220000000000002</v>
      </c>
      <c r="J6612" s="34">
        <v>0.29149999999999998</v>
      </c>
      <c r="K6612" s="34">
        <f t="shared" si="208"/>
        <v>1318.163</v>
      </c>
      <c r="L6612" s="34">
        <v>2.75</v>
      </c>
      <c r="M6612" s="34">
        <v>12435.5</v>
      </c>
      <c r="N6612" s="34">
        <f t="shared" si="209"/>
        <v>9.433962264150944</v>
      </c>
    </row>
    <row r="6613" spans="1:14" x14ac:dyDescent="0.45">
      <c r="A6613" s="30">
        <v>2025</v>
      </c>
      <c r="B6613" s="30" t="s">
        <v>18</v>
      </c>
      <c r="C6613" s="30" t="s">
        <v>46</v>
      </c>
      <c r="D6613" s="30" t="s">
        <v>47</v>
      </c>
      <c r="E6613" s="31" t="s">
        <v>303</v>
      </c>
      <c r="F6613" s="31" t="s">
        <v>57</v>
      </c>
      <c r="G6613" s="32" t="s">
        <v>50</v>
      </c>
      <c r="H6613" s="33">
        <v>39876</v>
      </c>
      <c r="I6613" s="34">
        <f>Table3[[#This Row],[Volume, kg.]]/1000</f>
        <v>39.875999999999998</v>
      </c>
      <c r="J6613" s="34">
        <v>0.30130000000000001</v>
      </c>
      <c r="K6613" s="34">
        <f t="shared" si="208"/>
        <v>12014.638800000001</v>
      </c>
      <c r="L6613" s="34">
        <v>2.72</v>
      </c>
      <c r="M6613" s="34">
        <v>108327.25</v>
      </c>
      <c r="N6613" s="34">
        <f t="shared" si="209"/>
        <v>9.0275472950547631</v>
      </c>
    </row>
    <row r="6614" spans="1:14" x14ac:dyDescent="0.45">
      <c r="A6614" s="30">
        <v>2025</v>
      </c>
      <c r="B6614" s="30" t="s">
        <v>18</v>
      </c>
      <c r="C6614" s="30" t="s">
        <v>46</v>
      </c>
      <c r="D6614" s="30" t="s">
        <v>47</v>
      </c>
      <c r="E6614" s="31" t="s">
        <v>655</v>
      </c>
      <c r="F6614" s="31" t="s">
        <v>49</v>
      </c>
      <c r="G6614" s="32" t="s">
        <v>50</v>
      </c>
      <c r="H6614" s="33">
        <v>5490</v>
      </c>
      <c r="I6614" s="34">
        <f>Table3[[#This Row],[Volume, kg.]]/1000</f>
        <v>5.49</v>
      </c>
      <c r="J6614" s="34">
        <v>0.28399999999999997</v>
      </c>
      <c r="K6614" s="34">
        <f t="shared" si="208"/>
        <v>1559.1599999999999</v>
      </c>
      <c r="L6614" s="34">
        <v>2.4</v>
      </c>
      <c r="M6614" s="34">
        <v>13176</v>
      </c>
      <c r="N6614" s="34">
        <f t="shared" si="209"/>
        <v>8.4507042253521139</v>
      </c>
    </row>
    <row r="6615" spans="1:14" x14ac:dyDescent="0.45">
      <c r="A6615" s="30">
        <v>2025</v>
      </c>
      <c r="B6615" s="30" t="s">
        <v>18</v>
      </c>
      <c r="C6615" s="30" t="s">
        <v>46</v>
      </c>
      <c r="D6615" s="30" t="s">
        <v>47</v>
      </c>
      <c r="E6615" s="31" t="s">
        <v>51</v>
      </c>
      <c r="F6615" s="31" t="s">
        <v>49</v>
      </c>
      <c r="G6615" s="32" t="s">
        <v>50</v>
      </c>
      <c r="H6615" s="33">
        <v>6440</v>
      </c>
      <c r="I6615" s="34">
        <f>Table3[[#This Row],[Volume, kg.]]/1000</f>
        <v>6.44</v>
      </c>
      <c r="J6615" s="34">
        <v>0.27250000000000002</v>
      </c>
      <c r="K6615" s="34">
        <f t="shared" si="208"/>
        <v>1754.9</v>
      </c>
      <c r="L6615" s="34">
        <v>2.35</v>
      </c>
      <c r="M6615" s="34">
        <v>15134</v>
      </c>
      <c r="N6615" s="34">
        <f t="shared" si="209"/>
        <v>8.6238532110091732</v>
      </c>
    </row>
    <row r="6616" spans="1:14" x14ac:dyDescent="0.45">
      <c r="A6616" s="30">
        <v>2025</v>
      </c>
      <c r="B6616" s="30" t="s">
        <v>18</v>
      </c>
      <c r="C6616" s="30" t="s">
        <v>46</v>
      </c>
      <c r="D6616" s="30" t="s">
        <v>47</v>
      </c>
      <c r="E6616" s="31" t="s">
        <v>258</v>
      </c>
      <c r="F6616" s="31" t="s">
        <v>49</v>
      </c>
      <c r="G6616" s="32" t="s">
        <v>705</v>
      </c>
      <c r="H6616" s="33">
        <v>45224</v>
      </c>
      <c r="I6616" s="34">
        <f>Table3[[#This Row],[Volume, kg.]]/1000</f>
        <v>45.223999999999997</v>
      </c>
      <c r="J6616" s="34">
        <v>0.25969999999999999</v>
      </c>
      <c r="K6616" s="34">
        <f t="shared" si="208"/>
        <v>11744.6728</v>
      </c>
      <c r="L6616" s="34">
        <v>2.35</v>
      </c>
      <c r="M6616" s="34">
        <v>106371.9</v>
      </c>
      <c r="N6616" s="34">
        <f t="shared" si="209"/>
        <v>9.0489025798998846</v>
      </c>
    </row>
    <row r="6617" spans="1:14" x14ac:dyDescent="0.45">
      <c r="A6617" s="30">
        <v>2025</v>
      </c>
      <c r="B6617" s="30" t="s">
        <v>18</v>
      </c>
      <c r="C6617" s="30" t="s">
        <v>46</v>
      </c>
      <c r="D6617" s="30" t="s">
        <v>47</v>
      </c>
      <c r="E6617" s="31" t="s">
        <v>166</v>
      </c>
      <c r="F6617" s="31" t="s">
        <v>49</v>
      </c>
      <c r="G6617" s="32" t="s">
        <v>50</v>
      </c>
      <c r="H6617" s="33">
        <v>18570</v>
      </c>
      <c r="I6617" s="34">
        <f>Table3[[#This Row],[Volume, kg.]]/1000</f>
        <v>18.57</v>
      </c>
      <c r="J6617" s="34">
        <v>0.26079999999999998</v>
      </c>
      <c r="K6617" s="34">
        <f t="shared" si="208"/>
        <v>4843.0559999999996</v>
      </c>
      <c r="L6617" s="34">
        <v>2.29</v>
      </c>
      <c r="M6617" s="34">
        <v>42588</v>
      </c>
      <c r="N6617" s="34">
        <f t="shared" si="209"/>
        <v>8.780674846625768</v>
      </c>
    </row>
    <row r="6618" spans="1:14" x14ac:dyDescent="0.45">
      <c r="A6618" s="30">
        <v>2025</v>
      </c>
      <c r="B6618" s="30" t="s">
        <v>18</v>
      </c>
      <c r="C6618" s="30" t="s">
        <v>46</v>
      </c>
      <c r="D6618" s="30" t="s">
        <v>47</v>
      </c>
      <c r="E6618" s="31" t="s">
        <v>256</v>
      </c>
      <c r="F6618" s="31" t="s">
        <v>81</v>
      </c>
      <c r="G6618" s="32" t="s">
        <v>705</v>
      </c>
      <c r="H6618" s="33">
        <v>14240</v>
      </c>
      <c r="I6618" s="34">
        <f>Table3[[#This Row],[Volume, kg.]]/1000</f>
        <v>14.24</v>
      </c>
      <c r="J6618" s="34">
        <v>0.27200000000000002</v>
      </c>
      <c r="K6618" s="34">
        <f t="shared" si="208"/>
        <v>3873.28</v>
      </c>
      <c r="L6618" s="34">
        <v>2.35</v>
      </c>
      <c r="M6618" s="34">
        <v>33464</v>
      </c>
      <c r="N6618" s="34">
        <f t="shared" si="209"/>
        <v>8.6397058823529402</v>
      </c>
    </row>
    <row r="6619" spans="1:14" x14ac:dyDescent="0.45">
      <c r="A6619" s="30">
        <v>2025</v>
      </c>
      <c r="B6619" s="30" t="s">
        <v>18</v>
      </c>
      <c r="C6619" s="30" t="s">
        <v>46</v>
      </c>
      <c r="D6619" s="30" t="s">
        <v>47</v>
      </c>
      <c r="E6619" s="31" t="s">
        <v>380</v>
      </c>
      <c r="F6619" s="31" t="s">
        <v>49</v>
      </c>
      <c r="G6619" s="32" t="s">
        <v>705</v>
      </c>
      <c r="H6619" s="33">
        <v>6050</v>
      </c>
      <c r="I6619" s="34">
        <f>Table3[[#This Row],[Volume, kg.]]/1000</f>
        <v>6.05</v>
      </c>
      <c r="J6619" s="34">
        <v>0.26850000000000002</v>
      </c>
      <c r="K6619" s="34">
        <f t="shared" si="208"/>
        <v>1624.4250000000002</v>
      </c>
      <c r="L6619" s="34">
        <v>2.35</v>
      </c>
      <c r="M6619" s="34">
        <v>14217.5</v>
      </c>
      <c r="N6619" s="34">
        <f t="shared" si="209"/>
        <v>8.7523277467411535</v>
      </c>
    </row>
    <row r="6620" spans="1:14" x14ac:dyDescent="0.45">
      <c r="A6620" s="30">
        <v>2025</v>
      </c>
      <c r="B6620" s="30" t="s">
        <v>18</v>
      </c>
      <c r="C6620" s="30" t="s">
        <v>46</v>
      </c>
      <c r="D6620" s="30" t="s">
        <v>47</v>
      </c>
      <c r="E6620" s="31" t="s">
        <v>164</v>
      </c>
      <c r="F6620" s="31" t="s">
        <v>49</v>
      </c>
      <c r="G6620" s="32" t="s">
        <v>50</v>
      </c>
      <c r="H6620" s="33">
        <v>18450</v>
      </c>
      <c r="I6620" s="34">
        <f>Table3[[#This Row],[Volume, kg.]]/1000</f>
        <v>18.45</v>
      </c>
      <c r="J6620" s="34">
        <v>0.22210000000000002</v>
      </c>
      <c r="K6620" s="34">
        <f t="shared" si="208"/>
        <v>4097.7450000000008</v>
      </c>
      <c r="L6620" s="34">
        <v>2.11</v>
      </c>
      <c r="M6620" s="34">
        <v>38842.5</v>
      </c>
      <c r="N6620" s="34">
        <f t="shared" si="209"/>
        <v>9.5002251238180992</v>
      </c>
    </row>
    <row r="6621" spans="1:14" x14ac:dyDescent="0.45">
      <c r="A6621" s="30">
        <v>2025</v>
      </c>
      <c r="B6621" s="30" t="s">
        <v>18</v>
      </c>
      <c r="C6621" s="30" t="s">
        <v>46</v>
      </c>
      <c r="D6621" s="30" t="s">
        <v>47</v>
      </c>
      <c r="E6621" s="31" t="s">
        <v>534</v>
      </c>
      <c r="F6621" s="31" t="s">
        <v>49</v>
      </c>
      <c r="G6621" s="32" t="s">
        <v>50</v>
      </c>
      <c r="H6621" s="33">
        <v>25160</v>
      </c>
      <c r="I6621" s="34">
        <f>Table3[[#This Row],[Volume, kg.]]/1000</f>
        <v>25.16</v>
      </c>
      <c r="J6621" s="34">
        <v>0.25239999999999996</v>
      </c>
      <c r="K6621" s="34">
        <f t="shared" si="208"/>
        <v>6350.3839999999991</v>
      </c>
      <c r="L6621" s="34">
        <v>2.2599999999999998</v>
      </c>
      <c r="M6621" s="34">
        <v>56967</v>
      </c>
      <c r="N6621" s="34">
        <f t="shared" si="209"/>
        <v>8.9540412044374023</v>
      </c>
    </row>
    <row r="6622" spans="1:14" x14ac:dyDescent="0.45">
      <c r="A6622" s="30">
        <v>2025</v>
      </c>
      <c r="B6622" s="30" t="s">
        <v>18</v>
      </c>
      <c r="C6622" s="30" t="s">
        <v>46</v>
      </c>
      <c r="D6622" s="30" t="s">
        <v>47</v>
      </c>
      <c r="E6622" s="31" t="s">
        <v>294</v>
      </c>
      <c r="F6622" s="31" t="s">
        <v>81</v>
      </c>
      <c r="G6622" s="32" t="s">
        <v>50</v>
      </c>
      <c r="H6622" s="33">
        <v>9540</v>
      </c>
      <c r="I6622" s="34">
        <f>Table3[[#This Row],[Volume, kg.]]/1000</f>
        <v>9.5399999999999991</v>
      </c>
      <c r="J6622" s="34">
        <v>0.22070000000000001</v>
      </c>
      <c r="K6622" s="34">
        <f t="shared" si="208"/>
        <v>2105.4780000000001</v>
      </c>
      <c r="L6622" s="34">
        <v>2.1</v>
      </c>
      <c r="M6622" s="34">
        <v>20034</v>
      </c>
      <c r="N6622" s="34">
        <f t="shared" si="209"/>
        <v>9.515178975985501</v>
      </c>
    </row>
    <row r="6623" spans="1:14" x14ac:dyDescent="0.45">
      <c r="A6623" s="30">
        <v>2025</v>
      </c>
      <c r="B6623" s="30" t="s">
        <v>18</v>
      </c>
      <c r="C6623" s="30" t="s">
        <v>46</v>
      </c>
      <c r="D6623" s="30" t="s">
        <v>47</v>
      </c>
      <c r="E6623" s="31" t="s">
        <v>187</v>
      </c>
      <c r="F6623" s="31" t="s">
        <v>54</v>
      </c>
      <c r="G6623" s="32" t="s">
        <v>50</v>
      </c>
      <c r="H6623" s="33">
        <v>19590</v>
      </c>
      <c r="I6623" s="34">
        <f>Table3[[#This Row],[Volume, kg.]]/1000</f>
        <v>19.59</v>
      </c>
      <c r="J6623" s="34">
        <v>0.26100000000000001</v>
      </c>
      <c r="K6623" s="34">
        <f t="shared" si="208"/>
        <v>5112.99</v>
      </c>
      <c r="L6623" s="34">
        <v>2.2999999999999998</v>
      </c>
      <c r="M6623" s="34">
        <v>45057</v>
      </c>
      <c r="N6623" s="34">
        <f t="shared" si="209"/>
        <v>8.8122605363984672</v>
      </c>
    </row>
    <row r="6624" spans="1:14" x14ac:dyDescent="0.45">
      <c r="A6624" s="30">
        <v>2025</v>
      </c>
      <c r="B6624" s="30" t="s">
        <v>18</v>
      </c>
      <c r="C6624" s="30" t="s">
        <v>46</v>
      </c>
      <c r="D6624" s="30" t="s">
        <v>47</v>
      </c>
      <c r="E6624" s="31" t="s">
        <v>191</v>
      </c>
      <c r="F6624" s="31" t="s">
        <v>49</v>
      </c>
      <c r="G6624" s="32" t="s">
        <v>50</v>
      </c>
      <c r="H6624" s="33">
        <v>7582</v>
      </c>
      <c r="I6624" s="34">
        <f>Table3[[#This Row],[Volume, kg.]]/1000</f>
        <v>7.5819999999999999</v>
      </c>
      <c r="J6624" s="34">
        <v>0.29399999999999998</v>
      </c>
      <c r="K6624" s="34">
        <f t="shared" si="208"/>
        <v>2229.1079999999997</v>
      </c>
      <c r="L6624" s="34">
        <v>2.6</v>
      </c>
      <c r="M6624" s="34">
        <v>19713.2</v>
      </c>
      <c r="N6624" s="34">
        <f t="shared" si="209"/>
        <v>8.8435374149659864</v>
      </c>
    </row>
    <row r="6625" spans="1:14" x14ac:dyDescent="0.45">
      <c r="A6625" s="30">
        <v>2025</v>
      </c>
      <c r="B6625" s="30" t="s">
        <v>18</v>
      </c>
      <c r="C6625" s="30" t="s">
        <v>46</v>
      </c>
      <c r="D6625" s="30" t="s">
        <v>47</v>
      </c>
      <c r="E6625" s="31" t="s">
        <v>110</v>
      </c>
      <c r="F6625" s="31" t="s">
        <v>57</v>
      </c>
      <c r="G6625" s="32" t="s">
        <v>50</v>
      </c>
      <c r="H6625" s="33">
        <v>17230</v>
      </c>
      <c r="I6625" s="34">
        <f>Table3[[#This Row],[Volume, kg.]]/1000</f>
        <v>17.23</v>
      </c>
      <c r="J6625" s="34">
        <v>0.28360000000000002</v>
      </c>
      <c r="K6625" s="34">
        <f t="shared" si="208"/>
        <v>4886.4279999999999</v>
      </c>
      <c r="L6625" s="34">
        <v>2.42</v>
      </c>
      <c r="M6625" s="34">
        <v>41724</v>
      </c>
      <c r="N6625" s="34">
        <f t="shared" si="209"/>
        <v>8.5331452750352597</v>
      </c>
    </row>
    <row r="6626" spans="1:14" x14ac:dyDescent="0.45">
      <c r="A6626" s="30">
        <v>2025</v>
      </c>
      <c r="B6626" s="30" t="s">
        <v>18</v>
      </c>
      <c r="C6626" s="30" t="s">
        <v>46</v>
      </c>
      <c r="D6626" s="30" t="s">
        <v>47</v>
      </c>
      <c r="E6626" s="31" t="s">
        <v>142</v>
      </c>
      <c r="F6626" s="31" t="s">
        <v>57</v>
      </c>
      <c r="G6626" s="32" t="s">
        <v>50</v>
      </c>
      <c r="H6626" s="33">
        <v>11060</v>
      </c>
      <c r="I6626" s="34">
        <f>Table3[[#This Row],[Volume, kg.]]/1000</f>
        <v>11.06</v>
      </c>
      <c r="J6626" s="34">
        <v>0.2636</v>
      </c>
      <c r="K6626" s="34">
        <f t="shared" si="208"/>
        <v>2915.4160000000002</v>
      </c>
      <c r="L6626" s="34">
        <v>2.31</v>
      </c>
      <c r="M6626" s="34">
        <v>25545</v>
      </c>
      <c r="N6626" s="34">
        <f t="shared" si="209"/>
        <v>8.7632776934749614</v>
      </c>
    </row>
    <row r="6627" spans="1:14" x14ac:dyDescent="0.45">
      <c r="A6627" s="30">
        <v>2025</v>
      </c>
      <c r="B6627" s="30" t="s">
        <v>18</v>
      </c>
      <c r="C6627" s="30" t="s">
        <v>46</v>
      </c>
      <c r="D6627" s="30" t="s">
        <v>47</v>
      </c>
      <c r="E6627" s="31" t="s">
        <v>451</v>
      </c>
      <c r="F6627" s="31" t="s">
        <v>54</v>
      </c>
      <c r="G6627" s="32" t="s">
        <v>50</v>
      </c>
      <c r="H6627" s="33">
        <v>2190</v>
      </c>
      <c r="I6627" s="34">
        <f>Table3[[#This Row],[Volume, kg.]]/1000</f>
        <v>2.19</v>
      </c>
      <c r="J6627" s="34">
        <v>0.27250000000000002</v>
      </c>
      <c r="K6627" s="34">
        <f t="shared" si="208"/>
        <v>596.77500000000009</v>
      </c>
      <c r="L6627" s="34">
        <v>2.35</v>
      </c>
      <c r="M6627" s="34">
        <v>5146.5</v>
      </c>
      <c r="N6627" s="34">
        <f t="shared" si="209"/>
        <v>8.6238532110091732</v>
      </c>
    </row>
    <row r="6628" spans="1:14" x14ac:dyDescent="0.45">
      <c r="A6628" s="30">
        <v>2025</v>
      </c>
      <c r="B6628" s="30" t="s">
        <v>18</v>
      </c>
      <c r="C6628" s="30" t="s">
        <v>46</v>
      </c>
      <c r="D6628" s="30" t="s">
        <v>47</v>
      </c>
      <c r="E6628" s="31" t="s">
        <v>190</v>
      </c>
      <c r="F6628" s="31" t="s">
        <v>81</v>
      </c>
      <c r="G6628" s="32" t="s">
        <v>50</v>
      </c>
      <c r="H6628" s="33">
        <v>7470</v>
      </c>
      <c r="I6628" s="34">
        <f>Table3[[#This Row],[Volume, kg.]]/1000</f>
        <v>7.47</v>
      </c>
      <c r="J6628" s="34">
        <v>0.32</v>
      </c>
      <c r="K6628" s="34">
        <f t="shared" si="208"/>
        <v>2390.4</v>
      </c>
      <c r="L6628" s="34">
        <v>2.6</v>
      </c>
      <c r="M6628" s="34">
        <v>19422</v>
      </c>
      <c r="N6628" s="34">
        <f t="shared" si="209"/>
        <v>8.125</v>
      </c>
    </row>
    <row r="6629" spans="1:14" x14ac:dyDescent="0.45">
      <c r="A6629" s="30">
        <v>2025</v>
      </c>
      <c r="B6629" s="30" t="s">
        <v>18</v>
      </c>
      <c r="C6629" s="30" t="s">
        <v>46</v>
      </c>
      <c r="D6629" s="30" t="s">
        <v>47</v>
      </c>
      <c r="E6629" s="31" t="s">
        <v>241</v>
      </c>
      <c r="F6629" s="31" t="s">
        <v>57</v>
      </c>
      <c r="G6629" s="32" t="s">
        <v>50</v>
      </c>
      <c r="H6629" s="33">
        <v>4260</v>
      </c>
      <c r="I6629" s="34">
        <f>Table3[[#This Row],[Volume, kg.]]/1000</f>
        <v>4.26</v>
      </c>
      <c r="J6629" s="34">
        <v>0.30399999999999999</v>
      </c>
      <c r="K6629" s="34">
        <f t="shared" si="208"/>
        <v>1295.04</v>
      </c>
      <c r="L6629" s="34">
        <v>2.5</v>
      </c>
      <c r="M6629" s="34">
        <v>10650</v>
      </c>
      <c r="N6629" s="34">
        <f t="shared" si="209"/>
        <v>8.2236842105263168</v>
      </c>
    </row>
    <row r="6630" spans="1:14" x14ac:dyDescent="0.45">
      <c r="A6630" s="30">
        <v>2025</v>
      </c>
      <c r="B6630" s="30" t="s">
        <v>18</v>
      </c>
      <c r="C6630" s="30" t="s">
        <v>46</v>
      </c>
      <c r="D6630" s="30" t="s">
        <v>47</v>
      </c>
      <c r="E6630" s="31" t="s">
        <v>288</v>
      </c>
      <c r="F6630" s="31" t="s">
        <v>49</v>
      </c>
      <c r="G6630" s="32" t="s">
        <v>50</v>
      </c>
      <c r="H6630" s="33">
        <v>14200</v>
      </c>
      <c r="I6630" s="34">
        <f>Table3[[#This Row],[Volume, kg.]]/1000</f>
        <v>14.2</v>
      </c>
      <c r="J6630" s="34">
        <v>0.218</v>
      </c>
      <c r="K6630" s="34">
        <f t="shared" si="208"/>
        <v>3095.6</v>
      </c>
      <c r="L6630" s="34">
        <v>2.1</v>
      </c>
      <c r="M6630" s="34">
        <v>29820</v>
      </c>
      <c r="N6630" s="34">
        <f t="shared" si="209"/>
        <v>9.6330275229357802</v>
      </c>
    </row>
    <row r="6631" spans="1:14" x14ac:dyDescent="0.45">
      <c r="A6631" s="30">
        <v>2025</v>
      </c>
      <c r="B6631" s="30" t="s">
        <v>18</v>
      </c>
      <c r="C6631" s="30" t="s">
        <v>46</v>
      </c>
      <c r="D6631" s="30" t="s">
        <v>47</v>
      </c>
      <c r="E6631" s="31" t="s">
        <v>70</v>
      </c>
      <c r="F6631" s="31" t="s">
        <v>49</v>
      </c>
      <c r="G6631" s="32" t="s">
        <v>50</v>
      </c>
      <c r="H6631" s="33">
        <v>22180</v>
      </c>
      <c r="I6631" s="34">
        <f>Table3[[#This Row],[Volume, kg.]]/1000</f>
        <v>22.18</v>
      </c>
      <c r="J6631" s="34">
        <v>0.2263</v>
      </c>
      <c r="K6631" s="34">
        <f t="shared" si="208"/>
        <v>5019.3339999999998</v>
      </c>
      <c r="L6631" s="34">
        <v>2.13</v>
      </c>
      <c r="M6631" s="34">
        <v>47164</v>
      </c>
      <c r="N6631" s="34">
        <f t="shared" si="209"/>
        <v>9.4122845779938125</v>
      </c>
    </row>
    <row r="6632" spans="1:14" x14ac:dyDescent="0.45">
      <c r="A6632" s="30">
        <v>2025</v>
      </c>
      <c r="B6632" s="30" t="s">
        <v>18</v>
      </c>
      <c r="C6632" s="30" t="s">
        <v>46</v>
      </c>
      <c r="D6632" s="30" t="s">
        <v>47</v>
      </c>
      <c r="E6632" s="31" t="s">
        <v>277</v>
      </c>
      <c r="F6632" s="31" t="s">
        <v>60</v>
      </c>
      <c r="G6632" s="32" t="s">
        <v>50</v>
      </c>
      <c r="H6632" s="33">
        <v>9230</v>
      </c>
      <c r="I6632" s="34">
        <f>Table3[[#This Row],[Volume, kg.]]/1000</f>
        <v>9.23</v>
      </c>
      <c r="J6632" s="34">
        <v>0.26100000000000001</v>
      </c>
      <c r="K6632" s="34">
        <f t="shared" si="208"/>
        <v>2409.0300000000002</v>
      </c>
      <c r="L6632" s="34">
        <v>2.2999999999999998</v>
      </c>
      <c r="M6632" s="34">
        <v>21229</v>
      </c>
      <c r="N6632" s="34">
        <f t="shared" si="209"/>
        <v>8.8122605363984672</v>
      </c>
    </row>
    <row r="6633" spans="1:14" x14ac:dyDescent="0.45">
      <c r="A6633" s="30">
        <v>2025</v>
      </c>
      <c r="B6633" s="30" t="s">
        <v>18</v>
      </c>
      <c r="C6633" s="30" t="s">
        <v>46</v>
      </c>
      <c r="D6633" s="30" t="s">
        <v>47</v>
      </c>
      <c r="E6633" s="31" t="s">
        <v>390</v>
      </c>
      <c r="F6633" s="31" t="s">
        <v>60</v>
      </c>
      <c r="G6633" s="32" t="s">
        <v>50</v>
      </c>
      <c r="H6633" s="33">
        <v>4030</v>
      </c>
      <c r="I6633" s="34">
        <f>Table3[[#This Row],[Volume, kg.]]/1000</f>
        <v>4.03</v>
      </c>
      <c r="J6633" s="34">
        <v>0.1865</v>
      </c>
      <c r="K6633" s="34">
        <f t="shared" si="208"/>
        <v>751.59500000000003</v>
      </c>
      <c r="L6633" s="34">
        <v>1.95</v>
      </c>
      <c r="M6633" s="34">
        <v>7858.5</v>
      </c>
      <c r="N6633" s="34">
        <f t="shared" si="209"/>
        <v>10.455764075067023</v>
      </c>
    </row>
    <row r="6634" spans="1:14" x14ac:dyDescent="0.45">
      <c r="A6634" s="30">
        <v>2025</v>
      </c>
      <c r="B6634" s="30" t="s">
        <v>18</v>
      </c>
      <c r="C6634" s="30" t="s">
        <v>46</v>
      </c>
      <c r="D6634" s="30" t="s">
        <v>47</v>
      </c>
      <c r="E6634" s="31" t="s">
        <v>100</v>
      </c>
      <c r="F6634" s="31" t="s">
        <v>60</v>
      </c>
      <c r="G6634" s="32" t="s">
        <v>50</v>
      </c>
      <c r="H6634" s="33">
        <v>8571</v>
      </c>
      <c r="I6634" s="34">
        <f>Table3[[#This Row],[Volume, kg.]]/1000</f>
        <v>8.5709999999999997</v>
      </c>
      <c r="J6634" s="34">
        <v>0.311</v>
      </c>
      <c r="K6634" s="34">
        <f t="shared" si="208"/>
        <v>2665.5810000000001</v>
      </c>
      <c r="L6634" s="34">
        <v>2.8</v>
      </c>
      <c r="M6634" s="34">
        <v>23998.799999999999</v>
      </c>
      <c r="N6634" s="34">
        <f t="shared" si="209"/>
        <v>9.0032154340836001</v>
      </c>
    </row>
    <row r="6635" spans="1:14" x14ac:dyDescent="0.45">
      <c r="A6635" s="30">
        <v>2025</v>
      </c>
      <c r="B6635" s="30" t="s">
        <v>18</v>
      </c>
      <c r="C6635" s="30" t="s">
        <v>46</v>
      </c>
      <c r="D6635" s="30" t="s">
        <v>47</v>
      </c>
      <c r="E6635" s="31" t="s">
        <v>268</v>
      </c>
      <c r="F6635" s="31" t="s">
        <v>57</v>
      </c>
      <c r="G6635" s="32" t="s">
        <v>50</v>
      </c>
      <c r="H6635" s="33">
        <v>16760</v>
      </c>
      <c r="I6635" s="34">
        <f>Table3[[#This Row],[Volume, kg.]]/1000</f>
        <v>16.760000000000002</v>
      </c>
      <c r="J6635" s="34">
        <v>0.28699999999999998</v>
      </c>
      <c r="K6635" s="34">
        <f t="shared" si="208"/>
        <v>4810.12</v>
      </c>
      <c r="L6635" s="34">
        <v>2.4500000000000002</v>
      </c>
      <c r="M6635" s="34">
        <v>41062</v>
      </c>
      <c r="N6635" s="34">
        <f t="shared" si="209"/>
        <v>8.536585365853659</v>
      </c>
    </row>
    <row r="6636" spans="1:14" x14ac:dyDescent="0.45">
      <c r="A6636" s="30">
        <v>2025</v>
      </c>
      <c r="B6636" s="30" t="s">
        <v>18</v>
      </c>
      <c r="C6636" s="30" t="s">
        <v>46</v>
      </c>
      <c r="D6636" s="30" t="s">
        <v>47</v>
      </c>
      <c r="E6636" s="31" t="s">
        <v>233</v>
      </c>
      <c r="F6636" s="31" t="s">
        <v>57</v>
      </c>
      <c r="G6636" s="32" t="s">
        <v>50</v>
      </c>
      <c r="H6636" s="33">
        <v>13250</v>
      </c>
      <c r="I6636" s="34">
        <f>Table3[[#This Row],[Volume, kg.]]/1000</f>
        <v>13.25</v>
      </c>
      <c r="J6636" s="34">
        <v>0.28350000000000003</v>
      </c>
      <c r="K6636" s="34">
        <f t="shared" si="208"/>
        <v>3756.3750000000005</v>
      </c>
      <c r="L6636" s="34">
        <v>2.4</v>
      </c>
      <c r="M6636" s="34">
        <v>31800</v>
      </c>
      <c r="N6636" s="34">
        <f t="shared" si="209"/>
        <v>8.4656084656084651</v>
      </c>
    </row>
    <row r="6637" spans="1:14" x14ac:dyDescent="0.45">
      <c r="A6637" s="30">
        <v>2025</v>
      </c>
      <c r="B6637" s="30" t="s">
        <v>18</v>
      </c>
      <c r="C6637" s="30" t="s">
        <v>46</v>
      </c>
      <c r="D6637" s="30" t="s">
        <v>47</v>
      </c>
      <c r="E6637" s="31" t="s">
        <v>90</v>
      </c>
      <c r="F6637" s="31" t="s">
        <v>49</v>
      </c>
      <c r="G6637" s="32" t="s">
        <v>50</v>
      </c>
      <c r="H6637" s="33">
        <v>22861</v>
      </c>
      <c r="I6637" s="34">
        <f>Table3[[#This Row],[Volume, kg.]]/1000</f>
        <v>22.861000000000001</v>
      </c>
      <c r="J6637" s="34">
        <v>0.27350000000000002</v>
      </c>
      <c r="K6637" s="34">
        <f t="shared" si="208"/>
        <v>6252.4835000000003</v>
      </c>
      <c r="L6637" s="34">
        <v>2.66</v>
      </c>
      <c r="M6637" s="34">
        <v>60733.35</v>
      </c>
      <c r="N6637" s="34">
        <f t="shared" si="209"/>
        <v>9.7257769652650818</v>
      </c>
    </row>
    <row r="6638" spans="1:14" x14ac:dyDescent="0.45">
      <c r="A6638" s="30">
        <v>2025</v>
      </c>
      <c r="B6638" s="30" t="s">
        <v>18</v>
      </c>
      <c r="C6638" s="30" t="s">
        <v>46</v>
      </c>
      <c r="D6638" s="30" t="s">
        <v>47</v>
      </c>
      <c r="E6638" s="31" t="s">
        <v>356</v>
      </c>
      <c r="F6638" s="31" t="s">
        <v>49</v>
      </c>
      <c r="G6638" s="32" t="s">
        <v>50</v>
      </c>
      <c r="H6638" s="33">
        <v>7250</v>
      </c>
      <c r="I6638" s="34">
        <f>Table3[[#This Row],[Volume, kg.]]/1000</f>
        <v>7.25</v>
      </c>
      <c r="J6638" s="34">
        <v>0.22649999999999998</v>
      </c>
      <c r="K6638" s="34">
        <f t="shared" si="208"/>
        <v>1642.1249999999998</v>
      </c>
      <c r="L6638" s="34">
        <v>2.13</v>
      </c>
      <c r="M6638" s="34">
        <v>15422</v>
      </c>
      <c r="N6638" s="34">
        <f t="shared" si="209"/>
        <v>9.4039735099337758</v>
      </c>
    </row>
    <row r="6639" spans="1:14" x14ac:dyDescent="0.45">
      <c r="A6639" s="30">
        <v>2025</v>
      </c>
      <c r="B6639" s="30" t="s">
        <v>18</v>
      </c>
      <c r="C6639" s="30" t="s">
        <v>46</v>
      </c>
      <c r="D6639" s="30" t="s">
        <v>102</v>
      </c>
      <c r="E6639" s="31" t="s">
        <v>753</v>
      </c>
      <c r="F6639" s="31" t="s">
        <v>118</v>
      </c>
      <c r="G6639" s="32" t="s">
        <v>50</v>
      </c>
      <c r="H6639" s="33">
        <v>177450</v>
      </c>
      <c r="I6639" s="34">
        <f>Table3[[#This Row],[Volume, kg.]]/1000</f>
        <v>177.45</v>
      </c>
      <c r="J6639" s="34">
        <v>0.24679999999999999</v>
      </c>
      <c r="K6639" s="34">
        <f t="shared" si="208"/>
        <v>43794.659999999996</v>
      </c>
      <c r="L6639" s="34">
        <v>2.5299999999999998</v>
      </c>
      <c r="M6639" s="34">
        <v>448479.5</v>
      </c>
      <c r="N6639" s="34">
        <f t="shared" si="209"/>
        <v>10.251215559157211</v>
      </c>
    </row>
    <row r="6640" spans="1:14" x14ac:dyDescent="0.45">
      <c r="A6640" s="30">
        <v>2025</v>
      </c>
      <c r="B6640" s="30" t="s">
        <v>18</v>
      </c>
      <c r="C6640" s="30" t="s">
        <v>46</v>
      </c>
      <c r="D6640" s="30" t="s">
        <v>47</v>
      </c>
      <c r="E6640" s="31" t="s">
        <v>116</v>
      </c>
      <c r="F6640" s="31" t="s">
        <v>81</v>
      </c>
      <c r="G6640" s="32" t="s">
        <v>50</v>
      </c>
      <c r="H6640" s="33">
        <v>30680</v>
      </c>
      <c r="I6640" s="34">
        <f>Table3[[#This Row],[Volume, kg.]]/1000</f>
        <v>30.68</v>
      </c>
      <c r="J6640" s="34">
        <v>0.28410000000000002</v>
      </c>
      <c r="K6640" s="34">
        <f t="shared" si="208"/>
        <v>8716.1880000000001</v>
      </c>
      <c r="L6640" s="34">
        <v>2.41</v>
      </c>
      <c r="M6640" s="34">
        <v>74036</v>
      </c>
      <c r="N6640" s="34">
        <f t="shared" si="209"/>
        <v>8.4829285462865194</v>
      </c>
    </row>
    <row r="6641" spans="1:14" x14ac:dyDescent="0.45">
      <c r="A6641" s="30">
        <v>2025</v>
      </c>
      <c r="B6641" s="30" t="s">
        <v>18</v>
      </c>
      <c r="C6641" s="30" t="s">
        <v>46</v>
      </c>
      <c r="D6641" s="30" t="s">
        <v>47</v>
      </c>
      <c r="E6641" s="31" t="s">
        <v>206</v>
      </c>
      <c r="F6641" s="31" t="s">
        <v>81</v>
      </c>
      <c r="G6641" s="32" t="s">
        <v>50</v>
      </c>
      <c r="H6641" s="33">
        <v>7450</v>
      </c>
      <c r="I6641" s="34">
        <f>Table3[[#This Row],[Volume, kg.]]/1000</f>
        <v>7.45</v>
      </c>
      <c r="J6641" s="34">
        <v>0.255</v>
      </c>
      <c r="K6641" s="34">
        <f t="shared" si="208"/>
        <v>1899.75</v>
      </c>
      <c r="L6641" s="34">
        <v>2.2999999999999998</v>
      </c>
      <c r="M6641" s="34">
        <v>17135</v>
      </c>
      <c r="N6641" s="34">
        <f t="shared" si="209"/>
        <v>9.0196078431372548</v>
      </c>
    </row>
    <row r="6642" spans="1:14" x14ac:dyDescent="0.45">
      <c r="A6642" s="30">
        <v>2025</v>
      </c>
      <c r="B6642" s="30" t="s">
        <v>18</v>
      </c>
      <c r="C6642" s="30" t="s">
        <v>46</v>
      </c>
      <c r="D6642" s="30" t="s">
        <v>47</v>
      </c>
      <c r="E6642" s="31" t="s">
        <v>548</v>
      </c>
      <c r="F6642" s="31" t="s">
        <v>49</v>
      </c>
      <c r="G6642" s="32" t="s">
        <v>50</v>
      </c>
      <c r="H6642" s="33">
        <v>11322</v>
      </c>
      <c r="I6642" s="34">
        <f>Table3[[#This Row],[Volume, kg.]]/1000</f>
        <v>11.321999999999999</v>
      </c>
      <c r="J6642" s="34">
        <v>0.3155</v>
      </c>
      <c r="K6642" s="34">
        <f t="shared" si="208"/>
        <v>3572.0909999999999</v>
      </c>
      <c r="L6642" s="34">
        <v>2.9</v>
      </c>
      <c r="M6642" s="34">
        <v>32833.800000000003</v>
      </c>
      <c r="N6642" s="34">
        <f t="shared" si="209"/>
        <v>9.1917591125198097</v>
      </c>
    </row>
    <row r="6643" spans="1:14" x14ac:dyDescent="0.45">
      <c r="A6643" s="30">
        <v>2025</v>
      </c>
      <c r="B6643" s="30" t="s">
        <v>18</v>
      </c>
      <c r="C6643" s="30" t="s">
        <v>46</v>
      </c>
      <c r="D6643" s="30" t="s">
        <v>47</v>
      </c>
      <c r="E6643" s="31" t="s">
        <v>129</v>
      </c>
      <c r="F6643" s="31" t="s">
        <v>57</v>
      </c>
      <c r="G6643" s="32" t="s">
        <v>50</v>
      </c>
      <c r="H6643" s="33">
        <v>33892</v>
      </c>
      <c r="I6643" s="34">
        <f>Table3[[#This Row],[Volume, kg.]]/1000</f>
        <v>33.892000000000003</v>
      </c>
      <c r="J6643" s="34">
        <v>0.2661</v>
      </c>
      <c r="K6643" s="34">
        <f t="shared" si="208"/>
        <v>9018.6612000000005</v>
      </c>
      <c r="L6643" s="34">
        <v>2.34</v>
      </c>
      <c r="M6643" s="34">
        <v>79280.600000000006</v>
      </c>
      <c r="N6643" s="34">
        <f t="shared" si="209"/>
        <v>8.793686583990981</v>
      </c>
    </row>
    <row r="6644" spans="1:14" x14ac:dyDescent="0.45">
      <c r="A6644" s="30">
        <v>2025</v>
      </c>
      <c r="B6644" s="30" t="s">
        <v>18</v>
      </c>
      <c r="C6644" s="30" t="s">
        <v>46</v>
      </c>
      <c r="D6644" s="30" t="s">
        <v>102</v>
      </c>
      <c r="E6644" s="31" t="s">
        <v>563</v>
      </c>
      <c r="F6644" s="31" t="s">
        <v>564</v>
      </c>
      <c r="G6644" s="32" t="s">
        <v>565</v>
      </c>
      <c r="H6644" s="33">
        <v>116910</v>
      </c>
      <c r="I6644" s="34">
        <f>Table3[[#This Row],[Volume, kg.]]/1000</f>
        <v>116.91</v>
      </c>
      <c r="J6644" s="34">
        <v>0.2271</v>
      </c>
      <c r="K6644" s="34">
        <f t="shared" si="208"/>
        <v>26550.260999999999</v>
      </c>
      <c r="L6644" s="34">
        <v>2.4300000000000002</v>
      </c>
      <c r="M6644" s="34">
        <v>283594</v>
      </c>
      <c r="N6644" s="34">
        <f t="shared" si="209"/>
        <v>10.700132100396303</v>
      </c>
    </row>
    <row r="6645" spans="1:14" x14ac:dyDescent="0.45">
      <c r="A6645" s="30">
        <v>2025</v>
      </c>
      <c r="B6645" s="30" t="s">
        <v>18</v>
      </c>
      <c r="C6645" s="30" t="s">
        <v>46</v>
      </c>
      <c r="D6645" s="30" t="s">
        <v>102</v>
      </c>
      <c r="E6645" s="31" t="s">
        <v>103</v>
      </c>
      <c r="F6645" s="31" t="s">
        <v>104</v>
      </c>
      <c r="G6645" s="32" t="s">
        <v>105</v>
      </c>
      <c r="H6645" s="33">
        <v>2760770</v>
      </c>
      <c r="I6645" s="34">
        <f>Table3[[#This Row],[Volume, kg.]]/1000</f>
        <v>2760.77</v>
      </c>
      <c r="J6645" s="34">
        <v>0.24440000000000001</v>
      </c>
      <c r="K6645" s="34">
        <f t="shared" si="208"/>
        <v>674732.18799999997</v>
      </c>
      <c r="L6645" s="34">
        <v>2.62</v>
      </c>
      <c r="M6645" s="34">
        <v>7238523.5</v>
      </c>
      <c r="N6645" s="34">
        <f t="shared" si="209"/>
        <v>10.72013093289689</v>
      </c>
    </row>
    <row r="6646" spans="1:14" x14ac:dyDescent="0.45">
      <c r="A6646" s="30">
        <v>2025</v>
      </c>
      <c r="B6646" s="30" t="s">
        <v>18</v>
      </c>
      <c r="C6646" s="30" t="s">
        <v>46</v>
      </c>
      <c r="D6646" s="30" t="s">
        <v>47</v>
      </c>
      <c r="E6646" s="31" t="s">
        <v>203</v>
      </c>
      <c r="F6646" s="31" t="s">
        <v>57</v>
      </c>
      <c r="G6646" s="32" t="s">
        <v>50</v>
      </c>
      <c r="H6646" s="33">
        <v>26138</v>
      </c>
      <c r="I6646" s="34">
        <f>Table3[[#This Row],[Volume, kg.]]/1000</f>
        <v>26.138000000000002</v>
      </c>
      <c r="J6646" s="34">
        <v>0.27210000000000001</v>
      </c>
      <c r="K6646" s="34">
        <f t="shared" si="208"/>
        <v>7112.1498000000001</v>
      </c>
      <c r="L6646" s="34">
        <v>2.5299999999999998</v>
      </c>
      <c r="M6646" s="34">
        <v>65933.899999999994</v>
      </c>
      <c r="N6646" s="34">
        <f t="shared" si="209"/>
        <v>9.2980521866960668</v>
      </c>
    </row>
    <row r="6647" spans="1:14" x14ac:dyDescent="0.45">
      <c r="A6647" s="30">
        <v>2025</v>
      </c>
      <c r="B6647" s="30" t="s">
        <v>18</v>
      </c>
      <c r="C6647" s="30" t="s">
        <v>46</v>
      </c>
      <c r="D6647" s="30" t="s">
        <v>102</v>
      </c>
      <c r="E6647" s="31" t="s">
        <v>348</v>
      </c>
      <c r="F6647" s="31" t="s">
        <v>349</v>
      </c>
      <c r="G6647" s="32" t="s">
        <v>105</v>
      </c>
      <c r="H6647" s="33">
        <v>457430</v>
      </c>
      <c r="I6647" s="34">
        <f>Table3[[#This Row],[Volume, kg.]]/1000</f>
        <v>457.43</v>
      </c>
      <c r="J6647" s="34">
        <v>0.25850000000000001</v>
      </c>
      <c r="K6647" s="34">
        <f t="shared" si="208"/>
        <v>118245.655</v>
      </c>
      <c r="L6647" s="34">
        <v>2.59</v>
      </c>
      <c r="M6647" s="34">
        <v>1184701.5</v>
      </c>
      <c r="N6647" s="34">
        <f t="shared" si="209"/>
        <v>10.01934235976789</v>
      </c>
    </row>
    <row r="6648" spans="1:14" x14ac:dyDescent="0.45">
      <c r="A6648" s="30">
        <v>2025</v>
      </c>
      <c r="B6648" s="30" t="s">
        <v>18</v>
      </c>
      <c r="C6648" s="30" t="s">
        <v>46</v>
      </c>
      <c r="D6648" s="30" t="s">
        <v>102</v>
      </c>
      <c r="E6648" s="31" t="s">
        <v>691</v>
      </c>
      <c r="F6648" s="31" t="s">
        <v>657</v>
      </c>
      <c r="G6648" s="32" t="s">
        <v>119</v>
      </c>
      <c r="H6648" s="33">
        <v>93350</v>
      </c>
      <c r="I6648" s="34">
        <f>Table3[[#This Row],[Volume, kg.]]/1000</f>
        <v>93.35</v>
      </c>
      <c r="J6648" s="34">
        <v>0.26850000000000002</v>
      </c>
      <c r="K6648" s="34">
        <f t="shared" si="208"/>
        <v>25064.475000000002</v>
      </c>
      <c r="L6648" s="34">
        <v>2.65</v>
      </c>
      <c r="M6648" s="34">
        <v>247385</v>
      </c>
      <c r="N6648" s="34">
        <f t="shared" si="209"/>
        <v>9.8696461824953428</v>
      </c>
    </row>
    <row r="6649" spans="1:14" x14ac:dyDescent="0.45">
      <c r="A6649" s="30">
        <v>2025</v>
      </c>
      <c r="B6649" s="30" t="s">
        <v>18</v>
      </c>
      <c r="C6649" s="30" t="s">
        <v>46</v>
      </c>
      <c r="D6649" s="30" t="s">
        <v>102</v>
      </c>
      <c r="E6649" s="31" t="s">
        <v>126</v>
      </c>
      <c r="F6649" s="31" t="s">
        <v>127</v>
      </c>
      <c r="G6649" s="32" t="s">
        <v>128</v>
      </c>
      <c r="H6649" s="33">
        <v>2718570</v>
      </c>
      <c r="I6649" s="34">
        <f>Table3[[#This Row],[Volume, kg.]]/1000</f>
        <v>2718.57</v>
      </c>
      <c r="J6649" s="34">
        <v>0.2581</v>
      </c>
      <c r="K6649" s="34">
        <f t="shared" si="208"/>
        <v>701662.91700000002</v>
      </c>
      <c r="L6649" s="34">
        <v>2.69</v>
      </c>
      <c r="M6649" s="34">
        <v>7307314</v>
      </c>
      <c r="N6649" s="34">
        <f t="shared" si="209"/>
        <v>10.42231693142193</v>
      </c>
    </row>
    <row r="6650" spans="1:14" x14ac:dyDescent="0.45">
      <c r="A6650" s="30">
        <v>2025</v>
      </c>
      <c r="B6650" s="30" t="s">
        <v>18</v>
      </c>
      <c r="C6650" s="30" t="s">
        <v>46</v>
      </c>
      <c r="D6650" s="30" t="s">
        <v>102</v>
      </c>
      <c r="E6650" s="31" t="s">
        <v>117</v>
      </c>
      <c r="F6650" s="31" t="s">
        <v>118</v>
      </c>
      <c r="G6650" s="32" t="s">
        <v>119</v>
      </c>
      <c r="H6650" s="33">
        <v>208010</v>
      </c>
      <c r="I6650" s="34">
        <f>Table3[[#This Row],[Volume, kg.]]/1000</f>
        <v>208.01</v>
      </c>
      <c r="J6650" s="34">
        <v>0.2515</v>
      </c>
      <c r="K6650" s="34">
        <f t="shared" si="208"/>
        <v>52314.514999999999</v>
      </c>
      <c r="L6650" s="34">
        <v>2.54</v>
      </c>
      <c r="M6650" s="34">
        <v>528257.5</v>
      </c>
      <c r="N6650" s="34">
        <f t="shared" si="209"/>
        <v>10.099403578528827</v>
      </c>
    </row>
    <row r="6651" spans="1:14" x14ac:dyDescent="0.45">
      <c r="A6651" s="30">
        <v>2025</v>
      </c>
      <c r="B6651" s="30" t="s">
        <v>18</v>
      </c>
      <c r="C6651" s="30" t="s">
        <v>46</v>
      </c>
      <c r="D6651" s="30" t="s">
        <v>102</v>
      </c>
      <c r="E6651" s="31" t="s">
        <v>546</v>
      </c>
      <c r="F6651" s="31" t="s">
        <v>547</v>
      </c>
      <c r="G6651" s="32" t="s">
        <v>341</v>
      </c>
      <c r="H6651" s="33">
        <v>154820</v>
      </c>
      <c r="I6651" s="34">
        <f>Table3[[#This Row],[Volume, kg.]]/1000</f>
        <v>154.82</v>
      </c>
      <c r="J6651" s="34">
        <v>0.23949999999999999</v>
      </c>
      <c r="K6651" s="34">
        <f t="shared" si="208"/>
        <v>37079.39</v>
      </c>
      <c r="L6651" s="34">
        <v>2.5</v>
      </c>
      <c r="M6651" s="34">
        <v>386618</v>
      </c>
      <c r="N6651" s="34">
        <f t="shared" si="209"/>
        <v>10.438413361169102</v>
      </c>
    </row>
    <row r="6652" spans="1:14" x14ac:dyDescent="0.45">
      <c r="A6652" s="30">
        <v>2025</v>
      </c>
      <c r="B6652" s="30" t="s">
        <v>18</v>
      </c>
      <c r="C6652" s="30" t="s">
        <v>46</v>
      </c>
      <c r="D6652" s="30" t="s">
        <v>47</v>
      </c>
      <c r="E6652" s="31" t="s">
        <v>204</v>
      </c>
      <c r="F6652" s="31" t="s">
        <v>49</v>
      </c>
      <c r="G6652" s="32" t="s">
        <v>50</v>
      </c>
      <c r="H6652" s="33">
        <v>26825</v>
      </c>
      <c r="I6652" s="34">
        <f>Table3[[#This Row],[Volume, kg.]]/1000</f>
        <v>26.824999999999999</v>
      </c>
      <c r="J6652" s="34">
        <v>0.28300000000000003</v>
      </c>
      <c r="K6652" s="34">
        <f t="shared" si="208"/>
        <v>7591.4750000000004</v>
      </c>
      <c r="L6652" s="34">
        <v>2.5</v>
      </c>
      <c r="M6652" s="34">
        <v>67056.25</v>
      </c>
      <c r="N6652" s="34">
        <f t="shared" si="209"/>
        <v>8.8339222614840978</v>
      </c>
    </row>
    <row r="6653" spans="1:14" x14ac:dyDescent="0.45">
      <c r="A6653" s="30">
        <v>2025</v>
      </c>
      <c r="B6653" s="30" t="s">
        <v>18</v>
      </c>
      <c r="C6653" s="30" t="s">
        <v>46</v>
      </c>
      <c r="D6653" s="30" t="s">
        <v>47</v>
      </c>
      <c r="E6653" s="31" t="s">
        <v>211</v>
      </c>
      <c r="F6653" s="31" t="s">
        <v>57</v>
      </c>
      <c r="G6653" s="32" t="s">
        <v>50</v>
      </c>
      <c r="H6653" s="33">
        <v>11390</v>
      </c>
      <c r="I6653" s="34">
        <f>Table3[[#This Row],[Volume, kg.]]/1000</f>
        <v>11.39</v>
      </c>
      <c r="J6653" s="34">
        <v>0.2545</v>
      </c>
      <c r="K6653" s="34">
        <f t="shared" si="208"/>
        <v>2898.7550000000001</v>
      </c>
      <c r="L6653" s="34">
        <v>2.2799999999999998</v>
      </c>
      <c r="M6653" s="34">
        <v>25916</v>
      </c>
      <c r="N6653" s="34">
        <f t="shared" si="209"/>
        <v>8.9587426326129656</v>
      </c>
    </row>
    <row r="6654" spans="1:14" x14ac:dyDescent="0.45">
      <c r="A6654" s="30">
        <v>2025</v>
      </c>
      <c r="B6654" s="30" t="s">
        <v>18</v>
      </c>
      <c r="C6654" s="30" t="s">
        <v>46</v>
      </c>
      <c r="D6654" s="30" t="s">
        <v>102</v>
      </c>
      <c r="E6654" s="31" t="s">
        <v>157</v>
      </c>
      <c r="F6654" s="31" t="s">
        <v>127</v>
      </c>
      <c r="G6654" s="32" t="s">
        <v>128</v>
      </c>
      <c r="H6654" s="33">
        <v>470910</v>
      </c>
      <c r="I6654" s="34">
        <f>Table3[[#This Row],[Volume, kg.]]/1000</f>
        <v>470.91</v>
      </c>
      <c r="J6654" s="34">
        <v>0.26629999999999998</v>
      </c>
      <c r="K6654" s="34">
        <f t="shared" si="208"/>
        <v>125403.33299999998</v>
      </c>
      <c r="L6654" s="34">
        <v>2.63</v>
      </c>
      <c r="M6654" s="34">
        <v>1240514</v>
      </c>
      <c r="N6654" s="34">
        <f t="shared" si="209"/>
        <v>9.8760796094630123</v>
      </c>
    </row>
    <row r="6655" spans="1:14" x14ac:dyDescent="0.45">
      <c r="A6655" s="30">
        <v>2025</v>
      </c>
      <c r="B6655" s="30" t="s">
        <v>18</v>
      </c>
      <c r="C6655" s="30" t="s">
        <v>46</v>
      </c>
      <c r="D6655" s="30" t="s">
        <v>47</v>
      </c>
      <c r="E6655" s="31" t="s">
        <v>273</v>
      </c>
      <c r="F6655" s="31" t="s">
        <v>49</v>
      </c>
      <c r="G6655" s="32" t="s">
        <v>50</v>
      </c>
      <c r="H6655" s="33">
        <v>15284</v>
      </c>
      <c r="I6655" s="34">
        <f>Table3[[#This Row],[Volume, kg.]]/1000</f>
        <v>15.284000000000001</v>
      </c>
      <c r="J6655" s="34">
        <v>0.2616</v>
      </c>
      <c r="K6655" s="34">
        <f t="shared" si="208"/>
        <v>3998.2943999999998</v>
      </c>
      <c r="L6655" s="34">
        <v>2.5</v>
      </c>
      <c r="M6655" s="34">
        <v>38235.9</v>
      </c>
      <c r="N6655" s="34">
        <f t="shared" si="209"/>
        <v>9.5565749235473998</v>
      </c>
    </row>
    <row r="6656" spans="1:14" x14ac:dyDescent="0.45">
      <c r="A6656" s="30">
        <v>2025</v>
      </c>
      <c r="B6656" s="30" t="s">
        <v>18</v>
      </c>
      <c r="C6656" s="30" t="s">
        <v>46</v>
      </c>
      <c r="D6656" s="30" t="s">
        <v>102</v>
      </c>
      <c r="E6656" s="31" t="s">
        <v>710</v>
      </c>
      <c r="F6656" s="31" t="s">
        <v>189</v>
      </c>
      <c r="G6656" s="32" t="s">
        <v>128</v>
      </c>
      <c r="H6656" s="33">
        <v>350650</v>
      </c>
      <c r="I6656" s="34">
        <f>Table3[[#This Row],[Volume, kg.]]/1000</f>
        <v>350.65</v>
      </c>
      <c r="J6656" s="34">
        <v>0.2707</v>
      </c>
      <c r="K6656" s="34">
        <f t="shared" si="208"/>
        <v>94920.955000000002</v>
      </c>
      <c r="L6656" s="34">
        <v>2.66</v>
      </c>
      <c r="M6656" s="34">
        <v>931575.5</v>
      </c>
      <c r="N6656" s="34">
        <f t="shared" si="209"/>
        <v>9.826376062061323</v>
      </c>
    </row>
    <row r="6657" spans="1:14" x14ac:dyDescent="0.45">
      <c r="A6657" s="30">
        <v>2025</v>
      </c>
      <c r="B6657" s="30" t="s">
        <v>18</v>
      </c>
      <c r="C6657" s="30" t="s">
        <v>46</v>
      </c>
      <c r="D6657" s="30" t="s">
        <v>47</v>
      </c>
      <c r="E6657" s="31" t="s">
        <v>159</v>
      </c>
      <c r="F6657" s="31" t="s">
        <v>81</v>
      </c>
      <c r="G6657" s="32" t="s">
        <v>50</v>
      </c>
      <c r="H6657" s="33">
        <v>9686</v>
      </c>
      <c r="I6657" s="34">
        <f>Table3[[#This Row],[Volume, kg.]]/1000</f>
        <v>9.6859999999999999</v>
      </c>
      <c r="J6657" s="34">
        <v>0.26250000000000001</v>
      </c>
      <c r="K6657" s="34">
        <f t="shared" si="208"/>
        <v>2542.5750000000003</v>
      </c>
      <c r="L6657" s="34">
        <v>2.6</v>
      </c>
      <c r="M6657" s="34">
        <v>25183.599999999999</v>
      </c>
      <c r="N6657" s="34">
        <f t="shared" si="209"/>
        <v>9.9047619047619051</v>
      </c>
    </row>
    <row r="6658" spans="1:14" x14ac:dyDescent="0.45">
      <c r="A6658" s="30">
        <v>2025</v>
      </c>
      <c r="B6658" s="30" t="s">
        <v>18</v>
      </c>
      <c r="C6658" s="30" t="s">
        <v>46</v>
      </c>
      <c r="D6658" s="30" t="s">
        <v>47</v>
      </c>
      <c r="E6658" s="31" t="s">
        <v>53</v>
      </c>
      <c r="F6658" s="31" t="s">
        <v>54</v>
      </c>
      <c r="G6658" s="32" t="s">
        <v>50</v>
      </c>
      <c r="H6658" s="33">
        <v>42777</v>
      </c>
      <c r="I6658" s="34">
        <f>Table3[[#This Row],[Volume, kg.]]/1000</f>
        <v>42.777000000000001</v>
      </c>
      <c r="J6658" s="34">
        <v>0.27949999999999997</v>
      </c>
      <c r="K6658" s="34">
        <f t="shared" si="208"/>
        <v>11956.171499999999</v>
      </c>
      <c r="L6658" s="34">
        <v>2.4700000000000002</v>
      </c>
      <c r="M6658" s="34">
        <v>105446.45</v>
      </c>
      <c r="N6658" s="34">
        <f t="shared" si="209"/>
        <v>8.8372093023255829</v>
      </c>
    </row>
    <row r="6659" spans="1:14" x14ac:dyDescent="0.45">
      <c r="A6659" s="30">
        <v>2025</v>
      </c>
      <c r="B6659" s="30" t="s">
        <v>18</v>
      </c>
      <c r="C6659" s="30" t="s">
        <v>46</v>
      </c>
      <c r="D6659" s="30" t="s">
        <v>102</v>
      </c>
      <c r="E6659" s="31" t="s">
        <v>658</v>
      </c>
      <c r="F6659" s="31" t="s">
        <v>64</v>
      </c>
      <c r="G6659" s="32" t="s">
        <v>705</v>
      </c>
      <c r="H6659" s="33">
        <v>62000</v>
      </c>
      <c r="I6659" s="34">
        <f>Table3[[#This Row],[Volume, kg.]]/1000</f>
        <v>62</v>
      </c>
      <c r="J6659" s="34">
        <v>0.23100000000000001</v>
      </c>
      <c r="K6659" s="34">
        <f t="shared" si="208"/>
        <v>14322</v>
      </c>
      <c r="L6659" s="34">
        <v>2.4500000000000002</v>
      </c>
      <c r="M6659" s="34">
        <v>151942.5</v>
      </c>
      <c r="N6659" s="34">
        <f t="shared" si="209"/>
        <v>10.606060606060606</v>
      </c>
    </row>
    <row r="6660" spans="1:14" x14ac:dyDescent="0.45">
      <c r="A6660" s="30">
        <v>2025</v>
      </c>
      <c r="B6660" s="30" t="s">
        <v>18</v>
      </c>
      <c r="C6660" s="30" t="s">
        <v>46</v>
      </c>
      <c r="D6660" s="30" t="s">
        <v>47</v>
      </c>
      <c r="E6660" s="31" t="s">
        <v>252</v>
      </c>
      <c r="F6660" s="31" t="s">
        <v>49</v>
      </c>
      <c r="G6660" s="32" t="s">
        <v>705</v>
      </c>
      <c r="H6660" s="33">
        <v>16270</v>
      </c>
      <c r="I6660" s="34">
        <f>Table3[[#This Row],[Volume, kg.]]/1000</f>
        <v>16.27</v>
      </c>
      <c r="J6660" s="34">
        <v>0.2868</v>
      </c>
      <c r="K6660" s="34">
        <f t="shared" si="208"/>
        <v>4666.2359999999999</v>
      </c>
      <c r="L6660" s="34">
        <v>2.4300000000000002</v>
      </c>
      <c r="M6660" s="34">
        <v>39572.5</v>
      </c>
      <c r="N6660" s="34">
        <f t="shared" si="209"/>
        <v>8.472803347280335</v>
      </c>
    </row>
    <row r="6661" spans="1:14" x14ac:dyDescent="0.45">
      <c r="A6661" s="30">
        <v>2025</v>
      </c>
      <c r="B6661" s="30" t="s">
        <v>18</v>
      </c>
      <c r="C6661" s="30" t="s">
        <v>46</v>
      </c>
      <c r="D6661" s="30" t="s">
        <v>47</v>
      </c>
      <c r="E6661" s="31" t="s">
        <v>205</v>
      </c>
      <c r="F6661" s="31" t="s">
        <v>49</v>
      </c>
      <c r="G6661" s="32" t="s">
        <v>50</v>
      </c>
      <c r="H6661" s="33">
        <v>14040</v>
      </c>
      <c r="I6661" s="34">
        <f>Table3[[#This Row],[Volume, kg.]]/1000</f>
        <v>14.04</v>
      </c>
      <c r="J6661" s="34">
        <v>0.2621</v>
      </c>
      <c r="K6661" s="34">
        <f t="shared" si="208"/>
        <v>3679.884</v>
      </c>
      <c r="L6661" s="34">
        <v>2.31</v>
      </c>
      <c r="M6661" s="34">
        <v>32491.5</v>
      </c>
      <c r="N6661" s="34">
        <f t="shared" si="209"/>
        <v>8.8134299885539864</v>
      </c>
    </row>
    <row r="6662" spans="1:14" x14ac:dyDescent="0.45">
      <c r="A6662" s="30">
        <v>2025</v>
      </c>
      <c r="B6662" s="30" t="s">
        <v>18</v>
      </c>
      <c r="C6662" s="30" t="s">
        <v>46</v>
      </c>
      <c r="D6662" s="30" t="s">
        <v>102</v>
      </c>
      <c r="E6662" s="31" t="s">
        <v>366</v>
      </c>
      <c r="F6662" s="31" t="s">
        <v>367</v>
      </c>
      <c r="G6662" s="32" t="s">
        <v>368</v>
      </c>
      <c r="H6662" s="33">
        <v>139360</v>
      </c>
      <c r="I6662" s="34">
        <f>Table3[[#This Row],[Volume, kg.]]/1000</f>
        <v>139.36000000000001</v>
      </c>
      <c r="J6662" s="34">
        <v>0.2515</v>
      </c>
      <c r="K6662" s="34">
        <f t="shared" si="208"/>
        <v>35049.040000000001</v>
      </c>
      <c r="L6662" s="34">
        <v>2.5499999999999998</v>
      </c>
      <c r="M6662" s="34">
        <v>356006</v>
      </c>
      <c r="N6662" s="34">
        <f t="shared" si="209"/>
        <v>10.139165009940356</v>
      </c>
    </row>
    <row r="6663" spans="1:14" x14ac:dyDescent="0.45">
      <c r="A6663" s="30">
        <v>2025</v>
      </c>
      <c r="B6663" s="30" t="s">
        <v>18</v>
      </c>
      <c r="C6663" s="30" t="s">
        <v>46</v>
      </c>
      <c r="D6663" s="30" t="s">
        <v>102</v>
      </c>
      <c r="E6663" s="31" t="s">
        <v>418</v>
      </c>
      <c r="F6663" s="31" t="s">
        <v>104</v>
      </c>
      <c r="G6663" s="32" t="s">
        <v>105</v>
      </c>
      <c r="H6663" s="33">
        <v>863370</v>
      </c>
      <c r="I6663" s="34">
        <f>Table3[[#This Row],[Volume, kg.]]/1000</f>
        <v>863.37</v>
      </c>
      <c r="J6663" s="34">
        <v>0.25059999999999999</v>
      </c>
      <c r="K6663" s="34">
        <f t="shared" si="208"/>
        <v>216360.522</v>
      </c>
      <c r="L6663" s="34">
        <v>2.5499999999999998</v>
      </c>
      <c r="M6663" s="34">
        <v>2198701.5</v>
      </c>
      <c r="N6663" s="34">
        <f t="shared" si="209"/>
        <v>10.175578611332801</v>
      </c>
    </row>
    <row r="6664" spans="1:14" x14ac:dyDescent="0.45">
      <c r="A6664" s="30">
        <v>2025</v>
      </c>
      <c r="B6664" s="30" t="s">
        <v>18</v>
      </c>
      <c r="C6664" s="30" t="s">
        <v>46</v>
      </c>
      <c r="D6664" s="30" t="s">
        <v>47</v>
      </c>
      <c r="E6664" s="31" t="s">
        <v>512</v>
      </c>
      <c r="F6664" s="31" t="s">
        <v>81</v>
      </c>
      <c r="G6664" s="32" t="s">
        <v>705</v>
      </c>
      <c r="H6664" s="33">
        <v>3310</v>
      </c>
      <c r="I6664" s="34">
        <f>Table3[[#This Row],[Volume, kg.]]/1000</f>
        <v>3.31</v>
      </c>
      <c r="J6664" s="34">
        <v>0.248</v>
      </c>
      <c r="K6664" s="34">
        <f t="shared" ref="K6664:K6727" si="210">H6664*J6664</f>
        <v>820.88</v>
      </c>
      <c r="L6664" s="34">
        <v>2.25</v>
      </c>
      <c r="M6664" s="34">
        <v>7447.5</v>
      </c>
      <c r="N6664" s="34">
        <f t="shared" ref="N6664:N6727" si="211">L6664/J6664</f>
        <v>9.07258064516129</v>
      </c>
    </row>
    <row r="6665" spans="1:14" x14ac:dyDescent="0.45">
      <c r="A6665" s="30">
        <v>2025</v>
      </c>
      <c r="B6665" s="30" t="s">
        <v>18</v>
      </c>
      <c r="C6665" s="30" t="s">
        <v>46</v>
      </c>
      <c r="D6665" s="30" t="s">
        <v>102</v>
      </c>
      <c r="E6665" s="31" t="s">
        <v>555</v>
      </c>
      <c r="F6665" s="31" t="s">
        <v>556</v>
      </c>
      <c r="G6665" s="32" t="s">
        <v>557</v>
      </c>
      <c r="H6665" s="33">
        <v>723590</v>
      </c>
      <c r="I6665" s="34">
        <f>Table3[[#This Row],[Volume, kg.]]/1000</f>
        <v>723.59</v>
      </c>
      <c r="J6665" s="34">
        <v>0.2545</v>
      </c>
      <c r="K6665" s="34">
        <f t="shared" si="210"/>
        <v>184153.655</v>
      </c>
      <c r="L6665" s="34">
        <v>2.57</v>
      </c>
      <c r="M6665" s="34">
        <v>1861536.5</v>
      </c>
      <c r="N6665" s="34">
        <f t="shared" si="211"/>
        <v>10.098231827111983</v>
      </c>
    </row>
    <row r="6666" spans="1:14" x14ac:dyDescent="0.45">
      <c r="A6666" s="30">
        <v>2025</v>
      </c>
      <c r="B6666" s="30" t="s">
        <v>18</v>
      </c>
      <c r="C6666" s="30" t="s">
        <v>46</v>
      </c>
      <c r="D6666" s="30" t="s">
        <v>102</v>
      </c>
      <c r="E6666" s="31" t="s">
        <v>552</v>
      </c>
      <c r="F6666" s="31" t="s">
        <v>238</v>
      </c>
      <c r="G6666" s="32" t="s">
        <v>50</v>
      </c>
      <c r="H6666" s="33">
        <v>54270</v>
      </c>
      <c r="I6666" s="34">
        <f>Table3[[#This Row],[Volume, kg.]]/1000</f>
        <v>54.27</v>
      </c>
      <c r="J6666" s="34">
        <v>0.25480000000000003</v>
      </c>
      <c r="K6666" s="34">
        <f t="shared" si="210"/>
        <v>13827.996000000001</v>
      </c>
      <c r="L6666" s="34">
        <v>2.58</v>
      </c>
      <c r="M6666" s="34">
        <v>139815.5</v>
      </c>
      <c r="N6666" s="34">
        <f t="shared" si="211"/>
        <v>10.125588697017267</v>
      </c>
    </row>
    <row r="6667" spans="1:14" x14ac:dyDescent="0.45">
      <c r="A6667" s="30">
        <v>2025</v>
      </c>
      <c r="B6667" s="30" t="s">
        <v>18</v>
      </c>
      <c r="C6667" s="30" t="s">
        <v>46</v>
      </c>
      <c r="D6667" s="30" t="s">
        <v>47</v>
      </c>
      <c r="E6667" s="31" t="s">
        <v>647</v>
      </c>
      <c r="F6667" s="31" t="s">
        <v>49</v>
      </c>
      <c r="G6667" s="32" t="s">
        <v>50</v>
      </c>
      <c r="H6667" s="33">
        <v>7836</v>
      </c>
      <c r="I6667" s="34">
        <f>Table3[[#This Row],[Volume, kg.]]/1000</f>
        <v>7.8360000000000003</v>
      </c>
      <c r="J6667" s="34">
        <v>0.18429999999999999</v>
      </c>
      <c r="K6667" s="34">
        <f t="shared" si="210"/>
        <v>1444.1748</v>
      </c>
      <c r="L6667" s="34">
        <v>2.15</v>
      </c>
      <c r="M6667" s="34">
        <v>16847.400000000001</v>
      </c>
      <c r="N6667" s="34">
        <f t="shared" si="211"/>
        <v>11.665762344004341</v>
      </c>
    </row>
    <row r="6668" spans="1:14" x14ac:dyDescent="0.45">
      <c r="A6668" s="30">
        <v>2025</v>
      </c>
      <c r="B6668" s="30" t="s">
        <v>18</v>
      </c>
      <c r="C6668" s="30" t="s">
        <v>46</v>
      </c>
      <c r="D6668" s="30" t="s">
        <v>47</v>
      </c>
      <c r="E6668" s="31" t="s">
        <v>670</v>
      </c>
      <c r="F6668" s="31" t="s">
        <v>81</v>
      </c>
      <c r="G6668" s="32" t="s">
        <v>50</v>
      </c>
      <c r="H6668" s="33">
        <v>115194</v>
      </c>
      <c r="I6668" s="34">
        <f>Table3[[#This Row],[Volume, kg.]]/1000</f>
        <v>115.194</v>
      </c>
      <c r="J6668" s="34">
        <v>0.2707</v>
      </c>
      <c r="K6668" s="34">
        <f t="shared" si="210"/>
        <v>31183.015800000001</v>
      </c>
      <c r="L6668" s="34">
        <v>2.38</v>
      </c>
      <c r="M6668" s="34">
        <v>273997.90000000002</v>
      </c>
      <c r="N6668" s="34">
        <f t="shared" si="211"/>
        <v>8.7920206871074988</v>
      </c>
    </row>
    <row r="6669" spans="1:14" x14ac:dyDescent="0.45">
      <c r="A6669" s="30">
        <v>2025</v>
      </c>
      <c r="B6669" s="30" t="s">
        <v>18</v>
      </c>
      <c r="C6669" s="30" t="s">
        <v>46</v>
      </c>
      <c r="D6669" s="30" t="s">
        <v>47</v>
      </c>
      <c r="E6669" s="31" t="s">
        <v>676</v>
      </c>
      <c r="F6669" s="31" t="s">
        <v>60</v>
      </c>
      <c r="G6669" s="32" t="s">
        <v>50</v>
      </c>
      <c r="H6669" s="33">
        <v>17160</v>
      </c>
      <c r="I6669" s="34">
        <f>Table3[[#This Row],[Volume, kg.]]/1000</f>
        <v>17.16</v>
      </c>
      <c r="J6669" s="34">
        <v>0.27289999999999998</v>
      </c>
      <c r="K6669" s="34">
        <f t="shared" si="210"/>
        <v>4682.9639999999999</v>
      </c>
      <c r="L6669" s="34">
        <v>2.35</v>
      </c>
      <c r="M6669" s="34">
        <v>40316</v>
      </c>
      <c r="N6669" s="34">
        <f t="shared" si="211"/>
        <v>8.6112128984976195</v>
      </c>
    </row>
    <row r="6670" spans="1:14" x14ac:dyDescent="0.45">
      <c r="A6670" s="30">
        <v>2025</v>
      </c>
      <c r="B6670" s="30" t="s">
        <v>18</v>
      </c>
      <c r="C6670" s="30" t="s">
        <v>46</v>
      </c>
      <c r="D6670" s="30" t="s">
        <v>102</v>
      </c>
      <c r="E6670" s="31" t="s">
        <v>695</v>
      </c>
      <c r="F6670" s="31" t="s">
        <v>696</v>
      </c>
      <c r="G6670" s="32" t="s">
        <v>557</v>
      </c>
      <c r="H6670" s="33">
        <v>816420</v>
      </c>
      <c r="I6670" s="34">
        <f>Table3[[#This Row],[Volume, kg.]]/1000</f>
        <v>816.42</v>
      </c>
      <c r="J6670" s="34">
        <v>0.25309999999999999</v>
      </c>
      <c r="K6670" s="34">
        <f t="shared" si="210"/>
        <v>206635.902</v>
      </c>
      <c r="L6670" s="34">
        <v>2.57</v>
      </c>
      <c r="M6670" s="34">
        <v>2098745.5</v>
      </c>
      <c r="N6670" s="34">
        <f t="shared" si="211"/>
        <v>10.154089292769656</v>
      </c>
    </row>
    <row r="6671" spans="1:14" x14ac:dyDescent="0.45">
      <c r="A6671" s="30">
        <v>2025</v>
      </c>
      <c r="B6671" s="30" t="s">
        <v>18</v>
      </c>
      <c r="C6671" s="30" t="s">
        <v>46</v>
      </c>
      <c r="D6671" s="30" t="s">
        <v>47</v>
      </c>
      <c r="E6671" s="31" t="s">
        <v>687</v>
      </c>
      <c r="F6671" s="31" t="s">
        <v>49</v>
      </c>
      <c r="G6671" s="32" t="s">
        <v>705</v>
      </c>
      <c r="H6671" s="33">
        <v>4220</v>
      </c>
      <c r="I6671" s="34">
        <f>Table3[[#This Row],[Volume, kg.]]/1000</f>
        <v>4.22</v>
      </c>
      <c r="J6671" s="34">
        <v>0.26450000000000001</v>
      </c>
      <c r="K6671" s="34">
        <f t="shared" si="210"/>
        <v>1116.19</v>
      </c>
      <c r="L6671" s="34">
        <v>2.2999999999999998</v>
      </c>
      <c r="M6671" s="34">
        <v>9706</v>
      </c>
      <c r="N6671" s="34">
        <f t="shared" si="211"/>
        <v>8.695652173913043</v>
      </c>
    </row>
    <row r="6672" spans="1:14" x14ac:dyDescent="0.45">
      <c r="A6672" s="30">
        <v>2025</v>
      </c>
      <c r="B6672" s="30" t="s">
        <v>18</v>
      </c>
      <c r="C6672" s="30" t="s">
        <v>46</v>
      </c>
      <c r="D6672" s="30" t="s">
        <v>102</v>
      </c>
      <c r="E6672" s="31" t="s">
        <v>697</v>
      </c>
      <c r="F6672" s="31" t="s">
        <v>107</v>
      </c>
      <c r="G6672" s="32" t="s">
        <v>108</v>
      </c>
      <c r="H6672" s="33">
        <v>293230</v>
      </c>
      <c r="I6672" s="34">
        <f>Table3[[#This Row],[Volume, kg.]]/1000</f>
        <v>293.23</v>
      </c>
      <c r="J6672" s="34">
        <v>0.2414</v>
      </c>
      <c r="K6672" s="34">
        <f t="shared" si="210"/>
        <v>70785.721999999994</v>
      </c>
      <c r="L6672" s="34">
        <v>2.5</v>
      </c>
      <c r="M6672" s="34">
        <v>733286</v>
      </c>
      <c r="N6672" s="34">
        <f t="shared" si="211"/>
        <v>10.356255178127588</v>
      </c>
    </row>
    <row r="6673" spans="1:14" x14ac:dyDescent="0.45">
      <c r="A6673" s="30">
        <v>2025</v>
      </c>
      <c r="B6673" s="30" t="s">
        <v>18</v>
      </c>
      <c r="C6673" s="30" t="s">
        <v>46</v>
      </c>
      <c r="D6673" s="30" t="s">
        <v>102</v>
      </c>
      <c r="E6673" s="31" t="s">
        <v>706</v>
      </c>
      <c r="F6673" s="31" t="s">
        <v>349</v>
      </c>
      <c r="G6673" s="32" t="s">
        <v>105</v>
      </c>
      <c r="H6673" s="33">
        <v>351620</v>
      </c>
      <c r="I6673" s="34">
        <f>Table3[[#This Row],[Volume, kg.]]/1000</f>
        <v>351.62</v>
      </c>
      <c r="J6673" s="34">
        <v>0.23319999999999999</v>
      </c>
      <c r="K6673" s="34">
        <f t="shared" si="210"/>
        <v>81997.784</v>
      </c>
      <c r="L6673" s="34">
        <v>2.4700000000000002</v>
      </c>
      <c r="M6673" s="34">
        <v>867040</v>
      </c>
      <c r="N6673" s="34">
        <f t="shared" si="211"/>
        <v>10.591766723842197</v>
      </c>
    </row>
    <row r="6674" spans="1:14" x14ac:dyDescent="0.45">
      <c r="A6674" s="30">
        <v>2025</v>
      </c>
      <c r="B6674" s="30" t="s">
        <v>18</v>
      </c>
      <c r="C6674" s="30" t="s">
        <v>46</v>
      </c>
      <c r="D6674" s="30" t="s">
        <v>102</v>
      </c>
      <c r="E6674" s="31" t="s">
        <v>707</v>
      </c>
      <c r="F6674" s="31" t="s">
        <v>331</v>
      </c>
      <c r="G6674" s="32" t="s">
        <v>105</v>
      </c>
      <c r="H6674" s="33">
        <v>332950</v>
      </c>
      <c r="I6674" s="34">
        <f>Table3[[#This Row],[Volume, kg.]]/1000</f>
        <v>332.95</v>
      </c>
      <c r="J6674" s="34">
        <v>0.2341</v>
      </c>
      <c r="K6674" s="34">
        <f t="shared" si="210"/>
        <v>77943.595000000001</v>
      </c>
      <c r="L6674" s="34">
        <v>2.4700000000000002</v>
      </c>
      <c r="M6674" s="34">
        <v>822416</v>
      </c>
      <c r="N6674" s="34">
        <f t="shared" si="211"/>
        <v>10.551046561298591</v>
      </c>
    </row>
    <row r="6675" spans="1:14" x14ac:dyDescent="0.45">
      <c r="A6675" s="30">
        <v>2025</v>
      </c>
      <c r="B6675" s="30" t="s">
        <v>18</v>
      </c>
      <c r="C6675" s="30" t="s">
        <v>46</v>
      </c>
      <c r="D6675" s="30" t="s">
        <v>102</v>
      </c>
      <c r="E6675" s="31" t="s">
        <v>708</v>
      </c>
      <c r="F6675" s="31" t="s">
        <v>397</v>
      </c>
      <c r="G6675" s="32" t="s">
        <v>105</v>
      </c>
      <c r="H6675" s="33">
        <v>1679640</v>
      </c>
      <c r="I6675" s="34">
        <f>Table3[[#This Row],[Volume, kg.]]/1000</f>
        <v>1679.64</v>
      </c>
      <c r="J6675" s="34">
        <v>0.24809999999999999</v>
      </c>
      <c r="K6675" s="34">
        <f t="shared" si="210"/>
        <v>416718.68399999995</v>
      </c>
      <c r="L6675" s="34">
        <v>2.67</v>
      </c>
      <c r="M6675" s="34">
        <v>4478613.5</v>
      </c>
      <c r="N6675" s="34">
        <f t="shared" si="211"/>
        <v>10.761789600967353</v>
      </c>
    </row>
    <row r="6676" spans="1:14" x14ac:dyDescent="0.45">
      <c r="A6676" s="30">
        <v>2025</v>
      </c>
      <c r="B6676" s="30" t="s">
        <v>18</v>
      </c>
      <c r="C6676" s="30" t="s">
        <v>46</v>
      </c>
      <c r="D6676" s="30" t="s">
        <v>47</v>
      </c>
      <c r="E6676" s="31" t="s">
        <v>722</v>
      </c>
      <c r="F6676" s="31" t="s">
        <v>49</v>
      </c>
      <c r="G6676" s="32" t="s">
        <v>50</v>
      </c>
      <c r="H6676" s="33">
        <v>9228</v>
      </c>
      <c r="I6676" s="34">
        <f>Table3[[#This Row],[Volume, kg.]]/1000</f>
        <v>9.2279999999999998</v>
      </c>
      <c r="J6676" s="34">
        <v>0.28000000000000003</v>
      </c>
      <c r="K6676" s="34">
        <f t="shared" si="210"/>
        <v>2583.84</v>
      </c>
      <c r="L6676" s="34">
        <v>2.7</v>
      </c>
      <c r="M6676" s="34">
        <v>24915.599999999999</v>
      </c>
      <c r="N6676" s="34">
        <f t="shared" si="211"/>
        <v>9.6428571428571423</v>
      </c>
    </row>
    <row r="6677" spans="1:14" x14ac:dyDescent="0.45">
      <c r="A6677" s="30">
        <v>2025</v>
      </c>
      <c r="B6677" s="30" t="s">
        <v>18</v>
      </c>
      <c r="C6677" s="30" t="s">
        <v>46</v>
      </c>
      <c r="D6677" s="30" t="s">
        <v>102</v>
      </c>
      <c r="E6677" s="31" t="s">
        <v>754</v>
      </c>
      <c r="F6677" s="31" t="s">
        <v>755</v>
      </c>
      <c r="G6677" s="32" t="s">
        <v>50</v>
      </c>
      <c r="H6677" s="33">
        <v>121610</v>
      </c>
      <c r="I6677" s="34">
        <f>Table3[[#This Row],[Volume, kg.]]/1000</f>
        <v>121.61</v>
      </c>
      <c r="J6677" s="34">
        <v>0.26390000000000002</v>
      </c>
      <c r="K6677" s="34">
        <f t="shared" si="210"/>
        <v>32092.879000000004</v>
      </c>
      <c r="L6677" s="34">
        <v>2.61</v>
      </c>
      <c r="M6677" s="34">
        <v>317648</v>
      </c>
      <c r="N6677" s="34">
        <f t="shared" si="211"/>
        <v>9.8901098901098887</v>
      </c>
    </row>
    <row r="6678" spans="1:14" x14ac:dyDescent="0.45">
      <c r="A6678" s="30">
        <v>2025</v>
      </c>
      <c r="B6678" s="30" t="s">
        <v>18</v>
      </c>
      <c r="C6678" s="30" t="s">
        <v>46</v>
      </c>
      <c r="D6678" s="30" t="s">
        <v>102</v>
      </c>
      <c r="E6678" s="31" t="s">
        <v>732</v>
      </c>
      <c r="F6678" s="31" t="s">
        <v>349</v>
      </c>
      <c r="G6678" s="32" t="s">
        <v>50</v>
      </c>
      <c r="H6678" s="33">
        <v>93010</v>
      </c>
      <c r="I6678" s="34">
        <f>Table3[[#This Row],[Volume, kg.]]/1000</f>
        <v>93.01</v>
      </c>
      <c r="J6678" s="34">
        <v>0.2346</v>
      </c>
      <c r="K6678" s="34">
        <f t="shared" si="210"/>
        <v>21820.146000000001</v>
      </c>
      <c r="L6678" s="34">
        <v>2.4700000000000002</v>
      </c>
      <c r="M6678" s="34">
        <v>230118</v>
      </c>
      <c r="N6678" s="34">
        <f t="shared" si="211"/>
        <v>10.528559249786872</v>
      </c>
    </row>
    <row r="6679" spans="1:14" x14ac:dyDescent="0.45">
      <c r="A6679" s="30">
        <v>2025</v>
      </c>
      <c r="B6679" s="30" t="s">
        <v>18</v>
      </c>
      <c r="C6679" s="30" t="s">
        <v>46</v>
      </c>
      <c r="D6679" s="30" t="s">
        <v>102</v>
      </c>
      <c r="E6679" s="31" t="s">
        <v>737</v>
      </c>
      <c r="F6679" s="31" t="s">
        <v>240</v>
      </c>
      <c r="G6679" s="32" t="s">
        <v>341</v>
      </c>
      <c r="H6679" s="33">
        <v>33540</v>
      </c>
      <c r="I6679" s="34">
        <f>Table3[[#This Row],[Volume, kg.]]/1000</f>
        <v>33.54</v>
      </c>
      <c r="J6679" s="34">
        <v>0.26550000000000001</v>
      </c>
      <c r="K6679" s="34">
        <f t="shared" si="210"/>
        <v>8904.8700000000008</v>
      </c>
      <c r="L6679" s="34">
        <v>2.65</v>
      </c>
      <c r="M6679" s="34">
        <v>88881</v>
      </c>
      <c r="N6679" s="34">
        <f t="shared" si="211"/>
        <v>9.9811676082862508</v>
      </c>
    </row>
    <row r="6680" spans="1:14" x14ac:dyDescent="0.45">
      <c r="A6680" s="30">
        <v>2025</v>
      </c>
      <c r="B6680" s="30" t="s">
        <v>18</v>
      </c>
      <c r="C6680" s="30" t="s">
        <v>46</v>
      </c>
      <c r="D6680" s="30" t="s">
        <v>47</v>
      </c>
      <c r="E6680" s="31" t="s">
        <v>738</v>
      </c>
      <c r="F6680" s="31" t="s">
        <v>81</v>
      </c>
      <c r="G6680" s="32" t="s">
        <v>50</v>
      </c>
      <c r="H6680" s="33">
        <v>10020</v>
      </c>
      <c r="I6680" s="34">
        <f>Table3[[#This Row],[Volume, kg.]]/1000</f>
        <v>10.02</v>
      </c>
      <c r="J6680" s="34">
        <v>0.26</v>
      </c>
      <c r="K6680" s="34">
        <f t="shared" si="210"/>
        <v>2605.2000000000003</v>
      </c>
      <c r="L6680" s="34">
        <v>2.2999999999999998</v>
      </c>
      <c r="M6680" s="34">
        <v>23046</v>
      </c>
      <c r="N6680" s="34">
        <f t="shared" si="211"/>
        <v>8.8461538461538449</v>
      </c>
    </row>
    <row r="6681" spans="1:14" x14ac:dyDescent="0.45">
      <c r="A6681" s="30">
        <v>2025</v>
      </c>
      <c r="B6681" s="30" t="s">
        <v>18</v>
      </c>
      <c r="C6681" s="30" t="s">
        <v>46</v>
      </c>
      <c r="D6681" s="30" t="s">
        <v>102</v>
      </c>
      <c r="E6681" s="31" t="s">
        <v>743</v>
      </c>
      <c r="F6681" s="31" t="s">
        <v>127</v>
      </c>
      <c r="G6681" s="32" t="s">
        <v>50</v>
      </c>
      <c r="H6681" s="33">
        <v>91350</v>
      </c>
      <c r="I6681" s="34">
        <f>Table3[[#This Row],[Volume, kg.]]/1000</f>
        <v>91.35</v>
      </c>
      <c r="J6681" s="34">
        <v>0.30210000000000004</v>
      </c>
      <c r="K6681" s="34">
        <f t="shared" si="210"/>
        <v>27596.835000000003</v>
      </c>
      <c r="L6681" s="34">
        <v>2.8</v>
      </c>
      <c r="M6681" s="34">
        <v>256044</v>
      </c>
      <c r="N6681" s="34">
        <f t="shared" si="211"/>
        <v>9.2684541542535559</v>
      </c>
    </row>
    <row r="6682" spans="1:14" x14ac:dyDescent="0.45">
      <c r="A6682" s="30">
        <v>2025</v>
      </c>
      <c r="B6682" s="30" t="s">
        <v>18</v>
      </c>
      <c r="C6682" s="30" t="s">
        <v>46</v>
      </c>
      <c r="D6682" s="30" t="s">
        <v>102</v>
      </c>
      <c r="E6682" s="31" t="s">
        <v>746</v>
      </c>
      <c r="F6682" s="31" t="s">
        <v>127</v>
      </c>
      <c r="G6682" s="32" t="s">
        <v>50</v>
      </c>
      <c r="H6682" s="33">
        <v>28300</v>
      </c>
      <c r="I6682" s="34">
        <f>Table3[[#This Row],[Volume, kg.]]/1000</f>
        <v>28.3</v>
      </c>
      <c r="J6682" s="34">
        <v>0.23949999999999999</v>
      </c>
      <c r="K6682" s="34">
        <f t="shared" si="210"/>
        <v>6777.8499999999995</v>
      </c>
      <c r="L6682" s="34">
        <v>2.5</v>
      </c>
      <c r="M6682" s="34">
        <v>70750</v>
      </c>
      <c r="N6682" s="34">
        <f t="shared" si="211"/>
        <v>10.438413361169102</v>
      </c>
    </row>
    <row r="6683" spans="1:14" x14ac:dyDescent="0.45">
      <c r="A6683" s="30">
        <v>2025</v>
      </c>
      <c r="B6683" s="30" t="s">
        <v>18</v>
      </c>
      <c r="C6683" s="30" t="s">
        <v>46</v>
      </c>
      <c r="D6683" s="30" t="s">
        <v>102</v>
      </c>
      <c r="E6683" s="31" t="s">
        <v>747</v>
      </c>
      <c r="F6683" s="31" t="s">
        <v>748</v>
      </c>
      <c r="G6683" s="32" t="s">
        <v>50</v>
      </c>
      <c r="H6683" s="33">
        <v>772630</v>
      </c>
      <c r="I6683" s="34">
        <f>Table3[[#This Row],[Volume, kg.]]/1000</f>
        <v>772.63</v>
      </c>
      <c r="J6683" s="34">
        <v>0.25569999999999998</v>
      </c>
      <c r="K6683" s="34">
        <f t="shared" si="210"/>
        <v>197561.49099999998</v>
      </c>
      <c r="L6683" s="34">
        <v>2.58</v>
      </c>
      <c r="M6683" s="34">
        <v>1991834</v>
      </c>
      <c r="N6683" s="34">
        <f t="shared" si="211"/>
        <v>10.089949159170905</v>
      </c>
    </row>
    <row r="6684" spans="1:14" x14ac:dyDescent="0.45">
      <c r="A6684" s="30">
        <v>2025</v>
      </c>
      <c r="B6684" s="30" t="s">
        <v>18</v>
      </c>
      <c r="C6684" s="30" t="s">
        <v>46</v>
      </c>
      <c r="D6684" s="30" t="s">
        <v>102</v>
      </c>
      <c r="E6684" s="31" t="s">
        <v>757</v>
      </c>
      <c r="F6684" s="31" t="s">
        <v>331</v>
      </c>
      <c r="G6684" s="32" t="s">
        <v>50</v>
      </c>
      <c r="H6684" s="33">
        <v>89660</v>
      </c>
      <c r="I6684" s="34">
        <f>Table3[[#This Row],[Volume, kg.]]/1000</f>
        <v>89.66</v>
      </c>
      <c r="J6684" s="34">
        <v>0.2349</v>
      </c>
      <c r="K6684" s="34">
        <f t="shared" si="210"/>
        <v>21061.133999999998</v>
      </c>
      <c r="L6684" s="34">
        <v>2.4700000000000002</v>
      </c>
      <c r="M6684" s="34">
        <v>221302</v>
      </c>
      <c r="N6684" s="34">
        <f t="shared" si="211"/>
        <v>10.515112813963389</v>
      </c>
    </row>
    <row r="6685" spans="1:14" x14ac:dyDescent="0.45">
      <c r="A6685" s="30">
        <v>2025</v>
      </c>
      <c r="B6685" s="30" t="s">
        <v>18</v>
      </c>
      <c r="C6685" s="30" t="s">
        <v>46</v>
      </c>
      <c r="D6685" s="30" t="s">
        <v>102</v>
      </c>
      <c r="E6685" s="31" t="s">
        <v>758</v>
      </c>
      <c r="F6685" s="31" t="s">
        <v>759</v>
      </c>
      <c r="G6685" s="32" t="s">
        <v>50</v>
      </c>
      <c r="H6685" s="33">
        <v>28670</v>
      </c>
      <c r="I6685" s="34">
        <f>Table3[[#This Row],[Volume, kg.]]/1000</f>
        <v>28.67</v>
      </c>
      <c r="J6685" s="34">
        <v>0.2525</v>
      </c>
      <c r="K6685" s="34">
        <f t="shared" si="210"/>
        <v>7239.1750000000002</v>
      </c>
      <c r="L6685" s="34">
        <v>2.5499999999999998</v>
      </c>
      <c r="M6685" s="34">
        <v>73108.5</v>
      </c>
      <c r="N6685" s="34">
        <f t="shared" si="211"/>
        <v>10.099009900990099</v>
      </c>
    </row>
    <row r="6686" spans="1:14" x14ac:dyDescent="0.45">
      <c r="A6686" s="30">
        <v>2025</v>
      </c>
      <c r="B6686" s="30" t="s">
        <v>18</v>
      </c>
      <c r="C6686" s="30" t="s">
        <v>46</v>
      </c>
      <c r="D6686" s="30" t="s">
        <v>102</v>
      </c>
      <c r="E6686" s="31" t="s">
        <v>762</v>
      </c>
      <c r="F6686" s="31" t="s">
        <v>64</v>
      </c>
      <c r="G6686" s="32" t="s">
        <v>50</v>
      </c>
      <c r="H6686" s="33">
        <v>61460</v>
      </c>
      <c r="I6686" s="34">
        <f>Table3[[#This Row],[Volume, kg.]]/1000</f>
        <v>61.46</v>
      </c>
      <c r="J6686" s="34">
        <v>0.22969999999999999</v>
      </c>
      <c r="K6686" s="34">
        <f t="shared" si="210"/>
        <v>14117.361999999999</v>
      </c>
      <c r="L6686" s="34">
        <v>2.4500000000000002</v>
      </c>
      <c r="M6686" s="34">
        <v>150536</v>
      </c>
      <c r="N6686" s="34">
        <f t="shared" si="211"/>
        <v>10.666086199390511</v>
      </c>
    </row>
    <row r="6687" spans="1:14" x14ac:dyDescent="0.45">
      <c r="A6687" s="30">
        <v>2025</v>
      </c>
      <c r="B6687" s="30" t="s">
        <v>18</v>
      </c>
      <c r="C6687" s="30" t="s">
        <v>46</v>
      </c>
      <c r="D6687" s="30" t="s">
        <v>102</v>
      </c>
      <c r="E6687" s="31" t="s">
        <v>763</v>
      </c>
      <c r="F6687" s="31" t="s">
        <v>764</v>
      </c>
      <c r="G6687" s="32" t="s">
        <v>108</v>
      </c>
      <c r="H6687" s="33">
        <v>358100</v>
      </c>
      <c r="I6687" s="34">
        <f>Table3[[#This Row],[Volume, kg.]]/1000</f>
        <v>358.1</v>
      </c>
      <c r="J6687" s="34">
        <v>0.24210000000000001</v>
      </c>
      <c r="K6687" s="34">
        <f t="shared" si="210"/>
        <v>86696.010000000009</v>
      </c>
      <c r="L6687" s="34">
        <v>2.5099999999999998</v>
      </c>
      <c r="M6687" s="34">
        <v>898425</v>
      </c>
      <c r="N6687" s="34">
        <f t="shared" si="211"/>
        <v>10.367616687319288</v>
      </c>
    </row>
    <row r="6688" spans="1:14" x14ac:dyDescent="0.45">
      <c r="A6688" s="30">
        <v>2025</v>
      </c>
      <c r="B6688" s="30" t="s">
        <v>18</v>
      </c>
      <c r="C6688" s="30" t="s">
        <v>46</v>
      </c>
      <c r="D6688" s="30" t="s">
        <v>102</v>
      </c>
      <c r="E6688" s="31" t="s">
        <v>765</v>
      </c>
      <c r="F6688" s="31" t="s">
        <v>766</v>
      </c>
      <c r="G6688" s="32" t="s">
        <v>50</v>
      </c>
      <c r="H6688" s="33">
        <v>56390</v>
      </c>
      <c r="I6688" s="34">
        <f>Table3[[#This Row],[Volume, kg.]]/1000</f>
        <v>56.39</v>
      </c>
      <c r="J6688" s="34">
        <v>0.22570000000000001</v>
      </c>
      <c r="K6688" s="34">
        <f t="shared" si="210"/>
        <v>12727.223</v>
      </c>
      <c r="L6688" s="34">
        <v>2.5</v>
      </c>
      <c r="M6688" s="34">
        <v>141111.5</v>
      </c>
      <c r="N6688" s="34">
        <f t="shared" si="211"/>
        <v>11.076650420912715</v>
      </c>
    </row>
    <row r="6689" spans="1:14" x14ac:dyDescent="0.45">
      <c r="A6689" s="30">
        <v>2025</v>
      </c>
      <c r="B6689" s="30" t="s">
        <v>18</v>
      </c>
      <c r="C6689" s="30" t="s">
        <v>46</v>
      </c>
      <c r="D6689" s="30" t="s">
        <v>102</v>
      </c>
      <c r="E6689" s="31" t="s">
        <v>767</v>
      </c>
      <c r="F6689" s="31" t="s">
        <v>768</v>
      </c>
      <c r="G6689" s="32" t="s">
        <v>128</v>
      </c>
      <c r="H6689" s="33">
        <v>113920</v>
      </c>
      <c r="I6689" s="34">
        <f>Table3[[#This Row],[Volume, kg.]]/1000</f>
        <v>113.92</v>
      </c>
      <c r="J6689" s="34">
        <v>0.2155</v>
      </c>
      <c r="K6689" s="34">
        <f t="shared" si="210"/>
        <v>24549.759999999998</v>
      </c>
      <c r="L6689" s="34">
        <v>2.38</v>
      </c>
      <c r="M6689" s="34">
        <v>270776</v>
      </c>
      <c r="N6689" s="34">
        <f t="shared" si="211"/>
        <v>11.044083526682135</v>
      </c>
    </row>
    <row r="6690" spans="1:14" x14ac:dyDescent="0.45">
      <c r="A6690" s="30">
        <v>2025</v>
      </c>
      <c r="B6690" s="30" t="s">
        <v>18</v>
      </c>
      <c r="C6690" s="30" t="s">
        <v>46</v>
      </c>
      <c r="D6690" s="30" t="s">
        <v>102</v>
      </c>
      <c r="E6690" s="31" t="s">
        <v>769</v>
      </c>
      <c r="F6690" s="31" t="s">
        <v>770</v>
      </c>
      <c r="G6690" s="32" t="s">
        <v>50</v>
      </c>
      <c r="H6690" s="33">
        <v>902870</v>
      </c>
      <c r="I6690" s="34">
        <f>Table3[[#This Row],[Volume, kg.]]/1000</f>
        <v>902.87</v>
      </c>
      <c r="J6690" s="34">
        <v>0.26219999999999999</v>
      </c>
      <c r="K6690" s="34">
        <f t="shared" si="210"/>
        <v>236732.514</v>
      </c>
      <c r="L6690" s="34">
        <v>2.81</v>
      </c>
      <c r="M6690" s="34">
        <v>2538941.5</v>
      </c>
      <c r="N6690" s="34">
        <f t="shared" si="211"/>
        <v>10.717009916094584</v>
      </c>
    </row>
    <row r="6691" spans="1:14" x14ac:dyDescent="0.45">
      <c r="A6691" s="30">
        <v>2025</v>
      </c>
      <c r="B6691" s="30" t="s">
        <v>19</v>
      </c>
      <c r="C6691" s="30" t="s">
        <v>46</v>
      </c>
      <c r="D6691" s="30" t="s">
        <v>102</v>
      </c>
      <c r="E6691" s="31" t="s">
        <v>188</v>
      </c>
      <c r="F6691" s="31" t="s">
        <v>189</v>
      </c>
      <c r="G6691" s="32" t="s">
        <v>128</v>
      </c>
      <c r="H6691" s="33">
        <v>308590</v>
      </c>
      <c r="I6691" s="34">
        <f>Table3[[#This Row],[Volume, kg.]]/1000</f>
        <v>308.58999999999997</v>
      </c>
      <c r="J6691" s="34">
        <v>0.25579999999999997</v>
      </c>
      <c r="K6691" s="34">
        <f t="shared" si="210"/>
        <v>78937.321999999986</v>
      </c>
      <c r="L6691" s="34">
        <v>2.63</v>
      </c>
      <c r="M6691" s="34">
        <v>810332.5</v>
      </c>
      <c r="N6691" s="34">
        <f t="shared" si="211"/>
        <v>10.281469898358093</v>
      </c>
    </row>
    <row r="6692" spans="1:14" x14ac:dyDescent="0.45">
      <c r="A6692" s="30">
        <v>2025</v>
      </c>
      <c r="B6692" s="30" t="s">
        <v>19</v>
      </c>
      <c r="C6692" s="30" t="s">
        <v>46</v>
      </c>
      <c r="D6692" s="30" t="s">
        <v>47</v>
      </c>
      <c r="E6692" s="31" t="s">
        <v>181</v>
      </c>
      <c r="F6692" s="31" t="s">
        <v>57</v>
      </c>
      <c r="G6692" s="32" t="s">
        <v>50</v>
      </c>
      <c r="H6692" s="33">
        <v>3786</v>
      </c>
      <c r="I6692" s="34">
        <f>Table3[[#This Row],[Volume, kg.]]/1000</f>
        <v>3.786</v>
      </c>
      <c r="J6692" s="34">
        <v>0.34</v>
      </c>
      <c r="K6692" s="34">
        <f t="shared" si="210"/>
        <v>1287.24</v>
      </c>
      <c r="L6692" s="34">
        <v>3</v>
      </c>
      <c r="M6692" s="34">
        <v>11358</v>
      </c>
      <c r="N6692" s="34">
        <f t="shared" si="211"/>
        <v>8.8235294117647047</v>
      </c>
    </row>
    <row r="6693" spans="1:14" x14ac:dyDescent="0.45">
      <c r="A6693" s="30">
        <v>2025</v>
      </c>
      <c r="B6693" s="30" t="s">
        <v>19</v>
      </c>
      <c r="C6693" s="30" t="s">
        <v>46</v>
      </c>
      <c r="D6693" s="30" t="s">
        <v>47</v>
      </c>
      <c r="E6693" s="31" t="s">
        <v>69</v>
      </c>
      <c r="F6693" s="31" t="s">
        <v>49</v>
      </c>
      <c r="G6693" s="32" t="s">
        <v>50</v>
      </c>
      <c r="H6693" s="33">
        <v>34183</v>
      </c>
      <c r="I6693" s="34">
        <f>Table3[[#This Row],[Volume, kg.]]/1000</f>
        <v>34.183</v>
      </c>
      <c r="J6693" s="34">
        <v>0.2631</v>
      </c>
      <c r="K6693" s="34">
        <f t="shared" si="210"/>
        <v>8993.5473000000002</v>
      </c>
      <c r="L6693" s="34">
        <v>2.61</v>
      </c>
      <c r="M6693" s="34">
        <v>89149.6</v>
      </c>
      <c r="N6693" s="34">
        <f t="shared" si="211"/>
        <v>9.9201824401368288</v>
      </c>
    </row>
    <row r="6694" spans="1:14" x14ac:dyDescent="0.45">
      <c r="A6694" s="30">
        <v>2025</v>
      </c>
      <c r="B6694" s="30" t="s">
        <v>19</v>
      </c>
      <c r="C6694" s="30" t="s">
        <v>46</v>
      </c>
      <c r="D6694" s="30" t="s">
        <v>47</v>
      </c>
      <c r="E6694" s="31" t="s">
        <v>202</v>
      </c>
      <c r="F6694" s="31" t="s">
        <v>57</v>
      </c>
      <c r="G6694" s="32" t="s">
        <v>50</v>
      </c>
      <c r="H6694" s="33">
        <v>3782</v>
      </c>
      <c r="I6694" s="34">
        <f>Table3[[#This Row],[Volume, kg.]]/1000</f>
        <v>3.782</v>
      </c>
      <c r="J6694" s="34">
        <v>0.28149999999999997</v>
      </c>
      <c r="K6694" s="34">
        <f t="shared" si="210"/>
        <v>1064.6329999999998</v>
      </c>
      <c r="L6694" s="34">
        <v>2.7</v>
      </c>
      <c r="M6694" s="34">
        <v>10211.4</v>
      </c>
      <c r="N6694" s="34">
        <f t="shared" si="211"/>
        <v>9.5914742451154549</v>
      </c>
    </row>
    <row r="6695" spans="1:14" x14ac:dyDescent="0.45">
      <c r="A6695" s="30">
        <v>2025</v>
      </c>
      <c r="B6695" s="30" t="s">
        <v>19</v>
      </c>
      <c r="C6695" s="30" t="s">
        <v>46</v>
      </c>
      <c r="D6695" s="30" t="s">
        <v>47</v>
      </c>
      <c r="E6695" s="31" t="s">
        <v>382</v>
      </c>
      <c r="F6695" s="31" t="s">
        <v>60</v>
      </c>
      <c r="G6695" s="32" t="s">
        <v>50</v>
      </c>
      <c r="H6695" s="33">
        <v>5287</v>
      </c>
      <c r="I6695" s="34">
        <f>Table3[[#This Row],[Volume, kg.]]/1000</f>
        <v>5.2869999999999999</v>
      </c>
      <c r="J6695" s="34">
        <v>0.29249999999999998</v>
      </c>
      <c r="K6695" s="34">
        <f t="shared" si="210"/>
        <v>1546.4475</v>
      </c>
      <c r="L6695" s="34">
        <v>2.75</v>
      </c>
      <c r="M6695" s="34">
        <v>14539.25</v>
      </c>
      <c r="N6695" s="34">
        <f t="shared" si="211"/>
        <v>9.4017094017094021</v>
      </c>
    </row>
    <row r="6696" spans="1:14" x14ac:dyDescent="0.45">
      <c r="A6696" s="30">
        <v>2025</v>
      </c>
      <c r="B6696" s="30" t="s">
        <v>19</v>
      </c>
      <c r="C6696" s="30" t="s">
        <v>46</v>
      </c>
      <c r="D6696" s="30" t="s">
        <v>47</v>
      </c>
      <c r="E6696" s="31" t="s">
        <v>433</v>
      </c>
      <c r="F6696" s="31" t="s">
        <v>49</v>
      </c>
      <c r="G6696" s="32" t="s">
        <v>50</v>
      </c>
      <c r="H6696" s="33">
        <v>12725</v>
      </c>
      <c r="I6696" s="34">
        <f>Table3[[#This Row],[Volume, kg.]]/1000</f>
        <v>12.725</v>
      </c>
      <c r="J6696" s="34">
        <v>0.22030000000000002</v>
      </c>
      <c r="K6696" s="34">
        <f t="shared" si="210"/>
        <v>2803.3175000000001</v>
      </c>
      <c r="L6696" s="34">
        <v>2.4500000000000002</v>
      </c>
      <c r="M6696" s="34">
        <v>31116.05</v>
      </c>
      <c r="N6696" s="34">
        <f t="shared" si="211"/>
        <v>11.12119836586473</v>
      </c>
    </row>
    <row r="6697" spans="1:14" x14ac:dyDescent="0.45">
      <c r="A6697" s="30">
        <v>2025</v>
      </c>
      <c r="B6697" s="30" t="s">
        <v>19</v>
      </c>
      <c r="C6697" s="30" t="s">
        <v>46</v>
      </c>
      <c r="D6697" s="30" t="s">
        <v>47</v>
      </c>
      <c r="E6697" s="31" t="s">
        <v>178</v>
      </c>
      <c r="F6697" s="31" t="s">
        <v>49</v>
      </c>
      <c r="G6697" s="32" t="s">
        <v>50</v>
      </c>
      <c r="H6697" s="33">
        <v>2577</v>
      </c>
      <c r="I6697" s="34">
        <f>Table3[[#This Row],[Volume, kg.]]/1000</f>
        <v>2.577</v>
      </c>
      <c r="J6697" s="34">
        <v>0.29149999999999998</v>
      </c>
      <c r="K6697" s="34">
        <f t="shared" si="210"/>
        <v>751.19549999999992</v>
      </c>
      <c r="L6697" s="34">
        <v>2.8</v>
      </c>
      <c r="M6697" s="34">
        <v>7215.6</v>
      </c>
      <c r="N6697" s="34">
        <f t="shared" si="211"/>
        <v>9.6054888507718701</v>
      </c>
    </row>
    <row r="6698" spans="1:14" x14ac:dyDescent="0.45">
      <c r="A6698" s="30">
        <v>2025</v>
      </c>
      <c r="B6698" s="30" t="s">
        <v>19</v>
      </c>
      <c r="C6698" s="30" t="s">
        <v>46</v>
      </c>
      <c r="D6698" s="30" t="s">
        <v>47</v>
      </c>
      <c r="E6698" s="31" t="s">
        <v>185</v>
      </c>
      <c r="F6698" s="31" t="s">
        <v>57</v>
      </c>
      <c r="G6698" s="32" t="s">
        <v>50</v>
      </c>
      <c r="H6698" s="33">
        <v>20462</v>
      </c>
      <c r="I6698" s="34">
        <f>Table3[[#This Row],[Volume, kg.]]/1000</f>
        <v>20.462</v>
      </c>
      <c r="J6698" s="34">
        <v>0.3206</v>
      </c>
      <c r="K6698" s="34">
        <f t="shared" si="210"/>
        <v>6560.1171999999997</v>
      </c>
      <c r="L6698" s="34">
        <v>2.95</v>
      </c>
      <c r="M6698" s="34">
        <v>60421.3</v>
      </c>
      <c r="N6698" s="34">
        <f t="shared" si="211"/>
        <v>9.2014971927635685</v>
      </c>
    </row>
    <row r="6699" spans="1:14" x14ac:dyDescent="0.45">
      <c r="A6699" s="30">
        <v>2025</v>
      </c>
      <c r="B6699" s="30" t="s">
        <v>19</v>
      </c>
      <c r="C6699" s="30" t="s">
        <v>46</v>
      </c>
      <c r="D6699" s="30" t="s">
        <v>47</v>
      </c>
      <c r="E6699" s="31" t="s">
        <v>165</v>
      </c>
      <c r="F6699" s="31" t="s">
        <v>57</v>
      </c>
      <c r="G6699" s="32" t="s">
        <v>50</v>
      </c>
      <c r="H6699" s="33">
        <v>30783</v>
      </c>
      <c r="I6699" s="34">
        <f>Table3[[#This Row],[Volume, kg.]]/1000</f>
        <v>30.783000000000001</v>
      </c>
      <c r="J6699" s="34">
        <v>0.29980000000000001</v>
      </c>
      <c r="K6699" s="34">
        <f t="shared" si="210"/>
        <v>9228.7434000000012</v>
      </c>
      <c r="L6699" s="34">
        <v>2.83</v>
      </c>
      <c r="M6699" s="34">
        <v>87105.05</v>
      </c>
      <c r="N6699" s="34">
        <f t="shared" si="211"/>
        <v>9.4396264176117413</v>
      </c>
    </row>
    <row r="6700" spans="1:14" x14ac:dyDescent="0.45">
      <c r="A6700" s="30">
        <v>2025</v>
      </c>
      <c r="B6700" s="30" t="s">
        <v>19</v>
      </c>
      <c r="C6700" s="30" t="s">
        <v>46</v>
      </c>
      <c r="D6700" s="30" t="s">
        <v>47</v>
      </c>
      <c r="E6700" s="31" t="s">
        <v>219</v>
      </c>
      <c r="F6700" s="31" t="s">
        <v>57</v>
      </c>
      <c r="G6700" s="32" t="s">
        <v>50</v>
      </c>
      <c r="H6700" s="33">
        <v>19859</v>
      </c>
      <c r="I6700" s="34">
        <f>Table3[[#This Row],[Volume, kg.]]/1000</f>
        <v>19.859000000000002</v>
      </c>
      <c r="J6700" s="34">
        <v>0.28309999999999996</v>
      </c>
      <c r="K6700" s="34">
        <f t="shared" si="210"/>
        <v>5622.0828999999994</v>
      </c>
      <c r="L6700" s="34">
        <v>2.78</v>
      </c>
      <c r="M6700" s="34">
        <v>55240</v>
      </c>
      <c r="N6700" s="34">
        <f t="shared" si="211"/>
        <v>9.8198516425291427</v>
      </c>
    </row>
    <row r="6701" spans="1:14" x14ac:dyDescent="0.45">
      <c r="A6701" s="30">
        <v>2025</v>
      </c>
      <c r="B6701" s="30" t="s">
        <v>19</v>
      </c>
      <c r="C6701" s="30" t="s">
        <v>46</v>
      </c>
      <c r="D6701" s="30" t="s">
        <v>47</v>
      </c>
      <c r="E6701" s="31" t="s">
        <v>195</v>
      </c>
      <c r="F6701" s="31" t="s">
        <v>57</v>
      </c>
      <c r="G6701" s="32" t="s">
        <v>50</v>
      </c>
      <c r="H6701" s="33">
        <v>30509</v>
      </c>
      <c r="I6701" s="34">
        <f>Table3[[#This Row],[Volume, kg.]]/1000</f>
        <v>30.509</v>
      </c>
      <c r="J6701" s="34">
        <v>0.28289999999999998</v>
      </c>
      <c r="K6701" s="34">
        <f t="shared" si="210"/>
        <v>8630.9961000000003</v>
      </c>
      <c r="L6701" s="34">
        <v>2.71</v>
      </c>
      <c r="M6701" s="34">
        <v>82772.75</v>
      </c>
      <c r="N6701" s="34">
        <f t="shared" si="211"/>
        <v>9.5793566631318487</v>
      </c>
    </row>
    <row r="6702" spans="1:14" x14ac:dyDescent="0.45">
      <c r="A6702" s="30">
        <v>2025</v>
      </c>
      <c r="B6702" s="30" t="s">
        <v>19</v>
      </c>
      <c r="C6702" s="30" t="s">
        <v>46</v>
      </c>
      <c r="D6702" s="30" t="s">
        <v>47</v>
      </c>
      <c r="E6702" s="31" t="s">
        <v>82</v>
      </c>
      <c r="F6702" s="31" t="s">
        <v>57</v>
      </c>
      <c r="G6702" s="32" t="s">
        <v>50</v>
      </c>
      <c r="H6702" s="33">
        <v>11537</v>
      </c>
      <c r="I6702" s="34">
        <f>Table3[[#This Row],[Volume, kg.]]/1000</f>
        <v>11.537000000000001</v>
      </c>
      <c r="J6702" s="34">
        <v>0.31679999999999997</v>
      </c>
      <c r="K6702" s="34">
        <f t="shared" si="210"/>
        <v>3654.9215999999997</v>
      </c>
      <c r="L6702" s="34">
        <v>2.96</v>
      </c>
      <c r="M6702" s="34">
        <v>34097.300000000003</v>
      </c>
      <c r="N6702" s="34">
        <f t="shared" si="211"/>
        <v>9.3434343434343443</v>
      </c>
    </row>
    <row r="6703" spans="1:14" x14ac:dyDescent="0.45">
      <c r="A6703" s="30">
        <v>2025</v>
      </c>
      <c r="B6703" s="30" t="s">
        <v>19</v>
      </c>
      <c r="C6703" s="30" t="s">
        <v>46</v>
      </c>
      <c r="D6703" s="30" t="s">
        <v>47</v>
      </c>
      <c r="E6703" s="31" t="s">
        <v>65</v>
      </c>
      <c r="F6703" s="31" t="s">
        <v>49</v>
      </c>
      <c r="G6703" s="32" t="s">
        <v>50</v>
      </c>
      <c r="H6703" s="33">
        <v>3336</v>
      </c>
      <c r="I6703" s="34">
        <f>Table3[[#This Row],[Volume, kg.]]/1000</f>
        <v>3.3359999999999999</v>
      </c>
      <c r="J6703" s="34">
        <v>0.29249999999999998</v>
      </c>
      <c r="K6703" s="34">
        <f t="shared" si="210"/>
        <v>975.78</v>
      </c>
      <c r="L6703" s="34">
        <v>2.75</v>
      </c>
      <c r="M6703" s="34">
        <v>9174</v>
      </c>
      <c r="N6703" s="34">
        <f t="shared" si="211"/>
        <v>9.4017094017094021</v>
      </c>
    </row>
    <row r="6704" spans="1:14" x14ac:dyDescent="0.45">
      <c r="A6704" s="30">
        <v>2025</v>
      </c>
      <c r="B6704" s="30" t="s">
        <v>19</v>
      </c>
      <c r="C6704" s="30" t="s">
        <v>46</v>
      </c>
      <c r="D6704" s="30" t="s">
        <v>47</v>
      </c>
      <c r="E6704" s="31" t="s">
        <v>245</v>
      </c>
      <c r="F6704" s="31" t="s">
        <v>57</v>
      </c>
      <c r="G6704" s="32" t="s">
        <v>50</v>
      </c>
      <c r="H6704" s="33">
        <v>8400</v>
      </c>
      <c r="I6704" s="34">
        <f>Table3[[#This Row],[Volume, kg.]]/1000</f>
        <v>8.4</v>
      </c>
      <c r="J6704" s="34">
        <v>0.28949999999999998</v>
      </c>
      <c r="K6704" s="34">
        <f t="shared" si="210"/>
        <v>2431.7999999999997</v>
      </c>
      <c r="L6704" s="34">
        <v>2.8</v>
      </c>
      <c r="M6704" s="34">
        <v>23520</v>
      </c>
      <c r="N6704" s="34">
        <f t="shared" si="211"/>
        <v>9.6718480138169252</v>
      </c>
    </row>
    <row r="6705" spans="1:14" x14ac:dyDescent="0.45">
      <c r="A6705" s="30">
        <v>2025</v>
      </c>
      <c r="B6705" s="30" t="s">
        <v>19</v>
      </c>
      <c r="C6705" s="30" t="s">
        <v>46</v>
      </c>
      <c r="D6705" s="30" t="s">
        <v>47</v>
      </c>
      <c r="E6705" s="31" t="s">
        <v>303</v>
      </c>
      <c r="F6705" s="31" t="s">
        <v>57</v>
      </c>
      <c r="G6705" s="32" t="s">
        <v>50</v>
      </c>
      <c r="H6705" s="33">
        <v>20692</v>
      </c>
      <c r="I6705" s="34">
        <f>Table3[[#This Row],[Volume, kg.]]/1000</f>
        <v>20.692</v>
      </c>
      <c r="J6705" s="34">
        <v>0.2999</v>
      </c>
      <c r="K6705" s="34">
        <f t="shared" si="210"/>
        <v>6205.5307999999995</v>
      </c>
      <c r="L6705" s="34">
        <v>2.79</v>
      </c>
      <c r="M6705" s="34">
        <v>57629.2</v>
      </c>
      <c r="N6705" s="34">
        <f t="shared" si="211"/>
        <v>9.3031010336778923</v>
      </c>
    </row>
    <row r="6706" spans="1:14" x14ac:dyDescent="0.45">
      <c r="A6706" s="30">
        <v>2025</v>
      </c>
      <c r="B6706" s="30" t="s">
        <v>19</v>
      </c>
      <c r="C6706" s="30" t="s">
        <v>46</v>
      </c>
      <c r="D6706" s="30" t="s">
        <v>47</v>
      </c>
      <c r="E6706" s="31" t="s">
        <v>229</v>
      </c>
      <c r="F6706" s="31" t="s">
        <v>57</v>
      </c>
      <c r="G6706" s="32" t="s">
        <v>50</v>
      </c>
      <c r="H6706" s="33">
        <v>3648</v>
      </c>
      <c r="I6706" s="34">
        <f>Table3[[#This Row],[Volume, kg.]]/1000</f>
        <v>3.6480000000000001</v>
      </c>
      <c r="J6706" s="34">
        <v>0.28249999999999997</v>
      </c>
      <c r="K6706" s="34">
        <f t="shared" si="210"/>
        <v>1030.56</v>
      </c>
      <c r="L6706" s="34">
        <v>2.8</v>
      </c>
      <c r="M6706" s="34">
        <v>10214.4</v>
      </c>
      <c r="N6706" s="34">
        <f t="shared" si="211"/>
        <v>9.9115044247787605</v>
      </c>
    </row>
    <row r="6707" spans="1:14" x14ac:dyDescent="0.45">
      <c r="A6707" s="30">
        <v>2025</v>
      </c>
      <c r="B6707" s="30" t="s">
        <v>19</v>
      </c>
      <c r="C6707" s="30" t="s">
        <v>46</v>
      </c>
      <c r="D6707" s="30" t="s">
        <v>47</v>
      </c>
      <c r="E6707" s="31" t="s">
        <v>170</v>
      </c>
      <c r="F6707" s="31" t="s">
        <v>49</v>
      </c>
      <c r="G6707" s="32" t="s">
        <v>50</v>
      </c>
      <c r="H6707" s="33">
        <v>11287</v>
      </c>
      <c r="I6707" s="34">
        <f>Table3[[#This Row],[Volume, kg.]]/1000</f>
        <v>11.287000000000001</v>
      </c>
      <c r="J6707" s="34">
        <v>0.316</v>
      </c>
      <c r="K6707" s="34">
        <f t="shared" si="210"/>
        <v>3566.692</v>
      </c>
      <c r="L6707" s="34">
        <v>2.9</v>
      </c>
      <c r="M6707" s="34">
        <v>32732.3</v>
      </c>
      <c r="N6707" s="34">
        <f t="shared" si="211"/>
        <v>9.1772151898734169</v>
      </c>
    </row>
    <row r="6708" spans="1:14" x14ac:dyDescent="0.45">
      <c r="A6708" s="30">
        <v>2025</v>
      </c>
      <c r="B6708" s="30" t="s">
        <v>19</v>
      </c>
      <c r="C6708" s="30" t="s">
        <v>46</v>
      </c>
      <c r="D6708" s="30" t="s">
        <v>47</v>
      </c>
      <c r="E6708" s="31" t="s">
        <v>174</v>
      </c>
      <c r="F6708" s="31" t="s">
        <v>57</v>
      </c>
      <c r="G6708" s="32" t="s">
        <v>50</v>
      </c>
      <c r="H6708" s="33">
        <v>9324</v>
      </c>
      <c r="I6708" s="34">
        <f>Table3[[#This Row],[Volume, kg.]]/1000</f>
        <v>9.3239999999999998</v>
      </c>
      <c r="J6708" s="34">
        <v>0.30099999999999999</v>
      </c>
      <c r="K6708" s="34">
        <f t="shared" si="210"/>
        <v>2806.5239999999999</v>
      </c>
      <c r="L6708" s="34">
        <v>2.86</v>
      </c>
      <c r="M6708" s="34">
        <v>26657.599999999999</v>
      </c>
      <c r="N6708" s="34">
        <f t="shared" si="211"/>
        <v>9.5016611295681059</v>
      </c>
    </row>
    <row r="6709" spans="1:14" x14ac:dyDescent="0.45">
      <c r="A6709" s="30">
        <v>2025</v>
      </c>
      <c r="B6709" s="30" t="s">
        <v>19</v>
      </c>
      <c r="C6709" s="30" t="s">
        <v>46</v>
      </c>
      <c r="D6709" s="30" t="s">
        <v>47</v>
      </c>
      <c r="E6709" s="31" t="s">
        <v>51</v>
      </c>
      <c r="F6709" s="31" t="s">
        <v>49</v>
      </c>
      <c r="G6709" s="32" t="s">
        <v>50</v>
      </c>
      <c r="H6709" s="33">
        <v>4122</v>
      </c>
      <c r="I6709" s="34">
        <f>Table3[[#This Row],[Volume, kg.]]/1000</f>
        <v>4.1219999999999999</v>
      </c>
      <c r="J6709" s="34">
        <v>0.2515</v>
      </c>
      <c r="K6709" s="34">
        <f t="shared" si="210"/>
        <v>1036.683</v>
      </c>
      <c r="L6709" s="34">
        <v>2.5499999999999998</v>
      </c>
      <c r="M6709" s="34">
        <v>10511.1</v>
      </c>
      <c r="N6709" s="34">
        <f t="shared" si="211"/>
        <v>10.139165009940356</v>
      </c>
    </row>
    <row r="6710" spans="1:14" x14ac:dyDescent="0.45">
      <c r="A6710" s="30">
        <v>2025</v>
      </c>
      <c r="B6710" s="30" t="s">
        <v>19</v>
      </c>
      <c r="C6710" s="30" t="s">
        <v>46</v>
      </c>
      <c r="D6710" s="30" t="s">
        <v>47</v>
      </c>
      <c r="E6710" s="31" t="s">
        <v>258</v>
      </c>
      <c r="F6710" s="31" t="s">
        <v>49</v>
      </c>
      <c r="G6710" s="32" t="s">
        <v>50</v>
      </c>
      <c r="H6710" s="33">
        <v>36862</v>
      </c>
      <c r="I6710" s="34">
        <f>Table3[[#This Row],[Volume, kg.]]/1000</f>
        <v>36.862000000000002</v>
      </c>
      <c r="J6710" s="34">
        <v>0.2949</v>
      </c>
      <c r="K6710" s="34">
        <f t="shared" si="210"/>
        <v>10870.603799999999</v>
      </c>
      <c r="L6710" s="34">
        <v>2.8</v>
      </c>
      <c r="M6710" s="34">
        <v>103074.55</v>
      </c>
      <c r="N6710" s="34">
        <f t="shared" si="211"/>
        <v>9.4947439810105116</v>
      </c>
    </row>
    <row r="6711" spans="1:14" x14ac:dyDescent="0.45">
      <c r="A6711" s="30">
        <v>2025</v>
      </c>
      <c r="B6711" s="30" t="s">
        <v>19</v>
      </c>
      <c r="C6711" s="30" t="s">
        <v>46</v>
      </c>
      <c r="D6711" s="30" t="s">
        <v>47</v>
      </c>
      <c r="E6711" s="31" t="s">
        <v>384</v>
      </c>
      <c r="F6711" s="31" t="s">
        <v>60</v>
      </c>
      <c r="G6711" s="32" t="s">
        <v>50</v>
      </c>
      <c r="H6711" s="33">
        <v>15657</v>
      </c>
      <c r="I6711" s="34">
        <f>Table3[[#This Row],[Volume, kg.]]/1000</f>
        <v>15.657</v>
      </c>
      <c r="J6711" s="34">
        <v>0.19469999999999998</v>
      </c>
      <c r="K6711" s="34">
        <f t="shared" si="210"/>
        <v>3048.4178999999999</v>
      </c>
      <c r="L6711" s="34">
        <v>2.27</v>
      </c>
      <c r="M6711" s="34">
        <v>35585.800000000003</v>
      </c>
      <c r="N6711" s="34">
        <f t="shared" si="211"/>
        <v>11.658962506420135</v>
      </c>
    </row>
    <row r="6712" spans="1:14" x14ac:dyDescent="0.45">
      <c r="A6712" s="30">
        <v>2025</v>
      </c>
      <c r="B6712" s="30" t="s">
        <v>19</v>
      </c>
      <c r="C6712" s="30" t="s">
        <v>46</v>
      </c>
      <c r="D6712" s="30" t="s">
        <v>47</v>
      </c>
      <c r="E6712" s="31" t="s">
        <v>379</v>
      </c>
      <c r="F6712" s="31" t="s">
        <v>49</v>
      </c>
      <c r="G6712" s="32" t="s">
        <v>50</v>
      </c>
      <c r="H6712" s="33">
        <v>111282</v>
      </c>
      <c r="I6712" s="34">
        <f>Table3[[#This Row],[Volume, kg.]]/1000</f>
        <v>111.282</v>
      </c>
      <c r="J6712" s="34">
        <v>0.28539999999999999</v>
      </c>
      <c r="K6712" s="34">
        <f t="shared" si="210"/>
        <v>31759.882799999999</v>
      </c>
      <c r="L6712" s="34">
        <v>2.75</v>
      </c>
      <c r="M6712" s="34">
        <v>306123.09999999998</v>
      </c>
      <c r="N6712" s="34">
        <f t="shared" si="211"/>
        <v>9.6355991590749834</v>
      </c>
    </row>
    <row r="6713" spans="1:14" x14ac:dyDescent="0.45">
      <c r="A6713" s="30">
        <v>2025</v>
      </c>
      <c r="B6713" s="30" t="s">
        <v>19</v>
      </c>
      <c r="C6713" s="30" t="s">
        <v>46</v>
      </c>
      <c r="D6713" s="30" t="s">
        <v>47</v>
      </c>
      <c r="E6713" s="31" t="s">
        <v>164</v>
      </c>
      <c r="F6713" s="31" t="s">
        <v>49</v>
      </c>
      <c r="G6713" s="32" t="s">
        <v>50</v>
      </c>
      <c r="H6713" s="33">
        <v>11512</v>
      </c>
      <c r="I6713" s="34">
        <f>Table3[[#This Row],[Volume, kg.]]/1000</f>
        <v>11.512</v>
      </c>
      <c r="J6713" s="34">
        <v>0.28820000000000001</v>
      </c>
      <c r="K6713" s="34">
        <f t="shared" si="210"/>
        <v>3317.7584000000002</v>
      </c>
      <c r="L6713" s="34">
        <v>2.75</v>
      </c>
      <c r="M6713" s="34">
        <v>31658</v>
      </c>
      <c r="N6713" s="34">
        <f t="shared" si="211"/>
        <v>9.5419847328244263</v>
      </c>
    </row>
    <row r="6714" spans="1:14" x14ac:dyDescent="0.45">
      <c r="A6714" s="30">
        <v>2025</v>
      </c>
      <c r="B6714" s="30" t="s">
        <v>19</v>
      </c>
      <c r="C6714" s="30" t="s">
        <v>46</v>
      </c>
      <c r="D6714" s="30" t="s">
        <v>47</v>
      </c>
      <c r="E6714" s="31" t="s">
        <v>689</v>
      </c>
      <c r="F6714" s="31" t="s">
        <v>49</v>
      </c>
      <c r="G6714" s="32" t="s">
        <v>50</v>
      </c>
      <c r="H6714" s="33">
        <v>12995</v>
      </c>
      <c r="I6714" s="34">
        <f>Table3[[#This Row],[Volume, kg.]]/1000</f>
        <v>12.994999999999999</v>
      </c>
      <c r="J6714" s="34">
        <v>0.29580000000000001</v>
      </c>
      <c r="K6714" s="34">
        <f t="shared" si="210"/>
        <v>3843.9210000000003</v>
      </c>
      <c r="L6714" s="34">
        <v>2.77</v>
      </c>
      <c r="M6714" s="34">
        <v>35981.050000000003</v>
      </c>
      <c r="N6714" s="34">
        <f t="shared" si="211"/>
        <v>9.3644354293441516</v>
      </c>
    </row>
    <row r="6715" spans="1:14" x14ac:dyDescent="0.45">
      <c r="A6715" s="30">
        <v>2025</v>
      </c>
      <c r="B6715" s="30" t="s">
        <v>19</v>
      </c>
      <c r="C6715" s="30" t="s">
        <v>46</v>
      </c>
      <c r="D6715" s="30" t="s">
        <v>47</v>
      </c>
      <c r="E6715" s="31" t="s">
        <v>191</v>
      </c>
      <c r="F6715" s="31" t="s">
        <v>49</v>
      </c>
      <c r="G6715" s="32" t="s">
        <v>50</v>
      </c>
      <c r="H6715" s="33">
        <v>3842</v>
      </c>
      <c r="I6715" s="34">
        <f>Table3[[#This Row],[Volume, kg.]]/1000</f>
        <v>3.8420000000000001</v>
      </c>
      <c r="J6715" s="34">
        <v>0.249</v>
      </c>
      <c r="K6715" s="34">
        <f t="shared" si="210"/>
        <v>956.65800000000002</v>
      </c>
      <c r="L6715" s="34">
        <v>2.5499999999999998</v>
      </c>
      <c r="M6715" s="34">
        <v>9797.1</v>
      </c>
      <c r="N6715" s="34">
        <f t="shared" si="211"/>
        <v>10.240963855421686</v>
      </c>
    </row>
    <row r="6716" spans="1:14" x14ac:dyDescent="0.45">
      <c r="A6716" s="30">
        <v>2025</v>
      </c>
      <c r="B6716" s="30" t="s">
        <v>19</v>
      </c>
      <c r="C6716" s="30" t="s">
        <v>46</v>
      </c>
      <c r="D6716" s="30" t="s">
        <v>47</v>
      </c>
      <c r="E6716" s="31" t="s">
        <v>142</v>
      </c>
      <c r="F6716" s="31" t="s">
        <v>57</v>
      </c>
      <c r="G6716" s="32" t="s">
        <v>50</v>
      </c>
      <c r="H6716" s="33">
        <v>4080</v>
      </c>
      <c r="I6716" s="34">
        <f>Table3[[#This Row],[Volume, kg.]]/1000</f>
        <v>4.08</v>
      </c>
      <c r="J6716" s="34">
        <v>0.32650000000000001</v>
      </c>
      <c r="K6716" s="34">
        <f t="shared" si="210"/>
        <v>1332.1200000000001</v>
      </c>
      <c r="L6716" s="34">
        <v>2.95</v>
      </c>
      <c r="M6716" s="34">
        <v>12036</v>
      </c>
      <c r="N6716" s="34">
        <f t="shared" si="211"/>
        <v>9.0352220520673807</v>
      </c>
    </row>
    <row r="6717" spans="1:14" x14ac:dyDescent="0.45">
      <c r="A6717" s="30">
        <v>2025</v>
      </c>
      <c r="B6717" s="30" t="s">
        <v>19</v>
      </c>
      <c r="C6717" s="30" t="s">
        <v>46</v>
      </c>
      <c r="D6717" s="30" t="s">
        <v>47</v>
      </c>
      <c r="E6717" s="31" t="s">
        <v>86</v>
      </c>
      <c r="F6717" s="31" t="s">
        <v>49</v>
      </c>
      <c r="G6717" s="32" t="s">
        <v>50</v>
      </c>
      <c r="H6717" s="33">
        <v>23287</v>
      </c>
      <c r="I6717" s="34">
        <f>Table3[[#This Row],[Volume, kg.]]/1000</f>
        <v>23.286999999999999</v>
      </c>
      <c r="J6717" s="34">
        <v>0.27629999999999999</v>
      </c>
      <c r="K6717" s="34">
        <f t="shared" si="210"/>
        <v>6434.1980999999996</v>
      </c>
      <c r="L6717" s="34">
        <v>2.8</v>
      </c>
      <c r="M6717" s="34">
        <v>65203.6</v>
      </c>
      <c r="N6717" s="34">
        <f t="shared" si="211"/>
        <v>10.133912414042706</v>
      </c>
    </row>
    <row r="6718" spans="1:14" x14ac:dyDescent="0.45">
      <c r="A6718" s="30">
        <v>2025</v>
      </c>
      <c r="B6718" s="30" t="s">
        <v>19</v>
      </c>
      <c r="C6718" s="30" t="s">
        <v>46</v>
      </c>
      <c r="D6718" s="30" t="s">
        <v>47</v>
      </c>
      <c r="E6718" s="31" t="s">
        <v>431</v>
      </c>
      <c r="F6718" s="31" t="s">
        <v>49</v>
      </c>
      <c r="G6718" s="32" t="s">
        <v>50</v>
      </c>
      <c r="H6718" s="33">
        <v>6968</v>
      </c>
      <c r="I6718" s="34">
        <f>Table3[[#This Row],[Volume, kg.]]/1000</f>
        <v>6.968</v>
      </c>
      <c r="J6718" s="34">
        <v>0.26600000000000001</v>
      </c>
      <c r="K6718" s="34">
        <f t="shared" si="210"/>
        <v>1853.4880000000001</v>
      </c>
      <c r="L6718" s="34">
        <v>2.65</v>
      </c>
      <c r="M6718" s="34">
        <v>18465.2</v>
      </c>
      <c r="N6718" s="34">
        <f t="shared" si="211"/>
        <v>9.9624060150375939</v>
      </c>
    </row>
    <row r="6719" spans="1:14" x14ac:dyDescent="0.45">
      <c r="A6719" s="30">
        <v>2025</v>
      </c>
      <c r="B6719" s="30" t="s">
        <v>19</v>
      </c>
      <c r="C6719" s="30" t="s">
        <v>46</v>
      </c>
      <c r="D6719" s="30" t="s">
        <v>47</v>
      </c>
      <c r="E6719" s="31" t="s">
        <v>167</v>
      </c>
      <c r="F6719" s="31" t="s">
        <v>49</v>
      </c>
      <c r="G6719" s="32" t="s">
        <v>50</v>
      </c>
      <c r="H6719" s="33">
        <v>40174</v>
      </c>
      <c r="I6719" s="34">
        <f>Table3[[#This Row],[Volume, kg.]]/1000</f>
        <v>40.173999999999999</v>
      </c>
      <c r="J6719" s="34">
        <v>0.2278</v>
      </c>
      <c r="K6719" s="34">
        <f t="shared" si="210"/>
        <v>9151.6371999999992</v>
      </c>
      <c r="L6719" s="34">
        <v>2.46</v>
      </c>
      <c r="M6719" s="34">
        <v>98693.5</v>
      </c>
      <c r="N6719" s="34">
        <f t="shared" si="211"/>
        <v>10.798946444249342</v>
      </c>
    </row>
    <row r="6720" spans="1:14" x14ac:dyDescent="0.45">
      <c r="A6720" s="30">
        <v>2025</v>
      </c>
      <c r="B6720" s="30" t="s">
        <v>19</v>
      </c>
      <c r="C6720" s="30" t="s">
        <v>46</v>
      </c>
      <c r="D6720" s="30" t="s">
        <v>47</v>
      </c>
      <c r="E6720" s="31" t="s">
        <v>190</v>
      </c>
      <c r="F6720" s="31" t="s">
        <v>81</v>
      </c>
      <c r="G6720" s="32" t="s">
        <v>50</v>
      </c>
      <c r="H6720" s="33">
        <v>76197</v>
      </c>
      <c r="I6720" s="34">
        <f>Table3[[#This Row],[Volume, kg.]]/1000</f>
        <v>76.197000000000003</v>
      </c>
      <c r="J6720" s="34">
        <v>0.2752</v>
      </c>
      <c r="K6720" s="34">
        <f t="shared" si="210"/>
        <v>20969.414400000001</v>
      </c>
      <c r="L6720" s="34">
        <v>2.72</v>
      </c>
      <c r="M6720" s="34">
        <v>207420.55</v>
      </c>
      <c r="N6720" s="34">
        <f t="shared" si="211"/>
        <v>9.8837209302325597</v>
      </c>
    </row>
    <row r="6721" spans="1:14" x14ac:dyDescent="0.45">
      <c r="A6721" s="30">
        <v>2025</v>
      </c>
      <c r="B6721" s="30" t="s">
        <v>19</v>
      </c>
      <c r="C6721" s="30" t="s">
        <v>46</v>
      </c>
      <c r="D6721" s="30" t="s">
        <v>47</v>
      </c>
      <c r="E6721" s="31" t="s">
        <v>241</v>
      </c>
      <c r="F6721" s="31" t="s">
        <v>57</v>
      </c>
      <c r="G6721" s="32" t="s">
        <v>50</v>
      </c>
      <c r="H6721" s="33">
        <v>4897</v>
      </c>
      <c r="I6721" s="34">
        <f>Table3[[#This Row],[Volume, kg.]]/1000</f>
        <v>4.8970000000000002</v>
      </c>
      <c r="J6721" s="34">
        <v>0.29649999999999999</v>
      </c>
      <c r="K6721" s="34">
        <f t="shared" si="210"/>
        <v>1451.9604999999999</v>
      </c>
      <c r="L6721" s="34">
        <v>2.8</v>
      </c>
      <c r="M6721" s="34">
        <v>13711.6</v>
      </c>
      <c r="N6721" s="34">
        <f t="shared" si="211"/>
        <v>9.4435075885328832</v>
      </c>
    </row>
    <row r="6722" spans="1:14" x14ac:dyDescent="0.45">
      <c r="A6722" s="30">
        <v>2025</v>
      </c>
      <c r="B6722" s="30" t="s">
        <v>19</v>
      </c>
      <c r="C6722" s="30" t="s">
        <v>46</v>
      </c>
      <c r="D6722" s="30" t="s">
        <v>47</v>
      </c>
      <c r="E6722" s="31" t="s">
        <v>284</v>
      </c>
      <c r="F6722" s="31" t="s">
        <v>49</v>
      </c>
      <c r="G6722" s="32" t="s">
        <v>50</v>
      </c>
      <c r="H6722" s="33">
        <v>1506</v>
      </c>
      <c r="I6722" s="34">
        <f>Table3[[#This Row],[Volume, kg.]]/1000</f>
        <v>1.506</v>
      </c>
      <c r="J6722" s="34">
        <v>0.27800000000000002</v>
      </c>
      <c r="K6722" s="34">
        <f t="shared" si="210"/>
        <v>418.66800000000006</v>
      </c>
      <c r="L6722" s="34">
        <v>2.7</v>
      </c>
      <c r="M6722" s="34">
        <v>4066.2</v>
      </c>
      <c r="N6722" s="34">
        <f t="shared" si="211"/>
        <v>9.7122302158273381</v>
      </c>
    </row>
    <row r="6723" spans="1:14" x14ac:dyDescent="0.45">
      <c r="A6723" s="30">
        <v>2025</v>
      </c>
      <c r="B6723" s="30" t="s">
        <v>19</v>
      </c>
      <c r="C6723" s="30" t="s">
        <v>46</v>
      </c>
      <c r="D6723" s="30" t="s">
        <v>47</v>
      </c>
      <c r="E6723" s="31" t="s">
        <v>313</v>
      </c>
      <c r="F6723" s="31" t="s">
        <v>60</v>
      </c>
      <c r="G6723" s="32" t="s">
        <v>50</v>
      </c>
      <c r="H6723" s="33">
        <v>2138</v>
      </c>
      <c r="I6723" s="34">
        <f>Table3[[#This Row],[Volume, kg.]]/1000</f>
        <v>2.1379999999999999</v>
      </c>
      <c r="J6723" s="34">
        <v>0.3105</v>
      </c>
      <c r="K6723" s="34">
        <f t="shared" si="210"/>
        <v>663.84900000000005</v>
      </c>
      <c r="L6723" s="34">
        <v>2.85</v>
      </c>
      <c r="M6723" s="34">
        <v>6093.3</v>
      </c>
      <c r="N6723" s="34">
        <f t="shared" si="211"/>
        <v>9.1787439613526569</v>
      </c>
    </row>
    <row r="6724" spans="1:14" x14ac:dyDescent="0.45">
      <c r="A6724" s="30">
        <v>2025</v>
      </c>
      <c r="B6724" s="30" t="s">
        <v>19</v>
      </c>
      <c r="C6724" s="30" t="s">
        <v>46</v>
      </c>
      <c r="D6724" s="30" t="s">
        <v>47</v>
      </c>
      <c r="E6724" s="31" t="s">
        <v>288</v>
      </c>
      <c r="F6724" s="31" t="s">
        <v>49</v>
      </c>
      <c r="G6724" s="32" t="s">
        <v>50</v>
      </c>
      <c r="H6724" s="33">
        <v>14568</v>
      </c>
      <c r="I6724" s="34">
        <f>Table3[[#This Row],[Volume, kg.]]/1000</f>
        <v>14.568</v>
      </c>
      <c r="J6724" s="34">
        <v>0.28699999999999998</v>
      </c>
      <c r="K6724" s="34">
        <f t="shared" si="210"/>
        <v>4181.0159999999996</v>
      </c>
      <c r="L6724" s="34">
        <v>2.8</v>
      </c>
      <c r="M6724" s="34">
        <v>40790.400000000001</v>
      </c>
      <c r="N6724" s="34">
        <f t="shared" si="211"/>
        <v>9.7560975609756095</v>
      </c>
    </row>
    <row r="6725" spans="1:14" x14ac:dyDescent="0.45">
      <c r="A6725" s="30">
        <v>2025</v>
      </c>
      <c r="B6725" s="30" t="s">
        <v>19</v>
      </c>
      <c r="C6725" s="30" t="s">
        <v>46</v>
      </c>
      <c r="D6725" s="30" t="s">
        <v>47</v>
      </c>
      <c r="E6725" s="31" t="s">
        <v>70</v>
      </c>
      <c r="F6725" s="31" t="s">
        <v>49</v>
      </c>
      <c r="G6725" s="32" t="s">
        <v>50</v>
      </c>
      <c r="H6725" s="33">
        <v>211171</v>
      </c>
      <c r="I6725" s="34">
        <f>Table3[[#This Row],[Volume, kg.]]/1000</f>
        <v>211.17099999999999</v>
      </c>
      <c r="J6725" s="34">
        <v>0.29520000000000002</v>
      </c>
      <c r="K6725" s="34">
        <f t="shared" si="210"/>
        <v>62337.679200000006</v>
      </c>
      <c r="L6725" s="34">
        <v>2.81</v>
      </c>
      <c r="M6725" s="34">
        <v>594530.55000000005</v>
      </c>
      <c r="N6725" s="34">
        <f t="shared" si="211"/>
        <v>9.5189701897018963</v>
      </c>
    </row>
    <row r="6726" spans="1:14" x14ac:dyDescent="0.45">
      <c r="A6726" s="30">
        <v>2025</v>
      </c>
      <c r="B6726" s="30" t="s">
        <v>19</v>
      </c>
      <c r="C6726" s="30" t="s">
        <v>46</v>
      </c>
      <c r="D6726" s="30" t="s">
        <v>47</v>
      </c>
      <c r="E6726" s="31" t="s">
        <v>469</v>
      </c>
      <c r="F6726" s="31" t="s">
        <v>57</v>
      </c>
      <c r="G6726" s="32" t="s">
        <v>50</v>
      </c>
      <c r="H6726" s="33">
        <v>11823</v>
      </c>
      <c r="I6726" s="34">
        <f>Table3[[#This Row],[Volume, kg.]]/1000</f>
        <v>11.823</v>
      </c>
      <c r="J6726" s="34">
        <v>0.30409999999999998</v>
      </c>
      <c r="K6726" s="34">
        <f t="shared" si="210"/>
        <v>3595.3742999999999</v>
      </c>
      <c r="L6726" s="34">
        <v>2.87</v>
      </c>
      <c r="M6726" s="34">
        <v>33973.85</v>
      </c>
      <c r="N6726" s="34">
        <f t="shared" si="211"/>
        <v>9.43768497204867</v>
      </c>
    </row>
    <row r="6727" spans="1:14" x14ac:dyDescent="0.45">
      <c r="A6727" s="30">
        <v>2025</v>
      </c>
      <c r="B6727" s="30" t="s">
        <v>19</v>
      </c>
      <c r="C6727" s="30" t="s">
        <v>46</v>
      </c>
      <c r="D6727" s="30" t="s">
        <v>47</v>
      </c>
      <c r="E6727" s="31" t="s">
        <v>299</v>
      </c>
      <c r="F6727" s="31" t="s">
        <v>49</v>
      </c>
      <c r="G6727" s="32" t="s">
        <v>50</v>
      </c>
      <c r="H6727" s="33">
        <v>3464</v>
      </c>
      <c r="I6727" s="34">
        <f>Table3[[#This Row],[Volume, kg.]]/1000</f>
        <v>3.464</v>
      </c>
      <c r="J6727" s="34">
        <v>0.26850000000000002</v>
      </c>
      <c r="K6727" s="34">
        <f t="shared" si="210"/>
        <v>930.08400000000006</v>
      </c>
      <c r="L6727" s="34">
        <v>2.65</v>
      </c>
      <c r="M6727" s="34">
        <v>9179.6</v>
      </c>
      <c r="N6727" s="34">
        <f t="shared" si="211"/>
        <v>9.8696461824953428</v>
      </c>
    </row>
    <row r="6728" spans="1:14" x14ac:dyDescent="0.45">
      <c r="A6728" s="30">
        <v>2025</v>
      </c>
      <c r="B6728" s="30" t="s">
        <v>19</v>
      </c>
      <c r="C6728" s="30" t="s">
        <v>46</v>
      </c>
      <c r="D6728" s="30" t="s">
        <v>47</v>
      </c>
      <c r="E6728" s="31" t="s">
        <v>253</v>
      </c>
      <c r="F6728" s="31" t="s">
        <v>57</v>
      </c>
      <c r="G6728" s="32" t="s">
        <v>50</v>
      </c>
      <c r="H6728" s="33">
        <v>19871</v>
      </c>
      <c r="I6728" s="34">
        <f>Table3[[#This Row],[Volume, kg.]]/1000</f>
        <v>19.870999999999999</v>
      </c>
      <c r="J6728" s="34">
        <v>0.31829999999999997</v>
      </c>
      <c r="K6728" s="34">
        <f t="shared" ref="K6728:K6777" si="212">H6728*J6728</f>
        <v>6324.9392999999991</v>
      </c>
      <c r="L6728" s="34">
        <v>3</v>
      </c>
      <c r="M6728" s="34">
        <v>59613</v>
      </c>
      <c r="N6728" s="34">
        <f t="shared" ref="N6728:N6777" si="213">L6728/J6728</f>
        <v>9.4250706880301607</v>
      </c>
    </row>
    <row r="6729" spans="1:14" x14ac:dyDescent="0.45">
      <c r="A6729" s="30">
        <v>2025</v>
      </c>
      <c r="B6729" s="30" t="s">
        <v>19</v>
      </c>
      <c r="C6729" s="30" t="s">
        <v>46</v>
      </c>
      <c r="D6729" s="30" t="s">
        <v>47</v>
      </c>
      <c r="E6729" s="31" t="s">
        <v>56</v>
      </c>
      <c r="F6729" s="31" t="s">
        <v>57</v>
      </c>
      <c r="G6729" s="32" t="s">
        <v>50</v>
      </c>
      <c r="H6729" s="33">
        <v>13196</v>
      </c>
      <c r="I6729" s="34">
        <f>Table3[[#This Row],[Volume, kg.]]/1000</f>
        <v>13.196</v>
      </c>
      <c r="J6729" s="34">
        <v>0.28770000000000001</v>
      </c>
      <c r="K6729" s="34">
        <f t="shared" si="212"/>
        <v>3796.4892</v>
      </c>
      <c r="L6729" s="34">
        <v>2.8</v>
      </c>
      <c r="M6729" s="34">
        <v>36948.800000000003</v>
      </c>
      <c r="N6729" s="34">
        <f t="shared" si="213"/>
        <v>9.7323600973235997</v>
      </c>
    </row>
    <row r="6730" spans="1:14" x14ac:dyDescent="0.45">
      <c r="A6730" s="30">
        <v>2025</v>
      </c>
      <c r="B6730" s="30" t="s">
        <v>19</v>
      </c>
      <c r="C6730" s="30" t="s">
        <v>46</v>
      </c>
      <c r="D6730" s="30" t="s">
        <v>47</v>
      </c>
      <c r="E6730" s="31" t="s">
        <v>275</v>
      </c>
      <c r="F6730" s="31" t="s">
        <v>54</v>
      </c>
      <c r="G6730" s="32" t="s">
        <v>50</v>
      </c>
      <c r="H6730" s="33">
        <v>46697</v>
      </c>
      <c r="I6730" s="34">
        <f>Table3[[#This Row],[Volume, kg.]]/1000</f>
        <v>46.697000000000003</v>
      </c>
      <c r="J6730" s="34">
        <v>0.29160000000000003</v>
      </c>
      <c r="K6730" s="34">
        <f t="shared" si="212"/>
        <v>13616.845200000002</v>
      </c>
      <c r="L6730" s="34">
        <v>2.83</v>
      </c>
      <c r="M6730" s="34">
        <v>132334.75</v>
      </c>
      <c r="N6730" s="34">
        <f t="shared" si="213"/>
        <v>9.7050754458161865</v>
      </c>
    </row>
    <row r="6731" spans="1:14" x14ac:dyDescent="0.45">
      <c r="A6731" s="30">
        <v>2025</v>
      </c>
      <c r="B6731" s="30" t="s">
        <v>19</v>
      </c>
      <c r="C6731" s="30" t="s">
        <v>46</v>
      </c>
      <c r="D6731" s="30" t="s">
        <v>47</v>
      </c>
      <c r="E6731" s="31" t="s">
        <v>153</v>
      </c>
      <c r="F6731" s="31" t="s">
        <v>57</v>
      </c>
      <c r="G6731" s="32" t="s">
        <v>50</v>
      </c>
      <c r="H6731" s="33">
        <v>1778</v>
      </c>
      <c r="I6731" s="34">
        <f>Table3[[#This Row],[Volume, kg.]]/1000</f>
        <v>1.778</v>
      </c>
      <c r="J6731" s="34">
        <v>0.27850000000000003</v>
      </c>
      <c r="K6731" s="34">
        <f t="shared" si="212"/>
        <v>495.17300000000006</v>
      </c>
      <c r="L6731" s="34">
        <v>2.7</v>
      </c>
      <c r="M6731" s="34">
        <v>4800.6000000000004</v>
      </c>
      <c r="N6731" s="34">
        <f t="shared" si="213"/>
        <v>9.6947935368043083</v>
      </c>
    </row>
    <row r="6732" spans="1:14" x14ac:dyDescent="0.45">
      <c r="A6732" s="30">
        <v>2025</v>
      </c>
      <c r="B6732" s="30" t="s">
        <v>19</v>
      </c>
      <c r="C6732" s="30" t="s">
        <v>46</v>
      </c>
      <c r="D6732" s="30" t="s">
        <v>47</v>
      </c>
      <c r="E6732" s="31" t="s">
        <v>306</v>
      </c>
      <c r="F6732" s="31" t="s">
        <v>60</v>
      </c>
      <c r="G6732" s="32" t="s">
        <v>50</v>
      </c>
      <c r="H6732" s="33">
        <v>5270</v>
      </c>
      <c r="I6732" s="34">
        <f>Table3[[#This Row],[Volume, kg.]]/1000</f>
        <v>5.27</v>
      </c>
      <c r="J6732" s="34">
        <v>0.26629999999999998</v>
      </c>
      <c r="K6732" s="34">
        <f t="shared" si="212"/>
        <v>1403.4009999999998</v>
      </c>
      <c r="L6732" s="34">
        <v>2.65</v>
      </c>
      <c r="M6732" s="34">
        <v>13965.5</v>
      </c>
      <c r="N6732" s="34">
        <f t="shared" si="213"/>
        <v>9.9511828764551264</v>
      </c>
    </row>
    <row r="6733" spans="1:14" x14ac:dyDescent="0.45">
      <c r="A6733" s="30">
        <v>2025</v>
      </c>
      <c r="B6733" s="30" t="s">
        <v>19</v>
      </c>
      <c r="C6733" s="30" t="s">
        <v>46</v>
      </c>
      <c r="D6733" s="30" t="s">
        <v>47</v>
      </c>
      <c r="E6733" s="31" t="s">
        <v>262</v>
      </c>
      <c r="F6733" s="31" t="s">
        <v>81</v>
      </c>
      <c r="G6733" s="32" t="s">
        <v>50</v>
      </c>
      <c r="H6733" s="33">
        <v>8261</v>
      </c>
      <c r="I6733" s="34">
        <f>Table3[[#This Row],[Volume, kg.]]/1000</f>
        <v>8.2609999999999992</v>
      </c>
      <c r="J6733" s="34">
        <v>0.28249999999999997</v>
      </c>
      <c r="K6733" s="34">
        <f t="shared" si="212"/>
        <v>2333.7324999999996</v>
      </c>
      <c r="L6733" s="34">
        <v>2.7</v>
      </c>
      <c r="M6733" s="34">
        <v>22304.7</v>
      </c>
      <c r="N6733" s="34">
        <f t="shared" si="213"/>
        <v>9.557522123893806</v>
      </c>
    </row>
    <row r="6734" spans="1:14" x14ac:dyDescent="0.45">
      <c r="A6734" s="30">
        <v>2025</v>
      </c>
      <c r="B6734" s="30" t="s">
        <v>19</v>
      </c>
      <c r="C6734" s="30" t="s">
        <v>46</v>
      </c>
      <c r="D6734" s="30" t="s">
        <v>47</v>
      </c>
      <c r="E6734" s="31" t="s">
        <v>206</v>
      </c>
      <c r="F6734" s="31" t="s">
        <v>81</v>
      </c>
      <c r="G6734" s="32" t="s">
        <v>50</v>
      </c>
      <c r="H6734" s="33">
        <v>177715</v>
      </c>
      <c r="I6734" s="34">
        <f>Table3[[#This Row],[Volume, kg.]]/1000</f>
        <v>177.715</v>
      </c>
      <c r="J6734" s="34">
        <v>0.26539999999999997</v>
      </c>
      <c r="K6734" s="34">
        <f t="shared" si="212"/>
        <v>47165.560999999994</v>
      </c>
      <c r="L6734" s="34">
        <v>2.69</v>
      </c>
      <c r="M6734" s="34">
        <v>477830.6</v>
      </c>
      <c r="N6734" s="34">
        <f t="shared" si="213"/>
        <v>10.135644310474756</v>
      </c>
    </row>
    <row r="6735" spans="1:14" x14ac:dyDescent="0.45">
      <c r="A6735" s="30">
        <v>2025</v>
      </c>
      <c r="B6735" s="30" t="s">
        <v>19</v>
      </c>
      <c r="C6735" s="30" t="s">
        <v>46</v>
      </c>
      <c r="D6735" s="30" t="s">
        <v>47</v>
      </c>
      <c r="E6735" s="31" t="s">
        <v>342</v>
      </c>
      <c r="F6735" s="31" t="s">
        <v>81</v>
      </c>
      <c r="G6735" s="32" t="s">
        <v>50</v>
      </c>
      <c r="H6735" s="33">
        <v>9806</v>
      </c>
      <c r="I6735" s="34">
        <f>Table3[[#This Row],[Volume, kg.]]/1000</f>
        <v>9.8059999999999992</v>
      </c>
      <c r="J6735" s="34">
        <v>0.29100000000000004</v>
      </c>
      <c r="K6735" s="34">
        <f t="shared" si="212"/>
        <v>2853.5460000000003</v>
      </c>
      <c r="L6735" s="34">
        <v>2.75</v>
      </c>
      <c r="M6735" s="34">
        <v>26966.5</v>
      </c>
      <c r="N6735" s="34">
        <f t="shared" si="213"/>
        <v>9.4501718213058403</v>
      </c>
    </row>
    <row r="6736" spans="1:14" x14ac:dyDescent="0.45">
      <c r="A6736" s="30">
        <v>2025</v>
      </c>
      <c r="B6736" s="30" t="s">
        <v>19</v>
      </c>
      <c r="C6736" s="30" t="s">
        <v>46</v>
      </c>
      <c r="D6736" s="30" t="s">
        <v>47</v>
      </c>
      <c r="E6736" s="31" t="s">
        <v>98</v>
      </c>
      <c r="F6736" s="31" t="s">
        <v>49</v>
      </c>
      <c r="G6736" s="32" t="s">
        <v>50</v>
      </c>
      <c r="H6736" s="33">
        <v>44696</v>
      </c>
      <c r="I6736" s="34">
        <f>Table3[[#This Row],[Volume, kg.]]/1000</f>
        <v>44.695999999999998</v>
      </c>
      <c r="J6736" s="34">
        <v>0.30719999999999997</v>
      </c>
      <c r="K6736" s="34">
        <f t="shared" si="212"/>
        <v>13730.611199999999</v>
      </c>
      <c r="L6736" s="34">
        <v>2.85</v>
      </c>
      <c r="M6736" s="34">
        <v>127191.65</v>
      </c>
      <c r="N6736" s="34">
        <f t="shared" si="213"/>
        <v>9.2773437500000018</v>
      </c>
    </row>
    <row r="6737" spans="1:14" x14ac:dyDescent="0.45">
      <c r="A6737" s="30">
        <v>2025</v>
      </c>
      <c r="B6737" s="30" t="s">
        <v>19</v>
      </c>
      <c r="C6737" s="30" t="s">
        <v>46</v>
      </c>
      <c r="D6737" s="30" t="s">
        <v>47</v>
      </c>
      <c r="E6737" s="31" t="s">
        <v>129</v>
      </c>
      <c r="F6737" s="31" t="s">
        <v>57</v>
      </c>
      <c r="G6737" s="32" t="s">
        <v>50</v>
      </c>
      <c r="H6737" s="33">
        <v>15952</v>
      </c>
      <c r="I6737" s="34">
        <f>Table3[[#This Row],[Volume, kg.]]/1000</f>
        <v>15.952</v>
      </c>
      <c r="J6737" s="34">
        <v>0.28600000000000003</v>
      </c>
      <c r="K6737" s="34">
        <f t="shared" si="212"/>
        <v>4562.2720000000008</v>
      </c>
      <c r="L6737" s="34">
        <v>2.8</v>
      </c>
      <c r="M6737" s="34">
        <v>44675.55</v>
      </c>
      <c r="N6737" s="34">
        <f t="shared" si="213"/>
        <v>9.7902097902097882</v>
      </c>
    </row>
    <row r="6738" spans="1:14" x14ac:dyDescent="0.45">
      <c r="A6738" s="30">
        <v>2025</v>
      </c>
      <c r="B6738" s="30" t="s">
        <v>19</v>
      </c>
      <c r="C6738" s="30" t="s">
        <v>46</v>
      </c>
      <c r="D6738" s="30" t="s">
        <v>47</v>
      </c>
      <c r="E6738" s="31" t="s">
        <v>80</v>
      </c>
      <c r="F6738" s="31" t="s">
        <v>81</v>
      </c>
      <c r="G6738" s="32" t="s">
        <v>50</v>
      </c>
      <c r="H6738" s="33">
        <v>112218</v>
      </c>
      <c r="I6738" s="34">
        <f>Table3[[#This Row],[Volume, kg.]]/1000</f>
        <v>112.218</v>
      </c>
      <c r="J6738" s="34">
        <v>0.28170000000000001</v>
      </c>
      <c r="K6738" s="34">
        <f t="shared" si="212"/>
        <v>31611.810600000001</v>
      </c>
      <c r="L6738" s="34">
        <v>2.73</v>
      </c>
      <c r="M6738" s="34">
        <v>306825.25</v>
      </c>
      <c r="N6738" s="34">
        <f t="shared" si="213"/>
        <v>9.6911608093716719</v>
      </c>
    </row>
    <row r="6739" spans="1:14" x14ac:dyDescent="0.45">
      <c r="A6739" s="30">
        <v>2025</v>
      </c>
      <c r="B6739" s="30" t="s">
        <v>19</v>
      </c>
      <c r="C6739" s="30" t="s">
        <v>46</v>
      </c>
      <c r="D6739" s="30" t="s">
        <v>47</v>
      </c>
      <c r="E6739" s="31" t="s">
        <v>572</v>
      </c>
      <c r="F6739" s="31" t="s">
        <v>64</v>
      </c>
      <c r="G6739" s="32" t="s">
        <v>50</v>
      </c>
      <c r="H6739" s="33">
        <v>8550</v>
      </c>
      <c r="I6739" s="34">
        <f>Table3[[#This Row],[Volume, kg.]]/1000</f>
        <v>8.5500000000000007</v>
      </c>
      <c r="J6739" s="34">
        <v>0.25950000000000001</v>
      </c>
      <c r="K6739" s="34">
        <f t="shared" si="212"/>
        <v>2218.7249999999999</v>
      </c>
      <c r="L6739" s="34">
        <v>2.6</v>
      </c>
      <c r="M6739" s="34">
        <v>22230</v>
      </c>
      <c r="N6739" s="34">
        <f t="shared" si="213"/>
        <v>10.019267822736031</v>
      </c>
    </row>
    <row r="6740" spans="1:14" x14ac:dyDescent="0.45">
      <c r="A6740" s="30">
        <v>2025</v>
      </c>
      <c r="B6740" s="30" t="s">
        <v>19</v>
      </c>
      <c r="C6740" s="30" t="s">
        <v>46</v>
      </c>
      <c r="D6740" s="30" t="s">
        <v>47</v>
      </c>
      <c r="E6740" s="31" t="s">
        <v>267</v>
      </c>
      <c r="F6740" s="31" t="s">
        <v>57</v>
      </c>
      <c r="G6740" s="32" t="s">
        <v>50</v>
      </c>
      <c r="H6740" s="33">
        <v>5820</v>
      </c>
      <c r="I6740" s="34">
        <f>Table3[[#This Row],[Volume, kg.]]/1000</f>
        <v>5.82</v>
      </c>
      <c r="J6740" s="34">
        <v>0.29350000000000004</v>
      </c>
      <c r="K6740" s="34">
        <f t="shared" si="212"/>
        <v>1708.1700000000003</v>
      </c>
      <c r="L6740" s="34">
        <v>2.85</v>
      </c>
      <c r="M6740" s="34">
        <v>16587</v>
      </c>
      <c r="N6740" s="34">
        <f t="shared" si="213"/>
        <v>9.7103918228279369</v>
      </c>
    </row>
    <row r="6741" spans="1:14" x14ac:dyDescent="0.45">
      <c r="A6741" s="30">
        <v>2025</v>
      </c>
      <c r="B6741" s="30" t="s">
        <v>19</v>
      </c>
      <c r="C6741" s="30" t="s">
        <v>46</v>
      </c>
      <c r="D6741" s="30" t="s">
        <v>102</v>
      </c>
      <c r="E6741" s="31" t="s">
        <v>103</v>
      </c>
      <c r="F6741" s="31" t="s">
        <v>104</v>
      </c>
      <c r="G6741" s="32" t="s">
        <v>105</v>
      </c>
      <c r="H6741" s="33">
        <v>1953460</v>
      </c>
      <c r="I6741" s="34">
        <f>Table3[[#This Row],[Volume, kg.]]/1000</f>
        <v>1953.46</v>
      </c>
      <c r="J6741" s="34">
        <v>0.26590000000000003</v>
      </c>
      <c r="K6741" s="34">
        <f t="shared" si="212"/>
        <v>519425.01400000002</v>
      </c>
      <c r="L6741" s="34">
        <v>2.73</v>
      </c>
      <c r="M6741" s="34">
        <v>5332473.5</v>
      </c>
      <c r="N6741" s="34">
        <f t="shared" si="213"/>
        <v>10.267017675817975</v>
      </c>
    </row>
    <row r="6742" spans="1:14" x14ac:dyDescent="0.45">
      <c r="A6742" s="30">
        <v>2025</v>
      </c>
      <c r="B6742" s="30" t="s">
        <v>19</v>
      </c>
      <c r="C6742" s="30" t="s">
        <v>46</v>
      </c>
      <c r="D6742" s="30" t="s">
        <v>47</v>
      </c>
      <c r="E6742" s="31" t="s">
        <v>203</v>
      </c>
      <c r="F6742" s="31" t="s">
        <v>57</v>
      </c>
      <c r="G6742" s="32" t="s">
        <v>50</v>
      </c>
      <c r="H6742" s="33">
        <v>41984</v>
      </c>
      <c r="I6742" s="34">
        <f>Table3[[#This Row],[Volume, kg.]]/1000</f>
        <v>41.984000000000002</v>
      </c>
      <c r="J6742" s="34">
        <v>0.29880000000000001</v>
      </c>
      <c r="K6742" s="34">
        <f t="shared" si="212"/>
        <v>12544.8192</v>
      </c>
      <c r="L6742" s="34">
        <v>2.84</v>
      </c>
      <c r="M6742" s="34">
        <v>119214</v>
      </c>
      <c r="N6742" s="34">
        <f t="shared" si="213"/>
        <v>9.5046854082998653</v>
      </c>
    </row>
    <row r="6743" spans="1:14" x14ac:dyDescent="0.45">
      <c r="A6743" s="30">
        <v>2025</v>
      </c>
      <c r="B6743" s="30" t="s">
        <v>19</v>
      </c>
      <c r="C6743" s="30" t="s">
        <v>46</v>
      </c>
      <c r="D6743" s="30" t="s">
        <v>102</v>
      </c>
      <c r="E6743" s="31" t="s">
        <v>771</v>
      </c>
      <c r="F6743" s="31" t="s">
        <v>772</v>
      </c>
      <c r="G6743" s="32" t="s">
        <v>773</v>
      </c>
      <c r="H6743" s="33">
        <v>1844210</v>
      </c>
      <c r="I6743" s="34">
        <f>Table3[[#This Row],[Volume, kg.]]/1000</f>
        <v>1844.21</v>
      </c>
      <c r="J6743" s="34">
        <v>0.25879999999999997</v>
      </c>
      <c r="K6743" s="34">
        <f t="shared" si="212"/>
        <v>477281.54799999995</v>
      </c>
      <c r="L6743" s="34">
        <v>2.7</v>
      </c>
      <c r="M6743" s="34">
        <v>4977701</v>
      </c>
      <c r="N6743" s="34">
        <f t="shared" si="213"/>
        <v>10.432766615146834</v>
      </c>
    </row>
    <row r="6744" spans="1:14" x14ac:dyDescent="0.45">
      <c r="A6744" s="30">
        <v>2025</v>
      </c>
      <c r="B6744" s="30" t="s">
        <v>19</v>
      </c>
      <c r="C6744" s="30" t="s">
        <v>46</v>
      </c>
      <c r="D6744" s="30" t="s">
        <v>102</v>
      </c>
      <c r="E6744" s="31" t="s">
        <v>126</v>
      </c>
      <c r="F6744" s="31" t="s">
        <v>127</v>
      </c>
      <c r="G6744" s="32" t="s">
        <v>128</v>
      </c>
      <c r="H6744" s="33">
        <v>3059190</v>
      </c>
      <c r="I6744" s="34">
        <f>Table3[[#This Row],[Volume, kg.]]/1000</f>
        <v>3059.19</v>
      </c>
      <c r="J6744" s="34">
        <v>0.2712</v>
      </c>
      <c r="K6744" s="34">
        <f t="shared" si="212"/>
        <v>829652.32799999998</v>
      </c>
      <c r="L6744" s="34">
        <v>2.77</v>
      </c>
      <c r="M6744" s="34">
        <v>8467909.5</v>
      </c>
      <c r="N6744" s="34">
        <f t="shared" si="213"/>
        <v>10.213864306784661</v>
      </c>
    </row>
    <row r="6745" spans="1:14" x14ac:dyDescent="0.45">
      <c r="A6745" s="30">
        <v>2025</v>
      </c>
      <c r="B6745" s="30" t="s">
        <v>19</v>
      </c>
      <c r="C6745" s="30" t="s">
        <v>46</v>
      </c>
      <c r="D6745" s="30" t="s">
        <v>47</v>
      </c>
      <c r="E6745" s="31" t="s">
        <v>204</v>
      </c>
      <c r="F6745" s="31" t="s">
        <v>49</v>
      </c>
      <c r="G6745" s="32" t="s">
        <v>50</v>
      </c>
      <c r="H6745" s="33">
        <v>4357</v>
      </c>
      <c r="I6745" s="34">
        <f>Table3[[#This Row],[Volume, kg.]]/1000</f>
        <v>4.3570000000000002</v>
      </c>
      <c r="J6745" s="34">
        <v>0.28149999999999997</v>
      </c>
      <c r="K6745" s="34">
        <f t="shared" si="212"/>
        <v>1226.4955</v>
      </c>
      <c r="L6745" s="34">
        <v>2.7</v>
      </c>
      <c r="M6745" s="34">
        <v>11763.9</v>
      </c>
      <c r="N6745" s="34">
        <f t="shared" si="213"/>
        <v>9.5914742451154549</v>
      </c>
    </row>
    <row r="6746" spans="1:14" x14ac:dyDescent="0.45">
      <c r="A6746" s="30">
        <v>2025</v>
      </c>
      <c r="B6746" s="30" t="s">
        <v>19</v>
      </c>
      <c r="C6746" s="30" t="s">
        <v>46</v>
      </c>
      <c r="D6746" s="30" t="s">
        <v>47</v>
      </c>
      <c r="E6746" s="31" t="s">
        <v>154</v>
      </c>
      <c r="F6746" s="31" t="s">
        <v>60</v>
      </c>
      <c r="G6746" s="32" t="s">
        <v>50</v>
      </c>
      <c r="H6746" s="33">
        <v>6313</v>
      </c>
      <c r="I6746" s="34">
        <f>Table3[[#This Row],[Volume, kg.]]/1000</f>
        <v>6.3129999999999997</v>
      </c>
      <c r="J6746" s="34">
        <v>0.27399999999999997</v>
      </c>
      <c r="K6746" s="34">
        <f t="shared" si="212"/>
        <v>1729.7619999999997</v>
      </c>
      <c r="L6746" s="34">
        <v>2.75</v>
      </c>
      <c r="M6746" s="34">
        <v>17360.75</v>
      </c>
      <c r="N6746" s="34">
        <f t="shared" si="213"/>
        <v>10.036496350364965</v>
      </c>
    </row>
    <row r="6747" spans="1:14" x14ac:dyDescent="0.45">
      <c r="A6747" s="30">
        <v>2025</v>
      </c>
      <c r="B6747" s="30" t="s">
        <v>19</v>
      </c>
      <c r="C6747" s="30" t="s">
        <v>46</v>
      </c>
      <c r="D6747" s="30" t="s">
        <v>102</v>
      </c>
      <c r="E6747" s="31" t="s">
        <v>157</v>
      </c>
      <c r="F6747" s="31" t="s">
        <v>127</v>
      </c>
      <c r="G6747" s="32" t="s">
        <v>128</v>
      </c>
      <c r="H6747" s="33">
        <v>582570</v>
      </c>
      <c r="I6747" s="34">
        <f>Table3[[#This Row],[Volume, kg.]]/1000</f>
        <v>582.57000000000005</v>
      </c>
      <c r="J6747" s="34">
        <v>0.28100000000000003</v>
      </c>
      <c r="K6747" s="34">
        <f t="shared" si="212"/>
        <v>163702.17000000001</v>
      </c>
      <c r="L6747" s="34">
        <v>2.75</v>
      </c>
      <c r="M6747" s="34">
        <v>1603674.5</v>
      </c>
      <c r="N6747" s="34">
        <f t="shared" si="213"/>
        <v>9.7864768683274015</v>
      </c>
    </row>
    <row r="6748" spans="1:14" x14ac:dyDescent="0.45">
      <c r="A6748" s="30">
        <v>2025</v>
      </c>
      <c r="B6748" s="30" t="s">
        <v>19</v>
      </c>
      <c r="C6748" s="30" t="s">
        <v>46</v>
      </c>
      <c r="D6748" s="30" t="s">
        <v>47</v>
      </c>
      <c r="E6748" s="31" t="s">
        <v>273</v>
      </c>
      <c r="F6748" s="31" t="s">
        <v>49</v>
      </c>
      <c r="G6748" s="32" t="s">
        <v>50</v>
      </c>
      <c r="H6748" s="33">
        <v>6187</v>
      </c>
      <c r="I6748" s="34">
        <f>Table3[[#This Row],[Volume, kg.]]/1000</f>
        <v>6.1870000000000003</v>
      </c>
      <c r="J6748" s="34">
        <v>0.29350000000000004</v>
      </c>
      <c r="K6748" s="34">
        <f t="shared" si="212"/>
        <v>1815.8845000000003</v>
      </c>
      <c r="L6748" s="34">
        <v>2.75</v>
      </c>
      <c r="M6748" s="34">
        <v>17014.25</v>
      </c>
      <c r="N6748" s="34">
        <f t="shared" si="213"/>
        <v>9.3696763202725712</v>
      </c>
    </row>
    <row r="6749" spans="1:14" x14ac:dyDescent="0.45">
      <c r="A6749" s="30">
        <v>2025</v>
      </c>
      <c r="B6749" s="30" t="s">
        <v>19</v>
      </c>
      <c r="C6749" s="30" t="s">
        <v>46</v>
      </c>
      <c r="D6749" s="30" t="s">
        <v>102</v>
      </c>
      <c r="E6749" s="31" t="s">
        <v>710</v>
      </c>
      <c r="F6749" s="31" t="s">
        <v>189</v>
      </c>
      <c r="G6749" s="32" t="s">
        <v>128</v>
      </c>
      <c r="H6749" s="33">
        <v>690650</v>
      </c>
      <c r="I6749" s="34">
        <f>Table3[[#This Row],[Volume, kg.]]/1000</f>
        <v>690.65</v>
      </c>
      <c r="J6749" s="34">
        <v>0.26669999999999999</v>
      </c>
      <c r="K6749" s="34">
        <f t="shared" si="212"/>
        <v>184196.35499999998</v>
      </c>
      <c r="L6749" s="34">
        <v>2.66</v>
      </c>
      <c r="M6749" s="34">
        <v>1839023.5</v>
      </c>
      <c r="N6749" s="34">
        <f t="shared" si="213"/>
        <v>9.9737532808398957</v>
      </c>
    </row>
    <row r="6750" spans="1:14" x14ac:dyDescent="0.45">
      <c r="A6750" s="30">
        <v>2025</v>
      </c>
      <c r="B6750" s="30" t="s">
        <v>19</v>
      </c>
      <c r="C6750" s="30" t="s">
        <v>46</v>
      </c>
      <c r="D6750" s="30" t="s">
        <v>47</v>
      </c>
      <c r="E6750" s="31" t="s">
        <v>227</v>
      </c>
      <c r="F6750" s="31" t="s">
        <v>57</v>
      </c>
      <c r="G6750" s="32" t="s">
        <v>50</v>
      </c>
      <c r="H6750" s="33">
        <v>31853</v>
      </c>
      <c r="I6750" s="34">
        <f>Table3[[#This Row],[Volume, kg.]]/1000</f>
        <v>31.853000000000002</v>
      </c>
      <c r="J6750" s="34">
        <v>0.30790000000000001</v>
      </c>
      <c r="K6750" s="34">
        <f t="shared" si="212"/>
        <v>9807.538700000001</v>
      </c>
      <c r="L6750" s="34">
        <v>2.86</v>
      </c>
      <c r="M6750" s="34">
        <v>91032.25</v>
      </c>
      <c r="N6750" s="34">
        <f t="shared" si="213"/>
        <v>9.2887301071776545</v>
      </c>
    </row>
    <row r="6751" spans="1:14" x14ac:dyDescent="0.45">
      <c r="A6751" s="30">
        <v>2025</v>
      </c>
      <c r="B6751" s="30" t="s">
        <v>19</v>
      </c>
      <c r="C6751" s="30" t="s">
        <v>46</v>
      </c>
      <c r="D6751" s="30" t="s">
        <v>47</v>
      </c>
      <c r="E6751" s="31" t="s">
        <v>159</v>
      </c>
      <c r="F6751" s="31" t="s">
        <v>81</v>
      </c>
      <c r="G6751" s="32" t="s">
        <v>50</v>
      </c>
      <c r="H6751" s="33">
        <v>33386</v>
      </c>
      <c r="I6751" s="34">
        <f>Table3[[#This Row],[Volume, kg.]]/1000</f>
        <v>33.386000000000003</v>
      </c>
      <c r="J6751" s="34">
        <v>0.29059999999999997</v>
      </c>
      <c r="K6751" s="34">
        <f t="shared" si="212"/>
        <v>9701.9715999999989</v>
      </c>
      <c r="L6751" s="34">
        <v>2.76</v>
      </c>
      <c r="M6751" s="34">
        <v>92192.95</v>
      </c>
      <c r="N6751" s="34">
        <f t="shared" si="213"/>
        <v>9.4975911906400547</v>
      </c>
    </row>
    <row r="6752" spans="1:14" x14ac:dyDescent="0.45">
      <c r="A6752" s="30">
        <v>2025</v>
      </c>
      <c r="B6752" s="30" t="s">
        <v>19</v>
      </c>
      <c r="C6752" s="30" t="s">
        <v>46</v>
      </c>
      <c r="D6752" s="30" t="s">
        <v>47</v>
      </c>
      <c r="E6752" s="31" t="s">
        <v>347</v>
      </c>
      <c r="F6752" s="31" t="s">
        <v>49</v>
      </c>
      <c r="G6752" s="32" t="s">
        <v>50</v>
      </c>
      <c r="H6752" s="33">
        <v>7114</v>
      </c>
      <c r="I6752" s="34">
        <f>Table3[[#This Row],[Volume, kg.]]/1000</f>
        <v>7.1139999999999999</v>
      </c>
      <c r="J6752" s="34">
        <v>0.21870000000000001</v>
      </c>
      <c r="K6752" s="34">
        <f t="shared" si="212"/>
        <v>1555.8317999999999</v>
      </c>
      <c r="L6752" s="34">
        <v>2.4</v>
      </c>
      <c r="M6752" s="34">
        <v>17073.599999999999</v>
      </c>
      <c r="N6752" s="34">
        <f t="shared" si="213"/>
        <v>10.973936899862824</v>
      </c>
    </row>
    <row r="6753" spans="1:14" x14ac:dyDescent="0.45">
      <c r="A6753" s="30">
        <v>2025</v>
      </c>
      <c r="B6753" s="30" t="s">
        <v>19</v>
      </c>
      <c r="C6753" s="30" t="s">
        <v>46</v>
      </c>
      <c r="D6753" s="30" t="s">
        <v>47</v>
      </c>
      <c r="E6753" s="31" t="s">
        <v>53</v>
      </c>
      <c r="F6753" s="31" t="s">
        <v>54</v>
      </c>
      <c r="G6753" s="32" t="s">
        <v>50</v>
      </c>
      <c r="H6753" s="33">
        <v>102643</v>
      </c>
      <c r="I6753" s="34">
        <f>Table3[[#This Row],[Volume, kg.]]/1000</f>
        <v>102.643</v>
      </c>
      <c r="J6753" s="34">
        <v>0.29210000000000003</v>
      </c>
      <c r="K6753" s="34">
        <f t="shared" si="212"/>
        <v>29982.020300000004</v>
      </c>
      <c r="L6753" s="34">
        <v>2.83</v>
      </c>
      <c r="M6753" s="34">
        <v>290372.40000000002</v>
      </c>
      <c r="N6753" s="34">
        <f t="shared" si="213"/>
        <v>9.6884628551865788</v>
      </c>
    </row>
    <row r="6754" spans="1:14" x14ac:dyDescent="0.45">
      <c r="A6754" s="30">
        <v>2025</v>
      </c>
      <c r="B6754" s="30" t="s">
        <v>19</v>
      </c>
      <c r="C6754" s="30" t="s">
        <v>46</v>
      </c>
      <c r="D6754" s="30" t="s">
        <v>47</v>
      </c>
      <c r="E6754" s="31" t="s">
        <v>151</v>
      </c>
      <c r="F6754" s="31" t="s">
        <v>60</v>
      </c>
      <c r="G6754" s="32" t="s">
        <v>50</v>
      </c>
      <c r="H6754" s="33">
        <v>13098</v>
      </c>
      <c r="I6754" s="34">
        <f>Table3[[#This Row],[Volume, kg.]]/1000</f>
        <v>13.098000000000001</v>
      </c>
      <c r="J6754" s="34">
        <v>0.254</v>
      </c>
      <c r="K6754" s="34">
        <f t="shared" si="212"/>
        <v>3326.8919999999998</v>
      </c>
      <c r="L6754" s="34">
        <v>2.5499999999999998</v>
      </c>
      <c r="M6754" s="34">
        <v>33399.9</v>
      </c>
      <c r="N6754" s="34">
        <f t="shared" si="213"/>
        <v>10.039370078740157</v>
      </c>
    </row>
    <row r="6755" spans="1:14" x14ac:dyDescent="0.45">
      <c r="A6755" s="30">
        <v>2025</v>
      </c>
      <c r="B6755" s="30" t="s">
        <v>19</v>
      </c>
      <c r="C6755" s="30" t="s">
        <v>46</v>
      </c>
      <c r="D6755" s="30" t="s">
        <v>102</v>
      </c>
      <c r="E6755" s="31" t="s">
        <v>658</v>
      </c>
      <c r="F6755" s="31" t="s">
        <v>64</v>
      </c>
      <c r="G6755" s="32" t="s">
        <v>50</v>
      </c>
      <c r="H6755" s="33">
        <v>27880</v>
      </c>
      <c r="I6755" s="34">
        <f>Table3[[#This Row],[Volume, kg.]]/1000</f>
        <v>27.88</v>
      </c>
      <c r="J6755" s="34">
        <v>0.23399999999999999</v>
      </c>
      <c r="K6755" s="34">
        <f t="shared" si="212"/>
        <v>6523.9199999999992</v>
      </c>
      <c r="L6755" s="34">
        <v>2.4500000000000002</v>
      </c>
      <c r="M6755" s="34">
        <v>68306</v>
      </c>
      <c r="N6755" s="34">
        <f t="shared" si="213"/>
        <v>10.470085470085472</v>
      </c>
    </row>
    <row r="6756" spans="1:14" x14ac:dyDescent="0.45">
      <c r="A6756" s="30">
        <v>2025</v>
      </c>
      <c r="B6756" s="30" t="s">
        <v>19</v>
      </c>
      <c r="C6756" s="30" t="s">
        <v>46</v>
      </c>
      <c r="D6756" s="30" t="s">
        <v>47</v>
      </c>
      <c r="E6756" s="31" t="s">
        <v>133</v>
      </c>
      <c r="F6756" s="31" t="s">
        <v>134</v>
      </c>
      <c r="G6756" s="32" t="s">
        <v>50</v>
      </c>
      <c r="H6756" s="33">
        <v>27893</v>
      </c>
      <c r="I6756" s="34">
        <f>Table3[[#This Row],[Volume, kg.]]/1000</f>
        <v>27.893000000000001</v>
      </c>
      <c r="J6756" s="34">
        <v>0.2949</v>
      </c>
      <c r="K6756" s="34">
        <f t="shared" si="212"/>
        <v>8225.6456999999991</v>
      </c>
      <c r="L6756" s="34">
        <v>2.77</v>
      </c>
      <c r="M6756" s="34">
        <v>77377.55</v>
      </c>
      <c r="N6756" s="34">
        <f t="shared" si="213"/>
        <v>9.3930145812139703</v>
      </c>
    </row>
    <row r="6757" spans="1:14" x14ac:dyDescent="0.45">
      <c r="A6757" s="30">
        <v>2025</v>
      </c>
      <c r="B6757" s="30" t="s">
        <v>19</v>
      </c>
      <c r="C6757" s="30" t="s">
        <v>46</v>
      </c>
      <c r="D6757" s="30" t="s">
        <v>47</v>
      </c>
      <c r="E6757" s="31" t="s">
        <v>252</v>
      </c>
      <c r="F6757" s="31" t="s">
        <v>49</v>
      </c>
      <c r="G6757" s="32" t="s">
        <v>50</v>
      </c>
      <c r="H6757" s="33">
        <v>4423</v>
      </c>
      <c r="I6757" s="34">
        <f>Table3[[#This Row],[Volume, kg.]]/1000</f>
        <v>4.423</v>
      </c>
      <c r="J6757" s="34">
        <v>0.24600000000000002</v>
      </c>
      <c r="K6757" s="34">
        <f t="shared" si="212"/>
        <v>1088.0580000000002</v>
      </c>
      <c r="L6757" s="34">
        <v>2.6</v>
      </c>
      <c r="M6757" s="34">
        <v>11499.8</v>
      </c>
      <c r="N6757" s="34">
        <f t="shared" si="213"/>
        <v>10.56910569105691</v>
      </c>
    </row>
    <row r="6758" spans="1:14" x14ac:dyDescent="0.45">
      <c r="A6758" s="30">
        <v>2025</v>
      </c>
      <c r="B6758" s="30" t="s">
        <v>19</v>
      </c>
      <c r="C6758" s="30" t="s">
        <v>46</v>
      </c>
      <c r="D6758" s="30" t="s">
        <v>47</v>
      </c>
      <c r="E6758" s="31" t="s">
        <v>95</v>
      </c>
      <c r="F6758" s="31" t="s">
        <v>49</v>
      </c>
      <c r="G6758" s="32" t="s">
        <v>50</v>
      </c>
      <c r="H6758" s="33">
        <v>65567</v>
      </c>
      <c r="I6758" s="34">
        <f>Table3[[#This Row],[Volume, kg.]]/1000</f>
        <v>65.566999999999993</v>
      </c>
      <c r="J6758" s="34">
        <v>0.29049999999999998</v>
      </c>
      <c r="K6758" s="34">
        <f t="shared" si="212"/>
        <v>19047.213499999998</v>
      </c>
      <c r="L6758" s="34">
        <v>2.78</v>
      </c>
      <c r="M6758" s="34">
        <v>182533.35</v>
      </c>
      <c r="N6758" s="34">
        <f t="shared" si="213"/>
        <v>9.5697074010327015</v>
      </c>
    </row>
    <row r="6759" spans="1:14" x14ac:dyDescent="0.45">
      <c r="A6759" s="30">
        <v>2025</v>
      </c>
      <c r="B6759" s="30" t="s">
        <v>19</v>
      </c>
      <c r="C6759" s="30" t="s">
        <v>46</v>
      </c>
      <c r="D6759" s="30" t="s">
        <v>47</v>
      </c>
      <c r="E6759" s="31" t="s">
        <v>205</v>
      </c>
      <c r="F6759" s="31" t="s">
        <v>49</v>
      </c>
      <c r="G6759" s="32" t="s">
        <v>50</v>
      </c>
      <c r="H6759" s="33">
        <v>143094</v>
      </c>
      <c r="I6759" s="34">
        <f>Table3[[#This Row],[Volume, kg.]]/1000</f>
        <v>143.09399999999999</v>
      </c>
      <c r="J6759" s="34">
        <v>0.26530000000000004</v>
      </c>
      <c r="K6759" s="34">
        <f t="shared" si="212"/>
        <v>37962.838200000006</v>
      </c>
      <c r="L6759" s="34">
        <v>2.66</v>
      </c>
      <c r="M6759" s="34">
        <v>381534.5</v>
      </c>
      <c r="N6759" s="34">
        <f t="shared" si="213"/>
        <v>10.026385224274405</v>
      </c>
    </row>
    <row r="6760" spans="1:14" x14ac:dyDescent="0.45">
      <c r="A6760" s="30">
        <v>2025</v>
      </c>
      <c r="B6760" s="30" t="s">
        <v>19</v>
      </c>
      <c r="C6760" s="30" t="s">
        <v>46</v>
      </c>
      <c r="D6760" s="30" t="s">
        <v>102</v>
      </c>
      <c r="E6760" s="31" t="s">
        <v>366</v>
      </c>
      <c r="F6760" s="31" t="s">
        <v>367</v>
      </c>
      <c r="G6760" s="32" t="s">
        <v>368</v>
      </c>
      <c r="H6760" s="33">
        <v>324070</v>
      </c>
      <c r="I6760" s="34">
        <f>Table3[[#This Row],[Volume, kg.]]/1000</f>
        <v>324.07</v>
      </c>
      <c r="J6760" s="34">
        <v>0.27360000000000001</v>
      </c>
      <c r="K6760" s="34">
        <f t="shared" si="212"/>
        <v>88665.551999999996</v>
      </c>
      <c r="L6760" s="34">
        <v>2.74</v>
      </c>
      <c r="M6760" s="34">
        <v>888778</v>
      </c>
      <c r="N6760" s="34">
        <f t="shared" si="213"/>
        <v>10.014619883040936</v>
      </c>
    </row>
    <row r="6761" spans="1:14" x14ac:dyDescent="0.45">
      <c r="A6761" s="30">
        <v>2025</v>
      </c>
      <c r="B6761" s="30" t="s">
        <v>19</v>
      </c>
      <c r="C6761" s="30" t="s">
        <v>46</v>
      </c>
      <c r="D6761" s="30" t="s">
        <v>47</v>
      </c>
      <c r="E6761" s="31" t="s">
        <v>410</v>
      </c>
      <c r="F6761" s="31" t="s">
        <v>54</v>
      </c>
      <c r="G6761" s="32" t="s">
        <v>50</v>
      </c>
      <c r="H6761" s="33">
        <v>8475</v>
      </c>
      <c r="I6761" s="34">
        <f>Table3[[#This Row],[Volume, kg.]]/1000</f>
        <v>8.4749999999999996</v>
      </c>
      <c r="J6761" s="34">
        <v>0.26500000000000001</v>
      </c>
      <c r="K6761" s="34">
        <f t="shared" si="212"/>
        <v>2245.875</v>
      </c>
      <c r="L6761" s="34">
        <v>2.75</v>
      </c>
      <c r="M6761" s="34">
        <v>23306.25</v>
      </c>
      <c r="N6761" s="34">
        <f t="shared" si="213"/>
        <v>10.377358490566037</v>
      </c>
    </row>
    <row r="6762" spans="1:14" x14ac:dyDescent="0.45">
      <c r="A6762" s="30">
        <v>2025</v>
      </c>
      <c r="B6762" s="30" t="s">
        <v>19</v>
      </c>
      <c r="C6762" s="30" t="s">
        <v>46</v>
      </c>
      <c r="D6762" s="30" t="s">
        <v>102</v>
      </c>
      <c r="E6762" s="31" t="s">
        <v>418</v>
      </c>
      <c r="F6762" s="31" t="s">
        <v>104</v>
      </c>
      <c r="G6762" s="32" t="s">
        <v>105</v>
      </c>
      <c r="H6762" s="33">
        <v>942690</v>
      </c>
      <c r="I6762" s="34">
        <f>Table3[[#This Row],[Volume, kg.]]/1000</f>
        <v>942.69</v>
      </c>
      <c r="J6762" s="34">
        <v>0.2697</v>
      </c>
      <c r="K6762" s="34">
        <f t="shared" si="212"/>
        <v>254243.49299999999</v>
      </c>
      <c r="L6762" s="34">
        <v>2.69</v>
      </c>
      <c r="M6762" s="34">
        <v>2538077.5</v>
      </c>
      <c r="N6762" s="34">
        <f t="shared" si="213"/>
        <v>9.974045235446793</v>
      </c>
    </row>
    <row r="6763" spans="1:14" x14ac:dyDescent="0.45">
      <c r="A6763" s="30">
        <v>2025</v>
      </c>
      <c r="B6763" s="30" t="s">
        <v>19</v>
      </c>
      <c r="C6763" s="30" t="s">
        <v>46</v>
      </c>
      <c r="D6763" s="30" t="s">
        <v>102</v>
      </c>
      <c r="E6763" s="31" t="s">
        <v>555</v>
      </c>
      <c r="F6763" s="31" t="s">
        <v>556</v>
      </c>
      <c r="G6763" s="32" t="s">
        <v>557</v>
      </c>
      <c r="H6763" s="33">
        <v>144790</v>
      </c>
      <c r="I6763" s="34">
        <f>Table3[[#This Row],[Volume, kg.]]/1000</f>
        <v>144.79</v>
      </c>
      <c r="J6763" s="34">
        <v>0.25059999999999999</v>
      </c>
      <c r="K6763" s="34">
        <f t="shared" si="212"/>
        <v>36284.373999999996</v>
      </c>
      <c r="L6763" s="34">
        <v>2.56</v>
      </c>
      <c r="M6763" s="34">
        <v>370098.5</v>
      </c>
      <c r="N6763" s="34">
        <f t="shared" si="213"/>
        <v>10.215482841181165</v>
      </c>
    </row>
    <row r="6764" spans="1:14" x14ac:dyDescent="0.45">
      <c r="A6764" s="30">
        <v>2025</v>
      </c>
      <c r="B6764" s="30" t="s">
        <v>19</v>
      </c>
      <c r="C6764" s="30" t="s">
        <v>46</v>
      </c>
      <c r="D6764" s="30" t="s">
        <v>102</v>
      </c>
      <c r="E6764" s="31" t="s">
        <v>552</v>
      </c>
      <c r="F6764" s="31" t="s">
        <v>238</v>
      </c>
      <c r="G6764" s="32" t="s">
        <v>50</v>
      </c>
      <c r="H6764" s="33">
        <v>113640</v>
      </c>
      <c r="I6764" s="34">
        <f>Table3[[#This Row],[Volume, kg.]]/1000</f>
        <v>113.64</v>
      </c>
      <c r="J6764" s="34">
        <v>0.27500000000000002</v>
      </c>
      <c r="K6764" s="34">
        <f t="shared" si="212"/>
        <v>31251.000000000004</v>
      </c>
      <c r="L6764" s="34">
        <v>2.69</v>
      </c>
      <c r="M6764" s="34">
        <v>305901</v>
      </c>
      <c r="N6764" s="34">
        <f t="shared" si="213"/>
        <v>9.7818181818181813</v>
      </c>
    </row>
    <row r="6765" spans="1:14" x14ac:dyDescent="0.45">
      <c r="A6765" s="30">
        <v>2025</v>
      </c>
      <c r="B6765" s="30" t="s">
        <v>19</v>
      </c>
      <c r="C6765" s="30" t="s">
        <v>46</v>
      </c>
      <c r="D6765" s="30" t="s">
        <v>47</v>
      </c>
      <c r="E6765" s="31" t="s">
        <v>607</v>
      </c>
      <c r="F6765" s="31" t="s">
        <v>81</v>
      </c>
      <c r="G6765" s="32" t="s">
        <v>50</v>
      </c>
      <c r="H6765" s="33">
        <v>11772</v>
      </c>
      <c r="I6765" s="34">
        <f>Table3[[#This Row],[Volume, kg.]]/1000</f>
        <v>11.772</v>
      </c>
      <c r="J6765" s="34">
        <v>0.28550000000000003</v>
      </c>
      <c r="K6765" s="34">
        <f t="shared" si="212"/>
        <v>3360.9060000000004</v>
      </c>
      <c r="L6765" s="34">
        <v>2.8</v>
      </c>
      <c r="M6765" s="34">
        <v>32961.599999999999</v>
      </c>
      <c r="N6765" s="34">
        <f t="shared" si="213"/>
        <v>9.8073555166374771</v>
      </c>
    </row>
    <row r="6766" spans="1:14" x14ac:dyDescent="0.45">
      <c r="A6766" s="30">
        <v>2025</v>
      </c>
      <c r="B6766" s="30" t="s">
        <v>19</v>
      </c>
      <c r="C6766" s="30" t="s">
        <v>46</v>
      </c>
      <c r="D6766" s="30" t="s">
        <v>47</v>
      </c>
      <c r="E6766" s="31" t="s">
        <v>646</v>
      </c>
      <c r="F6766" s="31" t="s">
        <v>49</v>
      </c>
      <c r="G6766" s="32" t="s">
        <v>50</v>
      </c>
      <c r="H6766" s="33">
        <v>7752</v>
      </c>
      <c r="I6766" s="34">
        <f>Table3[[#This Row],[Volume, kg.]]/1000</f>
        <v>7.7519999999999998</v>
      </c>
      <c r="J6766" s="34">
        <v>0.25950000000000001</v>
      </c>
      <c r="K6766" s="34">
        <f t="shared" si="212"/>
        <v>2011.644</v>
      </c>
      <c r="L6766" s="34">
        <v>2.69</v>
      </c>
      <c r="M6766" s="34">
        <v>20832.2</v>
      </c>
      <c r="N6766" s="34">
        <f t="shared" si="213"/>
        <v>10.366088631984585</v>
      </c>
    </row>
    <row r="6767" spans="1:14" x14ac:dyDescent="0.45">
      <c r="A6767" s="30">
        <v>2025</v>
      </c>
      <c r="B6767" s="30" t="s">
        <v>19</v>
      </c>
      <c r="C6767" s="30" t="s">
        <v>46</v>
      </c>
      <c r="D6767" s="30" t="s">
        <v>102</v>
      </c>
      <c r="E6767" s="31" t="s">
        <v>695</v>
      </c>
      <c r="F6767" s="31" t="s">
        <v>696</v>
      </c>
      <c r="G6767" s="32" t="s">
        <v>557</v>
      </c>
      <c r="H6767" s="33">
        <v>584610</v>
      </c>
      <c r="I6767" s="34">
        <f>Table3[[#This Row],[Volume, kg.]]/1000</f>
        <v>584.61</v>
      </c>
      <c r="J6767" s="34">
        <v>0.24660000000000001</v>
      </c>
      <c r="K6767" s="34">
        <f t="shared" si="212"/>
        <v>144164.826</v>
      </c>
      <c r="L6767" s="34">
        <v>2.54</v>
      </c>
      <c r="M6767" s="34">
        <v>1486831.5</v>
      </c>
      <c r="N6767" s="34">
        <f t="shared" si="213"/>
        <v>10.30008110300081</v>
      </c>
    </row>
    <row r="6768" spans="1:14" x14ac:dyDescent="0.45">
      <c r="A6768" s="30">
        <v>2025</v>
      </c>
      <c r="B6768" s="30" t="s">
        <v>19</v>
      </c>
      <c r="C6768" s="30" t="s">
        <v>46</v>
      </c>
      <c r="D6768" s="30" t="s">
        <v>102</v>
      </c>
      <c r="E6768" s="31" t="s">
        <v>697</v>
      </c>
      <c r="F6768" s="31" t="s">
        <v>107</v>
      </c>
      <c r="G6768" s="32" t="s">
        <v>108</v>
      </c>
      <c r="H6768" s="33">
        <v>137520</v>
      </c>
      <c r="I6768" s="34">
        <f>Table3[[#This Row],[Volume, kg.]]/1000</f>
        <v>137.52000000000001</v>
      </c>
      <c r="J6768" s="34">
        <v>0.26379999999999998</v>
      </c>
      <c r="K6768" s="34">
        <f t="shared" si="212"/>
        <v>36277.775999999998</v>
      </c>
      <c r="L6768" s="34">
        <v>2.65</v>
      </c>
      <c r="M6768" s="34">
        <v>363930.5</v>
      </c>
      <c r="N6768" s="34">
        <f t="shared" si="213"/>
        <v>10.045489006823351</v>
      </c>
    </row>
    <row r="6769" spans="1:14" x14ac:dyDescent="0.45">
      <c r="A6769" s="30">
        <v>2025</v>
      </c>
      <c r="B6769" s="30" t="s">
        <v>19</v>
      </c>
      <c r="C6769" s="30" t="s">
        <v>46</v>
      </c>
      <c r="D6769" s="30" t="s">
        <v>102</v>
      </c>
      <c r="E6769" s="31" t="s">
        <v>706</v>
      </c>
      <c r="F6769" s="31" t="s">
        <v>349</v>
      </c>
      <c r="G6769" s="32" t="s">
        <v>105</v>
      </c>
      <c r="H6769" s="33">
        <v>98990</v>
      </c>
      <c r="I6769" s="34">
        <f>Table3[[#This Row],[Volume, kg.]]/1000</f>
        <v>98.99</v>
      </c>
      <c r="J6769" s="34">
        <v>0.25590000000000002</v>
      </c>
      <c r="K6769" s="34">
        <f t="shared" si="212"/>
        <v>25331.541000000001</v>
      </c>
      <c r="L6769" s="34">
        <v>2.65</v>
      </c>
      <c r="M6769" s="34">
        <v>261879.5</v>
      </c>
      <c r="N6769" s="34">
        <f t="shared" si="213"/>
        <v>10.35560765924189</v>
      </c>
    </row>
    <row r="6770" spans="1:14" x14ac:dyDescent="0.45">
      <c r="A6770" s="30">
        <v>2025</v>
      </c>
      <c r="B6770" s="30" t="s">
        <v>19</v>
      </c>
      <c r="C6770" s="30" t="s">
        <v>46</v>
      </c>
      <c r="D6770" s="30" t="s">
        <v>102</v>
      </c>
      <c r="E6770" s="31" t="s">
        <v>707</v>
      </c>
      <c r="F6770" s="31" t="s">
        <v>331</v>
      </c>
      <c r="G6770" s="32" t="s">
        <v>105</v>
      </c>
      <c r="H6770" s="33">
        <v>94790</v>
      </c>
      <c r="I6770" s="34">
        <f>Table3[[#This Row],[Volume, kg.]]/1000</f>
        <v>94.79</v>
      </c>
      <c r="J6770" s="34">
        <v>0.25819999999999999</v>
      </c>
      <c r="K6770" s="34">
        <f t="shared" si="212"/>
        <v>24474.777999999998</v>
      </c>
      <c r="L6770" s="34">
        <v>2.65</v>
      </c>
      <c r="M6770" s="34">
        <v>251184.5</v>
      </c>
      <c r="N6770" s="34">
        <f t="shared" si="213"/>
        <v>10.263361735089079</v>
      </c>
    </row>
    <row r="6771" spans="1:14" x14ac:dyDescent="0.45">
      <c r="A6771" s="30">
        <v>2025</v>
      </c>
      <c r="B6771" s="30" t="s">
        <v>19</v>
      </c>
      <c r="C6771" s="30" t="s">
        <v>46</v>
      </c>
      <c r="D6771" s="30" t="s">
        <v>47</v>
      </c>
      <c r="E6771" s="31" t="s">
        <v>719</v>
      </c>
      <c r="F6771" s="31" t="s">
        <v>81</v>
      </c>
      <c r="G6771" s="32" t="s">
        <v>50</v>
      </c>
      <c r="H6771" s="33">
        <v>28450</v>
      </c>
      <c r="I6771" s="34">
        <f>Table3[[#This Row],[Volume, kg.]]/1000</f>
        <v>28.45</v>
      </c>
      <c r="J6771" s="34">
        <v>0.2787</v>
      </c>
      <c r="K6771" s="34">
        <f t="shared" si="212"/>
        <v>7929.0150000000003</v>
      </c>
      <c r="L6771" s="34">
        <v>2.71</v>
      </c>
      <c r="M6771" s="34">
        <v>77025.149999999994</v>
      </c>
      <c r="N6771" s="34">
        <f t="shared" si="213"/>
        <v>9.7237172587011127</v>
      </c>
    </row>
    <row r="6772" spans="1:14" x14ac:dyDescent="0.45">
      <c r="A6772" s="30">
        <v>2025</v>
      </c>
      <c r="B6772" s="30" t="s">
        <v>19</v>
      </c>
      <c r="C6772" s="30" t="s">
        <v>46</v>
      </c>
      <c r="D6772" s="30" t="s">
        <v>102</v>
      </c>
      <c r="E6772" s="31" t="s">
        <v>732</v>
      </c>
      <c r="F6772" s="31" t="s">
        <v>349</v>
      </c>
      <c r="G6772" s="32" t="s">
        <v>105</v>
      </c>
      <c r="H6772" s="33">
        <v>179810</v>
      </c>
      <c r="I6772" s="34">
        <f>Table3[[#This Row],[Volume, kg.]]/1000</f>
        <v>179.81</v>
      </c>
      <c r="J6772" s="34">
        <v>0.27300000000000002</v>
      </c>
      <c r="K6772" s="34">
        <f t="shared" si="212"/>
        <v>49088.130000000005</v>
      </c>
      <c r="L6772" s="34">
        <v>2.67</v>
      </c>
      <c r="M6772" s="34">
        <v>480333</v>
      </c>
      <c r="N6772" s="34">
        <f t="shared" si="213"/>
        <v>9.7802197802197792</v>
      </c>
    </row>
    <row r="6773" spans="1:14" x14ac:dyDescent="0.45">
      <c r="A6773" s="30">
        <v>2025</v>
      </c>
      <c r="B6773" s="30" t="s">
        <v>19</v>
      </c>
      <c r="C6773" s="30" t="s">
        <v>46</v>
      </c>
      <c r="D6773" s="30" t="s">
        <v>102</v>
      </c>
      <c r="E6773" s="31" t="s">
        <v>735</v>
      </c>
      <c r="F6773" s="31" t="s">
        <v>736</v>
      </c>
      <c r="G6773" s="32" t="s">
        <v>50</v>
      </c>
      <c r="H6773" s="33">
        <v>59880</v>
      </c>
      <c r="I6773" s="34">
        <f>Table3[[#This Row],[Volume, kg.]]/1000</f>
        <v>59.88</v>
      </c>
      <c r="J6773" s="34">
        <v>0.24829999999999999</v>
      </c>
      <c r="K6773" s="34">
        <f t="shared" si="212"/>
        <v>14868.204</v>
      </c>
      <c r="L6773" s="34">
        <v>2.5299999999999998</v>
      </c>
      <c r="M6773" s="34">
        <v>151199</v>
      </c>
      <c r="N6773" s="34">
        <f t="shared" si="213"/>
        <v>10.189287152637938</v>
      </c>
    </row>
    <row r="6774" spans="1:14" x14ac:dyDescent="0.45">
      <c r="A6774" s="30">
        <v>2025</v>
      </c>
      <c r="B6774" s="30" t="s">
        <v>19</v>
      </c>
      <c r="C6774" s="30" t="s">
        <v>46</v>
      </c>
      <c r="D6774" s="30" t="s">
        <v>102</v>
      </c>
      <c r="E6774" s="31" t="s">
        <v>737</v>
      </c>
      <c r="F6774" s="31" t="s">
        <v>240</v>
      </c>
      <c r="G6774" s="32" t="s">
        <v>50</v>
      </c>
      <c r="H6774" s="33">
        <v>29450</v>
      </c>
      <c r="I6774" s="34">
        <f>Table3[[#This Row],[Volume, kg.]]/1000</f>
        <v>29.45</v>
      </c>
      <c r="J6774" s="34">
        <v>0.29149999999999998</v>
      </c>
      <c r="K6774" s="34">
        <f t="shared" si="212"/>
        <v>8584.6749999999993</v>
      </c>
      <c r="L6774" s="34">
        <v>2.75</v>
      </c>
      <c r="M6774" s="34">
        <v>80987.5</v>
      </c>
      <c r="N6774" s="34">
        <f t="shared" si="213"/>
        <v>9.433962264150944</v>
      </c>
    </row>
    <row r="6775" spans="1:14" x14ac:dyDescent="0.45">
      <c r="A6775" s="30">
        <v>2025</v>
      </c>
      <c r="B6775" s="30" t="s">
        <v>19</v>
      </c>
      <c r="C6775" s="30" t="s">
        <v>46</v>
      </c>
      <c r="D6775" s="30" t="s">
        <v>102</v>
      </c>
      <c r="E6775" s="31" t="s">
        <v>743</v>
      </c>
      <c r="F6775" s="31" t="s">
        <v>127</v>
      </c>
      <c r="G6775" s="32" t="s">
        <v>128</v>
      </c>
      <c r="H6775" s="33">
        <v>187840</v>
      </c>
      <c r="I6775" s="34">
        <f>Table3[[#This Row],[Volume, kg.]]/1000</f>
        <v>187.84</v>
      </c>
      <c r="J6775" s="34">
        <v>0.28320000000000001</v>
      </c>
      <c r="K6775" s="34">
        <f t="shared" si="212"/>
        <v>53196.288</v>
      </c>
      <c r="L6775" s="34">
        <v>2.72</v>
      </c>
      <c r="M6775" s="34">
        <v>510468</v>
      </c>
      <c r="N6775" s="34">
        <f t="shared" si="213"/>
        <v>9.6045197740112993</v>
      </c>
    </row>
    <row r="6776" spans="1:14" x14ac:dyDescent="0.45">
      <c r="A6776" s="30">
        <v>2025</v>
      </c>
      <c r="B6776" s="30" t="s">
        <v>19</v>
      </c>
      <c r="C6776" s="30" t="s">
        <v>46</v>
      </c>
      <c r="D6776" s="30" t="s">
        <v>102</v>
      </c>
      <c r="E6776" s="31" t="s">
        <v>746</v>
      </c>
      <c r="F6776" s="31" t="s">
        <v>127</v>
      </c>
      <c r="G6776" s="32" t="s">
        <v>128</v>
      </c>
      <c r="H6776" s="33">
        <v>27960</v>
      </c>
      <c r="I6776" s="34">
        <f>Table3[[#This Row],[Volume, kg.]]/1000</f>
        <v>27.96</v>
      </c>
      <c r="J6776" s="34">
        <v>0.27350000000000002</v>
      </c>
      <c r="K6776" s="34">
        <f t="shared" si="212"/>
        <v>7647.06</v>
      </c>
      <c r="L6776" s="34">
        <v>2.7</v>
      </c>
      <c r="M6776" s="34">
        <v>75492</v>
      </c>
      <c r="N6776" s="34">
        <f t="shared" si="213"/>
        <v>9.8720292504570377</v>
      </c>
    </row>
    <row r="6777" spans="1:14" x14ac:dyDescent="0.45">
      <c r="A6777" s="30">
        <v>2025</v>
      </c>
      <c r="B6777" s="30" t="s">
        <v>19</v>
      </c>
      <c r="C6777" s="30" t="s">
        <v>46</v>
      </c>
      <c r="D6777" s="30" t="s">
        <v>102</v>
      </c>
      <c r="E6777" s="31" t="s">
        <v>761</v>
      </c>
      <c r="F6777" s="31" t="s">
        <v>127</v>
      </c>
      <c r="G6777" s="32" t="s">
        <v>128</v>
      </c>
      <c r="H6777" s="33">
        <v>111600</v>
      </c>
      <c r="I6777" s="34">
        <f>Table3[[#This Row],[Volume, kg.]]/1000</f>
        <v>111.6</v>
      </c>
      <c r="J6777" s="34">
        <v>0.30459999999999998</v>
      </c>
      <c r="K6777" s="34">
        <f t="shared" si="212"/>
        <v>33993.360000000001</v>
      </c>
      <c r="L6777" s="34">
        <v>2.87</v>
      </c>
      <c r="M6777" s="34">
        <v>320023.5</v>
      </c>
      <c r="N6777" s="34">
        <f t="shared" si="213"/>
        <v>9.4221930400525284</v>
      </c>
    </row>
    <row r="6778" spans="1:14" x14ac:dyDescent="0.45">
      <c r="A6778" s="30">
        <v>2026</v>
      </c>
      <c r="B6778" s="30" t="s">
        <v>8</v>
      </c>
      <c r="C6778" s="30" t="s">
        <v>46</v>
      </c>
      <c r="D6778" s="30" t="s">
        <v>102</v>
      </c>
      <c r="E6778" s="31" t="s">
        <v>188</v>
      </c>
      <c r="F6778" s="31" t="s">
        <v>189</v>
      </c>
      <c r="G6778" s="32" t="s">
        <v>128</v>
      </c>
      <c r="H6778" s="33">
        <v>57210</v>
      </c>
      <c r="I6778" s="34">
        <f>Table3[[#This Row],[Volume, kg.]]/1000</f>
        <v>57.21</v>
      </c>
      <c r="J6778" s="34">
        <v>0.23920000000000002</v>
      </c>
      <c r="K6778" s="34">
        <f>H6778*J6778</f>
        <v>13684.632000000001</v>
      </c>
      <c r="L6778" s="34">
        <v>2.67</v>
      </c>
      <c r="M6778" s="34">
        <v>153016.5</v>
      </c>
      <c r="N6778" s="34">
        <f>L6778/J6778</f>
        <v>11.162207357859531</v>
      </c>
    </row>
    <row r="6779" spans="1:14" x14ac:dyDescent="0.45">
      <c r="A6779" s="30">
        <v>2026</v>
      </c>
      <c r="B6779" s="30" t="s">
        <v>8</v>
      </c>
      <c r="C6779" s="30" t="s">
        <v>46</v>
      </c>
      <c r="D6779" s="30" t="s">
        <v>47</v>
      </c>
      <c r="E6779" s="31" t="s">
        <v>196</v>
      </c>
      <c r="F6779" s="31" t="s">
        <v>57</v>
      </c>
      <c r="G6779" s="32" t="s">
        <v>50</v>
      </c>
      <c r="H6779" s="33">
        <v>21278</v>
      </c>
      <c r="I6779" s="34">
        <f>Table3[[#This Row],[Volume, kg.]]/1000</f>
        <v>21.277999999999999</v>
      </c>
      <c r="J6779" s="34">
        <v>0.34499999999999997</v>
      </c>
      <c r="K6779" s="34">
        <f t="shared" ref="K6779:K6842" si="214">H6779*J6779</f>
        <v>7340.91</v>
      </c>
      <c r="L6779" s="34">
        <v>3.13</v>
      </c>
      <c r="M6779" s="34">
        <v>66667.25</v>
      </c>
      <c r="N6779" s="34">
        <f t="shared" ref="N6779:N6842" si="215">L6779/J6779</f>
        <v>9.0724637681159432</v>
      </c>
    </row>
    <row r="6780" spans="1:14" x14ac:dyDescent="0.45">
      <c r="A6780" s="30">
        <v>2026</v>
      </c>
      <c r="B6780" s="30" t="s">
        <v>8</v>
      </c>
      <c r="C6780" s="30" t="s">
        <v>46</v>
      </c>
      <c r="D6780" s="30" t="s">
        <v>47</v>
      </c>
      <c r="E6780" s="31" t="s">
        <v>48</v>
      </c>
      <c r="F6780" s="31" t="s">
        <v>49</v>
      </c>
      <c r="G6780" s="32" t="s">
        <v>50</v>
      </c>
      <c r="H6780" s="33">
        <v>7169</v>
      </c>
      <c r="I6780" s="34">
        <f>Table3[[#This Row],[Volume, kg.]]/1000</f>
        <v>7.1689999999999996</v>
      </c>
      <c r="J6780" s="34">
        <v>0.28300000000000003</v>
      </c>
      <c r="K6780" s="34">
        <f t="shared" si="214"/>
        <v>2028.8270000000002</v>
      </c>
      <c r="L6780" s="34">
        <v>2.8</v>
      </c>
      <c r="M6780" s="34">
        <v>20073.2</v>
      </c>
      <c r="N6780" s="34">
        <f t="shared" si="215"/>
        <v>9.8939929328621883</v>
      </c>
    </row>
    <row r="6781" spans="1:14" x14ac:dyDescent="0.45">
      <c r="A6781" s="30">
        <v>2026</v>
      </c>
      <c r="B6781" s="30" t="s">
        <v>8</v>
      </c>
      <c r="C6781" s="30" t="s">
        <v>46</v>
      </c>
      <c r="D6781" s="30" t="s">
        <v>47</v>
      </c>
      <c r="E6781" s="31" t="s">
        <v>246</v>
      </c>
      <c r="F6781" s="31" t="s">
        <v>49</v>
      </c>
      <c r="G6781" s="32" t="s">
        <v>50</v>
      </c>
      <c r="H6781" s="33">
        <v>3152</v>
      </c>
      <c r="I6781" s="34">
        <f>Table3[[#This Row],[Volume, kg.]]/1000</f>
        <v>3.1520000000000001</v>
      </c>
      <c r="J6781" s="34">
        <v>0.28149999999999997</v>
      </c>
      <c r="K6781" s="34">
        <f t="shared" si="214"/>
        <v>887.2879999999999</v>
      </c>
      <c r="L6781" s="34">
        <v>2.8</v>
      </c>
      <c r="M6781" s="34">
        <v>8825.6</v>
      </c>
      <c r="N6781" s="34">
        <f t="shared" si="215"/>
        <v>9.946714031971581</v>
      </c>
    </row>
    <row r="6782" spans="1:14" x14ac:dyDescent="0.45">
      <c r="A6782" s="30">
        <v>2026</v>
      </c>
      <c r="B6782" s="30" t="s">
        <v>8</v>
      </c>
      <c r="C6782" s="30" t="s">
        <v>46</v>
      </c>
      <c r="D6782" s="30" t="s">
        <v>47</v>
      </c>
      <c r="E6782" s="31" t="s">
        <v>165</v>
      </c>
      <c r="F6782" s="31" t="s">
        <v>57</v>
      </c>
      <c r="G6782" s="32" t="s">
        <v>50</v>
      </c>
      <c r="H6782" s="33">
        <v>11249</v>
      </c>
      <c r="I6782" s="34">
        <f>Table3[[#This Row],[Volume, kg.]]/1000</f>
        <v>11.249000000000001</v>
      </c>
      <c r="J6782" s="34">
        <v>0.28460000000000002</v>
      </c>
      <c r="K6782" s="34">
        <f t="shared" si="214"/>
        <v>3201.4654</v>
      </c>
      <c r="L6782" s="34">
        <v>2.83</v>
      </c>
      <c r="M6782" s="34">
        <v>31799.4</v>
      </c>
      <c r="N6782" s="34">
        <f t="shared" si="215"/>
        <v>9.9437807449051299</v>
      </c>
    </row>
    <row r="6783" spans="1:14" x14ac:dyDescent="0.45">
      <c r="A6783" s="30">
        <v>2026</v>
      </c>
      <c r="B6783" s="30" t="s">
        <v>8</v>
      </c>
      <c r="C6783" s="30" t="s">
        <v>46</v>
      </c>
      <c r="D6783" s="30" t="s">
        <v>47</v>
      </c>
      <c r="E6783" s="31" t="s">
        <v>322</v>
      </c>
      <c r="F6783" s="31" t="s">
        <v>57</v>
      </c>
      <c r="G6783" s="32" t="s">
        <v>50</v>
      </c>
      <c r="H6783" s="33">
        <v>9992</v>
      </c>
      <c r="I6783" s="34">
        <f>Table3[[#This Row],[Volume, kg.]]/1000</f>
        <v>9.9920000000000009</v>
      </c>
      <c r="J6783" s="34">
        <v>0.30579999999999996</v>
      </c>
      <c r="K6783" s="34">
        <f t="shared" si="214"/>
        <v>3055.5535999999997</v>
      </c>
      <c r="L6783" s="34">
        <v>2.95</v>
      </c>
      <c r="M6783" s="34">
        <v>29454.5</v>
      </c>
      <c r="N6783" s="34">
        <f t="shared" si="215"/>
        <v>9.646827992151735</v>
      </c>
    </row>
    <row r="6784" spans="1:14" x14ac:dyDescent="0.45">
      <c r="A6784" s="30">
        <v>2026</v>
      </c>
      <c r="B6784" s="30" t="s">
        <v>8</v>
      </c>
      <c r="C6784" s="30" t="s">
        <v>46</v>
      </c>
      <c r="D6784" s="30" t="s">
        <v>47</v>
      </c>
      <c r="E6784" s="31" t="s">
        <v>195</v>
      </c>
      <c r="F6784" s="31" t="s">
        <v>57</v>
      </c>
      <c r="G6784" s="32" t="s">
        <v>50</v>
      </c>
      <c r="H6784" s="33">
        <v>31910</v>
      </c>
      <c r="I6784" s="34">
        <f>Table3[[#This Row],[Volume, kg.]]/1000</f>
        <v>31.91</v>
      </c>
      <c r="J6784" s="34">
        <v>0.312</v>
      </c>
      <c r="K6784" s="34">
        <f t="shared" si="214"/>
        <v>9955.92</v>
      </c>
      <c r="L6784" s="34">
        <v>2.98</v>
      </c>
      <c r="M6784" s="34">
        <v>95019.35</v>
      </c>
      <c r="N6784" s="34">
        <f t="shared" si="215"/>
        <v>9.5512820512820511</v>
      </c>
    </row>
    <row r="6785" spans="1:14" x14ac:dyDescent="0.45">
      <c r="A6785" s="30">
        <v>2026</v>
      </c>
      <c r="B6785" s="30" t="s">
        <v>8</v>
      </c>
      <c r="C6785" s="30" t="s">
        <v>46</v>
      </c>
      <c r="D6785" s="30" t="s">
        <v>47</v>
      </c>
      <c r="E6785" s="31" t="s">
        <v>245</v>
      </c>
      <c r="F6785" s="31" t="s">
        <v>57</v>
      </c>
      <c r="G6785" s="32" t="s">
        <v>50</v>
      </c>
      <c r="H6785" s="33">
        <v>5900</v>
      </c>
      <c r="I6785" s="34">
        <f>Table3[[#This Row],[Volume, kg.]]/1000</f>
        <v>5.9</v>
      </c>
      <c r="J6785" s="34">
        <v>0.29799999999999999</v>
      </c>
      <c r="K6785" s="34">
        <f t="shared" si="214"/>
        <v>1758.1999999999998</v>
      </c>
      <c r="L6785" s="34">
        <v>3</v>
      </c>
      <c r="M6785" s="34">
        <v>17700</v>
      </c>
      <c r="N6785" s="34">
        <f t="shared" si="215"/>
        <v>10.067114093959733</v>
      </c>
    </row>
    <row r="6786" spans="1:14" x14ac:dyDescent="0.45">
      <c r="A6786" s="30">
        <v>2026</v>
      </c>
      <c r="B6786" s="30" t="s">
        <v>8</v>
      </c>
      <c r="C6786" s="30" t="s">
        <v>46</v>
      </c>
      <c r="D6786" s="30" t="s">
        <v>47</v>
      </c>
      <c r="E6786" s="31" t="s">
        <v>172</v>
      </c>
      <c r="F6786" s="31" t="s">
        <v>57</v>
      </c>
      <c r="G6786" s="32" t="s">
        <v>50</v>
      </c>
      <c r="H6786" s="33">
        <v>18962</v>
      </c>
      <c r="I6786" s="34">
        <f>Table3[[#This Row],[Volume, kg.]]/1000</f>
        <v>18.962</v>
      </c>
      <c r="J6786" s="34">
        <v>0.29460000000000003</v>
      </c>
      <c r="K6786" s="34">
        <f t="shared" si="214"/>
        <v>5586.2052000000003</v>
      </c>
      <c r="L6786" s="34">
        <v>2.92</v>
      </c>
      <c r="M6786" s="34">
        <v>55344.35</v>
      </c>
      <c r="N6786" s="34">
        <f t="shared" si="215"/>
        <v>9.9117447386286486</v>
      </c>
    </row>
    <row r="6787" spans="1:14" x14ac:dyDescent="0.45">
      <c r="A6787" s="30">
        <v>2026</v>
      </c>
      <c r="B6787" s="30" t="s">
        <v>8</v>
      </c>
      <c r="C6787" s="30" t="s">
        <v>46</v>
      </c>
      <c r="D6787" s="30" t="s">
        <v>47</v>
      </c>
      <c r="E6787" s="31" t="s">
        <v>84</v>
      </c>
      <c r="F6787" s="31" t="s">
        <v>57</v>
      </c>
      <c r="G6787" s="32" t="s">
        <v>50</v>
      </c>
      <c r="H6787" s="33">
        <v>9353</v>
      </c>
      <c r="I6787" s="34">
        <f>Table3[[#This Row],[Volume, kg.]]/1000</f>
        <v>9.3529999999999998</v>
      </c>
      <c r="J6787" s="34">
        <v>0.29260000000000003</v>
      </c>
      <c r="K6787" s="34">
        <f t="shared" si="214"/>
        <v>2736.6878000000002</v>
      </c>
      <c r="L6787" s="34">
        <v>2.87</v>
      </c>
      <c r="M6787" s="34">
        <v>26864.7</v>
      </c>
      <c r="N6787" s="34">
        <f t="shared" si="215"/>
        <v>9.8086124401913874</v>
      </c>
    </row>
    <row r="6788" spans="1:14" x14ac:dyDescent="0.45">
      <c r="A6788" s="30">
        <v>2026</v>
      </c>
      <c r="B6788" s="30" t="s">
        <v>8</v>
      </c>
      <c r="C6788" s="30" t="s">
        <v>46</v>
      </c>
      <c r="D6788" s="30" t="s">
        <v>47</v>
      </c>
      <c r="E6788" s="31" t="s">
        <v>258</v>
      </c>
      <c r="F6788" s="31" t="s">
        <v>49</v>
      </c>
      <c r="G6788" s="32" t="s">
        <v>50</v>
      </c>
      <c r="H6788" s="33">
        <v>1987</v>
      </c>
      <c r="I6788" s="34">
        <f>Table3[[#This Row],[Volume, kg.]]/1000</f>
        <v>1.9870000000000001</v>
      </c>
      <c r="J6788" s="34">
        <v>0.254</v>
      </c>
      <c r="K6788" s="34">
        <f t="shared" si="214"/>
        <v>504.69799999999998</v>
      </c>
      <c r="L6788" s="34">
        <v>2.65</v>
      </c>
      <c r="M6788" s="34">
        <v>5265.55</v>
      </c>
      <c r="N6788" s="34">
        <f t="shared" si="215"/>
        <v>10.433070866141732</v>
      </c>
    </row>
    <row r="6789" spans="1:14" x14ac:dyDescent="0.45">
      <c r="A6789" s="30">
        <v>2026</v>
      </c>
      <c r="B6789" s="30" t="s">
        <v>8</v>
      </c>
      <c r="C6789" s="30" t="s">
        <v>46</v>
      </c>
      <c r="D6789" s="30" t="s">
        <v>47</v>
      </c>
      <c r="E6789" s="31" t="s">
        <v>164</v>
      </c>
      <c r="F6789" s="31" t="s">
        <v>49</v>
      </c>
      <c r="G6789" s="32" t="s">
        <v>50</v>
      </c>
      <c r="H6789" s="33">
        <v>4250</v>
      </c>
      <c r="I6789" s="34">
        <f>Table3[[#This Row],[Volume, kg.]]/1000</f>
        <v>4.25</v>
      </c>
      <c r="J6789" s="34">
        <v>0.24760000000000001</v>
      </c>
      <c r="K6789" s="34">
        <f t="shared" si="214"/>
        <v>1052.3</v>
      </c>
      <c r="L6789" s="34">
        <v>2.63</v>
      </c>
      <c r="M6789" s="34">
        <v>11197.1</v>
      </c>
      <c r="N6789" s="34">
        <f t="shared" si="215"/>
        <v>10.621970920840063</v>
      </c>
    </row>
    <row r="6790" spans="1:14" x14ac:dyDescent="0.45">
      <c r="A6790" s="30">
        <v>2026</v>
      </c>
      <c r="B6790" s="30" t="s">
        <v>8</v>
      </c>
      <c r="C6790" s="30" t="s">
        <v>46</v>
      </c>
      <c r="D6790" s="30" t="s">
        <v>47</v>
      </c>
      <c r="E6790" s="31" t="s">
        <v>689</v>
      </c>
      <c r="F6790" s="31" t="s">
        <v>49</v>
      </c>
      <c r="G6790" s="32" t="s">
        <v>50</v>
      </c>
      <c r="H6790" s="33">
        <v>5373</v>
      </c>
      <c r="I6790" s="34">
        <f>Table3[[#This Row],[Volume, kg.]]/1000</f>
        <v>5.3730000000000002</v>
      </c>
      <c r="J6790" s="34">
        <v>0.2505</v>
      </c>
      <c r="K6790" s="34">
        <f t="shared" si="214"/>
        <v>1345.9365</v>
      </c>
      <c r="L6790" s="34">
        <v>2.65</v>
      </c>
      <c r="M6790" s="34">
        <v>14238.45</v>
      </c>
      <c r="N6790" s="34">
        <f t="shared" si="215"/>
        <v>10.578842315369261</v>
      </c>
    </row>
    <row r="6791" spans="1:14" x14ac:dyDescent="0.45">
      <c r="A6791" s="30">
        <v>2026</v>
      </c>
      <c r="B6791" s="30" t="s">
        <v>8</v>
      </c>
      <c r="C6791" s="30" t="s">
        <v>46</v>
      </c>
      <c r="D6791" s="30" t="s">
        <v>47</v>
      </c>
      <c r="E6791" s="31" t="s">
        <v>352</v>
      </c>
      <c r="F6791" s="31" t="s">
        <v>54</v>
      </c>
      <c r="G6791" s="32" t="s">
        <v>50</v>
      </c>
      <c r="H6791" s="33">
        <v>19762</v>
      </c>
      <c r="I6791" s="34">
        <f>Table3[[#This Row],[Volume, kg.]]/1000</f>
        <v>19.762</v>
      </c>
      <c r="J6791" s="34">
        <v>0.30329999999999996</v>
      </c>
      <c r="K6791" s="34">
        <f t="shared" si="214"/>
        <v>5993.8145999999988</v>
      </c>
      <c r="L6791" s="34">
        <v>2.92</v>
      </c>
      <c r="M6791" s="34">
        <v>57793.35</v>
      </c>
      <c r="N6791" s="34">
        <f t="shared" si="215"/>
        <v>9.6274315858885604</v>
      </c>
    </row>
    <row r="6792" spans="1:14" x14ac:dyDescent="0.45">
      <c r="A6792" s="30">
        <v>2026</v>
      </c>
      <c r="B6792" s="30" t="s">
        <v>8</v>
      </c>
      <c r="C6792" s="30" t="s">
        <v>46</v>
      </c>
      <c r="D6792" s="30" t="s">
        <v>47</v>
      </c>
      <c r="E6792" s="31" t="s">
        <v>110</v>
      </c>
      <c r="F6792" s="31" t="s">
        <v>57</v>
      </c>
      <c r="G6792" s="32" t="s">
        <v>50</v>
      </c>
      <c r="H6792" s="33">
        <v>33810</v>
      </c>
      <c r="I6792" s="34">
        <f>Table3[[#This Row],[Volume, kg.]]/1000</f>
        <v>33.81</v>
      </c>
      <c r="J6792" s="34">
        <v>0.31259999999999999</v>
      </c>
      <c r="K6792" s="34">
        <f t="shared" si="214"/>
        <v>10569.005999999999</v>
      </c>
      <c r="L6792" s="34">
        <v>3.01</v>
      </c>
      <c r="M6792" s="34">
        <v>101770.45</v>
      </c>
      <c r="N6792" s="34">
        <f t="shared" si="215"/>
        <v>9.6289187460012791</v>
      </c>
    </row>
    <row r="6793" spans="1:14" x14ac:dyDescent="0.45">
      <c r="A6793" s="30">
        <v>2026</v>
      </c>
      <c r="B6793" s="30" t="s">
        <v>8</v>
      </c>
      <c r="C6793" s="30" t="s">
        <v>46</v>
      </c>
      <c r="D6793" s="30" t="s">
        <v>47</v>
      </c>
      <c r="E6793" s="31" t="s">
        <v>162</v>
      </c>
      <c r="F6793" s="31" t="s">
        <v>49</v>
      </c>
      <c r="G6793" s="32" t="s">
        <v>50</v>
      </c>
      <c r="H6793" s="33">
        <v>5818</v>
      </c>
      <c r="I6793" s="34">
        <f>Table3[[#This Row],[Volume, kg.]]/1000</f>
        <v>5.8179999999999996</v>
      </c>
      <c r="J6793" s="34">
        <v>0.21739999999999998</v>
      </c>
      <c r="K6793" s="34">
        <f t="shared" si="214"/>
        <v>1264.8331999999998</v>
      </c>
      <c r="L6793" s="34">
        <v>2.5</v>
      </c>
      <c r="M6793" s="34">
        <v>14525</v>
      </c>
      <c r="N6793" s="34">
        <f t="shared" si="215"/>
        <v>11.499540018399266</v>
      </c>
    </row>
    <row r="6794" spans="1:14" x14ac:dyDescent="0.45">
      <c r="A6794" s="30">
        <v>2026</v>
      </c>
      <c r="B6794" s="30" t="s">
        <v>8</v>
      </c>
      <c r="C6794" s="30" t="s">
        <v>46</v>
      </c>
      <c r="D6794" s="30" t="s">
        <v>47</v>
      </c>
      <c r="E6794" s="31" t="s">
        <v>142</v>
      </c>
      <c r="F6794" s="31" t="s">
        <v>57</v>
      </c>
      <c r="G6794" s="32" t="s">
        <v>50</v>
      </c>
      <c r="H6794" s="33">
        <v>46568</v>
      </c>
      <c r="I6794" s="34">
        <f>Table3[[#This Row],[Volume, kg.]]/1000</f>
        <v>46.567999999999998</v>
      </c>
      <c r="J6794" s="34">
        <v>0.30469999999999997</v>
      </c>
      <c r="K6794" s="34">
        <f t="shared" si="214"/>
        <v>14189.269599999998</v>
      </c>
      <c r="L6794" s="34">
        <v>2.95</v>
      </c>
      <c r="M6794" s="34">
        <v>137555.5</v>
      </c>
      <c r="N6794" s="34">
        <f t="shared" si="215"/>
        <v>9.6816540859862172</v>
      </c>
    </row>
    <row r="6795" spans="1:14" x14ac:dyDescent="0.45">
      <c r="A6795" s="30">
        <v>2026</v>
      </c>
      <c r="B6795" s="30" t="s">
        <v>8</v>
      </c>
      <c r="C6795" s="30" t="s">
        <v>46</v>
      </c>
      <c r="D6795" s="30" t="s">
        <v>47</v>
      </c>
      <c r="E6795" s="31" t="s">
        <v>86</v>
      </c>
      <c r="F6795" s="31" t="s">
        <v>49</v>
      </c>
      <c r="G6795" s="32" t="s">
        <v>50</v>
      </c>
      <c r="H6795" s="33">
        <v>5840</v>
      </c>
      <c r="I6795" s="34">
        <f>Table3[[#This Row],[Volume, kg.]]/1000</f>
        <v>5.84</v>
      </c>
      <c r="J6795" s="34">
        <v>0.26550000000000001</v>
      </c>
      <c r="K6795" s="34">
        <f t="shared" si="214"/>
        <v>1550.52</v>
      </c>
      <c r="L6795" s="34">
        <v>2.8</v>
      </c>
      <c r="M6795" s="34">
        <v>16352</v>
      </c>
      <c r="N6795" s="34">
        <f t="shared" si="215"/>
        <v>10.54613935969868</v>
      </c>
    </row>
    <row r="6796" spans="1:14" x14ac:dyDescent="0.45">
      <c r="A6796" s="30">
        <v>2026</v>
      </c>
      <c r="B6796" s="30" t="s">
        <v>8</v>
      </c>
      <c r="C6796" s="30" t="s">
        <v>46</v>
      </c>
      <c r="D6796" s="30" t="s">
        <v>47</v>
      </c>
      <c r="E6796" s="31" t="s">
        <v>451</v>
      </c>
      <c r="F6796" s="31" t="s">
        <v>54</v>
      </c>
      <c r="G6796" s="32" t="s">
        <v>50</v>
      </c>
      <c r="H6796" s="33">
        <v>5063</v>
      </c>
      <c r="I6796" s="34">
        <f>Table3[[#This Row],[Volume, kg.]]/1000</f>
        <v>5.0629999999999997</v>
      </c>
      <c r="J6796" s="34">
        <v>0.28749999999999998</v>
      </c>
      <c r="K6796" s="34">
        <f t="shared" si="214"/>
        <v>1455.6125</v>
      </c>
      <c r="L6796" s="34">
        <v>2.9</v>
      </c>
      <c r="M6796" s="34">
        <v>14682.7</v>
      </c>
      <c r="N6796" s="34">
        <f t="shared" si="215"/>
        <v>10.086956521739131</v>
      </c>
    </row>
    <row r="6797" spans="1:14" x14ac:dyDescent="0.45">
      <c r="A6797" s="30">
        <v>2026</v>
      </c>
      <c r="B6797" s="30" t="s">
        <v>8</v>
      </c>
      <c r="C6797" s="30" t="s">
        <v>46</v>
      </c>
      <c r="D6797" s="30" t="s">
        <v>47</v>
      </c>
      <c r="E6797" s="31" t="s">
        <v>167</v>
      </c>
      <c r="F6797" s="31" t="s">
        <v>49</v>
      </c>
      <c r="G6797" s="32" t="s">
        <v>50</v>
      </c>
      <c r="H6797" s="33">
        <v>26089</v>
      </c>
      <c r="I6797" s="34">
        <f>Table3[[#This Row],[Volume, kg.]]/1000</f>
        <v>26.088999999999999</v>
      </c>
      <c r="J6797" s="34">
        <v>0.27160000000000001</v>
      </c>
      <c r="K6797" s="34">
        <f t="shared" si="214"/>
        <v>7085.7723999999998</v>
      </c>
      <c r="L6797" s="34">
        <v>2.79</v>
      </c>
      <c r="M6797" s="34">
        <v>72867.399999999994</v>
      </c>
      <c r="N6797" s="34">
        <f t="shared" si="215"/>
        <v>10.272459499263622</v>
      </c>
    </row>
    <row r="6798" spans="1:14" x14ac:dyDescent="0.45">
      <c r="A6798" s="30">
        <v>2026</v>
      </c>
      <c r="B6798" s="30" t="s">
        <v>8</v>
      </c>
      <c r="C6798" s="30" t="s">
        <v>46</v>
      </c>
      <c r="D6798" s="30" t="s">
        <v>47</v>
      </c>
      <c r="E6798" s="31" t="s">
        <v>190</v>
      </c>
      <c r="F6798" s="31" t="s">
        <v>81</v>
      </c>
      <c r="G6798" s="32" t="s">
        <v>50</v>
      </c>
      <c r="H6798" s="33">
        <v>44548</v>
      </c>
      <c r="I6798" s="34">
        <f>Table3[[#This Row],[Volume, kg.]]/1000</f>
        <v>44.548000000000002</v>
      </c>
      <c r="J6798" s="34">
        <v>0.26789999999999997</v>
      </c>
      <c r="K6798" s="34">
        <f t="shared" si="214"/>
        <v>11934.409199999998</v>
      </c>
      <c r="L6798" s="34">
        <v>2.77</v>
      </c>
      <c r="M6798" s="34">
        <v>123323.8</v>
      </c>
      <c r="N6798" s="34">
        <f t="shared" si="215"/>
        <v>10.339678984695784</v>
      </c>
    </row>
    <row r="6799" spans="1:14" x14ac:dyDescent="0.45">
      <c r="A6799" s="30">
        <v>2026</v>
      </c>
      <c r="B6799" s="30" t="s">
        <v>8</v>
      </c>
      <c r="C6799" s="30" t="s">
        <v>46</v>
      </c>
      <c r="D6799" s="30" t="s">
        <v>47</v>
      </c>
      <c r="E6799" s="31" t="s">
        <v>241</v>
      </c>
      <c r="F6799" s="31" t="s">
        <v>57</v>
      </c>
      <c r="G6799" s="32" t="s">
        <v>50</v>
      </c>
      <c r="H6799" s="33">
        <v>3914</v>
      </c>
      <c r="I6799" s="34">
        <f>Table3[[#This Row],[Volume, kg.]]/1000</f>
        <v>3.9140000000000001</v>
      </c>
      <c r="J6799" s="34">
        <v>0.28899999999999998</v>
      </c>
      <c r="K6799" s="34">
        <f t="shared" si="214"/>
        <v>1131.146</v>
      </c>
      <c r="L6799" s="34">
        <v>2.9</v>
      </c>
      <c r="M6799" s="34">
        <v>11350.6</v>
      </c>
      <c r="N6799" s="34">
        <f t="shared" si="215"/>
        <v>10.034602076124568</v>
      </c>
    </row>
    <row r="6800" spans="1:14" x14ac:dyDescent="0.45">
      <c r="A6800" s="30">
        <v>2026</v>
      </c>
      <c r="B6800" s="30" t="s">
        <v>8</v>
      </c>
      <c r="C6800" s="30" t="s">
        <v>46</v>
      </c>
      <c r="D6800" s="30" t="s">
        <v>47</v>
      </c>
      <c r="E6800" s="31" t="s">
        <v>308</v>
      </c>
      <c r="F6800" s="31" t="s">
        <v>81</v>
      </c>
      <c r="G6800" s="32" t="s">
        <v>50</v>
      </c>
      <c r="H6800" s="33">
        <v>77823</v>
      </c>
      <c r="I6800" s="34">
        <f>Table3[[#This Row],[Volume, kg.]]/1000</f>
        <v>77.822999999999993</v>
      </c>
      <c r="J6800" s="34">
        <v>0.26379999999999998</v>
      </c>
      <c r="K6800" s="34">
        <f t="shared" si="214"/>
        <v>20529.707399999999</v>
      </c>
      <c r="L6800" s="34">
        <v>2.72</v>
      </c>
      <c r="M6800" s="34">
        <v>212048</v>
      </c>
      <c r="N6800" s="34">
        <f t="shared" si="215"/>
        <v>10.310841546626234</v>
      </c>
    </row>
    <row r="6801" spans="1:14" x14ac:dyDescent="0.45">
      <c r="A6801" s="30">
        <v>2026</v>
      </c>
      <c r="B6801" s="30" t="s">
        <v>8</v>
      </c>
      <c r="C6801" s="30" t="s">
        <v>46</v>
      </c>
      <c r="D6801" s="30" t="s">
        <v>47</v>
      </c>
      <c r="E6801" s="31" t="s">
        <v>469</v>
      </c>
      <c r="F6801" s="31" t="s">
        <v>57</v>
      </c>
      <c r="G6801" s="32" t="s">
        <v>50</v>
      </c>
      <c r="H6801" s="33">
        <v>23641</v>
      </c>
      <c r="I6801" s="34">
        <f>Table3[[#This Row],[Volume, kg.]]/1000</f>
        <v>23.640999999999998</v>
      </c>
      <c r="J6801" s="34">
        <v>0.29160000000000003</v>
      </c>
      <c r="K6801" s="34">
        <f t="shared" si="214"/>
        <v>6893.7156000000004</v>
      </c>
      <c r="L6801" s="34">
        <v>2.88</v>
      </c>
      <c r="M6801" s="34">
        <v>68169</v>
      </c>
      <c r="N6801" s="34">
        <f t="shared" si="215"/>
        <v>9.8765432098765427</v>
      </c>
    </row>
    <row r="6802" spans="1:14" x14ac:dyDescent="0.45">
      <c r="A6802" s="30">
        <v>2026</v>
      </c>
      <c r="B6802" s="30" t="s">
        <v>8</v>
      </c>
      <c r="C6802" s="30" t="s">
        <v>46</v>
      </c>
      <c r="D6802" s="30" t="s">
        <v>47</v>
      </c>
      <c r="E6802" s="31" t="s">
        <v>253</v>
      </c>
      <c r="F6802" s="31" t="s">
        <v>57</v>
      </c>
      <c r="G6802" s="32" t="s">
        <v>50</v>
      </c>
      <c r="H6802" s="33">
        <v>6153</v>
      </c>
      <c r="I6802" s="34">
        <f>Table3[[#This Row],[Volume, kg.]]/1000</f>
        <v>6.1529999999999996</v>
      </c>
      <c r="J6802" s="34">
        <v>0.35350000000000004</v>
      </c>
      <c r="K6802" s="34">
        <f t="shared" si="214"/>
        <v>2175.0855000000001</v>
      </c>
      <c r="L6802" s="34">
        <v>3.1</v>
      </c>
      <c r="M6802" s="34">
        <v>19074.3</v>
      </c>
      <c r="N6802" s="34">
        <f t="shared" si="215"/>
        <v>8.7694483734087694</v>
      </c>
    </row>
    <row r="6803" spans="1:14" x14ac:dyDescent="0.45">
      <c r="A6803" s="30">
        <v>2026</v>
      </c>
      <c r="B6803" s="30" t="s">
        <v>8</v>
      </c>
      <c r="C6803" s="30" t="s">
        <v>46</v>
      </c>
      <c r="D6803" s="30" t="s">
        <v>47</v>
      </c>
      <c r="E6803" s="31" t="s">
        <v>171</v>
      </c>
      <c r="F6803" s="31" t="s">
        <v>49</v>
      </c>
      <c r="G6803" s="32" t="s">
        <v>50</v>
      </c>
      <c r="H6803" s="33">
        <v>18632</v>
      </c>
      <c r="I6803" s="34">
        <f>Table3[[#This Row],[Volume, kg.]]/1000</f>
        <v>18.632000000000001</v>
      </c>
      <c r="J6803" s="34">
        <v>0.2445</v>
      </c>
      <c r="K6803" s="34">
        <f t="shared" si="214"/>
        <v>4555.5240000000003</v>
      </c>
      <c r="L6803" s="34">
        <v>2.68</v>
      </c>
      <c r="M6803" s="34">
        <v>49880.4</v>
      </c>
      <c r="N6803" s="34">
        <f t="shared" si="215"/>
        <v>10.96114519427403</v>
      </c>
    </row>
    <row r="6804" spans="1:14" x14ac:dyDescent="0.45">
      <c r="A6804" s="30">
        <v>2026</v>
      </c>
      <c r="B6804" s="30" t="s">
        <v>8</v>
      </c>
      <c r="C6804" s="30" t="s">
        <v>46</v>
      </c>
      <c r="D6804" s="30" t="s">
        <v>47</v>
      </c>
      <c r="E6804" s="31" t="s">
        <v>262</v>
      </c>
      <c r="F6804" s="31" t="s">
        <v>81</v>
      </c>
      <c r="G6804" s="32" t="s">
        <v>50</v>
      </c>
      <c r="H6804" s="33">
        <v>27210</v>
      </c>
      <c r="I6804" s="34">
        <f>Table3[[#This Row],[Volume, kg.]]/1000</f>
        <v>27.21</v>
      </c>
      <c r="J6804" s="34">
        <v>0.27529999999999999</v>
      </c>
      <c r="K6804" s="34">
        <f t="shared" si="214"/>
        <v>7490.9129999999996</v>
      </c>
      <c r="L6804" s="34">
        <v>2.8</v>
      </c>
      <c r="M6804" s="34">
        <v>76189.399999999994</v>
      </c>
      <c r="N6804" s="34">
        <f t="shared" si="215"/>
        <v>10.170722847802397</v>
      </c>
    </row>
    <row r="6805" spans="1:14" x14ac:dyDescent="0.45">
      <c r="A6805" s="30">
        <v>2026</v>
      </c>
      <c r="B6805" s="30" t="s">
        <v>8</v>
      </c>
      <c r="C6805" s="30" t="s">
        <v>46</v>
      </c>
      <c r="D6805" s="30" t="s">
        <v>47</v>
      </c>
      <c r="E6805" s="31" t="s">
        <v>206</v>
      </c>
      <c r="F6805" s="31" t="s">
        <v>81</v>
      </c>
      <c r="G6805" s="32" t="s">
        <v>50</v>
      </c>
      <c r="H6805" s="33">
        <v>143707</v>
      </c>
      <c r="I6805" s="34">
        <f>Table3[[#This Row],[Volume, kg.]]/1000</f>
        <v>143.70699999999999</v>
      </c>
      <c r="J6805" s="34">
        <v>0.26429999999999998</v>
      </c>
      <c r="K6805" s="34">
        <f t="shared" si="214"/>
        <v>37981.7601</v>
      </c>
      <c r="L6805" s="34">
        <v>2.72</v>
      </c>
      <c r="M6805" s="34">
        <v>391442.45</v>
      </c>
      <c r="N6805" s="34">
        <f t="shared" si="215"/>
        <v>10.291335603480894</v>
      </c>
    </row>
    <row r="6806" spans="1:14" x14ac:dyDescent="0.45">
      <c r="A6806" s="30">
        <v>2026</v>
      </c>
      <c r="B6806" s="30" t="s">
        <v>8</v>
      </c>
      <c r="C6806" s="30" t="s">
        <v>46</v>
      </c>
      <c r="D6806" s="30" t="s">
        <v>47</v>
      </c>
      <c r="E6806" s="31" t="s">
        <v>98</v>
      </c>
      <c r="F6806" s="31" t="s">
        <v>49</v>
      </c>
      <c r="G6806" s="32" t="s">
        <v>50</v>
      </c>
      <c r="H6806" s="33">
        <v>85711</v>
      </c>
      <c r="I6806" s="34">
        <f>Table3[[#This Row],[Volume, kg.]]/1000</f>
        <v>85.710999999999999</v>
      </c>
      <c r="J6806" s="34">
        <v>0.29920000000000002</v>
      </c>
      <c r="K6806" s="34">
        <f t="shared" si="214"/>
        <v>25644.731200000002</v>
      </c>
      <c r="L6806" s="34">
        <v>2.91</v>
      </c>
      <c r="M6806" s="34">
        <v>249545.8</v>
      </c>
      <c r="N6806" s="34">
        <f t="shared" si="215"/>
        <v>9.7259358288770059</v>
      </c>
    </row>
    <row r="6807" spans="1:14" x14ac:dyDescent="0.45">
      <c r="A6807" s="30">
        <v>2026</v>
      </c>
      <c r="B6807" s="30" t="s">
        <v>8</v>
      </c>
      <c r="C6807" s="30" t="s">
        <v>46</v>
      </c>
      <c r="D6807" s="30" t="s">
        <v>47</v>
      </c>
      <c r="E6807" s="31" t="s">
        <v>129</v>
      </c>
      <c r="F6807" s="31" t="s">
        <v>57</v>
      </c>
      <c r="G6807" s="32" t="s">
        <v>50</v>
      </c>
      <c r="H6807" s="33">
        <v>21108</v>
      </c>
      <c r="I6807" s="34">
        <f>Table3[[#This Row],[Volume, kg.]]/1000</f>
        <v>21.108000000000001</v>
      </c>
      <c r="J6807" s="34">
        <v>0.29260000000000003</v>
      </c>
      <c r="K6807" s="34">
        <f t="shared" si="214"/>
        <v>6176.2008000000005</v>
      </c>
      <c r="L6807" s="34">
        <v>2.9</v>
      </c>
      <c r="M6807" s="34">
        <v>61268.65</v>
      </c>
      <c r="N6807" s="34">
        <f t="shared" si="215"/>
        <v>9.9111414900888573</v>
      </c>
    </row>
    <row r="6808" spans="1:14" x14ac:dyDescent="0.45">
      <c r="A6808" s="30">
        <v>2026</v>
      </c>
      <c r="B6808" s="30" t="s">
        <v>8</v>
      </c>
      <c r="C6808" s="30" t="s">
        <v>46</v>
      </c>
      <c r="D6808" s="30" t="s">
        <v>47</v>
      </c>
      <c r="E6808" s="31" t="s">
        <v>80</v>
      </c>
      <c r="F6808" s="31" t="s">
        <v>81</v>
      </c>
      <c r="G6808" s="32" t="s">
        <v>50</v>
      </c>
      <c r="H6808" s="33">
        <v>49678</v>
      </c>
      <c r="I6808" s="34">
        <f>Table3[[#This Row],[Volume, kg.]]/1000</f>
        <v>49.677999999999997</v>
      </c>
      <c r="J6808" s="34">
        <v>0.2979</v>
      </c>
      <c r="K6808" s="34">
        <f t="shared" si="214"/>
        <v>14799.0762</v>
      </c>
      <c r="L6808" s="34">
        <v>2.92</v>
      </c>
      <c r="M6808" s="34">
        <v>145005</v>
      </c>
      <c r="N6808" s="34">
        <f t="shared" si="215"/>
        <v>9.8019469620678077</v>
      </c>
    </row>
    <row r="6809" spans="1:14" x14ac:dyDescent="0.45">
      <c r="A6809" s="30">
        <v>2026</v>
      </c>
      <c r="B6809" s="30" t="s">
        <v>8</v>
      </c>
      <c r="C6809" s="30" t="s">
        <v>46</v>
      </c>
      <c r="D6809" s="30" t="s">
        <v>102</v>
      </c>
      <c r="E6809" s="31" t="s">
        <v>103</v>
      </c>
      <c r="F6809" s="31" t="s">
        <v>104</v>
      </c>
      <c r="G6809" s="32" t="s">
        <v>105</v>
      </c>
      <c r="H6809" s="33">
        <v>1975780</v>
      </c>
      <c r="I6809" s="34">
        <f>Table3[[#This Row],[Volume, kg.]]/1000</f>
        <v>1975.78</v>
      </c>
      <c r="J6809" s="34">
        <v>0.27360000000000001</v>
      </c>
      <c r="K6809" s="34">
        <f t="shared" si="214"/>
        <v>540573.40800000005</v>
      </c>
      <c r="L6809" s="34">
        <v>2.95</v>
      </c>
      <c r="M6809" s="34">
        <v>5823181</v>
      </c>
      <c r="N6809" s="34">
        <f t="shared" si="215"/>
        <v>10.782163742690059</v>
      </c>
    </row>
    <row r="6810" spans="1:14" x14ac:dyDescent="0.45">
      <c r="A6810" s="30">
        <v>2026</v>
      </c>
      <c r="B6810" s="30" t="s">
        <v>8</v>
      </c>
      <c r="C6810" s="30" t="s">
        <v>46</v>
      </c>
      <c r="D6810" s="30" t="s">
        <v>47</v>
      </c>
      <c r="E6810" s="31" t="s">
        <v>203</v>
      </c>
      <c r="F6810" s="31" t="s">
        <v>57</v>
      </c>
      <c r="G6810" s="32" t="s">
        <v>50</v>
      </c>
      <c r="H6810" s="33">
        <v>71316</v>
      </c>
      <c r="I6810" s="34">
        <f>Table3[[#This Row],[Volume, kg.]]/1000</f>
        <v>71.316000000000003</v>
      </c>
      <c r="J6810" s="34">
        <v>0.30449999999999999</v>
      </c>
      <c r="K6810" s="34">
        <f t="shared" si="214"/>
        <v>21715.721999999998</v>
      </c>
      <c r="L6810" s="34">
        <v>2.94</v>
      </c>
      <c r="M6810" s="34">
        <v>210029.15</v>
      </c>
      <c r="N6810" s="34">
        <f t="shared" si="215"/>
        <v>9.6551724137931032</v>
      </c>
    </row>
    <row r="6811" spans="1:14" x14ac:dyDescent="0.45">
      <c r="A6811" s="30">
        <v>2026</v>
      </c>
      <c r="B6811" s="30" t="s">
        <v>8</v>
      </c>
      <c r="C6811" s="30" t="s">
        <v>46</v>
      </c>
      <c r="D6811" s="30" t="s">
        <v>102</v>
      </c>
      <c r="E6811" s="31" t="s">
        <v>771</v>
      </c>
      <c r="F6811" s="31" t="s">
        <v>772</v>
      </c>
      <c r="G6811" s="32" t="s">
        <v>773</v>
      </c>
      <c r="H6811" s="33">
        <v>3694170</v>
      </c>
      <c r="I6811" s="34">
        <f>Table3[[#This Row],[Volume, kg.]]/1000</f>
        <v>3694.17</v>
      </c>
      <c r="J6811" s="34">
        <v>0.26350000000000001</v>
      </c>
      <c r="K6811" s="34">
        <f t="shared" si="214"/>
        <v>973413.79500000004</v>
      </c>
      <c r="L6811" s="34">
        <v>2.9</v>
      </c>
      <c r="M6811" s="34">
        <v>10712326.5</v>
      </c>
      <c r="N6811" s="34">
        <f t="shared" si="215"/>
        <v>11.005692599620492</v>
      </c>
    </row>
    <row r="6812" spans="1:14" x14ac:dyDescent="0.45">
      <c r="A6812" s="30">
        <v>2026</v>
      </c>
      <c r="B6812" s="30" t="s">
        <v>8</v>
      </c>
      <c r="C6812" s="30" t="s">
        <v>46</v>
      </c>
      <c r="D6812" s="30" t="s">
        <v>102</v>
      </c>
      <c r="E6812" s="31" t="s">
        <v>691</v>
      </c>
      <c r="F6812" s="31" t="s">
        <v>657</v>
      </c>
      <c r="G6812" s="32" t="s">
        <v>119</v>
      </c>
      <c r="H6812" s="33">
        <v>239550</v>
      </c>
      <c r="I6812" s="34">
        <f>Table3[[#This Row],[Volume, kg.]]/1000</f>
        <v>239.55</v>
      </c>
      <c r="J6812" s="34">
        <v>0.29330000000000001</v>
      </c>
      <c r="K6812" s="34">
        <f t="shared" si="214"/>
        <v>70260.014999999999</v>
      </c>
      <c r="L6812" s="34">
        <v>3.02</v>
      </c>
      <c r="M6812" s="34">
        <v>723119</v>
      </c>
      <c r="N6812" s="34">
        <f t="shared" si="215"/>
        <v>10.296624616433686</v>
      </c>
    </row>
    <row r="6813" spans="1:14" x14ac:dyDescent="0.45">
      <c r="A6813" s="30">
        <v>2026</v>
      </c>
      <c r="B6813" s="30" t="s">
        <v>8</v>
      </c>
      <c r="C6813" s="30" t="s">
        <v>46</v>
      </c>
      <c r="D6813" s="30" t="s">
        <v>102</v>
      </c>
      <c r="E6813" s="31" t="s">
        <v>126</v>
      </c>
      <c r="F6813" s="31" t="s">
        <v>127</v>
      </c>
      <c r="G6813" s="32" t="s">
        <v>128</v>
      </c>
      <c r="H6813" s="33">
        <v>3725190</v>
      </c>
      <c r="I6813" s="34">
        <f>Table3[[#This Row],[Volume, kg.]]/1000</f>
        <v>3725.19</v>
      </c>
      <c r="J6813" s="34">
        <v>0.28720000000000001</v>
      </c>
      <c r="K6813" s="34">
        <f t="shared" si="214"/>
        <v>1069874.568</v>
      </c>
      <c r="L6813" s="34">
        <v>3.01</v>
      </c>
      <c r="M6813" s="34">
        <v>11210936.5</v>
      </c>
      <c r="N6813" s="34">
        <f t="shared" si="215"/>
        <v>10.48050139275766</v>
      </c>
    </row>
    <row r="6814" spans="1:14" x14ac:dyDescent="0.45">
      <c r="A6814" s="30">
        <v>2026</v>
      </c>
      <c r="B6814" s="30" t="s">
        <v>8</v>
      </c>
      <c r="C6814" s="30" t="s">
        <v>46</v>
      </c>
      <c r="D6814" s="30" t="s">
        <v>102</v>
      </c>
      <c r="E6814" s="31" t="s">
        <v>117</v>
      </c>
      <c r="F6814" s="31" t="s">
        <v>118</v>
      </c>
      <c r="G6814" s="32" t="s">
        <v>119</v>
      </c>
      <c r="H6814" s="33">
        <v>30290</v>
      </c>
      <c r="I6814" s="34">
        <f>Table3[[#This Row],[Volume, kg.]]/1000</f>
        <v>30.29</v>
      </c>
      <c r="J6814" s="34">
        <v>0.28249999999999997</v>
      </c>
      <c r="K6814" s="34">
        <f t="shared" si="214"/>
        <v>8556.9249999999993</v>
      </c>
      <c r="L6814" s="34">
        <v>2.95</v>
      </c>
      <c r="M6814" s="34">
        <v>89355.5</v>
      </c>
      <c r="N6814" s="34">
        <f t="shared" si="215"/>
        <v>10.442477876106196</v>
      </c>
    </row>
    <row r="6815" spans="1:14" x14ac:dyDescent="0.45">
      <c r="A6815" s="30">
        <v>2026</v>
      </c>
      <c r="B6815" s="30" t="s">
        <v>8</v>
      </c>
      <c r="C6815" s="30" t="s">
        <v>46</v>
      </c>
      <c r="D6815" s="30" t="s">
        <v>47</v>
      </c>
      <c r="E6815" s="31" t="s">
        <v>204</v>
      </c>
      <c r="F6815" s="31" t="s">
        <v>49</v>
      </c>
      <c r="G6815" s="32" t="s">
        <v>50</v>
      </c>
      <c r="H6815" s="33">
        <v>15521</v>
      </c>
      <c r="I6815" s="34">
        <f>Table3[[#This Row],[Volume, kg.]]/1000</f>
        <v>15.521000000000001</v>
      </c>
      <c r="J6815" s="34">
        <v>0.25730000000000003</v>
      </c>
      <c r="K6815" s="34">
        <f t="shared" si="214"/>
        <v>3993.5533000000005</v>
      </c>
      <c r="L6815" s="34">
        <v>2.78</v>
      </c>
      <c r="M6815" s="34">
        <v>43200.65</v>
      </c>
      <c r="N6815" s="34">
        <f t="shared" si="215"/>
        <v>10.804508356004662</v>
      </c>
    </row>
    <row r="6816" spans="1:14" x14ac:dyDescent="0.45">
      <c r="A6816" s="30">
        <v>2026</v>
      </c>
      <c r="B6816" s="30" t="s">
        <v>8</v>
      </c>
      <c r="C6816" s="30" t="s">
        <v>46</v>
      </c>
      <c r="D6816" s="30" t="s">
        <v>47</v>
      </c>
      <c r="E6816" s="31" t="s">
        <v>211</v>
      </c>
      <c r="F6816" s="31" t="s">
        <v>57</v>
      </c>
      <c r="G6816" s="32" t="s">
        <v>50</v>
      </c>
      <c r="H6816" s="33">
        <v>16138</v>
      </c>
      <c r="I6816" s="34">
        <f>Table3[[#This Row],[Volume, kg.]]/1000</f>
        <v>16.138000000000002</v>
      </c>
      <c r="J6816" s="34">
        <v>0.31030000000000002</v>
      </c>
      <c r="K6816" s="34">
        <f t="shared" si="214"/>
        <v>5007.6214</v>
      </c>
      <c r="L6816" s="34">
        <v>3</v>
      </c>
      <c r="M6816" s="34">
        <v>48414</v>
      </c>
      <c r="N6816" s="34">
        <f t="shared" si="215"/>
        <v>9.6680631646793422</v>
      </c>
    </row>
    <row r="6817" spans="1:14" x14ac:dyDescent="0.45">
      <c r="A6817" s="30">
        <v>2026</v>
      </c>
      <c r="B6817" s="30" t="s">
        <v>8</v>
      </c>
      <c r="C6817" s="30" t="s">
        <v>46</v>
      </c>
      <c r="D6817" s="30" t="s">
        <v>102</v>
      </c>
      <c r="E6817" s="31" t="s">
        <v>157</v>
      </c>
      <c r="F6817" s="31" t="s">
        <v>127</v>
      </c>
      <c r="G6817" s="32" t="s">
        <v>128</v>
      </c>
      <c r="H6817" s="33">
        <v>381410</v>
      </c>
      <c r="I6817" s="34">
        <f>Table3[[#This Row],[Volume, kg.]]/1000</f>
        <v>381.41</v>
      </c>
      <c r="J6817" s="34">
        <v>0.27699999999999997</v>
      </c>
      <c r="K6817" s="34">
        <f t="shared" si="214"/>
        <v>105650.56999999999</v>
      </c>
      <c r="L6817" s="34">
        <v>2.9</v>
      </c>
      <c r="M6817" s="34">
        <v>1107554</v>
      </c>
      <c r="N6817" s="34">
        <f t="shared" si="215"/>
        <v>10.469314079422384</v>
      </c>
    </row>
    <row r="6818" spans="1:14" x14ac:dyDescent="0.45">
      <c r="A6818" s="30">
        <v>2026</v>
      </c>
      <c r="B6818" s="30" t="s">
        <v>8</v>
      </c>
      <c r="C6818" s="30" t="s">
        <v>46</v>
      </c>
      <c r="D6818" s="30" t="s">
        <v>47</v>
      </c>
      <c r="E6818" s="31" t="s">
        <v>273</v>
      </c>
      <c r="F6818" s="31" t="s">
        <v>49</v>
      </c>
      <c r="G6818" s="32" t="s">
        <v>50</v>
      </c>
      <c r="H6818" s="33">
        <v>23454</v>
      </c>
      <c r="I6818" s="34">
        <f>Table3[[#This Row],[Volume, kg.]]/1000</f>
        <v>23.454000000000001</v>
      </c>
      <c r="J6818" s="34">
        <v>0.25739999999999996</v>
      </c>
      <c r="K6818" s="34">
        <f t="shared" si="214"/>
        <v>6037.0595999999987</v>
      </c>
      <c r="L6818" s="34">
        <v>2.74</v>
      </c>
      <c r="M6818" s="34">
        <v>64304.800000000003</v>
      </c>
      <c r="N6818" s="34">
        <f t="shared" si="215"/>
        <v>10.644910644910647</v>
      </c>
    </row>
    <row r="6819" spans="1:14" x14ac:dyDescent="0.45">
      <c r="A6819" s="30">
        <v>2026</v>
      </c>
      <c r="B6819" s="30" t="s">
        <v>8</v>
      </c>
      <c r="C6819" s="30" t="s">
        <v>46</v>
      </c>
      <c r="D6819" s="30" t="s">
        <v>47</v>
      </c>
      <c r="E6819" s="31" t="s">
        <v>247</v>
      </c>
      <c r="F6819" s="31" t="s">
        <v>134</v>
      </c>
      <c r="G6819" s="32" t="s">
        <v>50</v>
      </c>
      <c r="H6819" s="33">
        <v>16135</v>
      </c>
      <c r="I6819" s="34">
        <f>Table3[[#This Row],[Volume, kg.]]/1000</f>
        <v>16.135000000000002</v>
      </c>
      <c r="J6819" s="34">
        <v>0.30670000000000003</v>
      </c>
      <c r="K6819" s="34">
        <f t="shared" si="214"/>
        <v>4948.6045000000004</v>
      </c>
      <c r="L6819" s="34">
        <v>2.95</v>
      </c>
      <c r="M6819" s="34">
        <v>47598.25</v>
      </c>
      <c r="N6819" s="34">
        <f t="shared" si="215"/>
        <v>9.6185197261167268</v>
      </c>
    </row>
    <row r="6820" spans="1:14" x14ac:dyDescent="0.45">
      <c r="A6820" s="30">
        <v>2026</v>
      </c>
      <c r="B6820" s="30" t="s">
        <v>8</v>
      </c>
      <c r="C6820" s="30" t="s">
        <v>46</v>
      </c>
      <c r="D6820" s="30" t="s">
        <v>47</v>
      </c>
      <c r="E6820" s="31" t="s">
        <v>369</v>
      </c>
      <c r="F6820" s="31" t="s">
        <v>57</v>
      </c>
      <c r="G6820" s="32" t="s">
        <v>50</v>
      </c>
      <c r="H6820" s="33">
        <v>9310</v>
      </c>
      <c r="I6820" s="34">
        <f>Table3[[#This Row],[Volume, kg.]]/1000</f>
        <v>9.31</v>
      </c>
      <c r="J6820" s="34">
        <v>0.29699999999999999</v>
      </c>
      <c r="K6820" s="34">
        <f t="shared" si="214"/>
        <v>2765.0699999999997</v>
      </c>
      <c r="L6820" s="34">
        <v>2.9</v>
      </c>
      <c r="M6820" s="34">
        <v>26999</v>
      </c>
      <c r="N6820" s="34">
        <f t="shared" si="215"/>
        <v>9.7643097643097647</v>
      </c>
    </row>
    <row r="6821" spans="1:14" x14ac:dyDescent="0.45">
      <c r="A6821" s="30">
        <v>2026</v>
      </c>
      <c r="B6821" s="30" t="s">
        <v>8</v>
      </c>
      <c r="C6821" s="30" t="s">
        <v>46</v>
      </c>
      <c r="D6821" s="30" t="s">
        <v>102</v>
      </c>
      <c r="E6821" s="31" t="s">
        <v>710</v>
      </c>
      <c r="F6821" s="31" t="s">
        <v>189</v>
      </c>
      <c r="G6821" s="32" t="s">
        <v>128</v>
      </c>
      <c r="H6821" s="33">
        <v>398770</v>
      </c>
      <c r="I6821" s="34">
        <f>Table3[[#This Row],[Volume, kg.]]/1000</f>
        <v>398.77</v>
      </c>
      <c r="J6821" s="34">
        <v>0.27960000000000002</v>
      </c>
      <c r="K6821" s="34">
        <f t="shared" si="214"/>
        <v>111496.092</v>
      </c>
      <c r="L6821" s="34">
        <v>2.93</v>
      </c>
      <c r="M6821" s="34">
        <v>1170338.5</v>
      </c>
      <c r="N6821" s="34">
        <f t="shared" si="215"/>
        <v>10.47925608011445</v>
      </c>
    </row>
    <row r="6822" spans="1:14" x14ac:dyDescent="0.45">
      <c r="A6822" s="30">
        <v>2026</v>
      </c>
      <c r="B6822" s="30" t="s">
        <v>8</v>
      </c>
      <c r="C6822" s="30" t="s">
        <v>46</v>
      </c>
      <c r="D6822" s="30" t="s">
        <v>47</v>
      </c>
      <c r="E6822" s="31" t="s">
        <v>227</v>
      </c>
      <c r="F6822" s="31" t="s">
        <v>57</v>
      </c>
      <c r="G6822" s="32" t="s">
        <v>50</v>
      </c>
      <c r="H6822" s="33">
        <v>17977</v>
      </c>
      <c r="I6822" s="34">
        <f>Table3[[#This Row],[Volume, kg.]]/1000</f>
        <v>17.977</v>
      </c>
      <c r="J6822" s="34">
        <v>0.29630000000000001</v>
      </c>
      <c r="K6822" s="34">
        <f t="shared" si="214"/>
        <v>5326.5851000000002</v>
      </c>
      <c r="L6822" s="34">
        <v>2.95</v>
      </c>
      <c r="M6822" s="34">
        <v>52999.85</v>
      </c>
      <c r="N6822" s="34">
        <f t="shared" si="215"/>
        <v>9.956125548430645</v>
      </c>
    </row>
    <row r="6823" spans="1:14" x14ac:dyDescent="0.45">
      <c r="A6823" s="30">
        <v>2026</v>
      </c>
      <c r="B6823" s="30" t="s">
        <v>8</v>
      </c>
      <c r="C6823" s="30" t="s">
        <v>46</v>
      </c>
      <c r="D6823" s="30" t="s">
        <v>47</v>
      </c>
      <c r="E6823" s="31" t="s">
        <v>159</v>
      </c>
      <c r="F6823" s="31" t="s">
        <v>81</v>
      </c>
      <c r="G6823" s="32" t="s">
        <v>50</v>
      </c>
      <c r="H6823" s="33">
        <v>105068</v>
      </c>
      <c r="I6823" s="34">
        <f>Table3[[#This Row],[Volume, kg.]]/1000</f>
        <v>105.068</v>
      </c>
      <c r="J6823" s="34">
        <v>0.29160000000000003</v>
      </c>
      <c r="K6823" s="34">
        <f t="shared" si="214"/>
        <v>30637.828800000003</v>
      </c>
      <c r="L6823" s="34">
        <v>2.89</v>
      </c>
      <c r="M6823" s="34">
        <v>303334.59999999998</v>
      </c>
      <c r="N6823" s="34">
        <f t="shared" si="215"/>
        <v>9.9108367626886142</v>
      </c>
    </row>
    <row r="6824" spans="1:14" x14ac:dyDescent="0.45">
      <c r="A6824" s="30">
        <v>2026</v>
      </c>
      <c r="B6824" s="30" t="s">
        <v>8</v>
      </c>
      <c r="C6824" s="30" t="s">
        <v>46</v>
      </c>
      <c r="D6824" s="30" t="s">
        <v>47</v>
      </c>
      <c r="E6824" s="31" t="s">
        <v>61</v>
      </c>
      <c r="F6824" s="31" t="s">
        <v>57</v>
      </c>
      <c r="G6824" s="32" t="s">
        <v>50</v>
      </c>
      <c r="H6824" s="33">
        <v>5805</v>
      </c>
      <c r="I6824" s="34">
        <f>Table3[[#This Row],[Volume, kg.]]/1000</f>
        <v>5.8049999999999997</v>
      </c>
      <c r="J6824" s="34">
        <v>0.28399999999999997</v>
      </c>
      <c r="K6824" s="34">
        <f t="shared" si="214"/>
        <v>1648.62</v>
      </c>
      <c r="L6824" s="34">
        <v>2.85</v>
      </c>
      <c r="M6824" s="34">
        <v>16544.25</v>
      </c>
      <c r="N6824" s="34">
        <f t="shared" si="215"/>
        <v>10.035211267605636</v>
      </c>
    </row>
    <row r="6825" spans="1:14" x14ac:dyDescent="0.45">
      <c r="A6825" s="30">
        <v>2026</v>
      </c>
      <c r="B6825" s="30" t="s">
        <v>8</v>
      </c>
      <c r="C6825" s="30" t="s">
        <v>46</v>
      </c>
      <c r="D6825" s="30" t="s">
        <v>47</v>
      </c>
      <c r="E6825" s="31" t="s">
        <v>53</v>
      </c>
      <c r="F6825" s="31" t="s">
        <v>54</v>
      </c>
      <c r="G6825" s="32" t="s">
        <v>50</v>
      </c>
      <c r="H6825" s="33">
        <v>52561</v>
      </c>
      <c r="I6825" s="34">
        <f>Table3[[#This Row],[Volume, kg.]]/1000</f>
        <v>52.561</v>
      </c>
      <c r="J6825" s="34">
        <v>0.26669999999999999</v>
      </c>
      <c r="K6825" s="34">
        <f t="shared" si="214"/>
        <v>14018.018699999999</v>
      </c>
      <c r="L6825" s="34">
        <v>2.81</v>
      </c>
      <c r="M6825" s="34">
        <v>147511.29999999999</v>
      </c>
      <c r="N6825" s="34">
        <f t="shared" si="215"/>
        <v>10.53618297712786</v>
      </c>
    </row>
    <row r="6826" spans="1:14" x14ac:dyDescent="0.45">
      <c r="A6826" s="30">
        <v>2026</v>
      </c>
      <c r="B6826" s="30" t="s">
        <v>8</v>
      </c>
      <c r="C6826" s="30" t="s">
        <v>46</v>
      </c>
      <c r="D6826" s="30" t="s">
        <v>47</v>
      </c>
      <c r="E6826" s="31" t="s">
        <v>252</v>
      </c>
      <c r="F6826" s="31" t="s">
        <v>49</v>
      </c>
      <c r="G6826" s="32" t="s">
        <v>50</v>
      </c>
      <c r="H6826" s="33">
        <v>76328</v>
      </c>
      <c r="I6826" s="34">
        <f>Table3[[#This Row],[Volume, kg.]]/1000</f>
        <v>76.328000000000003</v>
      </c>
      <c r="J6826" s="34">
        <v>0.27600000000000002</v>
      </c>
      <c r="K6826" s="34">
        <f t="shared" si="214"/>
        <v>21066.528000000002</v>
      </c>
      <c r="L6826" s="34">
        <v>2.79</v>
      </c>
      <c r="M6826" s="34">
        <v>212923.7</v>
      </c>
      <c r="N6826" s="34">
        <f t="shared" si="215"/>
        <v>10.108695652173912</v>
      </c>
    </row>
    <row r="6827" spans="1:14" x14ac:dyDescent="0.45">
      <c r="A6827" s="30">
        <v>2026</v>
      </c>
      <c r="B6827" s="30" t="s">
        <v>8</v>
      </c>
      <c r="C6827" s="30" t="s">
        <v>46</v>
      </c>
      <c r="D6827" s="30" t="s">
        <v>47</v>
      </c>
      <c r="E6827" s="31" t="s">
        <v>95</v>
      </c>
      <c r="F6827" s="31" t="s">
        <v>49</v>
      </c>
      <c r="G6827" s="32" t="s">
        <v>50</v>
      </c>
      <c r="H6827" s="33">
        <v>40221</v>
      </c>
      <c r="I6827" s="34">
        <f>Table3[[#This Row],[Volume, kg.]]/1000</f>
        <v>40.220999999999997</v>
      </c>
      <c r="J6827" s="34">
        <v>0.26669999999999999</v>
      </c>
      <c r="K6827" s="34">
        <f t="shared" si="214"/>
        <v>10726.940699999999</v>
      </c>
      <c r="L6827" s="34">
        <v>2.77</v>
      </c>
      <c r="M6827" s="34">
        <v>111476.7</v>
      </c>
      <c r="N6827" s="34">
        <f t="shared" si="215"/>
        <v>10.386201724784403</v>
      </c>
    </row>
    <row r="6828" spans="1:14" x14ac:dyDescent="0.45">
      <c r="A6828" s="30">
        <v>2026</v>
      </c>
      <c r="B6828" s="30" t="s">
        <v>8</v>
      </c>
      <c r="C6828" s="30" t="s">
        <v>46</v>
      </c>
      <c r="D6828" s="30" t="s">
        <v>47</v>
      </c>
      <c r="E6828" s="31" t="s">
        <v>205</v>
      </c>
      <c r="F6828" s="31" t="s">
        <v>49</v>
      </c>
      <c r="G6828" s="32" t="s">
        <v>50</v>
      </c>
      <c r="H6828" s="33">
        <v>66615</v>
      </c>
      <c r="I6828" s="34">
        <f>Table3[[#This Row],[Volume, kg.]]/1000</f>
        <v>66.614999999999995</v>
      </c>
      <c r="J6828" s="34">
        <v>0.27410000000000001</v>
      </c>
      <c r="K6828" s="34">
        <f t="shared" si="214"/>
        <v>18259.1715</v>
      </c>
      <c r="L6828" s="34">
        <v>2.78</v>
      </c>
      <c r="M6828" s="34">
        <v>184914.55</v>
      </c>
      <c r="N6828" s="34">
        <f t="shared" si="215"/>
        <v>10.142283838015322</v>
      </c>
    </row>
    <row r="6829" spans="1:14" x14ac:dyDescent="0.45">
      <c r="A6829" s="30">
        <v>2026</v>
      </c>
      <c r="B6829" s="30" t="s">
        <v>8</v>
      </c>
      <c r="C6829" s="30" t="s">
        <v>46</v>
      </c>
      <c r="D6829" s="30" t="s">
        <v>102</v>
      </c>
      <c r="E6829" s="31" t="s">
        <v>366</v>
      </c>
      <c r="F6829" s="31" t="s">
        <v>367</v>
      </c>
      <c r="G6829" s="32" t="s">
        <v>368</v>
      </c>
      <c r="H6829" s="33">
        <v>310130</v>
      </c>
      <c r="I6829" s="34">
        <f>Table3[[#This Row],[Volume, kg.]]/1000</f>
        <v>310.13</v>
      </c>
      <c r="J6829" s="34">
        <v>0.27479999999999999</v>
      </c>
      <c r="K6829" s="34">
        <f t="shared" si="214"/>
        <v>85223.724000000002</v>
      </c>
      <c r="L6829" s="34">
        <v>2.88</v>
      </c>
      <c r="M6829" s="34">
        <v>893145</v>
      </c>
      <c r="N6829" s="34">
        <f t="shared" si="215"/>
        <v>10.480349344978166</v>
      </c>
    </row>
    <row r="6830" spans="1:14" x14ac:dyDescent="0.45">
      <c r="A6830" s="30">
        <v>2026</v>
      </c>
      <c r="B6830" s="30" t="s">
        <v>8</v>
      </c>
      <c r="C6830" s="30" t="s">
        <v>46</v>
      </c>
      <c r="D6830" s="30" t="s">
        <v>47</v>
      </c>
      <c r="E6830" s="31" t="s">
        <v>410</v>
      </c>
      <c r="F6830" s="31" t="s">
        <v>54</v>
      </c>
      <c r="G6830" s="32" t="s">
        <v>50</v>
      </c>
      <c r="H6830" s="33">
        <v>23267</v>
      </c>
      <c r="I6830" s="34">
        <f>Table3[[#This Row],[Volume, kg.]]/1000</f>
        <v>23.266999999999999</v>
      </c>
      <c r="J6830" s="34">
        <v>0.28789999999999999</v>
      </c>
      <c r="K6830" s="34">
        <f t="shared" si="214"/>
        <v>6698.5693000000001</v>
      </c>
      <c r="L6830" s="34">
        <v>2.86</v>
      </c>
      <c r="M6830" s="34">
        <v>66575.8</v>
      </c>
      <c r="N6830" s="34">
        <f t="shared" si="215"/>
        <v>9.9340048627995827</v>
      </c>
    </row>
    <row r="6831" spans="1:14" x14ac:dyDescent="0.45">
      <c r="A6831" s="30">
        <v>2026</v>
      </c>
      <c r="B6831" s="30" t="s">
        <v>8</v>
      </c>
      <c r="C6831" s="30" t="s">
        <v>46</v>
      </c>
      <c r="D6831" s="30" t="s">
        <v>102</v>
      </c>
      <c r="E6831" s="31" t="s">
        <v>418</v>
      </c>
      <c r="F6831" s="31" t="s">
        <v>104</v>
      </c>
      <c r="G6831" s="32" t="s">
        <v>105</v>
      </c>
      <c r="H6831" s="33">
        <v>1185070</v>
      </c>
      <c r="I6831" s="34">
        <f>Table3[[#This Row],[Volume, kg.]]/1000</f>
        <v>1185.07</v>
      </c>
      <c r="J6831" s="34">
        <v>0.26919999999999999</v>
      </c>
      <c r="K6831" s="34">
        <f t="shared" si="214"/>
        <v>319020.84399999998</v>
      </c>
      <c r="L6831" s="34">
        <v>2.88</v>
      </c>
      <c r="M6831" s="34">
        <v>3409095.5</v>
      </c>
      <c r="N6831" s="34">
        <f t="shared" si="215"/>
        <v>10.698365527488855</v>
      </c>
    </row>
    <row r="6832" spans="1:14" x14ac:dyDescent="0.45">
      <c r="A6832" s="30">
        <v>2026</v>
      </c>
      <c r="B6832" s="30" t="s">
        <v>8</v>
      </c>
      <c r="C6832" s="30" t="s">
        <v>46</v>
      </c>
      <c r="D6832" s="30" t="s">
        <v>47</v>
      </c>
      <c r="E6832" s="31" t="s">
        <v>489</v>
      </c>
      <c r="F6832" s="31" t="s">
        <v>81</v>
      </c>
      <c r="G6832" s="32" t="s">
        <v>50</v>
      </c>
      <c r="H6832" s="33">
        <v>23880</v>
      </c>
      <c r="I6832" s="34">
        <f>Table3[[#This Row],[Volume, kg.]]/1000</f>
        <v>23.88</v>
      </c>
      <c r="J6832" s="34">
        <v>0.28210000000000002</v>
      </c>
      <c r="K6832" s="34">
        <f t="shared" si="214"/>
        <v>6736.5480000000007</v>
      </c>
      <c r="L6832" s="34">
        <v>2.86</v>
      </c>
      <c r="M6832" s="34">
        <v>68377.850000000006</v>
      </c>
      <c r="N6832" s="34">
        <f t="shared" si="215"/>
        <v>10.138248847926267</v>
      </c>
    </row>
    <row r="6833" spans="1:14" x14ac:dyDescent="0.45">
      <c r="A6833" s="30">
        <v>2026</v>
      </c>
      <c r="B6833" s="30" t="s">
        <v>8</v>
      </c>
      <c r="C6833" s="30" t="s">
        <v>46</v>
      </c>
      <c r="D6833" s="30" t="s">
        <v>47</v>
      </c>
      <c r="E6833" s="31" t="s">
        <v>603</v>
      </c>
      <c r="F6833" s="31" t="s">
        <v>49</v>
      </c>
      <c r="G6833" s="32" t="s">
        <v>50</v>
      </c>
      <c r="H6833" s="33">
        <v>16870</v>
      </c>
      <c r="I6833" s="34">
        <f>Table3[[#This Row],[Volume, kg.]]/1000</f>
        <v>16.87</v>
      </c>
      <c r="J6833" s="34">
        <v>0.27289999999999998</v>
      </c>
      <c r="K6833" s="34">
        <f t="shared" si="214"/>
        <v>4603.8229999999994</v>
      </c>
      <c r="L6833" s="34">
        <v>2.88</v>
      </c>
      <c r="M6833" s="34">
        <v>48512</v>
      </c>
      <c r="N6833" s="34">
        <f t="shared" si="215"/>
        <v>10.553316233052401</v>
      </c>
    </row>
    <row r="6834" spans="1:14" x14ac:dyDescent="0.45">
      <c r="A6834" s="30">
        <v>2026</v>
      </c>
      <c r="B6834" s="30" t="s">
        <v>8</v>
      </c>
      <c r="C6834" s="30" t="s">
        <v>46</v>
      </c>
      <c r="D6834" s="30" t="s">
        <v>102</v>
      </c>
      <c r="E6834" s="31" t="s">
        <v>552</v>
      </c>
      <c r="F6834" s="31" t="s">
        <v>238</v>
      </c>
      <c r="G6834" s="32" t="s">
        <v>50</v>
      </c>
      <c r="H6834" s="33">
        <v>329560</v>
      </c>
      <c r="I6834" s="34">
        <f>Table3[[#This Row],[Volume, kg.]]/1000</f>
        <v>329.56</v>
      </c>
      <c r="J6834" s="34">
        <v>0.2621</v>
      </c>
      <c r="K6834" s="34">
        <f t="shared" si="214"/>
        <v>86377.676000000007</v>
      </c>
      <c r="L6834" s="34">
        <v>2.85</v>
      </c>
      <c r="M6834" s="34">
        <v>939839.5</v>
      </c>
      <c r="N6834" s="34">
        <f t="shared" si="215"/>
        <v>10.873712323540634</v>
      </c>
    </row>
    <row r="6835" spans="1:14" x14ac:dyDescent="0.45">
      <c r="A6835" s="30">
        <v>2026</v>
      </c>
      <c r="B6835" s="30" t="s">
        <v>8</v>
      </c>
      <c r="C6835" s="30" t="s">
        <v>46</v>
      </c>
      <c r="D6835" s="30" t="s">
        <v>47</v>
      </c>
      <c r="E6835" s="31" t="s">
        <v>612</v>
      </c>
      <c r="F6835" s="31" t="s">
        <v>57</v>
      </c>
      <c r="G6835" s="32" t="s">
        <v>50</v>
      </c>
      <c r="H6835" s="33">
        <v>67293</v>
      </c>
      <c r="I6835" s="34">
        <f>Table3[[#This Row],[Volume, kg.]]/1000</f>
        <v>67.293000000000006</v>
      </c>
      <c r="J6835" s="34">
        <v>0.311</v>
      </c>
      <c r="K6835" s="34">
        <f t="shared" si="214"/>
        <v>20928.123</v>
      </c>
      <c r="L6835" s="34">
        <v>3.01</v>
      </c>
      <c r="M6835" s="34">
        <v>202788.05</v>
      </c>
      <c r="N6835" s="34">
        <f t="shared" si="215"/>
        <v>9.6784565916398702</v>
      </c>
    </row>
    <row r="6836" spans="1:14" x14ac:dyDescent="0.45">
      <c r="A6836" s="30">
        <v>2026</v>
      </c>
      <c r="B6836" s="30" t="s">
        <v>8</v>
      </c>
      <c r="C6836" s="30" t="s">
        <v>46</v>
      </c>
      <c r="D6836" s="30" t="s">
        <v>47</v>
      </c>
      <c r="E6836" s="31" t="s">
        <v>607</v>
      </c>
      <c r="F6836" s="31" t="s">
        <v>81</v>
      </c>
      <c r="G6836" s="32" t="s">
        <v>50</v>
      </c>
      <c r="H6836" s="33">
        <v>113803</v>
      </c>
      <c r="I6836" s="34">
        <f>Table3[[#This Row],[Volume, kg.]]/1000</f>
        <v>113.803</v>
      </c>
      <c r="J6836" s="34">
        <v>0.25390000000000001</v>
      </c>
      <c r="K6836" s="34">
        <f t="shared" si="214"/>
        <v>28894.581700000002</v>
      </c>
      <c r="L6836" s="34">
        <v>2.7</v>
      </c>
      <c r="M6836" s="34">
        <v>307665.34999999998</v>
      </c>
      <c r="N6836" s="34">
        <f t="shared" si="215"/>
        <v>10.634107916502559</v>
      </c>
    </row>
    <row r="6837" spans="1:14" x14ac:dyDescent="0.45">
      <c r="A6837" s="30">
        <v>2026</v>
      </c>
      <c r="B6837" s="30" t="s">
        <v>8</v>
      </c>
      <c r="C6837" s="30" t="s">
        <v>46</v>
      </c>
      <c r="D6837" s="30" t="s">
        <v>47</v>
      </c>
      <c r="E6837" s="31" t="s">
        <v>646</v>
      </c>
      <c r="F6837" s="31" t="s">
        <v>49</v>
      </c>
      <c r="G6837" s="32" t="s">
        <v>50</v>
      </c>
      <c r="H6837" s="33">
        <v>4804</v>
      </c>
      <c r="I6837" s="34">
        <f>Table3[[#This Row],[Volume, kg.]]/1000</f>
        <v>4.8040000000000003</v>
      </c>
      <c r="J6837" s="34">
        <v>0.28800000000000003</v>
      </c>
      <c r="K6837" s="34">
        <f t="shared" si="214"/>
        <v>1383.5520000000001</v>
      </c>
      <c r="L6837" s="34">
        <v>2.85</v>
      </c>
      <c r="M6837" s="34">
        <v>13691.4</v>
      </c>
      <c r="N6837" s="34">
        <f t="shared" si="215"/>
        <v>9.8958333333333321</v>
      </c>
    </row>
    <row r="6838" spans="1:14" x14ac:dyDescent="0.45">
      <c r="A6838" s="30">
        <v>2026</v>
      </c>
      <c r="B6838" s="30" t="s">
        <v>8</v>
      </c>
      <c r="C6838" s="30" t="s">
        <v>46</v>
      </c>
      <c r="D6838" s="30" t="s">
        <v>47</v>
      </c>
      <c r="E6838" s="31" t="s">
        <v>651</v>
      </c>
      <c r="F6838" s="31" t="s">
        <v>223</v>
      </c>
      <c r="G6838" s="32" t="s">
        <v>50</v>
      </c>
      <c r="H6838" s="33">
        <v>8879</v>
      </c>
      <c r="I6838" s="34">
        <f>Table3[[#This Row],[Volume, kg.]]/1000</f>
        <v>8.8789999999999996</v>
      </c>
      <c r="J6838" s="34">
        <v>0.27</v>
      </c>
      <c r="K6838" s="34">
        <f t="shared" si="214"/>
        <v>2397.3300000000004</v>
      </c>
      <c r="L6838" s="34">
        <v>2.75</v>
      </c>
      <c r="M6838" s="34">
        <v>24417.25</v>
      </c>
      <c r="N6838" s="34">
        <f t="shared" si="215"/>
        <v>10.185185185185185</v>
      </c>
    </row>
    <row r="6839" spans="1:14" x14ac:dyDescent="0.45">
      <c r="A6839" s="30">
        <v>2026</v>
      </c>
      <c r="B6839" s="30" t="s">
        <v>8</v>
      </c>
      <c r="C6839" s="30" t="s">
        <v>46</v>
      </c>
      <c r="D6839" s="30" t="s">
        <v>47</v>
      </c>
      <c r="E6839" s="31" t="s">
        <v>672</v>
      </c>
      <c r="F6839" s="31" t="s">
        <v>134</v>
      </c>
      <c r="G6839" s="32" t="s">
        <v>50</v>
      </c>
      <c r="H6839" s="33">
        <v>15582</v>
      </c>
      <c r="I6839" s="34">
        <f>Table3[[#This Row],[Volume, kg.]]/1000</f>
        <v>15.582000000000001</v>
      </c>
      <c r="J6839" s="34">
        <v>0.3029</v>
      </c>
      <c r="K6839" s="34">
        <f t="shared" si="214"/>
        <v>4719.7878000000001</v>
      </c>
      <c r="L6839" s="34">
        <v>2.97</v>
      </c>
      <c r="M6839" s="34">
        <v>46257.35</v>
      </c>
      <c r="N6839" s="34">
        <f t="shared" si="215"/>
        <v>9.8052162429844838</v>
      </c>
    </row>
    <row r="6840" spans="1:14" x14ac:dyDescent="0.45">
      <c r="A6840" s="30">
        <v>2026</v>
      </c>
      <c r="B6840" s="30" t="s">
        <v>8</v>
      </c>
      <c r="C6840" s="30" t="s">
        <v>46</v>
      </c>
      <c r="D6840" s="30" t="s">
        <v>102</v>
      </c>
      <c r="E6840" s="31" t="s">
        <v>695</v>
      </c>
      <c r="F6840" s="31" t="s">
        <v>696</v>
      </c>
      <c r="G6840" s="32" t="s">
        <v>557</v>
      </c>
      <c r="H6840" s="33">
        <v>141010</v>
      </c>
      <c r="I6840" s="34">
        <f>Table3[[#This Row],[Volume, kg.]]/1000</f>
        <v>141.01</v>
      </c>
      <c r="J6840" s="34">
        <v>0.24559999999999998</v>
      </c>
      <c r="K6840" s="34">
        <f t="shared" si="214"/>
        <v>34632.055999999997</v>
      </c>
      <c r="L6840" s="34">
        <v>2.75</v>
      </c>
      <c r="M6840" s="34">
        <v>387950</v>
      </c>
      <c r="N6840" s="34">
        <f t="shared" si="215"/>
        <v>11.197068403908796</v>
      </c>
    </row>
    <row r="6841" spans="1:14" x14ac:dyDescent="0.45">
      <c r="A6841" s="30">
        <v>2026</v>
      </c>
      <c r="B6841" s="30" t="s">
        <v>8</v>
      </c>
      <c r="C6841" s="30" t="s">
        <v>46</v>
      </c>
      <c r="D6841" s="30" t="s">
        <v>102</v>
      </c>
      <c r="E6841" s="31" t="s">
        <v>697</v>
      </c>
      <c r="F6841" s="31" t="s">
        <v>107</v>
      </c>
      <c r="G6841" s="32" t="s">
        <v>108</v>
      </c>
      <c r="H6841" s="33">
        <v>533360</v>
      </c>
      <c r="I6841" s="34">
        <f>Table3[[#This Row],[Volume, kg.]]/1000</f>
        <v>533.36</v>
      </c>
      <c r="J6841" s="34">
        <v>0.26649999999999996</v>
      </c>
      <c r="K6841" s="34">
        <f t="shared" si="214"/>
        <v>142140.43999999997</v>
      </c>
      <c r="L6841" s="34">
        <v>2.87</v>
      </c>
      <c r="M6841" s="34">
        <v>1528367.5</v>
      </c>
      <c r="N6841" s="34">
        <f t="shared" si="215"/>
        <v>10.769230769230772</v>
      </c>
    </row>
    <row r="6842" spans="1:14" x14ac:dyDescent="0.45">
      <c r="A6842" s="30">
        <v>2026</v>
      </c>
      <c r="B6842" s="30" t="s">
        <v>8</v>
      </c>
      <c r="C6842" s="30" t="s">
        <v>46</v>
      </c>
      <c r="D6842" s="30" t="s">
        <v>47</v>
      </c>
      <c r="E6842" s="31" t="s">
        <v>721</v>
      </c>
      <c r="F6842" s="31" t="s">
        <v>49</v>
      </c>
      <c r="G6842" s="32" t="s">
        <v>50</v>
      </c>
      <c r="H6842" s="33">
        <v>9760</v>
      </c>
      <c r="I6842" s="34">
        <f>Table3[[#This Row],[Volume, kg.]]/1000</f>
        <v>9.76</v>
      </c>
      <c r="J6842" s="34">
        <v>0.27449999999999997</v>
      </c>
      <c r="K6842" s="34">
        <f t="shared" si="214"/>
        <v>2679.12</v>
      </c>
      <c r="L6842" s="34">
        <v>2.85</v>
      </c>
      <c r="M6842" s="34">
        <v>27816</v>
      </c>
      <c r="N6842" s="34">
        <f t="shared" si="215"/>
        <v>10.382513661202188</v>
      </c>
    </row>
    <row r="6843" spans="1:14" x14ac:dyDescent="0.45">
      <c r="A6843" s="30">
        <v>2026</v>
      </c>
      <c r="B6843" s="30" t="s">
        <v>8</v>
      </c>
      <c r="C6843" s="30" t="s">
        <v>46</v>
      </c>
      <c r="D6843" s="30" t="s">
        <v>47</v>
      </c>
      <c r="E6843" s="31" t="s">
        <v>723</v>
      </c>
      <c r="F6843" s="31" t="s">
        <v>49</v>
      </c>
      <c r="G6843" s="32" t="s">
        <v>50</v>
      </c>
      <c r="H6843" s="33">
        <v>61912</v>
      </c>
      <c r="I6843" s="34">
        <f>Table3[[#This Row],[Volume, kg.]]/1000</f>
        <v>61.911999999999999</v>
      </c>
      <c r="J6843" s="34">
        <v>0.28770000000000001</v>
      </c>
      <c r="K6843" s="34">
        <f t="shared" ref="K6843:K6906" si="216">H6843*J6843</f>
        <v>17812.082399999999</v>
      </c>
      <c r="L6843" s="34">
        <v>2.85</v>
      </c>
      <c r="M6843" s="34">
        <v>176328.2</v>
      </c>
      <c r="N6843" s="34">
        <f t="shared" ref="N6843:N6906" si="217">L6843/J6843</f>
        <v>9.9061522419186652</v>
      </c>
    </row>
    <row r="6844" spans="1:14" x14ac:dyDescent="0.45">
      <c r="A6844" s="30">
        <v>2026</v>
      </c>
      <c r="B6844" s="30" t="s">
        <v>8</v>
      </c>
      <c r="C6844" s="30" t="s">
        <v>46</v>
      </c>
      <c r="D6844" s="30" t="s">
        <v>47</v>
      </c>
      <c r="E6844" s="31" t="s">
        <v>749</v>
      </c>
      <c r="F6844" s="31" t="s">
        <v>57</v>
      </c>
      <c r="G6844" s="32" t="s">
        <v>50</v>
      </c>
      <c r="H6844" s="33">
        <v>11292</v>
      </c>
      <c r="I6844" s="34">
        <f>Table3[[#This Row],[Volume, kg.]]/1000</f>
        <v>11.292</v>
      </c>
      <c r="J6844" s="34">
        <v>0.32040000000000002</v>
      </c>
      <c r="K6844" s="34">
        <f t="shared" si="216"/>
        <v>3617.9568000000004</v>
      </c>
      <c r="L6844" s="34">
        <v>3.06</v>
      </c>
      <c r="M6844" s="34">
        <v>34534.65</v>
      </c>
      <c r="N6844" s="34">
        <f t="shared" si="217"/>
        <v>9.5505617977528079</v>
      </c>
    </row>
    <row r="6845" spans="1:14" x14ac:dyDescent="0.45">
      <c r="A6845" s="30">
        <v>2026</v>
      </c>
      <c r="B6845" s="30" t="s">
        <v>8</v>
      </c>
      <c r="C6845" s="30" t="s">
        <v>46</v>
      </c>
      <c r="D6845" s="30" t="s">
        <v>102</v>
      </c>
      <c r="E6845" s="31" t="s">
        <v>743</v>
      </c>
      <c r="F6845" s="31" t="s">
        <v>127</v>
      </c>
      <c r="G6845" s="32" t="s">
        <v>128</v>
      </c>
      <c r="H6845" s="33">
        <v>142170</v>
      </c>
      <c r="I6845" s="34">
        <f>Table3[[#This Row],[Volume, kg.]]/1000</f>
        <v>142.16999999999999</v>
      </c>
      <c r="J6845" s="34">
        <v>0.2848</v>
      </c>
      <c r="K6845" s="34">
        <f t="shared" si="216"/>
        <v>40490.016000000003</v>
      </c>
      <c r="L6845" s="34">
        <v>2.99</v>
      </c>
      <c r="M6845" s="34">
        <v>424384</v>
      </c>
      <c r="N6845" s="34">
        <f t="shared" si="217"/>
        <v>10.498595505617978</v>
      </c>
    </row>
    <row r="6846" spans="1:14" x14ac:dyDescent="0.45">
      <c r="A6846" s="30">
        <v>2026</v>
      </c>
      <c r="B6846" s="30" t="s">
        <v>8</v>
      </c>
      <c r="C6846" s="30" t="s">
        <v>46</v>
      </c>
      <c r="D6846" s="30" t="s">
        <v>102</v>
      </c>
      <c r="E6846" s="31" t="s">
        <v>761</v>
      </c>
      <c r="F6846" s="31" t="s">
        <v>127</v>
      </c>
      <c r="G6846" s="32" t="s">
        <v>128</v>
      </c>
      <c r="H6846" s="33">
        <v>27700</v>
      </c>
      <c r="I6846" s="34">
        <f>Table3[[#This Row],[Volume, kg.]]/1000</f>
        <v>27.7</v>
      </c>
      <c r="J6846" s="34">
        <v>0.28749999999999998</v>
      </c>
      <c r="K6846" s="34">
        <f t="shared" si="216"/>
        <v>7963.7499999999991</v>
      </c>
      <c r="L6846" s="34">
        <v>2.95</v>
      </c>
      <c r="M6846" s="34">
        <v>81715</v>
      </c>
      <c r="N6846" s="34">
        <f t="shared" si="217"/>
        <v>10.260869565217392</v>
      </c>
    </row>
    <row r="6847" spans="1:14" x14ac:dyDescent="0.45">
      <c r="A6847" s="30">
        <v>2026</v>
      </c>
      <c r="B6847" s="30" t="s">
        <v>8</v>
      </c>
      <c r="C6847" s="30" t="s">
        <v>46</v>
      </c>
      <c r="D6847" s="30" t="s">
        <v>102</v>
      </c>
      <c r="E6847" s="31" t="s">
        <v>767</v>
      </c>
      <c r="F6847" s="31" t="s">
        <v>768</v>
      </c>
      <c r="G6847" s="32" t="s">
        <v>774</v>
      </c>
      <c r="H6847" s="33">
        <v>338670</v>
      </c>
      <c r="I6847" s="34">
        <f>Table3[[#This Row],[Volume, kg.]]/1000</f>
        <v>338.67</v>
      </c>
      <c r="J6847" s="34">
        <v>0.26050000000000001</v>
      </c>
      <c r="K6847" s="34">
        <f t="shared" si="216"/>
        <v>88223.535000000003</v>
      </c>
      <c r="L6847" s="34">
        <v>2.82</v>
      </c>
      <c r="M6847" s="34">
        <v>956114.5</v>
      </c>
      <c r="N6847" s="34">
        <f t="shared" si="217"/>
        <v>10.825335892514394</v>
      </c>
    </row>
    <row r="6848" spans="1:14" x14ac:dyDescent="0.45">
      <c r="A6848" s="30">
        <v>2026</v>
      </c>
      <c r="B6848" s="30" t="s">
        <v>8</v>
      </c>
      <c r="C6848" s="30" t="s">
        <v>46</v>
      </c>
      <c r="D6848" s="30" t="s">
        <v>102</v>
      </c>
      <c r="E6848" s="31" t="s">
        <v>775</v>
      </c>
      <c r="F6848" s="31" t="s">
        <v>340</v>
      </c>
      <c r="G6848" s="32" t="s">
        <v>341</v>
      </c>
      <c r="H6848" s="33">
        <v>211880</v>
      </c>
      <c r="I6848" s="34">
        <f>Table3[[#This Row],[Volume, kg.]]/1000</f>
        <v>211.88</v>
      </c>
      <c r="J6848" s="34">
        <v>0.2601</v>
      </c>
      <c r="K6848" s="34">
        <f t="shared" si="216"/>
        <v>55109.987999999998</v>
      </c>
      <c r="L6848" s="34">
        <v>2.79</v>
      </c>
      <c r="M6848" s="34">
        <v>591738.5</v>
      </c>
      <c r="N6848" s="34">
        <f t="shared" si="217"/>
        <v>10.726643598615917</v>
      </c>
    </row>
    <row r="6849" spans="1:14" x14ac:dyDescent="0.45">
      <c r="A6849" s="30">
        <v>2026</v>
      </c>
      <c r="B6849" s="30" t="s">
        <v>8</v>
      </c>
      <c r="C6849" s="30" t="s">
        <v>46</v>
      </c>
      <c r="D6849" s="30" t="s">
        <v>102</v>
      </c>
      <c r="E6849" s="31" t="s">
        <v>776</v>
      </c>
      <c r="F6849" s="31" t="s">
        <v>777</v>
      </c>
      <c r="G6849" s="32" t="s">
        <v>557</v>
      </c>
      <c r="H6849" s="33">
        <v>180580</v>
      </c>
      <c r="I6849" s="34">
        <f>Table3[[#This Row],[Volume, kg.]]/1000</f>
        <v>180.58</v>
      </c>
      <c r="J6849" s="34">
        <v>0.2777</v>
      </c>
      <c r="K6849" s="34">
        <f t="shared" si="216"/>
        <v>50147.065999999999</v>
      </c>
      <c r="L6849" s="34">
        <v>2.94</v>
      </c>
      <c r="M6849" s="34">
        <v>530871</v>
      </c>
      <c r="N6849" s="34">
        <f t="shared" si="217"/>
        <v>10.586964350018004</v>
      </c>
    </row>
    <row r="6850" spans="1:14" x14ac:dyDescent="0.45">
      <c r="A6850" s="30">
        <v>2026</v>
      </c>
      <c r="B6850" s="30" t="s">
        <v>8</v>
      </c>
      <c r="C6850" s="30" t="s">
        <v>46</v>
      </c>
      <c r="D6850" s="30" t="s">
        <v>102</v>
      </c>
      <c r="E6850" s="31" t="s">
        <v>778</v>
      </c>
      <c r="F6850" s="31" t="s">
        <v>338</v>
      </c>
      <c r="G6850" s="32" t="s">
        <v>105</v>
      </c>
      <c r="H6850" s="33">
        <v>58680</v>
      </c>
      <c r="I6850" s="34">
        <f>Table3[[#This Row],[Volume, kg.]]/1000</f>
        <v>58.68</v>
      </c>
      <c r="J6850" s="34">
        <v>0.28839999999999999</v>
      </c>
      <c r="K6850" s="34">
        <f t="shared" si="216"/>
        <v>16923.311999999998</v>
      </c>
      <c r="L6850" s="34">
        <v>2.98</v>
      </c>
      <c r="M6850" s="34">
        <v>174608.5</v>
      </c>
      <c r="N6850" s="34">
        <f t="shared" si="217"/>
        <v>10.332871012482663</v>
      </c>
    </row>
    <row r="6851" spans="1:14" x14ac:dyDescent="0.45">
      <c r="A6851" s="30">
        <v>2026</v>
      </c>
      <c r="B6851" s="30" t="s">
        <v>9</v>
      </c>
      <c r="C6851" s="30" t="s">
        <v>46</v>
      </c>
      <c r="D6851" s="30" t="s">
        <v>102</v>
      </c>
      <c r="E6851" s="31" t="s">
        <v>188</v>
      </c>
      <c r="F6851" s="31" t="s">
        <v>189</v>
      </c>
      <c r="G6851" s="32" t="s">
        <v>128</v>
      </c>
      <c r="H6851" s="33">
        <v>52870</v>
      </c>
      <c r="I6851" s="34">
        <f>Table3[[#This Row],[Volume, kg.]]/1000</f>
        <v>52.87</v>
      </c>
      <c r="J6851" s="34">
        <v>0.2883</v>
      </c>
      <c r="K6851" s="34">
        <f t="shared" si="216"/>
        <v>15242.421</v>
      </c>
      <c r="L6851" s="34">
        <v>3.05</v>
      </c>
      <c r="M6851" s="34">
        <v>161438</v>
      </c>
      <c r="N6851" s="34">
        <f t="shared" si="217"/>
        <v>10.579257717655219</v>
      </c>
    </row>
    <row r="6852" spans="1:14" x14ac:dyDescent="0.45">
      <c r="A6852" s="30">
        <v>2026</v>
      </c>
      <c r="B6852" s="30" t="s">
        <v>9</v>
      </c>
      <c r="C6852" s="30" t="s">
        <v>46</v>
      </c>
      <c r="D6852" s="30" t="s">
        <v>102</v>
      </c>
      <c r="E6852" s="31" t="s">
        <v>222</v>
      </c>
      <c r="F6852" s="31" t="s">
        <v>223</v>
      </c>
      <c r="G6852" s="32" t="s">
        <v>50</v>
      </c>
      <c r="H6852" s="33">
        <v>33470</v>
      </c>
      <c r="I6852" s="34">
        <f>Table3[[#This Row],[Volume, kg.]]/1000</f>
        <v>33.47</v>
      </c>
      <c r="J6852" s="34">
        <v>0.2535</v>
      </c>
      <c r="K6852" s="34">
        <f t="shared" si="216"/>
        <v>8484.6450000000004</v>
      </c>
      <c r="L6852" s="34">
        <v>2.85</v>
      </c>
      <c r="M6852" s="34">
        <v>95389.5</v>
      </c>
      <c r="N6852" s="34">
        <f t="shared" si="217"/>
        <v>11.242603550295858</v>
      </c>
    </row>
    <row r="6853" spans="1:14" x14ac:dyDescent="0.45">
      <c r="A6853" s="30">
        <v>2026</v>
      </c>
      <c r="B6853" s="30" t="s">
        <v>9</v>
      </c>
      <c r="C6853" s="30" t="s">
        <v>46</v>
      </c>
      <c r="D6853" s="30" t="s">
        <v>47</v>
      </c>
      <c r="E6853" s="31" t="s">
        <v>69</v>
      </c>
      <c r="F6853" s="31" t="s">
        <v>49</v>
      </c>
      <c r="G6853" s="32" t="s">
        <v>50</v>
      </c>
      <c r="H6853" s="33">
        <v>10279</v>
      </c>
      <c r="I6853" s="34">
        <f>Table3[[#This Row],[Volume, kg.]]/1000</f>
        <v>10.279</v>
      </c>
      <c r="J6853" s="34">
        <v>0.2697</v>
      </c>
      <c r="K6853" s="34">
        <f t="shared" si="216"/>
        <v>2772.2462999999998</v>
      </c>
      <c r="L6853" s="34">
        <v>2.84</v>
      </c>
      <c r="M6853" s="34">
        <v>29246</v>
      </c>
      <c r="N6853" s="34">
        <f t="shared" si="217"/>
        <v>10.530218761586948</v>
      </c>
    </row>
    <row r="6854" spans="1:14" x14ac:dyDescent="0.45">
      <c r="A6854" s="30">
        <v>2026</v>
      </c>
      <c r="B6854" s="30" t="s">
        <v>9</v>
      </c>
      <c r="C6854" s="30" t="s">
        <v>46</v>
      </c>
      <c r="D6854" s="30" t="s">
        <v>47</v>
      </c>
      <c r="E6854" s="31" t="s">
        <v>52</v>
      </c>
      <c r="F6854" s="31" t="s">
        <v>49</v>
      </c>
      <c r="G6854" s="32" t="s">
        <v>50</v>
      </c>
      <c r="H6854" s="33">
        <v>14860</v>
      </c>
      <c r="I6854" s="34">
        <f>Table3[[#This Row],[Volume, kg.]]/1000</f>
        <v>14.86</v>
      </c>
      <c r="J6854" s="34">
        <v>0.23269999999999999</v>
      </c>
      <c r="K6854" s="34">
        <f t="shared" si="216"/>
        <v>3457.922</v>
      </c>
      <c r="L6854" s="34">
        <v>2.68</v>
      </c>
      <c r="M6854" s="34">
        <v>39777.199999999997</v>
      </c>
      <c r="N6854" s="34">
        <f t="shared" si="217"/>
        <v>11.516974645466266</v>
      </c>
    </row>
    <row r="6855" spans="1:14" x14ac:dyDescent="0.45">
      <c r="A6855" s="30">
        <v>2026</v>
      </c>
      <c r="B6855" s="30" t="s">
        <v>9</v>
      </c>
      <c r="C6855" s="30" t="s">
        <v>46</v>
      </c>
      <c r="D6855" s="30" t="s">
        <v>47</v>
      </c>
      <c r="E6855" s="31" t="s">
        <v>246</v>
      </c>
      <c r="F6855" s="31" t="s">
        <v>49</v>
      </c>
      <c r="G6855" s="32" t="s">
        <v>50</v>
      </c>
      <c r="H6855" s="33">
        <v>3048</v>
      </c>
      <c r="I6855" s="34">
        <f>Table3[[#This Row],[Volume, kg.]]/1000</f>
        <v>3.048</v>
      </c>
      <c r="J6855" s="34">
        <v>0.21600000000000003</v>
      </c>
      <c r="K6855" s="34">
        <f t="shared" si="216"/>
        <v>658.36800000000005</v>
      </c>
      <c r="L6855" s="34">
        <v>2.6</v>
      </c>
      <c r="M6855" s="34">
        <v>7924.8</v>
      </c>
      <c r="N6855" s="34">
        <f t="shared" si="217"/>
        <v>12.037037037037036</v>
      </c>
    </row>
    <row r="6856" spans="1:14" x14ac:dyDescent="0.45">
      <c r="A6856" s="30">
        <v>2026</v>
      </c>
      <c r="B6856" s="30" t="s">
        <v>9</v>
      </c>
      <c r="C6856" s="30" t="s">
        <v>46</v>
      </c>
      <c r="D6856" s="30" t="s">
        <v>47</v>
      </c>
      <c r="E6856" s="31" t="s">
        <v>383</v>
      </c>
      <c r="F6856" s="31" t="s">
        <v>49</v>
      </c>
      <c r="G6856" s="32" t="s">
        <v>50</v>
      </c>
      <c r="H6856" s="33">
        <v>4526</v>
      </c>
      <c r="I6856" s="34">
        <f>Table3[[#This Row],[Volume, kg.]]/1000</f>
        <v>4.5259999999999998</v>
      </c>
      <c r="J6856" s="34">
        <v>0.27750000000000002</v>
      </c>
      <c r="K6856" s="34">
        <f t="shared" si="216"/>
        <v>1255.9650000000001</v>
      </c>
      <c r="L6856" s="34">
        <v>2.9</v>
      </c>
      <c r="M6856" s="34">
        <v>13125.4</v>
      </c>
      <c r="N6856" s="34">
        <f t="shared" si="217"/>
        <v>10.450450450450449</v>
      </c>
    </row>
    <row r="6857" spans="1:14" x14ac:dyDescent="0.45">
      <c r="A6857" s="30">
        <v>2026</v>
      </c>
      <c r="B6857" s="30" t="s">
        <v>9</v>
      </c>
      <c r="C6857" s="30" t="s">
        <v>46</v>
      </c>
      <c r="D6857" s="30" t="s">
        <v>47</v>
      </c>
      <c r="E6857" s="31" t="s">
        <v>195</v>
      </c>
      <c r="F6857" s="31" t="s">
        <v>57</v>
      </c>
      <c r="G6857" s="32" t="s">
        <v>50</v>
      </c>
      <c r="H6857" s="33">
        <v>4407</v>
      </c>
      <c r="I6857" s="34">
        <f>Table3[[#This Row],[Volume, kg.]]/1000</f>
        <v>4.407</v>
      </c>
      <c r="J6857" s="34">
        <v>0.26200000000000001</v>
      </c>
      <c r="K6857" s="34">
        <f t="shared" si="216"/>
        <v>1154.634</v>
      </c>
      <c r="L6857" s="34">
        <v>2.8</v>
      </c>
      <c r="M6857" s="34">
        <v>12339.6</v>
      </c>
      <c r="N6857" s="34">
        <f t="shared" si="217"/>
        <v>10.687022900763358</v>
      </c>
    </row>
    <row r="6858" spans="1:14" x14ac:dyDescent="0.45">
      <c r="A6858" s="30">
        <v>2026</v>
      </c>
      <c r="B6858" s="30" t="s">
        <v>9</v>
      </c>
      <c r="C6858" s="30" t="s">
        <v>46</v>
      </c>
      <c r="D6858" s="30" t="s">
        <v>47</v>
      </c>
      <c r="E6858" s="31" t="s">
        <v>245</v>
      </c>
      <c r="F6858" s="31" t="s">
        <v>57</v>
      </c>
      <c r="G6858" s="32" t="s">
        <v>50</v>
      </c>
      <c r="H6858" s="33">
        <v>13653</v>
      </c>
      <c r="I6858" s="34">
        <f>Table3[[#This Row],[Volume, kg.]]/1000</f>
        <v>13.653</v>
      </c>
      <c r="J6858" s="34">
        <v>0.2843</v>
      </c>
      <c r="K6858" s="34">
        <f t="shared" si="216"/>
        <v>3881.5479</v>
      </c>
      <c r="L6858" s="34">
        <v>2.87</v>
      </c>
      <c r="M6858" s="34">
        <v>39171.449999999997</v>
      </c>
      <c r="N6858" s="34">
        <f t="shared" si="217"/>
        <v>10.094970102004925</v>
      </c>
    </row>
    <row r="6859" spans="1:14" x14ac:dyDescent="0.45">
      <c r="A6859" s="30">
        <v>2026</v>
      </c>
      <c r="B6859" s="30" t="s">
        <v>9</v>
      </c>
      <c r="C6859" s="30" t="s">
        <v>46</v>
      </c>
      <c r="D6859" s="30" t="s">
        <v>47</v>
      </c>
      <c r="E6859" s="31" t="s">
        <v>303</v>
      </c>
      <c r="F6859" s="31" t="s">
        <v>57</v>
      </c>
      <c r="G6859" s="32" t="s">
        <v>50</v>
      </c>
      <c r="H6859" s="33">
        <v>21545</v>
      </c>
      <c r="I6859" s="34">
        <f>Table3[[#This Row],[Volume, kg.]]/1000</f>
        <v>21.545000000000002</v>
      </c>
      <c r="J6859" s="34">
        <v>0.30180000000000001</v>
      </c>
      <c r="K6859" s="34">
        <f t="shared" si="216"/>
        <v>6502.2809999999999</v>
      </c>
      <c r="L6859" s="34">
        <v>3.03</v>
      </c>
      <c r="M6859" s="34">
        <v>65381.2</v>
      </c>
      <c r="N6859" s="34">
        <f t="shared" si="217"/>
        <v>10.039761431411529</v>
      </c>
    </row>
    <row r="6860" spans="1:14" x14ac:dyDescent="0.45">
      <c r="A6860" s="30">
        <v>2026</v>
      </c>
      <c r="B6860" s="30" t="s">
        <v>9</v>
      </c>
      <c r="C6860" s="30" t="s">
        <v>46</v>
      </c>
      <c r="D6860" s="30" t="s">
        <v>47</v>
      </c>
      <c r="E6860" s="31" t="s">
        <v>163</v>
      </c>
      <c r="F6860" s="31" t="s">
        <v>60</v>
      </c>
      <c r="G6860" s="32" t="s">
        <v>50</v>
      </c>
      <c r="H6860" s="33">
        <v>17887</v>
      </c>
      <c r="I6860" s="34">
        <f>Table3[[#This Row],[Volume, kg.]]/1000</f>
        <v>17.887</v>
      </c>
      <c r="J6860" s="34">
        <v>0.23050000000000001</v>
      </c>
      <c r="K6860" s="34">
        <f t="shared" si="216"/>
        <v>4122.9535000000005</v>
      </c>
      <c r="L6860" s="34">
        <v>2.65</v>
      </c>
      <c r="M6860" s="34">
        <v>47405.7</v>
      </c>
      <c r="N6860" s="34">
        <f t="shared" si="217"/>
        <v>11.496746203904554</v>
      </c>
    </row>
    <row r="6861" spans="1:14" x14ac:dyDescent="0.45">
      <c r="A6861" s="30">
        <v>2026</v>
      </c>
      <c r="B6861" s="30" t="s">
        <v>9</v>
      </c>
      <c r="C6861" s="30" t="s">
        <v>46</v>
      </c>
      <c r="D6861" s="30" t="s">
        <v>47</v>
      </c>
      <c r="E6861" s="31" t="s">
        <v>229</v>
      </c>
      <c r="F6861" s="31" t="s">
        <v>57</v>
      </c>
      <c r="G6861" s="32" t="s">
        <v>50</v>
      </c>
      <c r="H6861" s="33">
        <v>6054</v>
      </c>
      <c r="I6861" s="34">
        <f>Table3[[#This Row],[Volume, kg.]]/1000</f>
        <v>6.0540000000000003</v>
      </c>
      <c r="J6861" s="34">
        <v>0.30399999999999999</v>
      </c>
      <c r="K6861" s="34">
        <f t="shared" si="216"/>
        <v>1840.4159999999999</v>
      </c>
      <c r="L6861" s="34">
        <v>2.95</v>
      </c>
      <c r="M6861" s="34">
        <v>17859.3</v>
      </c>
      <c r="N6861" s="34">
        <f t="shared" si="217"/>
        <v>9.7039473684210531</v>
      </c>
    </row>
    <row r="6862" spans="1:14" x14ac:dyDescent="0.45">
      <c r="A6862" s="30">
        <v>2026</v>
      </c>
      <c r="B6862" s="30" t="s">
        <v>9</v>
      </c>
      <c r="C6862" s="30" t="s">
        <v>46</v>
      </c>
      <c r="D6862" s="30" t="s">
        <v>47</v>
      </c>
      <c r="E6862" s="31" t="s">
        <v>172</v>
      </c>
      <c r="F6862" s="31" t="s">
        <v>57</v>
      </c>
      <c r="G6862" s="32" t="s">
        <v>50</v>
      </c>
      <c r="H6862" s="33">
        <v>25797</v>
      </c>
      <c r="I6862" s="34">
        <f>Table3[[#This Row],[Volume, kg.]]/1000</f>
        <v>25.797000000000001</v>
      </c>
      <c r="J6862" s="34">
        <v>0.29309999999999997</v>
      </c>
      <c r="K6862" s="34">
        <f t="shared" si="216"/>
        <v>7561.1006999999991</v>
      </c>
      <c r="L6862" s="34">
        <v>2.92</v>
      </c>
      <c r="M6862" s="34">
        <v>75286.2</v>
      </c>
      <c r="N6862" s="34">
        <f t="shared" si="217"/>
        <v>9.9624701467076093</v>
      </c>
    </row>
    <row r="6863" spans="1:14" x14ac:dyDescent="0.45">
      <c r="A6863" s="30">
        <v>2026</v>
      </c>
      <c r="B6863" s="30" t="s">
        <v>9</v>
      </c>
      <c r="C6863" s="30" t="s">
        <v>46</v>
      </c>
      <c r="D6863" s="30" t="s">
        <v>47</v>
      </c>
      <c r="E6863" s="31" t="s">
        <v>655</v>
      </c>
      <c r="F6863" s="31" t="s">
        <v>49</v>
      </c>
      <c r="G6863" s="32" t="s">
        <v>50</v>
      </c>
      <c r="H6863" s="33">
        <v>1070</v>
      </c>
      <c r="I6863" s="34">
        <f>Table3[[#This Row],[Volume, kg.]]/1000</f>
        <v>1.07</v>
      </c>
      <c r="J6863" s="34">
        <v>0.25900000000000001</v>
      </c>
      <c r="K6863" s="34">
        <f t="shared" si="216"/>
        <v>277.13</v>
      </c>
      <c r="L6863" s="34">
        <v>2.75</v>
      </c>
      <c r="M6863" s="34">
        <v>2942.5</v>
      </c>
      <c r="N6863" s="34">
        <f t="shared" si="217"/>
        <v>10.617760617760618</v>
      </c>
    </row>
    <row r="6864" spans="1:14" x14ac:dyDescent="0.45">
      <c r="A6864" s="30">
        <v>2026</v>
      </c>
      <c r="B6864" s="30" t="s">
        <v>9</v>
      </c>
      <c r="C6864" s="30" t="s">
        <v>46</v>
      </c>
      <c r="D6864" s="30" t="s">
        <v>47</v>
      </c>
      <c r="E6864" s="31" t="s">
        <v>258</v>
      </c>
      <c r="F6864" s="31" t="s">
        <v>49</v>
      </c>
      <c r="G6864" s="32" t="s">
        <v>50</v>
      </c>
      <c r="H6864" s="33">
        <v>96369</v>
      </c>
      <c r="I6864" s="34">
        <f>Table3[[#This Row],[Volume, kg.]]/1000</f>
        <v>96.369</v>
      </c>
      <c r="J6864" s="34">
        <v>0.29719999999999996</v>
      </c>
      <c r="K6864" s="34">
        <f t="shared" si="216"/>
        <v>28640.866799999996</v>
      </c>
      <c r="L6864" s="34">
        <v>2.96</v>
      </c>
      <c r="M6864" s="34">
        <v>285152.05</v>
      </c>
      <c r="N6864" s="34">
        <f t="shared" si="217"/>
        <v>9.9596231493943481</v>
      </c>
    </row>
    <row r="6865" spans="1:14" x14ac:dyDescent="0.45">
      <c r="A6865" s="30">
        <v>2026</v>
      </c>
      <c r="B6865" s="30" t="s">
        <v>9</v>
      </c>
      <c r="C6865" s="30" t="s">
        <v>46</v>
      </c>
      <c r="D6865" s="30" t="s">
        <v>47</v>
      </c>
      <c r="E6865" s="31" t="s">
        <v>375</v>
      </c>
      <c r="F6865" s="31" t="s">
        <v>49</v>
      </c>
      <c r="G6865" s="32" t="s">
        <v>50</v>
      </c>
      <c r="H6865" s="33">
        <v>5602</v>
      </c>
      <c r="I6865" s="34">
        <f>Table3[[#This Row],[Volume, kg.]]/1000</f>
        <v>5.6020000000000003</v>
      </c>
      <c r="J6865" s="34">
        <v>0.28300000000000003</v>
      </c>
      <c r="K6865" s="34">
        <f t="shared" si="216"/>
        <v>1585.3660000000002</v>
      </c>
      <c r="L6865" s="34">
        <v>2.9</v>
      </c>
      <c r="M6865" s="34">
        <v>16245.8</v>
      </c>
      <c r="N6865" s="34">
        <f t="shared" si="217"/>
        <v>10.247349823321553</v>
      </c>
    </row>
    <row r="6866" spans="1:14" x14ac:dyDescent="0.45">
      <c r="A6866" s="30">
        <v>2026</v>
      </c>
      <c r="B6866" s="30" t="s">
        <v>9</v>
      </c>
      <c r="C6866" s="30" t="s">
        <v>46</v>
      </c>
      <c r="D6866" s="30" t="s">
        <v>47</v>
      </c>
      <c r="E6866" s="31" t="s">
        <v>380</v>
      </c>
      <c r="F6866" s="31" t="s">
        <v>49</v>
      </c>
      <c r="G6866" s="32" t="s">
        <v>50</v>
      </c>
      <c r="H6866" s="33">
        <v>7382</v>
      </c>
      <c r="I6866" s="34">
        <f>Table3[[#This Row],[Volume, kg.]]/1000</f>
        <v>7.3819999999999997</v>
      </c>
      <c r="J6866" s="34">
        <v>0.2034</v>
      </c>
      <c r="K6866" s="34">
        <f t="shared" si="216"/>
        <v>1501.4988000000001</v>
      </c>
      <c r="L6866" s="34">
        <v>2.48</v>
      </c>
      <c r="M6866" s="34">
        <v>18340.55</v>
      </c>
      <c r="N6866" s="34">
        <f t="shared" si="217"/>
        <v>12.192723697148477</v>
      </c>
    </row>
    <row r="6867" spans="1:14" x14ac:dyDescent="0.45">
      <c r="A6867" s="30">
        <v>2026</v>
      </c>
      <c r="B6867" s="30" t="s">
        <v>9</v>
      </c>
      <c r="C6867" s="30" t="s">
        <v>46</v>
      </c>
      <c r="D6867" s="30" t="s">
        <v>47</v>
      </c>
      <c r="E6867" s="31" t="s">
        <v>379</v>
      </c>
      <c r="F6867" s="31" t="s">
        <v>49</v>
      </c>
      <c r="G6867" s="32" t="s">
        <v>50</v>
      </c>
      <c r="H6867" s="33">
        <v>33880</v>
      </c>
      <c r="I6867" s="34">
        <f>Table3[[#This Row],[Volume, kg.]]/1000</f>
        <v>33.880000000000003</v>
      </c>
      <c r="J6867" s="34">
        <v>0.248</v>
      </c>
      <c r="K6867" s="34">
        <f t="shared" si="216"/>
        <v>8402.24</v>
      </c>
      <c r="L6867" s="34">
        <v>2.75</v>
      </c>
      <c r="M6867" s="34">
        <v>93177.5</v>
      </c>
      <c r="N6867" s="34">
        <f t="shared" si="217"/>
        <v>11.088709677419354</v>
      </c>
    </row>
    <row r="6868" spans="1:14" x14ac:dyDescent="0.45">
      <c r="A6868" s="30">
        <v>2026</v>
      </c>
      <c r="B6868" s="30" t="s">
        <v>9</v>
      </c>
      <c r="C6868" s="30" t="s">
        <v>46</v>
      </c>
      <c r="D6868" s="30" t="s">
        <v>47</v>
      </c>
      <c r="E6868" s="31" t="s">
        <v>164</v>
      </c>
      <c r="F6868" s="31" t="s">
        <v>49</v>
      </c>
      <c r="G6868" s="32" t="s">
        <v>50</v>
      </c>
      <c r="H6868" s="33">
        <v>1888</v>
      </c>
      <c r="I6868" s="34">
        <f>Table3[[#This Row],[Volume, kg.]]/1000</f>
        <v>1.8879999999999999</v>
      </c>
      <c r="J6868" s="34">
        <v>0.24850000000000003</v>
      </c>
      <c r="K6868" s="34">
        <f t="shared" si="216"/>
        <v>469.16800000000006</v>
      </c>
      <c r="L6868" s="34">
        <v>2.75</v>
      </c>
      <c r="M6868" s="34">
        <v>5192</v>
      </c>
      <c r="N6868" s="34">
        <f t="shared" si="217"/>
        <v>11.066398390342052</v>
      </c>
    </row>
    <row r="6869" spans="1:14" x14ac:dyDescent="0.45">
      <c r="A6869" s="30">
        <v>2026</v>
      </c>
      <c r="B6869" s="30" t="s">
        <v>9</v>
      </c>
      <c r="C6869" s="30" t="s">
        <v>46</v>
      </c>
      <c r="D6869" s="30" t="s">
        <v>47</v>
      </c>
      <c r="E6869" s="31" t="s">
        <v>465</v>
      </c>
      <c r="F6869" s="31" t="s">
        <v>57</v>
      </c>
      <c r="G6869" s="32" t="s">
        <v>50</v>
      </c>
      <c r="H6869" s="33">
        <v>13669</v>
      </c>
      <c r="I6869" s="34">
        <f>Table3[[#This Row],[Volume, kg.]]/1000</f>
        <v>13.669</v>
      </c>
      <c r="J6869" s="34">
        <v>0.3165</v>
      </c>
      <c r="K6869" s="34">
        <f t="shared" si="216"/>
        <v>4326.2385000000004</v>
      </c>
      <c r="L6869" s="34">
        <v>3.02</v>
      </c>
      <c r="M6869" s="34">
        <v>41266.85</v>
      </c>
      <c r="N6869" s="34">
        <f t="shared" si="217"/>
        <v>9.5418641390205376</v>
      </c>
    </row>
    <row r="6870" spans="1:14" x14ac:dyDescent="0.45">
      <c r="A6870" s="30">
        <v>2026</v>
      </c>
      <c r="B6870" s="30" t="s">
        <v>9</v>
      </c>
      <c r="C6870" s="30" t="s">
        <v>46</v>
      </c>
      <c r="D6870" s="30" t="s">
        <v>47</v>
      </c>
      <c r="E6870" s="31" t="s">
        <v>385</v>
      </c>
      <c r="F6870" s="31" t="s">
        <v>57</v>
      </c>
      <c r="G6870" s="32" t="s">
        <v>50</v>
      </c>
      <c r="H6870" s="33">
        <v>31817</v>
      </c>
      <c r="I6870" s="34">
        <f>Table3[[#This Row],[Volume, kg.]]/1000</f>
        <v>31.817</v>
      </c>
      <c r="J6870" s="34">
        <v>0.28029999999999999</v>
      </c>
      <c r="K6870" s="34">
        <f t="shared" si="216"/>
        <v>8918.3050999999996</v>
      </c>
      <c r="L6870" s="34">
        <v>2.9</v>
      </c>
      <c r="M6870" s="34">
        <v>92269.3</v>
      </c>
      <c r="N6870" s="34">
        <f t="shared" si="217"/>
        <v>10.346057795219407</v>
      </c>
    </row>
    <row r="6871" spans="1:14" x14ac:dyDescent="0.45">
      <c r="A6871" s="30">
        <v>2026</v>
      </c>
      <c r="B6871" s="30" t="s">
        <v>9</v>
      </c>
      <c r="C6871" s="30" t="s">
        <v>46</v>
      </c>
      <c r="D6871" s="30" t="s">
        <v>47</v>
      </c>
      <c r="E6871" s="31" t="s">
        <v>86</v>
      </c>
      <c r="F6871" s="31" t="s">
        <v>49</v>
      </c>
      <c r="G6871" s="32" t="s">
        <v>50</v>
      </c>
      <c r="H6871" s="33">
        <v>71887</v>
      </c>
      <c r="I6871" s="34">
        <f>Table3[[#This Row],[Volume, kg.]]/1000</f>
        <v>71.887</v>
      </c>
      <c r="J6871" s="34">
        <v>0.2641</v>
      </c>
      <c r="K6871" s="34">
        <f t="shared" si="216"/>
        <v>18985.3567</v>
      </c>
      <c r="L6871" s="34">
        <v>2.82</v>
      </c>
      <c r="M6871" s="34">
        <v>202941.25</v>
      </c>
      <c r="N6871" s="34">
        <f t="shared" si="217"/>
        <v>10.677773570617189</v>
      </c>
    </row>
    <row r="6872" spans="1:14" x14ac:dyDescent="0.45">
      <c r="A6872" s="30">
        <v>2026</v>
      </c>
      <c r="B6872" s="30" t="s">
        <v>9</v>
      </c>
      <c r="C6872" s="30" t="s">
        <v>46</v>
      </c>
      <c r="D6872" s="30" t="s">
        <v>47</v>
      </c>
      <c r="E6872" s="31" t="s">
        <v>451</v>
      </c>
      <c r="F6872" s="31" t="s">
        <v>54</v>
      </c>
      <c r="G6872" s="32" t="s">
        <v>50</v>
      </c>
      <c r="H6872" s="33">
        <v>19838</v>
      </c>
      <c r="I6872" s="34">
        <f>Table3[[#This Row],[Volume, kg.]]/1000</f>
        <v>19.838000000000001</v>
      </c>
      <c r="J6872" s="34">
        <v>0.27610000000000001</v>
      </c>
      <c r="K6872" s="34">
        <f t="shared" si="216"/>
        <v>5477.2718000000004</v>
      </c>
      <c r="L6872" s="34">
        <v>2.85</v>
      </c>
      <c r="M6872" s="34">
        <v>56533.15</v>
      </c>
      <c r="N6872" s="34">
        <f t="shared" si="217"/>
        <v>10.32234697573343</v>
      </c>
    </row>
    <row r="6873" spans="1:14" x14ac:dyDescent="0.45">
      <c r="A6873" s="30">
        <v>2026</v>
      </c>
      <c r="B6873" s="30" t="s">
        <v>9</v>
      </c>
      <c r="C6873" s="30" t="s">
        <v>46</v>
      </c>
      <c r="D6873" s="30" t="s">
        <v>47</v>
      </c>
      <c r="E6873" s="31" t="s">
        <v>431</v>
      </c>
      <c r="F6873" s="31" t="s">
        <v>49</v>
      </c>
      <c r="G6873" s="32" t="s">
        <v>50</v>
      </c>
      <c r="H6873" s="33">
        <v>20059</v>
      </c>
      <c r="I6873" s="34">
        <f>Table3[[#This Row],[Volume, kg.]]/1000</f>
        <v>20.059000000000001</v>
      </c>
      <c r="J6873" s="34">
        <v>0.2535</v>
      </c>
      <c r="K6873" s="34">
        <f t="shared" si="216"/>
        <v>5084.9565000000002</v>
      </c>
      <c r="L6873" s="34">
        <v>2.77</v>
      </c>
      <c r="M6873" s="34">
        <v>55565</v>
      </c>
      <c r="N6873" s="34">
        <f t="shared" si="217"/>
        <v>10.927021696252465</v>
      </c>
    </row>
    <row r="6874" spans="1:14" x14ac:dyDescent="0.45">
      <c r="A6874" s="30">
        <v>2026</v>
      </c>
      <c r="B6874" s="30" t="s">
        <v>9</v>
      </c>
      <c r="C6874" s="30" t="s">
        <v>46</v>
      </c>
      <c r="D6874" s="30" t="s">
        <v>47</v>
      </c>
      <c r="E6874" s="31" t="s">
        <v>167</v>
      </c>
      <c r="F6874" s="31" t="s">
        <v>49</v>
      </c>
      <c r="G6874" s="32" t="s">
        <v>50</v>
      </c>
      <c r="H6874" s="33">
        <v>43925</v>
      </c>
      <c r="I6874" s="34">
        <f>Table3[[#This Row],[Volume, kg.]]/1000</f>
        <v>43.924999999999997</v>
      </c>
      <c r="J6874" s="34">
        <v>0.24579999999999999</v>
      </c>
      <c r="K6874" s="34">
        <f t="shared" si="216"/>
        <v>10796.764999999999</v>
      </c>
      <c r="L6874" s="34">
        <v>2.73</v>
      </c>
      <c r="M6874" s="34">
        <v>119899.05</v>
      </c>
      <c r="N6874" s="34">
        <f t="shared" si="217"/>
        <v>11.106590724165988</v>
      </c>
    </row>
    <row r="6875" spans="1:14" x14ac:dyDescent="0.45">
      <c r="A6875" s="30">
        <v>2026</v>
      </c>
      <c r="B6875" s="30" t="s">
        <v>9</v>
      </c>
      <c r="C6875" s="30" t="s">
        <v>46</v>
      </c>
      <c r="D6875" s="30" t="s">
        <v>47</v>
      </c>
      <c r="E6875" s="31" t="s">
        <v>329</v>
      </c>
      <c r="F6875" s="31" t="s">
        <v>49</v>
      </c>
      <c r="G6875" s="32" t="s">
        <v>50</v>
      </c>
      <c r="H6875" s="33">
        <v>24463</v>
      </c>
      <c r="I6875" s="34">
        <f>Table3[[#This Row],[Volume, kg.]]/1000</f>
        <v>24.463000000000001</v>
      </c>
      <c r="J6875" s="34">
        <v>0.27060000000000001</v>
      </c>
      <c r="K6875" s="34">
        <f t="shared" si="216"/>
        <v>6619.6878000000006</v>
      </c>
      <c r="L6875" s="34">
        <v>2.8</v>
      </c>
      <c r="M6875" s="34">
        <v>68594.100000000006</v>
      </c>
      <c r="N6875" s="34">
        <f t="shared" si="217"/>
        <v>10.347376201034736</v>
      </c>
    </row>
    <row r="6876" spans="1:14" x14ac:dyDescent="0.45">
      <c r="A6876" s="30">
        <v>2026</v>
      </c>
      <c r="B6876" s="30" t="s">
        <v>9</v>
      </c>
      <c r="C6876" s="30" t="s">
        <v>46</v>
      </c>
      <c r="D6876" s="30" t="s">
        <v>47</v>
      </c>
      <c r="E6876" s="31" t="s">
        <v>190</v>
      </c>
      <c r="F6876" s="31" t="s">
        <v>81</v>
      </c>
      <c r="G6876" s="32" t="s">
        <v>50</v>
      </c>
      <c r="H6876" s="33">
        <v>53144</v>
      </c>
      <c r="I6876" s="34">
        <f>Table3[[#This Row],[Volume, kg.]]/1000</f>
        <v>53.143999999999998</v>
      </c>
      <c r="J6876" s="34">
        <v>0.27589999999999998</v>
      </c>
      <c r="K6876" s="34">
        <f t="shared" si="216"/>
        <v>14662.429599999999</v>
      </c>
      <c r="L6876" s="34">
        <v>2.89</v>
      </c>
      <c r="M6876" s="34">
        <v>153666.4</v>
      </c>
      <c r="N6876" s="34">
        <f t="shared" si="217"/>
        <v>10.474809713664373</v>
      </c>
    </row>
    <row r="6877" spans="1:14" x14ac:dyDescent="0.45">
      <c r="A6877" s="30">
        <v>2026</v>
      </c>
      <c r="B6877" s="30" t="s">
        <v>9</v>
      </c>
      <c r="C6877" s="30" t="s">
        <v>46</v>
      </c>
      <c r="D6877" s="30" t="s">
        <v>47</v>
      </c>
      <c r="E6877" s="31" t="s">
        <v>241</v>
      </c>
      <c r="F6877" s="31" t="s">
        <v>57</v>
      </c>
      <c r="G6877" s="32" t="s">
        <v>50</v>
      </c>
      <c r="H6877" s="33">
        <v>39417</v>
      </c>
      <c r="I6877" s="34">
        <f>Table3[[#This Row],[Volume, kg.]]/1000</f>
        <v>39.417000000000002</v>
      </c>
      <c r="J6877" s="34">
        <v>0.29680000000000001</v>
      </c>
      <c r="K6877" s="34">
        <f t="shared" si="216"/>
        <v>11698.9656</v>
      </c>
      <c r="L6877" s="34">
        <v>2.95</v>
      </c>
      <c r="M6877" s="34">
        <v>116232.05</v>
      </c>
      <c r="N6877" s="34">
        <f t="shared" si="217"/>
        <v>9.9393530997304591</v>
      </c>
    </row>
    <row r="6878" spans="1:14" x14ac:dyDescent="0.45">
      <c r="A6878" s="30">
        <v>2026</v>
      </c>
      <c r="B6878" s="30" t="s">
        <v>9</v>
      </c>
      <c r="C6878" s="30" t="s">
        <v>46</v>
      </c>
      <c r="D6878" s="30" t="s">
        <v>47</v>
      </c>
      <c r="E6878" s="31" t="s">
        <v>308</v>
      </c>
      <c r="F6878" s="31" t="s">
        <v>81</v>
      </c>
      <c r="G6878" s="32" t="s">
        <v>50</v>
      </c>
      <c r="H6878" s="33">
        <v>23706</v>
      </c>
      <c r="I6878" s="34">
        <f>Table3[[#This Row],[Volume, kg.]]/1000</f>
        <v>23.706</v>
      </c>
      <c r="J6878" s="34">
        <v>0.25469999999999998</v>
      </c>
      <c r="K6878" s="34">
        <f t="shared" si="216"/>
        <v>6037.9181999999992</v>
      </c>
      <c r="L6878" s="34">
        <v>2.73</v>
      </c>
      <c r="M6878" s="34">
        <v>64676.4</v>
      </c>
      <c r="N6878" s="34">
        <f t="shared" si="217"/>
        <v>10.718492343934042</v>
      </c>
    </row>
    <row r="6879" spans="1:14" x14ac:dyDescent="0.45">
      <c r="A6879" s="30">
        <v>2026</v>
      </c>
      <c r="B6879" s="30" t="s">
        <v>9</v>
      </c>
      <c r="C6879" s="30" t="s">
        <v>46</v>
      </c>
      <c r="D6879" s="30" t="s">
        <v>47</v>
      </c>
      <c r="E6879" s="31" t="s">
        <v>236</v>
      </c>
      <c r="F6879" s="31" t="s">
        <v>49</v>
      </c>
      <c r="G6879" s="32" t="s">
        <v>50</v>
      </c>
      <c r="H6879" s="33">
        <v>5574</v>
      </c>
      <c r="I6879" s="34">
        <f>Table3[[#This Row],[Volume, kg.]]/1000</f>
        <v>5.5739999999999998</v>
      </c>
      <c r="J6879" s="34">
        <v>0.26250000000000001</v>
      </c>
      <c r="K6879" s="34">
        <f t="shared" si="216"/>
        <v>1463.175</v>
      </c>
      <c r="L6879" s="34">
        <v>2.75</v>
      </c>
      <c r="M6879" s="34">
        <v>15328.5</v>
      </c>
      <c r="N6879" s="34">
        <f t="shared" si="217"/>
        <v>10.476190476190476</v>
      </c>
    </row>
    <row r="6880" spans="1:14" x14ac:dyDescent="0.45">
      <c r="A6880" s="30">
        <v>2026</v>
      </c>
      <c r="B6880" s="30" t="s">
        <v>9</v>
      </c>
      <c r="C6880" s="30" t="s">
        <v>46</v>
      </c>
      <c r="D6880" s="30" t="s">
        <v>47</v>
      </c>
      <c r="E6880" s="31" t="s">
        <v>70</v>
      </c>
      <c r="F6880" s="31" t="s">
        <v>49</v>
      </c>
      <c r="G6880" s="32" t="s">
        <v>50</v>
      </c>
      <c r="H6880" s="33">
        <v>206722</v>
      </c>
      <c r="I6880" s="34">
        <f>Table3[[#This Row],[Volume, kg.]]/1000</f>
        <v>206.72200000000001</v>
      </c>
      <c r="J6880" s="34">
        <v>0.30579999999999996</v>
      </c>
      <c r="K6880" s="34">
        <f t="shared" si="216"/>
        <v>63215.587599999992</v>
      </c>
      <c r="L6880" s="34">
        <v>3.02</v>
      </c>
      <c r="M6880" s="34">
        <v>625030.15</v>
      </c>
      <c r="N6880" s="34">
        <f t="shared" si="217"/>
        <v>9.8757357750163521</v>
      </c>
    </row>
    <row r="6881" spans="1:14" x14ac:dyDescent="0.45">
      <c r="A6881" s="30">
        <v>2026</v>
      </c>
      <c r="B6881" s="30" t="s">
        <v>9</v>
      </c>
      <c r="C6881" s="30" t="s">
        <v>46</v>
      </c>
      <c r="D6881" s="30" t="s">
        <v>47</v>
      </c>
      <c r="E6881" s="31" t="s">
        <v>265</v>
      </c>
      <c r="F6881" s="31" t="s">
        <v>49</v>
      </c>
      <c r="G6881" s="32" t="s">
        <v>50</v>
      </c>
      <c r="H6881" s="33">
        <v>5115</v>
      </c>
      <c r="I6881" s="34">
        <f>Table3[[#This Row],[Volume, kg.]]/1000</f>
        <v>5.1150000000000002</v>
      </c>
      <c r="J6881" s="34">
        <v>0.28199999999999997</v>
      </c>
      <c r="K6881" s="34">
        <f t="shared" si="216"/>
        <v>1442.4299999999998</v>
      </c>
      <c r="L6881" s="34">
        <v>2.9</v>
      </c>
      <c r="M6881" s="34">
        <v>14833.5</v>
      </c>
      <c r="N6881" s="34">
        <f t="shared" si="217"/>
        <v>10.283687943262413</v>
      </c>
    </row>
    <row r="6882" spans="1:14" x14ac:dyDescent="0.45">
      <c r="A6882" s="30">
        <v>2026</v>
      </c>
      <c r="B6882" s="30" t="s">
        <v>9</v>
      </c>
      <c r="C6882" s="30" t="s">
        <v>46</v>
      </c>
      <c r="D6882" s="30" t="s">
        <v>47</v>
      </c>
      <c r="E6882" s="31" t="s">
        <v>283</v>
      </c>
      <c r="F6882" s="31" t="s">
        <v>49</v>
      </c>
      <c r="G6882" s="32" t="s">
        <v>50</v>
      </c>
      <c r="H6882" s="33">
        <v>5769</v>
      </c>
      <c r="I6882" s="34">
        <f>Table3[[#This Row],[Volume, kg.]]/1000</f>
        <v>5.7690000000000001</v>
      </c>
      <c r="J6882" s="34">
        <v>0.248</v>
      </c>
      <c r="K6882" s="34">
        <f t="shared" si="216"/>
        <v>1430.712</v>
      </c>
      <c r="L6882" s="34">
        <v>2.75</v>
      </c>
      <c r="M6882" s="34">
        <v>15864.75</v>
      </c>
      <c r="N6882" s="34">
        <f t="shared" si="217"/>
        <v>11.088709677419354</v>
      </c>
    </row>
    <row r="6883" spans="1:14" x14ac:dyDescent="0.45">
      <c r="A6883" s="30">
        <v>2026</v>
      </c>
      <c r="B6883" s="30" t="s">
        <v>9</v>
      </c>
      <c r="C6883" s="30" t="s">
        <v>46</v>
      </c>
      <c r="D6883" s="30" t="s">
        <v>47</v>
      </c>
      <c r="E6883" s="31" t="s">
        <v>299</v>
      </c>
      <c r="F6883" s="31" t="s">
        <v>49</v>
      </c>
      <c r="G6883" s="32" t="s">
        <v>50</v>
      </c>
      <c r="H6883" s="33">
        <v>2386</v>
      </c>
      <c r="I6883" s="34">
        <f>Table3[[#This Row],[Volume, kg.]]/1000</f>
        <v>2.3860000000000001</v>
      </c>
      <c r="J6883" s="34">
        <v>0.25600000000000001</v>
      </c>
      <c r="K6883" s="34">
        <f t="shared" si="216"/>
        <v>610.81600000000003</v>
      </c>
      <c r="L6883" s="34">
        <v>2.8</v>
      </c>
      <c r="M6883" s="34">
        <v>6680.8</v>
      </c>
      <c r="N6883" s="34">
        <f t="shared" si="217"/>
        <v>10.937499999999998</v>
      </c>
    </row>
    <row r="6884" spans="1:14" x14ac:dyDescent="0.45">
      <c r="A6884" s="30">
        <v>2026</v>
      </c>
      <c r="B6884" s="30" t="s">
        <v>9</v>
      </c>
      <c r="C6884" s="30" t="s">
        <v>46</v>
      </c>
      <c r="D6884" s="30" t="s">
        <v>47</v>
      </c>
      <c r="E6884" s="31" t="s">
        <v>122</v>
      </c>
      <c r="F6884" s="31" t="s">
        <v>49</v>
      </c>
      <c r="G6884" s="32" t="s">
        <v>50</v>
      </c>
      <c r="H6884" s="33">
        <v>1652</v>
      </c>
      <c r="I6884" s="34">
        <f>Table3[[#This Row],[Volume, kg.]]/1000</f>
        <v>1.6519999999999999</v>
      </c>
      <c r="J6884" s="34">
        <v>0.20749999999999999</v>
      </c>
      <c r="K6884" s="34">
        <f t="shared" si="216"/>
        <v>342.78999999999996</v>
      </c>
      <c r="L6884" s="34">
        <v>2.5499999999999998</v>
      </c>
      <c r="M6884" s="34">
        <v>4212.6000000000004</v>
      </c>
      <c r="N6884" s="34">
        <f t="shared" si="217"/>
        <v>12.289156626506024</v>
      </c>
    </row>
    <row r="6885" spans="1:14" x14ac:dyDescent="0.45">
      <c r="A6885" s="30">
        <v>2026</v>
      </c>
      <c r="B6885" s="30" t="s">
        <v>9</v>
      </c>
      <c r="C6885" s="30" t="s">
        <v>46</v>
      </c>
      <c r="D6885" s="30" t="s">
        <v>47</v>
      </c>
      <c r="E6885" s="31" t="s">
        <v>667</v>
      </c>
      <c r="F6885" s="31" t="s">
        <v>60</v>
      </c>
      <c r="G6885" s="32" t="s">
        <v>50</v>
      </c>
      <c r="H6885" s="33">
        <v>7959</v>
      </c>
      <c r="I6885" s="34">
        <f>Table3[[#This Row],[Volume, kg.]]/1000</f>
        <v>7.9589999999999996</v>
      </c>
      <c r="J6885" s="34">
        <v>0.23469999999999999</v>
      </c>
      <c r="K6885" s="34">
        <f t="shared" si="216"/>
        <v>1867.9773</v>
      </c>
      <c r="L6885" s="34">
        <v>2.7</v>
      </c>
      <c r="M6885" s="34">
        <v>21489.3</v>
      </c>
      <c r="N6885" s="34">
        <f t="shared" si="217"/>
        <v>11.504047720494249</v>
      </c>
    </row>
    <row r="6886" spans="1:14" x14ac:dyDescent="0.45">
      <c r="A6886" s="30">
        <v>2026</v>
      </c>
      <c r="B6886" s="30" t="s">
        <v>9</v>
      </c>
      <c r="C6886" s="30" t="s">
        <v>46</v>
      </c>
      <c r="D6886" s="30" t="s">
        <v>47</v>
      </c>
      <c r="E6886" s="31" t="s">
        <v>356</v>
      </c>
      <c r="F6886" s="31" t="s">
        <v>49</v>
      </c>
      <c r="G6886" s="32" t="s">
        <v>50</v>
      </c>
      <c r="H6886" s="33">
        <v>5304</v>
      </c>
      <c r="I6886" s="34">
        <f>Table3[[#This Row],[Volume, kg.]]/1000</f>
        <v>5.3040000000000003</v>
      </c>
      <c r="J6886" s="34">
        <v>0.30670000000000003</v>
      </c>
      <c r="K6886" s="34">
        <f t="shared" si="216"/>
        <v>1626.7368000000001</v>
      </c>
      <c r="L6886" s="34">
        <v>2.98</v>
      </c>
      <c r="M6886" s="34">
        <v>15782.35</v>
      </c>
      <c r="N6886" s="34">
        <f t="shared" si="217"/>
        <v>9.7163351809585912</v>
      </c>
    </row>
    <row r="6887" spans="1:14" x14ac:dyDescent="0.45">
      <c r="A6887" s="30">
        <v>2026</v>
      </c>
      <c r="B6887" s="30" t="s">
        <v>9</v>
      </c>
      <c r="C6887" s="30" t="s">
        <v>46</v>
      </c>
      <c r="D6887" s="30" t="s">
        <v>102</v>
      </c>
      <c r="E6887" s="31" t="s">
        <v>656</v>
      </c>
      <c r="F6887" s="31" t="s">
        <v>657</v>
      </c>
      <c r="G6887" s="32" t="s">
        <v>119</v>
      </c>
      <c r="H6887" s="33">
        <v>41750</v>
      </c>
      <c r="I6887" s="34">
        <f>Table3[[#This Row],[Volume, kg.]]/1000</f>
        <v>41.75</v>
      </c>
      <c r="J6887" s="34">
        <v>0.2298</v>
      </c>
      <c r="K6887" s="34">
        <f t="shared" si="216"/>
        <v>9594.15</v>
      </c>
      <c r="L6887" s="34">
        <v>2.73</v>
      </c>
      <c r="M6887" s="34">
        <v>113769.5</v>
      </c>
      <c r="N6887" s="34">
        <f t="shared" si="217"/>
        <v>11.879895561357703</v>
      </c>
    </row>
    <row r="6888" spans="1:14" x14ac:dyDescent="0.45">
      <c r="A6888" s="30">
        <v>2026</v>
      </c>
      <c r="B6888" s="30" t="s">
        <v>9</v>
      </c>
      <c r="C6888" s="30" t="s">
        <v>46</v>
      </c>
      <c r="D6888" s="30" t="s">
        <v>47</v>
      </c>
      <c r="E6888" s="31" t="s">
        <v>306</v>
      </c>
      <c r="F6888" s="31" t="s">
        <v>60</v>
      </c>
      <c r="G6888" s="32" t="s">
        <v>50</v>
      </c>
      <c r="H6888" s="33">
        <v>2346</v>
      </c>
      <c r="I6888" s="34">
        <f>Table3[[#This Row],[Volume, kg.]]/1000</f>
        <v>2.3460000000000001</v>
      </c>
      <c r="J6888" s="34">
        <v>0.28999999999999998</v>
      </c>
      <c r="K6888" s="34">
        <f t="shared" si="216"/>
        <v>680.33999999999992</v>
      </c>
      <c r="L6888" s="34">
        <v>2.95</v>
      </c>
      <c r="M6888" s="34">
        <v>6920.7</v>
      </c>
      <c r="N6888" s="34">
        <f t="shared" si="217"/>
        <v>10.17241379310345</v>
      </c>
    </row>
    <row r="6889" spans="1:14" x14ac:dyDescent="0.45">
      <c r="A6889" s="30">
        <v>2026</v>
      </c>
      <c r="B6889" s="30" t="s">
        <v>9</v>
      </c>
      <c r="C6889" s="30" t="s">
        <v>46</v>
      </c>
      <c r="D6889" s="30" t="s">
        <v>47</v>
      </c>
      <c r="E6889" s="31" t="s">
        <v>458</v>
      </c>
      <c r="F6889" s="31" t="s">
        <v>60</v>
      </c>
      <c r="G6889" s="32" t="s">
        <v>50</v>
      </c>
      <c r="H6889" s="33">
        <v>6826</v>
      </c>
      <c r="I6889" s="34">
        <f>Table3[[#This Row],[Volume, kg.]]/1000</f>
        <v>6.8259999999999996</v>
      </c>
      <c r="J6889" s="34">
        <v>0.3145</v>
      </c>
      <c r="K6889" s="34">
        <f t="shared" si="216"/>
        <v>2146.777</v>
      </c>
      <c r="L6889" s="34">
        <v>3.05</v>
      </c>
      <c r="M6889" s="34">
        <v>20819.3</v>
      </c>
      <c r="N6889" s="34">
        <f t="shared" si="217"/>
        <v>9.6979332273449916</v>
      </c>
    </row>
    <row r="6890" spans="1:14" x14ac:dyDescent="0.45">
      <c r="A6890" s="30">
        <v>2026</v>
      </c>
      <c r="B6890" s="30" t="s">
        <v>9</v>
      </c>
      <c r="C6890" s="30" t="s">
        <v>46</v>
      </c>
      <c r="D6890" s="30" t="s">
        <v>47</v>
      </c>
      <c r="E6890" s="31" t="s">
        <v>206</v>
      </c>
      <c r="F6890" s="31" t="s">
        <v>81</v>
      </c>
      <c r="G6890" s="32" t="s">
        <v>50</v>
      </c>
      <c r="H6890" s="33">
        <v>226852</v>
      </c>
      <c r="I6890" s="34">
        <f>Table3[[#This Row],[Volume, kg.]]/1000</f>
        <v>226.852</v>
      </c>
      <c r="J6890" s="34">
        <v>0.28139999999999998</v>
      </c>
      <c r="K6890" s="34">
        <f t="shared" si="216"/>
        <v>63836.152799999996</v>
      </c>
      <c r="L6890" s="34">
        <v>2.89</v>
      </c>
      <c r="M6890" s="34">
        <v>656114.19999999995</v>
      </c>
      <c r="N6890" s="34">
        <f t="shared" si="217"/>
        <v>10.270078180525942</v>
      </c>
    </row>
    <row r="6891" spans="1:14" x14ac:dyDescent="0.45">
      <c r="A6891" s="30">
        <v>2026</v>
      </c>
      <c r="B6891" s="30" t="s">
        <v>9</v>
      </c>
      <c r="C6891" s="30" t="s">
        <v>46</v>
      </c>
      <c r="D6891" s="30" t="s">
        <v>47</v>
      </c>
      <c r="E6891" s="31" t="s">
        <v>98</v>
      </c>
      <c r="F6891" s="31" t="s">
        <v>49</v>
      </c>
      <c r="G6891" s="32" t="s">
        <v>50</v>
      </c>
      <c r="H6891" s="33">
        <v>49041</v>
      </c>
      <c r="I6891" s="34">
        <f>Table3[[#This Row],[Volume, kg.]]/1000</f>
        <v>49.040999999999997</v>
      </c>
      <c r="J6891" s="34">
        <v>0.27410000000000001</v>
      </c>
      <c r="K6891" s="34">
        <f t="shared" si="216"/>
        <v>13442.1381</v>
      </c>
      <c r="L6891" s="34">
        <v>2.87</v>
      </c>
      <c r="M6891" s="34">
        <v>140781.85</v>
      </c>
      <c r="N6891" s="34">
        <f t="shared" si="217"/>
        <v>10.470631156512221</v>
      </c>
    </row>
    <row r="6892" spans="1:14" x14ac:dyDescent="0.45">
      <c r="A6892" s="30">
        <v>2026</v>
      </c>
      <c r="B6892" s="30" t="s">
        <v>9</v>
      </c>
      <c r="C6892" s="30" t="s">
        <v>46</v>
      </c>
      <c r="D6892" s="30" t="s">
        <v>47</v>
      </c>
      <c r="E6892" s="31" t="s">
        <v>129</v>
      </c>
      <c r="F6892" s="31" t="s">
        <v>57</v>
      </c>
      <c r="G6892" s="32" t="s">
        <v>50</v>
      </c>
      <c r="H6892" s="33">
        <v>7006</v>
      </c>
      <c r="I6892" s="34">
        <f>Table3[[#This Row],[Volume, kg.]]/1000</f>
        <v>7.0060000000000002</v>
      </c>
      <c r="J6892" s="34">
        <v>0.26879999999999998</v>
      </c>
      <c r="K6892" s="34">
        <f t="shared" si="216"/>
        <v>1883.2127999999998</v>
      </c>
      <c r="L6892" s="34">
        <v>2.85</v>
      </c>
      <c r="M6892" s="34">
        <v>19963</v>
      </c>
      <c r="N6892" s="34">
        <f t="shared" si="217"/>
        <v>10.602678571428573</v>
      </c>
    </row>
    <row r="6893" spans="1:14" x14ac:dyDescent="0.45">
      <c r="A6893" s="30">
        <v>2026</v>
      </c>
      <c r="B6893" s="30" t="s">
        <v>9</v>
      </c>
      <c r="C6893" s="30" t="s">
        <v>46</v>
      </c>
      <c r="D6893" s="30" t="s">
        <v>47</v>
      </c>
      <c r="E6893" s="31" t="s">
        <v>80</v>
      </c>
      <c r="F6893" s="31" t="s">
        <v>81</v>
      </c>
      <c r="G6893" s="32" t="s">
        <v>50</v>
      </c>
      <c r="H6893" s="33">
        <v>163890</v>
      </c>
      <c r="I6893" s="34">
        <f>Table3[[#This Row],[Volume, kg.]]/1000</f>
        <v>163.89</v>
      </c>
      <c r="J6893" s="34">
        <v>0.26839999999999997</v>
      </c>
      <c r="K6893" s="34">
        <f t="shared" si="216"/>
        <v>43988.075999999994</v>
      </c>
      <c r="L6893" s="34">
        <v>2.84</v>
      </c>
      <c r="M6893" s="34">
        <v>464812.1</v>
      </c>
      <c r="N6893" s="34">
        <f t="shared" si="217"/>
        <v>10.581222056631892</v>
      </c>
    </row>
    <row r="6894" spans="1:14" x14ac:dyDescent="0.45">
      <c r="A6894" s="30">
        <v>2026</v>
      </c>
      <c r="B6894" s="30" t="s">
        <v>9</v>
      </c>
      <c r="C6894" s="30" t="s">
        <v>46</v>
      </c>
      <c r="D6894" s="30" t="s">
        <v>47</v>
      </c>
      <c r="E6894" s="31" t="s">
        <v>267</v>
      </c>
      <c r="F6894" s="31" t="s">
        <v>57</v>
      </c>
      <c r="G6894" s="32" t="s">
        <v>50</v>
      </c>
      <c r="H6894" s="33">
        <v>3688</v>
      </c>
      <c r="I6894" s="34">
        <f>Table3[[#This Row],[Volume, kg.]]/1000</f>
        <v>3.6880000000000002</v>
      </c>
      <c r="J6894" s="34">
        <v>0.24850000000000003</v>
      </c>
      <c r="K6894" s="34">
        <f t="shared" si="216"/>
        <v>916.46800000000007</v>
      </c>
      <c r="L6894" s="34">
        <v>2.75</v>
      </c>
      <c r="M6894" s="34">
        <v>10142</v>
      </c>
      <c r="N6894" s="34">
        <f t="shared" si="217"/>
        <v>11.066398390342052</v>
      </c>
    </row>
    <row r="6895" spans="1:14" x14ac:dyDescent="0.45">
      <c r="A6895" s="30">
        <v>2026</v>
      </c>
      <c r="B6895" s="30" t="s">
        <v>9</v>
      </c>
      <c r="C6895" s="30" t="s">
        <v>46</v>
      </c>
      <c r="D6895" s="30" t="s">
        <v>102</v>
      </c>
      <c r="E6895" s="31" t="s">
        <v>103</v>
      </c>
      <c r="F6895" s="31" t="s">
        <v>104</v>
      </c>
      <c r="G6895" s="32" t="s">
        <v>105</v>
      </c>
      <c r="H6895" s="33">
        <v>1920430</v>
      </c>
      <c r="I6895" s="34">
        <f>Table3[[#This Row],[Volume, kg.]]/1000</f>
        <v>1920.43</v>
      </c>
      <c r="J6895" s="34">
        <v>0.28059999999999996</v>
      </c>
      <c r="K6895" s="34">
        <f t="shared" si="216"/>
        <v>538872.65799999994</v>
      </c>
      <c r="L6895" s="34">
        <v>2.98</v>
      </c>
      <c r="M6895" s="34">
        <v>5727516.5</v>
      </c>
      <c r="N6895" s="34">
        <f t="shared" si="217"/>
        <v>10.620099786172489</v>
      </c>
    </row>
    <row r="6896" spans="1:14" x14ac:dyDescent="0.45">
      <c r="A6896" s="30">
        <v>2026</v>
      </c>
      <c r="B6896" s="30" t="s">
        <v>9</v>
      </c>
      <c r="C6896" s="30" t="s">
        <v>46</v>
      </c>
      <c r="D6896" s="30" t="s">
        <v>47</v>
      </c>
      <c r="E6896" s="31" t="s">
        <v>261</v>
      </c>
      <c r="F6896" s="31" t="s">
        <v>81</v>
      </c>
      <c r="G6896" s="32" t="s">
        <v>50</v>
      </c>
      <c r="H6896" s="33">
        <v>16145</v>
      </c>
      <c r="I6896" s="34">
        <f>Table3[[#This Row],[Volume, kg.]]/1000</f>
        <v>16.145</v>
      </c>
      <c r="J6896" s="34">
        <v>0.27949999999999997</v>
      </c>
      <c r="K6896" s="34">
        <f t="shared" si="216"/>
        <v>4512.5274999999992</v>
      </c>
      <c r="L6896" s="34">
        <v>2.95</v>
      </c>
      <c r="M6896" s="34">
        <v>47627.75</v>
      </c>
      <c r="N6896" s="34">
        <f t="shared" si="217"/>
        <v>10.554561717352417</v>
      </c>
    </row>
    <row r="6897" spans="1:14" x14ac:dyDescent="0.45">
      <c r="A6897" s="30">
        <v>2026</v>
      </c>
      <c r="B6897" s="30" t="s">
        <v>9</v>
      </c>
      <c r="C6897" s="30" t="s">
        <v>46</v>
      </c>
      <c r="D6897" s="30" t="s">
        <v>102</v>
      </c>
      <c r="E6897" s="31" t="s">
        <v>771</v>
      </c>
      <c r="F6897" s="31" t="s">
        <v>772</v>
      </c>
      <c r="G6897" s="32" t="s">
        <v>773</v>
      </c>
      <c r="H6897" s="33">
        <v>843220</v>
      </c>
      <c r="I6897" s="34">
        <f>Table3[[#This Row],[Volume, kg.]]/1000</f>
        <v>843.22</v>
      </c>
      <c r="J6897" s="34">
        <v>0.25900000000000001</v>
      </c>
      <c r="K6897" s="34">
        <f t="shared" si="216"/>
        <v>218393.98</v>
      </c>
      <c r="L6897" s="34">
        <v>2.87</v>
      </c>
      <c r="M6897" s="34">
        <v>2418361.5</v>
      </c>
      <c r="N6897" s="34">
        <f t="shared" si="217"/>
        <v>11.081081081081081</v>
      </c>
    </row>
    <row r="6898" spans="1:14" x14ac:dyDescent="0.45">
      <c r="A6898" s="30">
        <v>2026</v>
      </c>
      <c r="B6898" s="30" t="s">
        <v>9</v>
      </c>
      <c r="C6898" s="30" t="s">
        <v>46</v>
      </c>
      <c r="D6898" s="30" t="s">
        <v>47</v>
      </c>
      <c r="E6898" s="31" t="s">
        <v>274</v>
      </c>
      <c r="F6898" s="31" t="s">
        <v>49</v>
      </c>
      <c r="G6898" s="32" t="s">
        <v>50</v>
      </c>
      <c r="H6898" s="33">
        <v>10068</v>
      </c>
      <c r="I6898" s="34">
        <f>Table3[[#This Row],[Volume, kg.]]/1000</f>
        <v>10.068</v>
      </c>
      <c r="J6898" s="34">
        <v>0.24960000000000002</v>
      </c>
      <c r="K6898" s="34">
        <f t="shared" si="216"/>
        <v>2512.9728</v>
      </c>
      <c r="L6898" s="34">
        <v>2.72</v>
      </c>
      <c r="M6898" s="34">
        <v>27393.599999999999</v>
      </c>
      <c r="N6898" s="34">
        <f t="shared" si="217"/>
        <v>10.897435897435898</v>
      </c>
    </row>
    <row r="6899" spans="1:14" x14ac:dyDescent="0.45">
      <c r="A6899" s="30">
        <v>2026</v>
      </c>
      <c r="B6899" s="30" t="s">
        <v>9</v>
      </c>
      <c r="C6899" s="30" t="s">
        <v>46</v>
      </c>
      <c r="D6899" s="30" t="s">
        <v>102</v>
      </c>
      <c r="E6899" s="31" t="s">
        <v>691</v>
      </c>
      <c r="F6899" s="31" t="s">
        <v>657</v>
      </c>
      <c r="G6899" s="32" t="s">
        <v>119</v>
      </c>
      <c r="H6899" s="33">
        <v>781560</v>
      </c>
      <c r="I6899" s="34">
        <f>Table3[[#This Row],[Volume, kg.]]/1000</f>
        <v>781.56</v>
      </c>
      <c r="J6899" s="34">
        <v>0.27329999999999999</v>
      </c>
      <c r="K6899" s="34">
        <f t="shared" si="216"/>
        <v>213600.348</v>
      </c>
      <c r="L6899" s="34">
        <v>2.95</v>
      </c>
      <c r="M6899" s="34">
        <v>2308349.5</v>
      </c>
      <c r="N6899" s="34">
        <f t="shared" si="217"/>
        <v>10.793999268203441</v>
      </c>
    </row>
    <row r="6900" spans="1:14" x14ac:dyDescent="0.45">
      <c r="A6900" s="30">
        <v>2026</v>
      </c>
      <c r="B6900" s="30" t="s">
        <v>9</v>
      </c>
      <c r="C6900" s="30" t="s">
        <v>46</v>
      </c>
      <c r="D6900" s="30" t="s">
        <v>102</v>
      </c>
      <c r="E6900" s="31" t="s">
        <v>126</v>
      </c>
      <c r="F6900" s="31" t="s">
        <v>127</v>
      </c>
      <c r="G6900" s="32" t="s">
        <v>128</v>
      </c>
      <c r="H6900" s="33">
        <v>2951550</v>
      </c>
      <c r="I6900" s="34">
        <f>Table3[[#This Row],[Volume, kg.]]/1000</f>
        <v>2951.55</v>
      </c>
      <c r="J6900" s="34">
        <v>0.27600000000000002</v>
      </c>
      <c r="K6900" s="34">
        <f t="shared" si="216"/>
        <v>814627.8</v>
      </c>
      <c r="L6900" s="34">
        <v>2.96</v>
      </c>
      <c r="M6900" s="34">
        <v>8749847</v>
      </c>
      <c r="N6900" s="34">
        <f t="shared" si="217"/>
        <v>10.72463768115942</v>
      </c>
    </row>
    <row r="6901" spans="1:14" x14ac:dyDescent="0.45">
      <c r="A6901" s="30">
        <v>2026</v>
      </c>
      <c r="B6901" s="30" t="s">
        <v>9</v>
      </c>
      <c r="C6901" s="30" t="s">
        <v>46</v>
      </c>
      <c r="D6901" s="30" t="s">
        <v>102</v>
      </c>
      <c r="E6901" s="31" t="s">
        <v>117</v>
      </c>
      <c r="F6901" s="31" t="s">
        <v>118</v>
      </c>
      <c r="G6901" s="32" t="s">
        <v>119</v>
      </c>
      <c r="H6901" s="33">
        <v>958830</v>
      </c>
      <c r="I6901" s="34">
        <f>Table3[[#This Row],[Volume, kg.]]/1000</f>
        <v>958.83</v>
      </c>
      <c r="J6901" s="34">
        <v>0.27979999999999999</v>
      </c>
      <c r="K6901" s="34">
        <f t="shared" si="216"/>
        <v>268280.63400000002</v>
      </c>
      <c r="L6901" s="34">
        <v>2.99</v>
      </c>
      <c r="M6901" s="34">
        <v>2862863</v>
      </c>
      <c r="N6901" s="34">
        <f t="shared" si="217"/>
        <v>10.686204431736956</v>
      </c>
    </row>
    <row r="6902" spans="1:14" x14ac:dyDescent="0.45">
      <c r="A6902" s="30">
        <v>2026</v>
      </c>
      <c r="B6902" s="30" t="s">
        <v>9</v>
      </c>
      <c r="C6902" s="30" t="s">
        <v>46</v>
      </c>
      <c r="D6902" s="30" t="s">
        <v>47</v>
      </c>
      <c r="E6902" s="31" t="s">
        <v>204</v>
      </c>
      <c r="F6902" s="31" t="s">
        <v>49</v>
      </c>
      <c r="G6902" s="32" t="s">
        <v>50</v>
      </c>
      <c r="H6902" s="33">
        <v>57588</v>
      </c>
      <c r="I6902" s="34">
        <f>Table3[[#This Row],[Volume, kg.]]/1000</f>
        <v>57.588000000000001</v>
      </c>
      <c r="J6902" s="34">
        <v>0.29139999999999999</v>
      </c>
      <c r="K6902" s="34">
        <f t="shared" si="216"/>
        <v>16781.143199999999</v>
      </c>
      <c r="L6902" s="34">
        <v>2.97</v>
      </c>
      <c r="M6902" s="34">
        <v>170761.45</v>
      </c>
      <c r="N6902" s="34">
        <f t="shared" si="217"/>
        <v>10.192175703500345</v>
      </c>
    </row>
    <row r="6903" spans="1:14" x14ac:dyDescent="0.45">
      <c r="A6903" s="30">
        <v>2026</v>
      </c>
      <c r="B6903" s="30" t="s">
        <v>9</v>
      </c>
      <c r="C6903" s="30" t="s">
        <v>46</v>
      </c>
      <c r="D6903" s="30" t="s">
        <v>102</v>
      </c>
      <c r="E6903" s="31" t="s">
        <v>157</v>
      </c>
      <c r="F6903" s="31" t="s">
        <v>127</v>
      </c>
      <c r="G6903" s="32" t="s">
        <v>128</v>
      </c>
      <c r="H6903" s="33">
        <v>558600</v>
      </c>
      <c r="I6903" s="34">
        <f>Table3[[#This Row],[Volume, kg.]]/1000</f>
        <v>558.6</v>
      </c>
      <c r="J6903" s="34">
        <v>0.27140000000000003</v>
      </c>
      <c r="K6903" s="34">
        <f t="shared" si="216"/>
        <v>151604.04</v>
      </c>
      <c r="L6903" s="34">
        <v>2.94</v>
      </c>
      <c r="M6903" s="34">
        <v>1643350</v>
      </c>
      <c r="N6903" s="34">
        <f t="shared" si="217"/>
        <v>10.832719233603536</v>
      </c>
    </row>
    <row r="6904" spans="1:14" x14ac:dyDescent="0.45">
      <c r="A6904" s="30">
        <v>2026</v>
      </c>
      <c r="B6904" s="30" t="s">
        <v>9</v>
      </c>
      <c r="C6904" s="30" t="s">
        <v>46</v>
      </c>
      <c r="D6904" s="30" t="s">
        <v>47</v>
      </c>
      <c r="E6904" s="31" t="s">
        <v>75</v>
      </c>
      <c r="F6904" s="31" t="s">
        <v>49</v>
      </c>
      <c r="G6904" s="32" t="s">
        <v>50</v>
      </c>
      <c r="H6904" s="33">
        <v>19889</v>
      </c>
      <c r="I6904" s="34">
        <f>Table3[[#This Row],[Volume, kg.]]/1000</f>
        <v>19.888999999999999</v>
      </c>
      <c r="J6904" s="34">
        <v>0.27850000000000003</v>
      </c>
      <c r="K6904" s="34">
        <f t="shared" si="216"/>
        <v>5539.0865000000003</v>
      </c>
      <c r="L6904" s="34">
        <v>2.92</v>
      </c>
      <c r="M6904" s="34">
        <v>58004.25</v>
      </c>
      <c r="N6904" s="34">
        <f t="shared" si="217"/>
        <v>10.484739676840213</v>
      </c>
    </row>
    <row r="6905" spans="1:14" x14ac:dyDescent="0.45">
      <c r="A6905" s="30">
        <v>2026</v>
      </c>
      <c r="B6905" s="30" t="s">
        <v>9</v>
      </c>
      <c r="C6905" s="30" t="s">
        <v>46</v>
      </c>
      <c r="D6905" s="30" t="s">
        <v>47</v>
      </c>
      <c r="E6905" s="31" t="s">
        <v>247</v>
      </c>
      <c r="F6905" s="31" t="s">
        <v>134</v>
      </c>
      <c r="G6905" s="32" t="s">
        <v>50</v>
      </c>
      <c r="H6905" s="33">
        <v>246550</v>
      </c>
      <c r="I6905" s="34">
        <f>Table3[[#This Row],[Volume, kg.]]/1000</f>
        <v>246.55</v>
      </c>
      <c r="J6905" s="34">
        <v>0.29049999999999998</v>
      </c>
      <c r="K6905" s="34">
        <f t="shared" si="216"/>
        <v>71622.774999999994</v>
      </c>
      <c r="L6905" s="34">
        <v>2.95</v>
      </c>
      <c r="M6905" s="34">
        <v>728512.25</v>
      </c>
      <c r="N6905" s="34">
        <f t="shared" si="217"/>
        <v>10.154905335628229</v>
      </c>
    </row>
    <row r="6906" spans="1:14" x14ac:dyDescent="0.45">
      <c r="A6906" s="30">
        <v>2026</v>
      </c>
      <c r="B6906" s="30" t="s">
        <v>9</v>
      </c>
      <c r="C6906" s="30" t="s">
        <v>46</v>
      </c>
      <c r="D6906" s="30" t="s">
        <v>102</v>
      </c>
      <c r="E6906" s="31" t="s">
        <v>710</v>
      </c>
      <c r="F6906" s="31" t="s">
        <v>189</v>
      </c>
      <c r="G6906" s="32" t="s">
        <v>128</v>
      </c>
      <c r="H6906" s="33">
        <v>237110</v>
      </c>
      <c r="I6906" s="34">
        <f>Table3[[#This Row],[Volume, kg.]]/1000</f>
        <v>237.11</v>
      </c>
      <c r="J6906" s="34">
        <v>0.29449999999999998</v>
      </c>
      <c r="K6906" s="34">
        <f t="shared" si="216"/>
        <v>69828.89499999999</v>
      </c>
      <c r="L6906" s="34">
        <v>3.03</v>
      </c>
      <c r="M6906" s="34">
        <v>718298.5</v>
      </c>
      <c r="N6906" s="34">
        <f t="shared" si="217"/>
        <v>10.288624787775891</v>
      </c>
    </row>
    <row r="6907" spans="1:14" x14ac:dyDescent="0.45">
      <c r="A6907" s="30">
        <v>2026</v>
      </c>
      <c r="B6907" s="30" t="s">
        <v>9</v>
      </c>
      <c r="C6907" s="30" t="s">
        <v>46</v>
      </c>
      <c r="D6907" s="30" t="s">
        <v>47</v>
      </c>
      <c r="E6907" s="31" t="s">
        <v>430</v>
      </c>
      <c r="F6907" s="31" t="s">
        <v>49</v>
      </c>
      <c r="G6907" s="32" t="s">
        <v>50</v>
      </c>
      <c r="H6907" s="33">
        <v>20859</v>
      </c>
      <c r="I6907" s="34">
        <f>Table3[[#This Row],[Volume, kg.]]/1000</f>
        <v>20.859000000000002</v>
      </c>
      <c r="J6907" s="34">
        <v>0.27500000000000002</v>
      </c>
      <c r="K6907" s="34">
        <f t="shared" ref="K6907:K6970" si="218">H6907*J6907</f>
        <v>5736.2250000000004</v>
      </c>
      <c r="L6907" s="34">
        <v>2.95</v>
      </c>
      <c r="M6907" s="34">
        <v>61534.05</v>
      </c>
      <c r="N6907" s="34">
        <f t="shared" ref="N6907:N6970" si="219">L6907/J6907</f>
        <v>10.727272727272727</v>
      </c>
    </row>
    <row r="6908" spans="1:14" x14ac:dyDescent="0.45">
      <c r="A6908" s="30">
        <v>2026</v>
      </c>
      <c r="B6908" s="30" t="s">
        <v>9</v>
      </c>
      <c r="C6908" s="30" t="s">
        <v>46</v>
      </c>
      <c r="D6908" s="30" t="s">
        <v>47</v>
      </c>
      <c r="E6908" s="31" t="s">
        <v>199</v>
      </c>
      <c r="F6908" s="31" t="s">
        <v>60</v>
      </c>
      <c r="G6908" s="32" t="s">
        <v>50</v>
      </c>
      <c r="H6908" s="33">
        <v>13803</v>
      </c>
      <c r="I6908" s="34">
        <f>Table3[[#This Row],[Volume, kg.]]/1000</f>
        <v>13.803000000000001</v>
      </c>
      <c r="J6908" s="34">
        <v>0.31129999999999997</v>
      </c>
      <c r="K6908" s="34">
        <f t="shared" si="218"/>
        <v>4296.8738999999996</v>
      </c>
      <c r="L6908" s="34">
        <v>2.99</v>
      </c>
      <c r="M6908" s="34">
        <v>41330.9</v>
      </c>
      <c r="N6908" s="34">
        <f t="shared" si="219"/>
        <v>9.6048827497590761</v>
      </c>
    </row>
    <row r="6909" spans="1:14" x14ac:dyDescent="0.45">
      <c r="A6909" s="30">
        <v>2026</v>
      </c>
      <c r="B6909" s="30" t="s">
        <v>9</v>
      </c>
      <c r="C6909" s="30" t="s">
        <v>46</v>
      </c>
      <c r="D6909" s="30" t="s">
        <v>47</v>
      </c>
      <c r="E6909" s="31" t="s">
        <v>227</v>
      </c>
      <c r="F6909" s="31" t="s">
        <v>57</v>
      </c>
      <c r="G6909" s="32" t="s">
        <v>50</v>
      </c>
      <c r="H6909" s="33">
        <v>30063</v>
      </c>
      <c r="I6909" s="34">
        <f>Table3[[#This Row],[Volume, kg.]]/1000</f>
        <v>30.062999999999999</v>
      </c>
      <c r="J6909" s="34">
        <v>0.2979</v>
      </c>
      <c r="K6909" s="34">
        <f t="shared" si="218"/>
        <v>8955.7677000000003</v>
      </c>
      <c r="L6909" s="34">
        <v>2.97</v>
      </c>
      <c r="M6909" s="34">
        <v>89364</v>
      </c>
      <c r="N6909" s="34">
        <f t="shared" si="219"/>
        <v>9.9697885196374632</v>
      </c>
    </row>
    <row r="6910" spans="1:14" x14ac:dyDescent="0.45">
      <c r="A6910" s="30">
        <v>2026</v>
      </c>
      <c r="B6910" s="30" t="s">
        <v>9</v>
      </c>
      <c r="C6910" s="30" t="s">
        <v>46</v>
      </c>
      <c r="D6910" s="30" t="s">
        <v>47</v>
      </c>
      <c r="E6910" s="31" t="s">
        <v>159</v>
      </c>
      <c r="F6910" s="31" t="s">
        <v>81</v>
      </c>
      <c r="G6910" s="32" t="s">
        <v>50</v>
      </c>
      <c r="H6910" s="33">
        <v>117122</v>
      </c>
      <c r="I6910" s="34">
        <f>Table3[[#This Row],[Volume, kg.]]/1000</f>
        <v>117.122</v>
      </c>
      <c r="J6910" s="34">
        <v>0.25900000000000001</v>
      </c>
      <c r="K6910" s="34">
        <f t="shared" si="218"/>
        <v>30334.598000000002</v>
      </c>
      <c r="L6910" s="34">
        <v>2.79</v>
      </c>
      <c r="M6910" s="34">
        <v>327047.09999999998</v>
      </c>
      <c r="N6910" s="34">
        <f t="shared" si="219"/>
        <v>10.772200772200772</v>
      </c>
    </row>
    <row r="6911" spans="1:14" x14ac:dyDescent="0.45">
      <c r="A6911" s="30">
        <v>2026</v>
      </c>
      <c r="B6911" s="30" t="s">
        <v>9</v>
      </c>
      <c r="C6911" s="30" t="s">
        <v>46</v>
      </c>
      <c r="D6911" s="30" t="s">
        <v>47</v>
      </c>
      <c r="E6911" s="31" t="s">
        <v>347</v>
      </c>
      <c r="F6911" s="31" t="s">
        <v>49</v>
      </c>
      <c r="G6911" s="32" t="s">
        <v>50</v>
      </c>
      <c r="H6911" s="33">
        <v>5678</v>
      </c>
      <c r="I6911" s="34">
        <f>Table3[[#This Row],[Volume, kg.]]/1000</f>
        <v>5.6779999999999999</v>
      </c>
      <c r="J6911" s="34">
        <v>0.255</v>
      </c>
      <c r="K6911" s="34">
        <f t="shared" si="218"/>
        <v>1447.89</v>
      </c>
      <c r="L6911" s="34">
        <v>2.75</v>
      </c>
      <c r="M6911" s="34">
        <v>15614.5</v>
      </c>
      <c r="N6911" s="34">
        <f t="shared" si="219"/>
        <v>10.784313725490195</v>
      </c>
    </row>
    <row r="6912" spans="1:14" x14ac:dyDescent="0.45">
      <c r="A6912" s="30">
        <v>2026</v>
      </c>
      <c r="B6912" s="30" t="s">
        <v>9</v>
      </c>
      <c r="C6912" s="30" t="s">
        <v>46</v>
      </c>
      <c r="D6912" s="30" t="s">
        <v>47</v>
      </c>
      <c r="E6912" s="31" t="s">
        <v>53</v>
      </c>
      <c r="F6912" s="31" t="s">
        <v>54</v>
      </c>
      <c r="G6912" s="32" t="s">
        <v>50</v>
      </c>
      <c r="H6912" s="33">
        <v>189977</v>
      </c>
      <c r="I6912" s="34">
        <f>Table3[[#This Row],[Volume, kg.]]/1000</f>
        <v>189.977</v>
      </c>
      <c r="J6912" s="34">
        <v>0.26890000000000003</v>
      </c>
      <c r="K6912" s="34">
        <f t="shared" si="218"/>
        <v>51084.815300000002</v>
      </c>
      <c r="L6912" s="34">
        <v>2.82</v>
      </c>
      <c r="M6912" s="34">
        <v>536582</v>
      </c>
      <c r="N6912" s="34">
        <f t="shared" si="219"/>
        <v>10.487169951654888</v>
      </c>
    </row>
    <row r="6913" spans="1:14" x14ac:dyDescent="0.45">
      <c r="A6913" s="30">
        <v>2026</v>
      </c>
      <c r="B6913" s="30" t="s">
        <v>9</v>
      </c>
      <c r="C6913" s="30" t="s">
        <v>46</v>
      </c>
      <c r="D6913" s="30" t="s">
        <v>47</v>
      </c>
      <c r="E6913" s="31" t="s">
        <v>252</v>
      </c>
      <c r="F6913" s="31" t="s">
        <v>49</v>
      </c>
      <c r="G6913" s="32" t="s">
        <v>50</v>
      </c>
      <c r="H6913" s="33">
        <v>32560</v>
      </c>
      <c r="I6913" s="34">
        <f>Table3[[#This Row],[Volume, kg.]]/1000</f>
        <v>32.56</v>
      </c>
      <c r="J6913" s="34">
        <v>0.25530000000000003</v>
      </c>
      <c r="K6913" s="34">
        <f t="shared" si="218"/>
        <v>8312.5680000000011</v>
      </c>
      <c r="L6913" s="34">
        <v>2.75</v>
      </c>
      <c r="M6913" s="34">
        <v>89495.25</v>
      </c>
      <c r="N6913" s="34">
        <f t="shared" si="219"/>
        <v>10.771641206423814</v>
      </c>
    </row>
    <row r="6914" spans="1:14" x14ac:dyDescent="0.45">
      <c r="A6914" s="30">
        <v>2026</v>
      </c>
      <c r="B6914" s="30" t="s">
        <v>9</v>
      </c>
      <c r="C6914" s="30" t="s">
        <v>46</v>
      </c>
      <c r="D6914" s="30" t="s">
        <v>47</v>
      </c>
      <c r="E6914" s="31" t="s">
        <v>95</v>
      </c>
      <c r="F6914" s="31" t="s">
        <v>49</v>
      </c>
      <c r="G6914" s="32" t="s">
        <v>50</v>
      </c>
      <c r="H6914" s="33">
        <v>81014</v>
      </c>
      <c r="I6914" s="34">
        <f>Table3[[#This Row],[Volume, kg.]]/1000</f>
        <v>81.013999999999996</v>
      </c>
      <c r="J6914" s="34">
        <v>0.27440000000000003</v>
      </c>
      <c r="K6914" s="34">
        <f t="shared" si="218"/>
        <v>22230.241600000001</v>
      </c>
      <c r="L6914" s="34">
        <v>2.85</v>
      </c>
      <c r="M6914" s="34">
        <v>231216.7</v>
      </c>
      <c r="N6914" s="34">
        <f t="shared" si="219"/>
        <v>10.386297376093294</v>
      </c>
    </row>
    <row r="6915" spans="1:14" x14ac:dyDescent="0.45">
      <c r="A6915" s="30">
        <v>2026</v>
      </c>
      <c r="B6915" s="30" t="s">
        <v>9</v>
      </c>
      <c r="C6915" s="30" t="s">
        <v>46</v>
      </c>
      <c r="D6915" s="30" t="s">
        <v>47</v>
      </c>
      <c r="E6915" s="31" t="s">
        <v>205</v>
      </c>
      <c r="F6915" s="31" t="s">
        <v>49</v>
      </c>
      <c r="G6915" s="32" t="s">
        <v>50</v>
      </c>
      <c r="H6915" s="33">
        <v>37949</v>
      </c>
      <c r="I6915" s="34">
        <f>Table3[[#This Row],[Volume, kg.]]/1000</f>
        <v>37.948999999999998</v>
      </c>
      <c r="J6915" s="34">
        <v>0.2984</v>
      </c>
      <c r="K6915" s="34">
        <f t="shared" si="218"/>
        <v>11323.981599999999</v>
      </c>
      <c r="L6915" s="34">
        <v>2.99</v>
      </c>
      <c r="M6915" s="34">
        <v>113388</v>
      </c>
      <c r="N6915" s="34">
        <f t="shared" si="219"/>
        <v>10.020107238605899</v>
      </c>
    </row>
    <row r="6916" spans="1:14" x14ac:dyDescent="0.45">
      <c r="A6916" s="30">
        <v>2026</v>
      </c>
      <c r="B6916" s="30" t="s">
        <v>9</v>
      </c>
      <c r="C6916" s="30" t="s">
        <v>46</v>
      </c>
      <c r="D6916" s="30" t="s">
        <v>102</v>
      </c>
      <c r="E6916" s="31" t="s">
        <v>366</v>
      </c>
      <c r="F6916" s="31" t="s">
        <v>367</v>
      </c>
      <c r="G6916" s="32" t="s">
        <v>368</v>
      </c>
      <c r="H6916" s="33">
        <v>35110</v>
      </c>
      <c r="I6916" s="34">
        <f>Table3[[#This Row],[Volume, kg.]]/1000</f>
        <v>35.11</v>
      </c>
      <c r="J6916" s="34">
        <v>0.29350000000000004</v>
      </c>
      <c r="K6916" s="34">
        <f t="shared" si="218"/>
        <v>10304.785000000002</v>
      </c>
      <c r="L6916" s="34">
        <v>3</v>
      </c>
      <c r="M6916" s="34">
        <v>105330</v>
      </c>
      <c r="N6916" s="34">
        <f t="shared" si="219"/>
        <v>10.221465076660987</v>
      </c>
    </row>
    <row r="6917" spans="1:14" x14ac:dyDescent="0.45">
      <c r="A6917" s="30">
        <v>2026</v>
      </c>
      <c r="B6917" s="30" t="s">
        <v>9</v>
      </c>
      <c r="C6917" s="30" t="s">
        <v>46</v>
      </c>
      <c r="D6917" s="30" t="s">
        <v>47</v>
      </c>
      <c r="E6917" s="31" t="s">
        <v>417</v>
      </c>
      <c r="F6917" s="31" t="s">
        <v>49</v>
      </c>
      <c r="G6917" s="32" t="s">
        <v>50</v>
      </c>
      <c r="H6917" s="33">
        <v>6956</v>
      </c>
      <c r="I6917" s="34">
        <f>Table3[[#This Row],[Volume, kg.]]/1000</f>
        <v>6.9560000000000004</v>
      </c>
      <c r="J6917" s="34">
        <v>0.23670000000000002</v>
      </c>
      <c r="K6917" s="34">
        <f t="shared" si="218"/>
        <v>1646.4852000000001</v>
      </c>
      <c r="L6917" s="34">
        <v>2.64</v>
      </c>
      <c r="M6917" s="34">
        <v>18377.3</v>
      </c>
      <c r="N6917" s="34">
        <f t="shared" si="219"/>
        <v>11.153358681875792</v>
      </c>
    </row>
    <row r="6918" spans="1:14" x14ac:dyDescent="0.45">
      <c r="A6918" s="30">
        <v>2026</v>
      </c>
      <c r="B6918" s="30" t="s">
        <v>9</v>
      </c>
      <c r="C6918" s="30" t="s">
        <v>46</v>
      </c>
      <c r="D6918" s="30" t="s">
        <v>102</v>
      </c>
      <c r="E6918" s="31" t="s">
        <v>418</v>
      </c>
      <c r="F6918" s="31" t="s">
        <v>104</v>
      </c>
      <c r="G6918" s="32" t="s">
        <v>105</v>
      </c>
      <c r="H6918" s="33">
        <v>1269990</v>
      </c>
      <c r="I6918" s="34">
        <f>Table3[[#This Row],[Volume, kg.]]/1000</f>
        <v>1269.99</v>
      </c>
      <c r="J6918" s="34">
        <v>0.28510000000000002</v>
      </c>
      <c r="K6918" s="34">
        <f t="shared" si="218"/>
        <v>362074.14900000003</v>
      </c>
      <c r="L6918" s="34">
        <v>3.01</v>
      </c>
      <c r="M6918" s="34">
        <v>3824444</v>
      </c>
      <c r="N6918" s="34">
        <f t="shared" si="219"/>
        <v>10.557699052963871</v>
      </c>
    </row>
    <row r="6919" spans="1:14" x14ac:dyDescent="0.45">
      <c r="A6919" s="30">
        <v>2026</v>
      </c>
      <c r="B6919" s="30" t="s">
        <v>9</v>
      </c>
      <c r="C6919" s="30" t="s">
        <v>46</v>
      </c>
      <c r="D6919" s="30" t="s">
        <v>47</v>
      </c>
      <c r="E6919" s="31" t="s">
        <v>434</v>
      </c>
      <c r="F6919" s="31" t="s">
        <v>57</v>
      </c>
      <c r="G6919" s="32" t="s">
        <v>50</v>
      </c>
      <c r="H6919" s="33">
        <v>153232</v>
      </c>
      <c r="I6919" s="34">
        <f>Table3[[#This Row],[Volume, kg.]]/1000</f>
        <v>153.232</v>
      </c>
      <c r="J6919" s="34">
        <v>0.28260000000000002</v>
      </c>
      <c r="K6919" s="34">
        <f t="shared" si="218"/>
        <v>43303.3632</v>
      </c>
      <c r="L6919" s="34">
        <v>2.92</v>
      </c>
      <c r="M6919" s="34">
        <v>447588.85</v>
      </c>
      <c r="N6919" s="34">
        <f t="shared" si="219"/>
        <v>10.332625619249821</v>
      </c>
    </row>
    <row r="6920" spans="1:14" x14ac:dyDescent="0.45">
      <c r="A6920" s="30">
        <v>2026</v>
      </c>
      <c r="B6920" s="30" t="s">
        <v>9</v>
      </c>
      <c r="C6920" s="30" t="s">
        <v>46</v>
      </c>
      <c r="D6920" s="30" t="s">
        <v>47</v>
      </c>
      <c r="E6920" s="31" t="s">
        <v>489</v>
      </c>
      <c r="F6920" s="31" t="s">
        <v>81</v>
      </c>
      <c r="G6920" s="32" t="s">
        <v>50</v>
      </c>
      <c r="H6920" s="33">
        <v>32006</v>
      </c>
      <c r="I6920" s="34">
        <f>Table3[[#This Row],[Volume, kg.]]/1000</f>
        <v>32.006</v>
      </c>
      <c r="J6920" s="34">
        <v>0.28600000000000003</v>
      </c>
      <c r="K6920" s="34">
        <f t="shared" si="218"/>
        <v>9153.7160000000003</v>
      </c>
      <c r="L6920" s="34">
        <v>2.88</v>
      </c>
      <c r="M6920" s="34">
        <v>92102.55</v>
      </c>
      <c r="N6920" s="34">
        <f t="shared" si="219"/>
        <v>10.069930069930068</v>
      </c>
    </row>
    <row r="6921" spans="1:14" x14ac:dyDescent="0.45">
      <c r="A6921" s="30">
        <v>2026</v>
      </c>
      <c r="B6921" s="30" t="s">
        <v>9</v>
      </c>
      <c r="C6921" s="30" t="s">
        <v>46</v>
      </c>
      <c r="D6921" s="30" t="s">
        <v>47</v>
      </c>
      <c r="E6921" s="31" t="s">
        <v>492</v>
      </c>
      <c r="F6921" s="31" t="s">
        <v>57</v>
      </c>
      <c r="G6921" s="32" t="s">
        <v>50</v>
      </c>
      <c r="H6921" s="33">
        <v>37221</v>
      </c>
      <c r="I6921" s="34">
        <f>Table3[[#This Row],[Volume, kg.]]/1000</f>
        <v>37.220999999999997</v>
      </c>
      <c r="J6921" s="34">
        <v>0.28449999999999998</v>
      </c>
      <c r="K6921" s="34">
        <f t="shared" si="218"/>
        <v>10589.3745</v>
      </c>
      <c r="L6921" s="34">
        <v>2.88</v>
      </c>
      <c r="M6921" s="34">
        <v>107322.95</v>
      </c>
      <c r="N6921" s="34">
        <f t="shared" si="219"/>
        <v>10.123022847100176</v>
      </c>
    </row>
    <row r="6922" spans="1:14" x14ac:dyDescent="0.45">
      <c r="A6922" s="30">
        <v>2026</v>
      </c>
      <c r="B6922" s="30" t="s">
        <v>9</v>
      </c>
      <c r="C6922" s="30" t="s">
        <v>46</v>
      </c>
      <c r="D6922" s="30" t="s">
        <v>102</v>
      </c>
      <c r="E6922" s="31" t="s">
        <v>552</v>
      </c>
      <c r="F6922" s="31" t="s">
        <v>238</v>
      </c>
      <c r="G6922" s="32" t="s">
        <v>50</v>
      </c>
      <c r="H6922" s="33">
        <v>484190</v>
      </c>
      <c r="I6922" s="34">
        <f>Table3[[#This Row],[Volume, kg.]]/1000</f>
        <v>484.19</v>
      </c>
      <c r="J6922" s="34">
        <v>0.25790000000000002</v>
      </c>
      <c r="K6922" s="34">
        <f t="shared" si="218"/>
        <v>124872.60100000001</v>
      </c>
      <c r="L6922" s="34">
        <v>2.87</v>
      </c>
      <c r="M6922" s="34">
        <v>1388856</v>
      </c>
      <c r="N6922" s="34">
        <f t="shared" si="219"/>
        <v>11.128344319503682</v>
      </c>
    </row>
    <row r="6923" spans="1:14" x14ac:dyDescent="0.45">
      <c r="A6923" s="30">
        <v>2026</v>
      </c>
      <c r="B6923" s="30" t="s">
        <v>9</v>
      </c>
      <c r="C6923" s="30" t="s">
        <v>46</v>
      </c>
      <c r="D6923" s="30" t="s">
        <v>47</v>
      </c>
      <c r="E6923" s="31" t="s">
        <v>588</v>
      </c>
      <c r="F6923" s="31" t="s">
        <v>223</v>
      </c>
      <c r="G6923" s="32" t="s">
        <v>50</v>
      </c>
      <c r="H6923" s="33">
        <v>34314</v>
      </c>
      <c r="I6923" s="34">
        <f>Table3[[#This Row],[Volume, kg.]]/1000</f>
        <v>34.314</v>
      </c>
      <c r="J6923" s="34">
        <v>0.24960000000000002</v>
      </c>
      <c r="K6923" s="34">
        <f t="shared" si="218"/>
        <v>8564.7744000000002</v>
      </c>
      <c r="L6923" s="34">
        <v>2.75</v>
      </c>
      <c r="M6923" s="34">
        <v>94208.6</v>
      </c>
      <c r="N6923" s="34">
        <f t="shared" si="219"/>
        <v>11.017628205128204</v>
      </c>
    </row>
    <row r="6924" spans="1:14" x14ac:dyDescent="0.45">
      <c r="A6924" s="30">
        <v>2026</v>
      </c>
      <c r="B6924" s="30" t="s">
        <v>9</v>
      </c>
      <c r="C6924" s="30" t="s">
        <v>46</v>
      </c>
      <c r="D6924" s="30" t="s">
        <v>47</v>
      </c>
      <c r="E6924" s="31" t="s">
        <v>612</v>
      </c>
      <c r="F6924" s="31" t="s">
        <v>57</v>
      </c>
      <c r="G6924" s="32" t="s">
        <v>50</v>
      </c>
      <c r="H6924" s="33">
        <v>68144</v>
      </c>
      <c r="I6924" s="34">
        <f>Table3[[#This Row],[Volume, kg.]]/1000</f>
        <v>68.144000000000005</v>
      </c>
      <c r="J6924" s="34">
        <v>0.29420000000000002</v>
      </c>
      <c r="K6924" s="34">
        <f t="shared" si="218"/>
        <v>20047.964800000002</v>
      </c>
      <c r="L6924" s="34">
        <v>2.94</v>
      </c>
      <c r="M6924" s="34">
        <v>200359.7</v>
      </c>
      <c r="N6924" s="34">
        <f t="shared" si="219"/>
        <v>9.9932019034670283</v>
      </c>
    </row>
    <row r="6925" spans="1:14" x14ac:dyDescent="0.45">
      <c r="A6925" s="30">
        <v>2026</v>
      </c>
      <c r="B6925" s="30" t="s">
        <v>9</v>
      </c>
      <c r="C6925" s="30" t="s">
        <v>46</v>
      </c>
      <c r="D6925" s="30" t="s">
        <v>47</v>
      </c>
      <c r="E6925" s="31" t="s">
        <v>607</v>
      </c>
      <c r="F6925" s="31" t="s">
        <v>81</v>
      </c>
      <c r="G6925" s="32" t="s">
        <v>50</v>
      </c>
      <c r="H6925" s="33">
        <v>74748</v>
      </c>
      <c r="I6925" s="34">
        <f>Table3[[#This Row],[Volume, kg.]]/1000</f>
        <v>74.748000000000005</v>
      </c>
      <c r="J6925" s="34">
        <v>0.29580000000000001</v>
      </c>
      <c r="K6925" s="34">
        <f t="shared" si="218"/>
        <v>22110.4584</v>
      </c>
      <c r="L6925" s="34">
        <v>2.97</v>
      </c>
      <c r="M6925" s="34">
        <v>221653.1</v>
      </c>
      <c r="N6925" s="34">
        <f t="shared" si="219"/>
        <v>10.040567951318458</v>
      </c>
    </row>
    <row r="6926" spans="1:14" x14ac:dyDescent="0.45">
      <c r="A6926" s="30">
        <v>2026</v>
      </c>
      <c r="B6926" s="30" t="s">
        <v>9</v>
      </c>
      <c r="C6926" s="30" t="s">
        <v>46</v>
      </c>
      <c r="D6926" s="30" t="s">
        <v>47</v>
      </c>
      <c r="E6926" s="31" t="s">
        <v>659</v>
      </c>
      <c r="F6926" s="31" t="s">
        <v>49</v>
      </c>
      <c r="G6926" s="32" t="s">
        <v>50</v>
      </c>
      <c r="H6926" s="33">
        <v>11875</v>
      </c>
      <c r="I6926" s="34">
        <f>Table3[[#This Row],[Volume, kg.]]/1000</f>
        <v>11.875</v>
      </c>
      <c r="J6926" s="34">
        <v>0.26280000000000003</v>
      </c>
      <c r="K6926" s="34">
        <f t="shared" si="218"/>
        <v>3120.7500000000005</v>
      </c>
      <c r="L6926" s="34">
        <v>2.83</v>
      </c>
      <c r="M6926" s="34">
        <v>33577.050000000003</v>
      </c>
      <c r="N6926" s="34">
        <f t="shared" si="219"/>
        <v>10.768645357686452</v>
      </c>
    </row>
    <row r="6927" spans="1:14" x14ac:dyDescent="0.45">
      <c r="A6927" s="30">
        <v>2026</v>
      </c>
      <c r="B6927" s="30" t="s">
        <v>9</v>
      </c>
      <c r="C6927" s="30" t="s">
        <v>46</v>
      </c>
      <c r="D6927" s="30" t="s">
        <v>47</v>
      </c>
      <c r="E6927" s="31" t="s">
        <v>644</v>
      </c>
      <c r="F6927" s="31" t="s">
        <v>57</v>
      </c>
      <c r="G6927" s="32" t="s">
        <v>50</v>
      </c>
      <c r="H6927" s="33">
        <v>26047</v>
      </c>
      <c r="I6927" s="34">
        <f>Table3[[#This Row],[Volume, kg.]]/1000</f>
        <v>26.047000000000001</v>
      </c>
      <c r="J6927" s="34">
        <v>0.27429999999999999</v>
      </c>
      <c r="K6927" s="34">
        <f t="shared" si="218"/>
        <v>7144.6920999999993</v>
      </c>
      <c r="L6927" s="34">
        <v>2.9</v>
      </c>
      <c r="M6927" s="34">
        <v>75466.649999999994</v>
      </c>
      <c r="N6927" s="34">
        <f t="shared" si="219"/>
        <v>10.57236602260299</v>
      </c>
    </row>
    <row r="6928" spans="1:14" x14ac:dyDescent="0.45">
      <c r="A6928" s="30">
        <v>2026</v>
      </c>
      <c r="B6928" s="30" t="s">
        <v>9</v>
      </c>
      <c r="C6928" s="30" t="s">
        <v>46</v>
      </c>
      <c r="D6928" s="30" t="s">
        <v>47</v>
      </c>
      <c r="E6928" s="31" t="s">
        <v>646</v>
      </c>
      <c r="F6928" s="31" t="s">
        <v>49</v>
      </c>
      <c r="G6928" s="32" t="s">
        <v>50</v>
      </c>
      <c r="H6928" s="33">
        <v>4996</v>
      </c>
      <c r="I6928" s="34">
        <f>Table3[[#This Row],[Volume, kg.]]/1000</f>
        <v>4.9960000000000004</v>
      </c>
      <c r="J6928" s="34">
        <v>0.2495</v>
      </c>
      <c r="K6928" s="34">
        <f t="shared" si="218"/>
        <v>1246.502</v>
      </c>
      <c r="L6928" s="34">
        <v>2.8</v>
      </c>
      <c r="M6928" s="34">
        <v>13988.8</v>
      </c>
      <c r="N6928" s="34">
        <f t="shared" si="219"/>
        <v>11.222444889779558</v>
      </c>
    </row>
    <row r="6929" spans="1:14" x14ac:dyDescent="0.45">
      <c r="A6929" s="30">
        <v>2026</v>
      </c>
      <c r="B6929" s="30" t="s">
        <v>9</v>
      </c>
      <c r="C6929" s="30" t="s">
        <v>46</v>
      </c>
      <c r="D6929" s="30" t="s">
        <v>47</v>
      </c>
      <c r="E6929" s="31" t="s">
        <v>672</v>
      </c>
      <c r="F6929" s="31" t="s">
        <v>134</v>
      </c>
      <c r="G6929" s="32" t="s">
        <v>50</v>
      </c>
      <c r="H6929" s="33">
        <v>90261</v>
      </c>
      <c r="I6929" s="34">
        <f>Table3[[#This Row],[Volume, kg.]]/1000</f>
        <v>90.260999999999996</v>
      </c>
      <c r="J6929" s="34">
        <v>0.28420000000000001</v>
      </c>
      <c r="K6929" s="34">
        <f t="shared" si="218"/>
        <v>25652.176200000002</v>
      </c>
      <c r="L6929" s="34">
        <v>2.91</v>
      </c>
      <c r="M6929" s="34">
        <v>262544.8</v>
      </c>
      <c r="N6929" s="34">
        <f t="shared" si="219"/>
        <v>10.239268121041521</v>
      </c>
    </row>
    <row r="6930" spans="1:14" x14ac:dyDescent="0.45">
      <c r="A6930" s="30">
        <v>2026</v>
      </c>
      <c r="B6930" s="30" t="s">
        <v>9</v>
      </c>
      <c r="C6930" s="30" t="s">
        <v>46</v>
      </c>
      <c r="D6930" s="30" t="s">
        <v>102</v>
      </c>
      <c r="E6930" s="31" t="s">
        <v>695</v>
      </c>
      <c r="F6930" s="31" t="s">
        <v>696</v>
      </c>
      <c r="G6930" s="32" t="s">
        <v>557</v>
      </c>
      <c r="H6930" s="33">
        <v>28760</v>
      </c>
      <c r="I6930" s="34">
        <f>Table3[[#This Row],[Volume, kg.]]/1000</f>
        <v>28.76</v>
      </c>
      <c r="J6930" s="34">
        <v>0.2475</v>
      </c>
      <c r="K6930" s="34">
        <f t="shared" si="218"/>
        <v>7118.1</v>
      </c>
      <c r="L6930" s="34">
        <v>2.85</v>
      </c>
      <c r="M6930" s="34">
        <v>81966</v>
      </c>
      <c r="N6930" s="34">
        <f t="shared" si="219"/>
        <v>11.515151515151516</v>
      </c>
    </row>
    <row r="6931" spans="1:14" x14ac:dyDescent="0.45">
      <c r="A6931" s="30">
        <v>2026</v>
      </c>
      <c r="B6931" s="30" t="s">
        <v>9</v>
      </c>
      <c r="C6931" s="30" t="s">
        <v>46</v>
      </c>
      <c r="D6931" s="30" t="s">
        <v>102</v>
      </c>
      <c r="E6931" s="31" t="s">
        <v>697</v>
      </c>
      <c r="F6931" s="31" t="s">
        <v>107</v>
      </c>
      <c r="G6931" s="32" t="s">
        <v>108</v>
      </c>
      <c r="H6931" s="33">
        <v>630370</v>
      </c>
      <c r="I6931" s="34">
        <f>Table3[[#This Row],[Volume, kg.]]/1000</f>
        <v>630.37</v>
      </c>
      <c r="J6931" s="34">
        <v>0.26989999999999997</v>
      </c>
      <c r="K6931" s="34">
        <f t="shared" si="218"/>
        <v>170136.86299999998</v>
      </c>
      <c r="L6931" s="34">
        <v>2.94</v>
      </c>
      <c r="M6931" s="34">
        <v>1854695</v>
      </c>
      <c r="N6931" s="34">
        <f t="shared" si="219"/>
        <v>10.892923304927752</v>
      </c>
    </row>
    <row r="6932" spans="1:14" x14ac:dyDescent="0.45">
      <c r="A6932" s="30">
        <v>2026</v>
      </c>
      <c r="B6932" s="30" t="s">
        <v>9</v>
      </c>
      <c r="C6932" s="30" t="s">
        <v>46</v>
      </c>
      <c r="D6932" s="30" t="s">
        <v>102</v>
      </c>
      <c r="E6932" s="31" t="s">
        <v>706</v>
      </c>
      <c r="F6932" s="31" t="s">
        <v>349</v>
      </c>
      <c r="G6932" s="32" t="s">
        <v>105</v>
      </c>
      <c r="H6932" s="33">
        <v>36540</v>
      </c>
      <c r="I6932" s="34">
        <f>Table3[[#This Row],[Volume, kg.]]/1000</f>
        <v>36.54</v>
      </c>
      <c r="J6932" s="34">
        <v>0.2525</v>
      </c>
      <c r="K6932" s="34">
        <f t="shared" si="218"/>
        <v>9226.35</v>
      </c>
      <c r="L6932" s="34">
        <v>2.8</v>
      </c>
      <c r="M6932" s="34">
        <v>102312</v>
      </c>
      <c r="N6932" s="34">
        <f t="shared" si="219"/>
        <v>11.089108910891088</v>
      </c>
    </row>
    <row r="6933" spans="1:14" x14ac:dyDescent="0.45">
      <c r="A6933" s="30">
        <v>2026</v>
      </c>
      <c r="B6933" s="30" t="s">
        <v>9</v>
      </c>
      <c r="C6933" s="30" t="s">
        <v>46</v>
      </c>
      <c r="D6933" s="30" t="s">
        <v>102</v>
      </c>
      <c r="E6933" s="31" t="s">
        <v>732</v>
      </c>
      <c r="F6933" s="31" t="s">
        <v>349</v>
      </c>
      <c r="G6933" s="32" t="s">
        <v>105</v>
      </c>
      <c r="H6933" s="33">
        <v>102070</v>
      </c>
      <c r="I6933" s="34">
        <f>Table3[[#This Row],[Volume, kg.]]/1000</f>
        <v>102.07</v>
      </c>
      <c r="J6933" s="34">
        <v>0.26669999999999999</v>
      </c>
      <c r="K6933" s="34">
        <f t="shared" si="218"/>
        <v>27222.069</v>
      </c>
      <c r="L6933" s="34">
        <v>2.95</v>
      </c>
      <c r="M6933" s="34">
        <v>300973</v>
      </c>
      <c r="N6933" s="34">
        <f t="shared" si="219"/>
        <v>11.061117360329959</v>
      </c>
    </row>
    <row r="6934" spans="1:14" x14ac:dyDescent="0.45">
      <c r="A6934" s="30">
        <v>2026</v>
      </c>
      <c r="B6934" s="30" t="s">
        <v>9</v>
      </c>
      <c r="C6934" s="30" t="s">
        <v>46</v>
      </c>
      <c r="D6934" s="30" t="s">
        <v>102</v>
      </c>
      <c r="E6934" s="31" t="s">
        <v>737</v>
      </c>
      <c r="F6934" s="31" t="s">
        <v>240</v>
      </c>
      <c r="G6934" s="32" t="s">
        <v>50</v>
      </c>
      <c r="H6934" s="33">
        <v>28060</v>
      </c>
      <c r="I6934" s="34">
        <f>Table3[[#This Row],[Volume, kg.]]/1000</f>
        <v>28.06</v>
      </c>
      <c r="J6934" s="34">
        <v>0.24050000000000002</v>
      </c>
      <c r="K6934" s="34">
        <f t="shared" si="218"/>
        <v>6748.43</v>
      </c>
      <c r="L6934" s="34">
        <v>2.75</v>
      </c>
      <c r="M6934" s="34">
        <v>77165</v>
      </c>
      <c r="N6934" s="34">
        <f t="shared" si="219"/>
        <v>11.434511434511434</v>
      </c>
    </row>
    <row r="6935" spans="1:14" x14ac:dyDescent="0.45">
      <c r="A6935" s="30">
        <v>2026</v>
      </c>
      <c r="B6935" s="30" t="s">
        <v>9</v>
      </c>
      <c r="C6935" s="30" t="s">
        <v>46</v>
      </c>
      <c r="D6935" s="30" t="s">
        <v>47</v>
      </c>
      <c r="E6935" s="31" t="s">
        <v>749</v>
      </c>
      <c r="F6935" s="31" t="s">
        <v>57</v>
      </c>
      <c r="G6935" s="32" t="s">
        <v>50</v>
      </c>
      <c r="H6935" s="33">
        <v>8661</v>
      </c>
      <c r="I6935" s="34">
        <f>Table3[[#This Row],[Volume, kg.]]/1000</f>
        <v>8.6609999999999996</v>
      </c>
      <c r="J6935" s="34">
        <v>0.29719999999999996</v>
      </c>
      <c r="K6935" s="34">
        <f t="shared" si="218"/>
        <v>2574.0491999999995</v>
      </c>
      <c r="L6935" s="34">
        <v>3</v>
      </c>
      <c r="M6935" s="34">
        <v>25983</v>
      </c>
      <c r="N6935" s="34">
        <f t="shared" si="219"/>
        <v>10.094212651413191</v>
      </c>
    </row>
    <row r="6936" spans="1:14" x14ac:dyDescent="0.45">
      <c r="A6936" s="30">
        <v>2026</v>
      </c>
      <c r="B6936" s="30" t="s">
        <v>9</v>
      </c>
      <c r="C6936" s="30" t="s">
        <v>46</v>
      </c>
      <c r="D6936" s="30" t="s">
        <v>102</v>
      </c>
      <c r="E6936" s="31" t="s">
        <v>746</v>
      </c>
      <c r="F6936" s="31" t="s">
        <v>127</v>
      </c>
      <c r="G6936" s="32" t="s">
        <v>128</v>
      </c>
      <c r="H6936" s="33">
        <v>37840</v>
      </c>
      <c r="I6936" s="34">
        <f>Table3[[#This Row],[Volume, kg.]]/1000</f>
        <v>37.840000000000003</v>
      </c>
      <c r="J6936" s="34">
        <v>0.27800000000000002</v>
      </c>
      <c r="K6936" s="34">
        <f t="shared" si="218"/>
        <v>10519.52</v>
      </c>
      <c r="L6936" s="34">
        <v>3</v>
      </c>
      <c r="M6936" s="34">
        <v>113520</v>
      </c>
      <c r="N6936" s="34">
        <f t="shared" si="219"/>
        <v>10.791366906474819</v>
      </c>
    </row>
    <row r="6937" spans="1:14" x14ac:dyDescent="0.45">
      <c r="A6937" s="30">
        <v>2026</v>
      </c>
      <c r="B6937" s="30" t="s">
        <v>9</v>
      </c>
      <c r="C6937" s="30" t="s">
        <v>46</v>
      </c>
      <c r="D6937" s="30" t="s">
        <v>102</v>
      </c>
      <c r="E6937" s="31" t="s">
        <v>776</v>
      </c>
      <c r="F6937" s="31" t="s">
        <v>777</v>
      </c>
      <c r="G6937" s="32" t="s">
        <v>557</v>
      </c>
      <c r="H6937" s="33">
        <v>513690</v>
      </c>
      <c r="I6937" s="34">
        <f>Table3[[#This Row],[Volume, kg.]]/1000</f>
        <v>513.69000000000005</v>
      </c>
      <c r="J6937" s="34">
        <v>0.26839999999999997</v>
      </c>
      <c r="K6937" s="34">
        <f t="shared" si="218"/>
        <v>137874.39599999998</v>
      </c>
      <c r="L6937" s="34">
        <v>2.92</v>
      </c>
      <c r="M6937" s="34">
        <v>1500322</v>
      </c>
      <c r="N6937" s="34">
        <f t="shared" si="219"/>
        <v>10.879284649776453</v>
      </c>
    </row>
    <row r="6938" spans="1:14" x14ac:dyDescent="0.45">
      <c r="A6938" s="30">
        <v>2026</v>
      </c>
      <c r="B6938" s="30" t="s">
        <v>9</v>
      </c>
      <c r="C6938" s="30" t="s">
        <v>46</v>
      </c>
      <c r="D6938" s="30" t="s">
        <v>102</v>
      </c>
      <c r="E6938" s="31" t="s">
        <v>778</v>
      </c>
      <c r="F6938" s="31" t="s">
        <v>338</v>
      </c>
      <c r="G6938" s="32" t="s">
        <v>105</v>
      </c>
      <c r="H6938" s="33">
        <v>321490</v>
      </c>
      <c r="I6938" s="34">
        <f>Table3[[#This Row],[Volume, kg.]]/1000</f>
        <v>321.49</v>
      </c>
      <c r="J6938" s="34">
        <v>0.28510000000000002</v>
      </c>
      <c r="K6938" s="34">
        <f t="shared" si="218"/>
        <v>91656.799000000014</v>
      </c>
      <c r="L6938" s="34">
        <v>3</v>
      </c>
      <c r="M6938" s="34">
        <v>964795</v>
      </c>
      <c r="N6938" s="34">
        <f t="shared" si="219"/>
        <v>10.52262364082778</v>
      </c>
    </row>
    <row r="6939" spans="1:14" x14ac:dyDescent="0.45">
      <c r="A6939" s="30">
        <v>2026</v>
      </c>
      <c r="B6939" s="30" t="s">
        <v>9</v>
      </c>
      <c r="C6939" s="30" t="s">
        <v>46</v>
      </c>
      <c r="D6939" s="30" t="s">
        <v>47</v>
      </c>
      <c r="E6939" s="31" t="s">
        <v>779</v>
      </c>
      <c r="F6939" s="31" t="s">
        <v>57</v>
      </c>
      <c r="G6939" s="32" t="s">
        <v>50</v>
      </c>
      <c r="H6939" s="33">
        <v>21614</v>
      </c>
      <c r="I6939" s="34">
        <f>Table3[[#This Row],[Volume, kg.]]/1000</f>
        <v>21.614000000000001</v>
      </c>
      <c r="J6939" s="34">
        <v>0.28670000000000001</v>
      </c>
      <c r="K6939" s="34">
        <f t="shared" si="218"/>
        <v>6196.7338</v>
      </c>
      <c r="L6939" s="34">
        <v>2.94</v>
      </c>
      <c r="M6939" s="34">
        <v>63578.3</v>
      </c>
      <c r="N6939" s="34">
        <f t="shared" si="219"/>
        <v>10.254621555633065</v>
      </c>
    </row>
    <row r="6940" spans="1:14" x14ac:dyDescent="0.45">
      <c r="A6940" s="30">
        <v>2026</v>
      </c>
      <c r="B6940" s="30" t="s">
        <v>10</v>
      </c>
      <c r="C6940" s="30" t="s">
        <v>46</v>
      </c>
      <c r="D6940" s="30" t="s">
        <v>102</v>
      </c>
      <c r="E6940" s="31" t="s">
        <v>188</v>
      </c>
      <c r="F6940" s="31" t="s">
        <v>189</v>
      </c>
      <c r="G6940" s="32" t="s">
        <v>128</v>
      </c>
      <c r="H6940" s="33">
        <v>676230</v>
      </c>
      <c r="I6940" s="34">
        <f>Table3[[#This Row],[Volume, kg.]]/1000</f>
        <v>676.23</v>
      </c>
      <c r="J6940" s="34">
        <v>0.2722</v>
      </c>
      <c r="K6940" s="34">
        <f t="shared" si="218"/>
        <v>184069.80600000001</v>
      </c>
      <c r="L6940" s="34">
        <v>2.99</v>
      </c>
      <c r="M6940" s="34">
        <v>2023708.5</v>
      </c>
      <c r="N6940" s="34">
        <f t="shared" si="219"/>
        <v>10.984570168993388</v>
      </c>
    </row>
    <row r="6941" spans="1:14" x14ac:dyDescent="0.45">
      <c r="A6941" s="30">
        <v>2026</v>
      </c>
      <c r="B6941" s="30" t="s">
        <v>10</v>
      </c>
      <c r="C6941" s="30" t="s">
        <v>46</v>
      </c>
      <c r="D6941" s="30" t="s">
        <v>102</v>
      </c>
      <c r="E6941" s="31" t="s">
        <v>222</v>
      </c>
      <c r="F6941" s="31" t="s">
        <v>223</v>
      </c>
      <c r="G6941" s="32" t="s">
        <v>50</v>
      </c>
      <c r="H6941" s="33">
        <v>155240</v>
      </c>
      <c r="I6941" s="34">
        <f>Table3[[#This Row],[Volume, kg.]]/1000</f>
        <v>155.24</v>
      </c>
      <c r="J6941" s="34">
        <v>0.25309999999999999</v>
      </c>
      <c r="K6941" s="34">
        <f t="shared" si="218"/>
        <v>39291.243999999999</v>
      </c>
      <c r="L6941" s="34">
        <v>2.89</v>
      </c>
      <c r="M6941" s="34">
        <v>448639</v>
      </c>
      <c r="N6941" s="34">
        <f t="shared" si="219"/>
        <v>11.418411694982222</v>
      </c>
    </row>
    <row r="6942" spans="1:14" x14ac:dyDescent="0.45">
      <c r="A6942" s="30">
        <v>2026</v>
      </c>
      <c r="B6942" s="30" t="s">
        <v>10</v>
      </c>
      <c r="C6942" s="30" t="s">
        <v>46</v>
      </c>
      <c r="D6942" s="30" t="s">
        <v>102</v>
      </c>
      <c r="E6942" s="31" t="s">
        <v>336</v>
      </c>
      <c r="F6942" s="31" t="s">
        <v>114</v>
      </c>
      <c r="G6942" s="32" t="s">
        <v>108</v>
      </c>
      <c r="H6942" s="33">
        <v>419490</v>
      </c>
      <c r="I6942" s="34">
        <f>Table3[[#This Row],[Volume, kg.]]/1000</f>
        <v>419.49</v>
      </c>
      <c r="J6942" s="34">
        <v>0.25829999999999997</v>
      </c>
      <c r="K6942" s="34">
        <f t="shared" si="218"/>
        <v>108354.26699999999</v>
      </c>
      <c r="L6942" s="34">
        <v>2.93</v>
      </c>
      <c r="M6942" s="34">
        <v>1229296</v>
      </c>
      <c r="N6942" s="34">
        <f t="shared" si="219"/>
        <v>11.343399148277198</v>
      </c>
    </row>
    <row r="6943" spans="1:14" x14ac:dyDescent="0.45">
      <c r="A6943" s="30">
        <v>2026</v>
      </c>
      <c r="B6943" s="30" t="s">
        <v>10</v>
      </c>
      <c r="C6943" s="30" t="s">
        <v>46</v>
      </c>
      <c r="D6943" s="30" t="s">
        <v>47</v>
      </c>
      <c r="E6943" s="31" t="s">
        <v>181</v>
      </c>
      <c r="F6943" s="31" t="s">
        <v>57</v>
      </c>
      <c r="G6943" s="32" t="s">
        <v>50</v>
      </c>
      <c r="H6943" s="33">
        <v>15790</v>
      </c>
      <c r="I6943" s="34">
        <f>Table3[[#This Row],[Volume, kg.]]/1000</f>
        <v>15.79</v>
      </c>
      <c r="J6943" s="34">
        <v>0.27210000000000001</v>
      </c>
      <c r="K6943" s="34">
        <f t="shared" si="218"/>
        <v>4296.4589999999998</v>
      </c>
      <c r="L6943" s="34">
        <v>2.92</v>
      </c>
      <c r="M6943" s="34">
        <v>46102</v>
      </c>
      <c r="N6943" s="34">
        <f t="shared" si="219"/>
        <v>10.731348768834987</v>
      </c>
    </row>
    <row r="6944" spans="1:14" x14ac:dyDescent="0.45">
      <c r="A6944" s="30">
        <v>2026</v>
      </c>
      <c r="B6944" s="30" t="s">
        <v>10</v>
      </c>
      <c r="C6944" s="30" t="s">
        <v>46</v>
      </c>
      <c r="D6944" s="30" t="s">
        <v>47</v>
      </c>
      <c r="E6944" s="31" t="s">
        <v>213</v>
      </c>
      <c r="F6944" s="31" t="s">
        <v>49</v>
      </c>
      <c r="G6944" s="32" t="s">
        <v>50</v>
      </c>
      <c r="H6944" s="33">
        <v>35360</v>
      </c>
      <c r="I6944" s="34">
        <f>Table3[[#This Row],[Volume, kg.]]/1000</f>
        <v>35.36</v>
      </c>
      <c r="J6944" s="34">
        <v>0.26289999999999997</v>
      </c>
      <c r="K6944" s="34">
        <f t="shared" si="218"/>
        <v>9296.1439999999984</v>
      </c>
      <c r="L6944" s="34">
        <v>2.87</v>
      </c>
      <c r="M6944" s="34">
        <v>101446.9</v>
      </c>
      <c r="N6944" s="34">
        <f t="shared" si="219"/>
        <v>10.91669836439711</v>
      </c>
    </row>
    <row r="6945" spans="1:14" x14ac:dyDescent="0.45">
      <c r="A6945" s="30">
        <v>2026</v>
      </c>
      <c r="B6945" s="30" t="s">
        <v>10</v>
      </c>
      <c r="C6945" s="30" t="s">
        <v>46</v>
      </c>
      <c r="D6945" s="30" t="s">
        <v>47</v>
      </c>
      <c r="E6945" s="31" t="s">
        <v>52</v>
      </c>
      <c r="F6945" s="31" t="s">
        <v>49</v>
      </c>
      <c r="G6945" s="32" t="s">
        <v>50</v>
      </c>
      <c r="H6945" s="33">
        <v>6190</v>
      </c>
      <c r="I6945" s="34">
        <f>Table3[[#This Row],[Volume, kg.]]/1000</f>
        <v>6.19</v>
      </c>
      <c r="J6945" s="34">
        <v>0.24100000000000002</v>
      </c>
      <c r="K6945" s="34">
        <f t="shared" si="218"/>
        <v>1491.7900000000002</v>
      </c>
      <c r="L6945" s="34">
        <v>2.75</v>
      </c>
      <c r="M6945" s="34">
        <v>17022.5</v>
      </c>
      <c r="N6945" s="34">
        <f t="shared" si="219"/>
        <v>11.410788381742737</v>
      </c>
    </row>
    <row r="6946" spans="1:14" x14ac:dyDescent="0.45">
      <c r="A6946" s="30">
        <v>2026</v>
      </c>
      <c r="B6946" s="30" t="s">
        <v>10</v>
      </c>
      <c r="C6946" s="30" t="s">
        <v>46</v>
      </c>
      <c r="D6946" s="30" t="s">
        <v>47</v>
      </c>
      <c r="E6946" s="31" t="s">
        <v>327</v>
      </c>
      <c r="F6946" s="31" t="s">
        <v>49</v>
      </c>
      <c r="G6946" s="32" t="s">
        <v>50</v>
      </c>
      <c r="H6946" s="33">
        <v>12142</v>
      </c>
      <c r="I6946" s="34">
        <f>Table3[[#This Row],[Volume, kg.]]/1000</f>
        <v>12.141999999999999</v>
      </c>
      <c r="J6946" s="34">
        <v>0.28920000000000001</v>
      </c>
      <c r="K6946" s="34">
        <f t="shared" si="218"/>
        <v>3511.4664000000002</v>
      </c>
      <c r="L6946" s="34">
        <v>3</v>
      </c>
      <c r="M6946" s="34">
        <v>36405.1</v>
      </c>
      <c r="N6946" s="34">
        <f t="shared" si="219"/>
        <v>10.373443983402488</v>
      </c>
    </row>
    <row r="6947" spans="1:14" x14ac:dyDescent="0.45">
      <c r="A6947" s="30">
        <v>2026</v>
      </c>
      <c r="B6947" s="30" t="s">
        <v>10</v>
      </c>
      <c r="C6947" s="30" t="s">
        <v>46</v>
      </c>
      <c r="D6947" s="30" t="s">
        <v>47</v>
      </c>
      <c r="E6947" s="31" t="s">
        <v>48</v>
      </c>
      <c r="F6947" s="31" t="s">
        <v>49</v>
      </c>
      <c r="G6947" s="32" t="s">
        <v>50</v>
      </c>
      <c r="H6947" s="33">
        <v>5150</v>
      </c>
      <c r="I6947" s="34">
        <f>Table3[[#This Row],[Volume, kg.]]/1000</f>
        <v>5.15</v>
      </c>
      <c r="J6947" s="34">
        <v>0.23519999999999999</v>
      </c>
      <c r="K6947" s="34">
        <f t="shared" si="218"/>
        <v>1211.28</v>
      </c>
      <c r="L6947" s="34">
        <v>2.72</v>
      </c>
      <c r="M6947" s="34">
        <v>14007.8</v>
      </c>
      <c r="N6947" s="34">
        <f t="shared" si="219"/>
        <v>11.564625850340137</v>
      </c>
    </row>
    <row r="6948" spans="1:14" x14ac:dyDescent="0.45">
      <c r="A6948" s="30">
        <v>2026</v>
      </c>
      <c r="B6948" s="30" t="s">
        <v>10</v>
      </c>
      <c r="C6948" s="30" t="s">
        <v>46</v>
      </c>
      <c r="D6948" s="30" t="s">
        <v>47</v>
      </c>
      <c r="E6948" s="31" t="s">
        <v>383</v>
      </c>
      <c r="F6948" s="31" t="s">
        <v>49</v>
      </c>
      <c r="G6948" s="32" t="s">
        <v>50</v>
      </c>
      <c r="H6948" s="33">
        <v>1318</v>
      </c>
      <c r="I6948" s="34">
        <f>Table3[[#This Row],[Volume, kg.]]/1000</f>
        <v>1.3180000000000001</v>
      </c>
      <c r="J6948" s="34">
        <v>0.24350000000000002</v>
      </c>
      <c r="K6948" s="34">
        <f t="shared" si="218"/>
        <v>320.93300000000005</v>
      </c>
      <c r="L6948" s="34">
        <v>2.75</v>
      </c>
      <c r="M6948" s="34">
        <v>3624.5</v>
      </c>
      <c r="N6948" s="34">
        <f t="shared" si="219"/>
        <v>11.293634496919918</v>
      </c>
    </row>
    <row r="6949" spans="1:14" x14ac:dyDescent="0.45">
      <c r="A6949" s="30">
        <v>2026</v>
      </c>
      <c r="B6949" s="30" t="s">
        <v>10</v>
      </c>
      <c r="C6949" s="30" t="s">
        <v>46</v>
      </c>
      <c r="D6949" s="30" t="s">
        <v>47</v>
      </c>
      <c r="E6949" s="31" t="s">
        <v>208</v>
      </c>
      <c r="F6949" s="31" t="s">
        <v>49</v>
      </c>
      <c r="G6949" s="32" t="s">
        <v>50</v>
      </c>
      <c r="H6949" s="33">
        <v>9387</v>
      </c>
      <c r="I6949" s="34">
        <f>Table3[[#This Row],[Volume, kg.]]/1000</f>
        <v>9.3870000000000005</v>
      </c>
      <c r="J6949" s="34">
        <v>0.218</v>
      </c>
      <c r="K6949" s="34">
        <f t="shared" si="218"/>
        <v>2046.366</v>
      </c>
      <c r="L6949" s="34">
        <v>2.65</v>
      </c>
      <c r="M6949" s="34">
        <v>24875.55</v>
      </c>
      <c r="N6949" s="34">
        <f t="shared" si="219"/>
        <v>12.155963302752292</v>
      </c>
    </row>
    <row r="6950" spans="1:14" x14ac:dyDescent="0.45">
      <c r="A6950" s="30">
        <v>2026</v>
      </c>
      <c r="B6950" s="30" t="s">
        <v>10</v>
      </c>
      <c r="C6950" s="30" t="s">
        <v>46</v>
      </c>
      <c r="D6950" s="30" t="s">
        <v>47</v>
      </c>
      <c r="E6950" s="31" t="s">
        <v>99</v>
      </c>
      <c r="F6950" s="31" t="s">
        <v>49</v>
      </c>
      <c r="G6950" s="32" t="s">
        <v>50</v>
      </c>
      <c r="H6950" s="33">
        <v>8420</v>
      </c>
      <c r="I6950" s="34">
        <f>Table3[[#This Row],[Volume, kg.]]/1000</f>
        <v>8.42</v>
      </c>
      <c r="J6950" s="34">
        <v>0.23149999999999998</v>
      </c>
      <c r="K6950" s="34">
        <f t="shared" si="218"/>
        <v>1949.2299999999998</v>
      </c>
      <c r="L6950" s="34">
        <v>2.7</v>
      </c>
      <c r="M6950" s="34">
        <v>22734</v>
      </c>
      <c r="N6950" s="34">
        <f t="shared" si="219"/>
        <v>11.663066954643631</v>
      </c>
    </row>
    <row r="6951" spans="1:14" x14ac:dyDescent="0.45">
      <c r="A6951" s="30">
        <v>2026</v>
      </c>
      <c r="B6951" s="30" t="s">
        <v>10</v>
      </c>
      <c r="C6951" s="30" t="s">
        <v>46</v>
      </c>
      <c r="D6951" s="30" t="s">
        <v>47</v>
      </c>
      <c r="E6951" s="31" t="s">
        <v>165</v>
      </c>
      <c r="F6951" s="31" t="s">
        <v>57</v>
      </c>
      <c r="G6951" s="32" t="s">
        <v>50</v>
      </c>
      <c r="H6951" s="33">
        <v>20332</v>
      </c>
      <c r="I6951" s="34">
        <f>Table3[[#This Row],[Volume, kg.]]/1000</f>
        <v>20.332000000000001</v>
      </c>
      <c r="J6951" s="34">
        <v>0.26690000000000003</v>
      </c>
      <c r="K6951" s="34">
        <f t="shared" si="218"/>
        <v>5426.6108000000004</v>
      </c>
      <c r="L6951" s="34">
        <v>2.88</v>
      </c>
      <c r="M6951" s="34">
        <v>58525.05</v>
      </c>
      <c r="N6951" s="34">
        <f t="shared" si="219"/>
        <v>10.790558261521168</v>
      </c>
    </row>
    <row r="6952" spans="1:14" x14ac:dyDescent="0.45">
      <c r="A6952" s="30">
        <v>2026</v>
      </c>
      <c r="B6952" s="30" t="s">
        <v>10</v>
      </c>
      <c r="C6952" s="30" t="s">
        <v>46</v>
      </c>
      <c r="D6952" s="30" t="s">
        <v>47</v>
      </c>
      <c r="E6952" s="31" t="s">
        <v>226</v>
      </c>
      <c r="F6952" s="31" t="s">
        <v>60</v>
      </c>
      <c r="G6952" s="32" t="s">
        <v>50</v>
      </c>
      <c r="H6952" s="33">
        <v>3510</v>
      </c>
      <c r="I6952" s="34">
        <f>Table3[[#This Row],[Volume, kg.]]/1000</f>
        <v>3.51</v>
      </c>
      <c r="J6952" s="34">
        <v>0.2465</v>
      </c>
      <c r="K6952" s="34">
        <f t="shared" si="218"/>
        <v>865.21500000000003</v>
      </c>
      <c r="L6952" s="34">
        <v>2.8</v>
      </c>
      <c r="M6952" s="34">
        <v>9828</v>
      </c>
      <c r="N6952" s="34">
        <f t="shared" si="219"/>
        <v>11.359026369168356</v>
      </c>
    </row>
    <row r="6953" spans="1:14" x14ac:dyDescent="0.45">
      <c r="A6953" s="30">
        <v>2026</v>
      </c>
      <c r="B6953" s="30" t="s">
        <v>10</v>
      </c>
      <c r="C6953" s="30" t="s">
        <v>46</v>
      </c>
      <c r="D6953" s="30" t="s">
        <v>47</v>
      </c>
      <c r="E6953" s="31" t="s">
        <v>322</v>
      </c>
      <c r="F6953" s="31" t="s">
        <v>57</v>
      </c>
      <c r="G6953" s="32" t="s">
        <v>50</v>
      </c>
      <c r="H6953" s="33">
        <v>19358</v>
      </c>
      <c r="I6953" s="34">
        <f>Table3[[#This Row],[Volume, kg.]]/1000</f>
        <v>19.358000000000001</v>
      </c>
      <c r="J6953" s="34">
        <v>0.2397</v>
      </c>
      <c r="K6953" s="34">
        <f t="shared" si="218"/>
        <v>4640.1126000000004</v>
      </c>
      <c r="L6953" s="34">
        <v>2.75</v>
      </c>
      <c r="M6953" s="34">
        <v>53234.5</v>
      </c>
      <c r="N6953" s="34">
        <f t="shared" si="219"/>
        <v>11.472674176053401</v>
      </c>
    </row>
    <row r="6954" spans="1:14" x14ac:dyDescent="0.45">
      <c r="A6954" s="30">
        <v>2026</v>
      </c>
      <c r="B6954" s="30" t="s">
        <v>10</v>
      </c>
      <c r="C6954" s="30" t="s">
        <v>46</v>
      </c>
      <c r="D6954" s="30" t="s">
        <v>47</v>
      </c>
      <c r="E6954" s="31" t="s">
        <v>297</v>
      </c>
      <c r="F6954" s="31" t="s">
        <v>57</v>
      </c>
      <c r="G6954" s="32" t="s">
        <v>50</v>
      </c>
      <c r="H6954" s="33">
        <v>26140</v>
      </c>
      <c r="I6954" s="34">
        <f>Table3[[#This Row],[Volume, kg.]]/1000</f>
        <v>26.14</v>
      </c>
      <c r="J6954" s="34">
        <v>0.2772</v>
      </c>
      <c r="K6954" s="34">
        <f t="shared" si="218"/>
        <v>7246.0079999999998</v>
      </c>
      <c r="L6954" s="34">
        <v>2.93</v>
      </c>
      <c r="M6954" s="34">
        <v>76602</v>
      </c>
      <c r="N6954" s="34">
        <f t="shared" si="219"/>
        <v>10.569985569985571</v>
      </c>
    </row>
    <row r="6955" spans="1:14" x14ac:dyDescent="0.45">
      <c r="A6955" s="30">
        <v>2026</v>
      </c>
      <c r="B6955" s="30" t="s">
        <v>10</v>
      </c>
      <c r="C6955" s="30" t="s">
        <v>46</v>
      </c>
      <c r="D6955" s="30" t="s">
        <v>47</v>
      </c>
      <c r="E6955" s="31" t="s">
        <v>82</v>
      </c>
      <c r="F6955" s="31" t="s">
        <v>57</v>
      </c>
      <c r="G6955" s="32" t="s">
        <v>50</v>
      </c>
      <c r="H6955" s="33">
        <v>8524</v>
      </c>
      <c r="I6955" s="34">
        <f>Table3[[#This Row],[Volume, kg.]]/1000</f>
        <v>8.5239999999999991</v>
      </c>
      <c r="J6955" s="34">
        <v>0.30449999999999999</v>
      </c>
      <c r="K6955" s="34">
        <f t="shared" si="218"/>
        <v>2595.558</v>
      </c>
      <c r="L6955" s="34">
        <v>3.05</v>
      </c>
      <c r="M6955" s="34">
        <v>25998.2</v>
      </c>
      <c r="N6955" s="34">
        <f t="shared" si="219"/>
        <v>10.016420361247947</v>
      </c>
    </row>
    <row r="6956" spans="1:14" x14ac:dyDescent="0.45">
      <c r="A6956" s="30">
        <v>2026</v>
      </c>
      <c r="B6956" s="30" t="s">
        <v>10</v>
      </c>
      <c r="C6956" s="30" t="s">
        <v>46</v>
      </c>
      <c r="D6956" s="30" t="s">
        <v>47</v>
      </c>
      <c r="E6956" s="31" t="s">
        <v>65</v>
      </c>
      <c r="F6956" s="31" t="s">
        <v>49</v>
      </c>
      <c r="G6956" s="32" t="s">
        <v>50</v>
      </c>
      <c r="H6956" s="33">
        <v>4025</v>
      </c>
      <c r="I6956" s="34">
        <f>Table3[[#This Row],[Volume, kg.]]/1000</f>
        <v>4.0250000000000004</v>
      </c>
      <c r="J6956" s="34">
        <v>0.20399999999999999</v>
      </c>
      <c r="K6956" s="34">
        <f t="shared" si="218"/>
        <v>821.09999999999991</v>
      </c>
      <c r="L6956" s="34">
        <v>2.6</v>
      </c>
      <c r="M6956" s="34">
        <v>10465</v>
      </c>
      <c r="N6956" s="34">
        <f t="shared" si="219"/>
        <v>12.745098039215687</v>
      </c>
    </row>
    <row r="6957" spans="1:14" x14ac:dyDescent="0.45">
      <c r="A6957" s="30">
        <v>2026</v>
      </c>
      <c r="B6957" s="30" t="s">
        <v>10</v>
      </c>
      <c r="C6957" s="30" t="s">
        <v>46</v>
      </c>
      <c r="D6957" s="30" t="s">
        <v>47</v>
      </c>
      <c r="E6957" s="31" t="s">
        <v>303</v>
      </c>
      <c r="F6957" s="31" t="s">
        <v>57</v>
      </c>
      <c r="G6957" s="32" t="s">
        <v>50</v>
      </c>
      <c r="H6957" s="33">
        <v>30720</v>
      </c>
      <c r="I6957" s="34">
        <f>Table3[[#This Row],[Volume, kg.]]/1000</f>
        <v>30.72</v>
      </c>
      <c r="J6957" s="34">
        <v>0.30149999999999999</v>
      </c>
      <c r="K6957" s="34">
        <f t="shared" si="218"/>
        <v>9262.08</v>
      </c>
      <c r="L6957" s="34">
        <v>3.06</v>
      </c>
      <c r="M6957" s="34">
        <v>93943</v>
      </c>
      <c r="N6957" s="34">
        <f t="shared" si="219"/>
        <v>10.149253731343284</v>
      </c>
    </row>
    <row r="6958" spans="1:14" x14ac:dyDescent="0.45">
      <c r="A6958" s="30">
        <v>2026</v>
      </c>
      <c r="B6958" s="30" t="s">
        <v>10</v>
      </c>
      <c r="C6958" s="30" t="s">
        <v>46</v>
      </c>
      <c r="D6958" s="30" t="s">
        <v>47</v>
      </c>
      <c r="E6958" s="31" t="s">
        <v>172</v>
      </c>
      <c r="F6958" s="31" t="s">
        <v>57</v>
      </c>
      <c r="G6958" s="32" t="s">
        <v>50</v>
      </c>
      <c r="H6958" s="33">
        <v>33023</v>
      </c>
      <c r="I6958" s="34">
        <f>Table3[[#This Row],[Volume, kg.]]/1000</f>
        <v>33.023000000000003</v>
      </c>
      <c r="J6958" s="34">
        <v>0.26030000000000003</v>
      </c>
      <c r="K6958" s="34">
        <f t="shared" si="218"/>
        <v>8595.8869000000013</v>
      </c>
      <c r="L6958" s="34">
        <v>2.86</v>
      </c>
      <c r="M6958" s="34">
        <v>94277.75</v>
      </c>
      <c r="N6958" s="34">
        <f t="shared" si="219"/>
        <v>10.987322320399537</v>
      </c>
    </row>
    <row r="6959" spans="1:14" x14ac:dyDescent="0.45">
      <c r="A6959" s="30">
        <v>2026</v>
      </c>
      <c r="B6959" s="30" t="s">
        <v>10</v>
      </c>
      <c r="C6959" s="30" t="s">
        <v>46</v>
      </c>
      <c r="D6959" s="30" t="s">
        <v>47</v>
      </c>
      <c r="E6959" s="31" t="s">
        <v>301</v>
      </c>
      <c r="F6959" s="31" t="s">
        <v>60</v>
      </c>
      <c r="G6959" s="32" t="s">
        <v>50</v>
      </c>
      <c r="H6959" s="33">
        <v>29502</v>
      </c>
      <c r="I6959" s="34">
        <f>Table3[[#This Row],[Volume, kg.]]/1000</f>
        <v>29.501999999999999</v>
      </c>
      <c r="J6959" s="34">
        <v>0.24789999999999998</v>
      </c>
      <c r="K6959" s="34">
        <f t="shared" si="218"/>
        <v>7313.5457999999999</v>
      </c>
      <c r="L6959" s="34">
        <v>2.85</v>
      </c>
      <c r="M6959" s="34">
        <v>84081.600000000006</v>
      </c>
      <c r="N6959" s="34">
        <f t="shared" si="219"/>
        <v>11.496571198063737</v>
      </c>
    </row>
    <row r="6960" spans="1:14" x14ac:dyDescent="0.45">
      <c r="A6960" s="30">
        <v>2026</v>
      </c>
      <c r="B6960" s="30" t="s">
        <v>10</v>
      </c>
      <c r="C6960" s="30" t="s">
        <v>46</v>
      </c>
      <c r="D6960" s="30" t="s">
        <v>47</v>
      </c>
      <c r="E6960" s="31" t="s">
        <v>179</v>
      </c>
      <c r="F6960" s="31" t="s">
        <v>60</v>
      </c>
      <c r="G6960" s="32" t="s">
        <v>50</v>
      </c>
      <c r="H6960" s="33">
        <v>29779</v>
      </c>
      <c r="I6960" s="34">
        <f>Table3[[#This Row],[Volume, kg.]]/1000</f>
        <v>29.779</v>
      </c>
      <c r="J6960" s="34">
        <v>0.26679999999999998</v>
      </c>
      <c r="K6960" s="34">
        <f t="shared" si="218"/>
        <v>7945.0371999999998</v>
      </c>
      <c r="L6960" s="34">
        <v>2.92</v>
      </c>
      <c r="M6960" s="34">
        <v>87115.35</v>
      </c>
      <c r="N6960" s="34">
        <f t="shared" si="219"/>
        <v>10.944527736131935</v>
      </c>
    </row>
    <row r="6961" spans="1:14" x14ac:dyDescent="0.45">
      <c r="A6961" s="30">
        <v>2026</v>
      </c>
      <c r="B6961" s="30" t="s">
        <v>10</v>
      </c>
      <c r="C6961" s="30" t="s">
        <v>46</v>
      </c>
      <c r="D6961" s="30" t="s">
        <v>47</v>
      </c>
      <c r="E6961" s="31" t="s">
        <v>258</v>
      </c>
      <c r="F6961" s="31" t="s">
        <v>49</v>
      </c>
      <c r="G6961" s="32" t="s">
        <v>50</v>
      </c>
      <c r="H6961" s="33">
        <v>64273</v>
      </c>
      <c r="I6961" s="34">
        <f>Table3[[#This Row],[Volume, kg.]]/1000</f>
        <v>64.272999999999996</v>
      </c>
      <c r="J6961" s="34">
        <v>0.25319999999999998</v>
      </c>
      <c r="K6961" s="34">
        <f t="shared" si="218"/>
        <v>16273.923599999998</v>
      </c>
      <c r="L6961" s="34">
        <v>2.85</v>
      </c>
      <c r="M6961" s="34">
        <v>183290.65</v>
      </c>
      <c r="N6961" s="34">
        <f t="shared" si="219"/>
        <v>11.255924170616115</v>
      </c>
    </row>
    <row r="6962" spans="1:14" x14ac:dyDescent="0.45">
      <c r="A6962" s="30">
        <v>2026</v>
      </c>
      <c r="B6962" s="30" t="s">
        <v>10</v>
      </c>
      <c r="C6962" s="30" t="s">
        <v>46</v>
      </c>
      <c r="D6962" s="30" t="s">
        <v>47</v>
      </c>
      <c r="E6962" s="31" t="s">
        <v>363</v>
      </c>
      <c r="F6962" s="31" t="s">
        <v>60</v>
      </c>
      <c r="G6962" s="32" t="s">
        <v>50</v>
      </c>
      <c r="H6962" s="33">
        <v>4935</v>
      </c>
      <c r="I6962" s="34">
        <f>Table3[[#This Row],[Volume, kg.]]/1000</f>
        <v>4.9349999999999996</v>
      </c>
      <c r="J6962" s="34">
        <v>0.27350000000000002</v>
      </c>
      <c r="K6962" s="34">
        <f t="shared" si="218"/>
        <v>1349.7225000000001</v>
      </c>
      <c r="L6962" s="34">
        <v>2.9</v>
      </c>
      <c r="M6962" s="34">
        <v>14311.5</v>
      </c>
      <c r="N6962" s="34">
        <f t="shared" si="219"/>
        <v>10.603290676416817</v>
      </c>
    </row>
    <row r="6963" spans="1:14" x14ac:dyDescent="0.45">
      <c r="A6963" s="30">
        <v>2026</v>
      </c>
      <c r="B6963" s="30" t="s">
        <v>10</v>
      </c>
      <c r="C6963" s="30" t="s">
        <v>46</v>
      </c>
      <c r="D6963" s="30" t="s">
        <v>47</v>
      </c>
      <c r="E6963" s="31" t="s">
        <v>166</v>
      </c>
      <c r="F6963" s="31" t="s">
        <v>49</v>
      </c>
      <c r="G6963" s="32" t="s">
        <v>50</v>
      </c>
      <c r="H6963" s="33">
        <v>105831</v>
      </c>
      <c r="I6963" s="34">
        <f>Table3[[#This Row],[Volume, kg.]]/1000</f>
        <v>105.831</v>
      </c>
      <c r="J6963" s="34">
        <v>0.25359999999999999</v>
      </c>
      <c r="K6963" s="34">
        <f t="shared" si="218"/>
        <v>26838.741599999998</v>
      </c>
      <c r="L6963" s="34">
        <v>2.85</v>
      </c>
      <c r="M6963" s="34">
        <v>301472.40000000002</v>
      </c>
      <c r="N6963" s="34">
        <f t="shared" si="219"/>
        <v>11.238170347003155</v>
      </c>
    </row>
    <row r="6964" spans="1:14" x14ac:dyDescent="0.45">
      <c r="A6964" s="30">
        <v>2026</v>
      </c>
      <c r="B6964" s="30" t="s">
        <v>10</v>
      </c>
      <c r="C6964" s="30" t="s">
        <v>46</v>
      </c>
      <c r="D6964" s="30" t="s">
        <v>47</v>
      </c>
      <c r="E6964" s="31" t="s">
        <v>293</v>
      </c>
      <c r="F6964" s="31" t="s">
        <v>60</v>
      </c>
      <c r="G6964" s="32" t="s">
        <v>50</v>
      </c>
      <c r="H6964" s="33">
        <v>8328</v>
      </c>
      <c r="I6964" s="34">
        <f>Table3[[#This Row],[Volume, kg.]]/1000</f>
        <v>8.3279999999999994</v>
      </c>
      <c r="J6964" s="34">
        <v>0.27899999999999997</v>
      </c>
      <c r="K6964" s="34">
        <f t="shared" si="218"/>
        <v>2323.5119999999997</v>
      </c>
      <c r="L6964" s="34">
        <v>2.95</v>
      </c>
      <c r="M6964" s="34">
        <v>24567.599999999999</v>
      </c>
      <c r="N6964" s="34">
        <f t="shared" si="219"/>
        <v>10.573476702508962</v>
      </c>
    </row>
    <row r="6965" spans="1:14" x14ac:dyDescent="0.45">
      <c r="A6965" s="30">
        <v>2026</v>
      </c>
      <c r="B6965" s="30" t="s">
        <v>10</v>
      </c>
      <c r="C6965" s="30" t="s">
        <v>46</v>
      </c>
      <c r="D6965" s="30" t="s">
        <v>47</v>
      </c>
      <c r="E6965" s="31" t="s">
        <v>242</v>
      </c>
      <c r="F6965" s="31" t="s">
        <v>60</v>
      </c>
      <c r="G6965" s="32" t="s">
        <v>50</v>
      </c>
      <c r="H6965" s="33">
        <v>6882</v>
      </c>
      <c r="I6965" s="34">
        <f>Table3[[#This Row],[Volume, kg.]]/1000</f>
        <v>6.8819999999999997</v>
      </c>
      <c r="J6965" s="34">
        <v>0.27200000000000002</v>
      </c>
      <c r="K6965" s="34">
        <f t="shared" si="218"/>
        <v>1871.9040000000002</v>
      </c>
      <c r="L6965" s="34">
        <v>2.9</v>
      </c>
      <c r="M6965" s="34">
        <v>19957.8</v>
      </c>
      <c r="N6965" s="34">
        <f t="shared" si="219"/>
        <v>10.661764705882351</v>
      </c>
    </row>
    <row r="6966" spans="1:14" x14ac:dyDescent="0.45">
      <c r="A6966" s="30">
        <v>2026</v>
      </c>
      <c r="B6966" s="30" t="s">
        <v>10</v>
      </c>
      <c r="C6966" s="30" t="s">
        <v>46</v>
      </c>
      <c r="D6966" s="30" t="s">
        <v>47</v>
      </c>
      <c r="E6966" s="31" t="s">
        <v>256</v>
      </c>
      <c r="F6966" s="31" t="s">
        <v>81</v>
      </c>
      <c r="G6966" s="32" t="s">
        <v>50</v>
      </c>
      <c r="H6966" s="33">
        <v>30635</v>
      </c>
      <c r="I6966" s="34">
        <f>Table3[[#This Row],[Volume, kg.]]/1000</f>
        <v>30.635000000000002</v>
      </c>
      <c r="J6966" s="34">
        <v>0.2697</v>
      </c>
      <c r="K6966" s="34">
        <f t="shared" si="218"/>
        <v>8262.2595000000001</v>
      </c>
      <c r="L6966" s="34">
        <v>2.9</v>
      </c>
      <c r="M6966" s="34">
        <v>88841.5</v>
      </c>
      <c r="N6966" s="34">
        <f t="shared" si="219"/>
        <v>10.75268817204301</v>
      </c>
    </row>
    <row r="6967" spans="1:14" x14ac:dyDescent="0.45">
      <c r="A6967" s="30">
        <v>2026</v>
      </c>
      <c r="B6967" s="30" t="s">
        <v>10</v>
      </c>
      <c r="C6967" s="30" t="s">
        <v>46</v>
      </c>
      <c r="D6967" s="30" t="s">
        <v>47</v>
      </c>
      <c r="E6967" s="31" t="s">
        <v>379</v>
      </c>
      <c r="F6967" s="31" t="s">
        <v>49</v>
      </c>
      <c r="G6967" s="32" t="s">
        <v>50</v>
      </c>
      <c r="H6967" s="33">
        <v>19176</v>
      </c>
      <c r="I6967" s="34">
        <f>Table3[[#This Row],[Volume, kg.]]/1000</f>
        <v>19.175999999999998</v>
      </c>
      <c r="J6967" s="34">
        <v>0.2571</v>
      </c>
      <c r="K6967" s="34">
        <f t="shared" si="218"/>
        <v>4930.1495999999997</v>
      </c>
      <c r="L6967" s="34">
        <v>2.83</v>
      </c>
      <c r="M6967" s="34">
        <v>54266.8</v>
      </c>
      <c r="N6967" s="34">
        <f t="shared" si="219"/>
        <v>11.007390120575652</v>
      </c>
    </row>
    <row r="6968" spans="1:14" x14ac:dyDescent="0.45">
      <c r="A6968" s="30">
        <v>2026</v>
      </c>
      <c r="B6968" s="30" t="s">
        <v>10</v>
      </c>
      <c r="C6968" s="30" t="s">
        <v>46</v>
      </c>
      <c r="D6968" s="30" t="s">
        <v>47</v>
      </c>
      <c r="E6968" s="31" t="s">
        <v>164</v>
      </c>
      <c r="F6968" s="31" t="s">
        <v>49</v>
      </c>
      <c r="G6968" s="32" t="s">
        <v>50</v>
      </c>
      <c r="H6968" s="33">
        <v>12857</v>
      </c>
      <c r="I6968" s="34">
        <f>Table3[[#This Row],[Volume, kg.]]/1000</f>
        <v>12.856999999999999</v>
      </c>
      <c r="J6968" s="34">
        <v>0.25900000000000001</v>
      </c>
      <c r="K6968" s="34">
        <f t="shared" si="218"/>
        <v>3329.9630000000002</v>
      </c>
      <c r="L6968" s="34">
        <v>2.85</v>
      </c>
      <c r="M6968" s="34">
        <v>36649.4</v>
      </c>
      <c r="N6968" s="34">
        <f t="shared" si="219"/>
        <v>11.003861003861005</v>
      </c>
    </row>
    <row r="6969" spans="1:14" x14ac:dyDescent="0.45">
      <c r="A6969" s="30">
        <v>2026</v>
      </c>
      <c r="B6969" s="30" t="s">
        <v>10</v>
      </c>
      <c r="C6969" s="30" t="s">
        <v>46</v>
      </c>
      <c r="D6969" s="30" t="s">
        <v>47</v>
      </c>
      <c r="E6969" s="31" t="s">
        <v>534</v>
      </c>
      <c r="F6969" s="31" t="s">
        <v>49</v>
      </c>
      <c r="G6969" s="32" t="s">
        <v>50</v>
      </c>
      <c r="H6969" s="33">
        <v>1698</v>
      </c>
      <c r="I6969" s="34">
        <f>Table3[[#This Row],[Volume, kg.]]/1000</f>
        <v>1.698</v>
      </c>
      <c r="J6969" s="34">
        <v>0.20350000000000001</v>
      </c>
      <c r="K6969" s="34">
        <f t="shared" si="218"/>
        <v>345.54300000000001</v>
      </c>
      <c r="L6969" s="34">
        <v>2.5499999999999998</v>
      </c>
      <c r="M6969" s="34">
        <v>4329.8999999999996</v>
      </c>
      <c r="N6969" s="34">
        <f t="shared" si="219"/>
        <v>12.530712530712529</v>
      </c>
    </row>
    <row r="6970" spans="1:14" x14ac:dyDescent="0.45">
      <c r="A6970" s="30">
        <v>2026</v>
      </c>
      <c r="B6970" s="30" t="s">
        <v>10</v>
      </c>
      <c r="C6970" s="30" t="s">
        <v>46</v>
      </c>
      <c r="D6970" s="30" t="s">
        <v>47</v>
      </c>
      <c r="E6970" s="31" t="s">
        <v>358</v>
      </c>
      <c r="F6970" s="31" t="s">
        <v>60</v>
      </c>
      <c r="G6970" s="32" t="s">
        <v>50</v>
      </c>
      <c r="H6970" s="33">
        <v>30005</v>
      </c>
      <c r="I6970" s="34">
        <f>Table3[[#This Row],[Volume, kg.]]/1000</f>
        <v>30.004999999999999</v>
      </c>
      <c r="J6970" s="34">
        <v>0.26950000000000002</v>
      </c>
      <c r="K6970" s="34">
        <f t="shared" si="218"/>
        <v>8086.3475000000008</v>
      </c>
      <c r="L6970" s="34">
        <v>2.91</v>
      </c>
      <c r="M6970" s="34">
        <v>87334.399999999994</v>
      </c>
      <c r="N6970" s="34">
        <f t="shared" si="219"/>
        <v>10.797773654916512</v>
      </c>
    </row>
    <row r="6971" spans="1:14" x14ac:dyDescent="0.45">
      <c r="A6971" s="30">
        <v>2026</v>
      </c>
      <c r="B6971" s="30" t="s">
        <v>10</v>
      </c>
      <c r="C6971" s="30" t="s">
        <v>46</v>
      </c>
      <c r="D6971" s="30" t="s">
        <v>47</v>
      </c>
      <c r="E6971" s="31" t="s">
        <v>187</v>
      </c>
      <c r="F6971" s="31" t="s">
        <v>54</v>
      </c>
      <c r="G6971" s="32" t="s">
        <v>50</v>
      </c>
      <c r="H6971" s="33">
        <v>107469</v>
      </c>
      <c r="I6971" s="34">
        <f>Table3[[#This Row],[Volume, kg.]]/1000</f>
        <v>107.46899999999999</v>
      </c>
      <c r="J6971" s="34">
        <v>0.251</v>
      </c>
      <c r="K6971" s="34">
        <f t="shared" ref="K6971:K7034" si="220">H6971*J6971</f>
        <v>26974.719000000001</v>
      </c>
      <c r="L6971" s="34">
        <v>2.84</v>
      </c>
      <c r="M6971" s="34">
        <v>305428</v>
      </c>
      <c r="N6971" s="34">
        <f t="shared" ref="N6971:N7034" si="221">L6971/J6971</f>
        <v>11.314741035856573</v>
      </c>
    </row>
    <row r="6972" spans="1:14" x14ac:dyDescent="0.45">
      <c r="A6972" s="30">
        <v>2026</v>
      </c>
      <c r="B6972" s="30" t="s">
        <v>10</v>
      </c>
      <c r="C6972" s="30" t="s">
        <v>46</v>
      </c>
      <c r="D6972" s="30" t="s">
        <v>47</v>
      </c>
      <c r="E6972" s="31" t="s">
        <v>352</v>
      </c>
      <c r="F6972" s="31" t="s">
        <v>54</v>
      </c>
      <c r="G6972" s="32" t="s">
        <v>50</v>
      </c>
      <c r="H6972" s="33">
        <v>124791</v>
      </c>
      <c r="I6972" s="34">
        <f>Table3[[#This Row],[Volume, kg.]]/1000</f>
        <v>124.791</v>
      </c>
      <c r="J6972" s="34">
        <v>0.253</v>
      </c>
      <c r="K6972" s="34">
        <f t="shared" si="220"/>
        <v>31572.123</v>
      </c>
      <c r="L6972" s="34">
        <v>2.82</v>
      </c>
      <c r="M6972" s="34">
        <v>352242.55</v>
      </c>
      <c r="N6972" s="34">
        <f t="shared" si="221"/>
        <v>11.146245059288537</v>
      </c>
    </row>
    <row r="6973" spans="1:14" x14ac:dyDescent="0.45">
      <c r="A6973" s="30">
        <v>2026</v>
      </c>
      <c r="B6973" s="30" t="s">
        <v>10</v>
      </c>
      <c r="C6973" s="30" t="s">
        <v>46</v>
      </c>
      <c r="D6973" s="30" t="s">
        <v>47</v>
      </c>
      <c r="E6973" s="31" t="s">
        <v>465</v>
      </c>
      <c r="F6973" s="31" t="s">
        <v>57</v>
      </c>
      <c r="G6973" s="32" t="s">
        <v>50</v>
      </c>
      <c r="H6973" s="33">
        <v>14966</v>
      </c>
      <c r="I6973" s="34">
        <f>Table3[[#This Row],[Volume, kg.]]/1000</f>
        <v>14.965999999999999</v>
      </c>
      <c r="J6973" s="34">
        <v>0.29930000000000001</v>
      </c>
      <c r="K6973" s="34">
        <f t="shared" si="220"/>
        <v>4479.3238000000001</v>
      </c>
      <c r="L6973" s="34">
        <v>3.05</v>
      </c>
      <c r="M6973" s="34">
        <v>45672.4</v>
      </c>
      <c r="N6973" s="34">
        <f t="shared" si="221"/>
        <v>10.190444370197126</v>
      </c>
    </row>
    <row r="6974" spans="1:14" x14ac:dyDescent="0.45">
      <c r="A6974" s="30">
        <v>2026</v>
      </c>
      <c r="B6974" s="30" t="s">
        <v>10</v>
      </c>
      <c r="C6974" s="30" t="s">
        <v>46</v>
      </c>
      <c r="D6974" s="30" t="s">
        <v>47</v>
      </c>
      <c r="E6974" s="31" t="s">
        <v>142</v>
      </c>
      <c r="F6974" s="31" t="s">
        <v>57</v>
      </c>
      <c r="G6974" s="32" t="s">
        <v>50</v>
      </c>
      <c r="H6974" s="33">
        <v>57464</v>
      </c>
      <c r="I6974" s="34">
        <f>Table3[[#This Row],[Volume, kg.]]/1000</f>
        <v>57.463999999999999</v>
      </c>
      <c r="J6974" s="34">
        <v>0.28520000000000001</v>
      </c>
      <c r="K6974" s="34">
        <f t="shared" si="220"/>
        <v>16388.732800000002</v>
      </c>
      <c r="L6974" s="34">
        <v>3</v>
      </c>
      <c r="M6974" s="34">
        <v>172793.45</v>
      </c>
      <c r="N6974" s="34">
        <f t="shared" si="221"/>
        <v>10.518934081346423</v>
      </c>
    </row>
    <row r="6975" spans="1:14" x14ac:dyDescent="0.45">
      <c r="A6975" s="30">
        <v>2026</v>
      </c>
      <c r="B6975" s="30" t="s">
        <v>10</v>
      </c>
      <c r="C6975" s="30" t="s">
        <v>46</v>
      </c>
      <c r="D6975" s="30" t="s">
        <v>47</v>
      </c>
      <c r="E6975" s="31" t="s">
        <v>86</v>
      </c>
      <c r="F6975" s="31" t="s">
        <v>49</v>
      </c>
      <c r="G6975" s="32" t="s">
        <v>50</v>
      </c>
      <c r="H6975" s="33">
        <v>57814</v>
      </c>
      <c r="I6975" s="34">
        <f>Table3[[#This Row],[Volume, kg.]]/1000</f>
        <v>57.814</v>
      </c>
      <c r="J6975" s="34">
        <v>0.25170000000000003</v>
      </c>
      <c r="K6975" s="34">
        <f t="shared" si="220"/>
        <v>14551.783800000003</v>
      </c>
      <c r="L6975" s="34">
        <v>2.83</v>
      </c>
      <c r="M6975" s="34">
        <v>163476.70000000001</v>
      </c>
      <c r="N6975" s="34">
        <f t="shared" si="221"/>
        <v>11.243543901470003</v>
      </c>
    </row>
    <row r="6976" spans="1:14" x14ac:dyDescent="0.45">
      <c r="A6976" s="30">
        <v>2026</v>
      </c>
      <c r="B6976" s="30" t="s">
        <v>10</v>
      </c>
      <c r="C6976" s="30" t="s">
        <v>46</v>
      </c>
      <c r="D6976" s="30" t="s">
        <v>47</v>
      </c>
      <c r="E6976" s="31" t="s">
        <v>451</v>
      </c>
      <c r="F6976" s="31" t="s">
        <v>54</v>
      </c>
      <c r="G6976" s="32" t="s">
        <v>50</v>
      </c>
      <c r="H6976" s="33">
        <v>9121</v>
      </c>
      <c r="I6976" s="34">
        <f>Table3[[#This Row],[Volume, kg.]]/1000</f>
        <v>9.1210000000000004</v>
      </c>
      <c r="J6976" s="34">
        <v>0.24160000000000001</v>
      </c>
      <c r="K6976" s="34">
        <f t="shared" si="220"/>
        <v>2203.6336000000001</v>
      </c>
      <c r="L6976" s="34">
        <v>2.76</v>
      </c>
      <c r="M6976" s="34">
        <v>25219.75</v>
      </c>
      <c r="N6976" s="34">
        <f t="shared" si="221"/>
        <v>11.423841059602648</v>
      </c>
    </row>
    <row r="6977" spans="1:14" x14ac:dyDescent="0.45">
      <c r="A6977" s="30">
        <v>2026</v>
      </c>
      <c r="B6977" s="30" t="s">
        <v>10</v>
      </c>
      <c r="C6977" s="30" t="s">
        <v>46</v>
      </c>
      <c r="D6977" s="30" t="s">
        <v>47</v>
      </c>
      <c r="E6977" s="31" t="s">
        <v>167</v>
      </c>
      <c r="F6977" s="31" t="s">
        <v>49</v>
      </c>
      <c r="G6977" s="32" t="s">
        <v>50</v>
      </c>
      <c r="H6977" s="33">
        <v>51028</v>
      </c>
      <c r="I6977" s="34">
        <f>Table3[[#This Row],[Volume, kg.]]/1000</f>
        <v>51.027999999999999</v>
      </c>
      <c r="J6977" s="34">
        <v>0.23480000000000001</v>
      </c>
      <c r="K6977" s="34">
        <f t="shared" si="220"/>
        <v>11981.374400000001</v>
      </c>
      <c r="L6977" s="34">
        <v>2.73</v>
      </c>
      <c r="M6977" s="34">
        <v>139345.54999999999</v>
      </c>
      <c r="N6977" s="34">
        <f t="shared" si="221"/>
        <v>11.626916524701873</v>
      </c>
    </row>
    <row r="6978" spans="1:14" x14ac:dyDescent="0.45">
      <c r="A6978" s="30">
        <v>2026</v>
      </c>
      <c r="B6978" s="30" t="s">
        <v>10</v>
      </c>
      <c r="C6978" s="30" t="s">
        <v>46</v>
      </c>
      <c r="D6978" s="30" t="s">
        <v>47</v>
      </c>
      <c r="E6978" s="31" t="s">
        <v>190</v>
      </c>
      <c r="F6978" s="31" t="s">
        <v>81</v>
      </c>
      <c r="G6978" s="32" t="s">
        <v>50</v>
      </c>
      <c r="H6978" s="33">
        <v>8652</v>
      </c>
      <c r="I6978" s="34">
        <f>Table3[[#This Row],[Volume, kg.]]/1000</f>
        <v>8.6519999999999992</v>
      </c>
      <c r="J6978" s="34">
        <v>0.2445</v>
      </c>
      <c r="K6978" s="34">
        <f t="shared" si="220"/>
        <v>2115.4139999999998</v>
      </c>
      <c r="L6978" s="34">
        <v>2.8</v>
      </c>
      <c r="M6978" s="34">
        <v>24225.599999999999</v>
      </c>
      <c r="N6978" s="34">
        <f t="shared" si="221"/>
        <v>11.451942740286299</v>
      </c>
    </row>
    <row r="6979" spans="1:14" x14ac:dyDescent="0.45">
      <c r="A6979" s="30">
        <v>2026</v>
      </c>
      <c r="B6979" s="30" t="s">
        <v>10</v>
      </c>
      <c r="C6979" s="30" t="s">
        <v>46</v>
      </c>
      <c r="D6979" s="30" t="s">
        <v>47</v>
      </c>
      <c r="E6979" s="31" t="s">
        <v>466</v>
      </c>
      <c r="F6979" s="31" t="s">
        <v>57</v>
      </c>
      <c r="G6979" s="32" t="s">
        <v>50</v>
      </c>
      <c r="H6979" s="33">
        <v>5766</v>
      </c>
      <c r="I6979" s="34">
        <f>Table3[[#This Row],[Volume, kg.]]/1000</f>
        <v>5.766</v>
      </c>
      <c r="J6979" s="34">
        <v>0.251</v>
      </c>
      <c r="K6979" s="34">
        <f t="shared" si="220"/>
        <v>1447.2660000000001</v>
      </c>
      <c r="L6979" s="34">
        <v>2.8</v>
      </c>
      <c r="M6979" s="34">
        <v>16144.8</v>
      </c>
      <c r="N6979" s="34">
        <f t="shared" si="221"/>
        <v>11.155378486055776</v>
      </c>
    </row>
    <row r="6980" spans="1:14" x14ac:dyDescent="0.45">
      <c r="A6980" s="30">
        <v>2026</v>
      </c>
      <c r="B6980" s="30" t="s">
        <v>10</v>
      </c>
      <c r="C6980" s="30" t="s">
        <v>46</v>
      </c>
      <c r="D6980" s="30" t="s">
        <v>47</v>
      </c>
      <c r="E6980" s="31" t="s">
        <v>241</v>
      </c>
      <c r="F6980" s="31" t="s">
        <v>57</v>
      </c>
      <c r="G6980" s="32" t="s">
        <v>50</v>
      </c>
      <c r="H6980" s="33">
        <v>40100</v>
      </c>
      <c r="I6980" s="34">
        <f>Table3[[#This Row],[Volume, kg.]]/1000</f>
        <v>40.1</v>
      </c>
      <c r="J6980" s="34">
        <v>0.26050000000000001</v>
      </c>
      <c r="K6980" s="34">
        <f t="shared" si="220"/>
        <v>10446.050000000001</v>
      </c>
      <c r="L6980" s="34">
        <v>2.88</v>
      </c>
      <c r="M6980" s="34">
        <v>115377.5</v>
      </c>
      <c r="N6980" s="34">
        <f t="shared" si="221"/>
        <v>11.055662188099808</v>
      </c>
    </row>
    <row r="6981" spans="1:14" x14ac:dyDescent="0.45">
      <c r="A6981" s="30">
        <v>2026</v>
      </c>
      <c r="B6981" s="30" t="s">
        <v>10</v>
      </c>
      <c r="C6981" s="30" t="s">
        <v>46</v>
      </c>
      <c r="D6981" s="30" t="s">
        <v>47</v>
      </c>
      <c r="E6981" s="31" t="s">
        <v>263</v>
      </c>
      <c r="F6981" s="31" t="s">
        <v>81</v>
      </c>
      <c r="G6981" s="32" t="s">
        <v>50</v>
      </c>
      <c r="H6981" s="33">
        <v>37150</v>
      </c>
      <c r="I6981" s="34">
        <f>Table3[[#This Row],[Volume, kg.]]/1000</f>
        <v>37.15</v>
      </c>
      <c r="J6981" s="34">
        <v>0.25340000000000001</v>
      </c>
      <c r="K6981" s="34">
        <f t="shared" si="220"/>
        <v>9413.8100000000013</v>
      </c>
      <c r="L6981" s="34">
        <v>2.82</v>
      </c>
      <c r="M6981" s="34">
        <v>104817.5</v>
      </c>
      <c r="N6981" s="34">
        <f t="shared" si="221"/>
        <v>11.128650355169691</v>
      </c>
    </row>
    <row r="6982" spans="1:14" x14ac:dyDescent="0.45">
      <c r="A6982" s="30">
        <v>2026</v>
      </c>
      <c r="B6982" s="30" t="s">
        <v>10</v>
      </c>
      <c r="C6982" s="30" t="s">
        <v>46</v>
      </c>
      <c r="D6982" s="30" t="s">
        <v>47</v>
      </c>
      <c r="E6982" s="31" t="s">
        <v>333</v>
      </c>
      <c r="F6982" s="31" t="s">
        <v>57</v>
      </c>
      <c r="G6982" s="32" t="s">
        <v>50</v>
      </c>
      <c r="H6982" s="33">
        <v>18287</v>
      </c>
      <c r="I6982" s="34">
        <f>Table3[[#This Row],[Volume, kg.]]/1000</f>
        <v>18.286999999999999</v>
      </c>
      <c r="J6982" s="34">
        <v>0.2873</v>
      </c>
      <c r="K6982" s="34">
        <f t="shared" si="220"/>
        <v>5253.8550999999998</v>
      </c>
      <c r="L6982" s="34">
        <v>3.03</v>
      </c>
      <c r="M6982" s="34">
        <v>55339.15</v>
      </c>
      <c r="N6982" s="34">
        <f t="shared" si="221"/>
        <v>10.546467107553079</v>
      </c>
    </row>
    <row r="6983" spans="1:14" x14ac:dyDescent="0.45">
      <c r="A6983" s="30">
        <v>2026</v>
      </c>
      <c r="B6983" s="30" t="s">
        <v>10</v>
      </c>
      <c r="C6983" s="30" t="s">
        <v>46</v>
      </c>
      <c r="D6983" s="30" t="s">
        <v>47</v>
      </c>
      <c r="E6983" s="31" t="s">
        <v>236</v>
      </c>
      <c r="F6983" s="31" t="s">
        <v>49</v>
      </c>
      <c r="G6983" s="32" t="s">
        <v>50</v>
      </c>
      <c r="H6983" s="33">
        <v>11069</v>
      </c>
      <c r="I6983" s="34">
        <f>Table3[[#This Row],[Volume, kg.]]/1000</f>
        <v>11.069000000000001</v>
      </c>
      <c r="J6983" s="34">
        <v>0.2495</v>
      </c>
      <c r="K6983" s="34">
        <f t="shared" si="220"/>
        <v>2761.7154999999998</v>
      </c>
      <c r="L6983" s="34">
        <v>2.8</v>
      </c>
      <c r="M6983" s="34">
        <v>30993.200000000001</v>
      </c>
      <c r="N6983" s="34">
        <f t="shared" si="221"/>
        <v>11.222444889779558</v>
      </c>
    </row>
    <row r="6984" spans="1:14" x14ac:dyDescent="0.45">
      <c r="A6984" s="30">
        <v>2026</v>
      </c>
      <c r="B6984" s="30" t="s">
        <v>10</v>
      </c>
      <c r="C6984" s="30" t="s">
        <v>46</v>
      </c>
      <c r="D6984" s="30" t="s">
        <v>47</v>
      </c>
      <c r="E6984" s="31" t="s">
        <v>527</v>
      </c>
      <c r="F6984" s="31" t="s">
        <v>60</v>
      </c>
      <c r="G6984" s="32" t="s">
        <v>50</v>
      </c>
      <c r="H6984" s="33">
        <v>21355</v>
      </c>
      <c r="I6984" s="34">
        <f>Table3[[#This Row],[Volume, kg.]]/1000</f>
        <v>21.355</v>
      </c>
      <c r="J6984" s="34">
        <v>0.26829999999999998</v>
      </c>
      <c r="K6984" s="34">
        <f t="shared" si="220"/>
        <v>5729.5464999999995</v>
      </c>
      <c r="L6984" s="34">
        <v>2.91</v>
      </c>
      <c r="M6984" s="34">
        <v>62162.05</v>
      </c>
      <c r="N6984" s="34">
        <f t="shared" si="221"/>
        <v>10.846067834513605</v>
      </c>
    </row>
    <row r="6985" spans="1:14" x14ac:dyDescent="0.45">
      <c r="A6985" s="30">
        <v>2026</v>
      </c>
      <c r="B6985" s="30" t="s">
        <v>10</v>
      </c>
      <c r="C6985" s="30" t="s">
        <v>46</v>
      </c>
      <c r="D6985" s="30" t="s">
        <v>47</v>
      </c>
      <c r="E6985" s="31" t="s">
        <v>313</v>
      </c>
      <c r="F6985" s="31" t="s">
        <v>60</v>
      </c>
      <c r="G6985" s="32" t="s">
        <v>50</v>
      </c>
      <c r="H6985" s="33">
        <v>3441</v>
      </c>
      <c r="I6985" s="34">
        <f>Table3[[#This Row],[Volume, kg.]]/1000</f>
        <v>3.4409999999999998</v>
      </c>
      <c r="J6985" s="34">
        <v>0.26550000000000001</v>
      </c>
      <c r="K6985" s="34">
        <f t="shared" si="220"/>
        <v>913.58550000000002</v>
      </c>
      <c r="L6985" s="34">
        <v>2.95</v>
      </c>
      <c r="M6985" s="34">
        <v>10150.950000000001</v>
      </c>
      <c r="N6985" s="34">
        <f t="shared" si="221"/>
        <v>11.111111111111111</v>
      </c>
    </row>
    <row r="6986" spans="1:14" x14ac:dyDescent="0.45">
      <c r="A6986" s="30">
        <v>2026</v>
      </c>
      <c r="B6986" s="30" t="s">
        <v>10</v>
      </c>
      <c r="C6986" s="30" t="s">
        <v>46</v>
      </c>
      <c r="D6986" s="30" t="s">
        <v>47</v>
      </c>
      <c r="E6986" s="31" t="s">
        <v>288</v>
      </c>
      <c r="F6986" s="31" t="s">
        <v>49</v>
      </c>
      <c r="G6986" s="32" t="s">
        <v>50</v>
      </c>
      <c r="H6986" s="33">
        <v>23639</v>
      </c>
      <c r="I6986" s="34">
        <f>Table3[[#This Row],[Volume, kg.]]/1000</f>
        <v>23.638999999999999</v>
      </c>
      <c r="J6986" s="34">
        <v>0.19920000000000002</v>
      </c>
      <c r="K6986" s="34">
        <f t="shared" si="220"/>
        <v>4708.8888000000006</v>
      </c>
      <c r="L6986" s="34">
        <v>2.5499999999999998</v>
      </c>
      <c r="M6986" s="34">
        <v>60279.45</v>
      </c>
      <c r="N6986" s="34">
        <f t="shared" si="221"/>
        <v>12.801204819277107</v>
      </c>
    </row>
    <row r="6987" spans="1:14" x14ac:dyDescent="0.45">
      <c r="A6987" s="30">
        <v>2026</v>
      </c>
      <c r="B6987" s="30" t="s">
        <v>10</v>
      </c>
      <c r="C6987" s="30" t="s">
        <v>46</v>
      </c>
      <c r="D6987" s="30" t="s">
        <v>47</v>
      </c>
      <c r="E6987" s="31" t="s">
        <v>70</v>
      </c>
      <c r="F6987" s="31" t="s">
        <v>49</v>
      </c>
      <c r="G6987" s="32" t="s">
        <v>50</v>
      </c>
      <c r="H6987" s="33">
        <v>98506</v>
      </c>
      <c r="I6987" s="34">
        <f>Table3[[#This Row],[Volume, kg.]]/1000</f>
        <v>98.506</v>
      </c>
      <c r="J6987" s="34">
        <v>0.26500000000000001</v>
      </c>
      <c r="K6987" s="34">
        <f t="shared" si="220"/>
        <v>26104.09</v>
      </c>
      <c r="L6987" s="34">
        <v>2.9</v>
      </c>
      <c r="M6987" s="34">
        <v>285263.45</v>
      </c>
      <c r="N6987" s="34">
        <f t="shared" si="221"/>
        <v>10.943396226415093</v>
      </c>
    </row>
    <row r="6988" spans="1:14" x14ac:dyDescent="0.45">
      <c r="A6988" s="30">
        <v>2026</v>
      </c>
      <c r="B6988" s="30" t="s">
        <v>10</v>
      </c>
      <c r="C6988" s="30" t="s">
        <v>46</v>
      </c>
      <c r="D6988" s="30" t="s">
        <v>47</v>
      </c>
      <c r="E6988" s="31" t="s">
        <v>265</v>
      </c>
      <c r="F6988" s="31" t="s">
        <v>49</v>
      </c>
      <c r="G6988" s="32" t="s">
        <v>50</v>
      </c>
      <c r="H6988" s="33">
        <v>9929</v>
      </c>
      <c r="I6988" s="34">
        <f>Table3[[#This Row],[Volume, kg.]]/1000</f>
        <v>9.9290000000000003</v>
      </c>
      <c r="J6988" s="34">
        <v>0.27699999999999997</v>
      </c>
      <c r="K6988" s="34">
        <f t="shared" si="220"/>
        <v>2750.3329999999996</v>
      </c>
      <c r="L6988" s="34">
        <v>2.95</v>
      </c>
      <c r="M6988" s="34">
        <v>29290.55</v>
      </c>
      <c r="N6988" s="34">
        <f t="shared" si="221"/>
        <v>10.64981949458484</v>
      </c>
    </row>
    <row r="6989" spans="1:14" x14ac:dyDescent="0.45">
      <c r="A6989" s="30">
        <v>2026</v>
      </c>
      <c r="B6989" s="30" t="s">
        <v>10</v>
      </c>
      <c r="C6989" s="30" t="s">
        <v>46</v>
      </c>
      <c r="D6989" s="30" t="s">
        <v>47</v>
      </c>
      <c r="E6989" s="31" t="s">
        <v>324</v>
      </c>
      <c r="F6989" s="31" t="s">
        <v>81</v>
      </c>
      <c r="G6989" s="32" t="s">
        <v>50</v>
      </c>
      <c r="H6989" s="33">
        <v>2657</v>
      </c>
      <c r="I6989" s="34">
        <f>Table3[[#This Row],[Volume, kg.]]/1000</f>
        <v>2.657</v>
      </c>
      <c r="J6989" s="34">
        <v>0.2465</v>
      </c>
      <c r="K6989" s="34">
        <f t="shared" si="220"/>
        <v>654.95050000000003</v>
      </c>
      <c r="L6989" s="34">
        <v>2.8</v>
      </c>
      <c r="M6989" s="34">
        <v>7439.6</v>
      </c>
      <c r="N6989" s="34">
        <f t="shared" si="221"/>
        <v>11.359026369168356</v>
      </c>
    </row>
    <row r="6990" spans="1:14" x14ac:dyDescent="0.45">
      <c r="A6990" s="30">
        <v>2026</v>
      </c>
      <c r="B6990" s="30" t="s">
        <v>10</v>
      </c>
      <c r="C6990" s="30" t="s">
        <v>46</v>
      </c>
      <c r="D6990" s="30" t="s">
        <v>47</v>
      </c>
      <c r="E6990" s="31" t="s">
        <v>74</v>
      </c>
      <c r="F6990" s="31" t="s">
        <v>49</v>
      </c>
      <c r="G6990" s="32" t="s">
        <v>50</v>
      </c>
      <c r="H6990" s="33">
        <v>12661</v>
      </c>
      <c r="I6990" s="34">
        <f>Table3[[#This Row],[Volume, kg.]]/1000</f>
        <v>12.661</v>
      </c>
      <c r="J6990" s="34">
        <v>0.27600000000000002</v>
      </c>
      <c r="K6990" s="34">
        <f t="shared" si="220"/>
        <v>3494.4360000000001</v>
      </c>
      <c r="L6990" s="34">
        <v>2.95</v>
      </c>
      <c r="M6990" s="34">
        <v>37349.949999999997</v>
      </c>
      <c r="N6990" s="34">
        <f t="shared" si="221"/>
        <v>10.688405797101449</v>
      </c>
    </row>
    <row r="6991" spans="1:14" x14ac:dyDescent="0.45">
      <c r="A6991" s="30">
        <v>2026</v>
      </c>
      <c r="B6991" s="30" t="s">
        <v>10</v>
      </c>
      <c r="C6991" s="30" t="s">
        <v>46</v>
      </c>
      <c r="D6991" s="30" t="s">
        <v>47</v>
      </c>
      <c r="E6991" s="31" t="s">
        <v>125</v>
      </c>
      <c r="F6991" s="31" t="s">
        <v>60</v>
      </c>
      <c r="G6991" s="32" t="s">
        <v>50</v>
      </c>
      <c r="H6991" s="33">
        <v>25915</v>
      </c>
      <c r="I6991" s="34">
        <f>Table3[[#This Row],[Volume, kg.]]/1000</f>
        <v>25.914999999999999</v>
      </c>
      <c r="J6991" s="34">
        <v>0.30719999999999997</v>
      </c>
      <c r="K6991" s="34">
        <f t="shared" si="220"/>
        <v>7961.0879999999997</v>
      </c>
      <c r="L6991" s="34">
        <v>3.1</v>
      </c>
      <c r="M6991" s="34">
        <v>80327.55</v>
      </c>
      <c r="N6991" s="34">
        <f t="shared" si="221"/>
        <v>10.091145833333334</v>
      </c>
    </row>
    <row r="6992" spans="1:14" x14ac:dyDescent="0.45">
      <c r="A6992" s="30">
        <v>2026</v>
      </c>
      <c r="B6992" s="30" t="s">
        <v>10</v>
      </c>
      <c r="C6992" s="30" t="s">
        <v>46</v>
      </c>
      <c r="D6992" s="30" t="s">
        <v>47</v>
      </c>
      <c r="E6992" s="31" t="s">
        <v>390</v>
      </c>
      <c r="F6992" s="31" t="s">
        <v>60</v>
      </c>
      <c r="G6992" s="32" t="s">
        <v>50</v>
      </c>
      <c r="H6992" s="33">
        <v>12850</v>
      </c>
      <c r="I6992" s="34">
        <f>Table3[[#This Row],[Volume, kg.]]/1000</f>
        <v>12.85</v>
      </c>
      <c r="J6992" s="34">
        <v>0.2465</v>
      </c>
      <c r="K6992" s="34">
        <f t="shared" si="220"/>
        <v>3167.5250000000001</v>
      </c>
      <c r="L6992" s="34">
        <v>2.85</v>
      </c>
      <c r="M6992" s="34">
        <v>36622.5</v>
      </c>
      <c r="N6992" s="34">
        <f t="shared" si="221"/>
        <v>11.56186612576065</v>
      </c>
    </row>
    <row r="6993" spans="1:14" x14ac:dyDescent="0.45">
      <c r="A6993" s="30">
        <v>2026</v>
      </c>
      <c r="B6993" s="30" t="s">
        <v>10</v>
      </c>
      <c r="C6993" s="30" t="s">
        <v>46</v>
      </c>
      <c r="D6993" s="30" t="s">
        <v>47</v>
      </c>
      <c r="E6993" s="31" t="s">
        <v>268</v>
      </c>
      <c r="F6993" s="31" t="s">
        <v>57</v>
      </c>
      <c r="G6993" s="32" t="s">
        <v>50</v>
      </c>
      <c r="H6993" s="33">
        <v>5152</v>
      </c>
      <c r="I6993" s="34">
        <f>Table3[[#This Row],[Volume, kg.]]/1000</f>
        <v>5.1520000000000001</v>
      </c>
      <c r="J6993" s="34">
        <v>0.314</v>
      </c>
      <c r="K6993" s="34">
        <f t="shared" si="220"/>
        <v>1617.7280000000001</v>
      </c>
      <c r="L6993" s="34">
        <v>3.15</v>
      </c>
      <c r="M6993" s="34">
        <v>16228.8</v>
      </c>
      <c r="N6993" s="34">
        <f t="shared" si="221"/>
        <v>10.031847133757962</v>
      </c>
    </row>
    <row r="6994" spans="1:14" x14ac:dyDescent="0.45">
      <c r="A6994" s="30">
        <v>2026</v>
      </c>
      <c r="B6994" s="30" t="s">
        <v>10</v>
      </c>
      <c r="C6994" s="30" t="s">
        <v>46</v>
      </c>
      <c r="D6994" s="30" t="s">
        <v>47</v>
      </c>
      <c r="E6994" s="31" t="s">
        <v>299</v>
      </c>
      <c r="F6994" s="31" t="s">
        <v>49</v>
      </c>
      <c r="G6994" s="32" t="s">
        <v>50</v>
      </c>
      <c r="H6994" s="33">
        <v>2878</v>
      </c>
      <c r="I6994" s="34">
        <f>Table3[[#This Row],[Volume, kg.]]/1000</f>
        <v>2.8780000000000001</v>
      </c>
      <c r="J6994" s="34">
        <v>0.2155</v>
      </c>
      <c r="K6994" s="34">
        <f t="shared" si="220"/>
        <v>620.20899999999995</v>
      </c>
      <c r="L6994" s="34">
        <v>2.65</v>
      </c>
      <c r="M6994" s="34">
        <v>7626.7</v>
      </c>
      <c r="N6994" s="34">
        <f t="shared" si="221"/>
        <v>12.296983758700696</v>
      </c>
    </row>
    <row r="6995" spans="1:14" x14ac:dyDescent="0.45">
      <c r="A6995" s="30">
        <v>2026</v>
      </c>
      <c r="B6995" s="30" t="s">
        <v>10</v>
      </c>
      <c r="C6995" s="30" t="s">
        <v>46</v>
      </c>
      <c r="D6995" s="30" t="s">
        <v>47</v>
      </c>
      <c r="E6995" s="31" t="s">
        <v>502</v>
      </c>
      <c r="F6995" s="31" t="s">
        <v>49</v>
      </c>
      <c r="G6995" s="32" t="s">
        <v>50</v>
      </c>
      <c r="H6995" s="33">
        <v>5081</v>
      </c>
      <c r="I6995" s="34">
        <f>Table3[[#This Row],[Volume, kg.]]/1000</f>
        <v>5.0810000000000004</v>
      </c>
      <c r="J6995" s="34">
        <v>0.248</v>
      </c>
      <c r="K6995" s="34">
        <f t="shared" si="220"/>
        <v>1260.088</v>
      </c>
      <c r="L6995" s="34">
        <v>2.85</v>
      </c>
      <c r="M6995" s="34">
        <v>14480.85</v>
      </c>
      <c r="N6995" s="34">
        <f t="shared" si="221"/>
        <v>11.491935483870968</v>
      </c>
    </row>
    <row r="6996" spans="1:14" x14ac:dyDescent="0.45">
      <c r="A6996" s="30">
        <v>2026</v>
      </c>
      <c r="B6996" s="30" t="s">
        <v>10</v>
      </c>
      <c r="C6996" s="30" t="s">
        <v>46</v>
      </c>
      <c r="D6996" s="30" t="s">
        <v>47</v>
      </c>
      <c r="E6996" s="31" t="s">
        <v>210</v>
      </c>
      <c r="F6996" s="31" t="s">
        <v>60</v>
      </c>
      <c r="G6996" s="32" t="s">
        <v>50</v>
      </c>
      <c r="H6996" s="33">
        <v>17057</v>
      </c>
      <c r="I6996" s="34">
        <f>Table3[[#This Row],[Volume, kg.]]/1000</f>
        <v>17.056999999999999</v>
      </c>
      <c r="J6996" s="34">
        <v>0.26739999999999997</v>
      </c>
      <c r="K6996" s="34">
        <f t="shared" si="220"/>
        <v>4561.0417999999991</v>
      </c>
      <c r="L6996" s="34">
        <v>2.88</v>
      </c>
      <c r="M6996" s="34">
        <v>49294.25</v>
      </c>
      <c r="N6996" s="34">
        <f t="shared" si="221"/>
        <v>10.770381451009724</v>
      </c>
    </row>
    <row r="6997" spans="1:14" x14ac:dyDescent="0.45">
      <c r="A6997" s="30">
        <v>2026</v>
      </c>
      <c r="B6997" s="30" t="s">
        <v>10</v>
      </c>
      <c r="C6997" s="30" t="s">
        <v>46</v>
      </c>
      <c r="D6997" s="30" t="s">
        <v>47</v>
      </c>
      <c r="E6997" s="31" t="s">
        <v>253</v>
      </c>
      <c r="F6997" s="31" t="s">
        <v>57</v>
      </c>
      <c r="G6997" s="32" t="s">
        <v>50</v>
      </c>
      <c r="H6997" s="33">
        <v>7371</v>
      </c>
      <c r="I6997" s="34">
        <f>Table3[[#This Row],[Volume, kg.]]/1000</f>
        <v>7.3710000000000004</v>
      </c>
      <c r="J6997" s="34">
        <v>0.2455</v>
      </c>
      <c r="K6997" s="34">
        <f t="shared" si="220"/>
        <v>1809.5805</v>
      </c>
      <c r="L6997" s="34">
        <v>2.8</v>
      </c>
      <c r="M6997" s="34">
        <v>20638.8</v>
      </c>
      <c r="N6997" s="34">
        <f t="shared" si="221"/>
        <v>11.405295315682281</v>
      </c>
    </row>
    <row r="6998" spans="1:14" x14ac:dyDescent="0.45">
      <c r="A6998" s="30">
        <v>2026</v>
      </c>
      <c r="B6998" s="30" t="s">
        <v>10</v>
      </c>
      <c r="C6998" s="30" t="s">
        <v>46</v>
      </c>
      <c r="D6998" s="30" t="s">
        <v>47</v>
      </c>
      <c r="E6998" s="31" t="s">
        <v>667</v>
      </c>
      <c r="F6998" s="31" t="s">
        <v>60</v>
      </c>
      <c r="G6998" s="32" t="s">
        <v>50</v>
      </c>
      <c r="H6998" s="33">
        <v>37300</v>
      </c>
      <c r="I6998" s="34">
        <f>Table3[[#This Row],[Volume, kg.]]/1000</f>
        <v>37.299999999999997</v>
      </c>
      <c r="J6998" s="34">
        <v>0.22670000000000001</v>
      </c>
      <c r="K6998" s="34">
        <f t="shared" si="220"/>
        <v>8455.91</v>
      </c>
      <c r="L6998" s="34">
        <v>2.68</v>
      </c>
      <c r="M6998" s="34">
        <v>100050</v>
      </c>
      <c r="N6998" s="34">
        <f t="shared" si="221"/>
        <v>11.821790913101015</v>
      </c>
    </row>
    <row r="6999" spans="1:14" x14ac:dyDescent="0.45">
      <c r="A6999" s="30">
        <v>2026</v>
      </c>
      <c r="B6999" s="30" t="s">
        <v>10</v>
      </c>
      <c r="C6999" s="30" t="s">
        <v>46</v>
      </c>
      <c r="D6999" s="30" t="s">
        <v>47</v>
      </c>
      <c r="E6999" s="31" t="s">
        <v>233</v>
      </c>
      <c r="F6999" s="31" t="s">
        <v>57</v>
      </c>
      <c r="G6999" s="32" t="s">
        <v>50</v>
      </c>
      <c r="H6999" s="33">
        <v>54397</v>
      </c>
      <c r="I6999" s="34">
        <f>Table3[[#This Row],[Volume, kg.]]/1000</f>
        <v>54.396999999999998</v>
      </c>
      <c r="J6999" s="34">
        <v>0.25409999999999999</v>
      </c>
      <c r="K6999" s="34">
        <f t="shared" si="220"/>
        <v>13822.277699999999</v>
      </c>
      <c r="L6999" s="34">
        <v>2.84</v>
      </c>
      <c r="M6999" s="34">
        <v>154141.35</v>
      </c>
      <c r="N6999" s="34">
        <f t="shared" si="221"/>
        <v>11.176702085792995</v>
      </c>
    </row>
    <row r="7000" spans="1:14" x14ac:dyDescent="0.45">
      <c r="A7000" s="30">
        <v>2026</v>
      </c>
      <c r="B7000" s="30" t="s">
        <v>10</v>
      </c>
      <c r="C7000" s="30" t="s">
        <v>46</v>
      </c>
      <c r="D7000" s="30" t="s">
        <v>47</v>
      </c>
      <c r="E7000" s="31" t="s">
        <v>56</v>
      </c>
      <c r="F7000" s="31" t="s">
        <v>57</v>
      </c>
      <c r="G7000" s="32" t="s">
        <v>50</v>
      </c>
      <c r="H7000" s="33">
        <v>9201</v>
      </c>
      <c r="I7000" s="34">
        <f>Table3[[#This Row],[Volume, kg.]]/1000</f>
        <v>9.2010000000000005</v>
      </c>
      <c r="J7000" s="34">
        <v>0.26640000000000003</v>
      </c>
      <c r="K7000" s="34">
        <f t="shared" si="220"/>
        <v>2451.1464000000001</v>
      </c>
      <c r="L7000" s="34">
        <v>2.89</v>
      </c>
      <c r="M7000" s="34">
        <v>26578.95</v>
      </c>
      <c r="N7000" s="34">
        <f t="shared" si="221"/>
        <v>10.848348348348347</v>
      </c>
    </row>
    <row r="7001" spans="1:14" x14ac:dyDescent="0.45">
      <c r="A7001" s="30">
        <v>2026</v>
      </c>
      <c r="B7001" s="30" t="s">
        <v>10</v>
      </c>
      <c r="C7001" s="30" t="s">
        <v>46</v>
      </c>
      <c r="D7001" s="30" t="s">
        <v>47</v>
      </c>
      <c r="E7001" s="31" t="s">
        <v>90</v>
      </c>
      <c r="F7001" s="31" t="s">
        <v>49</v>
      </c>
      <c r="G7001" s="32" t="s">
        <v>50</v>
      </c>
      <c r="H7001" s="33">
        <v>7441</v>
      </c>
      <c r="I7001" s="34">
        <f>Table3[[#This Row],[Volume, kg.]]/1000</f>
        <v>7.4409999999999998</v>
      </c>
      <c r="J7001" s="34">
        <v>0.26350000000000001</v>
      </c>
      <c r="K7001" s="34">
        <f t="shared" si="220"/>
        <v>1960.7035000000001</v>
      </c>
      <c r="L7001" s="34">
        <v>2.85</v>
      </c>
      <c r="M7001" s="34">
        <v>21206.85</v>
      </c>
      <c r="N7001" s="34">
        <f t="shared" si="221"/>
        <v>10.815939278937382</v>
      </c>
    </row>
    <row r="7002" spans="1:14" x14ac:dyDescent="0.45">
      <c r="A7002" s="30">
        <v>2026</v>
      </c>
      <c r="B7002" s="30" t="s">
        <v>10</v>
      </c>
      <c r="C7002" s="30" t="s">
        <v>46</v>
      </c>
      <c r="D7002" s="30" t="s">
        <v>47</v>
      </c>
      <c r="E7002" s="31" t="s">
        <v>275</v>
      </c>
      <c r="F7002" s="31" t="s">
        <v>54</v>
      </c>
      <c r="G7002" s="32" t="s">
        <v>50</v>
      </c>
      <c r="H7002" s="33">
        <v>50495</v>
      </c>
      <c r="I7002" s="34">
        <f>Table3[[#This Row],[Volume, kg.]]/1000</f>
        <v>50.494999999999997</v>
      </c>
      <c r="J7002" s="34">
        <v>0.28190000000000004</v>
      </c>
      <c r="K7002" s="34">
        <f t="shared" si="220"/>
        <v>14234.540500000003</v>
      </c>
      <c r="L7002" s="34">
        <v>2.97</v>
      </c>
      <c r="M7002" s="34">
        <v>149825.54999999999</v>
      </c>
      <c r="N7002" s="34">
        <f t="shared" si="221"/>
        <v>10.535650940049662</v>
      </c>
    </row>
    <row r="7003" spans="1:14" x14ac:dyDescent="0.45">
      <c r="A7003" s="30">
        <v>2026</v>
      </c>
      <c r="B7003" s="30" t="s">
        <v>10</v>
      </c>
      <c r="C7003" s="30" t="s">
        <v>46</v>
      </c>
      <c r="D7003" s="30" t="s">
        <v>102</v>
      </c>
      <c r="E7003" s="31" t="s">
        <v>780</v>
      </c>
      <c r="F7003" s="31" t="s">
        <v>238</v>
      </c>
      <c r="G7003" s="32" t="s">
        <v>50</v>
      </c>
      <c r="H7003" s="33">
        <v>32550</v>
      </c>
      <c r="I7003" s="34">
        <f>Table3[[#This Row],[Volume, kg.]]/1000</f>
        <v>32.549999999999997</v>
      </c>
      <c r="J7003" s="34">
        <v>0.24249999999999999</v>
      </c>
      <c r="K7003" s="34">
        <f t="shared" si="220"/>
        <v>7893.375</v>
      </c>
      <c r="L7003" s="34">
        <v>2.95</v>
      </c>
      <c r="M7003" s="34">
        <v>96022.5</v>
      </c>
      <c r="N7003" s="34">
        <f t="shared" si="221"/>
        <v>12.164948453608249</v>
      </c>
    </row>
    <row r="7004" spans="1:14" x14ac:dyDescent="0.45">
      <c r="A7004" s="30">
        <v>2026</v>
      </c>
      <c r="B7004" s="30" t="s">
        <v>10</v>
      </c>
      <c r="C7004" s="30" t="s">
        <v>46</v>
      </c>
      <c r="D7004" s="30" t="s">
        <v>47</v>
      </c>
      <c r="E7004" s="31" t="s">
        <v>599</v>
      </c>
      <c r="F7004" s="31" t="s">
        <v>57</v>
      </c>
      <c r="G7004" s="32" t="s">
        <v>50</v>
      </c>
      <c r="H7004" s="33">
        <v>13353</v>
      </c>
      <c r="I7004" s="34">
        <f>Table3[[#This Row],[Volume, kg.]]/1000</f>
        <v>13.353</v>
      </c>
      <c r="J7004" s="34">
        <v>0.2762</v>
      </c>
      <c r="K7004" s="34">
        <f t="shared" si="220"/>
        <v>3688.0985999999998</v>
      </c>
      <c r="L7004" s="34">
        <v>3</v>
      </c>
      <c r="M7004" s="34">
        <v>40059</v>
      </c>
      <c r="N7004" s="34">
        <f t="shared" si="221"/>
        <v>10.861694424330196</v>
      </c>
    </row>
    <row r="7005" spans="1:14" x14ac:dyDescent="0.45">
      <c r="A7005" s="30">
        <v>2026</v>
      </c>
      <c r="B7005" s="30" t="s">
        <v>10</v>
      </c>
      <c r="C7005" s="30" t="s">
        <v>46</v>
      </c>
      <c r="D7005" s="30" t="s">
        <v>47</v>
      </c>
      <c r="E7005" s="31" t="s">
        <v>356</v>
      </c>
      <c r="F7005" s="31" t="s">
        <v>49</v>
      </c>
      <c r="G7005" s="32" t="s">
        <v>50</v>
      </c>
      <c r="H7005" s="33">
        <v>1705</v>
      </c>
      <c r="I7005" s="34">
        <f>Table3[[#This Row],[Volume, kg.]]/1000</f>
        <v>1.7050000000000001</v>
      </c>
      <c r="J7005" s="34">
        <v>0.22699999999999998</v>
      </c>
      <c r="K7005" s="34">
        <f t="shared" si="220"/>
        <v>387.03499999999997</v>
      </c>
      <c r="L7005" s="34">
        <v>2.7</v>
      </c>
      <c r="M7005" s="34">
        <v>4603.5</v>
      </c>
      <c r="N7005" s="34">
        <f t="shared" si="221"/>
        <v>11.894273127753307</v>
      </c>
    </row>
    <row r="7006" spans="1:14" x14ac:dyDescent="0.45">
      <c r="A7006" s="30">
        <v>2026</v>
      </c>
      <c r="B7006" s="30" t="s">
        <v>10</v>
      </c>
      <c r="C7006" s="30" t="s">
        <v>46</v>
      </c>
      <c r="D7006" s="30" t="s">
        <v>47</v>
      </c>
      <c r="E7006" s="31" t="s">
        <v>225</v>
      </c>
      <c r="F7006" s="31" t="s">
        <v>64</v>
      </c>
      <c r="G7006" s="32" t="s">
        <v>50</v>
      </c>
      <c r="H7006" s="33">
        <v>25050</v>
      </c>
      <c r="I7006" s="34">
        <f>Table3[[#This Row],[Volume, kg.]]/1000</f>
        <v>25.05</v>
      </c>
      <c r="J7006" s="34">
        <v>0.24829999999999999</v>
      </c>
      <c r="K7006" s="34">
        <f t="shared" si="220"/>
        <v>6219.915</v>
      </c>
      <c r="L7006" s="34">
        <v>2.8</v>
      </c>
      <c r="M7006" s="34">
        <v>70052.3</v>
      </c>
      <c r="N7006" s="34">
        <f t="shared" si="221"/>
        <v>11.276681433749497</v>
      </c>
    </row>
    <row r="7007" spans="1:14" x14ac:dyDescent="0.45">
      <c r="A7007" s="30">
        <v>2026</v>
      </c>
      <c r="B7007" s="30" t="s">
        <v>10</v>
      </c>
      <c r="C7007" s="30" t="s">
        <v>46</v>
      </c>
      <c r="D7007" s="30" t="s">
        <v>47</v>
      </c>
      <c r="E7007" s="31" t="s">
        <v>304</v>
      </c>
      <c r="F7007" s="31" t="s">
        <v>64</v>
      </c>
      <c r="G7007" s="32" t="s">
        <v>50</v>
      </c>
      <c r="H7007" s="33">
        <v>15819</v>
      </c>
      <c r="I7007" s="34">
        <f>Table3[[#This Row],[Volume, kg.]]/1000</f>
        <v>15.819000000000001</v>
      </c>
      <c r="J7007" s="34">
        <v>0.28120000000000001</v>
      </c>
      <c r="K7007" s="34">
        <f t="shared" si="220"/>
        <v>4448.3028000000004</v>
      </c>
      <c r="L7007" s="34">
        <v>2.95</v>
      </c>
      <c r="M7007" s="34">
        <v>46738.8</v>
      </c>
      <c r="N7007" s="34">
        <f t="shared" si="221"/>
        <v>10.490753911806543</v>
      </c>
    </row>
    <row r="7008" spans="1:14" x14ac:dyDescent="0.45">
      <c r="A7008" s="30">
        <v>2026</v>
      </c>
      <c r="B7008" s="30" t="s">
        <v>10</v>
      </c>
      <c r="C7008" s="30" t="s">
        <v>46</v>
      </c>
      <c r="D7008" s="30" t="s">
        <v>47</v>
      </c>
      <c r="E7008" s="31" t="s">
        <v>306</v>
      </c>
      <c r="F7008" s="31" t="s">
        <v>60</v>
      </c>
      <c r="G7008" s="32" t="s">
        <v>50</v>
      </c>
      <c r="H7008" s="33">
        <v>10923</v>
      </c>
      <c r="I7008" s="34">
        <f>Table3[[#This Row],[Volume, kg.]]/1000</f>
        <v>10.923</v>
      </c>
      <c r="J7008" s="34">
        <v>0.26640000000000003</v>
      </c>
      <c r="K7008" s="34">
        <f t="shared" si="220"/>
        <v>2909.8872000000001</v>
      </c>
      <c r="L7008" s="34">
        <v>2.88</v>
      </c>
      <c r="M7008" s="34">
        <v>31469.200000000001</v>
      </c>
      <c r="N7008" s="34">
        <f t="shared" si="221"/>
        <v>10.810810810810809</v>
      </c>
    </row>
    <row r="7009" spans="1:14" x14ac:dyDescent="0.45">
      <c r="A7009" s="30">
        <v>2026</v>
      </c>
      <c r="B7009" s="30" t="s">
        <v>10</v>
      </c>
      <c r="C7009" s="30" t="s">
        <v>46</v>
      </c>
      <c r="D7009" s="30" t="s">
        <v>47</v>
      </c>
      <c r="E7009" s="31" t="s">
        <v>458</v>
      </c>
      <c r="F7009" s="31" t="s">
        <v>60</v>
      </c>
      <c r="G7009" s="32" t="s">
        <v>50</v>
      </c>
      <c r="H7009" s="33">
        <v>2924</v>
      </c>
      <c r="I7009" s="34">
        <f>Table3[[#This Row],[Volume, kg.]]/1000</f>
        <v>2.9239999999999999</v>
      </c>
      <c r="J7009" s="34">
        <v>0.27300000000000002</v>
      </c>
      <c r="K7009" s="34">
        <f t="shared" si="220"/>
        <v>798.25200000000007</v>
      </c>
      <c r="L7009" s="34">
        <v>2.9</v>
      </c>
      <c r="M7009" s="34">
        <v>8479.6</v>
      </c>
      <c r="N7009" s="34">
        <f t="shared" si="221"/>
        <v>10.622710622710622</v>
      </c>
    </row>
    <row r="7010" spans="1:14" x14ac:dyDescent="0.45">
      <c r="A7010" s="30">
        <v>2026</v>
      </c>
      <c r="B7010" s="30" t="s">
        <v>10</v>
      </c>
      <c r="C7010" s="30" t="s">
        <v>46</v>
      </c>
      <c r="D7010" s="30" t="s">
        <v>47</v>
      </c>
      <c r="E7010" s="31" t="s">
        <v>262</v>
      </c>
      <c r="F7010" s="31" t="s">
        <v>81</v>
      </c>
      <c r="G7010" s="32" t="s">
        <v>50</v>
      </c>
      <c r="H7010" s="33">
        <v>47588</v>
      </c>
      <c r="I7010" s="34">
        <f>Table3[[#This Row],[Volume, kg.]]/1000</f>
        <v>47.588000000000001</v>
      </c>
      <c r="J7010" s="34">
        <v>0.28800000000000003</v>
      </c>
      <c r="K7010" s="34">
        <f t="shared" si="220"/>
        <v>13705.344000000001</v>
      </c>
      <c r="L7010" s="34">
        <v>2.99</v>
      </c>
      <c r="M7010" s="34">
        <v>142116.70000000001</v>
      </c>
      <c r="N7010" s="34">
        <f t="shared" si="221"/>
        <v>10.381944444444445</v>
      </c>
    </row>
    <row r="7011" spans="1:14" x14ac:dyDescent="0.45">
      <c r="A7011" s="30">
        <v>2026</v>
      </c>
      <c r="B7011" s="30" t="s">
        <v>10</v>
      </c>
      <c r="C7011" s="30" t="s">
        <v>46</v>
      </c>
      <c r="D7011" s="30" t="s">
        <v>47</v>
      </c>
      <c r="E7011" s="31" t="s">
        <v>206</v>
      </c>
      <c r="F7011" s="31" t="s">
        <v>81</v>
      </c>
      <c r="G7011" s="32" t="s">
        <v>50</v>
      </c>
      <c r="H7011" s="33">
        <v>405889</v>
      </c>
      <c r="I7011" s="34">
        <f>Table3[[#This Row],[Volume, kg.]]/1000</f>
        <v>405.88900000000001</v>
      </c>
      <c r="J7011" s="34">
        <v>0.2631</v>
      </c>
      <c r="K7011" s="34">
        <f t="shared" si="220"/>
        <v>106789.3959</v>
      </c>
      <c r="L7011" s="34">
        <v>2.87</v>
      </c>
      <c r="M7011" s="34">
        <v>1166353.1000000001</v>
      </c>
      <c r="N7011" s="34">
        <f t="shared" si="221"/>
        <v>10.908399847966553</v>
      </c>
    </row>
    <row r="7012" spans="1:14" x14ac:dyDescent="0.45">
      <c r="A7012" s="30">
        <v>2026</v>
      </c>
      <c r="B7012" s="30" t="s">
        <v>10</v>
      </c>
      <c r="C7012" s="30" t="s">
        <v>46</v>
      </c>
      <c r="D7012" s="30" t="s">
        <v>47</v>
      </c>
      <c r="E7012" s="31" t="s">
        <v>350</v>
      </c>
      <c r="F7012" s="31" t="s">
        <v>49</v>
      </c>
      <c r="G7012" s="32" t="s">
        <v>50</v>
      </c>
      <c r="H7012" s="33">
        <v>1929</v>
      </c>
      <c r="I7012" s="34">
        <f>Table3[[#This Row],[Volume, kg.]]/1000</f>
        <v>1.929</v>
      </c>
      <c r="J7012" s="34">
        <v>0.28699999999999998</v>
      </c>
      <c r="K7012" s="34">
        <f t="shared" si="220"/>
        <v>553.62299999999993</v>
      </c>
      <c r="L7012" s="34">
        <v>3</v>
      </c>
      <c r="M7012" s="34">
        <v>5787</v>
      </c>
      <c r="N7012" s="34">
        <f t="shared" si="221"/>
        <v>10.452961672473869</v>
      </c>
    </row>
    <row r="7013" spans="1:14" x14ac:dyDescent="0.45">
      <c r="A7013" s="30">
        <v>2026</v>
      </c>
      <c r="B7013" s="30" t="s">
        <v>10</v>
      </c>
      <c r="C7013" s="30" t="s">
        <v>46</v>
      </c>
      <c r="D7013" s="30" t="s">
        <v>47</v>
      </c>
      <c r="E7013" s="31" t="s">
        <v>342</v>
      </c>
      <c r="F7013" s="31" t="s">
        <v>81</v>
      </c>
      <c r="G7013" s="32" t="s">
        <v>50</v>
      </c>
      <c r="H7013" s="33">
        <v>13484</v>
      </c>
      <c r="I7013" s="34">
        <f>Table3[[#This Row],[Volume, kg.]]/1000</f>
        <v>13.484</v>
      </c>
      <c r="J7013" s="34">
        <v>0.27250000000000002</v>
      </c>
      <c r="K7013" s="34">
        <f t="shared" si="220"/>
        <v>3674.3900000000003</v>
      </c>
      <c r="L7013" s="34">
        <v>2.9</v>
      </c>
      <c r="M7013" s="34">
        <v>39103.599999999999</v>
      </c>
      <c r="N7013" s="34">
        <f t="shared" si="221"/>
        <v>10.642201834862384</v>
      </c>
    </row>
    <row r="7014" spans="1:14" x14ac:dyDescent="0.45">
      <c r="A7014" s="30">
        <v>2026</v>
      </c>
      <c r="B7014" s="30" t="s">
        <v>10</v>
      </c>
      <c r="C7014" s="30" t="s">
        <v>46</v>
      </c>
      <c r="D7014" s="30" t="s">
        <v>47</v>
      </c>
      <c r="E7014" s="31" t="s">
        <v>98</v>
      </c>
      <c r="F7014" s="31" t="s">
        <v>49</v>
      </c>
      <c r="G7014" s="32" t="s">
        <v>50</v>
      </c>
      <c r="H7014" s="33">
        <v>29331</v>
      </c>
      <c r="I7014" s="34">
        <f>Table3[[#This Row],[Volume, kg.]]/1000</f>
        <v>29.331</v>
      </c>
      <c r="J7014" s="34">
        <v>0.26519999999999999</v>
      </c>
      <c r="K7014" s="34">
        <f t="shared" si="220"/>
        <v>7778.5811999999996</v>
      </c>
      <c r="L7014" s="34">
        <v>2.89</v>
      </c>
      <c r="M7014" s="34">
        <v>84618.75</v>
      </c>
      <c r="N7014" s="34">
        <f t="shared" si="221"/>
        <v>10.897435897435898</v>
      </c>
    </row>
    <row r="7015" spans="1:14" x14ac:dyDescent="0.45">
      <c r="A7015" s="30">
        <v>2026</v>
      </c>
      <c r="B7015" s="30" t="s">
        <v>10</v>
      </c>
      <c r="C7015" s="30" t="s">
        <v>46</v>
      </c>
      <c r="D7015" s="30" t="s">
        <v>47</v>
      </c>
      <c r="E7015" s="31" t="s">
        <v>129</v>
      </c>
      <c r="F7015" s="31" t="s">
        <v>57</v>
      </c>
      <c r="G7015" s="32" t="s">
        <v>50</v>
      </c>
      <c r="H7015" s="33">
        <v>36461</v>
      </c>
      <c r="I7015" s="34">
        <f>Table3[[#This Row],[Volume, kg.]]/1000</f>
        <v>36.460999999999999</v>
      </c>
      <c r="J7015" s="34">
        <v>0.28550000000000003</v>
      </c>
      <c r="K7015" s="34">
        <f t="shared" si="220"/>
        <v>10409.615500000002</v>
      </c>
      <c r="L7015" s="34">
        <v>2.98</v>
      </c>
      <c r="M7015" s="34">
        <v>108692.5</v>
      </c>
      <c r="N7015" s="34">
        <f t="shared" si="221"/>
        <v>10.437828371278458</v>
      </c>
    </row>
    <row r="7016" spans="1:14" x14ac:dyDescent="0.45">
      <c r="A7016" s="30">
        <v>2026</v>
      </c>
      <c r="B7016" s="30" t="s">
        <v>10</v>
      </c>
      <c r="C7016" s="30" t="s">
        <v>46</v>
      </c>
      <c r="D7016" s="30" t="s">
        <v>47</v>
      </c>
      <c r="E7016" s="31" t="s">
        <v>80</v>
      </c>
      <c r="F7016" s="31" t="s">
        <v>81</v>
      </c>
      <c r="G7016" s="32" t="s">
        <v>50</v>
      </c>
      <c r="H7016" s="33">
        <v>146110</v>
      </c>
      <c r="I7016" s="34">
        <f>Table3[[#This Row],[Volume, kg.]]/1000</f>
        <v>146.11000000000001</v>
      </c>
      <c r="J7016" s="34">
        <v>0.27089999999999997</v>
      </c>
      <c r="K7016" s="34">
        <f t="shared" si="220"/>
        <v>39581.198999999993</v>
      </c>
      <c r="L7016" s="34">
        <v>2.92</v>
      </c>
      <c r="M7016" s="34">
        <v>426643.6</v>
      </c>
      <c r="N7016" s="34">
        <f t="shared" si="221"/>
        <v>10.778885197489849</v>
      </c>
    </row>
    <row r="7017" spans="1:14" x14ac:dyDescent="0.45">
      <c r="A7017" s="30">
        <v>2026</v>
      </c>
      <c r="B7017" s="30" t="s">
        <v>10</v>
      </c>
      <c r="C7017" s="30" t="s">
        <v>46</v>
      </c>
      <c r="D7017" s="30" t="s">
        <v>47</v>
      </c>
      <c r="E7017" s="31" t="s">
        <v>473</v>
      </c>
      <c r="F7017" s="31" t="s">
        <v>57</v>
      </c>
      <c r="G7017" s="32" t="s">
        <v>50</v>
      </c>
      <c r="H7017" s="33">
        <v>4760</v>
      </c>
      <c r="I7017" s="34">
        <f>Table3[[#This Row],[Volume, kg.]]/1000</f>
        <v>4.76</v>
      </c>
      <c r="J7017" s="34">
        <v>0.2427</v>
      </c>
      <c r="K7017" s="34">
        <f t="shared" si="220"/>
        <v>1155.252</v>
      </c>
      <c r="L7017" s="34">
        <v>2.75</v>
      </c>
      <c r="M7017" s="34">
        <v>13090</v>
      </c>
      <c r="N7017" s="34">
        <f t="shared" si="221"/>
        <v>11.330861145447054</v>
      </c>
    </row>
    <row r="7018" spans="1:14" x14ac:dyDescent="0.45">
      <c r="A7018" s="30">
        <v>2026</v>
      </c>
      <c r="B7018" s="30" t="s">
        <v>10</v>
      </c>
      <c r="C7018" s="30" t="s">
        <v>46</v>
      </c>
      <c r="D7018" s="30" t="s">
        <v>47</v>
      </c>
      <c r="E7018" s="31" t="s">
        <v>584</v>
      </c>
      <c r="F7018" s="31" t="s">
        <v>64</v>
      </c>
      <c r="G7018" s="32" t="s">
        <v>50</v>
      </c>
      <c r="H7018" s="33">
        <v>16619</v>
      </c>
      <c r="I7018" s="34">
        <f>Table3[[#This Row],[Volume, kg.]]/1000</f>
        <v>16.619</v>
      </c>
      <c r="J7018" s="34">
        <v>0.24109999999999998</v>
      </c>
      <c r="K7018" s="34">
        <f t="shared" si="220"/>
        <v>4006.8408999999997</v>
      </c>
      <c r="L7018" s="34">
        <v>2.78</v>
      </c>
      <c r="M7018" s="34">
        <v>46207.199999999997</v>
      </c>
      <c r="N7018" s="34">
        <f t="shared" si="221"/>
        <v>11.530485275819162</v>
      </c>
    </row>
    <row r="7019" spans="1:14" x14ac:dyDescent="0.45">
      <c r="A7019" s="30">
        <v>2026</v>
      </c>
      <c r="B7019" s="30" t="s">
        <v>10</v>
      </c>
      <c r="C7019" s="30" t="s">
        <v>46</v>
      </c>
      <c r="D7019" s="30" t="s">
        <v>102</v>
      </c>
      <c r="E7019" s="31" t="s">
        <v>103</v>
      </c>
      <c r="F7019" s="31" t="s">
        <v>104</v>
      </c>
      <c r="G7019" s="32" t="s">
        <v>105</v>
      </c>
      <c r="H7019" s="33">
        <v>888850</v>
      </c>
      <c r="I7019" s="34">
        <f>Table3[[#This Row],[Volume, kg.]]/1000</f>
        <v>888.85</v>
      </c>
      <c r="J7019" s="34">
        <v>0.2616</v>
      </c>
      <c r="K7019" s="34">
        <f t="shared" si="220"/>
        <v>232523.16</v>
      </c>
      <c r="L7019" s="34">
        <v>2.92</v>
      </c>
      <c r="M7019" s="34">
        <v>2591950.5</v>
      </c>
      <c r="N7019" s="34">
        <f t="shared" si="221"/>
        <v>11.162079510703364</v>
      </c>
    </row>
    <row r="7020" spans="1:14" x14ac:dyDescent="0.45">
      <c r="A7020" s="30">
        <v>2026</v>
      </c>
      <c r="B7020" s="30" t="s">
        <v>10</v>
      </c>
      <c r="C7020" s="30" t="s">
        <v>46</v>
      </c>
      <c r="D7020" s="30" t="s">
        <v>47</v>
      </c>
      <c r="E7020" s="31" t="s">
        <v>261</v>
      </c>
      <c r="F7020" s="31" t="s">
        <v>81</v>
      </c>
      <c r="G7020" s="32" t="s">
        <v>50</v>
      </c>
      <c r="H7020" s="33">
        <v>35273</v>
      </c>
      <c r="I7020" s="34">
        <f>Table3[[#This Row],[Volume, kg.]]/1000</f>
        <v>35.273000000000003</v>
      </c>
      <c r="J7020" s="34">
        <v>0.27600000000000002</v>
      </c>
      <c r="K7020" s="34">
        <f t="shared" si="220"/>
        <v>9735.348</v>
      </c>
      <c r="L7020" s="34">
        <v>2.92</v>
      </c>
      <c r="M7020" s="34">
        <v>103098.2</v>
      </c>
      <c r="N7020" s="34">
        <f t="shared" si="221"/>
        <v>10.579710144927535</v>
      </c>
    </row>
    <row r="7021" spans="1:14" x14ac:dyDescent="0.45">
      <c r="A7021" s="30">
        <v>2026</v>
      </c>
      <c r="B7021" s="30" t="s">
        <v>10</v>
      </c>
      <c r="C7021" s="30" t="s">
        <v>46</v>
      </c>
      <c r="D7021" s="30" t="s">
        <v>102</v>
      </c>
      <c r="E7021" s="31" t="s">
        <v>126</v>
      </c>
      <c r="F7021" s="31" t="s">
        <v>127</v>
      </c>
      <c r="G7021" s="32" t="s">
        <v>128</v>
      </c>
      <c r="H7021" s="33">
        <v>3352970</v>
      </c>
      <c r="I7021" s="34">
        <f>Table3[[#This Row],[Volume, kg.]]/1000</f>
        <v>3352.97</v>
      </c>
      <c r="J7021" s="34">
        <v>0.25290000000000001</v>
      </c>
      <c r="K7021" s="34">
        <f t="shared" si="220"/>
        <v>847966.11300000001</v>
      </c>
      <c r="L7021" s="34">
        <v>2.94</v>
      </c>
      <c r="M7021" s="34">
        <v>9860787.5</v>
      </c>
      <c r="N7021" s="34">
        <f t="shared" si="221"/>
        <v>11.625148279952549</v>
      </c>
    </row>
    <row r="7022" spans="1:14" x14ac:dyDescent="0.45">
      <c r="A7022" s="30">
        <v>2026</v>
      </c>
      <c r="B7022" s="30" t="s">
        <v>10</v>
      </c>
      <c r="C7022" s="30" t="s">
        <v>46</v>
      </c>
      <c r="D7022" s="30" t="s">
        <v>47</v>
      </c>
      <c r="E7022" s="31" t="s">
        <v>335</v>
      </c>
      <c r="F7022" s="31" t="s">
        <v>54</v>
      </c>
      <c r="G7022" s="32" t="s">
        <v>50</v>
      </c>
      <c r="H7022" s="33">
        <v>82678</v>
      </c>
      <c r="I7022" s="34">
        <f>Table3[[#This Row],[Volume, kg.]]/1000</f>
        <v>82.677999999999997</v>
      </c>
      <c r="J7022" s="34">
        <v>0.26329999999999998</v>
      </c>
      <c r="K7022" s="34">
        <f t="shared" si="220"/>
        <v>21769.117399999999</v>
      </c>
      <c r="L7022" s="34">
        <v>2.86</v>
      </c>
      <c r="M7022" s="34">
        <v>236858.85</v>
      </c>
      <c r="N7022" s="34">
        <f t="shared" si="221"/>
        <v>10.862134447398406</v>
      </c>
    </row>
    <row r="7023" spans="1:14" x14ac:dyDescent="0.45">
      <c r="A7023" s="30">
        <v>2026</v>
      </c>
      <c r="B7023" s="30" t="s">
        <v>10</v>
      </c>
      <c r="C7023" s="30" t="s">
        <v>46</v>
      </c>
      <c r="D7023" s="30" t="s">
        <v>102</v>
      </c>
      <c r="E7023" s="31" t="s">
        <v>117</v>
      </c>
      <c r="F7023" s="31" t="s">
        <v>118</v>
      </c>
      <c r="G7023" s="32" t="s">
        <v>119</v>
      </c>
      <c r="H7023" s="33">
        <v>37210</v>
      </c>
      <c r="I7023" s="34">
        <f>Table3[[#This Row],[Volume, kg.]]/1000</f>
        <v>37.21</v>
      </c>
      <c r="J7023" s="34">
        <v>0.24399999999999999</v>
      </c>
      <c r="K7023" s="34">
        <f t="shared" si="220"/>
        <v>9079.24</v>
      </c>
      <c r="L7023" s="34">
        <v>2.75</v>
      </c>
      <c r="M7023" s="34">
        <v>102327.5</v>
      </c>
      <c r="N7023" s="34">
        <f t="shared" si="221"/>
        <v>11.27049180327869</v>
      </c>
    </row>
    <row r="7024" spans="1:14" x14ac:dyDescent="0.45">
      <c r="A7024" s="30">
        <v>2026</v>
      </c>
      <c r="B7024" s="30" t="s">
        <v>10</v>
      </c>
      <c r="C7024" s="30" t="s">
        <v>46</v>
      </c>
      <c r="D7024" s="30" t="s">
        <v>47</v>
      </c>
      <c r="E7024" s="31" t="s">
        <v>243</v>
      </c>
      <c r="F7024" s="31" t="s">
        <v>60</v>
      </c>
      <c r="G7024" s="32" t="s">
        <v>50</v>
      </c>
      <c r="H7024" s="33">
        <v>29424</v>
      </c>
      <c r="I7024" s="34">
        <f>Table3[[#This Row],[Volume, kg.]]/1000</f>
        <v>29.423999999999999</v>
      </c>
      <c r="J7024" s="34">
        <v>0.28089999999999998</v>
      </c>
      <c r="K7024" s="34">
        <f t="shared" si="220"/>
        <v>8265.2016000000003</v>
      </c>
      <c r="L7024" s="34">
        <v>2.97</v>
      </c>
      <c r="M7024" s="34">
        <v>87444.4</v>
      </c>
      <c r="N7024" s="34">
        <f t="shared" si="221"/>
        <v>10.573157707369171</v>
      </c>
    </row>
    <row r="7025" spans="1:14" x14ac:dyDescent="0.45">
      <c r="A7025" s="30">
        <v>2026</v>
      </c>
      <c r="B7025" s="30" t="s">
        <v>10</v>
      </c>
      <c r="C7025" s="30" t="s">
        <v>46</v>
      </c>
      <c r="D7025" s="30" t="s">
        <v>47</v>
      </c>
      <c r="E7025" s="31" t="s">
        <v>477</v>
      </c>
      <c r="F7025" s="31" t="s">
        <v>54</v>
      </c>
      <c r="G7025" s="32" t="s">
        <v>50</v>
      </c>
      <c r="H7025" s="33">
        <v>35891</v>
      </c>
      <c r="I7025" s="34">
        <f>Table3[[#This Row],[Volume, kg.]]/1000</f>
        <v>35.890999999999998</v>
      </c>
      <c r="J7025" s="34">
        <v>0.25929999999999997</v>
      </c>
      <c r="K7025" s="34">
        <f t="shared" si="220"/>
        <v>9306.5362999999998</v>
      </c>
      <c r="L7025" s="34">
        <v>2.85</v>
      </c>
      <c r="M7025" s="34">
        <v>102408.55</v>
      </c>
      <c r="N7025" s="34">
        <f t="shared" si="221"/>
        <v>10.99112996529117</v>
      </c>
    </row>
    <row r="7026" spans="1:14" x14ac:dyDescent="0.45">
      <c r="A7026" s="30">
        <v>2026</v>
      </c>
      <c r="B7026" s="30" t="s">
        <v>10</v>
      </c>
      <c r="C7026" s="30" t="s">
        <v>46</v>
      </c>
      <c r="D7026" s="30" t="s">
        <v>47</v>
      </c>
      <c r="E7026" s="31" t="s">
        <v>204</v>
      </c>
      <c r="F7026" s="31" t="s">
        <v>49</v>
      </c>
      <c r="G7026" s="32" t="s">
        <v>50</v>
      </c>
      <c r="H7026" s="33">
        <v>70367</v>
      </c>
      <c r="I7026" s="34">
        <f>Table3[[#This Row],[Volume, kg.]]/1000</f>
        <v>70.367000000000004</v>
      </c>
      <c r="J7026" s="34">
        <v>0.24280000000000002</v>
      </c>
      <c r="K7026" s="34">
        <f t="shared" si="220"/>
        <v>17085.107599999999</v>
      </c>
      <c r="L7026" s="34">
        <v>2.77</v>
      </c>
      <c r="M7026" s="34">
        <v>194914.65</v>
      </c>
      <c r="N7026" s="34">
        <f t="shared" si="221"/>
        <v>11.408566721581549</v>
      </c>
    </row>
    <row r="7027" spans="1:14" x14ac:dyDescent="0.45">
      <c r="A7027" s="30">
        <v>2026</v>
      </c>
      <c r="B7027" s="30" t="s">
        <v>10</v>
      </c>
      <c r="C7027" s="30" t="s">
        <v>46</v>
      </c>
      <c r="D7027" s="30" t="s">
        <v>47</v>
      </c>
      <c r="E7027" s="31" t="s">
        <v>224</v>
      </c>
      <c r="F7027" s="31" t="s">
        <v>57</v>
      </c>
      <c r="G7027" s="32" t="s">
        <v>50</v>
      </c>
      <c r="H7027" s="33">
        <v>1524</v>
      </c>
      <c r="I7027" s="34">
        <f>Table3[[#This Row],[Volume, kg.]]/1000</f>
        <v>1.524</v>
      </c>
      <c r="J7027" s="34">
        <v>0.2445</v>
      </c>
      <c r="K7027" s="34">
        <f t="shared" si="220"/>
        <v>372.61799999999999</v>
      </c>
      <c r="L7027" s="34">
        <v>2.75</v>
      </c>
      <c r="M7027" s="34">
        <v>4191</v>
      </c>
      <c r="N7027" s="34">
        <f t="shared" si="221"/>
        <v>11.247443762781186</v>
      </c>
    </row>
    <row r="7028" spans="1:14" x14ac:dyDescent="0.45">
      <c r="A7028" s="30">
        <v>2026</v>
      </c>
      <c r="B7028" s="30" t="s">
        <v>10</v>
      </c>
      <c r="C7028" s="30" t="s">
        <v>46</v>
      </c>
      <c r="D7028" s="30" t="s">
        <v>47</v>
      </c>
      <c r="E7028" s="31" t="s">
        <v>75</v>
      </c>
      <c r="F7028" s="31" t="s">
        <v>49</v>
      </c>
      <c r="G7028" s="32" t="s">
        <v>50</v>
      </c>
      <c r="H7028" s="33">
        <v>27167</v>
      </c>
      <c r="I7028" s="34">
        <f>Table3[[#This Row],[Volume, kg.]]/1000</f>
        <v>27.167000000000002</v>
      </c>
      <c r="J7028" s="34">
        <v>0.26500000000000001</v>
      </c>
      <c r="K7028" s="34">
        <f t="shared" si="220"/>
        <v>7199.2550000000001</v>
      </c>
      <c r="L7028" s="34">
        <v>2.89</v>
      </c>
      <c r="M7028" s="34">
        <v>78394.600000000006</v>
      </c>
      <c r="N7028" s="34">
        <f t="shared" si="221"/>
        <v>10.90566037735849</v>
      </c>
    </row>
    <row r="7029" spans="1:14" x14ac:dyDescent="0.45">
      <c r="A7029" s="30">
        <v>2026</v>
      </c>
      <c r="B7029" s="30" t="s">
        <v>10</v>
      </c>
      <c r="C7029" s="30" t="s">
        <v>46</v>
      </c>
      <c r="D7029" s="30" t="s">
        <v>47</v>
      </c>
      <c r="E7029" s="31" t="s">
        <v>97</v>
      </c>
      <c r="F7029" s="31" t="s">
        <v>49</v>
      </c>
      <c r="G7029" s="32" t="s">
        <v>50</v>
      </c>
      <c r="H7029" s="33">
        <v>15794</v>
      </c>
      <c r="I7029" s="34">
        <f>Table3[[#This Row],[Volume, kg.]]/1000</f>
        <v>15.794</v>
      </c>
      <c r="J7029" s="34">
        <v>0.25819999999999999</v>
      </c>
      <c r="K7029" s="34">
        <f t="shared" si="220"/>
        <v>4078.0107999999996</v>
      </c>
      <c r="L7029" s="34">
        <v>2.84</v>
      </c>
      <c r="M7029" s="34">
        <v>44791.5</v>
      </c>
      <c r="N7029" s="34">
        <f t="shared" si="221"/>
        <v>10.999225406661504</v>
      </c>
    </row>
    <row r="7030" spans="1:14" x14ac:dyDescent="0.45">
      <c r="A7030" s="30">
        <v>2026</v>
      </c>
      <c r="B7030" s="30" t="s">
        <v>10</v>
      </c>
      <c r="C7030" s="30" t="s">
        <v>46</v>
      </c>
      <c r="D7030" s="30" t="s">
        <v>47</v>
      </c>
      <c r="E7030" s="31" t="s">
        <v>535</v>
      </c>
      <c r="F7030" s="31" t="s">
        <v>60</v>
      </c>
      <c r="G7030" s="32" t="s">
        <v>50</v>
      </c>
      <c r="H7030" s="33">
        <v>11793</v>
      </c>
      <c r="I7030" s="34">
        <f>Table3[[#This Row],[Volume, kg.]]/1000</f>
        <v>11.792999999999999</v>
      </c>
      <c r="J7030" s="34">
        <v>0.23800000000000002</v>
      </c>
      <c r="K7030" s="34">
        <f t="shared" si="220"/>
        <v>2806.7340000000004</v>
      </c>
      <c r="L7030" s="34">
        <v>2.75</v>
      </c>
      <c r="M7030" s="34">
        <v>32430.75</v>
      </c>
      <c r="N7030" s="34">
        <f t="shared" si="221"/>
        <v>11.554621848739496</v>
      </c>
    </row>
    <row r="7031" spans="1:14" x14ac:dyDescent="0.45">
      <c r="A7031" s="30">
        <v>2026</v>
      </c>
      <c r="B7031" s="30" t="s">
        <v>10</v>
      </c>
      <c r="C7031" s="30" t="s">
        <v>46</v>
      </c>
      <c r="D7031" s="30" t="s">
        <v>47</v>
      </c>
      <c r="E7031" s="31" t="s">
        <v>345</v>
      </c>
      <c r="F7031" s="31" t="s">
        <v>81</v>
      </c>
      <c r="G7031" s="32" t="s">
        <v>50</v>
      </c>
      <c r="H7031" s="33">
        <v>27014</v>
      </c>
      <c r="I7031" s="34">
        <f>Table3[[#This Row],[Volume, kg.]]/1000</f>
        <v>27.013999999999999</v>
      </c>
      <c r="J7031" s="34">
        <v>0.26369999999999999</v>
      </c>
      <c r="K7031" s="34">
        <f t="shared" si="220"/>
        <v>7123.5918000000001</v>
      </c>
      <c r="L7031" s="34">
        <v>2.85</v>
      </c>
      <c r="M7031" s="34">
        <v>77042.5</v>
      </c>
      <c r="N7031" s="34">
        <f t="shared" si="221"/>
        <v>10.807736063708761</v>
      </c>
    </row>
    <row r="7032" spans="1:14" x14ac:dyDescent="0.45">
      <c r="A7032" s="30">
        <v>2026</v>
      </c>
      <c r="B7032" s="30" t="s">
        <v>10</v>
      </c>
      <c r="C7032" s="30" t="s">
        <v>46</v>
      </c>
      <c r="D7032" s="30" t="s">
        <v>47</v>
      </c>
      <c r="E7032" s="31" t="s">
        <v>273</v>
      </c>
      <c r="F7032" s="31" t="s">
        <v>49</v>
      </c>
      <c r="G7032" s="32" t="s">
        <v>50</v>
      </c>
      <c r="H7032" s="33">
        <v>21823</v>
      </c>
      <c r="I7032" s="34">
        <f>Table3[[#This Row],[Volume, kg.]]/1000</f>
        <v>21.823</v>
      </c>
      <c r="J7032" s="34">
        <v>0.23170000000000002</v>
      </c>
      <c r="K7032" s="34">
        <f t="shared" si="220"/>
        <v>5056.3891000000003</v>
      </c>
      <c r="L7032" s="34">
        <v>2.72</v>
      </c>
      <c r="M7032" s="34">
        <v>59441.8</v>
      </c>
      <c r="N7032" s="34">
        <f t="shared" si="221"/>
        <v>11.739318083728961</v>
      </c>
    </row>
    <row r="7033" spans="1:14" x14ac:dyDescent="0.45">
      <c r="A7033" s="30">
        <v>2026</v>
      </c>
      <c r="B7033" s="30" t="s">
        <v>10</v>
      </c>
      <c r="C7033" s="30" t="s">
        <v>46</v>
      </c>
      <c r="D7033" s="30" t="s">
        <v>47</v>
      </c>
      <c r="E7033" s="31" t="s">
        <v>247</v>
      </c>
      <c r="F7033" s="31" t="s">
        <v>134</v>
      </c>
      <c r="G7033" s="32" t="s">
        <v>50</v>
      </c>
      <c r="H7033" s="33">
        <v>126694</v>
      </c>
      <c r="I7033" s="34">
        <f>Table3[[#This Row],[Volume, kg.]]/1000</f>
        <v>126.694</v>
      </c>
      <c r="J7033" s="34">
        <v>0.27089999999999997</v>
      </c>
      <c r="K7033" s="34">
        <f t="shared" si="220"/>
        <v>34321.404599999994</v>
      </c>
      <c r="L7033" s="34">
        <v>2.91</v>
      </c>
      <c r="M7033" s="34">
        <v>368058.8</v>
      </c>
      <c r="N7033" s="34">
        <f t="shared" si="221"/>
        <v>10.741971207087488</v>
      </c>
    </row>
    <row r="7034" spans="1:14" x14ac:dyDescent="0.45">
      <c r="A7034" s="30">
        <v>2026</v>
      </c>
      <c r="B7034" s="30" t="s">
        <v>10</v>
      </c>
      <c r="C7034" s="30" t="s">
        <v>46</v>
      </c>
      <c r="D7034" s="30" t="s">
        <v>47</v>
      </c>
      <c r="E7034" s="31" t="s">
        <v>369</v>
      </c>
      <c r="F7034" s="31" t="s">
        <v>57</v>
      </c>
      <c r="G7034" s="32" t="s">
        <v>50</v>
      </c>
      <c r="H7034" s="33">
        <v>5645</v>
      </c>
      <c r="I7034" s="34">
        <f>Table3[[#This Row],[Volume, kg.]]/1000</f>
        <v>5.6449999999999996</v>
      </c>
      <c r="J7034" s="34">
        <v>0.26899999999999996</v>
      </c>
      <c r="K7034" s="34">
        <f t="shared" si="220"/>
        <v>1518.5049999999999</v>
      </c>
      <c r="L7034" s="34">
        <v>2.9</v>
      </c>
      <c r="M7034" s="34">
        <v>16370.5</v>
      </c>
      <c r="N7034" s="34">
        <f t="shared" si="221"/>
        <v>10.780669144981413</v>
      </c>
    </row>
    <row r="7035" spans="1:14" x14ac:dyDescent="0.45">
      <c r="A7035" s="30">
        <v>2026</v>
      </c>
      <c r="B7035" s="30" t="s">
        <v>10</v>
      </c>
      <c r="C7035" s="30" t="s">
        <v>46</v>
      </c>
      <c r="D7035" s="30" t="s">
        <v>102</v>
      </c>
      <c r="E7035" s="31" t="s">
        <v>710</v>
      </c>
      <c r="F7035" s="31" t="s">
        <v>189</v>
      </c>
      <c r="G7035" s="32" t="s">
        <v>128</v>
      </c>
      <c r="H7035" s="33">
        <v>47800</v>
      </c>
      <c r="I7035" s="34">
        <f>Table3[[#This Row],[Volume, kg.]]/1000</f>
        <v>47.8</v>
      </c>
      <c r="J7035" s="34">
        <v>0.255</v>
      </c>
      <c r="K7035" s="34">
        <f t="shared" ref="K7035:K7098" si="222">H7035*J7035</f>
        <v>12189</v>
      </c>
      <c r="L7035" s="34">
        <v>2.9</v>
      </c>
      <c r="M7035" s="34">
        <v>138620</v>
      </c>
      <c r="N7035" s="34">
        <f t="shared" ref="N7035:N7098" si="223">L7035/J7035</f>
        <v>11.372549019607842</v>
      </c>
    </row>
    <row r="7036" spans="1:14" x14ac:dyDescent="0.45">
      <c r="A7036" s="30">
        <v>2026</v>
      </c>
      <c r="B7036" s="30" t="s">
        <v>10</v>
      </c>
      <c r="C7036" s="30" t="s">
        <v>46</v>
      </c>
      <c r="D7036" s="30" t="s">
        <v>47</v>
      </c>
      <c r="E7036" s="31" t="s">
        <v>87</v>
      </c>
      <c r="F7036" s="31" t="s">
        <v>49</v>
      </c>
      <c r="G7036" s="32" t="s">
        <v>50</v>
      </c>
      <c r="H7036" s="33">
        <v>6787</v>
      </c>
      <c r="I7036" s="34">
        <f>Table3[[#This Row],[Volume, kg.]]/1000</f>
        <v>6.7869999999999999</v>
      </c>
      <c r="J7036" s="34">
        <v>0.24359999999999998</v>
      </c>
      <c r="K7036" s="34">
        <f t="shared" si="222"/>
        <v>1653.3131999999998</v>
      </c>
      <c r="L7036" s="34">
        <v>2.83</v>
      </c>
      <c r="M7036" s="34">
        <v>19185</v>
      </c>
      <c r="N7036" s="34">
        <f t="shared" si="223"/>
        <v>11.617405582922826</v>
      </c>
    </row>
    <row r="7037" spans="1:14" x14ac:dyDescent="0.45">
      <c r="A7037" s="30">
        <v>2026</v>
      </c>
      <c r="B7037" s="30" t="s">
        <v>10</v>
      </c>
      <c r="C7037" s="30" t="s">
        <v>46</v>
      </c>
      <c r="D7037" s="30" t="s">
        <v>47</v>
      </c>
      <c r="E7037" s="31" t="s">
        <v>199</v>
      </c>
      <c r="F7037" s="31" t="s">
        <v>60</v>
      </c>
      <c r="G7037" s="32" t="s">
        <v>50</v>
      </c>
      <c r="H7037" s="33">
        <v>11757</v>
      </c>
      <c r="I7037" s="34">
        <f>Table3[[#This Row],[Volume, kg.]]/1000</f>
        <v>11.757</v>
      </c>
      <c r="J7037" s="34">
        <v>0.28960000000000002</v>
      </c>
      <c r="K7037" s="34">
        <f t="shared" si="222"/>
        <v>3404.8272000000002</v>
      </c>
      <c r="L7037" s="34">
        <v>3</v>
      </c>
      <c r="M7037" s="34">
        <v>35271</v>
      </c>
      <c r="N7037" s="34">
        <f t="shared" si="223"/>
        <v>10.359116022099446</v>
      </c>
    </row>
    <row r="7038" spans="1:14" x14ac:dyDescent="0.45">
      <c r="A7038" s="30">
        <v>2026</v>
      </c>
      <c r="B7038" s="30" t="s">
        <v>10</v>
      </c>
      <c r="C7038" s="30" t="s">
        <v>46</v>
      </c>
      <c r="D7038" s="30" t="s">
        <v>47</v>
      </c>
      <c r="E7038" s="31" t="s">
        <v>315</v>
      </c>
      <c r="F7038" s="31" t="s">
        <v>134</v>
      </c>
      <c r="G7038" s="32" t="s">
        <v>50</v>
      </c>
      <c r="H7038" s="33">
        <v>142690</v>
      </c>
      <c r="I7038" s="34">
        <f>Table3[[#This Row],[Volume, kg.]]/1000</f>
        <v>142.69</v>
      </c>
      <c r="J7038" s="34">
        <v>0.2447</v>
      </c>
      <c r="K7038" s="34">
        <f t="shared" si="222"/>
        <v>34916.243000000002</v>
      </c>
      <c r="L7038" s="34">
        <v>2.8</v>
      </c>
      <c r="M7038" s="34">
        <v>399994.75</v>
      </c>
      <c r="N7038" s="34">
        <f t="shared" si="223"/>
        <v>11.442582754393134</v>
      </c>
    </row>
    <row r="7039" spans="1:14" x14ac:dyDescent="0.45">
      <c r="A7039" s="30">
        <v>2026</v>
      </c>
      <c r="B7039" s="30" t="s">
        <v>10</v>
      </c>
      <c r="C7039" s="30" t="s">
        <v>46</v>
      </c>
      <c r="D7039" s="30" t="s">
        <v>47</v>
      </c>
      <c r="E7039" s="31" t="s">
        <v>227</v>
      </c>
      <c r="F7039" s="31" t="s">
        <v>57</v>
      </c>
      <c r="G7039" s="32" t="s">
        <v>50</v>
      </c>
      <c r="H7039" s="33">
        <v>19942</v>
      </c>
      <c r="I7039" s="34">
        <f>Table3[[#This Row],[Volume, kg.]]/1000</f>
        <v>19.942</v>
      </c>
      <c r="J7039" s="34">
        <v>0.25359999999999999</v>
      </c>
      <c r="K7039" s="34">
        <f t="shared" si="222"/>
        <v>5057.2911999999997</v>
      </c>
      <c r="L7039" s="34">
        <v>2.84</v>
      </c>
      <c r="M7039" s="34">
        <v>56674.45</v>
      </c>
      <c r="N7039" s="34">
        <f t="shared" si="223"/>
        <v>11.198738170347003</v>
      </c>
    </row>
    <row r="7040" spans="1:14" x14ac:dyDescent="0.45">
      <c r="A7040" s="30">
        <v>2026</v>
      </c>
      <c r="B7040" s="30" t="s">
        <v>10</v>
      </c>
      <c r="C7040" s="30" t="s">
        <v>46</v>
      </c>
      <c r="D7040" s="30" t="s">
        <v>47</v>
      </c>
      <c r="E7040" s="31" t="s">
        <v>159</v>
      </c>
      <c r="F7040" s="31" t="s">
        <v>81</v>
      </c>
      <c r="G7040" s="32" t="s">
        <v>50</v>
      </c>
      <c r="H7040" s="33">
        <v>119462</v>
      </c>
      <c r="I7040" s="34">
        <f>Table3[[#This Row],[Volume, kg.]]/1000</f>
        <v>119.462</v>
      </c>
      <c r="J7040" s="34">
        <v>0.2397</v>
      </c>
      <c r="K7040" s="34">
        <f t="shared" si="222"/>
        <v>28635.041399999998</v>
      </c>
      <c r="L7040" s="34">
        <v>2.75</v>
      </c>
      <c r="M7040" s="34">
        <v>328871.15000000002</v>
      </c>
      <c r="N7040" s="34">
        <f t="shared" si="223"/>
        <v>11.472674176053401</v>
      </c>
    </row>
    <row r="7041" spans="1:14" x14ac:dyDescent="0.45">
      <c r="A7041" s="30">
        <v>2026</v>
      </c>
      <c r="B7041" s="30" t="s">
        <v>10</v>
      </c>
      <c r="C7041" s="30" t="s">
        <v>46</v>
      </c>
      <c r="D7041" s="30" t="s">
        <v>47</v>
      </c>
      <c r="E7041" s="31" t="s">
        <v>101</v>
      </c>
      <c r="F7041" s="31" t="s">
        <v>64</v>
      </c>
      <c r="G7041" s="32" t="s">
        <v>50</v>
      </c>
      <c r="H7041" s="33">
        <v>10238</v>
      </c>
      <c r="I7041" s="34">
        <f>Table3[[#This Row],[Volume, kg.]]/1000</f>
        <v>10.238</v>
      </c>
      <c r="J7041" s="34">
        <v>0.248</v>
      </c>
      <c r="K7041" s="34">
        <f t="shared" si="222"/>
        <v>2539.0239999999999</v>
      </c>
      <c r="L7041" s="34">
        <v>2.8</v>
      </c>
      <c r="M7041" s="34">
        <v>28666.400000000001</v>
      </c>
      <c r="N7041" s="34">
        <f t="shared" si="223"/>
        <v>11.29032258064516</v>
      </c>
    </row>
    <row r="7042" spans="1:14" x14ac:dyDescent="0.45">
      <c r="A7042" s="30">
        <v>2026</v>
      </c>
      <c r="B7042" s="30" t="s">
        <v>10</v>
      </c>
      <c r="C7042" s="30" t="s">
        <v>46</v>
      </c>
      <c r="D7042" s="30" t="s">
        <v>102</v>
      </c>
      <c r="E7042" s="31" t="s">
        <v>781</v>
      </c>
      <c r="F7042" s="31" t="s">
        <v>349</v>
      </c>
      <c r="G7042" s="32" t="s">
        <v>105</v>
      </c>
      <c r="H7042" s="33">
        <v>30790</v>
      </c>
      <c r="I7042" s="34">
        <f>Table3[[#This Row],[Volume, kg.]]/1000</f>
        <v>30.79</v>
      </c>
      <c r="J7042" s="34">
        <v>0.2205</v>
      </c>
      <c r="K7042" s="34">
        <f t="shared" si="222"/>
        <v>6789.1949999999997</v>
      </c>
      <c r="L7042" s="34">
        <v>2.8</v>
      </c>
      <c r="M7042" s="34">
        <v>86212</v>
      </c>
      <c r="N7042" s="34">
        <f t="shared" si="223"/>
        <v>12.698412698412698</v>
      </c>
    </row>
    <row r="7043" spans="1:14" x14ac:dyDescent="0.45">
      <c r="A7043" s="30">
        <v>2026</v>
      </c>
      <c r="B7043" s="30" t="s">
        <v>10</v>
      </c>
      <c r="C7043" s="30" t="s">
        <v>46</v>
      </c>
      <c r="D7043" s="30" t="s">
        <v>47</v>
      </c>
      <c r="E7043" s="31" t="s">
        <v>405</v>
      </c>
      <c r="F7043" s="31" t="s">
        <v>240</v>
      </c>
      <c r="G7043" s="32" t="s">
        <v>50</v>
      </c>
      <c r="H7043" s="33">
        <v>8016</v>
      </c>
      <c r="I7043" s="34">
        <f>Table3[[#This Row],[Volume, kg.]]/1000</f>
        <v>8.016</v>
      </c>
      <c r="J7043" s="34">
        <v>0.20800000000000002</v>
      </c>
      <c r="K7043" s="34">
        <f t="shared" si="222"/>
        <v>1667.3280000000002</v>
      </c>
      <c r="L7043" s="34">
        <v>2.62</v>
      </c>
      <c r="M7043" s="34">
        <v>21023.1</v>
      </c>
      <c r="N7043" s="34">
        <f t="shared" si="223"/>
        <v>12.596153846153845</v>
      </c>
    </row>
    <row r="7044" spans="1:14" x14ac:dyDescent="0.45">
      <c r="A7044" s="30">
        <v>2026</v>
      </c>
      <c r="B7044" s="30" t="s">
        <v>10</v>
      </c>
      <c r="C7044" s="30" t="s">
        <v>46</v>
      </c>
      <c r="D7044" s="30" t="s">
        <v>47</v>
      </c>
      <c r="E7044" s="31" t="s">
        <v>347</v>
      </c>
      <c r="F7044" s="31" t="s">
        <v>49</v>
      </c>
      <c r="G7044" s="32" t="s">
        <v>50</v>
      </c>
      <c r="H7044" s="33">
        <v>2994</v>
      </c>
      <c r="I7044" s="34">
        <f>Table3[[#This Row],[Volume, kg.]]/1000</f>
        <v>2.9940000000000002</v>
      </c>
      <c r="J7044" s="34">
        <v>0.26050000000000001</v>
      </c>
      <c r="K7044" s="34">
        <f t="shared" si="222"/>
        <v>779.93700000000001</v>
      </c>
      <c r="L7044" s="34">
        <v>2.9</v>
      </c>
      <c r="M7044" s="34">
        <v>8682.6</v>
      </c>
      <c r="N7044" s="34">
        <f t="shared" si="223"/>
        <v>11.132437619961612</v>
      </c>
    </row>
    <row r="7045" spans="1:14" x14ac:dyDescent="0.45">
      <c r="A7045" s="30">
        <v>2026</v>
      </c>
      <c r="B7045" s="30" t="s">
        <v>10</v>
      </c>
      <c r="C7045" s="30" t="s">
        <v>46</v>
      </c>
      <c r="D7045" s="30" t="s">
        <v>47</v>
      </c>
      <c r="E7045" s="31" t="s">
        <v>309</v>
      </c>
      <c r="F7045" s="31" t="s">
        <v>81</v>
      </c>
      <c r="G7045" s="32" t="s">
        <v>50</v>
      </c>
      <c r="H7045" s="33">
        <v>48838</v>
      </c>
      <c r="I7045" s="34">
        <f>Table3[[#This Row],[Volume, kg.]]/1000</f>
        <v>48.838000000000001</v>
      </c>
      <c r="J7045" s="34">
        <v>0.25659999999999999</v>
      </c>
      <c r="K7045" s="34">
        <f t="shared" si="222"/>
        <v>12531.8308</v>
      </c>
      <c r="L7045" s="34">
        <v>2.85</v>
      </c>
      <c r="M7045" s="34">
        <v>139222</v>
      </c>
      <c r="N7045" s="34">
        <f t="shared" si="223"/>
        <v>11.106780982073266</v>
      </c>
    </row>
    <row r="7046" spans="1:14" x14ac:dyDescent="0.45">
      <c r="A7046" s="30">
        <v>2026</v>
      </c>
      <c r="B7046" s="30" t="s">
        <v>10</v>
      </c>
      <c r="C7046" s="30" t="s">
        <v>46</v>
      </c>
      <c r="D7046" s="30" t="s">
        <v>47</v>
      </c>
      <c r="E7046" s="31" t="s">
        <v>53</v>
      </c>
      <c r="F7046" s="31" t="s">
        <v>54</v>
      </c>
      <c r="G7046" s="32" t="s">
        <v>50</v>
      </c>
      <c r="H7046" s="33">
        <v>82929</v>
      </c>
      <c r="I7046" s="34">
        <f>Table3[[#This Row],[Volume, kg.]]/1000</f>
        <v>82.929000000000002</v>
      </c>
      <c r="J7046" s="34">
        <v>0.27149999999999996</v>
      </c>
      <c r="K7046" s="34">
        <f t="shared" si="222"/>
        <v>22515.223499999996</v>
      </c>
      <c r="L7046" s="34">
        <v>2.92</v>
      </c>
      <c r="M7046" s="34">
        <v>241872.5</v>
      </c>
      <c r="N7046" s="34">
        <f t="shared" si="223"/>
        <v>10.755064456721916</v>
      </c>
    </row>
    <row r="7047" spans="1:14" x14ac:dyDescent="0.45">
      <c r="A7047" s="30">
        <v>2026</v>
      </c>
      <c r="B7047" s="30" t="s">
        <v>10</v>
      </c>
      <c r="C7047" s="30" t="s">
        <v>46</v>
      </c>
      <c r="D7047" s="30" t="s">
        <v>47</v>
      </c>
      <c r="E7047" s="31" t="s">
        <v>151</v>
      </c>
      <c r="F7047" s="31" t="s">
        <v>60</v>
      </c>
      <c r="G7047" s="32" t="s">
        <v>50</v>
      </c>
      <c r="H7047" s="33">
        <v>12991</v>
      </c>
      <c r="I7047" s="34">
        <f>Table3[[#This Row],[Volume, kg.]]/1000</f>
        <v>12.991</v>
      </c>
      <c r="J7047" s="34">
        <v>0.22649999999999998</v>
      </c>
      <c r="K7047" s="34">
        <f t="shared" si="222"/>
        <v>2942.4614999999999</v>
      </c>
      <c r="L7047" s="34">
        <v>2.7</v>
      </c>
      <c r="M7047" s="34">
        <v>35075.699999999997</v>
      </c>
      <c r="N7047" s="34">
        <f t="shared" si="223"/>
        <v>11.920529801324506</v>
      </c>
    </row>
    <row r="7048" spans="1:14" x14ac:dyDescent="0.45">
      <c r="A7048" s="30">
        <v>2026</v>
      </c>
      <c r="B7048" s="30" t="s">
        <v>10</v>
      </c>
      <c r="C7048" s="30" t="s">
        <v>46</v>
      </c>
      <c r="D7048" s="30" t="s">
        <v>47</v>
      </c>
      <c r="E7048" s="31" t="s">
        <v>78</v>
      </c>
      <c r="F7048" s="31" t="s">
        <v>49</v>
      </c>
      <c r="G7048" s="32" t="s">
        <v>50</v>
      </c>
      <c r="H7048" s="33">
        <v>4791</v>
      </c>
      <c r="I7048" s="34">
        <f>Table3[[#This Row],[Volume, kg.]]/1000</f>
        <v>4.7910000000000004</v>
      </c>
      <c r="J7048" s="34">
        <v>0.22889999999999999</v>
      </c>
      <c r="K7048" s="34">
        <f t="shared" si="222"/>
        <v>1096.6598999999999</v>
      </c>
      <c r="L7048" s="34">
        <v>2.7</v>
      </c>
      <c r="M7048" s="34">
        <v>12916.55</v>
      </c>
      <c r="N7048" s="34">
        <f t="shared" si="223"/>
        <v>11.79554390563565</v>
      </c>
    </row>
    <row r="7049" spans="1:14" x14ac:dyDescent="0.45">
      <c r="A7049" s="30">
        <v>2026</v>
      </c>
      <c r="B7049" s="30" t="s">
        <v>10</v>
      </c>
      <c r="C7049" s="30" t="s">
        <v>46</v>
      </c>
      <c r="D7049" s="30" t="s">
        <v>47</v>
      </c>
      <c r="E7049" s="31" t="s">
        <v>252</v>
      </c>
      <c r="F7049" s="31" t="s">
        <v>49</v>
      </c>
      <c r="G7049" s="32" t="s">
        <v>50</v>
      </c>
      <c r="H7049" s="33">
        <v>65525</v>
      </c>
      <c r="I7049" s="34">
        <f>Table3[[#This Row],[Volume, kg.]]/1000</f>
        <v>65.525000000000006</v>
      </c>
      <c r="J7049" s="34">
        <v>0.2346</v>
      </c>
      <c r="K7049" s="34">
        <f t="shared" si="222"/>
        <v>15372.165000000001</v>
      </c>
      <c r="L7049" s="34">
        <v>2.74</v>
      </c>
      <c r="M7049" s="34">
        <v>179677.15</v>
      </c>
      <c r="N7049" s="34">
        <f t="shared" si="223"/>
        <v>11.679454390451834</v>
      </c>
    </row>
    <row r="7050" spans="1:14" x14ac:dyDescent="0.45">
      <c r="A7050" s="30">
        <v>2026</v>
      </c>
      <c r="B7050" s="30" t="s">
        <v>10</v>
      </c>
      <c r="C7050" s="30" t="s">
        <v>46</v>
      </c>
      <c r="D7050" s="30" t="s">
        <v>47</v>
      </c>
      <c r="E7050" s="31" t="s">
        <v>205</v>
      </c>
      <c r="F7050" s="31" t="s">
        <v>49</v>
      </c>
      <c r="G7050" s="32" t="s">
        <v>50</v>
      </c>
      <c r="H7050" s="33">
        <v>47057</v>
      </c>
      <c r="I7050" s="34">
        <f>Table3[[#This Row],[Volume, kg.]]/1000</f>
        <v>47.057000000000002</v>
      </c>
      <c r="J7050" s="34">
        <v>0.26979999999999998</v>
      </c>
      <c r="K7050" s="34">
        <f t="shared" si="222"/>
        <v>12695.978599999999</v>
      </c>
      <c r="L7050" s="34">
        <v>2.9</v>
      </c>
      <c r="M7050" s="34">
        <v>136349.5</v>
      </c>
      <c r="N7050" s="34">
        <f t="shared" si="223"/>
        <v>10.748702742772425</v>
      </c>
    </row>
    <row r="7051" spans="1:14" x14ac:dyDescent="0.45">
      <c r="A7051" s="30">
        <v>2026</v>
      </c>
      <c r="B7051" s="30" t="s">
        <v>10</v>
      </c>
      <c r="C7051" s="30" t="s">
        <v>46</v>
      </c>
      <c r="D7051" s="30" t="s">
        <v>47</v>
      </c>
      <c r="E7051" s="31" t="s">
        <v>409</v>
      </c>
      <c r="F7051" s="31" t="s">
        <v>57</v>
      </c>
      <c r="G7051" s="32" t="s">
        <v>50</v>
      </c>
      <c r="H7051" s="33">
        <v>34706</v>
      </c>
      <c r="I7051" s="34">
        <f>Table3[[#This Row],[Volume, kg.]]/1000</f>
        <v>34.706000000000003</v>
      </c>
      <c r="J7051" s="34">
        <v>0.26839999999999997</v>
      </c>
      <c r="K7051" s="34">
        <f t="shared" si="222"/>
        <v>9315.0903999999991</v>
      </c>
      <c r="L7051" s="34">
        <v>2.93</v>
      </c>
      <c r="M7051" s="34">
        <v>101713.05</v>
      </c>
      <c r="N7051" s="34">
        <f t="shared" si="223"/>
        <v>10.916542473919526</v>
      </c>
    </row>
    <row r="7052" spans="1:14" x14ac:dyDescent="0.45">
      <c r="A7052" s="30">
        <v>2026</v>
      </c>
      <c r="B7052" s="30" t="s">
        <v>10</v>
      </c>
      <c r="C7052" s="30" t="s">
        <v>46</v>
      </c>
      <c r="D7052" s="30" t="s">
        <v>47</v>
      </c>
      <c r="E7052" s="31" t="s">
        <v>410</v>
      </c>
      <c r="F7052" s="31" t="s">
        <v>54</v>
      </c>
      <c r="G7052" s="32" t="s">
        <v>50</v>
      </c>
      <c r="H7052" s="33">
        <v>18758</v>
      </c>
      <c r="I7052" s="34">
        <f>Table3[[#This Row],[Volume, kg.]]/1000</f>
        <v>18.757999999999999</v>
      </c>
      <c r="J7052" s="34">
        <v>0.24340000000000001</v>
      </c>
      <c r="K7052" s="34">
        <f t="shared" si="222"/>
        <v>4565.6972000000005</v>
      </c>
      <c r="L7052" s="34">
        <v>2.83</v>
      </c>
      <c r="M7052" s="34">
        <v>53032.2</v>
      </c>
      <c r="N7052" s="34">
        <f t="shared" si="223"/>
        <v>11.62695152013147</v>
      </c>
    </row>
    <row r="7053" spans="1:14" x14ac:dyDescent="0.45">
      <c r="A7053" s="30">
        <v>2026</v>
      </c>
      <c r="B7053" s="30" t="s">
        <v>10</v>
      </c>
      <c r="C7053" s="30" t="s">
        <v>46</v>
      </c>
      <c r="D7053" s="30" t="s">
        <v>102</v>
      </c>
      <c r="E7053" s="31" t="s">
        <v>418</v>
      </c>
      <c r="F7053" s="31" t="s">
        <v>104</v>
      </c>
      <c r="G7053" s="32" t="s">
        <v>105</v>
      </c>
      <c r="H7053" s="33">
        <v>1547140</v>
      </c>
      <c r="I7053" s="34">
        <f>Table3[[#This Row],[Volume, kg.]]/1000</f>
        <v>1547.14</v>
      </c>
      <c r="J7053" s="34">
        <v>0.25140000000000001</v>
      </c>
      <c r="K7053" s="34">
        <f t="shared" si="222"/>
        <v>388950.99600000004</v>
      </c>
      <c r="L7053" s="34">
        <v>2.94</v>
      </c>
      <c r="M7053" s="34">
        <v>4552099.5</v>
      </c>
      <c r="N7053" s="34">
        <f t="shared" si="223"/>
        <v>11.694510739856801</v>
      </c>
    </row>
    <row r="7054" spans="1:14" x14ac:dyDescent="0.45">
      <c r="A7054" s="30">
        <v>2026</v>
      </c>
      <c r="B7054" s="30" t="s">
        <v>10</v>
      </c>
      <c r="C7054" s="30" t="s">
        <v>46</v>
      </c>
      <c r="D7054" s="30" t="s">
        <v>47</v>
      </c>
      <c r="E7054" s="31" t="s">
        <v>434</v>
      </c>
      <c r="F7054" s="31" t="s">
        <v>57</v>
      </c>
      <c r="G7054" s="32" t="s">
        <v>50</v>
      </c>
      <c r="H7054" s="33">
        <v>240307</v>
      </c>
      <c r="I7054" s="34">
        <f>Table3[[#This Row],[Volume, kg.]]/1000</f>
        <v>240.30699999999999</v>
      </c>
      <c r="J7054" s="34">
        <v>0.25109999999999999</v>
      </c>
      <c r="K7054" s="34">
        <f t="shared" si="222"/>
        <v>60341.087699999996</v>
      </c>
      <c r="L7054" s="34">
        <v>2.81</v>
      </c>
      <c r="M7054" s="34">
        <v>674365.35</v>
      </c>
      <c r="N7054" s="34">
        <f t="shared" si="223"/>
        <v>11.190760653126246</v>
      </c>
    </row>
    <row r="7055" spans="1:14" x14ac:dyDescent="0.45">
      <c r="A7055" s="30">
        <v>2026</v>
      </c>
      <c r="B7055" s="30" t="s">
        <v>10</v>
      </c>
      <c r="C7055" s="30" t="s">
        <v>46</v>
      </c>
      <c r="D7055" s="30" t="s">
        <v>47</v>
      </c>
      <c r="E7055" s="31" t="s">
        <v>452</v>
      </c>
      <c r="F7055" s="31" t="s">
        <v>134</v>
      </c>
      <c r="G7055" s="32" t="s">
        <v>50</v>
      </c>
      <c r="H7055" s="33">
        <v>71767</v>
      </c>
      <c r="I7055" s="34">
        <f>Table3[[#This Row],[Volume, kg.]]/1000</f>
        <v>71.766999999999996</v>
      </c>
      <c r="J7055" s="34">
        <v>0.25480000000000003</v>
      </c>
      <c r="K7055" s="34">
        <f t="shared" si="222"/>
        <v>18286.231600000003</v>
      </c>
      <c r="L7055" s="34">
        <v>2.83</v>
      </c>
      <c r="M7055" s="34">
        <v>203149</v>
      </c>
      <c r="N7055" s="34">
        <f t="shared" si="223"/>
        <v>11.106750392464678</v>
      </c>
    </row>
    <row r="7056" spans="1:14" x14ac:dyDescent="0.45">
      <c r="A7056" s="30">
        <v>2026</v>
      </c>
      <c r="B7056" s="30" t="s">
        <v>10</v>
      </c>
      <c r="C7056" s="30" t="s">
        <v>46</v>
      </c>
      <c r="D7056" s="30" t="s">
        <v>47</v>
      </c>
      <c r="E7056" s="31" t="s">
        <v>553</v>
      </c>
      <c r="F7056" s="31" t="s">
        <v>238</v>
      </c>
      <c r="G7056" s="32" t="s">
        <v>50</v>
      </c>
      <c r="H7056" s="33">
        <v>5095</v>
      </c>
      <c r="I7056" s="34">
        <f>Table3[[#This Row],[Volume, kg.]]/1000</f>
        <v>5.0949999999999998</v>
      </c>
      <c r="J7056" s="34">
        <v>0.22649999999999998</v>
      </c>
      <c r="K7056" s="34">
        <f t="shared" si="222"/>
        <v>1154.0174999999999</v>
      </c>
      <c r="L7056" s="34">
        <v>2.75</v>
      </c>
      <c r="M7056" s="34">
        <v>14011.25</v>
      </c>
      <c r="N7056" s="34">
        <f t="shared" si="223"/>
        <v>12.141280353200884</v>
      </c>
    </row>
    <row r="7057" spans="1:14" x14ac:dyDescent="0.45">
      <c r="A7057" s="30">
        <v>2026</v>
      </c>
      <c r="B7057" s="30" t="s">
        <v>10</v>
      </c>
      <c r="C7057" s="30" t="s">
        <v>46</v>
      </c>
      <c r="D7057" s="30" t="s">
        <v>47</v>
      </c>
      <c r="E7057" s="31" t="s">
        <v>603</v>
      </c>
      <c r="F7057" s="31" t="s">
        <v>49</v>
      </c>
      <c r="G7057" s="32" t="s">
        <v>50</v>
      </c>
      <c r="H7057" s="33">
        <v>20844</v>
      </c>
      <c r="I7057" s="34">
        <f>Table3[[#This Row],[Volume, kg.]]/1000</f>
        <v>20.844000000000001</v>
      </c>
      <c r="J7057" s="34">
        <v>0.25379999999999997</v>
      </c>
      <c r="K7057" s="34">
        <f t="shared" si="222"/>
        <v>5290.2071999999998</v>
      </c>
      <c r="L7057" s="34">
        <v>2.81</v>
      </c>
      <c r="M7057" s="34">
        <v>58592</v>
      </c>
      <c r="N7057" s="34">
        <f t="shared" si="223"/>
        <v>11.071710007880222</v>
      </c>
    </row>
    <row r="7058" spans="1:14" x14ac:dyDescent="0.45">
      <c r="A7058" s="30">
        <v>2026</v>
      </c>
      <c r="B7058" s="30" t="s">
        <v>10</v>
      </c>
      <c r="C7058" s="30" t="s">
        <v>46</v>
      </c>
      <c r="D7058" s="30" t="s">
        <v>102</v>
      </c>
      <c r="E7058" s="31" t="s">
        <v>552</v>
      </c>
      <c r="F7058" s="31" t="s">
        <v>238</v>
      </c>
      <c r="G7058" s="32" t="s">
        <v>50</v>
      </c>
      <c r="H7058" s="33">
        <v>693680</v>
      </c>
      <c r="I7058" s="34">
        <f>Table3[[#This Row],[Volume, kg.]]/1000</f>
        <v>693.68</v>
      </c>
      <c r="J7058" s="34">
        <v>0.2445</v>
      </c>
      <c r="K7058" s="34">
        <f t="shared" si="222"/>
        <v>169604.76</v>
      </c>
      <c r="L7058" s="34">
        <v>2.87</v>
      </c>
      <c r="M7058" s="34">
        <v>1987589.5</v>
      </c>
      <c r="N7058" s="34">
        <f t="shared" si="223"/>
        <v>11.738241308793457</v>
      </c>
    </row>
    <row r="7059" spans="1:14" x14ac:dyDescent="0.45">
      <c r="A7059" s="30">
        <v>2026</v>
      </c>
      <c r="B7059" s="30" t="s">
        <v>10</v>
      </c>
      <c r="C7059" s="30" t="s">
        <v>46</v>
      </c>
      <c r="D7059" s="30" t="s">
        <v>47</v>
      </c>
      <c r="E7059" s="31" t="s">
        <v>587</v>
      </c>
      <c r="F7059" s="31" t="s">
        <v>223</v>
      </c>
      <c r="G7059" s="32" t="s">
        <v>50</v>
      </c>
      <c r="H7059" s="33">
        <v>80360</v>
      </c>
      <c r="I7059" s="34">
        <f>Table3[[#This Row],[Volume, kg.]]/1000</f>
        <v>80.36</v>
      </c>
      <c r="J7059" s="34">
        <v>0.25920000000000004</v>
      </c>
      <c r="K7059" s="34">
        <f t="shared" si="222"/>
        <v>20829.312000000002</v>
      </c>
      <c r="L7059" s="34">
        <v>2.87</v>
      </c>
      <c r="M7059" s="34">
        <v>230359.9</v>
      </c>
      <c r="N7059" s="34">
        <f t="shared" si="223"/>
        <v>11.07253086419753</v>
      </c>
    </row>
    <row r="7060" spans="1:14" x14ac:dyDescent="0.45">
      <c r="A7060" s="30">
        <v>2026</v>
      </c>
      <c r="B7060" s="30" t="s">
        <v>10</v>
      </c>
      <c r="C7060" s="30" t="s">
        <v>46</v>
      </c>
      <c r="D7060" s="30" t="s">
        <v>47</v>
      </c>
      <c r="E7060" s="31" t="s">
        <v>588</v>
      </c>
      <c r="F7060" s="31" t="s">
        <v>223</v>
      </c>
      <c r="G7060" s="32" t="s">
        <v>50</v>
      </c>
      <c r="H7060" s="33">
        <v>169977</v>
      </c>
      <c r="I7060" s="34">
        <f>Table3[[#This Row],[Volume, kg.]]/1000</f>
        <v>169.977</v>
      </c>
      <c r="J7060" s="34">
        <v>0.251</v>
      </c>
      <c r="K7060" s="34">
        <f t="shared" si="222"/>
        <v>42664.226999999999</v>
      </c>
      <c r="L7060" s="34">
        <v>2.8</v>
      </c>
      <c r="M7060" s="34">
        <v>476702.75</v>
      </c>
      <c r="N7060" s="34">
        <f t="shared" si="223"/>
        <v>11.155378486055776</v>
      </c>
    </row>
    <row r="7061" spans="1:14" x14ac:dyDescent="0.45">
      <c r="A7061" s="30">
        <v>2026</v>
      </c>
      <c r="B7061" s="30" t="s">
        <v>10</v>
      </c>
      <c r="C7061" s="30" t="s">
        <v>46</v>
      </c>
      <c r="D7061" s="30" t="s">
        <v>47</v>
      </c>
      <c r="E7061" s="31" t="s">
        <v>591</v>
      </c>
      <c r="F7061" s="31" t="s">
        <v>223</v>
      </c>
      <c r="G7061" s="32" t="s">
        <v>50</v>
      </c>
      <c r="H7061" s="33">
        <v>28876</v>
      </c>
      <c r="I7061" s="34">
        <f>Table3[[#This Row],[Volume, kg.]]/1000</f>
        <v>28.876000000000001</v>
      </c>
      <c r="J7061" s="34">
        <v>0.2631</v>
      </c>
      <c r="K7061" s="34">
        <f t="shared" si="222"/>
        <v>7597.2755999999999</v>
      </c>
      <c r="L7061" s="34">
        <v>2.87</v>
      </c>
      <c r="M7061" s="34">
        <v>82898.5</v>
      </c>
      <c r="N7061" s="34">
        <f t="shared" si="223"/>
        <v>10.908399847966553</v>
      </c>
    </row>
    <row r="7062" spans="1:14" x14ac:dyDescent="0.45">
      <c r="A7062" s="30">
        <v>2026</v>
      </c>
      <c r="B7062" s="30" t="s">
        <v>10</v>
      </c>
      <c r="C7062" s="30" t="s">
        <v>46</v>
      </c>
      <c r="D7062" s="30" t="s">
        <v>47</v>
      </c>
      <c r="E7062" s="31" t="s">
        <v>612</v>
      </c>
      <c r="F7062" s="31" t="s">
        <v>57</v>
      </c>
      <c r="G7062" s="32" t="s">
        <v>50</v>
      </c>
      <c r="H7062" s="33">
        <v>23572</v>
      </c>
      <c r="I7062" s="34">
        <f>Table3[[#This Row],[Volume, kg.]]/1000</f>
        <v>23.571999999999999</v>
      </c>
      <c r="J7062" s="34">
        <v>0.2626</v>
      </c>
      <c r="K7062" s="34">
        <f t="shared" si="222"/>
        <v>6190.0072</v>
      </c>
      <c r="L7062" s="34">
        <v>2.9</v>
      </c>
      <c r="M7062" s="34">
        <v>68358.8</v>
      </c>
      <c r="N7062" s="34">
        <f t="shared" si="223"/>
        <v>11.043412033511043</v>
      </c>
    </row>
    <row r="7063" spans="1:14" x14ac:dyDescent="0.45">
      <c r="A7063" s="30">
        <v>2026</v>
      </c>
      <c r="B7063" s="30" t="s">
        <v>10</v>
      </c>
      <c r="C7063" s="30" t="s">
        <v>46</v>
      </c>
      <c r="D7063" s="30" t="s">
        <v>47</v>
      </c>
      <c r="E7063" s="31" t="s">
        <v>607</v>
      </c>
      <c r="F7063" s="31" t="s">
        <v>81</v>
      </c>
      <c r="G7063" s="32" t="s">
        <v>50</v>
      </c>
      <c r="H7063" s="33">
        <v>94780</v>
      </c>
      <c r="I7063" s="34">
        <f>Table3[[#This Row],[Volume, kg.]]/1000</f>
        <v>94.78</v>
      </c>
      <c r="J7063" s="34">
        <v>0.23309999999999997</v>
      </c>
      <c r="K7063" s="34">
        <f t="shared" si="222"/>
        <v>22093.217999999997</v>
      </c>
      <c r="L7063" s="34">
        <v>2.72</v>
      </c>
      <c r="M7063" s="34">
        <v>257606.35</v>
      </c>
      <c r="N7063" s="34">
        <f t="shared" si="223"/>
        <v>11.668811668811671</v>
      </c>
    </row>
    <row r="7064" spans="1:14" x14ac:dyDescent="0.45">
      <c r="A7064" s="30">
        <v>2026</v>
      </c>
      <c r="B7064" s="30" t="s">
        <v>10</v>
      </c>
      <c r="C7064" s="30" t="s">
        <v>46</v>
      </c>
      <c r="D7064" s="30" t="s">
        <v>47</v>
      </c>
      <c r="E7064" s="31" t="s">
        <v>619</v>
      </c>
      <c r="F7064" s="31" t="s">
        <v>81</v>
      </c>
      <c r="G7064" s="32" t="s">
        <v>50</v>
      </c>
      <c r="H7064" s="33">
        <v>46031</v>
      </c>
      <c r="I7064" s="34">
        <f>Table3[[#This Row],[Volume, kg.]]/1000</f>
        <v>46.030999999999999</v>
      </c>
      <c r="J7064" s="34">
        <v>0.28289999999999998</v>
      </c>
      <c r="K7064" s="34">
        <f t="shared" si="222"/>
        <v>13022.169899999999</v>
      </c>
      <c r="L7064" s="34">
        <v>2.97</v>
      </c>
      <c r="M7064" s="34">
        <v>136680.1</v>
      </c>
      <c r="N7064" s="34">
        <f t="shared" si="223"/>
        <v>10.498409331919408</v>
      </c>
    </row>
    <row r="7065" spans="1:14" x14ac:dyDescent="0.45">
      <c r="A7065" s="30">
        <v>2026</v>
      </c>
      <c r="B7065" s="30" t="s">
        <v>10</v>
      </c>
      <c r="C7065" s="30" t="s">
        <v>46</v>
      </c>
      <c r="D7065" s="30" t="s">
        <v>47</v>
      </c>
      <c r="E7065" s="31" t="s">
        <v>634</v>
      </c>
      <c r="F7065" s="31" t="s">
        <v>57</v>
      </c>
      <c r="G7065" s="32" t="s">
        <v>50</v>
      </c>
      <c r="H7065" s="33">
        <v>50638</v>
      </c>
      <c r="I7065" s="34">
        <f>Table3[[#This Row],[Volume, kg.]]/1000</f>
        <v>50.637999999999998</v>
      </c>
      <c r="J7065" s="34">
        <v>0.2419</v>
      </c>
      <c r="K7065" s="34">
        <f t="shared" si="222"/>
        <v>12249.332200000001</v>
      </c>
      <c r="L7065" s="34">
        <v>2.76</v>
      </c>
      <c r="M7065" s="34">
        <v>140036.75</v>
      </c>
      <c r="N7065" s="34">
        <f t="shared" si="223"/>
        <v>11.409673418768085</v>
      </c>
    </row>
    <row r="7066" spans="1:14" x14ac:dyDescent="0.45">
      <c r="A7066" s="30">
        <v>2026</v>
      </c>
      <c r="B7066" s="30" t="s">
        <v>10</v>
      </c>
      <c r="C7066" s="30" t="s">
        <v>46</v>
      </c>
      <c r="D7066" s="30" t="s">
        <v>47</v>
      </c>
      <c r="E7066" s="31" t="s">
        <v>644</v>
      </c>
      <c r="F7066" s="31" t="s">
        <v>57</v>
      </c>
      <c r="G7066" s="32" t="s">
        <v>50</v>
      </c>
      <c r="H7066" s="33">
        <v>105276</v>
      </c>
      <c r="I7066" s="34">
        <f>Table3[[#This Row],[Volume, kg.]]/1000</f>
        <v>105.276</v>
      </c>
      <c r="J7066" s="34">
        <v>0.2581</v>
      </c>
      <c r="K7066" s="34">
        <f t="shared" si="222"/>
        <v>27171.7356</v>
      </c>
      <c r="L7066" s="34">
        <v>2.85</v>
      </c>
      <c r="M7066" s="34">
        <v>300044.65000000002</v>
      </c>
      <c r="N7066" s="34">
        <f t="shared" si="223"/>
        <v>11.042231693142194</v>
      </c>
    </row>
    <row r="7067" spans="1:14" x14ac:dyDescent="0.45">
      <c r="A7067" s="30">
        <v>2026</v>
      </c>
      <c r="B7067" s="30" t="s">
        <v>10</v>
      </c>
      <c r="C7067" s="30" t="s">
        <v>46</v>
      </c>
      <c r="D7067" s="30" t="s">
        <v>47</v>
      </c>
      <c r="E7067" s="31" t="s">
        <v>651</v>
      </c>
      <c r="F7067" s="31" t="s">
        <v>223</v>
      </c>
      <c r="G7067" s="32" t="s">
        <v>50</v>
      </c>
      <c r="H7067" s="33">
        <v>39467</v>
      </c>
      <c r="I7067" s="34">
        <f>Table3[[#This Row],[Volume, kg.]]/1000</f>
        <v>39.466999999999999</v>
      </c>
      <c r="J7067" s="34">
        <v>0.27239999999999998</v>
      </c>
      <c r="K7067" s="34">
        <f t="shared" si="222"/>
        <v>10750.810799999999</v>
      </c>
      <c r="L7067" s="34">
        <v>2.96</v>
      </c>
      <c r="M7067" s="34">
        <v>116845.8</v>
      </c>
      <c r="N7067" s="34">
        <f t="shared" si="223"/>
        <v>10.866372980910427</v>
      </c>
    </row>
    <row r="7068" spans="1:14" x14ac:dyDescent="0.45">
      <c r="A7068" s="30">
        <v>2026</v>
      </c>
      <c r="B7068" s="30" t="s">
        <v>10</v>
      </c>
      <c r="C7068" s="30" t="s">
        <v>46</v>
      </c>
      <c r="D7068" s="30" t="s">
        <v>47</v>
      </c>
      <c r="E7068" s="31" t="s">
        <v>672</v>
      </c>
      <c r="F7068" s="31" t="s">
        <v>134</v>
      </c>
      <c r="G7068" s="32" t="s">
        <v>50</v>
      </c>
      <c r="H7068" s="33">
        <v>40264</v>
      </c>
      <c r="I7068" s="34">
        <f>Table3[[#This Row],[Volume, kg.]]/1000</f>
        <v>40.264000000000003</v>
      </c>
      <c r="J7068" s="34">
        <v>0.27879999999999999</v>
      </c>
      <c r="K7068" s="34">
        <f t="shared" si="222"/>
        <v>11225.6032</v>
      </c>
      <c r="L7068" s="34">
        <v>2.94</v>
      </c>
      <c r="M7068" s="34">
        <v>118510.75</v>
      </c>
      <c r="N7068" s="34">
        <f t="shared" si="223"/>
        <v>10.54519368723099</v>
      </c>
    </row>
    <row r="7069" spans="1:14" x14ac:dyDescent="0.45">
      <c r="A7069" s="30">
        <v>2026</v>
      </c>
      <c r="B7069" s="30" t="s">
        <v>10</v>
      </c>
      <c r="C7069" s="30" t="s">
        <v>46</v>
      </c>
      <c r="D7069" s="30" t="s">
        <v>47</v>
      </c>
      <c r="E7069" s="31" t="s">
        <v>677</v>
      </c>
      <c r="F7069" s="31" t="s">
        <v>49</v>
      </c>
      <c r="G7069" s="32" t="s">
        <v>50</v>
      </c>
      <c r="H7069" s="33">
        <v>40081</v>
      </c>
      <c r="I7069" s="34">
        <f>Table3[[#This Row],[Volume, kg.]]/1000</f>
        <v>40.081000000000003</v>
      </c>
      <c r="J7069" s="34">
        <v>0.2082</v>
      </c>
      <c r="K7069" s="34">
        <f t="shared" si="222"/>
        <v>8344.8642</v>
      </c>
      <c r="L7069" s="34">
        <v>2.62</v>
      </c>
      <c r="M7069" s="34">
        <v>105150.6</v>
      </c>
      <c r="N7069" s="34">
        <f t="shared" si="223"/>
        <v>12.584053794428435</v>
      </c>
    </row>
    <row r="7070" spans="1:14" x14ac:dyDescent="0.45">
      <c r="A7070" s="30">
        <v>2026</v>
      </c>
      <c r="B7070" s="30" t="s">
        <v>10</v>
      </c>
      <c r="C7070" s="30" t="s">
        <v>46</v>
      </c>
      <c r="D7070" s="30" t="s">
        <v>102</v>
      </c>
      <c r="E7070" s="31" t="s">
        <v>695</v>
      </c>
      <c r="F7070" s="31" t="s">
        <v>696</v>
      </c>
      <c r="G7070" s="32" t="s">
        <v>557</v>
      </c>
      <c r="H7070" s="33">
        <v>80550</v>
      </c>
      <c r="I7070" s="34">
        <f>Table3[[#This Row],[Volume, kg.]]/1000</f>
        <v>80.55</v>
      </c>
      <c r="J7070" s="34">
        <v>0.2306</v>
      </c>
      <c r="K7070" s="34">
        <f t="shared" si="222"/>
        <v>18574.830000000002</v>
      </c>
      <c r="L7070" s="34">
        <v>2.75</v>
      </c>
      <c r="M7070" s="34">
        <v>221512.5</v>
      </c>
      <c r="N7070" s="34">
        <f t="shared" si="223"/>
        <v>11.925411968777103</v>
      </c>
    </row>
    <row r="7071" spans="1:14" x14ac:dyDescent="0.45">
      <c r="A7071" s="30">
        <v>2026</v>
      </c>
      <c r="B7071" s="30" t="s">
        <v>10</v>
      </c>
      <c r="C7071" s="30" t="s">
        <v>46</v>
      </c>
      <c r="D7071" s="30" t="s">
        <v>47</v>
      </c>
      <c r="E7071" s="31" t="s">
        <v>782</v>
      </c>
      <c r="F7071" s="31" t="s">
        <v>54</v>
      </c>
      <c r="G7071" s="32" t="s">
        <v>50</v>
      </c>
      <c r="H7071" s="33">
        <v>8820</v>
      </c>
      <c r="I7071" s="34">
        <f>Table3[[#This Row],[Volume, kg.]]/1000</f>
        <v>8.82</v>
      </c>
      <c r="J7071" s="34">
        <v>0.28449999999999998</v>
      </c>
      <c r="K7071" s="34">
        <f t="shared" si="222"/>
        <v>2509.29</v>
      </c>
      <c r="L7071" s="34">
        <v>2.95</v>
      </c>
      <c r="M7071" s="34">
        <v>26019</v>
      </c>
      <c r="N7071" s="34">
        <f t="shared" si="223"/>
        <v>10.369068541300528</v>
      </c>
    </row>
    <row r="7072" spans="1:14" x14ac:dyDescent="0.45">
      <c r="A7072" s="30">
        <v>2026</v>
      </c>
      <c r="B7072" s="30" t="s">
        <v>10</v>
      </c>
      <c r="C7072" s="30" t="s">
        <v>46</v>
      </c>
      <c r="D7072" s="30" t="s">
        <v>102</v>
      </c>
      <c r="E7072" s="31" t="s">
        <v>697</v>
      </c>
      <c r="F7072" s="31" t="s">
        <v>107</v>
      </c>
      <c r="G7072" s="32" t="s">
        <v>108</v>
      </c>
      <c r="H7072" s="33">
        <v>52600</v>
      </c>
      <c r="I7072" s="34">
        <f>Table3[[#This Row],[Volume, kg.]]/1000</f>
        <v>52.6</v>
      </c>
      <c r="J7072" s="34">
        <v>0.2324</v>
      </c>
      <c r="K7072" s="34">
        <f t="shared" si="222"/>
        <v>12224.24</v>
      </c>
      <c r="L7072" s="34">
        <v>2.77</v>
      </c>
      <c r="M7072" s="34">
        <v>145888.5</v>
      </c>
      <c r="N7072" s="34">
        <f t="shared" si="223"/>
        <v>11.919104991394148</v>
      </c>
    </row>
    <row r="7073" spans="1:14" x14ac:dyDescent="0.45">
      <c r="A7073" s="30">
        <v>2026</v>
      </c>
      <c r="B7073" s="30" t="s">
        <v>10</v>
      </c>
      <c r="C7073" s="30" t="s">
        <v>46</v>
      </c>
      <c r="D7073" s="30" t="s">
        <v>102</v>
      </c>
      <c r="E7073" s="31" t="s">
        <v>706</v>
      </c>
      <c r="F7073" s="31" t="s">
        <v>349</v>
      </c>
      <c r="G7073" s="32" t="s">
        <v>105</v>
      </c>
      <c r="H7073" s="33">
        <v>50790</v>
      </c>
      <c r="I7073" s="34">
        <f>Table3[[#This Row],[Volume, kg.]]/1000</f>
        <v>50.79</v>
      </c>
      <c r="J7073" s="34">
        <v>0.22719999999999999</v>
      </c>
      <c r="K7073" s="34">
        <f t="shared" si="222"/>
        <v>11539.487999999999</v>
      </c>
      <c r="L7073" s="34">
        <v>2.72</v>
      </c>
      <c r="M7073" s="34">
        <v>138309.5</v>
      </c>
      <c r="N7073" s="34">
        <f t="shared" si="223"/>
        <v>11.971830985915494</v>
      </c>
    </row>
    <row r="7074" spans="1:14" x14ac:dyDescent="0.45">
      <c r="A7074" s="30">
        <v>2026</v>
      </c>
      <c r="B7074" s="30" t="s">
        <v>10</v>
      </c>
      <c r="C7074" s="30" t="s">
        <v>46</v>
      </c>
      <c r="D7074" s="30" t="s">
        <v>102</v>
      </c>
      <c r="E7074" s="31" t="s">
        <v>707</v>
      </c>
      <c r="F7074" s="31" t="s">
        <v>331</v>
      </c>
      <c r="G7074" s="32" t="s">
        <v>105</v>
      </c>
      <c r="H7074" s="33">
        <v>61320</v>
      </c>
      <c r="I7074" s="34">
        <f>Table3[[#This Row],[Volume, kg.]]/1000</f>
        <v>61.32</v>
      </c>
      <c r="J7074" s="34">
        <v>0.22760000000000002</v>
      </c>
      <c r="K7074" s="34">
        <f t="shared" si="222"/>
        <v>13956.432000000001</v>
      </c>
      <c r="L7074" s="34">
        <v>2.73</v>
      </c>
      <c r="M7074" s="34">
        <v>167204.5</v>
      </c>
      <c r="N7074" s="34">
        <f t="shared" si="223"/>
        <v>11.994727592267134</v>
      </c>
    </row>
    <row r="7075" spans="1:14" x14ac:dyDescent="0.45">
      <c r="A7075" s="30">
        <v>2026</v>
      </c>
      <c r="B7075" s="30" t="s">
        <v>10</v>
      </c>
      <c r="C7075" s="30" t="s">
        <v>46</v>
      </c>
      <c r="D7075" s="30" t="s">
        <v>47</v>
      </c>
      <c r="E7075" s="31" t="s">
        <v>717</v>
      </c>
      <c r="F7075" s="31" t="s">
        <v>223</v>
      </c>
      <c r="G7075" s="32" t="s">
        <v>50</v>
      </c>
      <c r="H7075" s="33">
        <v>62619</v>
      </c>
      <c r="I7075" s="34">
        <f>Table3[[#This Row],[Volume, kg.]]/1000</f>
        <v>62.619</v>
      </c>
      <c r="J7075" s="34">
        <v>0.26170000000000004</v>
      </c>
      <c r="K7075" s="34">
        <f t="shared" si="222"/>
        <v>16387.392300000003</v>
      </c>
      <c r="L7075" s="34">
        <v>2.86</v>
      </c>
      <c r="M7075" s="34">
        <v>178898.4</v>
      </c>
      <c r="N7075" s="34">
        <f t="shared" si="223"/>
        <v>10.928544134505156</v>
      </c>
    </row>
    <row r="7076" spans="1:14" x14ac:dyDescent="0.45">
      <c r="A7076" s="30">
        <v>2026</v>
      </c>
      <c r="B7076" s="30" t="s">
        <v>10</v>
      </c>
      <c r="C7076" s="30" t="s">
        <v>46</v>
      </c>
      <c r="D7076" s="30" t="s">
        <v>47</v>
      </c>
      <c r="E7076" s="31" t="s">
        <v>721</v>
      </c>
      <c r="F7076" s="31" t="s">
        <v>49</v>
      </c>
      <c r="G7076" s="32" t="s">
        <v>50</v>
      </c>
      <c r="H7076" s="33">
        <v>17642</v>
      </c>
      <c r="I7076" s="34">
        <f>Table3[[#This Row],[Volume, kg.]]/1000</f>
        <v>17.641999999999999</v>
      </c>
      <c r="J7076" s="34">
        <v>0.27949999999999997</v>
      </c>
      <c r="K7076" s="34">
        <f t="shared" si="222"/>
        <v>4930.9389999999994</v>
      </c>
      <c r="L7076" s="34">
        <v>2.95</v>
      </c>
      <c r="M7076" s="34">
        <v>52043.9</v>
      </c>
      <c r="N7076" s="34">
        <f t="shared" si="223"/>
        <v>10.554561717352417</v>
      </c>
    </row>
    <row r="7077" spans="1:14" x14ac:dyDescent="0.45">
      <c r="A7077" s="30">
        <v>2026</v>
      </c>
      <c r="B7077" s="30" t="s">
        <v>10</v>
      </c>
      <c r="C7077" s="30" t="s">
        <v>46</v>
      </c>
      <c r="D7077" s="30" t="s">
        <v>47</v>
      </c>
      <c r="E7077" s="31" t="s">
        <v>722</v>
      </c>
      <c r="F7077" s="31" t="s">
        <v>49</v>
      </c>
      <c r="G7077" s="32" t="s">
        <v>50</v>
      </c>
      <c r="H7077" s="33">
        <v>9836</v>
      </c>
      <c r="I7077" s="34">
        <f>Table3[[#This Row],[Volume, kg.]]/1000</f>
        <v>9.8360000000000003</v>
      </c>
      <c r="J7077" s="34">
        <v>0.26150000000000001</v>
      </c>
      <c r="K7077" s="34">
        <f t="shared" si="222"/>
        <v>2572.114</v>
      </c>
      <c r="L7077" s="34">
        <v>2.85</v>
      </c>
      <c r="M7077" s="34">
        <v>28032.6</v>
      </c>
      <c r="N7077" s="34">
        <f t="shared" si="223"/>
        <v>10.898661567877628</v>
      </c>
    </row>
    <row r="7078" spans="1:14" x14ac:dyDescent="0.45">
      <c r="A7078" s="30">
        <v>2026</v>
      </c>
      <c r="B7078" s="30" t="s">
        <v>10</v>
      </c>
      <c r="C7078" s="30" t="s">
        <v>46</v>
      </c>
      <c r="D7078" s="30" t="s">
        <v>102</v>
      </c>
      <c r="E7078" s="31" t="s">
        <v>732</v>
      </c>
      <c r="F7078" s="31" t="s">
        <v>349</v>
      </c>
      <c r="G7078" s="32" t="s">
        <v>105</v>
      </c>
      <c r="H7078" s="33">
        <v>100630</v>
      </c>
      <c r="I7078" s="34">
        <f>Table3[[#This Row],[Volume, kg.]]/1000</f>
        <v>100.63</v>
      </c>
      <c r="J7078" s="34">
        <v>0.22620000000000001</v>
      </c>
      <c r="K7078" s="34">
        <f t="shared" si="222"/>
        <v>22762.506000000001</v>
      </c>
      <c r="L7078" s="34">
        <v>2.72</v>
      </c>
      <c r="M7078" s="34">
        <v>273706</v>
      </c>
      <c r="N7078" s="34">
        <f t="shared" si="223"/>
        <v>12.02475685234306</v>
      </c>
    </row>
    <row r="7079" spans="1:14" x14ac:dyDescent="0.45">
      <c r="A7079" s="30">
        <v>2026</v>
      </c>
      <c r="B7079" s="30" t="s">
        <v>10</v>
      </c>
      <c r="C7079" s="30" t="s">
        <v>46</v>
      </c>
      <c r="D7079" s="30" t="s">
        <v>102</v>
      </c>
      <c r="E7079" s="31" t="s">
        <v>735</v>
      </c>
      <c r="F7079" s="31" t="s">
        <v>736</v>
      </c>
      <c r="G7079" s="32" t="s">
        <v>50</v>
      </c>
      <c r="H7079" s="33">
        <v>395090</v>
      </c>
      <c r="I7079" s="34">
        <f>Table3[[#This Row],[Volume, kg.]]/1000</f>
        <v>395.09</v>
      </c>
      <c r="J7079" s="34">
        <v>0.23399999999999999</v>
      </c>
      <c r="K7079" s="34">
        <f t="shared" si="222"/>
        <v>92451.06</v>
      </c>
      <c r="L7079" s="34">
        <v>2.77</v>
      </c>
      <c r="M7079" s="34">
        <v>1095163.5</v>
      </c>
      <c r="N7079" s="34">
        <f t="shared" si="223"/>
        <v>11.837606837606838</v>
      </c>
    </row>
    <row r="7080" spans="1:14" x14ac:dyDescent="0.45">
      <c r="A7080" s="30">
        <v>2026</v>
      </c>
      <c r="B7080" s="30" t="s">
        <v>10</v>
      </c>
      <c r="C7080" s="30" t="s">
        <v>46</v>
      </c>
      <c r="D7080" s="30" t="s">
        <v>47</v>
      </c>
      <c r="E7080" s="31" t="s">
        <v>750</v>
      </c>
      <c r="F7080" s="31" t="s">
        <v>49</v>
      </c>
      <c r="G7080" s="32" t="s">
        <v>50</v>
      </c>
      <c r="H7080" s="33">
        <v>10547</v>
      </c>
      <c r="I7080" s="34">
        <f>Table3[[#This Row],[Volume, kg.]]/1000</f>
        <v>10.547000000000001</v>
      </c>
      <c r="J7080" s="34">
        <v>0.19600000000000001</v>
      </c>
      <c r="K7080" s="34">
        <f t="shared" si="222"/>
        <v>2067.212</v>
      </c>
      <c r="L7080" s="34">
        <v>2.5499999999999998</v>
      </c>
      <c r="M7080" s="34">
        <v>26853.95</v>
      </c>
      <c r="N7080" s="34">
        <f t="shared" si="223"/>
        <v>13.010204081632653</v>
      </c>
    </row>
    <row r="7081" spans="1:14" x14ac:dyDescent="0.45">
      <c r="A7081" s="30">
        <v>2026</v>
      </c>
      <c r="B7081" s="30" t="s">
        <v>10</v>
      </c>
      <c r="C7081" s="30" t="s">
        <v>46</v>
      </c>
      <c r="D7081" s="30" t="s">
        <v>102</v>
      </c>
      <c r="E7081" s="31" t="s">
        <v>746</v>
      </c>
      <c r="F7081" s="31" t="s">
        <v>127</v>
      </c>
      <c r="G7081" s="32" t="s">
        <v>128</v>
      </c>
      <c r="H7081" s="33">
        <v>161570</v>
      </c>
      <c r="I7081" s="34">
        <f>Table3[[#This Row],[Volume, kg.]]/1000</f>
        <v>161.57</v>
      </c>
      <c r="J7081" s="34">
        <v>0.25569999999999998</v>
      </c>
      <c r="K7081" s="34">
        <f t="shared" si="222"/>
        <v>41313.449000000001</v>
      </c>
      <c r="L7081" s="34">
        <v>2.91</v>
      </c>
      <c r="M7081" s="34">
        <v>469917.5</v>
      </c>
      <c r="N7081" s="34">
        <f t="shared" si="223"/>
        <v>11.380524051622997</v>
      </c>
    </row>
    <row r="7082" spans="1:14" x14ac:dyDescent="0.45">
      <c r="A7082" s="30">
        <v>2026</v>
      </c>
      <c r="B7082" s="30" t="s">
        <v>10</v>
      </c>
      <c r="C7082" s="30" t="s">
        <v>46</v>
      </c>
      <c r="D7082" s="30" t="s">
        <v>102</v>
      </c>
      <c r="E7082" s="31" t="s">
        <v>778</v>
      </c>
      <c r="F7082" s="31" t="s">
        <v>338</v>
      </c>
      <c r="G7082" s="32" t="s">
        <v>105</v>
      </c>
      <c r="H7082" s="33">
        <v>471600</v>
      </c>
      <c r="I7082" s="34">
        <f>Table3[[#This Row],[Volume, kg.]]/1000</f>
        <v>471.6</v>
      </c>
      <c r="J7082" s="34">
        <v>0.24030000000000001</v>
      </c>
      <c r="K7082" s="34">
        <f t="shared" si="222"/>
        <v>113325.48000000001</v>
      </c>
      <c r="L7082" s="34">
        <v>2.84</v>
      </c>
      <c r="M7082" s="34">
        <v>1337557.5</v>
      </c>
      <c r="N7082" s="34">
        <f t="shared" si="223"/>
        <v>11.818560133166873</v>
      </c>
    </row>
    <row r="7083" spans="1:14" x14ac:dyDescent="0.45">
      <c r="A7083" s="30">
        <v>2026</v>
      </c>
      <c r="B7083" s="30" t="s">
        <v>10</v>
      </c>
      <c r="C7083" s="30" t="s">
        <v>46</v>
      </c>
      <c r="D7083" s="30" t="s">
        <v>47</v>
      </c>
      <c r="E7083" s="31" t="s">
        <v>779</v>
      </c>
      <c r="F7083" s="31" t="s">
        <v>57</v>
      </c>
      <c r="G7083" s="32" t="s">
        <v>50</v>
      </c>
      <c r="H7083" s="33">
        <v>127754</v>
      </c>
      <c r="I7083" s="34">
        <f>Table3[[#This Row],[Volume, kg.]]/1000</f>
        <v>127.754</v>
      </c>
      <c r="J7083" s="34">
        <v>0.26910000000000001</v>
      </c>
      <c r="K7083" s="34">
        <f t="shared" si="222"/>
        <v>34378.6014</v>
      </c>
      <c r="L7083" s="34">
        <v>2.9</v>
      </c>
      <c r="M7083" s="34">
        <v>370810.05</v>
      </c>
      <c r="N7083" s="34">
        <f t="shared" si="223"/>
        <v>10.776662950575993</v>
      </c>
    </row>
    <row r="7084" spans="1:14" x14ac:dyDescent="0.45">
      <c r="A7084" s="30">
        <v>2026</v>
      </c>
      <c r="B7084" s="30" t="s">
        <v>10</v>
      </c>
      <c r="C7084" s="30" t="s">
        <v>46</v>
      </c>
      <c r="D7084" s="30" t="s">
        <v>47</v>
      </c>
      <c r="E7084" s="31" t="s">
        <v>783</v>
      </c>
      <c r="F7084" s="31" t="s">
        <v>57</v>
      </c>
      <c r="G7084" s="32" t="s">
        <v>50</v>
      </c>
      <c r="H7084" s="33">
        <v>40746</v>
      </c>
      <c r="I7084" s="34">
        <f>Table3[[#This Row],[Volume, kg.]]/1000</f>
        <v>40.746000000000002</v>
      </c>
      <c r="J7084" s="34">
        <v>0.27810000000000001</v>
      </c>
      <c r="K7084" s="34">
        <f t="shared" si="222"/>
        <v>11331.462600000001</v>
      </c>
      <c r="L7084" s="34">
        <v>2.95</v>
      </c>
      <c r="M7084" s="34">
        <v>120298.05</v>
      </c>
      <c r="N7084" s="34">
        <f t="shared" si="223"/>
        <v>10.607695073714492</v>
      </c>
    </row>
    <row r="7085" spans="1:14" x14ac:dyDescent="0.45">
      <c r="A7085" s="30">
        <v>2026</v>
      </c>
      <c r="B7085" s="30" t="s">
        <v>10</v>
      </c>
      <c r="C7085" s="30" t="s">
        <v>46</v>
      </c>
      <c r="D7085" s="30" t="s">
        <v>47</v>
      </c>
      <c r="E7085" s="31" t="s">
        <v>784</v>
      </c>
      <c r="F7085" s="31" t="s">
        <v>57</v>
      </c>
      <c r="G7085" s="32" t="s">
        <v>50</v>
      </c>
      <c r="H7085" s="33">
        <v>54307</v>
      </c>
      <c r="I7085" s="34">
        <f>Table3[[#This Row],[Volume, kg.]]/1000</f>
        <v>54.307000000000002</v>
      </c>
      <c r="J7085" s="34">
        <v>0.2545</v>
      </c>
      <c r="K7085" s="34">
        <f t="shared" si="222"/>
        <v>13821.1315</v>
      </c>
      <c r="L7085" s="34">
        <v>2.83</v>
      </c>
      <c r="M7085" s="34">
        <v>153784.5</v>
      </c>
      <c r="N7085" s="34">
        <f t="shared" si="223"/>
        <v>11.119842829076621</v>
      </c>
    </row>
    <row r="7086" spans="1:14" x14ac:dyDescent="0.45">
      <c r="A7086" s="30">
        <v>2026</v>
      </c>
      <c r="B7086" s="30" t="s">
        <v>10</v>
      </c>
      <c r="C7086" s="30" t="s">
        <v>46</v>
      </c>
      <c r="D7086" s="30" t="s">
        <v>47</v>
      </c>
      <c r="E7086" s="31" t="s">
        <v>785</v>
      </c>
      <c r="F7086" s="31" t="s">
        <v>134</v>
      </c>
      <c r="G7086" s="32" t="s">
        <v>50</v>
      </c>
      <c r="H7086" s="33">
        <v>12816</v>
      </c>
      <c r="I7086" s="34">
        <f>Table3[[#This Row],[Volume, kg.]]/1000</f>
        <v>12.816000000000001</v>
      </c>
      <c r="J7086" s="34">
        <v>0.27100000000000002</v>
      </c>
      <c r="K7086" s="34">
        <f t="shared" si="222"/>
        <v>3473.1360000000004</v>
      </c>
      <c r="L7086" s="34">
        <v>2.95</v>
      </c>
      <c r="M7086" s="34">
        <v>37807.199999999997</v>
      </c>
      <c r="N7086" s="34">
        <f t="shared" si="223"/>
        <v>10.885608856088561</v>
      </c>
    </row>
    <row r="7087" spans="1:14" x14ac:dyDescent="0.45">
      <c r="A7087" s="30">
        <v>2026</v>
      </c>
      <c r="B7087" s="30" t="s">
        <v>11</v>
      </c>
      <c r="C7087" s="30" t="s">
        <v>46</v>
      </c>
      <c r="D7087" s="30" t="s">
        <v>102</v>
      </c>
      <c r="E7087" s="31" t="s">
        <v>188</v>
      </c>
      <c r="F7087" s="31" t="s">
        <v>189</v>
      </c>
      <c r="G7087" s="32" t="s">
        <v>128</v>
      </c>
      <c r="H7087" s="33">
        <v>276860</v>
      </c>
      <c r="I7087" s="34">
        <f>Table3[[#This Row],[Volume, kg.]]/1000</f>
        <v>276.86</v>
      </c>
      <c r="J7087" s="34">
        <v>0.23419999999999999</v>
      </c>
      <c r="K7087" s="34">
        <f t="shared" si="222"/>
        <v>64840.612000000001</v>
      </c>
      <c r="L7087" s="34">
        <v>3.1</v>
      </c>
      <c r="M7087" s="34">
        <v>859260.5</v>
      </c>
      <c r="N7087" s="34">
        <f t="shared" si="223"/>
        <v>13.236549957301452</v>
      </c>
    </row>
    <row r="7088" spans="1:14" x14ac:dyDescent="0.45">
      <c r="A7088" s="30">
        <v>2026</v>
      </c>
      <c r="B7088" s="30" t="s">
        <v>11</v>
      </c>
      <c r="C7088" s="30" t="s">
        <v>46</v>
      </c>
      <c r="D7088" s="30" t="s">
        <v>102</v>
      </c>
      <c r="E7088" s="31" t="s">
        <v>222</v>
      </c>
      <c r="F7088" s="31" t="s">
        <v>223</v>
      </c>
      <c r="G7088" s="32" t="s">
        <v>50</v>
      </c>
      <c r="H7088" s="33">
        <v>292340</v>
      </c>
      <c r="I7088" s="34">
        <f>Table3[[#This Row],[Volume, kg.]]/1000</f>
        <v>292.33999999999997</v>
      </c>
      <c r="J7088" s="34">
        <v>0.2253</v>
      </c>
      <c r="K7088" s="34">
        <f t="shared" si="222"/>
        <v>65864.202000000005</v>
      </c>
      <c r="L7088" s="34">
        <v>3.22</v>
      </c>
      <c r="M7088" s="34">
        <v>942695</v>
      </c>
      <c r="N7088" s="34">
        <f t="shared" si="223"/>
        <v>14.292055037727476</v>
      </c>
    </row>
    <row r="7089" spans="1:14" x14ac:dyDescent="0.45">
      <c r="A7089" s="30">
        <v>2026</v>
      </c>
      <c r="B7089" s="30" t="s">
        <v>11</v>
      </c>
      <c r="C7089" s="30" t="s">
        <v>46</v>
      </c>
      <c r="D7089" s="30" t="s">
        <v>102</v>
      </c>
      <c r="E7089" s="31" t="s">
        <v>336</v>
      </c>
      <c r="F7089" s="31" t="s">
        <v>114</v>
      </c>
      <c r="G7089" s="32" t="s">
        <v>108</v>
      </c>
      <c r="H7089" s="33">
        <v>34770</v>
      </c>
      <c r="I7089" s="34">
        <f>Table3[[#This Row],[Volume, kg.]]/1000</f>
        <v>34.770000000000003</v>
      </c>
      <c r="J7089" s="34">
        <v>0.24779999999999999</v>
      </c>
      <c r="K7089" s="34">
        <f t="shared" si="222"/>
        <v>8616.0059999999994</v>
      </c>
      <c r="L7089" s="34">
        <v>3.05</v>
      </c>
      <c r="M7089" s="34">
        <v>106048.5</v>
      </c>
      <c r="N7089" s="34">
        <f t="shared" si="223"/>
        <v>12.308313155770783</v>
      </c>
    </row>
    <row r="7090" spans="1:14" x14ac:dyDescent="0.45">
      <c r="A7090" s="30">
        <v>2026</v>
      </c>
      <c r="B7090" s="30" t="s">
        <v>11</v>
      </c>
      <c r="C7090" s="30" t="s">
        <v>46</v>
      </c>
      <c r="D7090" s="30" t="s">
        <v>47</v>
      </c>
      <c r="E7090" s="31" t="s">
        <v>213</v>
      </c>
      <c r="F7090" s="31" t="s">
        <v>49</v>
      </c>
      <c r="G7090" s="32" t="s">
        <v>50</v>
      </c>
      <c r="H7090" s="33">
        <v>3425</v>
      </c>
      <c r="I7090" s="34">
        <f>Table3[[#This Row],[Volume, kg.]]/1000</f>
        <v>3.4249999999999998</v>
      </c>
      <c r="J7090" s="34">
        <v>0.254</v>
      </c>
      <c r="K7090" s="34">
        <f t="shared" si="222"/>
        <v>869.95</v>
      </c>
      <c r="L7090" s="34">
        <v>2.95</v>
      </c>
      <c r="M7090" s="34">
        <v>10103.75</v>
      </c>
      <c r="N7090" s="34">
        <f t="shared" si="223"/>
        <v>11.614173228346457</v>
      </c>
    </row>
    <row r="7091" spans="1:14" x14ac:dyDescent="0.45">
      <c r="A7091" s="30">
        <v>2026</v>
      </c>
      <c r="B7091" s="30" t="s">
        <v>11</v>
      </c>
      <c r="C7091" s="30" t="s">
        <v>46</v>
      </c>
      <c r="D7091" s="30" t="s">
        <v>47</v>
      </c>
      <c r="E7091" s="31" t="s">
        <v>69</v>
      </c>
      <c r="F7091" s="31" t="s">
        <v>49</v>
      </c>
      <c r="G7091" s="32" t="s">
        <v>50</v>
      </c>
      <c r="H7091" s="33">
        <v>4218</v>
      </c>
      <c r="I7091" s="34">
        <f>Table3[[#This Row],[Volume, kg.]]/1000</f>
        <v>4.218</v>
      </c>
      <c r="J7091" s="34">
        <v>0.17100000000000001</v>
      </c>
      <c r="K7091" s="34">
        <f t="shared" si="222"/>
        <v>721.27800000000002</v>
      </c>
      <c r="L7091" s="34">
        <v>2.5499999999999998</v>
      </c>
      <c r="M7091" s="34">
        <v>10755.9</v>
      </c>
      <c r="N7091" s="34">
        <f t="shared" si="223"/>
        <v>14.912280701754383</v>
      </c>
    </row>
    <row r="7092" spans="1:14" x14ac:dyDescent="0.45">
      <c r="A7092" s="30">
        <v>2026</v>
      </c>
      <c r="B7092" s="30" t="s">
        <v>11</v>
      </c>
      <c r="C7092" s="30" t="s">
        <v>46</v>
      </c>
      <c r="D7092" s="30" t="s">
        <v>47</v>
      </c>
      <c r="E7092" s="31" t="s">
        <v>326</v>
      </c>
      <c r="F7092" s="31" t="s">
        <v>57</v>
      </c>
      <c r="G7092" s="32" t="s">
        <v>50</v>
      </c>
      <c r="H7092" s="33">
        <v>29768</v>
      </c>
      <c r="I7092" s="34">
        <f>Table3[[#This Row],[Volume, kg.]]/1000</f>
        <v>29.768000000000001</v>
      </c>
      <c r="J7092" s="34">
        <v>0.2147</v>
      </c>
      <c r="K7092" s="34">
        <f t="shared" si="222"/>
        <v>6391.1895999999997</v>
      </c>
      <c r="L7092" s="34">
        <v>2.93</v>
      </c>
      <c r="M7092" s="34">
        <v>87242.85</v>
      </c>
      <c r="N7092" s="34">
        <f t="shared" si="223"/>
        <v>13.646949231485795</v>
      </c>
    </row>
    <row r="7093" spans="1:14" x14ac:dyDescent="0.45">
      <c r="A7093" s="30">
        <v>2026</v>
      </c>
      <c r="B7093" s="30" t="s">
        <v>11</v>
      </c>
      <c r="C7093" s="30" t="s">
        <v>46</v>
      </c>
      <c r="D7093" s="30" t="s">
        <v>47</v>
      </c>
      <c r="E7093" s="31" t="s">
        <v>178</v>
      </c>
      <c r="F7093" s="31" t="s">
        <v>49</v>
      </c>
      <c r="G7093" s="32" t="s">
        <v>50</v>
      </c>
      <c r="H7093" s="33">
        <v>10981</v>
      </c>
      <c r="I7093" s="34">
        <f>Table3[[#This Row],[Volume, kg.]]/1000</f>
        <v>10.981</v>
      </c>
      <c r="J7093" s="34">
        <v>0.1769</v>
      </c>
      <c r="K7093" s="34">
        <f t="shared" si="222"/>
        <v>1942.5389</v>
      </c>
      <c r="L7093" s="34">
        <v>2.82</v>
      </c>
      <c r="M7093" s="34">
        <v>30916.9</v>
      </c>
      <c r="N7093" s="34">
        <f t="shared" si="223"/>
        <v>15.941209723007347</v>
      </c>
    </row>
    <row r="7094" spans="1:14" x14ac:dyDescent="0.45">
      <c r="A7094" s="30">
        <v>2026</v>
      </c>
      <c r="B7094" s="30" t="s">
        <v>11</v>
      </c>
      <c r="C7094" s="30" t="s">
        <v>46</v>
      </c>
      <c r="D7094" s="30" t="s">
        <v>47</v>
      </c>
      <c r="E7094" s="31" t="s">
        <v>229</v>
      </c>
      <c r="F7094" s="31" t="s">
        <v>57</v>
      </c>
      <c r="G7094" s="32" t="s">
        <v>50</v>
      </c>
      <c r="H7094" s="33">
        <v>8562</v>
      </c>
      <c r="I7094" s="34">
        <f>Table3[[#This Row],[Volume, kg.]]/1000</f>
        <v>8.5619999999999994</v>
      </c>
      <c r="J7094" s="34">
        <v>0.25800000000000001</v>
      </c>
      <c r="K7094" s="34">
        <f t="shared" si="222"/>
        <v>2208.9960000000001</v>
      </c>
      <c r="L7094" s="34">
        <v>3.06</v>
      </c>
      <c r="M7094" s="34">
        <v>26162.3</v>
      </c>
      <c r="N7094" s="34">
        <f t="shared" si="223"/>
        <v>11.86046511627907</v>
      </c>
    </row>
    <row r="7095" spans="1:14" x14ac:dyDescent="0.45">
      <c r="A7095" s="30">
        <v>2026</v>
      </c>
      <c r="B7095" s="30" t="s">
        <v>11</v>
      </c>
      <c r="C7095" s="30" t="s">
        <v>46</v>
      </c>
      <c r="D7095" s="30" t="s">
        <v>47</v>
      </c>
      <c r="E7095" s="31" t="s">
        <v>461</v>
      </c>
      <c r="F7095" s="31" t="s">
        <v>54</v>
      </c>
      <c r="G7095" s="32" t="s">
        <v>50</v>
      </c>
      <c r="H7095" s="33">
        <v>34230</v>
      </c>
      <c r="I7095" s="34">
        <f>Table3[[#This Row],[Volume, kg.]]/1000</f>
        <v>34.229999999999997</v>
      </c>
      <c r="J7095" s="34">
        <v>0.22020000000000001</v>
      </c>
      <c r="K7095" s="34">
        <f t="shared" si="222"/>
        <v>7537.4459999999999</v>
      </c>
      <c r="L7095" s="34">
        <v>3.09</v>
      </c>
      <c r="M7095" s="34">
        <v>105597.4</v>
      </c>
      <c r="N7095" s="34">
        <f t="shared" si="223"/>
        <v>14.032697547683922</v>
      </c>
    </row>
    <row r="7096" spans="1:14" x14ac:dyDescent="0.45">
      <c r="A7096" s="30">
        <v>2026</v>
      </c>
      <c r="B7096" s="30" t="s">
        <v>11</v>
      </c>
      <c r="C7096" s="30" t="s">
        <v>46</v>
      </c>
      <c r="D7096" s="30" t="s">
        <v>47</v>
      </c>
      <c r="E7096" s="31" t="s">
        <v>258</v>
      </c>
      <c r="F7096" s="31" t="s">
        <v>49</v>
      </c>
      <c r="G7096" s="32" t="s">
        <v>50</v>
      </c>
      <c r="H7096" s="33">
        <v>162840</v>
      </c>
      <c r="I7096" s="34">
        <f>Table3[[#This Row],[Volume, kg.]]/1000</f>
        <v>162.84</v>
      </c>
      <c r="J7096" s="34">
        <v>0.24979999999999999</v>
      </c>
      <c r="K7096" s="34">
        <f t="shared" si="222"/>
        <v>40677.432000000001</v>
      </c>
      <c r="L7096" s="34">
        <v>3.07</v>
      </c>
      <c r="M7096" s="34">
        <v>499516</v>
      </c>
      <c r="N7096" s="34">
        <f t="shared" si="223"/>
        <v>12.289831865492394</v>
      </c>
    </row>
    <row r="7097" spans="1:14" x14ac:dyDescent="0.45">
      <c r="A7097" s="30">
        <v>2026</v>
      </c>
      <c r="B7097" s="30" t="s">
        <v>11</v>
      </c>
      <c r="C7097" s="30" t="s">
        <v>46</v>
      </c>
      <c r="D7097" s="30" t="s">
        <v>47</v>
      </c>
      <c r="E7097" s="31" t="s">
        <v>164</v>
      </c>
      <c r="F7097" s="31" t="s">
        <v>49</v>
      </c>
      <c r="G7097" s="32" t="s">
        <v>50</v>
      </c>
      <c r="H7097" s="33">
        <v>15276</v>
      </c>
      <c r="I7097" s="34">
        <f>Table3[[#This Row],[Volume, kg.]]/1000</f>
        <v>15.276</v>
      </c>
      <c r="J7097" s="34">
        <v>0.21970000000000001</v>
      </c>
      <c r="K7097" s="34">
        <f t="shared" si="222"/>
        <v>3356.1372000000001</v>
      </c>
      <c r="L7097" s="34">
        <v>2.95</v>
      </c>
      <c r="M7097" s="34">
        <v>45079.7</v>
      </c>
      <c r="N7097" s="34">
        <f t="shared" si="223"/>
        <v>13.427401001365499</v>
      </c>
    </row>
    <row r="7098" spans="1:14" x14ac:dyDescent="0.45">
      <c r="A7098" s="30">
        <v>2026</v>
      </c>
      <c r="B7098" s="30" t="s">
        <v>11</v>
      </c>
      <c r="C7098" s="30" t="s">
        <v>46</v>
      </c>
      <c r="D7098" s="30" t="s">
        <v>47</v>
      </c>
      <c r="E7098" s="31" t="s">
        <v>358</v>
      </c>
      <c r="F7098" s="31" t="s">
        <v>60</v>
      </c>
      <c r="G7098" s="32" t="s">
        <v>50</v>
      </c>
      <c r="H7098" s="33">
        <v>13288</v>
      </c>
      <c r="I7098" s="34">
        <f>Table3[[#This Row],[Volume, kg.]]/1000</f>
        <v>13.288</v>
      </c>
      <c r="J7098" s="34">
        <v>0.2195</v>
      </c>
      <c r="K7098" s="34">
        <f t="shared" si="222"/>
        <v>2916.7159999999999</v>
      </c>
      <c r="L7098" s="34">
        <v>3</v>
      </c>
      <c r="M7098" s="34">
        <v>39864</v>
      </c>
      <c r="N7098" s="34">
        <f t="shared" si="223"/>
        <v>13.66742596810934</v>
      </c>
    </row>
    <row r="7099" spans="1:14" x14ac:dyDescent="0.45">
      <c r="A7099" s="30">
        <v>2026</v>
      </c>
      <c r="B7099" s="30" t="s">
        <v>11</v>
      </c>
      <c r="C7099" s="30" t="s">
        <v>46</v>
      </c>
      <c r="D7099" s="30" t="s">
        <v>47</v>
      </c>
      <c r="E7099" s="31" t="s">
        <v>429</v>
      </c>
      <c r="F7099" s="31" t="s">
        <v>54</v>
      </c>
      <c r="G7099" s="32" t="s">
        <v>50</v>
      </c>
      <c r="H7099" s="33">
        <v>20001</v>
      </c>
      <c r="I7099" s="34">
        <f>Table3[[#This Row],[Volume, kg.]]/1000</f>
        <v>20.001000000000001</v>
      </c>
      <c r="J7099" s="34">
        <v>0.22520000000000001</v>
      </c>
      <c r="K7099" s="34">
        <f t="shared" ref="K7099:K7162" si="224">H7099*J7099</f>
        <v>4504.2251999999999</v>
      </c>
      <c r="L7099" s="34">
        <v>3.12</v>
      </c>
      <c r="M7099" s="34">
        <v>62501.1</v>
      </c>
      <c r="N7099" s="34">
        <f t="shared" ref="N7099:N7162" si="225">L7099/J7099</f>
        <v>13.854351687388988</v>
      </c>
    </row>
    <row r="7100" spans="1:14" x14ac:dyDescent="0.45">
      <c r="A7100" s="30">
        <v>2026</v>
      </c>
      <c r="B7100" s="30" t="s">
        <v>11</v>
      </c>
      <c r="C7100" s="30" t="s">
        <v>46</v>
      </c>
      <c r="D7100" s="30" t="s">
        <v>47</v>
      </c>
      <c r="E7100" s="31" t="s">
        <v>352</v>
      </c>
      <c r="F7100" s="31" t="s">
        <v>54</v>
      </c>
      <c r="G7100" s="32" t="s">
        <v>50</v>
      </c>
      <c r="H7100" s="33">
        <v>106574</v>
      </c>
      <c r="I7100" s="34">
        <f>Table3[[#This Row],[Volume, kg.]]/1000</f>
        <v>106.574</v>
      </c>
      <c r="J7100" s="34">
        <v>0.23799999999999999</v>
      </c>
      <c r="K7100" s="34">
        <f t="shared" si="224"/>
        <v>25364.611999999997</v>
      </c>
      <c r="L7100" s="34">
        <v>3.06</v>
      </c>
      <c r="M7100" s="34">
        <v>326555.59999999998</v>
      </c>
      <c r="N7100" s="34">
        <f t="shared" si="225"/>
        <v>12.857142857142858</v>
      </c>
    </row>
    <row r="7101" spans="1:14" x14ac:dyDescent="0.45">
      <c r="A7101" s="30">
        <v>2026</v>
      </c>
      <c r="B7101" s="30" t="s">
        <v>11</v>
      </c>
      <c r="C7101" s="30" t="s">
        <v>46</v>
      </c>
      <c r="D7101" s="30" t="s">
        <v>47</v>
      </c>
      <c r="E7101" s="31" t="s">
        <v>190</v>
      </c>
      <c r="F7101" s="31" t="s">
        <v>81</v>
      </c>
      <c r="G7101" s="32" t="s">
        <v>50</v>
      </c>
      <c r="H7101" s="33">
        <v>11316</v>
      </c>
      <c r="I7101" s="34">
        <f>Table3[[#This Row],[Volume, kg.]]/1000</f>
        <v>11.316000000000001</v>
      </c>
      <c r="J7101" s="34">
        <v>0.23830000000000001</v>
      </c>
      <c r="K7101" s="34">
        <f t="shared" si="224"/>
        <v>2696.6028000000001</v>
      </c>
      <c r="L7101" s="34">
        <v>2.87</v>
      </c>
      <c r="M7101" s="34">
        <v>32457.200000000001</v>
      </c>
      <c r="N7101" s="34">
        <f t="shared" si="225"/>
        <v>12.043642467477969</v>
      </c>
    </row>
    <row r="7102" spans="1:14" x14ac:dyDescent="0.45">
      <c r="A7102" s="30">
        <v>2026</v>
      </c>
      <c r="B7102" s="30" t="s">
        <v>11</v>
      </c>
      <c r="C7102" s="30" t="s">
        <v>46</v>
      </c>
      <c r="D7102" s="30" t="s">
        <v>47</v>
      </c>
      <c r="E7102" s="31" t="s">
        <v>241</v>
      </c>
      <c r="F7102" s="31" t="s">
        <v>57</v>
      </c>
      <c r="G7102" s="32" t="s">
        <v>50</v>
      </c>
      <c r="H7102" s="33">
        <v>10731</v>
      </c>
      <c r="I7102" s="34">
        <f>Table3[[#This Row],[Volume, kg.]]/1000</f>
        <v>10.731</v>
      </c>
      <c r="J7102" s="34">
        <v>0.28889999999999999</v>
      </c>
      <c r="K7102" s="34">
        <f t="shared" si="224"/>
        <v>3100.1858999999999</v>
      </c>
      <c r="L7102" s="34">
        <v>3.13</v>
      </c>
      <c r="M7102" s="34">
        <v>33588.1</v>
      </c>
      <c r="N7102" s="34">
        <f t="shared" si="225"/>
        <v>10.834198684665974</v>
      </c>
    </row>
    <row r="7103" spans="1:14" x14ac:dyDescent="0.45">
      <c r="A7103" s="30">
        <v>2026</v>
      </c>
      <c r="B7103" s="30" t="s">
        <v>11</v>
      </c>
      <c r="C7103" s="30" t="s">
        <v>46</v>
      </c>
      <c r="D7103" s="30" t="s">
        <v>47</v>
      </c>
      <c r="E7103" s="31" t="s">
        <v>263</v>
      </c>
      <c r="F7103" s="31" t="s">
        <v>81</v>
      </c>
      <c r="G7103" s="32" t="s">
        <v>50</v>
      </c>
      <c r="H7103" s="33">
        <v>6859</v>
      </c>
      <c r="I7103" s="34">
        <f>Table3[[#This Row],[Volume, kg.]]/1000</f>
        <v>6.859</v>
      </c>
      <c r="J7103" s="34">
        <v>0.26200000000000001</v>
      </c>
      <c r="K7103" s="34">
        <f t="shared" si="224"/>
        <v>1797.058</v>
      </c>
      <c r="L7103" s="34">
        <v>3.05</v>
      </c>
      <c r="M7103" s="34">
        <v>20919.95</v>
      </c>
      <c r="N7103" s="34">
        <f t="shared" si="225"/>
        <v>11.6412213740458</v>
      </c>
    </row>
    <row r="7104" spans="1:14" x14ac:dyDescent="0.45">
      <c r="A7104" s="30">
        <v>2026</v>
      </c>
      <c r="B7104" s="30" t="s">
        <v>11</v>
      </c>
      <c r="C7104" s="30" t="s">
        <v>46</v>
      </c>
      <c r="D7104" s="30" t="s">
        <v>47</v>
      </c>
      <c r="E7104" s="31" t="s">
        <v>333</v>
      </c>
      <c r="F7104" s="31" t="s">
        <v>57</v>
      </c>
      <c r="G7104" s="32" t="s">
        <v>50</v>
      </c>
      <c r="H7104" s="33">
        <v>8528</v>
      </c>
      <c r="I7104" s="34">
        <f>Table3[[#This Row],[Volume, kg.]]/1000</f>
        <v>8.5280000000000005</v>
      </c>
      <c r="J7104" s="34">
        <v>0.23899999999999999</v>
      </c>
      <c r="K7104" s="34">
        <f t="shared" si="224"/>
        <v>2038.192</v>
      </c>
      <c r="L7104" s="34">
        <v>2.95</v>
      </c>
      <c r="M7104" s="34">
        <v>25157.599999999999</v>
      </c>
      <c r="N7104" s="34">
        <f t="shared" si="225"/>
        <v>12.343096234309625</v>
      </c>
    </row>
    <row r="7105" spans="1:14" x14ac:dyDescent="0.45">
      <c r="A7105" s="30">
        <v>2026</v>
      </c>
      <c r="B7105" s="30" t="s">
        <v>11</v>
      </c>
      <c r="C7105" s="30" t="s">
        <v>46</v>
      </c>
      <c r="D7105" s="30" t="s">
        <v>47</v>
      </c>
      <c r="E7105" s="31" t="s">
        <v>313</v>
      </c>
      <c r="F7105" s="31" t="s">
        <v>60</v>
      </c>
      <c r="G7105" s="32" t="s">
        <v>50</v>
      </c>
      <c r="H7105" s="33">
        <v>10277</v>
      </c>
      <c r="I7105" s="34">
        <f>Table3[[#This Row],[Volume, kg.]]/1000</f>
        <v>10.276999999999999</v>
      </c>
      <c r="J7105" s="34">
        <v>0.24149999999999999</v>
      </c>
      <c r="K7105" s="34">
        <f t="shared" si="224"/>
        <v>2481.8955000000001</v>
      </c>
      <c r="L7105" s="34">
        <v>3.12</v>
      </c>
      <c r="M7105" s="34">
        <v>32112.65</v>
      </c>
      <c r="N7105" s="34">
        <f t="shared" si="225"/>
        <v>12.919254658385094</v>
      </c>
    </row>
    <row r="7106" spans="1:14" x14ac:dyDescent="0.45">
      <c r="A7106" s="30">
        <v>2026</v>
      </c>
      <c r="B7106" s="30" t="s">
        <v>11</v>
      </c>
      <c r="C7106" s="30" t="s">
        <v>46</v>
      </c>
      <c r="D7106" s="30" t="s">
        <v>47</v>
      </c>
      <c r="E7106" s="31" t="s">
        <v>70</v>
      </c>
      <c r="F7106" s="31" t="s">
        <v>49</v>
      </c>
      <c r="G7106" s="32" t="s">
        <v>50</v>
      </c>
      <c r="H7106" s="33">
        <v>8199</v>
      </c>
      <c r="I7106" s="34">
        <f>Table3[[#This Row],[Volume, kg.]]/1000</f>
        <v>8.1989999999999998</v>
      </c>
      <c r="J7106" s="34">
        <v>0.26800000000000002</v>
      </c>
      <c r="K7106" s="34">
        <f t="shared" si="224"/>
        <v>2197.3320000000003</v>
      </c>
      <c r="L7106" s="34">
        <v>3</v>
      </c>
      <c r="M7106" s="34">
        <v>24597</v>
      </c>
      <c r="N7106" s="34">
        <f t="shared" si="225"/>
        <v>11.194029850746269</v>
      </c>
    </row>
    <row r="7107" spans="1:14" x14ac:dyDescent="0.45">
      <c r="A7107" s="30">
        <v>2026</v>
      </c>
      <c r="B7107" s="30" t="s">
        <v>11</v>
      </c>
      <c r="C7107" s="30" t="s">
        <v>46</v>
      </c>
      <c r="D7107" s="30" t="s">
        <v>47</v>
      </c>
      <c r="E7107" s="31" t="s">
        <v>144</v>
      </c>
      <c r="F7107" s="31" t="s">
        <v>49</v>
      </c>
      <c r="G7107" s="32" t="s">
        <v>50</v>
      </c>
      <c r="H7107" s="33">
        <v>19477</v>
      </c>
      <c r="I7107" s="34">
        <f>Table3[[#This Row],[Volume, kg.]]/1000</f>
        <v>19.477</v>
      </c>
      <c r="J7107" s="34">
        <v>0.24399999999999999</v>
      </c>
      <c r="K7107" s="34">
        <f t="shared" si="224"/>
        <v>4752.3879999999999</v>
      </c>
      <c r="L7107" s="34">
        <v>3.19</v>
      </c>
      <c r="M7107" s="34">
        <v>62049.65</v>
      </c>
      <c r="N7107" s="34">
        <f t="shared" si="225"/>
        <v>13.073770491803279</v>
      </c>
    </row>
    <row r="7108" spans="1:14" x14ac:dyDescent="0.45">
      <c r="A7108" s="30">
        <v>2026</v>
      </c>
      <c r="B7108" s="30" t="s">
        <v>11</v>
      </c>
      <c r="C7108" s="30" t="s">
        <v>46</v>
      </c>
      <c r="D7108" s="30" t="s">
        <v>47</v>
      </c>
      <c r="E7108" s="31" t="s">
        <v>786</v>
      </c>
      <c r="F7108" s="31" t="s">
        <v>787</v>
      </c>
      <c r="G7108" s="32" t="s">
        <v>50</v>
      </c>
      <c r="H7108" s="33">
        <v>5423</v>
      </c>
      <c r="I7108" s="34">
        <f>Table3[[#This Row],[Volume, kg.]]/1000</f>
        <v>5.423</v>
      </c>
      <c r="J7108" s="34">
        <v>0.23649999999999999</v>
      </c>
      <c r="K7108" s="34">
        <f t="shared" si="224"/>
        <v>1282.5394999999999</v>
      </c>
      <c r="L7108" s="34">
        <v>2.95</v>
      </c>
      <c r="M7108" s="34">
        <v>15997.85</v>
      </c>
      <c r="N7108" s="34">
        <f t="shared" si="225"/>
        <v>12.47357293868922</v>
      </c>
    </row>
    <row r="7109" spans="1:14" x14ac:dyDescent="0.45">
      <c r="A7109" s="30">
        <v>2026</v>
      </c>
      <c r="B7109" s="30" t="s">
        <v>11</v>
      </c>
      <c r="C7109" s="30" t="s">
        <v>46</v>
      </c>
      <c r="D7109" s="30" t="s">
        <v>47</v>
      </c>
      <c r="E7109" s="31" t="s">
        <v>253</v>
      </c>
      <c r="F7109" s="31" t="s">
        <v>57</v>
      </c>
      <c r="G7109" s="32" t="s">
        <v>50</v>
      </c>
      <c r="H7109" s="33">
        <v>2798</v>
      </c>
      <c r="I7109" s="34">
        <f>Table3[[#This Row],[Volume, kg.]]/1000</f>
        <v>2.798</v>
      </c>
      <c r="J7109" s="34">
        <v>0.152</v>
      </c>
      <c r="K7109" s="34">
        <f t="shared" si="224"/>
        <v>425.29599999999999</v>
      </c>
      <c r="L7109" s="34">
        <v>2.75</v>
      </c>
      <c r="M7109" s="34">
        <v>7694.5</v>
      </c>
      <c r="N7109" s="34">
        <f t="shared" si="225"/>
        <v>18.092105263157894</v>
      </c>
    </row>
    <row r="7110" spans="1:14" x14ac:dyDescent="0.45">
      <c r="A7110" s="30">
        <v>2026</v>
      </c>
      <c r="B7110" s="30" t="s">
        <v>11</v>
      </c>
      <c r="C7110" s="30" t="s">
        <v>46</v>
      </c>
      <c r="D7110" s="30" t="s">
        <v>47</v>
      </c>
      <c r="E7110" s="31" t="s">
        <v>667</v>
      </c>
      <c r="F7110" s="31" t="s">
        <v>60</v>
      </c>
      <c r="G7110" s="32" t="s">
        <v>50</v>
      </c>
      <c r="H7110" s="33">
        <v>23083</v>
      </c>
      <c r="I7110" s="34">
        <f>Table3[[#This Row],[Volume, kg.]]/1000</f>
        <v>23.082999999999998</v>
      </c>
      <c r="J7110" s="34">
        <v>0.27429999999999999</v>
      </c>
      <c r="K7110" s="34">
        <f t="shared" si="224"/>
        <v>6331.6669000000002</v>
      </c>
      <c r="L7110" s="34">
        <v>3.08</v>
      </c>
      <c r="M7110" s="34">
        <v>71084.399999999994</v>
      </c>
      <c r="N7110" s="34">
        <f t="shared" si="225"/>
        <v>11.22858184469559</v>
      </c>
    </row>
    <row r="7111" spans="1:14" x14ac:dyDescent="0.45">
      <c r="A7111" s="30">
        <v>2026</v>
      </c>
      <c r="B7111" s="30" t="s">
        <v>11</v>
      </c>
      <c r="C7111" s="30" t="s">
        <v>46</v>
      </c>
      <c r="D7111" s="30" t="s">
        <v>47</v>
      </c>
      <c r="E7111" s="31" t="s">
        <v>233</v>
      </c>
      <c r="F7111" s="31" t="s">
        <v>57</v>
      </c>
      <c r="G7111" s="32" t="s">
        <v>50</v>
      </c>
      <c r="H7111" s="33">
        <v>20591</v>
      </c>
      <c r="I7111" s="34">
        <f>Table3[[#This Row],[Volume, kg.]]/1000</f>
        <v>20.591000000000001</v>
      </c>
      <c r="J7111" s="34">
        <v>0.2772</v>
      </c>
      <c r="K7111" s="34">
        <f t="shared" si="224"/>
        <v>5707.8252000000002</v>
      </c>
      <c r="L7111" s="34">
        <v>3.12</v>
      </c>
      <c r="M7111" s="34">
        <v>64317.1</v>
      </c>
      <c r="N7111" s="34">
        <f t="shared" si="225"/>
        <v>11.255411255411255</v>
      </c>
    </row>
    <row r="7112" spans="1:14" x14ac:dyDescent="0.45">
      <c r="A7112" s="30">
        <v>2026</v>
      </c>
      <c r="B7112" s="30" t="s">
        <v>11</v>
      </c>
      <c r="C7112" s="30" t="s">
        <v>46</v>
      </c>
      <c r="D7112" s="30" t="s">
        <v>47</v>
      </c>
      <c r="E7112" s="31" t="s">
        <v>275</v>
      </c>
      <c r="F7112" s="31" t="s">
        <v>54</v>
      </c>
      <c r="G7112" s="32" t="s">
        <v>50</v>
      </c>
      <c r="H7112" s="33">
        <v>18479</v>
      </c>
      <c r="I7112" s="34">
        <f>Table3[[#This Row],[Volume, kg.]]/1000</f>
        <v>18.478999999999999</v>
      </c>
      <c r="J7112" s="34">
        <v>0.28320000000000001</v>
      </c>
      <c r="K7112" s="34">
        <f t="shared" si="224"/>
        <v>5233.2528000000002</v>
      </c>
      <c r="L7112" s="34">
        <v>3.12</v>
      </c>
      <c r="M7112" s="34">
        <v>57643.25</v>
      </c>
      <c r="N7112" s="34">
        <f t="shared" si="225"/>
        <v>11.016949152542374</v>
      </c>
    </row>
    <row r="7113" spans="1:14" x14ac:dyDescent="0.45">
      <c r="A7113" s="30">
        <v>2026</v>
      </c>
      <c r="B7113" s="30" t="s">
        <v>11</v>
      </c>
      <c r="C7113" s="30" t="s">
        <v>46</v>
      </c>
      <c r="D7113" s="30" t="s">
        <v>102</v>
      </c>
      <c r="E7113" s="31" t="s">
        <v>780</v>
      </c>
      <c r="F7113" s="31" t="s">
        <v>238</v>
      </c>
      <c r="G7113" s="32" t="s">
        <v>50</v>
      </c>
      <c r="H7113" s="33">
        <v>109260</v>
      </c>
      <c r="I7113" s="34">
        <f>Table3[[#This Row],[Volume, kg.]]/1000</f>
        <v>109.26</v>
      </c>
      <c r="J7113" s="34">
        <v>0.21379999999999999</v>
      </c>
      <c r="K7113" s="34">
        <f t="shared" si="224"/>
        <v>23359.788</v>
      </c>
      <c r="L7113" s="34">
        <v>3.23</v>
      </c>
      <c r="M7113" s="34">
        <v>353103.5</v>
      </c>
      <c r="N7113" s="34">
        <f t="shared" si="225"/>
        <v>15.107577174929842</v>
      </c>
    </row>
    <row r="7114" spans="1:14" x14ac:dyDescent="0.45">
      <c r="A7114" s="30">
        <v>2026</v>
      </c>
      <c r="B7114" s="30" t="s">
        <v>11</v>
      </c>
      <c r="C7114" s="30" t="s">
        <v>46</v>
      </c>
      <c r="D7114" s="30" t="s">
        <v>47</v>
      </c>
      <c r="E7114" s="31" t="s">
        <v>356</v>
      </c>
      <c r="F7114" s="31" t="s">
        <v>49</v>
      </c>
      <c r="G7114" s="32" t="s">
        <v>50</v>
      </c>
      <c r="H7114" s="33">
        <v>1407</v>
      </c>
      <c r="I7114" s="34">
        <f>Table3[[#This Row],[Volume, kg.]]/1000</f>
        <v>1.407</v>
      </c>
      <c r="J7114" s="34">
        <v>0.187</v>
      </c>
      <c r="K7114" s="34">
        <f t="shared" si="224"/>
        <v>263.10899999999998</v>
      </c>
      <c r="L7114" s="34">
        <v>2.7</v>
      </c>
      <c r="M7114" s="34">
        <v>3798.9</v>
      </c>
      <c r="N7114" s="34">
        <f t="shared" si="225"/>
        <v>14.438502673796792</v>
      </c>
    </row>
    <row r="7115" spans="1:14" x14ac:dyDescent="0.45">
      <c r="A7115" s="30">
        <v>2026</v>
      </c>
      <c r="B7115" s="30" t="s">
        <v>11</v>
      </c>
      <c r="C7115" s="30" t="s">
        <v>46</v>
      </c>
      <c r="D7115" s="30" t="s">
        <v>102</v>
      </c>
      <c r="E7115" s="31" t="s">
        <v>656</v>
      </c>
      <c r="F7115" s="31" t="s">
        <v>657</v>
      </c>
      <c r="G7115" s="32" t="s">
        <v>119</v>
      </c>
      <c r="H7115" s="33">
        <v>28750</v>
      </c>
      <c r="I7115" s="34">
        <f>Table3[[#This Row],[Volume, kg.]]/1000</f>
        <v>28.75</v>
      </c>
      <c r="J7115" s="34">
        <v>0.1976</v>
      </c>
      <c r="K7115" s="34">
        <f t="shared" si="224"/>
        <v>5681</v>
      </c>
      <c r="L7115" s="34">
        <v>3.18</v>
      </c>
      <c r="M7115" s="34">
        <v>91532.5</v>
      </c>
      <c r="N7115" s="34">
        <f t="shared" si="225"/>
        <v>16.093117408906885</v>
      </c>
    </row>
    <row r="7116" spans="1:14" x14ac:dyDescent="0.45">
      <c r="A7116" s="30">
        <v>2026</v>
      </c>
      <c r="B7116" s="30" t="s">
        <v>11</v>
      </c>
      <c r="C7116" s="30" t="s">
        <v>46</v>
      </c>
      <c r="D7116" s="30" t="s">
        <v>102</v>
      </c>
      <c r="E7116" s="31" t="s">
        <v>788</v>
      </c>
      <c r="F7116" s="31" t="s">
        <v>127</v>
      </c>
      <c r="G7116" s="32" t="s">
        <v>128</v>
      </c>
      <c r="H7116" s="33">
        <v>41830</v>
      </c>
      <c r="I7116" s="34">
        <f>Table3[[#This Row],[Volume, kg.]]/1000</f>
        <v>41.83</v>
      </c>
      <c r="J7116" s="34">
        <v>0.2195</v>
      </c>
      <c r="K7116" s="34">
        <f t="shared" si="224"/>
        <v>9181.6849999999995</v>
      </c>
      <c r="L7116" s="34">
        <v>2.95</v>
      </c>
      <c r="M7116" s="34">
        <v>123398.5</v>
      </c>
      <c r="N7116" s="34">
        <f t="shared" si="225"/>
        <v>13.439635535307518</v>
      </c>
    </row>
    <row r="7117" spans="1:14" x14ac:dyDescent="0.45">
      <c r="A7117" s="30">
        <v>2026</v>
      </c>
      <c r="B7117" s="30" t="s">
        <v>11</v>
      </c>
      <c r="C7117" s="30" t="s">
        <v>46</v>
      </c>
      <c r="D7117" s="30" t="s">
        <v>47</v>
      </c>
      <c r="E7117" s="31" t="s">
        <v>197</v>
      </c>
      <c r="F7117" s="31" t="s">
        <v>57</v>
      </c>
      <c r="G7117" s="32" t="s">
        <v>50</v>
      </c>
      <c r="H7117" s="33">
        <v>3984</v>
      </c>
      <c r="I7117" s="34">
        <f>Table3[[#This Row],[Volume, kg.]]/1000</f>
        <v>3.984</v>
      </c>
      <c r="J7117" s="34">
        <v>0.2515</v>
      </c>
      <c r="K7117" s="34">
        <f t="shared" si="224"/>
        <v>1001.976</v>
      </c>
      <c r="L7117" s="34">
        <v>3.2</v>
      </c>
      <c r="M7117" s="34">
        <v>12748.8</v>
      </c>
      <c r="N7117" s="34">
        <f t="shared" si="225"/>
        <v>12.723658051689862</v>
      </c>
    </row>
    <row r="7118" spans="1:14" x14ac:dyDescent="0.45">
      <c r="A7118" s="30">
        <v>2026</v>
      </c>
      <c r="B7118" s="30" t="s">
        <v>11</v>
      </c>
      <c r="C7118" s="30" t="s">
        <v>46</v>
      </c>
      <c r="D7118" s="30" t="s">
        <v>47</v>
      </c>
      <c r="E7118" s="31" t="s">
        <v>206</v>
      </c>
      <c r="F7118" s="31" t="s">
        <v>81</v>
      </c>
      <c r="G7118" s="32" t="s">
        <v>50</v>
      </c>
      <c r="H7118" s="33">
        <v>56430</v>
      </c>
      <c r="I7118" s="34">
        <f>Table3[[#This Row],[Volume, kg.]]/1000</f>
        <v>56.43</v>
      </c>
      <c r="J7118" s="34">
        <v>0.2137</v>
      </c>
      <c r="K7118" s="34">
        <f t="shared" si="224"/>
        <v>12059.091</v>
      </c>
      <c r="L7118" s="34">
        <v>2.95</v>
      </c>
      <c r="M7118" s="34">
        <v>166774</v>
      </c>
      <c r="N7118" s="34">
        <f t="shared" si="225"/>
        <v>13.80439868975199</v>
      </c>
    </row>
    <row r="7119" spans="1:14" x14ac:dyDescent="0.45">
      <c r="A7119" s="30">
        <v>2026</v>
      </c>
      <c r="B7119" s="30" t="s">
        <v>11</v>
      </c>
      <c r="C7119" s="30" t="s">
        <v>46</v>
      </c>
      <c r="D7119" s="30" t="s">
        <v>47</v>
      </c>
      <c r="E7119" s="31" t="s">
        <v>395</v>
      </c>
      <c r="F7119" s="31" t="s">
        <v>81</v>
      </c>
      <c r="G7119" s="32" t="s">
        <v>50</v>
      </c>
      <c r="H7119" s="33">
        <v>27043</v>
      </c>
      <c r="I7119" s="34">
        <f>Table3[[#This Row],[Volume, kg.]]/1000</f>
        <v>27.042999999999999</v>
      </c>
      <c r="J7119" s="34">
        <v>0.22900000000000001</v>
      </c>
      <c r="K7119" s="34">
        <f t="shared" si="224"/>
        <v>6192.8470000000007</v>
      </c>
      <c r="L7119" s="34">
        <v>3.15</v>
      </c>
      <c r="M7119" s="34">
        <v>85189.7</v>
      </c>
      <c r="N7119" s="34">
        <f t="shared" si="225"/>
        <v>13.755458515283841</v>
      </c>
    </row>
    <row r="7120" spans="1:14" x14ac:dyDescent="0.45">
      <c r="A7120" s="30">
        <v>2026</v>
      </c>
      <c r="B7120" s="30" t="s">
        <v>11</v>
      </c>
      <c r="C7120" s="30" t="s">
        <v>46</v>
      </c>
      <c r="D7120" s="30" t="s">
        <v>47</v>
      </c>
      <c r="E7120" s="31" t="s">
        <v>98</v>
      </c>
      <c r="F7120" s="31" t="s">
        <v>49</v>
      </c>
      <c r="G7120" s="32" t="s">
        <v>50</v>
      </c>
      <c r="H7120" s="33">
        <v>4087</v>
      </c>
      <c r="I7120" s="34">
        <f>Table3[[#This Row],[Volume, kg.]]/1000</f>
        <v>4.0869999999999997</v>
      </c>
      <c r="J7120" s="34">
        <v>0.26650000000000001</v>
      </c>
      <c r="K7120" s="34">
        <f t="shared" si="224"/>
        <v>1089.1855</v>
      </c>
      <c r="L7120" s="34">
        <v>3.3</v>
      </c>
      <c r="M7120" s="34">
        <v>13487.1</v>
      </c>
      <c r="N7120" s="34">
        <f t="shared" si="225"/>
        <v>12.382739212007504</v>
      </c>
    </row>
    <row r="7121" spans="1:14" x14ac:dyDescent="0.45">
      <c r="A7121" s="30">
        <v>2026</v>
      </c>
      <c r="B7121" s="30" t="s">
        <v>11</v>
      </c>
      <c r="C7121" s="30" t="s">
        <v>46</v>
      </c>
      <c r="D7121" s="30" t="s">
        <v>47</v>
      </c>
      <c r="E7121" s="31" t="s">
        <v>80</v>
      </c>
      <c r="F7121" s="31" t="s">
        <v>81</v>
      </c>
      <c r="G7121" s="32" t="s">
        <v>50</v>
      </c>
      <c r="H7121" s="33">
        <v>54054</v>
      </c>
      <c r="I7121" s="34">
        <f>Table3[[#This Row],[Volume, kg.]]/1000</f>
        <v>54.054000000000002</v>
      </c>
      <c r="J7121" s="34">
        <v>0.25119999999999998</v>
      </c>
      <c r="K7121" s="34">
        <f t="shared" si="224"/>
        <v>13578.364799999999</v>
      </c>
      <c r="L7121" s="34">
        <v>3.11</v>
      </c>
      <c r="M7121" s="34">
        <v>168176.4</v>
      </c>
      <c r="N7121" s="34">
        <f t="shared" si="225"/>
        <v>12.380573248407645</v>
      </c>
    </row>
    <row r="7122" spans="1:14" x14ac:dyDescent="0.45">
      <c r="A7122" s="30">
        <v>2026</v>
      </c>
      <c r="B7122" s="30" t="s">
        <v>11</v>
      </c>
      <c r="C7122" s="30" t="s">
        <v>46</v>
      </c>
      <c r="D7122" s="30" t="s">
        <v>102</v>
      </c>
      <c r="E7122" s="31" t="s">
        <v>103</v>
      </c>
      <c r="F7122" s="31" t="s">
        <v>104</v>
      </c>
      <c r="G7122" s="32" t="s">
        <v>105</v>
      </c>
      <c r="H7122" s="33">
        <v>1187750</v>
      </c>
      <c r="I7122" s="34">
        <f>Table3[[#This Row],[Volume, kg.]]/1000</f>
        <v>1187.75</v>
      </c>
      <c r="J7122" s="34">
        <v>0.23519999999999999</v>
      </c>
      <c r="K7122" s="34">
        <f t="shared" si="224"/>
        <v>279358.8</v>
      </c>
      <c r="L7122" s="34">
        <v>3.25</v>
      </c>
      <c r="M7122" s="34">
        <v>3858690.5</v>
      </c>
      <c r="N7122" s="34">
        <f t="shared" si="225"/>
        <v>13.818027210884354</v>
      </c>
    </row>
    <row r="7123" spans="1:14" x14ac:dyDescent="0.45">
      <c r="A7123" s="30">
        <v>2026</v>
      </c>
      <c r="B7123" s="30" t="s">
        <v>11</v>
      </c>
      <c r="C7123" s="30" t="s">
        <v>46</v>
      </c>
      <c r="D7123" s="30" t="s">
        <v>47</v>
      </c>
      <c r="E7123" s="31" t="s">
        <v>203</v>
      </c>
      <c r="F7123" s="31" t="s">
        <v>57</v>
      </c>
      <c r="G7123" s="32" t="s">
        <v>50</v>
      </c>
      <c r="H7123" s="33">
        <v>33052</v>
      </c>
      <c r="I7123" s="34">
        <f>Table3[[#This Row],[Volume, kg.]]/1000</f>
        <v>33.052</v>
      </c>
      <c r="J7123" s="34">
        <v>0.25359999999999999</v>
      </c>
      <c r="K7123" s="34">
        <f t="shared" si="224"/>
        <v>8381.9871999999996</v>
      </c>
      <c r="L7123" s="34">
        <v>3.1</v>
      </c>
      <c r="M7123" s="34">
        <v>102365.95</v>
      </c>
      <c r="N7123" s="34">
        <f t="shared" si="225"/>
        <v>12.223974763406941</v>
      </c>
    </row>
    <row r="7124" spans="1:14" x14ac:dyDescent="0.45">
      <c r="A7124" s="30">
        <v>2026</v>
      </c>
      <c r="B7124" s="30" t="s">
        <v>11</v>
      </c>
      <c r="C7124" s="30" t="s">
        <v>46</v>
      </c>
      <c r="D7124" s="30" t="s">
        <v>102</v>
      </c>
      <c r="E7124" s="31" t="s">
        <v>691</v>
      </c>
      <c r="F7124" s="31" t="s">
        <v>657</v>
      </c>
      <c r="G7124" s="32" t="s">
        <v>119</v>
      </c>
      <c r="H7124" s="33">
        <v>93160</v>
      </c>
      <c r="I7124" s="34">
        <f>Table3[[#This Row],[Volume, kg.]]/1000</f>
        <v>93.16</v>
      </c>
      <c r="J7124" s="34">
        <v>0.19420000000000001</v>
      </c>
      <c r="K7124" s="34">
        <f t="shared" si="224"/>
        <v>18091.672000000002</v>
      </c>
      <c r="L7124" s="34">
        <v>3.17</v>
      </c>
      <c r="M7124" s="34">
        <v>295015</v>
      </c>
      <c r="N7124" s="34">
        <f t="shared" si="225"/>
        <v>16.323377960865088</v>
      </c>
    </row>
    <row r="7125" spans="1:14" x14ac:dyDescent="0.45">
      <c r="A7125" s="30">
        <v>2026</v>
      </c>
      <c r="B7125" s="30" t="s">
        <v>11</v>
      </c>
      <c r="C7125" s="30" t="s">
        <v>46</v>
      </c>
      <c r="D7125" s="30" t="s">
        <v>102</v>
      </c>
      <c r="E7125" s="31" t="s">
        <v>126</v>
      </c>
      <c r="F7125" s="31" t="s">
        <v>127</v>
      </c>
      <c r="G7125" s="32" t="s">
        <v>128</v>
      </c>
      <c r="H7125" s="33">
        <v>3719930</v>
      </c>
      <c r="I7125" s="34">
        <f>Table3[[#This Row],[Volume, kg.]]/1000</f>
        <v>3719.93</v>
      </c>
      <c r="J7125" s="34">
        <v>0.21579999999999999</v>
      </c>
      <c r="K7125" s="34">
        <f t="shared" si="224"/>
        <v>802760.89399999997</v>
      </c>
      <c r="L7125" s="34">
        <v>3.25</v>
      </c>
      <c r="M7125" s="34">
        <v>12092931.5</v>
      </c>
      <c r="N7125" s="34">
        <f t="shared" si="225"/>
        <v>15.060240963855422</v>
      </c>
    </row>
    <row r="7126" spans="1:14" x14ac:dyDescent="0.45">
      <c r="A7126" s="30">
        <v>2026</v>
      </c>
      <c r="B7126" s="30" t="s">
        <v>11</v>
      </c>
      <c r="C7126" s="30" t="s">
        <v>46</v>
      </c>
      <c r="D7126" s="30" t="s">
        <v>102</v>
      </c>
      <c r="E7126" s="31" t="s">
        <v>117</v>
      </c>
      <c r="F7126" s="31" t="s">
        <v>118</v>
      </c>
      <c r="G7126" s="32" t="s">
        <v>119</v>
      </c>
      <c r="H7126" s="33">
        <v>86660</v>
      </c>
      <c r="I7126" s="34">
        <f>Table3[[#This Row],[Volume, kg.]]/1000</f>
        <v>86.66</v>
      </c>
      <c r="J7126" s="34">
        <v>0.24410000000000001</v>
      </c>
      <c r="K7126" s="34">
        <f t="shared" si="224"/>
        <v>21153.706000000002</v>
      </c>
      <c r="L7126" s="34">
        <v>3.13</v>
      </c>
      <c r="M7126" s="34">
        <v>271348</v>
      </c>
      <c r="N7126" s="34">
        <f t="shared" si="225"/>
        <v>12.822613682916836</v>
      </c>
    </row>
    <row r="7127" spans="1:14" x14ac:dyDescent="0.45">
      <c r="A7127" s="30">
        <v>2026</v>
      </c>
      <c r="B7127" s="30" t="s">
        <v>11</v>
      </c>
      <c r="C7127" s="30" t="s">
        <v>46</v>
      </c>
      <c r="D7127" s="30" t="s">
        <v>47</v>
      </c>
      <c r="E7127" s="31" t="s">
        <v>204</v>
      </c>
      <c r="F7127" s="31" t="s">
        <v>49</v>
      </c>
      <c r="G7127" s="32" t="s">
        <v>50</v>
      </c>
      <c r="H7127" s="33">
        <v>11878</v>
      </c>
      <c r="I7127" s="34">
        <f>Table3[[#This Row],[Volume, kg.]]/1000</f>
        <v>11.878</v>
      </c>
      <c r="J7127" s="34">
        <v>0.2455</v>
      </c>
      <c r="K7127" s="34">
        <f t="shared" si="224"/>
        <v>2916.049</v>
      </c>
      <c r="L7127" s="34">
        <v>3</v>
      </c>
      <c r="M7127" s="34">
        <v>35634</v>
      </c>
      <c r="N7127" s="34">
        <f t="shared" si="225"/>
        <v>12.219959266802444</v>
      </c>
    </row>
    <row r="7128" spans="1:14" x14ac:dyDescent="0.45">
      <c r="A7128" s="30">
        <v>2026</v>
      </c>
      <c r="B7128" s="30" t="s">
        <v>11</v>
      </c>
      <c r="C7128" s="30" t="s">
        <v>46</v>
      </c>
      <c r="D7128" s="30" t="s">
        <v>47</v>
      </c>
      <c r="E7128" s="31" t="s">
        <v>154</v>
      </c>
      <c r="F7128" s="31" t="s">
        <v>60</v>
      </c>
      <c r="G7128" s="32" t="s">
        <v>50</v>
      </c>
      <c r="H7128" s="33">
        <v>2513</v>
      </c>
      <c r="I7128" s="34">
        <f>Table3[[#This Row],[Volume, kg.]]/1000</f>
        <v>2.5129999999999999</v>
      </c>
      <c r="J7128" s="34">
        <v>0.19500000000000001</v>
      </c>
      <c r="K7128" s="34">
        <f t="shared" si="224"/>
        <v>490.03500000000003</v>
      </c>
      <c r="L7128" s="34">
        <v>3</v>
      </c>
      <c r="M7128" s="34">
        <v>7539</v>
      </c>
      <c r="N7128" s="34">
        <f t="shared" si="225"/>
        <v>15.384615384615383</v>
      </c>
    </row>
    <row r="7129" spans="1:14" x14ac:dyDescent="0.45">
      <c r="A7129" s="30">
        <v>2026</v>
      </c>
      <c r="B7129" s="30" t="s">
        <v>11</v>
      </c>
      <c r="C7129" s="30" t="s">
        <v>46</v>
      </c>
      <c r="D7129" s="30" t="s">
        <v>102</v>
      </c>
      <c r="E7129" s="31" t="s">
        <v>157</v>
      </c>
      <c r="F7129" s="31" t="s">
        <v>127</v>
      </c>
      <c r="G7129" s="32" t="s">
        <v>128</v>
      </c>
      <c r="H7129" s="33">
        <v>200280</v>
      </c>
      <c r="I7129" s="34">
        <f>Table3[[#This Row],[Volume, kg.]]/1000</f>
        <v>200.28</v>
      </c>
      <c r="J7129" s="34">
        <v>0.24229999999999999</v>
      </c>
      <c r="K7129" s="34">
        <f t="shared" si="224"/>
        <v>48527.843999999997</v>
      </c>
      <c r="L7129" s="34">
        <v>3.33</v>
      </c>
      <c r="M7129" s="34">
        <v>666785.5</v>
      </c>
      <c r="N7129" s="34">
        <f t="shared" si="225"/>
        <v>13.743293437886917</v>
      </c>
    </row>
    <row r="7130" spans="1:14" x14ac:dyDescent="0.45">
      <c r="A7130" s="30">
        <v>2026</v>
      </c>
      <c r="B7130" s="30" t="s">
        <v>11</v>
      </c>
      <c r="C7130" s="30" t="s">
        <v>46</v>
      </c>
      <c r="D7130" s="30" t="s">
        <v>47</v>
      </c>
      <c r="E7130" s="31" t="s">
        <v>75</v>
      </c>
      <c r="F7130" s="31" t="s">
        <v>49</v>
      </c>
      <c r="G7130" s="32" t="s">
        <v>50</v>
      </c>
      <c r="H7130" s="33">
        <v>4274</v>
      </c>
      <c r="I7130" s="34">
        <f>Table3[[#This Row],[Volume, kg.]]/1000</f>
        <v>4.274</v>
      </c>
      <c r="J7130" s="34">
        <v>0.2515</v>
      </c>
      <c r="K7130" s="34">
        <f t="shared" si="224"/>
        <v>1074.9110000000001</v>
      </c>
      <c r="L7130" s="34">
        <v>3</v>
      </c>
      <c r="M7130" s="34">
        <v>12822</v>
      </c>
      <c r="N7130" s="34">
        <f t="shared" si="225"/>
        <v>11.928429423459244</v>
      </c>
    </row>
    <row r="7131" spans="1:14" x14ac:dyDescent="0.45">
      <c r="A7131" s="30">
        <v>2026</v>
      </c>
      <c r="B7131" s="30" t="s">
        <v>11</v>
      </c>
      <c r="C7131" s="30" t="s">
        <v>46</v>
      </c>
      <c r="D7131" s="30" t="s">
        <v>47</v>
      </c>
      <c r="E7131" s="31" t="s">
        <v>273</v>
      </c>
      <c r="F7131" s="31" t="s">
        <v>49</v>
      </c>
      <c r="G7131" s="32" t="s">
        <v>50</v>
      </c>
      <c r="H7131" s="33">
        <v>11194</v>
      </c>
      <c r="I7131" s="34">
        <f>Table3[[#This Row],[Volume, kg.]]/1000</f>
        <v>11.194000000000001</v>
      </c>
      <c r="J7131" s="34">
        <v>0.1963</v>
      </c>
      <c r="K7131" s="34">
        <f t="shared" si="224"/>
        <v>2197.3822</v>
      </c>
      <c r="L7131" s="34">
        <v>2.91</v>
      </c>
      <c r="M7131" s="34">
        <v>32570.9</v>
      </c>
      <c r="N7131" s="34">
        <f t="shared" si="225"/>
        <v>14.824248599083036</v>
      </c>
    </row>
    <row r="7132" spans="1:14" x14ac:dyDescent="0.45">
      <c r="A7132" s="30">
        <v>2026</v>
      </c>
      <c r="B7132" s="30" t="s">
        <v>11</v>
      </c>
      <c r="C7132" s="30" t="s">
        <v>46</v>
      </c>
      <c r="D7132" s="30" t="s">
        <v>47</v>
      </c>
      <c r="E7132" s="31" t="s">
        <v>247</v>
      </c>
      <c r="F7132" s="31" t="s">
        <v>134</v>
      </c>
      <c r="G7132" s="32" t="s">
        <v>50</v>
      </c>
      <c r="H7132" s="33">
        <v>4184</v>
      </c>
      <c r="I7132" s="34">
        <f>Table3[[#This Row],[Volume, kg.]]/1000</f>
        <v>4.1840000000000002</v>
      </c>
      <c r="J7132" s="34">
        <v>0.159</v>
      </c>
      <c r="K7132" s="34">
        <f t="shared" si="224"/>
        <v>665.25599999999997</v>
      </c>
      <c r="L7132" s="34">
        <v>2.5499999999999998</v>
      </c>
      <c r="M7132" s="34">
        <v>10669.2</v>
      </c>
      <c r="N7132" s="34">
        <f t="shared" si="225"/>
        <v>16.037735849056602</v>
      </c>
    </row>
    <row r="7133" spans="1:14" x14ac:dyDescent="0.45">
      <c r="A7133" s="30">
        <v>2026</v>
      </c>
      <c r="B7133" s="30" t="s">
        <v>11</v>
      </c>
      <c r="C7133" s="30" t="s">
        <v>46</v>
      </c>
      <c r="D7133" s="30" t="s">
        <v>102</v>
      </c>
      <c r="E7133" s="31" t="s">
        <v>710</v>
      </c>
      <c r="F7133" s="31" t="s">
        <v>189</v>
      </c>
      <c r="G7133" s="32" t="s">
        <v>128</v>
      </c>
      <c r="H7133" s="33">
        <v>513830</v>
      </c>
      <c r="I7133" s="34">
        <f>Table3[[#This Row],[Volume, kg.]]/1000</f>
        <v>513.83000000000004</v>
      </c>
      <c r="J7133" s="34">
        <v>0.20960000000000001</v>
      </c>
      <c r="K7133" s="34">
        <f t="shared" si="224"/>
        <v>107698.76800000001</v>
      </c>
      <c r="L7133" s="34">
        <v>3.34</v>
      </c>
      <c r="M7133" s="34">
        <v>1715276.5</v>
      </c>
      <c r="N7133" s="34">
        <f t="shared" si="225"/>
        <v>15.935114503816793</v>
      </c>
    </row>
    <row r="7134" spans="1:14" x14ac:dyDescent="0.45">
      <c r="A7134" s="30">
        <v>2026</v>
      </c>
      <c r="B7134" s="30" t="s">
        <v>11</v>
      </c>
      <c r="C7134" s="30" t="s">
        <v>46</v>
      </c>
      <c r="D7134" s="30" t="s">
        <v>47</v>
      </c>
      <c r="E7134" s="31" t="s">
        <v>87</v>
      </c>
      <c r="F7134" s="31" t="s">
        <v>49</v>
      </c>
      <c r="G7134" s="32" t="s">
        <v>50</v>
      </c>
      <c r="H7134" s="33">
        <v>6411</v>
      </c>
      <c r="I7134" s="34">
        <f>Table3[[#This Row],[Volume, kg.]]/1000</f>
        <v>6.4109999999999996</v>
      </c>
      <c r="J7134" s="34">
        <v>0.1694</v>
      </c>
      <c r="K7134" s="34">
        <f t="shared" si="224"/>
        <v>1086.0234</v>
      </c>
      <c r="L7134" s="34">
        <v>2.84</v>
      </c>
      <c r="M7134" s="34">
        <v>18187.7</v>
      </c>
      <c r="N7134" s="34">
        <f t="shared" si="225"/>
        <v>16.765053128689491</v>
      </c>
    </row>
    <row r="7135" spans="1:14" x14ac:dyDescent="0.45">
      <c r="A7135" s="30">
        <v>2026</v>
      </c>
      <c r="B7135" s="30" t="s">
        <v>11</v>
      </c>
      <c r="C7135" s="30" t="s">
        <v>46</v>
      </c>
      <c r="D7135" s="30" t="s">
        <v>47</v>
      </c>
      <c r="E7135" s="31" t="s">
        <v>199</v>
      </c>
      <c r="F7135" s="31" t="s">
        <v>60</v>
      </c>
      <c r="G7135" s="32" t="s">
        <v>50</v>
      </c>
      <c r="H7135" s="33">
        <v>11838</v>
      </c>
      <c r="I7135" s="34">
        <f>Table3[[#This Row],[Volume, kg.]]/1000</f>
        <v>11.837999999999999</v>
      </c>
      <c r="J7135" s="34">
        <v>0.20849999999999999</v>
      </c>
      <c r="K7135" s="34">
        <f t="shared" si="224"/>
        <v>2468.223</v>
      </c>
      <c r="L7135" s="34">
        <v>3.01</v>
      </c>
      <c r="M7135" s="34">
        <v>35649.9</v>
      </c>
      <c r="N7135" s="34">
        <f t="shared" si="225"/>
        <v>14.436450839328536</v>
      </c>
    </row>
    <row r="7136" spans="1:14" x14ac:dyDescent="0.45">
      <c r="A7136" s="30">
        <v>2026</v>
      </c>
      <c r="B7136" s="30" t="s">
        <v>11</v>
      </c>
      <c r="C7136" s="30" t="s">
        <v>46</v>
      </c>
      <c r="D7136" s="30" t="s">
        <v>47</v>
      </c>
      <c r="E7136" s="31" t="s">
        <v>215</v>
      </c>
      <c r="F7136" s="31" t="s">
        <v>57</v>
      </c>
      <c r="G7136" s="32" t="s">
        <v>50</v>
      </c>
      <c r="H7136" s="33">
        <v>6314</v>
      </c>
      <c r="I7136" s="34">
        <f>Table3[[#This Row],[Volume, kg.]]/1000</f>
        <v>6.3140000000000001</v>
      </c>
      <c r="J7136" s="34">
        <v>0.24349999999999999</v>
      </c>
      <c r="K7136" s="34">
        <f t="shared" si="224"/>
        <v>1537.4590000000001</v>
      </c>
      <c r="L7136" s="34">
        <v>2.85</v>
      </c>
      <c r="M7136" s="34">
        <v>17994.900000000001</v>
      </c>
      <c r="N7136" s="34">
        <f t="shared" si="225"/>
        <v>11.704312114989733</v>
      </c>
    </row>
    <row r="7137" spans="1:14" x14ac:dyDescent="0.45">
      <c r="A7137" s="30">
        <v>2026</v>
      </c>
      <c r="B7137" s="30" t="s">
        <v>11</v>
      </c>
      <c r="C7137" s="30" t="s">
        <v>46</v>
      </c>
      <c r="D7137" s="30" t="s">
        <v>47</v>
      </c>
      <c r="E7137" s="31" t="s">
        <v>315</v>
      </c>
      <c r="F7137" s="31" t="s">
        <v>134</v>
      </c>
      <c r="G7137" s="32" t="s">
        <v>50</v>
      </c>
      <c r="H7137" s="33">
        <v>13845</v>
      </c>
      <c r="I7137" s="34">
        <f>Table3[[#This Row],[Volume, kg.]]/1000</f>
        <v>13.845000000000001</v>
      </c>
      <c r="J7137" s="34">
        <v>0.22850000000000001</v>
      </c>
      <c r="K7137" s="34">
        <f t="shared" si="224"/>
        <v>3163.5825</v>
      </c>
      <c r="L7137" s="34">
        <v>2.8</v>
      </c>
      <c r="M7137" s="34">
        <v>38766</v>
      </c>
      <c r="N7137" s="34">
        <f t="shared" si="225"/>
        <v>12.253829321663018</v>
      </c>
    </row>
    <row r="7138" spans="1:14" x14ac:dyDescent="0.45">
      <c r="A7138" s="30">
        <v>2026</v>
      </c>
      <c r="B7138" s="30" t="s">
        <v>11</v>
      </c>
      <c r="C7138" s="30" t="s">
        <v>46</v>
      </c>
      <c r="D7138" s="30" t="s">
        <v>47</v>
      </c>
      <c r="E7138" s="31" t="s">
        <v>405</v>
      </c>
      <c r="F7138" s="31" t="s">
        <v>240</v>
      </c>
      <c r="G7138" s="32" t="s">
        <v>50</v>
      </c>
      <c r="H7138" s="33">
        <v>2472</v>
      </c>
      <c r="I7138" s="34">
        <f>Table3[[#This Row],[Volume, kg.]]/1000</f>
        <v>2.472</v>
      </c>
      <c r="J7138" s="34">
        <v>0.22700000000000001</v>
      </c>
      <c r="K7138" s="34">
        <f t="shared" si="224"/>
        <v>561.14400000000001</v>
      </c>
      <c r="L7138" s="34">
        <v>3.05</v>
      </c>
      <c r="M7138" s="34">
        <v>7539.6</v>
      </c>
      <c r="N7138" s="34">
        <f t="shared" si="225"/>
        <v>13.43612334801762</v>
      </c>
    </row>
    <row r="7139" spans="1:14" x14ac:dyDescent="0.45">
      <c r="A7139" s="30">
        <v>2026</v>
      </c>
      <c r="B7139" s="30" t="s">
        <v>11</v>
      </c>
      <c r="C7139" s="30" t="s">
        <v>46</v>
      </c>
      <c r="D7139" s="30" t="s">
        <v>47</v>
      </c>
      <c r="E7139" s="31" t="s">
        <v>151</v>
      </c>
      <c r="F7139" s="31" t="s">
        <v>60</v>
      </c>
      <c r="G7139" s="32" t="s">
        <v>50</v>
      </c>
      <c r="H7139" s="33">
        <v>14782</v>
      </c>
      <c r="I7139" s="34">
        <f>Table3[[#This Row],[Volume, kg.]]/1000</f>
        <v>14.782</v>
      </c>
      <c r="J7139" s="34">
        <v>0.2079</v>
      </c>
      <c r="K7139" s="34">
        <f t="shared" si="224"/>
        <v>3073.1777999999999</v>
      </c>
      <c r="L7139" s="34">
        <v>3</v>
      </c>
      <c r="M7139" s="34">
        <v>44378.1</v>
      </c>
      <c r="N7139" s="34">
        <f t="shared" si="225"/>
        <v>14.430014430014429</v>
      </c>
    </row>
    <row r="7140" spans="1:14" x14ac:dyDescent="0.45">
      <c r="A7140" s="30">
        <v>2026</v>
      </c>
      <c r="B7140" s="30" t="s">
        <v>11</v>
      </c>
      <c r="C7140" s="30" t="s">
        <v>46</v>
      </c>
      <c r="D7140" s="30" t="s">
        <v>47</v>
      </c>
      <c r="E7140" s="31" t="s">
        <v>252</v>
      </c>
      <c r="F7140" s="31" t="s">
        <v>49</v>
      </c>
      <c r="G7140" s="32" t="s">
        <v>50</v>
      </c>
      <c r="H7140" s="33">
        <v>19548</v>
      </c>
      <c r="I7140" s="34">
        <f>Table3[[#This Row],[Volume, kg.]]/1000</f>
        <v>19.547999999999998</v>
      </c>
      <c r="J7140" s="34">
        <v>0.2303</v>
      </c>
      <c r="K7140" s="34">
        <f t="shared" si="224"/>
        <v>4501.9044000000004</v>
      </c>
      <c r="L7140" s="34">
        <v>2.88</v>
      </c>
      <c r="M7140" s="34">
        <v>56372.55</v>
      </c>
      <c r="N7140" s="34">
        <f t="shared" si="225"/>
        <v>12.505427702996091</v>
      </c>
    </row>
    <row r="7141" spans="1:14" x14ac:dyDescent="0.45">
      <c r="A7141" s="30">
        <v>2026</v>
      </c>
      <c r="B7141" s="30" t="s">
        <v>11</v>
      </c>
      <c r="C7141" s="30" t="s">
        <v>46</v>
      </c>
      <c r="D7141" s="30" t="s">
        <v>47</v>
      </c>
      <c r="E7141" s="31" t="s">
        <v>205</v>
      </c>
      <c r="F7141" s="31" t="s">
        <v>49</v>
      </c>
      <c r="G7141" s="32" t="s">
        <v>50</v>
      </c>
      <c r="H7141" s="33">
        <v>22267</v>
      </c>
      <c r="I7141" s="34">
        <f>Table3[[#This Row],[Volume, kg.]]/1000</f>
        <v>22.266999999999999</v>
      </c>
      <c r="J7141" s="34">
        <v>0.25900000000000001</v>
      </c>
      <c r="K7141" s="34">
        <f t="shared" si="224"/>
        <v>5767.1530000000002</v>
      </c>
      <c r="L7141" s="34">
        <v>3.22</v>
      </c>
      <c r="M7141" s="34">
        <v>71745.2</v>
      </c>
      <c r="N7141" s="34">
        <f t="shared" si="225"/>
        <v>12.432432432432433</v>
      </c>
    </row>
    <row r="7142" spans="1:14" x14ac:dyDescent="0.45">
      <c r="A7142" s="30">
        <v>2026</v>
      </c>
      <c r="B7142" s="30" t="s">
        <v>11</v>
      </c>
      <c r="C7142" s="30" t="s">
        <v>46</v>
      </c>
      <c r="D7142" s="30" t="s">
        <v>47</v>
      </c>
      <c r="E7142" s="31" t="s">
        <v>410</v>
      </c>
      <c r="F7142" s="31" t="s">
        <v>54</v>
      </c>
      <c r="G7142" s="32" t="s">
        <v>50</v>
      </c>
      <c r="H7142" s="33">
        <v>34285</v>
      </c>
      <c r="I7142" s="34">
        <f>Table3[[#This Row],[Volume, kg.]]/1000</f>
        <v>34.284999999999997</v>
      </c>
      <c r="J7142" s="34">
        <v>0.24610000000000001</v>
      </c>
      <c r="K7142" s="34">
        <f t="shared" si="224"/>
        <v>8437.5385000000006</v>
      </c>
      <c r="L7142" s="34">
        <v>2.94</v>
      </c>
      <c r="M7142" s="34">
        <v>100675.6</v>
      </c>
      <c r="N7142" s="34">
        <f t="shared" si="225"/>
        <v>11.946363266964648</v>
      </c>
    </row>
    <row r="7143" spans="1:14" x14ac:dyDescent="0.45">
      <c r="A7143" s="30">
        <v>2026</v>
      </c>
      <c r="B7143" s="30" t="s">
        <v>11</v>
      </c>
      <c r="C7143" s="30" t="s">
        <v>46</v>
      </c>
      <c r="D7143" s="30" t="s">
        <v>102</v>
      </c>
      <c r="E7143" s="31" t="s">
        <v>418</v>
      </c>
      <c r="F7143" s="31" t="s">
        <v>104</v>
      </c>
      <c r="G7143" s="32" t="s">
        <v>105</v>
      </c>
      <c r="H7143" s="33">
        <v>2121440</v>
      </c>
      <c r="I7143" s="34">
        <f>Table3[[#This Row],[Volume, kg.]]/1000</f>
        <v>2121.44</v>
      </c>
      <c r="J7143" s="34">
        <v>0.23449999999999999</v>
      </c>
      <c r="K7143" s="34">
        <f t="shared" si="224"/>
        <v>497477.68</v>
      </c>
      <c r="L7143" s="34">
        <v>3.28</v>
      </c>
      <c r="M7143" s="34">
        <v>6963112</v>
      </c>
      <c r="N7143" s="34">
        <f t="shared" si="225"/>
        <v>13.987206823027719</v>
      </c>
    </row>
    <row r="7144" spans="1:14" x14ac:dyDescent="0.45">
      <c r="A7144" s="30">
        <v>2026</v>
      </c>
      <c r="B7144" s="30" t="s">
        <v>11</v>
      </c>
      <c r="C7144" s="30" t="s">
        <v>46</v>
      </c>
      <c r="D7144" s="30" t="s">
        <v>47</v>
      </c>
      <c r="E7144" s="31" t="s">
        <v>434</v>
      </c>
      <c r="F7144" s="31" t="s">
        <v>57</v>
      </c>
      <c r="G7144" s="32" t="s">
        <v>50</v>
      </c>
      <c r="H7144" s="33">
        <v>51406</v>
      </c>
      <c r="I7144" s="34">
        <f>Table3[[#This Row],[Volume, kg.]]/1000</f>
        <v>51.405999999999999</v>
      </c>
      <c r="J7144" s="34">
        <v>0.17929999999999999</v>
      </c>
      <c r="K7144" s="34">
        <f t="shared" si="224"/>
        <v>9217.0957999999991</v>
      </c>
      <c r="L7144" s="34">
        <v>2.84</v>
      </c>
      <c r="M7144" s="34">
        <v>145954.1</v>
      </c>
      <c r="N7144" s="34">
        <f t="shared" si="225"/>
        <v>15.839375348577803</v>
      </c>
    </row>
    <row r="7145" spans="1:14" x14ac:dyDescent="0.45">
      <c r="A7145" s="30">
        <v>2026</v>
      </c>
      <c r="B7145" s="30" t="s">
        <v>11</v>
      </c>
      <c r="C7145" s="30" t="s">
        <v>46</v>
      </c>
      <c r="D7145" s="30" t="s">
        <v>47</v>
      </c>
      <c r="E7145" s="31" t="s">
        <v>484</v>
      </c>
      <c r="F7145" s="31" t="s">
        <v>81</v>
      </c>
      <c r="G7145" s="32" t="s">
        <v>50</v>
      </c>
      <c r="H7145" s="33">
        <v>56773</v>
      </c>
      <c r="I7145" s="34">
        <f>Table3[[#This Row],[Volume, kg.]]/1000</f>
        <v>56.773000000000003</v>
      </c>
      <c r="J7145" s="34">
        <v>0.21429999999999999</v>
      </c>
      <c r="K7145" s="34">
        <f t="shared" si="224"/>
        <v>12166.453899999999</v>
      </c>
      <c r="L7145" s="34">
        <v>2.76</v>
      </c>
      <c r="M7145" s="34">
        <v>156735.85</v>
      </c>
      <c r="N7145" s="34">
        <f t="shared" si="225"/>
        <v>12.879141390573961</v>
      </c>
    </row>
    <row r="7146" spans="1:14" x14ac:dyDescent="0.45">
      <c r="A7146" s="30">
        <v>2026</v>
      </c>
      <c r="B7146" s="30" t="s">
        <v>11</v>
      </c>
      <c r="C7146" s="30" t="s">
        <v>46</v>
      </c>
      <c r="D7146" s="30" t="s">
        <v>47</v>
      </c>
      <c r="E7146" s="31" t="s">
        <v>524</v>
      </c>
      <c r="F7146" s="31" t="s">
        <v>49</v>
      </c>
      <c r="G7146" s="32" t="s">
        <v>50</v>
      </c>
      <c r="H7146" s="33">
        <v>6325</v>
      </c>
      <c r="I7146" s="34">
        <f>Table3[[#This Row],[Volume, kg.]]/1000</f>
        <v>6.3250000000000002</v>
      </c>
      <c r="J7146" s="34">
        <v>0.1885</v>
      </c>
      <c r="K7146" s="34">
        <f t="shared" si="224"/>
        <v>1192.2625</v>
      </c>
      <c r="L7146" s="34">
        <v>2.95</v>
      </c>
      <c r="M7146" s="34">
        <v>18658.75</v>
      </c>
      <c r="N7146" s="34">
        <f t="shared" si="225"/>
        <v>15.649867374005305</v>
      </c>
    </row>
    <row r="7147" spans="1:14" x14ac:dyDescent="0.45">
      <c r="A7147" s="30">
        <v>2026</v>
      </c>
      <c r="B7147" s="30" t="s">
        <v>11</v>
      </c>
      <c r="C7147" s="30" t="s">
        <v>46</v>
      </c>
      <c r="D7147" s="30" t="s">
        <v>102</v>
      </c>
      <c r="E7147" s="31" t="s">
        <v>552</v>
      </c>
      <c r="F7147" s="31" t="s">
        <v>238</v>
      </c>
      <c r="G7147" s="32" t="s">
        <v>50</v>
      </c>
      <c r="H7147" s="33">
        <v>907520</v>
      </c>
      <c r="I7147" s="34">
        <f>Table3[[#This Row],[Volume, kg.]]/1000</f>
        <v>907.52</v>
      </c>
      <c r="J7147" s="34">
        <v>0.2099</v>
      </c>
      <c r="K7147" s="34">
        <f t="shared" si="224"/>
        <v>190488.448</v>
      </c>
      <c r="L7147" s="34">
        <v>3.23</v>
      </c>
      <c r="M7147" s="34">
        <v>2933500</v>
      </c>
      <c r="N7147" s="34">
        <f t="shared" si="225"/>
        <v>15.388280133396856</v>
      </c>
    </row>
    <row r="7148" spans="1:14" x14ac:dyDescent="0.45">
      <c r="A7148" s="30">
        <v>2026</v>
      </c>
      <c r="B7148" s="30" t="s">
        <v>11</v>
      </c>
      <c r="C7148" s="30" t="s">
        <v>46</v>
      </c>
      <c r="D7148" s="30" t="s">
        <v>47</v>
      </c>
      <c r="E7148" s="31" t="s">
        <v>587</v>
      </c>
      <c r="F7148" s="31" t="s">
        <v>223</v>
      </c>
      <c r="G7148" s="32" t="s">
        <v>50</v>
      </c>
      <c r="H7148" s="33">
        <v>12335</v>
      </c>
      <c r="I7148" s="34">
        <f>Table3[[#This Row],[Volume, kg.]]/1000</f>
        <v>12.335000000000001</v>
      </c>
      <c r="J7148" s="34">
        <v>0.22900000000000001</v>
      </c>
      <c r="K7148" s="34">
        <f t="shared" si="224"/>
        <v>2824.7150000000001</v>
      </c>
      <c r="L7148" s="34">
        <v>3.1</v>
      </c>
      <c r="M7148" s="34">
        <v>38238.5</v>
      </c>
      <c r="N7148" s="34">
        <f t="shared" si="225"/>
        <v>13.537117903930131</v>
      </c>
    </row>
    <row r="7149" spans="1:14" x14ac:dyDescent="0.45">
      <c r="A7149" s="30">
        <v>2026</v>
      </c>
      <c r="B7149" s="30" t="s">
        <v>11</v>
      </c>
      <c r="C7149" s="30" t="s">
        <v>46</v>
      </c>
      <c r="D7149" s="30" t="s">
        <v>47</v>
      </c>
      <c r="E7149" s="31" t="s">
        <v>588</v>
      </c>
      <c r="F7149" s="31" t="s">
        <v>223</v>
      </c>
      <c r="G7149" s="32" t="s">
        <v>50</v>
      </c>
      <c r="H7149" s="33">
        <v>7344</v>
      </c>
      <c r="I7149" s="34">
        <f>Table3[[#This Row],[Volume, kg.]]/1000</f>
        <v>7.3440000000000003</v>
      </c>
      <c r="J7149" s="34">
        <v>0.23200000000000001</v>
      </c>
      <c r="K7149" s="34">
        <f t="shared" si="224"/>
        <v>1703.808</v>
      </c>
      <c r="L7149" s="34">
        <v>3.05</v>
      </c>
      <c r="M7149" s="34">
        <v>22399.200000000001</v>
      </c>
      <c r="N7149" s="34">
        <f t="shared" si="225"/>
        <v>13.146551724137929</v>
      </c>
    </row>
    <row r="7150" spans="1:14" x14ac:dyDescent="0.45">
      <c r="A7150" s="30">
        <v>2026</v>
      </c>
      <c r="B7150" s="30" t="s">
        <v>11</v>
      </c>
      <c r="C7150" s="30" t="s">
        <v>46</v>
      </c>
      <c r="D7150" s="30" t="s">
        <v>47</v>
      </c>
      <c r="E7150" s="31" t="s">
        <v>594</v>
      </c>
      <c r="F7150" s="31" t="s">
        <v>223</v>
      </c>
      <c r="G7150" s="32" t="s">
        <v>50</v>
      </c>
      <c r="H7150" s="33">
        <v>15712</v>
      </c>
      <c r="I7150" s="34">
        <f>Table3[[#This Row],[Volume, kg.]]/1000</f>
        <v>15.712</v>
      </c>
      <c r="J7150" s="34">
        <v>0.27750000000000002</v>
      </c>
      <c r="K7150" s="34">
        <f t="shared" si="224"/>
        <v>4360.0800000000008</v>
      </c>
      <c r="L7150" s="34">
        <v>3.4</v>
      </c>
      <c r="M7150" s="34">
        <v>53420.800000000003</v>
      </c>
      <c r="N7150" s="34">
        <f t="shared" si="225"/>
        <v>12.252252252252251</v>
      </c>
    </row>
    <row r="7151" spans="1:14" x14ac:dyDescent="0.45">
      <c r="A7151" s="30">
        <v>2026</v>
      </c>
      <c r="B7151" s="30" t="s">
        <v>11</v>
      </c>
      <c r="C7151" s="30" t="s">
        <v>46</v>
      </c>
      <c r="D7151" s="30" t="s">
        <v>47</v>
      </c>
      <c r="E7151" s="31" t="s">
        <v>634</v>
      </c>
      <c r="F7151" s="31" t="s">
        <v>57</v>
      </c>
      <c r="G7151" s="32" t="s">
        <v>50</v>
      </c>
      <c r="H7151" s="33">
        <v>29351</v>
      </c>
      <c r="I7151" s="34">
        <f>Table3[[#This Row],[Volume, kg.]]/1000</f>
        <v>29.350999999999999</v>
      </c>
      <c r="J7151" s="34">
        <v>0.19450000000000001</v>
      </c>
      <c r="K7151" s="34">
        <f t="shared" si="224"/>
        <v>5708.7695000000003</v>
      </c>
      <c r="L7151" s="34">
        <v>2.95</v>
      </c>
      <c r="M7151" s="34">
        <v>86495.85</v>
      </c>
      <c r="N7151" s="34">
        <f t="shared" si="225"/>
        <v>15.167095115681235</v>
      </c>
    </row>
    <row r="7152" spans="1:14" x14ac:dyDescent="0.45">
      <c r="A7152" s="30">
        <v>2026</v>
      </c>
      <c r="B7152" s="30" t="s">
        <v>11</v>
      </c>
      <c r="C7152" s="30" t="s">
        <v>46</v>
      </c>
      <c r="D7152" s="30" t="s">
        <v>47</v>
      </c>
      <c r="E7152" s="31" t="s">
        <v>644</v>
      </c>
      <c r="F7152" s="31" t="s">
        <v>57</v>
      </c>
      <c r="G7152" s="32" t="s">
        <v>50</v>
      </c>
      <c r="H7152" s="33">
        <v>9350</v>
      </c>
      <c r="I7152" s="34">
        <f>Table3[[#This Row],[Volume, kg.]]/1000</f>
        <v>9.35</v>
      </c>
      <c r="J7152" s="34">
        <v>0.27200000000000002</v>
      </c>
      <c r="K7152" s="34">
        <f t="shared" si="224"/>
        <v>2543.2000000000003</v>
      </c>
      <c r="L7152" s="34">
        <v>3.3</v>
      </c>
      <c r="M7152" s="34">
        <v>30855</v>
      </c>
      <c r="N7152" s="34">
        <f t="shared" si="225"/>
        <v>12.132352941176469</v>
      </c>
    </row>
    <row r="7153" spans="1:14" x14ac:dyDescent="0.45">
      <c r="A7153" s="30">
        <v>2026</v>
      </c>
      <c r="B7153" s="30" t="s">
        <v>11</v>
      </c>
      <c r="C7153" s="30" t="s">
        <v>46</v>
      </c>
      <c r="D7153" s="30" t="s">
        <v>47</v>
      </c>
      <c r="E7153" s="31" t="s">
        <v>651</v>
      </c>
      <c r="F7153" s="31" t="s">
        <v>223</v>
      </c>
      <c r="G7153" s="32" t="s">
        <v>50</v>
      </c>
      <c r="H7153" s="33">
        <v>59495</v>
      </c>
      <c r="I7153" s="34">
        <f>Table3[[#This Row],[Volume, kg.]]/1000</f>
        <v>59.494999999999997</v>
      </c>
      <c r="J7153" s="34">
        <v>0.2369</v>
      </c>
      <c r="K7153" s="34">
        <f t="shared" si="224"/>
        <v>14094.3655</v>
      </c>
      <c r="L7153" s="34">
        <v>3.04</v>
      </c>
      <c r="M7153" s="34">
        <v>180917.3</v>
      </c>
      <c r="N7153" s="34">
        <f t="shared" si="225"/>
        <v>12.832418742085268</v>
      </c>
    </row>
    <row r="7154" spans="1:14" x14ac:dyDescent="0.45">
      <c r="A7154" s="30">
        <v>2026</v>
      </c>
      <c r="B7154" s="30" t="s">
        <v>11</v>
      </c>
      <c r="C7154" s="30" t="s">
        <v>46</v>
      </c>
      <c r="D7154" s="30" t="s">
        <v>47</v>
      </c>
      <c r="E7154" s="31" t="s">
        <v>670</v>
      </c>
      <c r="F7154" s="31" t="s">
        <v>81</v>
      </c>
      <c r="G7154" s="32" t="s">
        <v>50</v>
      </c>
      <c r="H7154" s="33">
        <v>17134</v>
      </c>
      <c r="I7154" s="34">
        <f>Table3[[#This Row],[Volume, kg.]]/1000</f>
        <v>17.134</v>
      </c>
      <c r="J7154" s="34">
        <v>0.21049999999999999</v>
      </c>
      <c r="K7154" s="34">
        <f t="shared" si="224"/>
        <v>3606.7069999999999</v>
      </c>
      <c r="L7154" s="34">
        <v>3.05</v>
      </c>
      <c r="M7154" s="34">
        <v>52258.7</v>
      </c>
      <c r="N7154" s="34">
        <f t="shared" si="225"/>
        <v>14.489311163895486</v>
      </c>
    </row>
    <row r="7155" spans="1:14" x14ac:dyDescent="0.45">
      <c r="A7155" s="30">
        <v>2026</v>
      </c>
      <c r="B7155" s="30" t="s">
        <v>11</v>
      </c>
      <c r="C7155" s="30" t="s">
        <v>46</v>
      </c>
      <c r="D7155" s="30" t="s">
        <v>47</v>
      </c>
      <c r="E7155" s="31" t="s">
        <v>676</v>
      </c>
      <c r="F7155" s="31" t="s">
        <v>60</v>
      </c>
      <c r="G7155" s="32" t="s">
        <v>50</v>
      </c>
      <c r="H7155" s="33">
        <v>8593</v>
      </c>
      <c r="I7155" s="34">
        <f>Table3[[#This Row],[Volume, kg.]]/1000</f>
        <v>8.593</v>
      </c>
      <c r="J7155" s="34">
        <v>0.27200000000000002</v>
      </c>
      <c r="K7155" s="34">
        <f t="shared" si="224"/>
        <v>2337.2960000000003</v>
      </c>
      <c r="L7155" s="34">
        <v>3.35</v>
      </c>
      <c r="M7155" s="34">
        <v>28786.55</v>
      </c>
      <c r="N7155" s="34">
        <f t="shared" si="225"/>
        <v>12.316176470588236</v>
      </c>
    </row>
    <row r="7156" spans="1:14" x14ac:dyDescent="0.45">
      <c r="A7156" s="30">
        <v>2026</v>
      </c>
      <c r="B7156" s="30" t="s">
        <v>11</v>
      </c>
      <c r="C7156" s="30" t="s">
        <v>46</v>
      </c>
      <c r="D7156" s="30" t="s">
        <v>102</v>
      </c>
      <c r="E7156" s="31" t="s">
        <v>697</v>
      </c>
      <c r="F7156" s="31" t="s">
        <v>107</v>
      </c>
      <c r="G7156" s="32" t="s">
        <v>108</v>
      </c>
      <c r="H7156" s="33">
        <v>50350</v>
      </c>
      <c r="I7156" s="34">
        <f>Table3[[#This Row],[Volume, kg.]]/1000</f>
        <v>50.35</v>
      </c>
      <c r="J7156" s="34">
        <v>0.1946</v>
      </c>
      <c r="K7156" s="34">
        <f t="shared" si="224"/>
        <v>9798.11</v>
      </c>
      <c r="L7156" s="34">
        <v>2.92</v>
      </c>
      <c r="M7156" s="34">
        <v>147183.5</v>
      </c>
      <c r="N7156" s="34">
        <f t="shared" si="225"/>
        <v>15.00513874614594</v>
      </c>
    </row>
    <row r="7157" spans="1:14" x14ac:dyDescent="0.45">
      <c r="A7157" s="30">
        <v>2026</v>
      </c>
      <c r="B7157" s="30" t="s">
        <v>11</v>
      </c>
      <c r="C7157" s="30" t="s">
        <v>46</v>
      </c>
      <c r="D7157" s="30" t="s">
        <v>102</v>
      </c>
      <c r="E7157" s="31" t="s">
        <v>702</v>
      </c>
      <c r="F7157" s="31" t="s">
        <v>189</v>
      </c>
      <c r="G7157" s="32" t="s">
        <v>128</v>
      </c>
      <c r="H7157" s="33">
        <v>398910</v>
      </c>
      <c r="I7157" s="34">
        <f>Table3[[#This Row],[Volume, kg.]]/1000</f>
        <v>398.91</v>
      </c>
      <c r="J7157" s="34">
        <v>0.19689999999999999</v>
      </c>
      <c r="K7157" s="34">
        <f t="shared" si="224"/>
        <v>78545.379000000001</v>
      </c>
      <c r="L7157" s="34">
        <v>3.38</v>
      </c>
      <c r="M7157" s="34">
        <v>1348192</v>
      </c>
      <c r="N7157" s="34">
        <f t="shared" si="225"/>
        <v>17.166074149314372</v>
      </c>
    </row>
    <row r="7158" spans="1:14" x14ac:dyDescent="0.45">
      <c r="A7158" s="30">
        <v>2026</v>
      </c>
      <c r="B7158" s="30" t="s">
        <v>11</v>
      </c>
      <c r="C7158" s="30" t="s">
        <v>46</v>
      </c>
      <c r="D7158" s="30" t="s">
        <v>102</v>
      </c>
      <c r="E7158" s="31" t="s">
        <v>706</v>
      </c>
      <c r="F7158" s="31" t="s">
        <v>349</v>
      </c>
      <c r="G7158" s="32" t="s">
        <v>105</v>
      </c>
      <c r="H7158" s="33">
        <v>29930</v>
      </c>
      <c r="I7158" s="34">
        <f>Table3[[#This Row],[Volume, kg.]]/1000</f>
        <v>29.93</v>
      </c>
      <c r="J7158" s="34">
        <v>0.2445</v>
      </c>
      <c r="K7158" s="34">
        <f t="shared" si="224"/>
        <v>7317.8850000000002</v>
      </c>
      <c r="L7158" s="34">
        <v>3.3</v>
      </c>
      <c r="M7158" s="34">
        <v>98769</v>
      </c>
      <c r="N7158" s="34">
        <f t="shared" si="225"/>
        <v>13.496932515337424</v>
      </c>
    </row>
    <row r="7159" spans="1:14" x14ac:dyDescent="0.45">
      <c r="A7159" s="30">
        <v>2026</v>
      </c>
      <c r="B7159" s="30" t="s">
        <v>11</v>
      </c>
      <c r="C7159" s="30" t="s">
        <v>46</v>
      </c>
      <c r="D7159" s="30" t="s">
        <v>102</v>
      </c>
      <c r="E7159" s="31" t="s">
        <v>732</v>
      </c>
      <c r="F7159" s="31" t="s">
        <v>349</v>
      </c>
      <c r="G7159" s="32" t="s">
        <v>105</v>
      </c>
      <c r="H7159" s="33">
        <v>47960</v>
      </c>
      <c r="I7159" s="34">
        <f>Table3[[#This Row],[Volume, kg.]]/1000</f>
        <v>47.96</v>
      </c>
      <c r="J7159" s="34">
        <v>0.1923</v>
      </c>
      <c r="K7159" s="34">
        <f t="shared" si="224"/>
        <v>9222.7080000000005</v>
      </c>
      <c r="L7159" s="34">
        <v>3.25</v>
      </c>
      <c r="M7159" s="34">
        <v>155870</v>
      </c>
      <c r="N7159" s="34">
        <f t="shared" si="225"/>
        <v>16.900676027041083</v>
      </c>
    </row>
    <row r="7160" spans="1:14" x14ac:dyDescent="0.45">
      <c r="A7160" s="30">
        <v>2026</v>
      </c>
      <c r="B7160" s="30" t="s">
        <v>11</v>
      </c>
      <c r="C7160" s="30" t="s">
        <v>46</v>
      </c>
      <c r="D7160" s="30" t="s">
        <v>102</v>
      </c>
      <c r="E7160" s="31" t="s">
        <v>746</v>
      </c>
      <c r="F7160" s="31" t="s">
        <v>127</v>
      </c>
      <c r="G7160" s="32" t="s">
        <v>128</v>
      </c>
      <c r="H7160" s="33">
        <v>98660</v>
      </c>
      <c r="I7160" s="34">
        <f>Table3[[#This Row],[Volume, kg.]]/1000</f>
        <v>98.66</v>
      </c>
      <c r="J7160" s="34">
        <v>0.21929999999999999</v>
      </c>
      <c r="K7160" s="34">
        <f t="shared" si="224"/>
        <v>21636.137999999999</v>
      </c>
      <c r="L7160" s="34">
        <v>3.21</v>
      </c>
      <c r="M7160" s="34">
        <v>316525</v>
      </c>
      <c r="N7160" s="34">
        <f t="shared" si="225"/>
        <v>14.637482900136799</v>
      </c>
    </row>
    <row r="7161" spans="1:14" x14ac:dyDescent="0.45">
      <c r="A7161" s="30">
        <v>2026</v>
      </c>
      <c r="B7161" s="30" t="s">
        <v>11</v>
      </c>
      <c r="C7161" s="30" t="s">
        <v>46</v>
      </c>
      <c r="D7161" s="30" t="s">
        <v>102</v>
      </c>
      <c r="E7161" s="31" t="s">
        <v>765</v>
      </c>
      <c r="F7161" s="31" t="s">
        <v>766</v>
      </c>
      <c r="G7161" s="32" t="s">
        <v>789</v>
      </c>
      <c r="H7161" s="33">
        <v>86530</v>
      </c>
      <c r="I7161" s="34">
        <f>Table3[[#This Row],[Volume, kg.]]/1000</f>
        <v>86.53</v>
      </c>
      <c r="J7161" s="34">
        <v>0.2175</v>
      </c>
      <c r="K7161" s="34">
        <f t="shared" si="224"/>
        <v>18820.275000000001</v>
      </c>
      <c r="L7161" s="34">
        <v>3.12</v>
      </c>
      <c r="M7161" s="34">
        <v>269630</v>
      </c>
      <c r="N7161" s="34">
        <f t="shared" si="225"/>
        <v>14.344827586206897</v>
      </c>
    </row>
    <row r="7162" spans="1:14" x14ac:dyDescent="0.45">
      <c r="A7162" s="30">
        <v>2026</v>
      </c>
      <c r="B7162" s="30" t="s">
        <v>11</v>
      </c>
      <c r="C7162" s="30" t="s">
        <v>46</v>
      </c>
      <c r="D7162" s="30" t="s">
        <v>102</v>
      </c>
      <c r="E7162" s="31" t="s">
        <v>775</v>
      </c>
      <c r="F7162" s="31" t="s">
        <v>340</v>
      </c>
      <c r="G7162" s="32" t="s">
        <v>341</v>
      </c>
      <c r="H7162" s="33">
        <v>161120</v>
      </c>
      <c r="I7162" s="34">
        <f>Table3[[#This Row],[Volume, kg.]]/1000</f>
        <v>161.12</v>
      </c>
      <c r="J7162" s="34">
        <v>0.2009</v>
      </c>
      <c r="K7162" s="34">
        <f t="shared" si="224"/>
        <v>32369.007999999998</v>
      </c>
      <c r="L7162" s="34">
        <v>3.3</v>
      </c>
      <c r="M7162" s="34">
        <v>531322</v>
      </c>
      <c r="N7162" s="34">
        <f t="shared" si="225"/>
        <v>16.426082628173219</v>
      </c>
    </row>
    <row r="7163" spans="1:14" x14ac:dyDescent="0.45">
      <c r="A7163" s="30">
        <v>2026</v>
      </c>
      <c r="B7163" s="30" t="s">
        <v>11</v>
      </c>
      <c r="C7163" s="30" t="s">
        <v>46</v>
      </c>
      <c r="D7163" s="30" t="s">
        <v>102</v>
      </c>
      <c r="E7163" s="31" t="s">
        <v>778</v>
      </c>
      <c r="F7163" s="31" t="s">
        <v>338</v>
      </c>
      <c r="G7163" s="32" t="s">
        <v>105</v>
      </c>
      <c r="H7163" s="33">
        <v>313390</v>
      </c>
      <c r="I7163" s="34">
        <f>Table3[[#This Row],[Volume, kg.]]/1000</f>
        <v>313.39</v>
      </c>
      <c r="J7163" s="34">
        <v>0.2185</v>
      </c>
      <c r="K7163" s="34">
        <f t="shared" ref="K7163:K7226" si="226">H7163*J7163</f>
        <v>68475.714999999997</v>
      </c>
      <c r="L7163" s="34">
        <v>3.14</v>
      </c>
      <c r="M7163" s="34">
        <v>984155</v>
      </c>
      <c r="N7163" s="34">
        <f t="shared" ref="N7163:N7226" si="227">L7163/J7163</f>
        <v>14.370709382151031</v>
      </c>
    </row>
    <row r="7164" spans="1:14" x14ac:dyDescent="0.45">
      <c r="A7164" s="30">
        <v>2026</v>
      </c>
      <c r="B7164" s="30" t="s">
        <v>11</v>
      </c>
      <c r="C7164" s="30" t="s">
        <v>46</v>
      </c>
      <c r="D7164" s="30" t="s">
        <v>47</v>
      </c>
      <c r="E7164" s="31" t="s">
        <v>784</v>
      </c>
      <c r="F7164" s="31" t="s">
        <v>57</v>
      </c>
      <c r="G7164" s="32" t="s">
        <v>50</v>
      </c>
      <c r="H7164" s="33">
        <v>10394</v>
      </c>
      <c r="I7164" s="34">
        <f>Table3[[#This Row],[Volume, kg.]]/1000</f>
        <v>10.394</v>
      </c>
      <c r="J7164" s="34">
        <v>0.23699999999999999</v>
      </c>
      <c r="K7164" s="34">
        <f t="shared" si="226"/>
        <v>2463.3779999999997</v>
      </c>
      <c r="L7164" s="34">
        <v>2.9</v>
      </c>
      <c r="M7164" s="34">
        <v>30142.6</v>
      </c>
      <c r="N7164" s="34">
        <f t="shared" si="227"/>
        <v>12.236286919831224</v>
      </c>
    </row>
    <row r="7165" spans="1:14" x14ac:dyDescent="0.45">
      <c r="A7165" s="30">
        <v>2026</v>
      </c>
      <c r="B7165" s="30" t="s">
        <v>11</v>
      </c>
      <c r="C7165" s="30" t="s">
        <v>46</v>
      </c>
      <c r="D7165" s="30" t="s">
        <v>102</v>
      </c>
      <c r="E7165" s="31" t="s">
        <v>790</v>
      </c>
      <c r="F7165" s="31" t="s">
        <v>223</v>
      </c>
      <c r="G7165" s="32" t="s">
        <v>50</v>
      </c>
      <c r="H7165" s="33">
        <v>13440</v>
      </c>
      <c r="I7165" s="34">
        <f>Table3[[#This Row],[Volume, kg.]]/1000</f>
        <v>13.44</v>
      </c>
      <c r="J7165" s="34">
        <v>0.20630000000000001</v>
      </c>
      <c r="K7165" s="34">
        <f t="shared" si="226"/>
        <v>2772.672</v>
      </c>
      <c r="L7165" s="34">
        <v>3.25</v>
      </c>
      <c r="M7165" s="34">
        <v>43680</v>
      </c>
      <c r="N7165" s="34">
        <f t="shared" si="227"/>
        <v>15.753756665050895</v>
      </c>
    </row>
    <row r="7166" spans="1:14" x14ac:dyDescent="0.45">
      <c r="A7166" s="30">
        <v>2026</v>
      </c>
      <c r="B7166" s="30" t="s">
        <v>11</v>
      </c>
      <c r="C7166" s="30" t="s">
        <v>46</v>
      </c>
      <c r="D7166" s="30" t="s">
        <v>102</v>
      </c>
      <c r="E7166" s="31" t="s">
        <v>791</v>
      </c>
      <c r="F7166" s="31" t="s">
        <v>238</v>
      </c>
      <c r="G7166" s="32" t="s">
        <v>50</v>
      </c>
      <c r="H7166" s="33">
        <v>56920</v>
      </c>
      <c r="I7166" s="34">
        <f>Table3[[#This Row],[Volume, kg.]]/1000</f>
        <v>56.92</v>
      </c>
      <c r="J7166" s="34">
        <v>0.1862</v>
      </c>
      <c r="K7166" s="34">
        <f t="shared" si="226"/>
        <v>10598.504000000001</v>
      </c>
      <c r="L7166" s="34">
        <v>3.13</v>
      </c>
      <c r="M7166" s="34">
        <v>177977.5</v>
      </c>
      <c r="N7166" s="34">
        <f t="shared" si="227"/>
        <v>16.809881847475832</v>
      </c>
    </row>
    <row r="7167" spans="1:14" x14ac:dyDescent="0.45">
      <c r="A7167" s="30">
        <v>2026</v>
      </c>
      <c r="B7167" s="30" t="s">
        <v>12</v>
      </c>
      <c r="C7167" s="30" t="s">
        <v>46</v>
      </c>
      <c r="D7167" s="40" t="str">
        <f>VLOOKUP(Table3[[#This Row],[Vendor]],[1]Name.KSN!$C$2:$F$741,4,0)</f>
        <v>Broker</v>
      </c>
      <c r="E7167" s="31" t="s">
        <v>188</v>
      </c>
      <c r="F7167" s="31" t="s">
        <v>189</v>
      </c>
      <c r="G7167" s="32" t="s">
        <v>128</v>
      </c>
      <c r="H7167" s="33">
        <v>85590</v>
      </c>
      <c r="I7167" s="34">
        <f>Table3[[#This Row],[Volume, kg.]]/1000</f>
        <v>85.59</v>
      </c>
      <c r="J7167" s="34">
        <v>0.21239999999999998</v>
      </c>
      <c r="K7167" s="34">
        <f t="shared" si="226"/>
        <v>18179.315999999999</v>
      </c>
      <c r="L7167" s="34">
        <v>3.27</v>
      </c>
      <c r="M7167" s="34">
        <v>279592.5</v>
      </c>
      <c r="N7167" s="34">
        <f t="shared" si="227"/>
        <v>15.395480225988702</v>
      </c>
    </row>
    <row r="7168" spans="1:14" x14ac:dyDescent="0.45">
      <c r="A7168" s="30">
        <v>2026</v>
      </c>
      <c r="B7168" s="30" t="s">
        <v>12</v>
      </c>
      <c r="C7168" s="30" t="s">
        <v>46</v>
      </c>
      <c r="D7168" s="40" t="str">
        <f>VLOOKUP(Table3[[#This Row],[Vendor]],[1]Name.KSN!$C$2:$F$741,4,0)</f>
        <v>Broker</v>
      </c>
      <c r="E7168" s="31" t="s">
        <v>222</v>
      </c>
      <c r="F7168" s="31" t="s">
        <v>223</v>
      </c>
      <c r="G7168" s="32" t="s">
        <v>50</v>
      </c>
      <c r="H7168" s="33">
        <v>857700</v>
      </c>
      <c r="I7168" s="34">
        <f>Table3[[#This Row],[Volume, kg.]]/1000</f>
        <v>857.7</v>
      </c>
      <c r="J7168" s="34">
        <v>0.18410000000000001</v>
      </c>
      <c r="K7168" s="34">
        <f t="shared" si="226"/>
        <v>157902.57</v>
      </c>
      <c r="L7168" s="34">
        <v>3.18</v>
      </c>
      <c r="M7168" s="34">
        <v>2728879</v>
      </c>
      <c r="N7168" s="34">
        <f t="shared" si="227"/>
        <v>17.273221075502445</v>
      </c>
    </row>
    <row r="7169" spans="1:14" x14ac:dyDescent="0.45">
      <c r="A7169" s="30">
        <v>2026</v>
      </c>
      <c r="B7169" s="30" t="s">
        <v>12</v>
      </c>
      <c r="C7169" s="30" t="s">
        <v>46</v>
      </c>
      <c r="D7169" s="40" t="str">
        <f>VLOOKUP(Table3[[#This Row],[Vendor]],[1]Name.KSN!$C$2:$F$741,4,0)</f>
        <v>Farmer</v>
      </c>
      <c r="E7169" s="31" t="s">
        <v>213</v>
      </c>
      <c r="F7169" s="31" t="s">
        <v>49</v>
      </c>
      <c r="G7169" s="32" t="s">
        <v>50</v>
      </c>
      <c r="H7169" s="33">
        <v>6398</v>
      </c>
      <c r="I7169" s="34">
        <f>Table3[[#This Row],[Volume, kg.]]/1000</f>
        <v>6.3979999999999997</v>
      </c>
      <c r="J7169" s="34">
        <v>0.17800000000000002</v>
      </c>
      <c r="K7169" s="34">
        <f t="shared" si="226"/>
        <v>1138.8440000000001</v>
      </c>
      <c r="L7169" s="34">
        <v>2.95</v>
      </c>
      <c r="M7169" s="34">
        <v>18874.099999999999</v>
      </c>
      <c r="N7169" s="34">
        <f t="shared" si="227"/>
        <v>16.573033707865168</v>
      </c>
    </row>
    <row r="7170" spans="1:14" x14ac:dyDescent="0.45">
      <c r="A7170" s="30">
        <v>2026</v>
      </c>
      <c r="B7170" s="30" t="s">
        <v>12</v>
      </c>
      <c r="C7170" s="30" t="s">
        <v>46</v>
      </c>
      <c r="D7170" s="40" t="str">
        <f>VLOOKUP(Table3[[#This Row],[Vendor]],[1]Name.KSN!$C$2:$F$741,4,0)</f>
        <v>Farmer</v>
      </c>
      <c r="E7170" s="31" t="s">
        <v>69</v>
      </c>
      <c r="F7170" s="31" t="s">
        <v>49</v>
      </c>
      <c r="G7170" s="32" t="s">
        <v>50</v>
      </c>
      <c r="H7170" s="33">
        <v>18159</v>
      </c>
      <c r="I7170" s="34">
        <f>Table3[[#This Row],[Volume, kg.]]/1000</f>
        <v>18.158999999999999</v>
      </c>
      <c r="J7170" s="34">
        <v>0.21309999999999998</v>
      </c>
      <c r="K7170" s="34">
        <f t="shared" si="226"/>
        <v>3869.6828999999998</v>
      </c>
      <c r="L7170" s="34">
        <v>3.07</v>
      </c>
      <c r="M7170" s="34">
        <v>55718.25</v>
      </c>
      <c r="N7170" s="34">
        <f t="shared" si="227"/>
        <v>14.406381980290943</v>
      </c>
    </row>
    <row r="7171" spans="1:14" x14ac:dyDescent="0.45">
      <c r="A7171" s="30">
        <v>2026</v>
      </c>
      <c r="B7171" s="30" t="s">
        <v>12</v>
      </c>
      <c r="C7171" s="30" t="s">
        <v>46</v>
      </c>
      <c r="D7171" s="40" t="str">
        <f>VLOOKUP(Table3[[#This Row],[Vendor]],[1]Name.KSN!$C$2:$F$741,4,0)</f>
        <v>Farmer</v>
      </c>
      <c r="E7171" s="31" t="s">
        <v>326</v>
      </c>
      <c r="F7171" s="31" t="s">
        <v>57</v>
      </c>
      <c r="G7171" s="32" t="s">
        <v>50</v>
      </c>
      <c r="H7171" s="33">
        <v>32809</v>
      </c>
      <c r="I7171" s="34">
        <f>Table3[[#This Row],[Volume, kg.]]/1000</f>
        <v>32.808999999999997</v>
      </c>
      <c r="J7171" s="34">
        <v>0.1968</v>
      </c>
      <c r="K7171" s="34">
        <f t="shared" si="226"/>
        <v>6456.8112000000001</v>
      </c>
      <c r="L7171" s="34">
        <v>3.03</v>
      </c>
      <c r="M7171" s="34">
        <v>99237.1</v>
      </c>
      <c r="N7171" s="34">
        <f t="shared" si="227"/>
        <v>15.396341463414632</v>
      </c>
    </row>
    <row r="7172" spans="1:14" x14ac:dyDescent="0.45">
      <c r="A7172" s="30">
        <v>2026</v>
      </c>
      <c r="B7172" s="30" t="s">
        <v>12</v>
      </c>
      <c r="C7172" s="30" t="s">
        <v>46</v>
      </c>
      <c r="D7172" s="40" t="str">
        <f>VLOOKUP(Table3[[#This Row],[Vendor]],[1]Name.KSN!$C$2:$F$741,4,0)</f>
        <v>Farmer</v>
      </c>
      <c r="E7172" s="31" t="s">
        <v>85</v>
      </c>
      <c r="F7172" s="31" t="s">
        <v>49</v>
      </c>
      <c r="G7172" s="32" t="s">
        <v>50</v>
      </c>
      <c r="H7172" s="33">
        <v>23446</v>
      </c>
      <c r="I7172" s="34">
        <f>Table3[[#This Row],[Volume, kg.]]/1000</f>
        <v>23.446000000000002</v>
      </c>
      <c r="J7172" s="34">
        <v>0.19239999999999999</v>
      </c>
      <c r="K7172" s="34">
        <f t="shared" si="226"/>
        <v>4511.0104000000001</v>
      </c>
      <c r="L7172" s="34">
        <v>3.02</v>
      </c>
      <c r="M7172" s="34">
        <v>70792.45</v>
      </c>
      <c r="N7172" s="34">
        <f t="shared" si="227"/>
        <v>15.696465696465697</v>
      </c>
    </row>
    <row r="7173" spans="1:14" x14ac:dyDescent="0.45">
      <c r="A7173" s="30">
        <v>2026</v>
      </c>
      <c r="B7173" s="30" t="s">
        <v>12</v>
      </c>
      <c r="C7173" s="30" t="s">
        <v>46</v>
      </c>
      <c r="D7173" s="40" t="str">
        <f>VLOOKUP(Table3[[#This Row],[Vendor]],[1]Name.KSN!$C$2:$F$741,4,0)</f>
        <v>Farmer</v>
      </c>
      <c r="E7173" s="31" t="s">
        <v>208</v>
      </c>
      <c r="F7173" s="31" t="s">
        <v>49</v>
      </c>
      <c r="G7173" s="32" t="s">
        <v>50</v>
      </c>
      <c r="H7173" s="33">
        <v>15567</v>
      </c>
      <c r="I7173" s="34">
        <f>Table3[[#This Row],[Volume, kg.]]/1000</f>
        <v>15.567</v>
      </c>
      <c r="J7173" s="34">
        <v>0.19239999999999999</v>
      </c>
      <c r="K7173" s="34">
        <f t="shared" si="226"/>
        <v>2995.0907999999999</v>
      </c>
      <c r="L7173" s="34">
        <v>3.02</v>
      </c>
      <c r="M7173" s="34">
        <v>46953.15</v>
      </c>
      <c r="N7173" s="34">
        <f t="shared" si="227"/>
        <v>15.696465696465697</v>
      </c>
    </row>
    <row r="7174" spans="1:14" x14ac:dyDescent="0.45">
      <c r="A7174" s="30">
        <v>2026</v>
      </c>
      <c r="B7174" s="30" t="s">
        <v>12</v>
      </c>
      <c r="C7174" s="30" t="s">
        <v>46</v>
      </c>
      <c r="D7174" s="40" t="str">
        <f>VLOOKUP(Table3[[#This Row],[Vendor]],[1]Name.KSN!$C$2:$F$741,4,0)</f>
        <v>Farmer</v>
      </c>
      <c r="E7174" s="31" t="s">
        <v>65</v>
      </c>
      <c r="F7174" s="31" t="s">
        <v>49</v>
      </c>
      <c r="G7174" s="32" t="s">
        <v>50</v>
      </c>
      <c r="H7174" s="33">
        <v>4730</v>
      </c>
      <c r="I7174" s="34">
        <f>Table3[[#This Row],[Volume, kg.]]/1000</f>
        <v>4.7300000000000004</v>
      </c>
      <c r="J7174" s="34">
        <v>0.20850000000000002</v>
      </c>
      <c r="K7174" s="34">
        <f t="shared" si="226"/>
        <v>986.20500000000004</v>
      </c>
      <c r="L7174" s="34">
        <v>3.05</v>
      </c>
      <c r="M7174" s="34">
        <v>14426.5</v>
      </c>
      <c r="N7174" s="34">
        <f t="shared" si="227"/>
        <v>14.62829736211031</v>
      </c>
    </row>
    <row r="7175" spans="1:14" x14ac:dyDescent="0.45">
      <c r="A7175" s="30">
        <v>2026</v>
      </c>
      <c r="B7175" s="30" t="s">
        <v>12</v>
      </c>
      <c r="C7175" s="30" t="s">
        <v>46</v>
      </c>
      <c r="D7175" s="40" t="str">
        <f>VLOOKUP(Table3[[#This Row],[Vendor]],[1]Name.KSN!$C$2:$F$741,4,0)</f>
        <v>Farmer</v>
      </c>
      <c r="E7175" s="31" t="s">
        <v>245</v>
      </c>
      <c r="F7175" s="31" t="s">
        <v>57</v>
      </c>
      <c r="G7175" s="32" t="s">
        <v>50</v>
      </c>
      <c r="H7175" s="33">
        <v>11191</v>
      </c>
      <c r="I7175" s="34">
        <f>Table3[[#This Row],[Volume, kg.]]/1000</f>
        <v>11.191000000000001</v>
      </c>
      <c r="J7175" s="34">
        <v>0.21010000000000001</v>
      </c>
      <c r="K7175" s="34">
        <f t="shared" si="226"/>
        <v>2351.2291</v>
      </c>
      <c r="L7175" s="34">
        <v>3.12</v>
      </c>
      <c r="M7175" s="34">
        <v>34894.199999999997</v>
      </c>
      <c r="N7175" s="34">
        <f t="shared" si="227"/>
        <v>14.850071394574012</v>
      </c>
    </row>
    <row r="7176" spans="1:14" x14ac:dyDescent="0.45">
      <c r="A7176" s="30">
        <v>2026</v>
      </c>
      <c r="B7176" s="30" t="s">
        <v>12</v>
      </c>
      <c r="C7176" s="30" t="s">
        <v>46</v>
      </c>
      <c r="D7176" s="40" t="str">
        <f>VLOOKUP(Table3[[#This Row],[Vendor]],[1]Name.KSN!$C$2:$F$741,4,0)</f>
        <v>Farmer</v>
      </c>
      <c r="E7176" s="31" t="s">
        <v>655</v>
      </c>
      <c r="F7176" s="31" t="s">
        <v>49</v>
      </c>
      <c r="G7176" s="32" t="s">
        <v>50</v>
      </c>
      <c r="H7176" s="33">
        <v>20054</v>
      </c>
      <c r="I7176" s="34">
        <f>Table3[[#This Row],[Volume, kg.]]/1000</f>
        <v>20.053999999999998</v>
      </c>
      <c r="J7176" s="34">
        <v>0.23129999999999998</v>
      </c>
      <c r="K7176" s="34">
        <f t="shared" si="226"/>
        <v>4638.4901999999993</v>
      </c>
      <c r="L7176" s="34">
        <v>3.22</v>
      </c>
      <c r="M7176" s="34">
        <v>64618</v>
      </c>
      <c r="N7176" s="34">
        <f t="shared" si="227"/>
        <v>13.921314310419371</v>
      </c>
    </row>
    <row r="7177" spans="1:14" x14ac:dyDescent="0.45">
      <c r="A7177" s="30">
        <v>2026</v>
      </c>
      <c r="B7177" s="30" t="s">
        <v>12</v>
      </c>
      <c r="C7177" s="30" t="s">
        <v>46</v>
      </c>
      <c r="D7177" s="40" t="str">
        <f>VLOOKUP(Table3[[#This Row],[Vendor]],[1]Name.KSN!$C$2:$F$741,4,0)</f>
        <v>Farmer</v>
      </c>
      <c r="E7177" s="31" t="s">
        <v>174</v>
      </c>
      <c r="F7177" s="31" t="s">
        <v>57</v>
      </c>
      <c r="G7177" s="32" t="s">
        <v>50</v>
      </c>
      <c r="H7177" s="33">
        <v>7787</v>
      </c>
      <c r="I7177" s="34">
        <f>Table3[[#This Row],[Volume, kg.]]/1000</f>
        <v>7.7869999999999999</v>
      </c>
      <c r="J7177" s="34">
        <v>0.1943</v>
      </c>
      <c r="K7177" s="34">
        <f t="shared" si="226"/>
        <v>1513.0141000000001</v>
      </c>
      <c r="L7177" s="34">
        <v>3.02</v>
      </c>
      <c r="M7177" s="34">
        <v>23537.75</v>
      </c>
      <c r="N7177" s="34">
        <f t="shared" si="227"/>
        <v>15.542974781266084</v>
      </c>
    </row>
    <row r="7178" spans="1:14" x14ac:dyDescent="0.45">
      <c r="A7178" s="30">
        <v>2026</v>
      </c>
      <c r="B7178" s="30" t="s">
        <v>12</v>
      </c>
      <c r="C7178" s="30" t="s">
        <v>46</v>
      </c>
      <c r="D7178" s="40" t="str">
        <f>VLOOKUP(Table3[[#This Row],[Vendor]],[1]Name.KSN!$C$2:$F$741,4,0)</f>
        <v>Farmer</v>
      </c>
      <c r="E7178" s="31" t="s">
        <v>179</v>
      </c>
      <c r="F7178" s="31" t="s">
        <v>60</v>
      </c>
      <c r="G7178" s="32" t="s">
        <v>50</v>
      </c>
      <c r="H7178" s="33">
        <v>3198</v>
      </c>
      <c r="I7178" s="34">
        <f>Table3[[#This Row],[Volume, kg.]]/1000</f>
        <v>3.198</v>
      </c>
      <c r="J7178" s="34">
        <v>0.2545</v>
      </c>
      <c r="K7178" s="34">
        <f t="shared" si="226"/>
        <v>813.89099999999996</v>
      </c>
      <c r="L7178" s="34">
        <v>3.25</v>
      </c>
      <c r="M7178" s="34">
        <v>10393.5</v>
      </c>
      <c r="N7178" s="34">
        <f t="shared" si="227"/>
        <v>12.770137524557956</v>
      </c>
    </row>
    <row r="7179" spans="1:14" x14ac:dyDescent="0.45">
      <c r="A7179" s="30">
        <v>2026</v>
      </c>
      <c r="B7179" s="30" t="s">
        <v>12</v>
      </c>
      <c r="C7179" s="30" t="s">
        <v>46</v>
      </c>
      <c r="D7179" s="40" t="str">
        <f>VLOOKUP(Table3[[#This Row],[Vendor]],[1]Name.KSN!$C$2:$F$741,4,0)</f>
        <v>Farmer</v>
      </c>
      <c r="E7179" s="31" t="s">
        <v>258</v>
      </c>
      <c r="F7179" s="31" t="s">
        <v>49</v>
      </c>
      <c r="G7179" s="32" t="s">
        <v>50</v>
      </c>
      <c r="H7179" s="33">
        <v>88309</v>
      </c>
      <c r="I7179" s="34">
        <f>Table3[[#This Row],[Volume, kg.]]/1000</f>
        <v>88.308999999999997</v>
      </c>
      <c r="J7179" s="34">
        <v>0.19670000000000001</v>
      </c>
      <c r="K7179" s="34">
        <f t="shared" si="226"/>
        <v>17370.380300000001</v>
      </c>
      <c r="L7179" s="34">
        <v>3.02</v>
      </c>
      <c r="M7179" s="34">
        <v>266517.75</v>
      </c>
      <c r="N7179" s="34">
        <f t="shared" si="227"/>
        <v>15.353329944077274</v>
      </c>
    </row>
    <row r="7180" spans="1:14" x14ac:dyDescent="0.45">
      <c r="A7180" s="30">
        <v>2026</v>
      </c>
      <c r="B7180" s="30" t="s">
        <v>12</v>
      </c>
      <c r="C7180" s="30" t="s">
        <v>46</v>
      </c>
      <c r="D7180" s="40" t="str">
        <f>VLOOKUP(Table3[[#This Row],[Vendor]],[1]Name.KSN!$C$2:$F$741,4,0)</f>
        <v>Farmer</v>
      </c>
      <c r="E7180" s="31" t="s">
        <v>256</v>
      </c>
      <c r="F7180" s="31" t="s">
        <v>81</v>
      </c>
      <c r="G7180" s="32" t="s">
        <v>50</v>
      </c>
      <c r="H7180" s="33">
        <v>18965</v>
      </c>
      <c r="I7180" s="34">
        <f>Table3[[#This Row],[Volume, kg.]]/1000</f>
        <v>18.965</v>
      </c>
      <c r="J7180" s="34">
        <v>0.16760000000000003</v>
      </c>
      <c r="K7180" s="34">
        <f t="shared" si="226"/>
        <v>3178.5340000000006</v>
      </c>
      <c r="L7180" s="34">
        <v>2.85</v>
      </c>
      <c r="M7180" s="34">
        <v>54050.25</v>
      </c>
      <c r="N7180" s="34">
        <f t="shared" si="227"/>
        <v>17.004773269689736</v>
      </c>
    </row>
    <row r="7181" spans="1:14" x14ac:dyDescent="0.45">
      <c r="A7181" s="30">
        <v>2026</v>
      </c>
      <c r="B7181" s="30" t="s">
        <v>12</v>
      </c>
      <c r="C7181" s="30" t="s">
        <v>46</v>
      </c>
      <c r="D7181" s="40" t="str">
        <f>VLOOKUP(Table3[[#This Row],[Vendor]],[1]Name.KSN!$C$2:$F$741,4,0)</f>
        <v>Farmer</v>
      </c>
      <c r="E7181" s="31" t="s">
        <v>379</v>
      </c>
      <c r="F7181" s="31" t="s">
        <v>49</v>
      </c>
      <c r="G7181" s="32" t="s">
        <v>50</v>
      </c>
      <c r="H7181" s="33">
        <v>11763</v>
      </c>
      <c r="I7181" s="34">
        <f>Table3[[#This Row],[Volume, kg.]]/1000</f>
        <v>11.763</v>
      </c>
      <c r="J7181" s="34">
        <v>0.21640000000000001</v>
      </c>
      <c r="K7181" s="34">
        <f t="shared" si="226"/>
        <v>2545.5132000000003</v>
      </c>
      <c r="L7181" s="34">
        <v>3.06</v>
      </c>
      <c r="M7181" s="34">
        <v>36031.9</v>
      </c>
      <c r="N7181" s="34">
        <f t="shared" si="227"/>
        <v>14.140480591497226</v>
      </c>
    </row>
    <row r="7182" spans="1:14" x14ac:dyDescent="0.45">
      <c r="A7182" s="30">
        <v>2026</v>
      </c>
      <c r="B7182" s="30" t="s">
        <v>12</v>
      </c>
      <c r="C7182" s="30" t="s">
        <v>46</v>
      </c>
      <c r="D7182" s="40" t="str">
        <f>VLOOKUP(Table3[[#This Row],[Vendor]],[1]Name.KSN!$C$2:$F$741,4,0)</f>
        <v>Farmer</v>
      </c>
      <c r="E7182" s="31" t="s">
        <v>164</v>
      </c>
      <c r="F7182" s="31" t="s">
        <v>49</v>
      </c>
      <c r="G7182" s="32" t="s">
        <v>50</v>
      </c>
      <c r="H7182" s="33">
        <v>39545</v>
      </c>
      <c r="I7182" s="34">
        <f>Table3[[#This Row],[Volume, kg.]]/1000</f>
        <v>39.545000000000002</v>
      </c>
      <c r="J7182" s="34">
        <v>0.1971</v>
      </c>
      <c r="K7182" s="34">
        <f t="shared" si="226"/>
        <v>7794.3194999999996</v>
      </c>
      <c r="L7182" s="34">
        <v>3.03</v>
      </c>
      <c r="M7182" s="34">
        <v>119826.7</v>
      </c>
      <c r="N7182" s="34">
        <f t="shared" si="227"/>
        <v>15.37290715372907</v>
      </c>
    </row>
    <row r="7183" spans="1:14" x14ac:dyDescent="0.45">
      <c r="A7183" s="30">
        <v>2026</v>
      </c>
      <c r="B7183" s="30" t="s">
        <v>12</v>
      </c>
      <c r="C7183" s="30" t="s">
        <v>46</v>
      </c>
      <c r="D7183" s="40" t="str">
        <f>VLOOKUP(Table3[[#This Row],[Vendor]],[1]Name.KSN!$C$2:$F$741,4,0)</f>
        <v>Farmer</v>
      </c>
      <c r="E7183" s="31" t="s">
        <v>534</v>
      </c>
      <c r="F7183" s="31" t="s">
        <v>49</v>
      </c>
      <c r="G7183" s="32" t="s">
        <v>50</v>
      </c>
      <c r="H7183" s="33">
        <v>7845</v>
      </c>
      <c r="I7183" s="34">
        <f>Table3[[#This Row],[Volume, kg.]]/1000</f>
        <v>7.8449999999999998</v>
      </c>
      <c r="J7183" s="34">
        <v>0.17249999999999999</v>
      </c>
      <c r="K7183" s="34">
        <f t="shared" si="226"/>
        <v>1353.2624999999998</v>
      </c>
      <c r="L7183" s="34">
        <v>2.9</v>
      </c>
      <c r="M7183" s="34">
        <v>22750.5</v>
      </c>
      <c r="N7183" s="34">
        <f t="shared" si="227"/>
        <v>16.811594202898551</v>
      </c>
    </row>
    <row r="7184" spans="1:14" x14ac:dyDescent="0.45">
      <c r="A7184" s="30">
        <v>2026</v>
      </c>
      <c r="B7184" s="30" t="s">
        <v>12</v>
      </c>
      <c r="C7184" s="30" t="s">
        <v>46</v>
      </c>
      <c r="D7184" s="40" t="str">
        <f>VLOOKUP(Table3[[#This Row],[Vendor]],[1]Name.KSN!$C$2:$F$741,4,0)</f>
        <v>Farmer</v>
      </c>
      <c r="E7184" s="31" t="s">
        <v>294</v>
      </c>
      <c r="F7184" s="31" t="s">
        <v>81</v>
      </c>
      <c r="G7184" s="32" t="s">
        <v>50</v>
      </c>
      <c r="H7184" s="33">
        <v>28107</v>
      </c>
      <c r="I7184" s="34">
        <f>Table3[[#This Row],[Volume, kg.]]/1000</f>
        <v>28.106999999999999</v>
      </c>
      <c r="J7184" s="34">
        <v>0.21030000000000001</v>
      </c>
      <c r="K7184" s="34">
        <f t="shared" si="226"/>
        <v>5910.9021000000002</v>
      </c>
      <c r="L7184" s="34">
        <v>3.06</v>
      </c>
      <c r="M7184" s="34">
        <v>86084.7</v>
      </c>
      <c r="N7184" s="34">
        <f t="shared" si="227"/>
        <v>14.55064194008559</v>
      </c>
    </row>
    <row r="7185" spans="1:14" x14ac:dyDescent="0.45">
      <c r="A7185" s="30">
        <v>2026</v>
      </c>
      <c r="B7185" s="30" t="s">
        <v>12</v>
      </c>
      <c r="C7185" s="30" t="s">
        <v>46</v>
      </c>
      <c r="D7185" s="40" t="str">
        <f>VLOOKUP(Table3[[#This Row],[Vendor]],[1]Name.KSN!$C$2:$F$741,4,0)</f>
        <v>Farmer</v>
      </c>
      <c r="E7185" s="31" t="s">
        <v>358</v>
      </c>
      <c r="F7185" s="31" t="s">
        <v>60</v>
      </c>
      <c r="G7185" s="32" t="s">
        <v>50</v>
      </c>
      <c r="H7185" s="33">
        <v>9664</v>
      </c>
      <c r="I7185" s="34">
        <f>Table3[[#This Row],[Volume, kg.]]/1000</f>
        <v>9.6639999999999997</v>
      </c>
      <c r="J7185" s="34">
        <v>0.20629999999999998</v>
      </c>
      <c r="K7185" s="34">
        <f t="shared" si="226"/>
        <v>1993.6831999999999</v>
      </c>
      <c r="L7185" s="34">
        <v>3.04</v>
      </c>
      <c r="M7185" s="34">
        <v>29340.9</v>
      </c>
      <c r="N7185" s="34">
        <f t="shared" si="227"/>
        <v>14.735821619001456</v>
      </c>
    </row>
    <row r="7186" spans="1:14" x14ac:dyDescent="0.45">
      <c r="A7186" s="30">
        <v>2026</v>
      </c>
      <c r="B7186" s="30" t="s">
        <v>12</v>
      </c>
      <c r="C7186" s="30" t="s">
        <v>46</v>
      </c>
      <c r="D7186" s="40" t="str">
        <f>VLOOKUP(Table3[[#This Row],[Vendor]],[1]Name.KSN!$C$2:$F$741,4,0)</f>
        <v>Farmer</v>
      </c>
      <c r="E7186" s="31" t="s">
        <v>429</v>
      </c>
      <c r="F7186" s="31" t="s">
        <v>54</v>
      </c>
      <c r="G7186" s="32" t="s">
        <v>50</v>
      </c>
      <c r="H7186" s="33">
        <v>3123</v>
      </c>
      <c r="I7186" s="34">
        <f>Table3[[#This Row],[Volume, kg.]]/1000</f>
        <v>3.1230000000000002</v>
      </c>
      <c r="J7186" s="34">
        <v>0.26150000000000001</v>
      </c>
      <c r="K7186" s="34">
        <f t="shared" si="226"/>
        <v>816.66449999999998</v>
      </c>
      <c r="L7186" s="34">
        <v>3.3</v>
      </c>
      <c r="M7186" s="34">
        <v>10305.9</v>
      </c>
      <c r="N7186" s="34">
        <f t="shared" si="227"/>
        <v>12.619502868068832</v>
      </c>
    </row>
    <row r="7187" spans="1:14" x14ac:dyDescent="0.45">
      <c r="A7187" s="30">
        <v>2026</v>
      </c>
      <c r="B7187" s="30" t="s">
        <v>12</v>
      </c>
      <c r="C7187" s="30" t="s">
        <v>46</v>
      </c>
      <c r="D7187" s="40" t="str">
        <f>VLOOKUP(Table3[[#This Row],[Vendor]],[1]Name.KSN!$C$2:$F$741,4,0)</f>
        <v>Farmer</v>
      </c>
      <c r="E7187" s="31" t="s">
        <v>187</v>
      </c>
      <c r="F7187" s="31" t="s">
        <v>54</v>
      </c>
      <c r="G7187" s="32" t="s">
        <v>50</v>
      </c>
      <c r="H7187" s="33">
        <v>58923</v>
      </c>
      <c r="I7187" s="34">
        <f>Table3[[#This Row],[Volume, kg.]]/1000</f>
        <v>58.923000000000002</v>
      </c>
      <c r="J7187" s="34">
        <v>0.19289999999999999</v>
      </c>
      <c r="K7187" s="34">
        <f t="shared" si="226"/>
        <v>11366.2467</v>
      </c>
      <c r="L7187" s="34">
        <v>3.03</v>
      </c>
      <c r="M7187" s="34">
        <v>178336.45</v>
      </c>
      <c r="N7187" s="34">
        <f t="shared" si="227"/>
        <v>15.707620528771384</v>
      </c>
    </row>
    <row r="7188" spans="1:14" x14ac:dyDescent="0.45">
      <c r="A7188" s="30">
        <v>2026</v>
      </c>
      <c r="B7188" s="30" t="s">
        <v>12</v>
      </c>
      <c r="C7188" s="30" t="s">
        <v>46</v>
      </c>
      <c r="D7188" s="40" t="str">
        <f>VLOOKUP(Table3[[#This Row],[Vendor]],[1]Name.KSN!$C$2:$F$741,4,0)</f>
        <v>Farmer</v>
      </c>
      <c r="E7188" s="31" t="s">
        <v>352</v>
      </c>
      <c r="F7188" s="31" t="s">
        <v>54</v>
      </c>
      <c r="G7188" s="32" t="s">
        <v>50</v>
      </c>
      <c r="H7188" s="33">
        <v>21029</v>
      </c>
      <c r="I7188" s="34">
        <f>Table3[[#This Row],[Volume, kg.]]/1000</f>
        <v>21.029</v>
      </c>
      <c r="J7188" s="34">
        <v>0.20980000000000001</v>
      </c>
      <c r="K7188" s="34">
        <f t="shared" si="226"/>
        <v>4411.8842000000004</v>
      </c>
      <c r="L7188" s="34">
        <v>3.09</v>
      </c>
      <c r="M7188" s="34">
        <v>65060.2</v>
      </c>
      <c r="N7188" s="34">
        <f t="shared" si="227"/>
        <v>14.728312678741657</v>
      </c>
    </row>
    <row r="7189" spans="1:14" x14ac:dyDescent="0.45">
      <c r="A7189" s="30">
        <v>2026</v>
      </c>
      <c r="B7189" s="30" t="s">
        <v>12</v>
      </c>
      <c r="C7189" s="30" t="s">
        <v>46</v>
      </c>
      <c r="D7189" s="40" t="str">
        <f>VLOOKUP(Table3[[#This Row],[Vendor]],[1]Name.KSN!$C$2:$F$741,4,0)</f>
        <v>Farmer</v>
      </c>
      <c r="E7189" s="31" t="s">
        <v>110</v>
      </c>
      <c r="F7189" s="31" t="s">
        <v>57</v>
      </c>
      <c r="G7189" s="32" t="s">
        <v>50</v>
      </c>
      <c r="H7189" s="33">
        <v>2945</v>
      </c>
      <c r="I7189" s="34">
        <f>Table3[[#This Row],[Volume, kg.]]/1000</f>
        <v>2.9449999999999998</v>
      </c>
      <c r="J7189" s="34">
        <v>0.24399999999999999</v>
      </c>
      <c r="K7189" s="34">
        <f t="shared" si="226"/>
        <v>718.58</v>
      </c>
      <c r="L7189" s="34">
        <v>3.25</v>
      </c>
      <c r="M7189" s="34">
        <v>9571.25</v>
      </c>
      <c r="N7189" s="34">
        <f t="shared" si="227"/>
        <v>13.319672131147541</v>
      </c>
    </row>
    <row r="7190" spans="1:14" x14ac:dyDescent="0.45">
      <c r="A7190" s="30">
        <v>2026</v>
      </c>
      <c r="B7190" s="30" t="s">
        <v>12</v>
      </c>
      <c r="C7190" s="30" t="s">
        <v>46</v>
      </c>
      <c r="D7190" s="40" t="str">
        <f>VLOOKUP(Table3[[#This Row],[Vendor]],[1]Name.KSN!$C$2:$F$741,4,0)</f>
        <v>Farmer</v>
      </c>
      <c r="E7190" s="31" t="s">
        <v>385</v>
      </c>
      <c r="F7190" s="31" t="s">
        <v>57</v>
      </c>
      <c r="G7190" s="32" t="s">
        <v>50</v>
      </c>
      <c r="H7190" s="33">
        <v>17576</v>
      </c>
      <c r="I7190" s="34">
        <f>Table3[[#This Row],[Volume, kg.]]/1000</f>
        <v>17.576000000000001</v>
      </c>
      <c r="J7190" s="34">
        <v>0.20730000000000001</v>
      </c>
      <c r="K7190" s="34">
        <f t="shared" si="226"/>
        <v>3643.5048000000002</v>
      </c>
      <c r="L7190" s="34">
        <v>3.11</v>
      </c>
      <c r="M7190" s="34">
        <v>54605.3</v>
      </c>
      <c r="N7190" s="34">
        <f t="shared" si="227"/>
        <v>15.002411963338156</v>
      </c>
    </row>
    <row r="7191" spans="1:14" x14ac:dyDescent="0.45">
      <c r="A7191" s="30">
        <v>2026</v>
      </c>
      <c r="B7191" s="30" t="s">
        <v>12</v>
      </c>
      <c r="C7191" s="30" t="s">
        <v>46</v>
      </c>
      <c r="D7191" s="40" t="str">
        <f>VLOOKUP(Table3[[#This Row],[Vendor]],[1]Name.KSN!$C$2:$F$741,4,0)</f>
        <v>Farmer</v>
      </c>
      <c r="E7191" s="31" t="s">
        <v>142</v>
      </c>
      <c r="F7191" s="31" t="s">
        <v>57</v>
      </c>
      <c r="G7191" s="32" t="s">
        <v>50</v>
      </c>
      <c r="H7191" s="33">
        <v>56035</v>
      </c>
      <c r="I7191" s="34">
        <f>Table3[[#This Row],[Volume, kg.]]/1000</f>
        <v>56.034999999999997</v>
      </c>
      <c r="J7191" s="34">
        <v>0.21210000000000001</v>
      </c>
      <c r="K7191" s="34">
        <f t="shared" si="226"/>
        <v>11885.023500000001</v>
      </c>
      <c r="L7191" s="34">
        <v>3.1</v>
      </c>
      <c r="M7191" s="34">
        <v>173485.2</v>
      </c>
      <c r="N7191" s="34">
        <f t="shared" si="227"/>
        <v>14.615747289014616</v>
      </c>
    </row>
    <row r="7192" spans="1:14" x14ac:dyDescent="0.45">
      <c r="A7192" s="30">
        <v>2026</v>
      </c>
      <c r="B7192" s="30" t="s">
        <v>12</v>
      </c>
      <c r="C7192" s="30" t="s">
        <v>46</v>
      </c>
      <c r="D7192" s="40" t="str">
        <f>VLOOKUP(Table3[[#This Row],[Vendor]],[1]Name.KSN!$C$2:$F$741,4,0)</f>
        <v>Farmer</v>
      </c>
      <c r="E7192" s="31" t="s">
        <v>451</v>
      </c>
      <c r="F7192" s="31" t="s">
        <v>54</v>
      </c>
      <c r="G7192" s="32" t="s">
        <v>50</v>
      </c>
      <c r="H7192" s="33">
        <v>9638</v>
      </c>
      <c r="I7192" s="34">
        <f>Table3[[#This Row],[Volume, kg.]]/1000</f>
        <v>9.6379999999999999</v>
      </c>
      <c r="J7192" s="34">
        <v>0.21719999999999998</v>
      </c>
      <c r="K7192" s="34">
        <f t="shared" si="226"/>
        <v>2093.3735999999999</v>
      </c>
      <c r="L7192" s="34">
        <v>3.14</v>
      </c>
      <c r="M7192" s="34">
        <v>30222.799999999999</v>
      </c>
      <c r="N7192" s="34">
        <f t="shared" si="227"/>
        <v>14.456721915285453</v>
      </c>
    </row>
    <row r="7193" spans="1:14" x14ac:dyDescent="0.45">
      <c r="A7193" s="30">
        <v>2026</v>
      </c>
      <c r="B7193" s="30" t="s">
        <v>12</v>
      </c>
      <c r="C7193" s="30" t="s">
        <v>46</v>
      </c>
      <c r="D7193" s="40" t="str">
        <f>VLOOKUP(Table3[[#This Row],[Vendor]],[1]Name.KSN!$C$2:$F$741,4,0)</f>
        <v>Farmer</v>
      </c>
      <c r="E7193" s="31" t="s">
        <v>431</v>
      </c>
      <c r="F7193" s="31" t="s">
        <v>49</v>
      </c>
      <c r="G7193" s="32" t="s">
        <v>50</v>
      </c>
      <c r="H7193" s="33">
        <v>23682</v>
      </c>
      <c r="I7193" s="34">
        <f>Table3[[#This Row],[Volume, kg.]]/1000</f>
        <v>23.681999999999999</v>
      </c>
      <c r="J7193" s="34">
        <v>0.17350000000000002</v>
      </c>
      <c r="K7193" s="34">
        <f t="shared" si="226"/>
        <v>4108.8270000000002</v>
      </c>
      <c r="L7193" s="34">
        <v>2.92</v>
      </c>
      <c r="M7193" s="34">
        <v>69207.850000000006</v>
      </c>
      <c r="N7193" s="34">
        <f t="shared" si="227"/>
        <v>16.829971181556193</v>
      </c>
    </row>
    <row r="7194" spans="1:14" x14ac:dyDescent="0.45">
      <c r="A7194" s="30">
        <v>2026</v>
      </c>
      <c r="B7194" s="30" t="s">
        <v>12</v>
      </c>
      <c r="C7194" s="30" t="s">
        <v>46</v>
      </c>
      <c r="D7194" s="40" t="str">
        <f>VLOOKUP(Table3[[#This Row],[Vendor]],[1]Name.KSN!$C$2:$F$741,4,0)</f>
        <v>Farmer</v>
      </c>
      <c r="E7194" s="31" t="s">
        <v>167</v>
      </c>
      <c r="F7194" s="31" t="s">
        <v>49</v>
      </c>
      <c r="G7194" s="32" t="s">
        <v>50</v>
      </c>
      <c r="H7194" s="33">
        <v>20840</v>
      </c>
      <c r="I7194" s="34">
        <f>Table3[[#This Row],[Volume, kg.]]/1000</f>
        <v>20.84</v>
      </c>
      <c r="J7194" s="34">
        <v>0.18530000000000002</v>
      </c>
      <c r="K7194" s="34">
        <f t="shared" si="226"/>
        <v>3861.6520000000005</v>
      </c>
      <c r="L7194" s="34">
        <v>2.97</v>
      </c>
      <c r="M7194" s="34">
        <v>61949.2</v>
      </c>
      <c r="N7194" s="34">
        <f t="shared" si="227"/>
        <v>16.028062601187262</v>
      </c>
    </row>
    <row r="7195" spans="1:14" x14ac:dyDescent="0.45">
      <c r="A7195" s="30">
        <v>2026</v>
      </c>
      <c r="B7195" s="30" t="s">
        <v>12</v>
      </c>
      <c r="C7195" s="30" t="s">
        <v>46</v>
      </c>
      <c r="D7195" s="40" t="str">
        <f>VLOOKUP(Table3[[#This Row],[Vendor]],[1]Name.KSN!$C$2:$F$741,4,0)</f>
        <v>Farmer</v>
      </c>
      <c r="E7195" s="31" t="s">
        <v>466</v>
      </c>
      <c r="F7195" s="31" t="s">
        <v>57</v>
      </c>
      <c r="G7195" s="32" t="s">
        <v>50</v>
      </c>
      <c r="H7195" s="33">
        <v>11115</v>
      </c>
      <c r="I7195" s="34">
        <f>Table3[[#This Row],[Volume, kg.]]/1000</f>
        <v>11.115</v>
      </c>
      <c r="J7195" s="34">
        <v>0.24100000000000002</v>
      </c>
      <c r="K7195" s="34">
        <f t="shared" si="226"/>
        <v>2678.7150000000001</v>
      </c>
      <c r="L7195" s="34">
        <v>3.26</v>
      </c>
      <c r="M7195" s="34">
        <v>36201.25</v>
      </c>
      <c r="N7195" s="34">
        <f t="shared" si="227"/>
        <v>13.526970954356845</v>
      </c>
    </row>
    <row r="7196" spans="1:14" x14ac:dyDescent="0.45">
      <c r="A7196" s="30">
        <v>2026</v>
      </c>
      <c r="B7196" s="30" t="s">
        <v>12</v>
      </c>
      <c r="C7196" s="30" t="s">
        <v>46</v>
      </c>
      <c r="D7196" s="40" t="str">
        <f>VLOOKUP(Table3[[#This Row],[Vendor]],[1]Name.KSN!$C$2:$F$741,4,0)</f>
        <v>Farmer</v>
      </c>
      <c r="E7196" s="31" t="s">
        <v>241</v>
      </c>
      <c r="F7196" s="31" t="s">
        <v>57</v>
      </c>
      <c r="G7196" s="32" t="s">
        <v>50</v>
      </c>
      <c r="H7196" s="33">
        <v>2657</v>
      </c>
      <c r="I7196" s="34">
        <f>Table3[[#This Row],[Volume, kg.]]/1000</f>
        <v>2.657</v>
      </c>
      <c r="J7196" s="34">
        <v>0.17300000000000001</v>
      </c>
      <c r="K7196" s="34">
        <f t="shared" si="226"/>
        <v>459.66100000000006</v>
      </c>
      <c r="L7196" s="34">
        <v>2.9</v>
      </c>
      <c r="M7196" s="34">
        <v>7705.3</v>
      </c>
      <c r="N7196" s="34">
        <f t="shared" si="227"/>
        <v>16.76300578034682</v>
      </c>
    </row>
    <row r="7197" spans="1:14" x14ac:dyDescent="0.45">
      <c r="A7197" s="30">
        <v>2026</v>
      </c>
      <c r="B7197" s="30" t="s">
        <v>12</v>
      </c>
      <c r="C7197" s="30" t="s">
        <v>46</v>
      </c>
      <c r="D7197" s="40" t="str">
        <f>VLOOKUP(Table3[[#This Row],[Vendor]],[1]Name.KSN!$C$2:$F$741,4,0)</f>
        <v>Farmer</v>
      </c>
      <c r="E7197" s="31" t="s">
        <v>263</v>
      </c>
      <c r="F7197" s="31" t="s">
        <v>81</v>
      </c>
      <c r="G7197" s="32" t="s">
        <v>50</v>
      </c>
      <c r="H7197" s="33">
        <v>23405</v>
      </c>
      <c r="I7197" s="34">
        <f>Table3[[#This Row],[Volume, kg.]]/1000</f>
        <v>23.405000000000001</v>
      </c>
      <c r="J7197" s="34">
        <v>0.21510000000000001</v>
      </c>
      <c r="K7197" s="34">
        <f t="shared" si="226"/>
        <v>5034.4155000000001</v>
      </c>
      <c r="L7197" s="34">
        <v>3.12</v>
      </c>
      <c r="M7197" s="34">
        <v>73106.3</v>
      </c>
      <c r="N7197" s="34">
        <f t="shared" si="227"/>
        <v>14.504881450488144</v>
      </c>
    </row>
    <row r="7198" spans="1:14" x14ac:dyDescent="0.45">
      <c r="A7198" s="30">
        <v>2026</v>
      </c>
      <c r="B7198" s="30" t="s">
        <v>12</v>
      </c>
      <c r="C7198" s="30" t="s">
        <v>46</v>
      </c>
      <c r="D7198" s="40" t="str">
        <f>VLOOKUP(Table3[[#This Row],[Vendor]],[1]Name.KSN!$C$2:$F$741,4,0)</f>
        <v>Farmer</v>
      </c>
      <c r="E7198" s="31" t="s">
        <v>333</v>
      </c>
      <c r="F7198" s="31" t="s">
        <v>57</v>
      </c>
      <c r="G7198" s="32" t="s">
        <v>50</v>
      </c>
      <c r="H7198" s="33">
        <v>38802</v>
      </c>
      <c r="I7198" s="34">
        <f>Table3[[#This Row],[Volume, kg.]]/1000</f>
        <v>38.802</v>
      </c>
      <c r="J7198" s="34">
        <v>0.24460000000000001</v>
      </c>
      <c r="K7198" s="34">
        <f t="shared" si="226"/>
        <v>9490.9692000000014</v>
      </c>
      <c r="L7198" s="34">
        <v>3.22</v>
      </c>
      <c r="M7198" s="34">
        <v>124782.2</v>
      </c>
      <c r="N7198" s="34">
        <f t="shared" si="227"/>
        <v>13.164349959116926</v>
      </c>
    </row>
    <row r="7199" spans="1:14" x14ac:dyDescent="0.45">
      <c r="A7199" s="30">
        <v>2026</v>
      </c>
      <c r="B7199" s="30" t="s">
        <v>12</v>
      </c>
      <c r="C7199" s="30" t="s">
        <v>46</v>
      </c>
      <c r="D7199" s="40" t="str">
        <f>VLOOKUP(Table3[[#This Row],[Vendor]],[1]Name.KSN!$C$2:$F$741,4,0)</f>
        <v>Farmer</v>
      </c>
      <c r="E7199" s="31" t="s">
        <v>499</v>
      </c>
      <c r="F7199" s="31" t="s">
        <v>81</v>
      </c>
      <c r="G7199" s="32" t="s">
        <v>50</v>
      </c>
      <c r="H7199" s="33">
        <v>38004</v>
      </c>
      <c r="I7199" s="34">
        <f>Table3[[#This Row],[Volume, kg.]]/1000</f>
        <v>38.003999999999998</v>
      </c>
      <c r="J7199" s="34">
        <v>0.18739999999999998</v>
      </c>
      <c r="K7199" s="34">
        <f t="shared" si="226"/>
        <v>7121.949599999999</v>
      </c>
      <c r="L7199" s="34">
        <v>2.99</v>
      </c>
      <c r="M7199" s="34">
        <v>113483.25</v>
      </c>
      <c r="N7199" s="34">
        <f t="shared" si="227"/>
        <v>15.955176093916759</v>
      </c>
    </row>
    <row r="7200" spans="1:14" x14ac:dyDescent="0.45">
      <c r="A7200" s="30">
        <v>2026</v>
      </c>
      <c r="B7200" s="30" t="s">
        <v>12</v>
      </c>
      <c r="C7200" s="30" t="s">
        <v>46</v>
      </c>
      <c r="D7200" s="40" t="str">
        <f>VLOOKUP(Table3[[#This Row],[Vendor]],[1]Name.KSN!$C$2:$F$741,4,0)</f>
        <v>Broker</v>
      </c>
      <c r="E7200" s="31" t="s">
        <v>389</v>
      </c>
      <c r="F7200" s="31" t="s">
        <v>238</v>
      </c>
      <c r="G7200" s="32" t="s">
        <v>50</v>
      </c>
      <c r="H7200" s="33">
        <v>692460</v>
      </c>
      <c r="I7200" s="34">
        <f>Table3[[#This Row],[Volume, kg.]]/1000</f>
        <v>692.46</v>
      </c>
      <c r="J7200" s="34">
        <v>0.18659999999999999</v>
      </c>
      <c r="K7200" s="34">
        <f t="shared" si="226"/>
        <v>129213.03599999999</v>
      </c>
      <c r="L7200" s="34">
        <v>3.28</v>
      </c>
      <c r="M7200" s="34">
        <v>2269709.5</v>
      </c>
      <c r="N7200" s="34">
        <f t="shared" si="227"/>
        <v>17.577706323687032</v>
      </c>
    </row>
    <row r="7201" spans="1:14" x14ac:dyDescent="0.45">
      <c r="A7201" s="30">
        <v>2026</v>
      </c>
      <c r="B7201" s="30" t="s">
        <v>12</v>
      </c>
      <c r="C7201" s="30" t="s">
        <v>46</v>
      </c>
      <c r="D7201" s="40" t="str">
        <f>VLOOKUP(Table3[[#This Row],[Vendor]],[1]Name.KSN!$C$2:$F$741,4,0)</f>
        <v>Farmer</v>
      </c>
      <c r="E7201" s="31" t="s">
        <v>288</v>
      </c>
      <c r="F7201" s="31" t="s">
        <v>49</v>
      </c>
      <c r="G7201" s="32" t="s">
        <v>50</v>
      </c>
      <c r="H7201" s="33">
        <v>8614</v>
      </c>
      <c r="I7201" s="34">
        <f>Table3[[#This Row],[Volume, kg.]]/1000</f>
        <v>8.6140000000000008</v>
      </c>
      <c r="J7201" s="34">
        <v>0.1605</v>
      </c>
      <c r="K7201" s="34">
        <f t="shared" si="226"/>
        <v>1382.547</v>
      </c>
      <c r="L7201" s="34">
        <v>2.85</v>
      </c>
      <c r="M7201" s="34">
        <v>24549.9</v>
      </c>
      <c r="N7201" s="34">
        <f t="shared" si="227"/>
        <v>17.757009345794394</v>
      </c>
    </row>
    <row r="7202" spans="1:14" x14ac:dyDescent="0.45">
      <c r="A7202" s="30">
        <v>2026</v>
      </c>
      <c r="B7202" s="30" t="s">
        <v>12</v>
      </c>
      <c r="C7202" s="30" t="s">
        <v>46</v>
      </c>
      <c r="D7202" s="40" t="str">
        <f>VLOOKUP(Table3[[#This Row],[Vendor]],[1]Name.KSN!$C$2:$F$741,4,0)</f>
        <v>Farmer</v>
      </c>
      <c r="E7202" s="31" t="s">
        <v>70</v>
      </c>
      <c r="F7202" s="31" t="s">
        <v>49</v>
      </c>
      <c r="G7202" s="32" t="s">
        <v>50</v>
      </c>
      <c r="H7202" s="33">
        <v>144569</v>
      </c>
      <c r="I7202" s="34">
        <f>Table3[[#This Row],[Volume, kg.]]/1000</f>
        <v>144.56899999999999</v>
      </c>
      <c r="J7202" s="34">
        <v>0.23680000000000001</v>
      </c>
      <c r="K7202" s="34">
        <f t="shared" si="226"/>
        <v>34233.939200000001</v>
      </c>
      <c r="L7202" s="34">
        <v>3.22</v>
      </c>
      <c r="M7202" s="34">
        <v>466113.7</v>
      </c>
      <c r="N7202" s="34">
        <f t="shared" si="227"/>
        <v>13.597972972972974</v>
      </c>
    </row>
    <row r="7203" spans="1:14" x14ac:dyDescent="0.45">
      <c r="A7203" s="30">
        <v>2026</v>
      </c>
      <c r="B7203" s="30" t="s">
        <v>12</v>
      </c>
      <c r="C7203" s="30" t="s">
        <v>46</v>
      </c>
      <c r="D7203" s="40" t="str">
        <f>VLOOKUP(Table3[[#This Row],[Vendor]],[1]Name.KSN!$C$2:$F$741,4,0)</f>
        <v>Farmer</v>
      </c>
      <c r="E7203" s="31" t="s">
        <v>324</v>
      </c>
      <c r="F7203" s="31" t="s">
        <v>81</v>
      </c>
      <c r="G7203" s="32" t="s">
        <v>50</v>
      </c>
      <c r="H7203" s="33">
        <v>5867</v>
      </c>
      <c r="I7203" s="34">
        <f>Table3[[#This Row],[Volume, kg.]]/1000</f>
        <v>5.867</v>
      </c>
      <c r="J7203" s="34">
        <v>0.20899999999999999</v>
      </c>
      <c r="K7203" s="34">
        <f t="shared" si="226"/>
        <v>1226.203</v>
      </c>
      <c r="L7203" s="34">
        <v>3.05</v>
      </c>
      <c r="M7203" s="34">
        <v>17894.349999999999</v>
      </c>
      <c r="N7203" s="34">
        <f t="shared" si="227"/>
        <v>14.593301435406698</v>
      </c>
    </row>
    <row r="7204" spans="1:14" x14ac:dyDescent="0.45">
      <c r="A7204" s="30">
        <v>2026</v>
      </c>
      <c r="B7204" s="30" t="s">
        <v>12</v>
      </c>
      <c r="C7204" s="30" t="s">
        <v>46</v>
      </c>
      <c r="D7204" s="40" t="str">
        <f>VLOOKUP(Table3[[#This Row],[Vendor]],[1]Name.KSN!$C$2:$F$741,4,0)</f>
        <v>Farmer</v>
      </c>
      <c r="E7204" s="31" t="s">
        <v>125</v>
      </c>
      <c r="F7204" s="31" t="s">
        <v>60</v>
      </c>
      <c r="G7204" s="32" t="s">
        <v>50</v>
      </c>
      <c r="H7204" s="33">
        <v>5077</v>
      </c>
      <c r="I7204" s="34">
        <f>Table3[[#This Row],[Volume, kg.]]/1000</f>
        <v>5.077</v>
      </c>
      <c r="J7204" s="34">
        <v>0.182</v>
      </c>
      <c r="K7204" s="34">
        <f t="shared" si="226"/>
        <v>924.01400000000001</v>
      </c>
      <c r="L7204" s="34">
        <v>2.9</v>
      </c>
      <c r="M7204" s="34">
        <v>14723.3</v>
      </c>
      <c r="N7204" s="34">
        <f t="shared" si="227"/>
        <v>15.934065934065934</v>
      </c>
    </row>
    <row r="7205" spans="1:14" x14ac:dyDescent="0.45">
      <c r="A7205" s="30">
        <v>2026</v>
      </c>
      <c r="B7205" s="30" t="s">
        <v>12</v>
      </c>
      <c r="C7205" s="30" t="s">
        <v>46</v>
      </c>
      <c r="D7205" s="40" t="str">
        <f>VLOOKUP(Table3[[#This Row],[Vendor]],[1]Name.KSN!$C$2:$F$741,4,0)</f>
        <v>Farmer</v>
      </c>
      <c r="E7205" s="31" t="s">
        <v>390</v>
      </c>
      <c r="F7205" s="31" t="s">
        <v>60</v>
      </c>
      <c r="G7205" s="32" t="s">
        <v>50</v>
      </c>
      <c r="H7205" s="33">
        <v>2636</v>
      </c>
      <c r="I7205" s="34">
        <f>Table3[[#This Row],[Volume, kg.]]/1000</f>
        <v>2.6360000000000001</v>
      </c>
      <c r="J7205" s="34">
        <v>0.17100000000000001</v>
      </c>
      <c r="K7205" s="34">
        <f t="shared" si="226"/>
        <v>450.75600000000003</v>
      </c>
      <c r="L7205" s="34">
        <v>2.9</v>
      </c>
      <c r="M7205" s="34">
        <v>7644.4</v>
      </c>
      <c r="N7205" s="34">
        <f t="shared" si="227"/>
        <v>16.959064327485379</v>
      </c>
    </row>
    <row r="7206" spans="1:14" x14ac:dyDescent="0.45">
      <c r="A7206" s="30">
        <v>2026</v>
      </c>
      <c r="B7206" s="30" t="s">
        <v>12</v>
      </c>
      <c r="C7206" s="30" t="s">
        <v>46</v>
      </c>
      <c r="D7206" s="40" t="str">
        <f>VLOOKUP(Table3[[#This Row],[Vendor]],[1]Name.KSN!$C$2:$F$741,4,0)</f>
        <v>Farmer</v>
      </c>
      <c r="E7206" s="31" t="s">
        <v>144</v>
      </c>
      <c r="F7206" s="31" t="s">
        <v>49</v>
      </c>
      <c r="G7206" s="32" t="s">
        <v>50</v>
      </c>
      <c r="H7206" s="33">
        <v>32700</v>
      </c>
      <c r="I7206" s="34">
        <f>Table3[[#This Row],[Volume, kg.]]/1000</f>
        <v>32.700000000000003</v>
      </c>
      <c r="J7206" s="34">
        <v>0.20019999999999999</v>
      </c>
      <c r="K7206" s="34">
        <f t="shared" si="226"/>
        <v>6546.54</v>
      </c>
      <c r="L7206" s="34">
        <v>3.02</v>
      </c>
      <c r="M7206" s="34">
        <v>98904.55</v>
      </c>
      <c r="N7206" s="34">
        <f t="shared" si="227"/>
        <v>15.084915084915085</v>
      </c>
    </row>
    <row r="7207" spans="1:14" x14ac:dyDescent="0.45">
      <c r="A7207" s="30">
        <v>2026</v>
      </c>
      <c r="B7207" s="30" t="s">
        <v>12</v>
      </c>
      <c r="C7207" s="30" t="s">
        <v>46</v>
      </c>
      <c r="D7207" s="40" t="str">
        <f>VLOOKUP(Table3[[#This Row],[Vendor]],[1]Name.KSN!$C$2:$F$741,4,0)</f>
        <v>Farmer</v>
      </c>
      <c r="E7207" s="31" t="s">
        <v>501</v>
      </c>
      <c r="F7207" s="31" t="s">
        <v>81</v>
      </c>
      <c r="G7207" s="32" t="s">
        <v>50</v>
      </c>
      <c r="H7207" s="33">
        <v>3357</v>
      </c>
      <c r="I7207" s="34">
        <f>Table3[[#This Row],[Volume, kg.]]/1000</f>
        <v>3.3570000000000002</v>
      </c>
      <c r="J7207" s="34">
        <v>0.23149999999999998</v>
      </c>
      <c r="K7207" s="34">
        <f t="shared" si="226"/>
        <v>777.14549999999997</v>
      </c>
      <c r="L7207" s="34">
        <v>3.2</v>
      </c>
      <c r="M7207" s="34">
        <v>10742.4</v>
      </c>
      <c r="N7207" s="34">
        <f t="shared" si="227"/>
        <v>13.822894168466524</v>
      </c>
    </row>
    <row r="7208" spans="1:14" x14ac:dyDescent="0.45">
      <c r="A7208" s="30">
        <v>2026</v>
      </c>
      <c r="B7208" s="30" t="s">
        <v>12</v>
      </c>
      <c r="C7208" s="30" t="s">
        <v>46</v>
      </c>
      <c r="D7208" s="40" t="str">
        <f>VLOOKUP(Table3[[#This Row],[Vendor]],[1]Name.KSN!$C$2:$F$741,4,0)</f>
        <v>Farmer</v>
      </c>
      <c r="E7208" s="31" t="s">
        <v>469</v>
      </c>
      <c r="F7208" s="31" t="s">
        <v>57</v>
      </c>
      <c r="G7208" s="32" t="s">
        <v>50</v>
      </c>
      <c r="H7208" s="33">
        <v>2556</v>
      </c>
      <c r="I7208" s="34">
        <f>Table3[[#This Row],[Volume, kg.]]/1000</f>
        <v>2.556</v>
      </c>
      <c r="J7208" s="34">
        <v>0.19589999999999999</v>
      </c>
      <c r="K7208" s="34">
        <f t="shared" si="226"/>
        <v>500.72039999999998</v>
      </c>
      <c r="L7208" s="34">
        <v>3.03</v>
      </c>
      <c r="M7208" s="34">
        <v>7731.8</v>
      </c>
      <c r="N7208" s="34">
        <f t="shared" si="227"/>
        <v>15.46707503828484</v>
      </c>
    </row>
    <row r="7209" spans="1:14" x14ac:dyDescent="0.45">
      <c r="A7209" s="30">
        <v>2026</v>
      </c>
      <c r="B7209" s="30" t="s">
        <v>12</v>
      </c>
      <c r="C7209" s="30" t="s">
        <v>46</v>
      </c>
      <c r="D7209" s="40" t="str">
        <f>VLOOKUP(Table3[[#This Row],[Vendor]],[1]Name.KSN!$C$2:$F$741,4,0)</f>
        <v>Farmer</v>
      </c>
      <c r="E7209" s="31" t="s">
        <v>268</v>
      </c>
      <c r="F7209" s="31" t="s">
        <v>57</v>
      </c>
      <c r="G7209" s="32" t="s">
        <v>50</v>
      </c>
      <c r="H7209" s="33">
        <v>5448</v>
      </c>
      <c r="I7209" s="34">
        <f>Table3[[#This Row],[Volume, kg.]]/1000</f>
        <v>5.4480000000000004</v>
      </c>
      <c r="J7209" s="34">
        <v>0.24199999999999999</v>
      </c>
      <c r="K7209" s="34">
        <f t="shared" si="226"/>
        <v>1318.4159999999999</v>
      </c>
      <c r="L7209" s="34">
        <v>3.2</v>
      </c>
      <c r="M7209" s="34">
        <v>17433.599999999999</v>
      </c>
      <c r="N7209" s="34">
        <f t="shared" si="227"/>
        <v>13.223140495867769</v>
      </c>
    </row>
    <row r="7210" spans="1:14" x14ac:dyDescent="0.45">
      <c r="A7210" s="30">
        <v>2026</v>
      </c>
      <c r="B7210" s="30" t="s">
        <v>12</v>
      </c>
      <c r="C7210" s="30" t="s">
        <v>46</v>
      </c>
      <c r="D7210" s="40" t="str">
        <f>VLOOKUP(Table3[[#This Row],[Vendor]],[1]Name.KSN!$C$2:$F$741,4,0)</f>
        <v>Farmer</v>
      </c>
      <c r="E7210" s="31" t="s">
        <v>147</v>
      </c>
      <c r="F7210" s="31" t="s">
        <v>57</v>
      </c>
      <c r="G7210" s="32" t="s">
        <v>50</v>
      </c>
      <c r="H7210" s="33">
        <v>9934</v>
      </c>
      <c r="I7210" s="34">
        <f>Table3[[#This Row],[Volume, kg.]]/1000</f>
        <v>9.9339999999999993</v>
      </c>
      <c r="J7210" s="34">
        <v>0.18609999999999999</v>
      </c>
      <c r="K7210" s="34">
        <f t="shared" si="226"/>
        <v>1848.7173999999998</v>
      </c>
      <c r="L7210" s="34">
        <v>2.97</v>
      </c>
      <c r="M7210" s="34">
        <v>29512.75</v>
      </c>
      <c r="N7210" s="34">
        <f t="shared" si="227"/>
        <v>15.959161740999464</v>
      </c>
    </row>
    <row r="7211" spans="1:14" x14ac:dyDescent="0.45">
      <c r="A7211" s="30">
        <v>2026</v>
      </c>
      <c r="B7211" s="30" t="s">
        <v>12</v>
      </c>
      <c r="C7211" s="30" t="s">
        <v>46</v>
      </c>
      <c r="D7211" s="40" t="str">
        <f>VLOOKUP(Table3[[#This Row],[Vendor]],[1]Name.KSN!$C$2:$F$741,4,0)</f>
        <v>Farmer</v>
      </c>
      <c r="E7211" s="31" t="s">
        <v>253</v>
      </c>
      <c r="F7211" s="31" t="s">
        <v>57</v>
      </c>
      <c r="G7211" s="32" t="s">
        <v>50</v>
      </c>
      <c r="H7211" s="33">
        <v>43686</v>
      </c>
      <c r="I7211" s="34">
        <f>Table3[[#This Row],[Volume, kg.]]/1000</f>
        <v>43.686</v>
      </c>
      <c r="J7211" s="34">
        <v>0.2127</v>
      </c>
      <c r="K7211" s="34">
        <f t="shared" si="226"/>
        <v>9292.0121999999992</v>
      </c>
      <c r="L7211" s="34">
        <v>3.12</v>
      </c>
      <c r="M7211" s="34">
        <v>136189.65</v>
      </c>
      <c r="N7211" s="34">
        <f t="shared" si="227"/>
        <v>14.668547249647391</v>
      </c>
    </row>
    <row r="7212" spans="1:14" x14ac:dyDescent="0.45">
      <c r="A7212" s="30">
        <v>2026</v>
      </c>
      <c r="B7212" s="30" t="s">
        <v>12</v>
      </c>
      <c r="C7212" s="30" t="s">
        <v>46</v>
      </c>
      <c r="D7212" s="40" t="str">
        <f>VLOOKUP(Table3[[#This Row],[Vendor]],[1]Name.KSN!$C$2:$F$741,4,0)</f>
        <v>Farmer</v>
      </c>
      <c r="E7212" s="31" t="s">
        <v>233</v>
      </c>
      <c r="F7212" s="31" t="s">
        <v>57</v>
      </c>
      <c r="G7212" s="32" t="s">
        <v>50</v>
      </c>
      <c r="H7212" s="33">
        <v>25005</v>
      </c>
      <c r="I7212" s="34">
        <f>Table3[[#This Row],[Volume, kg.]]/1000</f>
        <v>25.004999999999999</v>
      </c>
      <c r="J7212" s="34">
        <v>0.1885</v>
      </c>
      <c r="K7212" s="34">
        <f t="shared" si="226"/>
        <v>4713.4425000000001</v>
      </c>
      <c r="L7212" s="34">
        <v>2.99</v>
      </c>
      <c r="M7212" s="34">
        <v>74699.649999999994</v>
      </c>
      <c r="N7212" s="34">
        <f t="shared" si="227"/>
        <v>15.862068965517242</v>
      </c>
    </row>
    <row r="7213" spans="1:14" x14ac:dyDescent="0.45">
      <c r="A7213" s="30">
        <v>2026</v>
      </c>
      <c r="B7213" s="30" t="s">
        <v>12</v>
      </c>
      <c r="C7213" s="30" t="s">
        <v>46</v>
      </c>
      <c r="D7213" s="40" t="str">
        <f>VLOOKUP(Table3[[#This Row],[Vendor]],[1]Name.KSN!$C$2:$F$741,4,0)</f>
        <v>Farmer</v>
      </c>
      <c r="E7213" s="31" t="s">
        <v>90</v>
      </c>
      <c r="F7213" s="31" t="s">
        <v>49</v>
      </c>
      <c r="G7213" s="32" t="s">
        <v>50</v>
      </c>
      <c r="H7213" s="33">
        <v>4407</v>
      </c>
      <c r="I7213" s="34">
        <f>Table3[[#This Row],[Volume, kg.]]/1000</f>
        <v>4.407</v>
      </c>
      <c r="J7213" s="34">
        <v>0.1905</v>
      </c>
      <c r="K7213" s="34">
        <f t="shared" si="226"/>
        <v>839.5335</v>
      </c>
      <c r="L7213" s="34">
        <v>3</v>
      </c>
      <c r="M7213" s="34">
        <v>13221</v>
      </c>
      <c r="N7213" s="34">
        <f t="shared" si="227"/>
        <v>15.748031496062993</v>
      </c>
    </row>
    <row r="7214" spans="1:14" x14ac:dyDescent="0.45">
      <c r="A7214" s="30">
        <v>2026</v>
      </c>
      <c r="B7214" s="30" t="s">
        <v>12</v>
      </c>
      <c r="C7214" s="30" t="s">
        <v>46</v>
      </c>
      <c r="D7214" s="40" t="str">
        <f>VLOOKUP(Table3[[#This Row],[Vendor]],[1]Name.KSN!$C$2:$F$741,4,0)</f>
        <v>Farmer</v>
      </c>
      <c r="E7214" s="31" t="s">
        <v>275</v>
      </c>
      <c r="F7214" s="31" t="s">
        <v>54</v>
      </c>
      <c r="G7214" s="32" t="s">
        <v>50</v>
      </c>
      <c r="H7214" s="33">
        <v>39351</v>
      </c>
      <c r="I7214" s="34">
        <f>Table3[[#This Row],[Volume, kg.]]/1000</f>
        <v>39.350999999999999</v>
      </c>
      <c r="J7214" s="34">
        <v>0.21239999999999998</v>
      </c>
      <c r="K7214" s="34">
        <f t="shared" si="226"/>
        <v>8358.152399999999</v>
      </c>
      <c r="L7214" s="34">
        <v>3.1</v>
      </c>
      <c r="M7214" s="34">
        <v>122062.7</v>
      </c>
      <c r="N7214" s="34">
        <f t="shared" si="227"/>
        <v>14.595103578154427</v>
      </c>
    </row>
    <row r="7215" spans="1:14" x14ac:dyDescent="0.45">
      <c r="A7215" s="30">
        <v>2026</v>
      </c>
      <c r="B7215" s="30" t="s">
        <v>12</v>
      </c>
      <c r="C7215" s="30" t="s">
        <v>46</v>
      </c>
      <c r="D7215" s="40" t="str">
        <f>VLOOKUP(Table3[[#This Row],[Vendor]],[1]Name.KSN!$C$2:$F$741,4,0)</f>
        <v>Farmer</v>
      </c>
      <c r="E7215" s="31" t="s">
        <v>311</v>
      </c>
      <c r="F7215" s="31" t="s">
        <v>57</v>
      </c>
      <c r="G7215" s="32" t="s">
        <v>50</v>
      </c>
      <c r="H7215" s="33">
        <v>859</v>
      </c>
      <c r="I7215" s="34">
        <f>Table3[[#This Row],[Volume, kg.]]/1000</f>
        <v>0.85899999999999999</v>
      </c>
      <c r="J7215" s="34">
        <v>0.19750000000000001</v>
      </c>
      <c r="K7215" s="34">
        <f t="shared" si="226"/>
        <v>169.6525</v>
      </c>
      <c r="L7215" s="34">
        <v>3.05</v>
      </c>
      <c r="M7215" s="34">
        <v>2619.9499999999998</v>
      </c>
      <c r="N7215" s="34">
        <f t="shared" si="227"/>
        <v>15.443037974683543</v>
      </c>
    </row>
    <row r="7216" spans="1:14" x14ac:dyDescent="0.45">
      <c r="A7216" s="30">
        <v>2026</v>
      </c>
      <c r="B7216" s="30" t="s">
        <v>12</v>
      </c>
      <c r="C7216" s="30" t="s">
        <v>46</v>
      </c>
      <c r="D7216" s="40" t="str">
        <f>VLOOKUP(Table3[[#This Row],[Vendor]],[1]Name.KSN!$C$2:$F$741,4,0)</f>
        <v>Farmer</v>
      </c>
      <c r="E7216" s="31" t="s">
        <v>356</v>
      </c>
      <c r="F7216" s="31" t="s">
        <v>49</v>
      </c>
      <c r="G7216" s="32" t="s">
        <v>50</v>
      </c>
      <c r="H7216" s="33">
        <v>4521</v>
      </c>
      <c r="I7216" s="34">
        <f>Table3[[#This Row],[Volume, kg.]]/1000</f>
        <v>4.5209999999999999</v>
      </c>
      <c r="J7216" s="34">
        <v>0.18870000000000001</v>
      </c>
      <c r="K7216" s="34">
        <f t="shared" si="226"/>
        <v>853.11270000000002</v>
      </c>
      <c r="L7216" s="34">
        <v>2.98</v>
      </c>
      <c r="M7216" s="34">
        <v>13448.7</v>
      </c>
      <c r="N7216" s="34">
        <f t="shared" si="227"/>
        <v>15.792262851086379</v>
      </c>
    </row>
    <row r="7217" spans="1:14" x14ac:dyDescent="0.45">
      <c r="A7217" s="30">
        <v>2026</v>
      </c>
      <c r="B7217" s="30" t="s">
        <v>12</v>
      </c>
      <c r="C7217" s="30" t="s">
        <v>46</v>
      </c>
      <c r="D7217" s="40" t="str">
        <f>VLOOKUP(Table3[[#This Row],[Vendor]],[1]Name.KSN!$C$2:$F$741,4,0)</f>
        <v>Broker</v>
      </c>
      <c r="E7217" s="31" t="s">
        <v>656</v>
      </c>
      <c r="F7217" s="31" t="s">
        <v>657</v>
      </c>
      <c r="G7217" s="32" t="s">
        <v>119</v>
      </c>
      <c r="H7217" s="33">
        <v>19730</v>
      </c>
      <c r="I7217" s="34">
        <f>Table3[[#This Row],[Volume, kg.]]/1000</f>
        <v>19.73</v>
      </c>
      <c r="J7217" s="34">
        <v>0.17350000000000002</v>
      </c>
      <c r="K7217" s="34">
        <f t="shared" si="226"/>
        <v>3423.1550000000002</v>
      </c>
      <c r="L7217" s="34">
        <v>3.07</v>
      </c>
      <c r="M7217" s="34">
        <v>60633.5</v>
      </c>
      <c r="N7217" s="34">
        <f t="shared" si="227"/>
        <v>17.694524495677232</v>
      </c>
    </row>
    <row r="7218" spans="1:14" x14ac:dyDescent="0.45">
      <c r="A7218" s="30">
        <v>2026</v>
      </c>
      <c r="B7218" s="30" t="s">
        <v>12</v>
      </c>
      <c r="C7218" s="30" t="s">
        <v>46</v>
      </c>
      <c r="D7218" s="40" t="str">
        <f>VLOOKUP(Table3[[#This Row],[Vendor]],[1]Name.KSN!$C$2:$F$741,4,0)</f>
        <v>Farmer</v>
      </c>
      <c r="E7218" s="31" t="s">
        <v>153</v>
      </c>
      <c r="F7218" s="31" t="s">
        <v>57</v>
      </c>
      <c r="G7218" s="32" t="s">
        <v>50</v>
      </c>
      <c r="H7218" s="33">
        <v>3947</v>
      </c>
      <c r="I7218" s="34">
        <f>Table3[[#This Row],[Volume, kg.]]/1000</f>
        <v>3.9470000000000001</v>
      </c>
      <c r="J7218" s="34">
        <v>0.21249999999999999</v>
      </c>
      <c r="K7218" s="34">
        <f t="shared" si="226"/>
        <v>838.73749999999995</v>
      </c>
      <c r="L7218" s="34">
        <v>3.12</v>
      </c>
      <c r="M7218" s="34">
        <v>12315.35</v>
      </c>
      <c r="N7218" s="34">
        <f t="shared" si="227"/>
        <v>14.682352941176472</v>
      </c>
    </row>
    <row r="7219" spans="1:14" x14ac:dyDescent="0.45">
      <c r="A7219" s="30">
        <v>2026</v>
      </c>
      <c r="B7219" s="30" t="s">
        <v>12</v>
      </c>
      <c r="C7219" s="30" t="s">
        <v>46</v>
      </c>
      <c r="D7219" s="40" t="str">
        <f>VLOOKUP(Table3[[#This Row],[Vendor]],[1]Name.KSN!$C$2:$F$741,4,0)</f>
        <v>Farmer</v>
      </c>
      <c r="E7219" s="31" t="s">
        <v>306</v>
      </c>
      <c r="F7219" s="31" t="s">
        <v>60</v>
      </c>
      <c r="G7219" s="32" t="s">
        <v>50</v>
      </c>
      <c r="H7219" s="33">
        <v>7568</v>
      </c>
      <c r="I7219" s="34">
        <f>Table3[[#This Row],[Volume, kg.]]/1000</f>
        <v>7.5679999999999996</v>
      </c>
      <c r="J7219" s="34">
        <v>0.252</v>
      </c>
      <c r="K7219" s="34">
        <f t="shared" si="226"/>
        <v>1907.136</v>
      </c>
      <c r="L7219" s="34">
        <v>3.3</v>
      </c>
      <c r="M7219" s="34">
        <v>24974.400000000001</v>
      </c>
      <c r="N7219" s="34">
        <f t="shared" si="227"/>
        <v>13.095238095238095</v>
      </c>
    </row>
    <row r="7220" spans="1:14" x14ac:dyDescent="0.45">
      <c r="A7220" s="30">
        <v>2026</v>
      </c>
      <c r="B7220" s="30" t="s">
        <v>12</v>
      </c>
      <c r="C7220" s="30" t="s">
        <v>46</v>
      </c>
      <c r="D7220" s="40" t="str">
        <f>VLOOKUP(Table3[[#This Row],[Vendor]],[1]Name.KSN!$C$2:$F$741,4,0)</f>
        <v>Farmer</v>
      </c>
      <c r="E7220" s="31" t="s">
        <v>458</v>
      </c>
      <c r="F7220" s="31" t="s">
        <v>60</v>
      </c>
      <c r="G7220" s="32" t="s">
        <v>50</v>
      </c>
      <c r="H7220" s="33">
        <v>5156</v>
      </c>
      <c r="I7220" s="34">
        <f>Table3[[#This Row],[Volume, kg.]]/1000</f>
        <v>5.1559999999999997</v>
      </c>
      <c r="J7220" s="34">
        <v>0.26500000000000001</v>
      </c>
      <c r="K7220" s="34">
        <f t="shared" si="226"/>
        <v>1366.3400000000001</v>
      </c>
      <c r="L7220" s="34">
        <v>3.35</v>
      </c>
      <c r="M7220" s="34">
        <v>17272.599999999999</v>
      </c>
      <c r="N7220" s="34">
        <f t="shared" si="227"/>
        <v>12.641509433962264</v>
      </c>
    </row>
    <row r="7221" spans="1:14" x14ac:dyDescent="0.45">
      <c r="A7221" s="30">
        <v>2026</v>
      </c>
      <c r="B7221" s="30" t="s">
        <v>12</v>
      </c>
      <c r="C7221" s="30" t="s">
        <v>46</v>
      </c>
      <c r="D7221" s="40" t="str">
        <f>VLOOKUP(Table3[[#This Row],[Vendor]],[1]Name.KSN!$C$2:$F$741,4,0)</f>
        <v>Farmer</v>
      </c>
      <c r="E7221" s="31" t="s">
        <v>262</v>
      </c>
      <c r="F7221" s="31" t="s">
        <v>81</v>
      </c>
      <c r="G7221" s="32" t="s">
        <v>50</v>
      </c>
      <c r="H7221" s="33">
        <v>12038</v>
      </c>
      <c r="I7221" s="34">
        <f>Table3[[#This Row],[Volume, kg.]]/1000</f>
        <v>12.038</v>
      </c>
      <c r="J7221" s="34">
        <v>0.2475</v>
      </c>
      <c r="K7221" s="34">
        <f t="shared" si="226"/>
        <v>2979.4050000000002</v>
      </c>
      <c r="L7221" s="34">
        <v>3.25</v>
      </c>
      <c r="M7221" s="34">
        <v>39123.5</v>
      </c>
      <c r="N7221" s="34">
        <f t="shared" si="227"/>
        <v>13.131313131313131</v>
      </c>
    </row>
    <row r="7222" spans="1:14" x14ac:dyDescent="0.45">
      <c r="A7222" s="30">
        <v>2026</v>
      </c>
      <c r="B7222" s="30" t="s">
        <v>12</v>
      </c>
      <c r="C7222" s="30" t="s">
        <v>46</v>
      </c>
      <c r="D7222" s="40" t="str">
        <f>VLOOKUP(Table3[[#This Row],[Vendor]],[1]Name.KSN!$C$2:$F$741,4,0)</f>
        <v>Farmer</v>
      </c>
      <c r="E7222" s="31" t="s">
        <v>197</v>
      </c>
      <c r="F7222" s="31" t="s">
        <v>57</v>
      </c>
      <c r="G7222" s="32" t="s">
        <v>50</v>
      </c>
      <c r="H7222" s="33">
        <v>74912</v>
      </c>
      <c r="I7222" s="34">
        <f>Table3[[#This Row],[Volume, kg.]]/1000</f>
        <v>74.912000000000006</v>
      </c>
      <c r="J7222" s="34">
        <v>0.21160000000000001</v>
      </c>
      <c r="K7222" s="34">
        <f t="shared" si="226"/>
        <v>15851.379200000001</v>
      </c>
      <c r="L7222" s="34">
        <v>3.1</v>
      </c>
      <c r="M7222" s="34">
        <v>232210.85</v>
      </c>
      <c r="N7222" s="34">
        <f t="shared" si="227"/>
        <v>14.650283553875235</v>
      </c>
    </row>
    <row r="7223" spans="1:14" x14ac:dyDescent="0.45">
      <c r="A7223" s="30">
        <v>2026</v>
      </c>
      <c r="B7223" s="30" t="s">
        <v>12</v>
      </c>
      <c r="C7223" s="30" t="s">
        <v>46</v>
      </c>
      <c r="D7223" s="40" t="str">
        <f>VLOOKUP(Table3[[#This Row],[Vendor]],[1]Name.KSN!$C$2:$F$741,4,0)</f>
        <v>Farmer</v>
      </c>
      <c r="E7223" s="31" t="s">
        <v>395</v>
      </c>
      <c r="F7223" s="31" t="s">
        <v>81</v>
      </c>
      <c r="G7223" s="32" t="s">
        <v>50</v>
      </c>
      <c r="H7223" s="33">
        <v>216353</v>
      </c>
      <c r="I7223" s="34">
        <f>Table3[[#This Row],[Volume, kg.]]/1000</f>
        <v>216.35300000000001</v>
      </c>
      <c r="J7223" s="34">
        <v>0.19519999999999998</v>
      </c>
      <c r="K7223" s="34">
        <f t="shared" si="226"/>
        <v>42232.105599999995</v>
      </c>
      <c r="L7223" s="34">
        <v>3.01</v>
      </c>
      <c r="M7223" s="34">
        <v>652288.75</v>
      </c>
      <c r="N7223" s="34">
        <f t="shared" si="227"/>
        <v>15.420081967213115</v>
      </c>
    </row>
    <row r="7224" spans="1:14" x14ac:dyDescent="0.45">
      <c r="A7224" s="30">
        <v>2026</v>
      </c>
      <c r="B7224" s="30" t="s">
        <v>12</v>
      </c>
      <c r="C7224" s="30" t="s">
        <v>46</v>
      </c>
      <c r="D7224" s="40" t="str">
        <f>VLOOKUP(Table3[[#This Row],[Vendor]],[1]Name.KSN!$C$2:$F$741,4,0)</f>
        <v>Farmer</v>
      </c>
      <c r="E7224" s="31" t="s">
        <v>98</v>
      </c>
      <c r="F7224" s="31" t="s">
        <v>49</v>
      </c>
      <c r="G7224" s="32" t="s">
        <v>50</v>
      </c>
      <c r="H7224" s="33">
        <v>28600</v>
      </c>
      <c r="I7224" s="34">
        <f>Table3[[#This Row],[Volume, kg.]]/1000</f>
        <v>28.6</v>
      </c>
      <c r="J7224" s="34">
        <v>0.21929999999999999</v>
      </c>
      <c r="K7224" s="34">
        <f t="shared" si="226"/>
        <v>6271.98</v>
      </c>
      <c r="L7224" s="34">
        <v>3.14</v>
      </c>
      <c r="M7224" s="34">
        <v>89922.4</v>
      </c>
      <c r="N7224" s="34">
        <f t="shared" si="227"/>
        <v>14.318285453716371</v>
      </c>
    </row>
    <row r="7225" spans="1:14" x14ac:dyDescent="0.45">
      <c r="A7225" s="30">
        <v>2026</v>
      </c>
      <c r="B7225" s="30" t="s">
        <v>12</v>
      </c>
      <c r="C7225" s="30" t="s">
        <v>46</v>
      </c>
      <c r="D7225" s="40" t="str">
        <f>VLOOKUP(Table3[[#This Row],[Vendor]],[1]Name.KSN!$C$2:$F$741,4,0)</f>
        <v>Farmer</v>
      </c>
      <c r="E7225" s="31" t="s">
        <v>129</v>
      </c>
      <c r="F7225" s="31" t="s">
        <v>57</v>
      </c>
      <c r="G7225" s="32" t="s">
        <v>50</v>
      </c>
      <c r="H7225" s="33">
        <v>4668</v>
      </c>
      <c r="I7225" s="34">
        <f>Table3[[#This Row],[Volume, kg.]]/1000</f>
        <v>4.6680000000000001</v>
      </c>
      <c r="J7225" s="34">
        <v>0.16649999999999998</v>
      </c>
      <c r="K7225" s="34">
        <f t="shared" si="226"/>
        <v>777.22199999999987</v>
      </c>
      <c r="L7225" s="34">
        <v>2.9</v>
      </c>
      <c r="M7225" s="34">
        <v>13537.2</v>
      </c>
      <c r="N7225" s="34">
        <f t="shared" si="227"/>
        <v>17.417417417417418</v>
      </c>
    </row>
    <row r="7226" spans="1:14" x14ac:dyDescent="0.45">
      <c r="A7226" s="30">
        <v>2026</v>
      </c>
      <c r="B7226" s="30" t="s">
        <v>12</v>
      </c>
      <c r="C7226" s="30" t="s">
        <v>46</v>
      </c>
      <c r="D7226" s="40" t="str">
        <f>VLOOKUP(Table3[[#This Row],[Vendor]],[1]Name.KSN!$C$2:$F$741,4,0)</f>
        <v>Farmer</v>
      </c>
      <c r="E7226" s="31" t="s">
        <v>80</v>
      </c>
      <c r="F7226" s="31" t="s">
        <v>81</v>
      </c>
      <c r="G7226" s="32" t="s">
        <v>50</v>
      </c>
      <c r="H7226" s="33">
        <v>39995</v>
      </c>
      <c r="I7226" s="34">
        <f>Table3[[#This Row],[Volume, kg.]]/1000</f>
        <v>39.994999999999997</v>
      </c>
      <c r="J7226" s="34">
        <v>0.2046</v>
      </c>
      <c r="K7226" s="34">
        <f t="shared" si="226"/>
        <v>8182.9769999999999</v>
      </c>
      <c r="L7226" s="34">
        <v>3.07</v>
      </c>
      <c r="M7226" s="34">
        <v>122764.6</v>
      </c>
      <c r="N7226" s="34">
        <f t="shared" si="227"/>
        <v>15.004887585532746</v>
      </c>
    </row>
    <row r="7227" spans="1:14" x14ac:dyDescent="0.45">
      <c r="A7227" s="30">
        <v>2026</v>
      </c>
      <c r="B7227" s="30" t="s">
        <v>12</v>
      </c>
      <c r="C7227" s="30" t="s">
        <v>46</v>
      </c>
      <c r="D7227" s="40" t="str">
        <f>VLOOKUP(Table3[[#This Row],[Vendor]],[1]Name.KSN!$C$2:$F$741,4,0)</f>
        <v>Farmer</v>
      </c>
      <c r="E7227" s="31" t="s">
        <v>473</v>
      </c>
      <c r="F7227" s="31" t="s">
        <v>57</v>
      </c>
      <c r="G7227" s="32" t="s">
        <v>50</v>
      </c>
      <c r="H7227" s="33">
        <v>6117</v>
      </c>
      <c r="I7227" s="34">
        <f>Table3[[#This Row],[Volume, kg.]]/1000</f>
        <v>6.117</v>
      </c>
      <c r="J7227" s="34">
        <v>0.2041</v>
      </c>
      <c r="K7227" s="34">
        <f t="shared" ref="K7227:K7286" si="228">H7227*J7227</f>
        <v>1248.4797000000001</v>
      </c>
      <c r="L7227" s="34">
        <v>3.05</v>
      </c>
      <c r="M7227" s="34">
        <v>18632.7</v>
      </c>
      <c r="N7227" s="34">
        <f t="shared" ref="N7227:N7286" si="229">L7227/J7227</f>
        <v>14.943655071043604</v>
      </c>
    </row>
    <row r="7228" spans="1:14" x14ac:dyDescent="0.45">
      <c r="A7228" s="30">
        <v>2026</v>
      </c>
      <c r="B7228" s="30" t="s">
        <v>12</v>
      </c>
      <c r="C7228" s="30" t="s">
        <v>46</v>
      </c>
      <c r="D7228" s="40" t="str">
        <f>VLOOKUP(Table3[[#This Row],[Vendor]],[1]Name.KSN!$C$2:$F$741,4,0)</f>
        <v>Broker</v>
      </c>
      <c r="E7228" s="31" t="s">
        <v>103</v>
      </c>
      <c r="F7228" s="31" t="s">
        <v>104</v>
      </c>
      <c r="G7228" s="32" t="s">
        <v>105</v>
      </c>
      <c r="H7228" s="33">
        <v>276450</v>
      </c>
      <c r="I7228" s="34">
        <f>Table3[[#This Row],[Volume, kg.]]/1000</f>
        <v>276.45</v>
      </c>
      <c r="J7228" s="34">
        <v>0.2021</v>
      </c>
      <c r="K7228" s="34">
        <f t="shared" si="228"/>
        <v>55870.544999999998</v>
      </c>
      <c r="L7228" s="34">
        <v>3.36</v>
      </c>
      <c r="M7228" s="34">
        <v>928781.5</v>
      </c>
      <c r="N7228" s="34">
        <f t="shared" si="229"/>
        <v>16.625432953983175</v>
      </c>
    </row>
    <row r="7229" spans="1:14" x14ac:dyDescent="0.45">
      <c r="A7229" s="30">
        <v>2026</v>
      </c>
      <c r="B7229" s="30" t="s">
        <v>12</v>
      </c>
      <c r="C7229" s="30" t="s">
        <v>46</v>
      </c>
      <c r="D7229" s="40" t="str">
        <f>VLOOKUP(Table3[[#This Row],[Vendor]],[1]Name.KSN!$C$2:$F$741,4,0)</f>
        <v>Broker</v>
      </c>
      <c r="E7229" s="31" t="s">
        <v>771</v>
      </c>
      <c r="F7229" s="31" t="s">
        <v>772</v>
      </c>
      <c r="G7229" s="32" t="s">
        <v>773</v>
      </c>
      <c r="H7229" s="33">
        <v>1819550</v>
      </c>
      <c r="I7229" s="34">
        <f>Table3[[#This Row],[Volume, kg.]]/1000</f>
        <v>1819.55</v>
      </c>
      <c r="J7229" s="34">
        <v>0.1895</v>
      </c>
      <c r="K7229" s="34">
        <f t="shared" si="228"/>
        <v>344804.72499999998</v>
      </c>
      <c r="L7229" s="34">
        <v>3.31</v>
      </c>
      <c r="M7229" s="34">
        <v>6028246.5</v>
      </c>
      <c r="N7229" s="34">
        <f t="shared" si="229"/>
        <v>17.467018469656992</v>
      </c>
    </row>
    <row r="7230" spans="1:14" x14ac:dyDescent="0.45">
      <c r="A7230" s="30">
        <v>2026</v>
      </c>
      <c r="B7230" s="30" t="s">
        <v>12</v>
      </c>
      <c r="C7230" s="30" t="s">
        <v>46</v>
      </c>
      <c r="D7230" s="40" t="str">
        <f>VLOOKUP(Table3[[#This Row],[Vendor]],[1]Name.KSN!$C$2:$F$741,4,0)</f>
        <v>Broker</v>
      </c>
      <c r="E7230" s="31" t="s">
        <v>348</v>
      </c>
      <c r="F7230" s="31" t="s">
        <v>349</v>
      </c>
      <c r="G7230" s="32" t="s">
        <v>105</v>
      </c>
      <c r="H7230" s="33">
        <v>52970</v>
      </c>
      <c r="I7230" s="34">
        <f>Table3[[#This Row],[Volume, kg.]]/1000</f>
        <v>52.97</v>
      </c>
      <c r="J7230" s="34">
        <v>0.21199999999999999</v>
      </c>
      <c r="K7230" s="34">
        <f t="shared" si="228"/>
        <v>11229.64</v>
      </c>
      <c r="L7230" s="34">
        <v>3.45</v>
      </c>
      <c r="M7230" s="34">
        <v>182746.5</v>
      </c>
      <c r="N7230" s="34">
        <f t="shared" si="229"/>
        <v>16.273584905660378</v>
      </c>
    </row>
    <row r="7231" spans="1:14" x14ac:dyDescent="0.45">
      <c r="A7231" s="30">
        <v>2026</v>
      </c>
      <c r="B7231" s="30" t="s">
        <v>12</v>
      </c>
      <c r="C7231" s="30" t="s">
        <v>46</v>
      </c>
      <c r="D7231" s="40" t="str">
        <f>VLOOKUP(Table3[[#This Row],[Vendor]],[1]Name.KSN!$C$2:$F$741,4,0)</f>
        <v>Broker</v>
      </c>
      <c r="E7231" s="31" t="s">
        <v>691</v>
      </c>
      <c r="F7231" s="31" t="s">
        <v>657</v>
      </c>
      <c r="G7231" s="32" t="s">
        <v>119</v>
      </c>
      <c r="H7231" s="33">
        <v>550410</v>
      </c>
      <c r="I7231" s="34">
        <f>Table3[[#This Row],[Volume, kg.]]/1000</f>
        <v>550.41</v>
      </c>
      <c r="J7231" s="34">
        <v>0.18809999999999999</v>
      </c>
      <c r="K7231" s="34">
        <f t="shared" si="228"/>
        <v>103532.121</v>
      </c>
      <c r="L7231" s="34">
        <v>3.2</v>
      </c>
      <c r="M7231" s="34">
        <v>1760874</v>
      </c>
      <c r="N7231" s="34">
        <f t="shared" si="229"/>
        <v>17.012227538543328</v>
      </c>
    </row>
    <row r="7232" spans="1:14" x14ac:dyDescent="0.45">
      <c r="A7232" s="30">
        <v>2026</v>
      </c>
      <c r="B7232" s="30" t="s">
        <v>12</v>
      </c>
      <c r="C7232" s="30" t="s">
        <v>46</v>
      </c>
      <c r="D7232" s="40" t="str">
        <f>VLOOKUP(Table3[[#This Row],[Vendor]],[1]Name.KSN!$C$2:$F$741,4,0)</f>
        <v>Broker</v>
      </c>
      <c r="E7232" s="31" t="s">
        <v>126</v>
      </c>
      <c r="F7232" s="31" t="s">
        <v>127</v>
      </c>
      <c r="G7232" s="32" t="s">
        <v>128</v>
      </c>
      <c r="H7232" s="33">
        <v>3273930</v>
      </c>
      <c r="I7232" s="34">
        <f>Table3[[#This Row],[Volume, kg.]]/1000</f>
        <v>3273.93</v>
      </c>
      <c r="J7232" s="34">
        <v>0.193</v>
      </c>
      <c r="K7232" s="34">
        <f t="shared" si="228"/>
        <v>631868.49</v>
      </c>
      <c r="L7232" s="34">
        <v>3.3</v>
      </c>
      <c r="M7232" s="34">
        <v>10819662.5</v>
      </c>
      <c r="N7232" s="34">
        <f t="shared" si="229"/>
        <v>17.098445595854923</v>
      </c>
    </row>
    <row r="7233" spans="1:14" x14ac:dyDescent="0.45">
      <c r="A7233" s="30">
        <v>2026</v>
      </c>
      <c r="B7233" s="30" t="s">
        <v>12</v>
      </c>
      <c r="C7233" s="30" t="s">
        <v>46</v>
      </c>
      <c r="D7233" s="40" t="str">
        <f>VLOOKUP(Table3[[#This Row],[Vendor]],[1]Name.KSN!$C$2:$F$741,4,0)</f>
        <v>Farmer</v>
      </c>
      <c r="E7233" s="31" t="s">
        <v>335</v>
      </c>
      <c r="F7233" s="31" t="s">
        <v>54</v>
      </c>
      <c r="G7233" s="32" t="s">
        <v>50</v>
      </c>
      <c r="H7233" s="33">
        <v>151023</v>
      </c>
      <c r="I7233" s="34">
        <f>Table3[[#This Row],[Volume, kg.]]/1000</f>
        <v>151.023</v>
      </c>
      <c r="J7233" s="34">
        <v>0.2336</v>
      </c>
      <c r="K7233" s="34">
        <f t="shared" si="228"/>
        <v>35278.972800000003</v>
      </c>
      <c r="L7233" s="34">
        <v>3.19</v>
      </c>
      <c r="M7233" s="34">
        <v>481546.3</v>
      </c>
      <c r="N7233" s="34">
        <f t="shared" si="229"/>
        <v>13.655821917808218</v>
      </c>
    </row>
    <row r="7234" spans="1:14" x14ac:dyDescent="0.45">
      <c r="A7234" s="30">
        <v>2026</v>
      </c>
      <c r="B7234" s="30" t="s">
        <v>12</v>
      </c>
      <c r="C7234" s="30" t="s">
        <v>46</v>
      </c>
      <c r="D7234" s="40" t="str">
        <f>VLOOKUP(Table3[[#This Row],[Vendor]],[1]Name.KSN!$C$2:$F$741,4,0)</f>
        <v>Farmer</v>
      </c>
      <c r="E7234" s="31" t="s">
        <v>477</v>
      </c>
      <c r="F7234" s="31" t="s">
        <v>54</v>
      </c>
      <c r="G7234" s="32" t="s">
        <v>50</v>
      </c>
      <c r="H7234" s="33">
        <v>34726</v>
      </c>
      <c r="I7234" s="34">
        <f>Table3[[#This Row],[Volume, kg.]]/1000</f>
        <v>34.725999999999999</v>
      </c>
      <c r="J7234" s="34">
        <v>0.19820000000000002</v>
      </c>
      <c r="K7234" s="34">
        <f t="shared" si="228"/>
        <v>6882.6932000000006</v>
      </c>
      <c r="L7234" s="34">
        <v>3.04</v>
      </c>
      <c r="M7234" s="34">
        <v>105493.9</v>
      </c>
      <c r="N7234" s="34">
        <f t="shared" si="229"/>
        <v>15.338042381432896</v>
      </c>
    </row>
    <row r="7235" spans="1:14" x14ac:dyDescent="0.45">
      <c r="A7235" s="30">
        <v>2026</v>
      </c>
      <c r="B7235" s="30" t="s">
        <v>12</v>
      </c>
      <c r="C7235" s="30" t="s">
        <v>46</v>
      </c>
      <c r="D7235" s="40" t="str">
        <f>VLOOKUP(Table3[[#This Row],[Vendor]],[1]Name.KSN!$C$2:$F$741,4,0)</f>
        <v>Farmer</v>
      </c>
      <c r="E7235" s="31" t="s">
        <v>204</v>
      </c>
      <c r="F7235" s="31" t="s">
        <v>49</v>
      </c>
      <c r="G7235" s="32" t="s">
        <v>50</v>
      </c>
      <c r="H7235" s="33">
        <v>17989</v>
      </c>
      <c r="I7235" s="34">
        <f>Table3[[#This Row],[Volume, kg.]]/1000</f>
        <v>17.989000000000001</v>
      </c>
      <c r="J7235" s="34">
        <v>0.19350000000000001</v>
      </c>
      <c r="K7235" s="34">
        <f t="shared" si="228"/>
        <v>3480.8715000000002</v>
      </c>
      <c r="L7235" s="34">
        <v>3.03</v>
      </c>
      <c r="M7235" s="34">
        <v>54436.4</v>
      </c>
      <c r="N7235" s="34">
        <f t="shared" si="229"/>
        <v>15.65891472868217</v>
      </c>
    </row>
    <row r="7236" spans="1:14" x14ac:dyDescent="0.45">
      <c r="A7236" s="30">
        <v>2026</v>
      </c>
      <c r="B7236" s="30" t="s">
        <v>12</v>
      </c>
      <c r="C7236" s="30" t="s">
        <v>46</v>
      </c>
      <c r="D7236" s="40" t="str">
        <f>VLOOKUP(Table3[[#This Row],[Vendor]],[1]Name.KSN!$C$2:$F$741,4,0)</f>
        <v>Broker</v>
      </c>
      <c r="E7236" s="31" t="s">
        <v>157</v>
      </c>
      <c r="F7236" s="31" t="s">
        <v>127</v>
      </c>
      <c r="G7236" s="32" t="s">
        <v>128</v>
      </c>
      <c r="H7236" s="33">
        <v>354780</v>
      </c>
      <c r="I7236" s="34">
        <f>Table3[[#This Row],[Volume, kg.]]/1000</f>
        <v>354.78</v>
      </c>
      <c r="J7236" s="34">
        <v>0.2021</v>
      </c>
      <c r="K7236" s="34">
        <f t="shared" si="228"/>
        <v>71701.038</v>
      </c>
      <c r="L7236" s="34">
        <v>3.3</v>
      </c>
      <c r="M7236" s="34">
        <v>1171078</v>
      </c>
      <c r="N7236" s="34">
        <f t="shared" si="229"/>
        <v>16.328550222662049</v>
      </c>
    </row>
    <row r="7237" spans="1:14" x14ac:dyDescent="0.45">
      <c r="A7237" s="30">
        <v>2026</v>
      </c>
      <c r="B7237" s="30" t="s">
        <v>12</v>
      </c>
      <c r="C7237" s="30" t="s">
        <v>46</v>
      </c>
      <c r="D7237" s="40" t="str">
        <f>VLOOKUP(Table3[[#This Row],[Vendor]],[1]Name.KSN!$C$2:$F$741,4,0)</f>
        <v>Farmer</v>
      </c>
      <c r="E7237" s="31" t="s">
        <v>75</v>
      </c>
      <c r="F7237" s="31" t="s">
        <v>49</v>
      </c>
      <c r="G7237" s="32" t="s">
        <v>50</v>
      </c>
      <c r="H7237" s="33">
        <v>22477</v>
      </c>
      <c r="I7237" s="34">
        <f>Table3[[#This Row],[Volume, kg.]]/1000</f>
        <v>22.477</v>
      </c>
      <c r="J7237" s="34">
        <v>0.19350000000000001</v>
      </c>
      <c r="K7237" s="34">
        <f t="shared" si="228"/>
        <v>4349.2995000000001</v>
      </c>
      <c r="L7237" s="34">
        <v>3.03</v>
      </c>
      <c r="M7237" s="34">
        <v>68151.600000000006</v>
      </c>
      <c r="N7237" s="34">
        <f t="shared" si="229"/>
        <v>15.65891472868217</v>
      </c>
    </row>
    <row r="7238" spans="1:14" x14ac:dyDescent="0.45">
      <c r="A7238" s="30">
        <v>2026</v>
      </c>
      <c r="B7238" s="30" t="s">
        <v>12</v>
      </c>
      <c r="C7238" s="30" t="s">
        <v>46</v>
      </c>
      <c r="D7238" s="40" t="str">
        <f>VLOOKUP(Table3[[#This Row],[Vendor]],[1]Name.KSN!$C$2:$F$741,4,0)</f>
        <v>Farmer</v>
      </c>
      <c r="E7238" s="31" t="s">
        <v>97</v>
      </c>
      <c r="F7238" s="31" t="s">
        <v>49</v>
      </c>
      <c r="G7238" s="32" t="s">
        <v>50</v>
      </c>
      <c r="H7238" s="33">
        <v>1524</v>
      </c>
      <c r="I7238" s="34">
        <f>Table3[[#This Row],[Volume, kg.]]/1000</f>
        <v>1.524</v>
      </c>
      <c r="J7238" s="34">
        <v>0.16200000000000001</v>
      </c>
      <c r="K7238" s="34">
        <f t="shared" si="228"/>
        <v>246.88800000000001</v>
      </c>
      <c r="L7238" s="34">
        <v>2.85</v>
      </c>
      <c r="M7238" s="34">
        <v>4343.3999999999996</v>
      </c>
      <c r="N7238" s="34">
        <f t="shared" si="229"/>
        <v>17.592592592592592</v>
      </c>
    </row>
    <row r="7239" spans="1:14" x14ac:dyDescent="0.45">
      <c r="A7239" s="30">
        <v>2026</v>
      </c>
      <c r="B7239" s="30" t="s">
        <v>12</v>
      </c>
      <c r="C7239" s="30" t="s">
        <v>46</v>
      </c>
      <c r="D7239" s="40" t="str">
        <f>VLOOKUP(Table3[[#This Row],[Vendor]],[1]Name.KSN!$C$2:$F$741,4,0)</f>
        <v>Farmer</v>
      </c>
      <c r="E7239" s="31" t="s">
        <v>345</v>
      </c>
      <c r="F7239" s="31" t="s">
        <v>81</v>
      </c>
      <c r="G7239" s="32" t="s">
        <v>50</v>
      </c>
      <c r="H7239" s="33">
        <v>57481</v>
      </c>
      <c r="I7239" s="34">
        <f>Table3[[#This Row],[Volume, kg.]]/1000</f>
        <v>57.481000000000002</v>
      </c>
      <c r="J7239" s="34">
        <v>0.1973</v>
      </c>
      <c r="K7239" s="34">
        <f t="shared" si="228"/>
        <v>11341.0013</v>
      </c>
      <c r="L7239" s="34">
        <v>3.03</v>
      </c>
      <c r="M7239" s="34">
        <v>174049.55</v>
      </c>
      <c r="N7239" s="34">
        <f t="shared" si="229"/>
        <v>15.357323872275721</v>
      </c>
    </row>
    <row r="7240" spans="1:14" x14ac:dyDescent="0.45">
      <c r="A7240" s="30">
        <v>2026</v>
      </c>
      <c r="B7240" s="30" t="s">
        <v>12</v>
      </c>
      <c r="C7240" s="30" t="s">
        <v>46</v>
      </c>
      <c r="D7240" s="40" t="str">
        <f>VLOOKUP(Table3[[#This Row],[Vendor]],[1]Name.KSN!$C$2:$F$741,4,0)</f>
        <v>Farmer</v>
      </c>
      <c r="E7240" s="31" t="s">
        <v>273</v>
      </c>
      <c r="F7240" s="31" t="s">
        <v>49</v>
      </c>
      <c r="G7240" s="32" t="s">
        <v>50</v>
      </c>
      <c r="H7240" s="33">
        <v>8555</v>
      </c>
      <c r="I7240" s="34">
        <f>Table3[[#This Row],[Volume, kg.]]/1000</f>
        <v>8.5549999999999997</v>
      </c>
      <c r="J7240" s="34">
        <v>0.18789999999999998</v>
      </c>
      <c r="K7240" s="34">
        <f t="shared" si="228"/>
        <v>1607.4844999999998</v>
      </c>
      <c r="L7240" s="34">
        <v>2.96</v>
      </c>
      <c r="M7240" s="34">
        <v>25288.1</v>
      </c>
      <c r="N7240" s="34">
        <f t="shared" si="229"/>
        <v>15.753060138371476</v>
      </c>
    </row>
    <row r="7241" spans="1:14" x14ac:dyDescent="0.45">
      <c r="A7241" s="30">
        <v>2026</v>
      </c>
      <c r="B7241" s="30" t="s">
        <v>12</v>
      </c>
      <c r="C7241" s="30" t="s">
        <v>46</v>
      </c>
      <c r="D7241" s="40" t="str">
        <f>VLOOKUP(Table3[[#This Row],[Vendor]],[1]Name.KSN!$C$2:$F$741,4,0)</f>
        <v>Farmer</v>
      </c>
      <c r="E7241" s="31" t="s">
        <v>369</v>
      </c>
      <c r="F7241" s="31" t="s">
        <v>57</v>
      </c>
      <c r="G7241" s="32" t="s">
        <v>50</v>
      </c>
      <c r="H7241" s="33">
        <v>15714</v>
      </c>
      <c r="I7241" s="34">
        <f>Table3[[#This Row],[Volume, kg.]]/1000</f>
        <v>15.714</v>
      </c>
      <c r="J7241" s="34">
        <v>0.17620000000000002</v>
      </c>
      <c r="K7241" s="34">
        <f t="shared" si="228"/>
        <v>2768.8068000000003</v>
      </c>
      <c r="L7241" s="34">
        <v>2.9</v>
      </c>
      <c r="M7241" s="34">
        <v>45547.199999999997</v>
      </c>
      <c r="N7241" s="34">
        <f t="shared" si="229"/>
        <v>16.458569807037456</v>
      </c>
    </row>
    <row r="7242" spans="1:14" x14ac:dyDescent="0.45">
      <c r="A7242" s="30">
        <v>2026</v>
      </c>
      <c r="B7242" s="30" t="s">
        <v>12</v>
      </c>
      <c r="C7242" s="30" t="s">
        <v>46</v>
      </c>
      <c r="D7242" s="40" t="str">
        <f>VLOOKUP(Table3[[#This Row],[Vendor]],[1]Name.KSN!$C$2:$F$741,4,0)</f>
        <v>Broker</v>
      </c>
      <c r="E7242" s="31" t="s">
        <v>730</v>
      </c>
      <c r="F7242" s="31" t="s">
        <v>487</v>
      </c>
      <c r="G7242" s="32" t="s">
        <v>341</v>
      </c>
      <c r="H7242" s="33">
        <v>273300</v>
      </c>
      <c r="I7242" s="34">
        <f>Table3[[#This Row],[Volume, kg.]]/1000</f>
        <v>273.3</v>
      </c>
      <c r="J7242" s="34">
        <v>0.2107</v>
      </c>
      <c r="K7242" s="34">
        <f t="shared" si="228"/>
        <v>57584.31</v>
      </c>
      <c r="L7242" s="34">
        <v>3.34</v>
      </c>
      <c r="M7242" s="34">
        <v>912674.5</v>
      </c>
      <c r="N7242" s="34">
        <f t="shared" si="229"/>
        <v>15.851922164214523</v>
      </c>
    </row>
    <row r="7243" spans="1:14" x14ac:dyDescent="0.45">
      <c r="A7243" s="30">
        <v>2026</v>
      </c>
      <c r="B7243" s="30" t="s">
        <v>12</v>
      </c>
      <c r="C7243" s="30" t="s">
        <v>46</v>
      </c>
      <c r="D7243" s="40" t="str">
        <f>VLOOKUP(Table3[[#This Row],[Vendor]],[1]Name.KSN!$C$2:$F$741,4,0)</f>
        <v>Broker</v>
      </c>
      <c r="E7243" s="31" t="s">
        <v>710</v>
      </c>
      <c r="F7243" s="31" t="s">
        <v>189</v>
      </c>
      <c r="G7243" s="32" t="s">
        <v>128</v>
      </c>
      <c r="H7243" s="33">
        <v>1518960</v>
      </c>
      <c r="I7243" s="34">
        <f>Table3[[#This Row],[Volume, kg.]]/1000</f>
        <v>1518.96</v>
      </c>
      <c r="J7243" s="34">
        <v>0.1961</v>
      </c>
      <c r="K7243" s="34">
        <f t="shared" si="228"/>
        <v>297868.05599999998</v>
      </c>
      <c r="L7243" s="34">
        <v>3.33</v>
      </c>
      <c r="M7243" s="34">
        <v>5051961</v>
      </c>
      <c r="N7243" s="34">
        <f t="shared" si="229"/>
        <v>16.981132075471699</v>
      </c>
    </row>
    <row r="7244" spans="1:14" x14ac:dyDescent="0.45">
      <c r="A7244" s="30">
        <v>2026</v>
      </c>
      <c r="B7244" s="30" t="s">
        <v>12</v>
      </c>
      <c r="C7244" s="30" t="s">
        <v>46</v>
      </c>
      <c r="D7244" s="40" t="str">
        <f>VLOOKUP(Table3[[#This Row],[Vendor]],[1]Name.KSN!$C$2:$F$741,4,0)</f>
        <v>Farmer</v>
      </c>
      <c r="E7244" s="31" t="s">
        <v>87</v>
      </c>
      <c r="F7244" s="31" t="s">
        <v>49</v>
      </c>
      <c r="G7244" s="32" t="s">
        <v>50</v>
      </c>
      <c r="H7244" s="33">
        <v>5477</v>
      </c>
      <c r="I7244" s="34">
        <f>Table3[[#This Row],[Volume, kg.]]/1000</f>
        <v>5.4770000000000003</v>
      </c>
      <c r="J7244" s="34">
        <v>0.2316</v>
      </c>
      <c r="K7244" s="34">
        <f t="shared" si="228"/>
        <v>1268.4731999999999</v>
      </c>
      <c r="L7244" s="34">
        <v>3.2</v>
      </c>
      <c r="M7244" s="34">
        <v>17526.400000000001</v>
      </c>
      <c r="N7244" s="34">
        <f t="shared" si="229"/>
        <v>13.81692573402418</v>
      </c>
    </row>
    <row r="7245" spans="1:14" x14ac:dyDescent="0.45">
      <c r="A7245" s="30">
        <v>2026</v>
      </c>
      <c r="B7245" s="30" t="s">
        <v>12</v>
      </c>
      <c r="C7245" s="30" t="s">
        <v>46</v>
      </c>
      <c r="D7245" s="40" t="str">
        <f>VLOOKUP(Table3[[#This Row],[Vendor]],[1]Name.KSN!$C$2:$F$741,4,0)</f>
        <v>Farmer</v>
      </c>
      <c r="E7245" s="31" t="s">
        <v>215</v>
      </c>
      <c r="F7245" s="31" t="s">
        <v>57</v>
      </c>
      <c r="G7245" s="32" t="s">
        <v>50</v>
      </c>
      <c r="H7245" s="33">
        <v>9719</v>
      </c>
      <c r="I7245" s="34">
        <f>Table3[[#This Row],[Volume, kg.]]/1000</f>
        <v>9.7189999999999994</v>
      </c>
      <c r="J7245" s="34">
        <v>0.1905</v>
      </c>
      <c r="K7245" s="34">
        <f t="shared" si="228"/>
        <v>1851.4694999999999</v>
      </c>
      <c r="L7245" s="34">
        <v>3</v>
      </c>
      <c r="M7245" s="34">
        <v>29158.7</v>
      </c>
      <c r="N7245" s="34">
        <f t="shared" si="229"/>
        <v>15.748031496062993</v>
      </c>
    </row>
    <row r="7246" spans="1:14" x14ac:dyDescent="0.45">
      <c r="A7246" s="30">
        <v>2026</v>
      </c>
      <c r="B7246" s="30" t="s">
        <v>12</v>
      </c>
      <c r="C7246" s="30" t="s">
        <v>46</v>
      </c>
      <c r="D7246" s="40" t="str">
        <f>VLOOKUP(Table3[[#This Row],[Vendor]],[1]Name.KSN!$C$2:$F$741,4,0)</f>
        <v>Farmer</v>
      </c>
      <c r="E7246" s="31" t="s">
        <v>453</v>
      </c>
      <c r="F7246" s="31" t="s">
        <v>57</v>
      </c>
      <c r="G7246" s="32" t="s">
        <v>50</v>
      </c>
      <c r="H7246" s="33">
        <v>44012</v>
      </c>
      <c r="I7246" s="34">
        <f>Table3[[#This Row],[Volume, kg.]]/1000</f>
        <v>44.012</v>
      </c>
      <c r="J7246" s="34">
        <v>0.20960000000000001</v>
      </c>
      <c r="K7246" s="34">
        <f t="shared" si="228"/>
        <v>9224.9152000000013</v>
      </c>
      <c r="L7246" s="34">
        <v>3.09</v>
      </c>
      <c r="M7246" s="34">
        <v>136110.54999999999</v>
      </c>
      <c r="N7246" s="34">
        <f t="shared" si="229"/>
        <v>14.742366412213739</v>
      </c>
    </row>
    <row r="7247" spans="1:14" x14ac:dyDescent="0.45">
      <c r="A7247" s="30">
        <v>2026</v>
      </c>
      <c r="B7247" s="30" t="s">
        <v>12</v>
      </c>
      <c r="C7247" s="30" t="s">
        <v>46</v>
      </c>
      <c r="D7247" s="40" t="str">
        <f>VLOOKUP(Table3[[#This Row],[Vendor]],[1]Name.KSN!$C$2:$F$741,4,0)</f>
        <v>Farmer</v>
      </c>
      <c r="E7247" s="31" t="s">
        <v>315</v>
      </c>
      <c r="F7247" s="31" t="s">
        <v>134</v>
      </c>
      <c r="G7247" s="32" t="s">
        <v>50</v>
      </c>
      <c r="H7247" s="33">
        <v>18751</v>
      </c>
      <c r="I7247" s="34">
        <f>Table3[[#This Row],[Volume, kg.]]/1000</f>
        <v>18.751000000000001</v>
      </c>
      <c r="J7247" s="34">
        <v>0.215</v>
      </c>
      <c r="K7247" s="34">
        <f t="shared" si="228"/>
        <v>4031.4650000000001</v>
      </c>
      <c r="L7247" s="34">
        <v>3.1</v>
      </c>
      <c r="M7247" s="34">
        <v>58128.1</v>
      </c>
      <c r="N7247" s="34">
        <f t="shared" si="229"/>
        <v>14.418604651162791</v>
      </c>
    </row>
    <row r="7248" spans="1:14" x14ac:dyDescent="0.45">
      <c r="A7248" s="30">
        <v>2026</v>
      </c>
      <c r="B7248" s="30" t="s">
        <v>12</v>
      </c>
      <c r="C7248" s="30" t="s">
        <v>46</v>
      </c>
      <c r="D7248" s="40" t="str">
        <f>VLOOKUP(Table3[[#This Row],[Vendor]],[1]Name.KSN!$C$2:$F$741,4,0)</f>
        <v>Farmer</v>
      </c>
      <c r="E7248" s="31" t="s">
        <v>159</v>
      </c>
      <c r="F7248" s="31" t="s">
        <v>81</v>
      </c>
      <c r="G7248" s="32" t="s">
        <v>50</v>
      </c>
      <c r="H7248" s="33">
        <v>8018</v>
      </c>
      <c r="I7248" s="34">
        <f>Table3[[#This Row],[Volume, kg.]]/1000</f>
        <v>8.0180000000000007</v>
      </c>
      <c r="J7248" s="34">
        <v>0.188</v>
      </c>
      <c r="K7248" s="34">
        <f t="shared" si="228"/>
        <v>1507.384</v>
      </c>
      <c r="L7248" s="34">
        <v>3</v>
      </c>
      <c r="M7248" s="34">
        <v>24054</v>
      </c>
      <c r="N7248" s="34">
        <f t="shared" si="229"/>
        <v>15.957446808510639</v>
      </c>
    </row>
    <row r="7249" spans="1:14" x14ac:dyDescent="0.45">
      <c r="A7249" s="30">
        <v>2026</v>
      </c>
      <c r="B7249" s="30" t="s">
        <v>12</v>
      </c>
      <c r="C7249" s="30" t="s">
        <v>46</v>
      </c>
      <c r="D7249" s="40" t="str">
        <f>VLOOKUP(Table3[[#This Row],[Vendor]],[1]Name.KSN!$C$2:$F$741,4,0)</f>
        <v>Farmer</v>
      </c>
      <c r="E7249" s="31" t="s">
        <v>405</v>
      </c>
      <c r="F7249" s="31" t="s">
        <v>240</v>
      </c>
      <c r="G7249" s="32" t="s">
        <v>50</v>
      </c>
      <c r="H7249" s="33">
        <v>2611</v>
      </c>
      <c r="I7249" s="34">
        <f>Table3[[#This Row],[Volume, kg.]]/1000</f>
        <v>2.6110000000000002</v>
      </c>
      <c r="J7249" s="34">
        <v>0.1605</v>
      </c>
      <c r="K7249" s="34">
        <f t="shared" si="228"/>
        <v>419.06549999999999</v>
      </c>
      <c r="L7249" s="34">
        <v>2.8</v>
      </c>
      <c r="M7249" s="34">
        <v>7310.8</v>
      </c>
      <c r="N7249" s="34">
        <f t="shared" si="229"/>
        <v>17.445482866043612</v>
      </c>
    </row>
    <row r="7250" spans="1:14" x14ac:dyDescent="0.45">
      <c r="A7250" s="30">
        <v>2026</v>
      </c>
      <c r="B7250" s="30" t="s">
        <v>12</v>
      </c>
      <c r="C7250" s="30" t="s">
        <v>46</v>
      </c>
      <c r="D7250" s="40" t="str">
        <f>VLOOKUP(Table3[[#This Row],[Vendor]],[1]Name.KSN!$C$2:$F$741,4,0)</f>
        <v>Farmer</v>
      </c>
      <c r="E7250" s="31" t="s">
        <v>347</v>
      </c>
      <c r="F7250" s="31" t="s">
        <v>49</v>
      </c>
      <c r="G7250" s="32" t="s">
        <v>50</v>
      </c>
      <c r="H7250" s="33">
        <v>8072</v>
      </c>
      <c r="I7250" s="34">
        <f>Table3[[#This Row],[Volume, kg.]]/1000</f>
        <v>8.0719999999999992</v>
      </c>
      <c r="J7250" s="34">
        <v>0.24850000000000003</v>
      </c>
      <c r="K7250" s="34">
        <f t="shared" si="228"/>
        <v>2005.8920000000003</v>
      </c>
      <c r="L7250" s="34">
        <v>3.29</v>
      </c>
      <c r="M7250" s="34">
        <v>26572.3</v>
      </c>
      <c r="N7250" s="34">
        <f t="shared" si="229"/>
        <v>13.239436619718308</v>
      </c>
    </row>
    <row r="7251" spans="1:14" x14ac:dyDescent="0.45">
      <c r="A7251" s="30">
        <v>2026</v>
      </c>
      <c r="B7251" s="30" t="s">
        <v>12</v>
      </c>
      <c r="C7251" s="30" t="s">
        <v>46</v>
      </c>
      <c r="D7251" s="40" t="str">
        <f>VLOOKUP(Table3[[#This Row],[Vendor]],[1]Name.KSN!$C$2:$F$741,4,0)</f>
        <v>Farmer</v>
      </c>
      <c r="E7251" s="31" t="s">
        <v>406</v>
      </c>
      <c r="F7251" s="31" t="s">
        <v>81</v>
      </c>
      <c r="G7251" s="32" t="s">
        <v>50</v>
      </c>
      <c r="H7251" s="33">
        <v>22831</v>
      </c>
      <c r="I7251" s="34">
        <f>Table3[[#This Row],[Volume, kg.]]/1000</f>
        <v>22.831</v>
      </c>
      <c r="J7251" s="34">
        <v>0.2039</v>
      </c>
      <c r="K7251" s="34">
        <f t="shared" si="228"/>
        <v>4655.2408999999998</v>
      </c>
      <c r="L7251" s="34">
        <v>3.07</v>
      </c>
      <c r="M7251" s="34">
        <v>70018</v>
      </c>
      <c r="N7251" s="34">
        <f t="shared" si="229"/>
        <v>15.056400196174595</v>
      </c>
    </row>
    <row r="7252" spans="1:14" x14ac:dyDescent="0.45">
      <c r="A7252" s="30">
        <v>2026</v>
      </c>
      <c r="B7252" s="30" t="s">
        <v>12</v>
      </c>
      <c r="C7252" s="30" t="s">
        <v>46</v>
      </c>
      <c r="D7252" s="40" t="str">
        <f>VLOOKUP(Table3[[#This Row],[Vendor]],[1]Name.KSN!$C$2:$F$741,4,0)</f>
        <v>Farmer</v>
      </c>
      <c r="E7252" s="31" t="s">
        <v>309</v>
      </c>
      <c r="F7252" s="31" t="s">
        <v>81</v>
      </c>
      <c r="G7252" s="32" t="s">
        <v>50</v>
      </c>
      <c r="H7252" s="33">
        <v>33461</v>
      </c>
      <c r="I7252" s="34">
        <f>Table3[[#This Row],[Volume, kg.]]/1000</f>
        <v>33.460999999999999</v>
      </c>
      <c r="J7252" s="34">
        <v>0.21109999999999998</v>
      </c>
      <c r="K7252" s="34">
        <f t="shared" si="228"/>
        <v>7063.6170999999995</v>
      </c>
      <c r="L7252" s="34">
        <v>3.09</v>
      </c>
      <c r="M7252" s="34">
        <v>103473.5</v>
      </c>
      <c r="N7252" s="34">
        <f t="shared" si="229"/>
        <v>14.637612505921364</v>
      </c>
    </row>
    <row r="7253" spans="1:14" x14ac:dyDescent="0.45">
      <c r="A7253" s="30">
        <v>2026</v>
      </c>
      <c r="B7253" s="30" t="s">
        <v>12</v>
      </c>
      <c r="C7253" s="30" t="s">
        <v>46</v>
      </c>
      <c r="D7253" s="40" t="str">
        <f>VLOOKUP(Table3[[#This Row],[Vendor]],[1]Name.KSN!$C$2:$F$741,4,0)</f>
        <v>Farmer</v>
      </c>
      <c r="E7253" s="31" t="s">
        <v>151</v>
      </c>
      <c r="F7253" s="31" t="s">
        <v>60</v>
      </c>
      <c r="G7253" s="32" t="s">
        <v>50</v>
      </c>
      <c r="H7253" s="33">
        <v>5523</v>
      </c>
      <c r="I7253" s="34">
        <f>Table3[[#This Row],[Volume, kg.]]/1000</f>
        <v>5.5229999999999997</v>
      </c>
      <c r="J7253" s="34">
        <v>0.19699999999999998</v>
      </c>
      <c r="K7253" s="34">
        <f t="shared" si="228"/>
        <v>1088.0309999999999</v>
      </c>
      <c r="L7253" s="34">
        <v>3.05</v>
      </c>
      <c r="M7253" s="34">
        <v>16845.150000000001</v>
      </c>
      <c r="N7253" s="34">
        <f t="shared" si="229"/>
        <v>15.482233502538072</v>
      </c>
    </row>
    <row r="7254" spans="1:14" x14ac:dyDescent="0.45">
      <c r="A7254" s="30">
        <v>2026</v>
      </c>
      <c r="B7254" s="30" t="s">
        <v>12</v>
      </c>
      <c r="C7254" s="30" t="s">
        <v>46</v>
      </c>
      <c r="D7254" s="40" t="str">
        <f>VLOOKUP(Table3[[#This Row],[Vendor]],[1]Name.KSN!$C$2:$F$741,4,0)</f>
        <v>Farmer</v>
      </c>
      <c r="E7254" s="31" t="s">
        <v>252</v>
      </c>
      <c r="F7254" s="31" t="s">
        <v>49</v>
      </c>
      <c r="G7254" s="32" t="s">
        <v>50</v>
      </c>
      <c r="H7254" s="33">
        <v>13905</v>
      </c>
      <c r="I7254" s="34">
        <f>Table3[[#This Row],[Volume, kg.]]/1000</f>
        <v>13.904999999999999</v>
      </c>
      <c r="J7254" s="34">
        <v>0.21239999999999998</v>
      </c>
      <c r="K7254" s="34">
        <f t="shared" si="228"/>
        <v>2953.4219999999996</v>
      </c>
      <c r="L7254" s="34">
        <v>3.13</v>
      </c>
      <c r="M7254" s="34">
        <v>43503.1</v>
      </c>
      <c r="N7254" s="34">
        <f t="shared" si="229"/>
        <v>14.736346516007535</v>
      </c>
    </row>
    <row r="7255" spans="1:14" x14ac:dyDescent="0.45">
      <c r="A7255" s="30">
        <v>2026</v>
      </c>
      <c r="B7255" s="30" t="s">
        <v>12</v>
      </c>
      <c r="C7255" s="30" t="s">
        <v>46</v>
      </c>
      <c r="D7255" s="40" t="str">
        <f>VLOOKUP(Table3[[#This Row],[Vendor]],[1]Name.KSN!$C$2:$F$741,4,0)</f>
        <v>Farmer</v>
      </c>
      <c r="E7255" s="31" t="s">
        <v>205</v>
      </c>
      <c r="F7255" s="31" t="s">
        <v>49</v>
      </c>
      <c r="G7255" s="32" t="s">
        <v>50</v>
      </c>
      <c r="H7255" s="33">
        <v>8738</v>
      </c>
      <c r="I7255" s="34">
        <f>Table3[[#This Row],[Volume, kg.]]/1000</f>
        <v>8.7379999999999995</v>
      </c>
      <c r="J7255" s="34">
        <v>0.26649999999999996</v>
      </c>
      <c r="K7255" s="34">
        <f t="shared" si="228"/>
        <v>2328.6769999999997</v>
      </c>
      <c r="L7255" s="34">
        <v>3.35</v>
      </c>
      <c r="M7255" s="34">
        <v>29272.3</v>
      </c>
      <c r="N7255" s="34">
        <f t="shared" si="229"/>
        <v>12.570356472795499</v>
      </c>
    </row>
    <row r="7256" spans="1:14" x14ac:dyDescent="0.45">
      <c r="A7256" s="30">
        <v>2026</v>
      </c>
      <c r="B7256" s="30" t="s">
        <v>12</v>
      </c>
      <c r="C7256" s="30" t="s">
        <v>46</v>
      </c>
      <c r="D7256" s="40" t="str">
        <f>VLOOKUP(Table3[[#This Row],[Vendor]],[1]Name.KSN!$C$2:$F$741,4,0)</f>
        <v>Farmer</v>
      </c>
      <c r="E7256" s="31" t="s">
        <v>409</v>
      </c>
      <c r="F7256" s="31" t="s">
        <v>57</v>
      </c>
      <c r="G7256" s="32" t="s">
        <v>50</v>
      </c>
      <c r="H7256" s="33">
        <v>25137</v>
      </c>
      <c r="I7256" s="34">
        <f>Table3[[#This Row],[Volume, kg.]]/1000</f>
        <v>25.137</v>
      </c>
      <c r="J7256" s="34">
        <v>0.17859999999999998</v>
      </c>
      <c r="K7256" s="34">
        <f t="shared" si="228"/>
        <v>4489.4681999999993</v>
      </c>
      <c r="L7256" s="34">
        <v>2.94</v>
      </c>
      <c r="M7256" s="34">
        <v>73854.8</v>
      </c>
      <c r="N7256" s="34">
        <f t="shared" si="229"/>
        <v>16.461366181410977</v>
      </c>
    </row>
    <row r="7257" spans="1:14" x14ac:dyDescent="0.45">
      <c r="A7257" s="30">
        <v>2026</v>
      </c>
      <c r="B7257" s="30" t="s">
        <v>12</v>
      </c>
      <c r="C7257" s="30" t="s">
        <v>46</v>
      </c>
      <c r="D7257" s="40" t="str">
        <f>VLOOKUP(Table3[[#This Row],[Vendor]],[1]Name.KSN!$C$2:$F$741,4,0)</f>
        <v>Broker</v>
      </c>
      <c r="E7257" s="31" t="s">
        <v>418</v>
      </c>
      <c r="F7257" s="31" t="s">
        <v>104</v>
      </c>
      <c r="G7257" s="32" t="s">
        <v>105</v>
      </c>
      <c r="H7257" s="33">
        <v>2165730</v>
      </c>
      <c r="I7257" s="34">
        <f>Table3[[#This Row],[Volume, kg.]]/1000</f>
        <v>2165.73</v>
      </c>
      <c r="J7257" s="34">
        <v>0.19649999999999998</v>
      </c>
      <c r="K7257" s="34">
        <f t="shared" si="228"/>
        <v>425565.94499999995</v>
      </c>
      <c r="L7257" s="34">
        <v>3.32</v>
      </c>
      <c r="M7257" s="34">
        <v>7198761.5</v>
      </c>
      <c r="N7257" s="34">
        <f t="shared" si="229"/>
        <v>16.895674300254452</v>
      </c>
    </row>
    <row r="7258" spans="1:14" x14ac:dyDescent="0.45">
      <c r="A7258" s="30">
        <v>2026</v>
      </c>
      <c r="B7258" s="30" t="s">
        <v>12</v>
      </c>
      <c r="C7258" s="30" t="s">
        <v>46</v>
      </c>
      <c r="D7258" s="40" t="str">
        <f>VLOOKUP(Table3[[#This Row],[Vendor]],[1]Name.KSN!$C$2:$F$741,4,0)</f>
        <v>Farmer</v>
      </c>
      <c r="E7258" s="31" t="s">
        <v>434</v>
      </c>
      <c r="F7258" s="31" t="s">
        <v>57</v>
      </c>
      <c r="G7258" s="32" t="s">
        <v>50</v>
      </c>
      <c r="H7258" s="33">
        <v>19457</v>
      </c>
      <c r="I7258" s="34">
        <f>Table3[[#This Row],[Volume, kg.]]/1000</f>
        <v>19.457000000000001</v>
      </c>
      <c r="J7258" s="34">
        <v>0.17489999999999997</v>
      </c>
      <c r="K7258" s="34">
        <f t="shared" si="228"/>
        <v>3403.0292999999992</v>
      </c>
      <c r="L7258" s="34">
        <v>2.91</v>
      </c>
      <c r="M7258" s="34">
        <v>56516.35</v>
      </c>
      <c r="N7258" s="34">
        <f t="shared" si="229"/>
        <v>16.63807890222985</v>
      </c>
    </row>
    <row r="7259" spans="1:14" x14ac:dyDescent="0.45">
      <c r="A7259" s="30">
        <v>2026</v>
      </c>
      <c r="B7259" s="30" t="s">
        <v>12</v>
      </c>
      <c r="C7259" s="30" t="s">
        <v>46</v>
      </c>
      <c r="D7259" s="40" t="str">
        <f>VLOOKUP(Table3[[#This Row],[Vendor]],[1]Name.KSN!$C$2:$F$741,4,0)</f>
        <v>Farmer</v>
      </c>
      <c r="E7259" s="31" t="s">
        <v>488</v>
      </c>
      <c r="F7259" s="31" t="s">
        <v>57</v>
      </c>
      <c r="G7259" s="32" t="s">
        <v>50</v>
      </c>
      <c r="H7259" s="33">
        <v>2139</v>
      </c>
      <c r="I7259" s="34">
        <f>Table3[[#This Row],[Volume, kg.]]/1000</f>
        <v>2.1389999999999998</v>
      </c>
      <c r="J7259" s="34">
        <v>0.23149999999999998</v>
      </c>
      <c r="K7259" s="34">
        <f t="shared" si="228"/>
        <v>495.17849999999999</v>
      </c>
      <c r="L7259" s="34">
        <v>3.2</v>
      </c>
      <c r="M7259" s="34">
        <v>6844.8</v>
      </c>
      <c r="N7259" s="34">
        <f t="shared" si="229"/>
        <v>13.822894168466524</v>
      </c>
    </row>
    <row r="7260" spans="1:14" x14ac:dyDescent="0.45">
      <c r="A7260" s="30">
        <v>2026</v>
      </c>
      <c r="B7260" s="30" t="s">
        <v>12</v>
      </c>
      <c r="C7260" s="30" t="s">
        <v>46</v>
      </c>
      <c r="D7260" s="40" t="str">
        <f>VLOOKUP(Table3[[#This Row],[Vendor]],[1]Name.KSN!$C$2:$F$741,4,0)</f>
        <v>Farmer</v>
      </c>
      <c r="E7260" s="31" t="s">
        <v>489</v>
      </c>
      <c r="F7260" s="31" t="s">
        <v>81</v>
      </c>
      <c r="G7260" s="32" t="s">
        <v>50</v>
      </c>
      <c r="H7260" s="33">
        <v>30245</v>
      </c>
      <c r="I7260" s="34">
        <f>Table3[[#This Row],[Volume, kg.]]/1000</f>
        <v>30.245000000000001</v>
      </c>
      <c r="J7260" s="34">
        <v>0.18429999999999999</v>
      </c>
      <c r="K7260" s="34">
        <f t="shared" si="228"/>
        <v>5574.1534999999994</v>
      </c>
      <c r="L7260" s="34">
        <v>2.98</v>
      </c>
      <c r="M7260" s="34">
        <v>89982.15</v>
      </c>
      <c r="N7260" s="34">
        <f t="shared" si="229"/>
        <v>16.169289202387411</v>
      </c>
    </row>
    <row r="7261" spans="1:14" x14ac:dyDescent="0.45">
      <c r="A7261" s="30">
        <v>2026</v>
      </c>
      <c r="B7261" s="30" t="s">
        <v>12</v>
      </c>
      <c r="C7261" s="30" t="s">
        <v>46</v>
      </c>
      <c r="D7261" s="40" t="str">
        <f>VLOOKUP(Table3[[#This Row],[Vendor]],[1]Name.KSN!$C$2:$F$741,4,0)</f>
        <v>Farmer</v>
      </c>
      <c r="E7261" s="31" t="s">
        <v>492</v>
      </c>
      <c r="F7261" s="31" t="s">
        <v>57</v>
      </c>
      <c r="G7261" s="32" t="s">
        <v>50</v>
      </c>
      <c r="H7261" s="33">
        <v>27709</v>
      </c>
      <c r="I7261" s="34">
        <f>Table3[[#This Row],[Volume, kg.]]/1000</f>
        <v>27.709</v>
      </c>
      <c r="J7261" s="34">
        <v>0.16719999999999999</v>
      </c>
      <c r="K7261" s="34">
        <f t="shared" si="228"/>
        <v>4632.9447999999993</v>
      </c>
      <c r="L7261" s="34">
        <v>2.86</v>
      </c>
      <c r="M7261" s="34">
        <v>79216.850000000006</v>
      </c>
      <c r="N7261" s="34">
        <f t="shared" si="229"/>
        <v>17.105263157894736</v>
      </c>
    </row>
    <row r="7262" spans="1:14" x14ac:dyDescent="0.45">
      <c r="A7262" s="30">
        <v>2026</v>
      </c>
      <c r="B7262" s="30" t="s">
        <v>12</v>
      </c>
      <c r="C7262" s="30" t="s">
        <v>46</v>
      </c>
      <c r="D7262" s="40" t="str">
        <f>VLOOKUP(Table3[[#This Row],[Vendor]],[1]Name.KSN!$C$2:$F$741,4,0)</f>
        <v>Broker</v>
      </c>
      <c r="E7262" s="31" t="s">
        <v>552</v>
      </c>
      <c r="F7262" s="31" t="s">
        <v>238</v>
      </c>
      <c r="G7262" s="32" t="s">
        <v>50</v>
      </c>
      <c r="H7262" s="33">
        <v>1948790</v>
      </c>
      <c r="I7262" s="34">
        <f>Table3[[#This Row],[Volume, kg.]]/1000</f>
        <v>1948.79</v>
      </c>
      <c r="J7262" s="34">
        <v>0.18690000000000001</v>
      </c>
      <c r="K7262" s="34">
        <f t="shared" si="228"/>
        <v>364228.85100000002</v>
      </c>
      <c r="L7262" s="34">
        <v>3.28</v>
      </c>
      <c r="M7262" s="34">
        <v>6386600</v>
      </c>
      <c r="N7262" s="34">
        <f t="shared" si="229"/>
        <v>17.549491706795077</v>
      </c>
    </row>
    <row r="7263" spans="1:14" x14ac:dyDescent="0.45">
      <c r="A7263" s="30">
        <v>2026</v>
      </c>
      <c r="B7263" s="30" t="s">
        <v>12</v>
      </c>
      <c r="C7263" s="30" t="s">
        <v>46</v>
      </c>
      <c r="D7263" s="40" t="str">
        <f>VLOOKUP(Table3[[#This Row],[Vendor]],[1]Name.KSN!$C$2:$F$741,4,0)</f>
        <v>Farmer</v>
      </c>
      <c r="E7263" s="31" t="s">
        <v>588</v>
      </c>
      <c r="F7263" s="31" t="s">
        <v>223</v>
      </c>
      <c r="G7263" s="32" t="s">
        <v>50</v>
      </c>
      <c r="H7263" s="33">
        <v>42209</v>
      </c>
      <c r="I7263" s="34">
        <f>Table3[[#This Row],[Volume, kg.]]/1000</f>
        <v>42.209000000000003</v>
      </c>
      <c r="J7263" s="34">
        <v>0.21460000000000001</v>
      </c>
      <c r="K7263" s="34">
        <f t="shared" si="228"/>
        <v>9058.0514000000003</v>
      </c>
      <c r="L7263" s="34">
        <v>3.06</v>
      </c>
      <c r="M7263" s="34">
        <v>129247.35</v>
      </c>
      <c r="N7263" s="34">
        <f t="shared" si="229"/>
        <v>14.259086672879775</v>
      </c>
    </row>
    <row r="7264" spans="1:14" x14ac:dyDescent="0.45">
      <c r="A7264" s="30">
        <v>2026</v>
      </c>
      <c r="B7264" s="30" t="s">
        <v>12</v>
      </c>
      <c r="C7264" s="30" t="s">
        <v>46</v>
      </c>
      <c r="D7264" s="40" t="str">
        <f>VLOOKUP(Table3[[#This Row],[Vendor]],[1]Name.KSN!$C$2:$F$741,4,0)</f>
        <v>Farmer</v>
      </c>
      <c r="E7264" s="31" t="s">
        <v>592</v>
      </c>
      <c r="F7264" s="31" t="s">
        <v>223</v>
      </c>
      <c r="G7264" s="32" t="s">
        <v>50</v>
      </c>
      <c r="H7264" s="33">
        <v>9169</v>
      </c>
      <c r="I7264" s="34">
        <f>Table3[[#This Row],[Volume, kg.]]/1000</f>
        <v>9.1690000000000005</v>
      </c>
      <c r="J7264" s="34">
        <v>0.1515</v>
      </c>
      <c r="K7264" s="34">
        <f t="shared" si="228"/>
        <v>1389.1034999999999</v>
      </c>
      <c r="L7264" s="34">
        <v>2.75</v>
      </c>
      <c r="M7264" s="34">
        <v>25214.75</v>
      </c>
      <c r="N7264" s="34">
        <f t="shared" si="229"/>
        <v>18.151815181518153</v>
      </c>
    </row>
    <row r="7265" spans="1:14" x14ac:dyDescent="0.45">
      <c r="A7265" s="30">
        <v>2026</v>
      </c>
      <c r="B7265" s="30" t="s">
        <v>12</v>
      </c>
      <c r="C7265" s="30" t="s">
        <v>46</v>
      </c>
      <c r="D7265" s="40" t="str">
        <f>VLOOKUP(Table3[[#This Row],[Vendor]],[1]Name.KSN!$C$2:$F$741,4,0)</f>
        <v>Farmer</v>
      </c>
      <c r="E7265" s="31" t="s">
        <v>612</v>
      </c>
      <c r="F7265" s="31" t="s">
        <v>57</v>
      </c>
      <c r="G7265" s="32" t="s">
        <v>50</v>
      </c>
      <c r="H7265" s="33">
        <v>11915</v>
      </c>
      <c r="I7265" s="34">
        <f>Table3[[#This Row],[Volume, kg.]]/1000</f>
        <v>11.914999999999999</v>
      </c>
      <c r="J7265" s="34">
        <v>0.19450000000000001</v>
      </c>
      <c r="K7265" s="34">
        <f t="shared" si="228"/>
        <v>2317.4675000000002</v>
      </c>
      <c r="L7265" s="34">
        <v>2.95</v>
      </c>
      <c r="M7265" s="34">
        <v>35149.25</v>
      </c>
      <c r="N7265" s="34">
        <f t="shared" si="229"/>
        <v>15.167095115681235</v>
      </c>
    </row>
    <row r="7266" spans="1:14" x14ac:dyDescent="0.45">
      <c r="A7266" s="30">
        <v>2026</v>
      </c>
      <c r="B7266" s="30" t="s">
        <v>12</v>
      </c>
      <c r="C7266" s="30" t="s">
        <v>46</v>
      </c>
      <c r="D7266" s="40" t="str">
        <f>VLOOKUP(Table3[[#This Row],[Vendor]],[1]Name.KSN!$C$2:$F$741,4,0)</f>
        <v>Farmer</v>
      </c>
      <c r="E7266" s="31" t="s">
        <v>670</v>
      </c>
      <c r="F7266" s="31" t="s">
        <v>81</v>
      </c>
      <c r="G7266" s="32" t="s">
        <v>50</v>
      </c>
      <c r="H7266" s="33">
        <v>15962</v>
      </c>
      <c r="I7266" s="34">
        <f>Table3[[#This Row],[Volume, kg.]]/1000</f>
        <v>15.962</v>
      </c>
      <c r="J7266" s="34">
        <v>0.19600000000000001</v>
      </c>
      <c r="K7266" s="34">
        <f t="shared" si="228"/>
        <v>3128.5520000000001</v>
      </c>
      <c r="L7266" s="34">
        <v>3</v>
      </c>
      <c r="M7266" s="34">
        <v>47886</v>
      </c>
      <c r="N7266" s="34">
        <f t="shared" si="229"/>
        <v>15.306122448979592</v>
      </c>
    </row>
    <row r="7267" spans="1:14" x14ac:dyDescent="0.45">
      <c r="A7267" s="30">
        <v>2026</v>
      </c>
      <c r="B7267" s="30" t="s">
        <v>12</v>
      </c>
      <c r="C7267" s="30" t="s">
        <v>46</v>
      </c>
      <c r="D7267" s="40" t="str">
        <f>VLOOKUP(Table3[[#This Row],[Vendor]],[1]Name.KSN!$C$2:$F$741,4,0)</f>
        <v>Farmer</v>
      </c>
      <c r="E7267" s="31" t="s">
        <v>662</v>
      </c>
      <c r="F7267" s="31" t="s">
        <v>57</v>
      </c>
      <c r="G7267" s="32" t="s">
        <v>50</v>
      </c>
      <c r="H7267" s="33">
        <v>4984</v>
      </c>
      <c r="I7267" s="34">
        <f>Table3[[#This Row],[Volume, kg.]]/1000</f>
        <v>4.984</v>
      </c>
      <c r="J7267" s="34">
        <v>0.20899999999999999</v>
      </c>
      <c r="K7267" s="34">
        <f t="shared" si="228"/>
        <v>1041.6559999999999</v>
      </c>
      <c r="L7267" s="34">
        <v>3.1</v>
      </c>
      <c r="M7267" s="34">
        <v>15450.4</v>
      </c>
      <c r="N7267" s="34">
        <f t="shared" si="229"/>
        <v>14.832535885167465</v>
      </c>
    </row>
    <row r="7268" spans="1:14" x14ac:dyDescent="0.45">
      <c r="A7268" s="30">
        <v>2026</v>
      </c>
      <c r="B7268" s="30" t="s">
        <v>12</v>
      </c>
      <c r="C7268" s="30" t="s">
        <v>46</v>
      </c>
      <c r="D7268" s="40" t="str">
        <f>VLOOKUP(Table3[[#This Row],[Vendor]],[1]Name.KSN!$C$2:$F$741,4,0)</f>
        <v>Broker</v>
      </c>
      <c r="E7268" s="31" t="s">
        <v>665</v>
      </c>
      <c r="F7268" s="31" t="s">
        <v>487</v>
      </c>
      <c r="G7268" s="32" t="s">
        <v>341</v>
      </c>
      <c r="H7268" s="33">
        <v>1300860</v>
      </c>
      <c r="I7268" s="34">
        <f>Table3[[#This Row],[Volume, kg.]]/1000</f>
        <v>1300.8599999999999</v>
      </c>
      <c r="J7268" s="34">
        <v>0.2051</v>
      </c>
      <c r="K7268" s="34">
        <f t="shared" si="228"/>
        <v>266806.386</v>
      </c>
      <c r="L7268" s="34">
        <v>3.35</v>
      </c>
      <c r="M7268" s="34">
        <v>4361494.5</v>
      </c>
      <c r="N7268" s="34">
        <f t="shared" si="229"/>
        <v>16.333495855680155</v>
      </c>
    </row>
    <row r="7269" spans="1:14" x14ac:dyDescent="0.45">
      <c r="A7269" s="30">
        <v>2026</v>
      </c>
      <c r="B7269" s="30" t="s">
        <v>12</v>
      </c>
      <c r="C7269" s="30" t="s">
        <v>46</v>
      </c>
      <c r="D7269" s="40" t="str">
        <f>VLOOKUP(Table3[[#This Row],[Vendor]],[1]Name.KSN!$C$2:$F$741,4,0)</f>
        <v>Farmer</v>
      </c>
      <c r="E7269" s="31" t="s">
        <v>782</v>
      </c>
      <c r="F7269" s="31" t="s">
        <v>54</v>
      </c>
      <c r="G7269" s="32" t="s">
        <v>50</v>
      </c>
      <c r="H7269" s="33">
        <v>8878</v>
      </c>
      <c r="I7269" s="34">
        <f>Table3[[#This Row],[Volume, kg.]]/1000</f>
        <v>8.8780000000000001</v>
      </c>
      <c r="J7269" s="34">
        <v>0.23350000000000001</v>
      </c>
      <c r="K7269" s="34">
        <f t="shared" si="228"/>
        <v>2073.0129999999999</v>
      </c>
      <c r="L7269" s="34">
        <v>3.15</v>
      </c>
      <c r="M7269" s="34">
        <v>27965.7</v>
      </c>
      <c r="N7269" s="34">
        <f t="shared" si="229"/>
        <v>13.49036402569593</v>
      </c>
    </row>
    <row r="7270" spans="1:14" x14ac:dyDescent="0.45">
      <c r="A7270" s="30">
        <v>2026</v>
      </c>
      <c r="B7270" s="30" t="s">
        <v>12</v>
      </c>
      <c r="C7270" s="30" t="s">
        <v>46</v>
      </c>
      <c r="D7270" s="40" t="str">
        <f>VLOOKUP(Table3[[#This Row],[Vendor]],[1]Name.KSN!$C$2:$F$741,4,0)</f>
        <v>Farmer</v>
      </c>
      <c r="E7270" s="31" t="s">
        <v>698</v>
      </c>
      <c r="F7270" s="31" t="s">
        <v>57</v>
      </c>
      <c r="G7270" s="32" t="s">
        <v>50</v>
      </c>
      <c r="H7270" s="33">
        <v>14876</v>
      </c>
      <c r="I7270" s="34">
        <f>Table3[[#This Row],[Volume, kg.]]/1000</f>
        <v>14.875999999999999</v>
      </c>
      <c r="J7270" s="34">
        <v>0.187</v>
      </c>
      <c r="K7270" s="34">
        <f t="shared" si="228"/>
        <v>2781.8119999999999</v>
      </c>
      <c r="L7270" s="34">
        <v>2.99</v>
      </c>
      <c r="M7270" s="34">
        <v>44469.599999999999</v>
      </c>
      <c r="N7270" s="34">
        <f t="shared" si="229"/>
        <v>15.989304812834225</v>
      </c>
    </row>
    <row r="7271" spans="1:14" x14ac:dyDescent="0.45">
      <c r="A7271" s="30">
        <v>2026</v>
      </c>
      <c r="B7271" s="30" t="s">
        <v>12</v>
      </c>
      <c r="C7271" s="30" t="s">
        <v>46</v>
      </c>
      <c r="D7271" s="40" t="str">
        <f>VLOOKUP(Table3[[#This Row],[Vendor]],[1]Name.KSN!$C$2:$F$741,4,0)</f>
        <v>Farmer</v>
      </c>
      <c r="E7271" s="31" t="s">
        <v>717</v>
      </c>
      <c r="F7271" s="31" t="s">
        <v>223</v>
      </c>
      <c r="G7271" s="32" t="s">
        <v>50</v>
      </c>
      <c r="H7271" s="33">
        <v>10069</v>
      </c>
      <c r="I7271" s="34">
        <f>Table3[[#This Row],[Volume, kg.]]/1000</f>
        <v>10.069000000000001</v>
      </c>
      <c r="J7271" s="34">
        <v>0.16699999999999998</v>
      </c>
      <c r="K7271" s="34">
        <f t="shared" si="228"/>
        <v>1681.5229999999999</v>
      </c>
      <c r="L7271" s="34">
        <v>2.9</v>
      </c>
      <c r="M7271" s="34">
        <v>29200.1</v>
      </c>
      <c r="N7271" s="34">
        <f t="shared" si="229"/>
        <v>17.365269461077844</v>
      </c>
    </row>
    <row r="7272" spans="1:14" x14ac:dyDescent="0.45">
      <c r="A7272" s="30">
        <v>2026</v>
      </c>
      <c r="B7272" s="30" t="s">
        <v>12</v>
      </c>
      <c r="C7272" s="30" t="s">
        <v>46</v>
      </c>
      <c r="D7272" s="40" t="str">
        <f>VLOOKUP(Table3[[#This Row],[Vendor]],[1]Name.KSN!$C$2:$F$741,4,0)</f>
        <v>Broker</v>
      </c>
      <c r="E7272" s="31" t="s">
        <v>732</v>
      </c>
      <c r="F7272" s="31" t="s">
        <v>349</v>
      </c>
      <c r="G7272" s="32" t="s">
        <v>105</v>
      </c>
      <c r="H7272" s="33">
        <v>143590</v>
      </c>
      <c r="I7272" s="34">
        <f>Table3[[#This Row],[Volume, kg.]]/1000</f>
        <v>143.59</v>
      </c>
      <c r="J7272" s="34">
        <v>0.19239999999999999</v>
      </c>
      <c r="K7272" s="34">
        <f t="shared" si="228"/>
        <v>27626.715999999997</v>
      </c>
      <c r="L7272" s="34">
        <v>3.3</v>
      </c>
      <c r="M7272" s="34">
        <v>473985</v>
      </c>
      <c r="N7272" s="34">
        <f t="shared" si="229"/>
        <v>17.151767151767153</v>
      </c>
    </row>
    <row r="7273" spans="1:14" x14ac:dyDescent="0.45">
      <c r="A7273" s="30">
        <v>2026</v>
      </c>
      <c r="B7273" s="30" t="s">
        <v>12</v>
      </c>
      <c r="C7273" s="30" t="s">
        <v>46</v>
      </c>
      <c r="D7273" s="40" t="str">
        <f>VLOOKUP(Table3[[#This Row],[Vendor]],[1]Name.KSN!$C$2:$F$741,4,0)</f>
        <v>Broker</v>
      </c>
      <c r="E7273" s="31" t="s">
        <v>735</v>
      </c>
      <c r="F7273" s="31" t="s">
        <v>736</v>
      </c>
      <c r="G7273" s="32" t="s">
        <v>50</v>
      </c>
      <c r="H7273" s="33">
        <v>285620</v>
      </c>
      <c r="I7273" s="34">
        <f>Table3[[#This Row],[Volume, kg.]]/1000</f>
        <v>285.62</v>
      </c>
      <c r="J7273" s="34">
        <v>0.1822</v>
      </c>
      <c r="K7273" s="34">
        <f t="shared" si="228"/>
        <v>52039.964</v>
      </c>
      <c r="L7273" s="34">
        <v>3.31</v>
      </c>
      <c r="M7273" s="34">
        <v>945002.5</v>
      </c>
      <c r="N7273" s="34">
        <f t="shared" si="229"/>
        <v>18.166849615806807</v>
      </c>
    </row>
    <row r="7274" spans="1:14" x14ac:dyDescent="0.45">
      <c r="A7274" s="30">
        <v>2026</v>
      </c>
      <c r="B7274" s="30" t="s">
        <v>12</v>
      </c>
      <c r="C7274" s="30" t="s">
        <v>46</v>
      </c>
      <c r="D7274" s="40" t="str">
        <f>VLOOKUP(Table3[[#This Row],[Vendor]],[1]Name.KSN!$C$2:$F$741,4,0)</f>
        <v>Farmer</v>
      </c>
      <c r="E7274" s="31" t="s">
        <v>738</v>
      </c>
      <c r="F7274" s="31" t="s">
        <v>81</v>
      </c>
      <c r="G7274" s="32" t="s">
        <v>50</v>
      </c>
      <c r="H7274" s="33">
        <v>46389</v>
      </c>
      <c r="I7274" s="34">
        <f>Table3[[#This Row],[Volume, kg.]]/1000</f>
        <v>46.389000000000003</v>
      </c>
      <c r="J7274" s="34">
        <v>0.20440000000000003</v>
      </c>
      <c r="K7274" s="34">
        <f t="shared" si="228"/>
        <v>9481.9116000000013</v>
      </c>
      <c r="L7274" s="34">
        <v>3.08</v>
      </c>
      <c r="M7274" s="34">
        <v>142848.75</v>
      </c>
      <c r="N7274" s="34">
        <f t="shared" si="229"/>
        <v>15.06849315068493</v>
      </c>
    </row>
    <row r="7275" spans="1:14" x14ac:dyDescent="0.45">
      <c r="A7275" s="30">
        <v>2026</v>
      </c>
      <c r="B7275" s="30" t="s">
        <v>12</v>
      </c>
      <c r="C7275" s="30" t="s">
        <v>46</v>
      </c>
      <c r="D7275" s="40" t="str">
        <f>VLOOKUP(Table3[[#This Row],[Vendor]],[1]Name.KSN!$C$2:$F$741,4,0)</f>
        <v>Farmer</v>
      </c>
      <c r="E7275" s="31" t="s">
        <v>749</v>
      </c>
      <c r="F7275" s="31" t="s">
        <v>57</v>
      </c>
      <c r="G7275" s="32" t="s">
        <v>50</v>
      </c>
      <c r="H7275" s="33">
        <v>13690</v>
      </c>
      <c r="I7275" s="34">
        <f>Table3[[#This Row],[Volume, kg.]]/1000</f>
        <v>13.69</v>
      </c>
      <c r="J7275" s="34">
        <v>0.1638</v>
      </c>
      <c r="K7275" s="34">
        <f t="shared" si="228"/>
        <v>2242.422</v>
      </c>
      <c r="L7275" s="34">
        <v>2.85</v>
      </c>
      <c r="M7275" s="34">
        <v>39033.800000000003</v>
      </c>
      <c r="N7275" s="34">
        <f t="shared" si="229"/>
        <v>17.399267399267401</v>
      </c>
    </row>
    <row r="7276" spans="1:14" x14ac:dyDescent="0.45">
      <c r="A7276" s="30">
        <v>2026</v>
      </c>
      <c r="B7276" s="30" t="s">
        <v>12</v>
      </c>
      <c r="C7276" s="30" t="s">
        <v>46</v>
      </c>
      <c r="D7276" s="40" t="str">
        <f>VLOOKUP(Table3[[#This Row],[Vendor]],[1]Name.KSN!$C$2:$F$741,4,0)</f>
        <v>Broker</v>
      </c>
      <c r="E7276" s="31" t="s">
        <v>746</v>
      </c>
      <c r="F7276" s="31" t="s">
        <v>127</v>
      </c>
      <c r="G7276" s="32" t="s">
        <v>128</v>
      </c>
      <c r="H7276" s="33">
        <v>268010</v>
      </c>
      <c r="I7276" s="34">
        <f>Table3[[#This Row],[Volume, kg.]]/1000</f>
        <v>268.01</v>
      </c>
      <c r="J7276" s="34">
        <v>0.19070000000000001</v>
      </c>
      <c r="K7276" s="34">
        <f t="shared" si="228"/>
        <v>51109.507000000005</v>
      </c>
      <c r="L7276" s="34">
        <v>3.23</v>
      </c>
      <c r="M7276" s="34">
        <v>866924</v>
      </c>
      <c r="N7276" s="34">
        <f t="shared" si="229"/>
        <v>16.937598321971681</v>
      </c>
    </row>
    <row r="7277" spans="1:14" x14ac:dyDescent="0.45">
      <c r="A7277" s="30">
        <v>2026</v>
      </c>
      <c r="B7277" s="30" t="s">
        <v>12</v>
      </c>
      <c r="C7277" s="30" t="s">
        <v>46</v>
      </c>
      <c r="D7277" s="40" t="str">
        <f>VLOOKUP(Table3[[#This Row],[Vendor]],[1]Name.KSN!$C$2:$F$741,4,0)</f>
        <v>Broker</v>
      </c>
      <c r="E7277" s="31" t="s">
        <v>762</v>
      </c>
      <c r="F7277" s="31" t="s">
        <v>64</v>
      </c>
      <c r="G7277" s="32" t="s">
        <v>50</v>
      </c>
      <c r="H7277" s="33">
        <v>81980</v>
      </c>
      <c r="I7277" s="34">
        <f>Table3[[#This Row],[Volume, kg.]]/1000</f>
        <v>81.98</v>
      </c>
      <c r="J7277" s="34">
        <v>0.19</v>
      </c>
      <c r="K7277" s="34">
        <f t="shared" si="228"/>
        <v>15576.2</v>
      </c>
      <c r="L7277" s="34">
        <v>3.35</v>
      </c>
      <c r="M7277" s="34">
        <v>274522.5</v>
      </c>
      <c r="N7277" s="34">
        <f t="shared" si="229"/>
        <v>17.631578947368421</v>
      </c>
    </row>
    <row r="7278" spans="1:14" x14ac:dyDescent="0.45">
      <c r="A7278" s="30">
        <v>2026</v>
      </c>
      <c r="B7278" s="30" t="s">
        <v>12</v>
      </c>
      <c r="C7278" s="30" t="s">
        <v>46</v>
      </c>
      <c r="D7278" s="40" t="str">
        <f>VLOOKUP(Table3[[#This Row],[Vendor]],[1]Name.KSN!$C$2:$F$741,4,0)</f>
        <v>Broker</v>
      </c>
      <c r="E7278" s="31" t="s">
        <v>775</v>
      </c>
      <c r="F7278" s="31" t="s">
        <v>340</v>
      </c>
      <c r="G7278" s="32" t="s">
        <v>341</v>
      </c>
      <c r="H7278" s="33">
        <v>3134670</v>
      </c>
      <c r="I7278" s="34">
        <f>Table3[[#This Row],[Volume, kg.]]/1000</f>
        <v>3134.67</v>
      </c>
      <c r="J7278" s="34">
        <v>0.187</v>
      </c>
      <c r="K7278" s="34">
        <f t="shared" si="228"/>
        <v>586183.29</v>
      </c>
      <c r="L7278" s="34">
        <v>3.29</v>
      </c>
      <c r="M7278" s="34">
        <v>10313175.5</v>
      </c>
      <c r="N7278" s="34">
        <f t="shared" si="229"/>
        <v>17.593582887700535</v>
      </c>
    </row>
    <row r="7279" spans="1:14" x14ac:dyDescent="0.45">
      <c r="A7279" s="30">
        <v>2026</v>
      </c>
      <c r="B7279" s="30" t="s">
        <v>12</v>
      </c>
      <c r="C7279" s="30" t="s">
        <v>46</v>
      </c>
      <c r="D7279" s="40" t="str">
        <f>VLOOKUP(Table3[[#This Row],[Vendor]],[1]Name.KSN!$C$2:$F$741,4,0)</f>
        <v>Broker</v>
      </c>
      <c r="E7279" s="31" t="s">
        <v>776</v>
      </c>
      <c r="F7279" s="31" t="s">
        <v>777</v>
      </c>
      <c r="G7279" s="32" t="s">
        <v>557</v>
      </c>
      <c r="H7279" s="33">
        <v>29500</v>
      </c>
      <c r="I7279" s="34">
        <f>Table3[[#This Row],[Volume, kg.]]/1000</f>
        <v>29.5</v>
      </c>
      <c r="J7279" s="34">
        <v>0.19500000000000001</v>
      </c>
      <c r="K7279" s="34">
        <f t="shared" si="228"/>
        <v>5752.5</v>
      </c>
      <c r="L7279" s="34">
        <v>3.4</v>
      </c>
      <c r="M7279" s="34">
        <v>100300</v>
      </c>
      <c r="N7279" s="34">
        <f t="shared" si="229"/>
        <v>17.435897435897434</v>
      </c>
    </row>
    <row r="7280" spans="1:14" x14ac:dyDescent="0.45">
      <c r="A7280" s="30">
        <v>2026</v>
      </c>
      <c r="B7280" s="30" t="s">
        <v>12</v>
      </c>
      <c r="C7280" s="30" t="s">
        <v>46</v>
      </c>
      <c r="D7280" s="40" t="str">
        <f>VLOOKUP(Table3[[#This Row],[Vendor]],[1]Name.KSN!$C$2:$F$741,4,0)</f>
        <v>Broker</v>
      </c>
      <c r="E7280" s="31" t="s">
        <v>778</v>
      </c>
      <c r="F7280" s="31" t="s">
        <v>338</v>
      </c>
      <c r="G7280" s="32" t="s">
        <v>105</v>
      </c>
      <c r="H7280" s="33">
        <v>455320</v>
      </c>
      <c r="I7280" s="34">
        <f>Table3[[#This Row],[Volume, kg.]]/1000</f>
        <v>455.32</v>
      </c>
      <c r="J7280" s="34">
        <v>0.19350000000000001</v>
      </c>
      <c r="K7280" s="34">
        <f t="shared" si="228"/>
        <v>88104.42</v>
      </c>
      <c r="L7280" s="34">
        <v>3.22</v>
      </c>
      <c r="M7280" s="34">
        <v>1465564.5</v>
      </c>
      <c r="N7280" s="34">
        <f t="shared" si="229"/>
        <v>16.640826873385013</v>
      </c>
    </row>
    <row r="7281" spans="1:14" x14ac:dyDescent="0.45">
      <c r="A7281" s="30">
        <v>2026</v>
      </c>
      <c r="B7281" s="30" t="s">
        <v>12</v>
      </c>
      <c r="C7281" s="30" t="s">
        <v>46</v>
      </c>
      <c r="D7281" s="40" t="str">
        <f>VLOOKUP(Table3[[#This Row],[Vendor]],[1]Name.KSN!$C$2:$F$741,4,0)</f>
        <v>Farmer</v>
      </c>
      <c r="E7281" s="31" t="s">
        <v>779</v>
      </c>
      <c r="F7281" s="31" t="s">
        <v>57</v>
      </c>
      <c r="G7281" s="32" t="s">
        <v>50</v>
      </c>
      <c r="H7281" s="33">
        <v>9777</v>
      </c>
      <c r="I7281" s="34">
        <f>Table3[[#This Row],[Volume, kg.]]/1000</f>
        <v>9.7769999999999992</v>
      </c>
      <c r="J7281" s="34">
        <v>0.1605</v>
      </c>
      <c r="K7281" s="34">
        <f t="shared" si="228"/>
        <v>1569.2085</v>
      </c>
      <c r="L7281" s="34">
        <v>2.85</v>
      </c>
      <c r="M7281" s="34">
        <v>27864.45</v>
      </c>
      <c r="N7281" s="34">
        <f t="shared" si="229"/>
        <v>17.757009345794394</v>
      </c>
    </row>
    <row r="7282" spans="1:14" x14ac:dyDescent="0.45">
      <c r="A7282" s="30">
        <v>2026</v>
      </c>
      <c r="B7282" s="30" t="s">
        <v>12</v>
      </c>
      <c r="C7282" s="30" t="s">
        <v>46</v>
      </c>
      <c r="D7282" s="40" t="str">
        <f>VLOOKUP(Table3[[#This Row],[Vendor]],[1]Name.KSN!$C$2:$F$741,4,0)</f>
        <v>Farmer</v>
      </c>
      <c r="E7282" s="31" t="s">
        <v>785</v>
      </c>
      <c r="F7282" s="31" t="s">
        <v>134</v>
      </c>
      <c r="G7282" s="32" t="s">
        <v>50</v>
      </c>
      <c r="H7282" s="33">
        <v>12820</v>
      </c>
      <c r="I7282" s="34">
        <f>Table3[[#This Row],[Volume, kg.]]/1000</f>
        <v>12.82</v>
      </c>
      <c r="J7282" s="34">
        <v>0.20649999999999999</v>
      </c>
      <c r="K7282" s="34">
        <f t="shared" si="228"/>
        <v>2647.33</v>
      </c>
      <c r="L7282" s="34">
        <v>3.1</v>
      </c>
      <c r="M7282" s="34">
        <v>39742</v>
      </c>
      <c r="N7282" s="34">
        <f t="shared" si="229"/>
        <v>15.012106537530267</v>
      </c>
    </row>
    <row r="7283" spans="1:14" x14ac:dyDescent="0.45">
      <c r="A7283" s="30">
        <v>2026</v>
      </c>
      <c r="B7283" s="30" t="s">
        <v>12</v>
      </c>
      <c r="C7283" s="30" t="s">
        <v>46</v>
      </c>
      <c r="D7283" s="40" t="str">
        <f>VLOOKUP(Table3[[#This Row],[Vendor]],[1]Name.KSN!$C$2:$F$741,4,0)</f>
        <v>Broker</v>
      </c>
      <c r="E7283" s="31" t="s">
        <v>790</v>
      </c>
      <c r="F7283" s="31" t="s">
        <v>223</v>
      </c>
      <c r="G7283" s="32" t="s">
        <v>50</v>
      </c>
      <c r="H7283" s="33">
        <v>68750</v>
      </c>
      <c r="I7283" s="34">
        <f>Table3[[#This Row],[Volume, kg.]]/1000</f>
        <v>68.75</v>
      </c>
      <c r="J7283" s="34">
        <v>0.20250000000000001</v>
      </c>
      <c r="K7283" s="34">
        <f t="shared" si="228"/>
        <v>13921.875000000002</v>
      </c>
      <c r="L7283" s="34">
        <v>3.25</v>
      </c>
      <c r="M7283" s="34">
        <v>223296</v>
      </c>
      <c r="N7283" s="34">
        <f t="shared" si="229"/>
        <v>16.049382716049383</v>
      </c>
    </row>
    <row r="7284" spans="1:14" x14ac:dyDescent="0.45">
      <c r="A7284" s="30">
        <v>2026</v>
      </c>
      <c r="B7284" s="30" t="s">
        <v>12</v>
      </c>
      <c r="C7284" s="30" t="s">
        <v>46</v>
      </c>
      <c r="D7284" s="40" t="str">
        <f>VLOOKUP(Table3[[#This Row],[Vendor]],[1]Name.KSN!$C$2:$F$741,4,0)</f>
        <v>Broker</v>
      </c>
      <c r="E7284" s="31" t="s">
        <v>792</v>
      </c>
      <c r="F7284" s="31" t="s">
        <v>81</v>
      </c>
      <c r="G7284" s="32" t="s">
        <v>50</v>
      </c>
      <c r="H7284" s="33">
        <v>127660</v>
      </c>
      <c r="I7284" s="34">
        <f>Table3[[#This Row],[Volume, kg.]]/1000</f>
        <v>127.66</v>
      </c>
      <c r="J7284" s="34">
        <v>0.17010000000000003</v>
      </c>
      <c r="K7284" s="34">
        <f t="shared" si="228"/>
        <v>21714.966000000004</v>
      </c>
      <c r="L7284" s="34">
        <v>3.1</v>
      </c>
      <c r="M7284" s="34">
        <v>395138</v>
      </c>
      <c r="N7284" s="34">
        <f t="shared" si="229"/>
        <v>18.224573780129333</v>
      </c>
    </row>
    <row r="7285" spans="1:14" x14ac:dyDescent="0.45">
      <c r="A7285" s="30">
        <v>2026</v>
      </c>
      <c r="B7285" s="30" t="s">
        <v>12</v>
      </c>
      <c r="C7285" s="30" t="s">
        <v>46</v>
      </c>
      <c r="D7285" s="40" t="str">
        <f>VLOOKUP(Table3[[#This Row],[Vendor]],[1]Name.KSN!$C$2:$F$741,4,0)</f>
        <v>Farmer</v>
      </c>
      <c r="E7285" s="31" t="s">
        <v>793</v>
      </c>
      <c r="F7285" s="31" t="s">
        <v>57</v>
      </c>
      <c r="G7285" s="32" t="s">
        <v>50</v>
      </c>
      <c r="H7285" s="33">
        <v>3101</v>
      </c>
      <c r="I7285" s="34">
        <f>Table3[[#This Row],[Volume, kg.]]/1000</f>
        <v>3.101</v>
      </c>
      <c r="J7285" s="34">
        <v>0.20050000000000001</v>
      </c>
      <c r="K7285" s="34">
        <f t="shared" si="228"/>
        <v>621.75049999999999</v>
      </c>
      <c r="L7285" s="34">
        <v>3.05</v>
      </c>
      <c r="M7285" s="34">
        <v>9458.0499999999993</v>
      </c>
      <c r="N7285" s="34">
        <f t="shared" si="229"/>
        <v>15.211970074812966</v>
      </c>
    </row>
    <row r="7286" spans="1:14" x14ac:dyDescent="0.45">
      <c r="A7286" s="30">
        <v>2026</v>
      </c>
      <c r="B7286" s="30" t="s">
        <v>12</v>
      </c>
      <c r="C7286" s="30" t="s">
        <v>46</v>
      </c>
      <c r="D7286" s="40" t="str">
        <f>VLOOKUP(Table3[[#This Row],[Vendor]],[1]Name.KSN!$C$2:$F$741,4,0)</f>
        <v>Broker</v>
      </c>
      <c r="E7286" s="31" t="s">
        <v>794</v>
      </c>
      <c r="F7286" s="31" t="s">
        <v>795</v>
      </c>
      <c r="G7286" s="32" t="s">
        <v>796</v>
      </c>
      <c r="H7286" s="33">
        <v>263800</v>
      </c>
      <c r="I7286" s="34">
        <f>Table3[[#This Row],[Volume, kg.]]/1000</f>
        <v>263.8</v>
      </c>
      <c r="J7286" s="34">
        <v>0.17309999999999998</v>
      </c>
      <c r="K7286" s="34">
        <f t="shared" si="228"/>
        <v>45663.779999999992</v>
      </c>
      <c r="L7286" s="34">
        <v>3.36</v>
      </c>
      <c r="M7286" s="34">
        <v>887057</v>
      </c>
      <c r="N7286" s="34">
        <f t="shared" si="229"/>
        <v>19.410745233968807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75E2-09EB-4137-8D33-A7DB18AC4A90}">
  <dimension ref="A1:E684"/>
  <sheetViews>
    <sheetView topLeftCell="A667" workbookViewId="0">
      <selection activeCell="H679" sqref="H679"/>
    </sheetView>
  </sheetViews>
  <sheetFormatPr defaultRowHeight="16.5" x14ac:dyDescent="0.45"/>
  <cols>
    <col min="1" max="1" width="5.54296875" style="32" customWidth="1"/>
    <col min="2" max="2" width="13.54296875" style="32" customWidth="1"/>
    <col min="3" max="3" width="46.54296875" style="32" customWidth="1"/>
    <col min="4" max="4" width="17.453125" style="32" customWidth="1"/>
    <col min="5" max="5" width="12.90625" style="32" customWidth="1"/>
    <col min="6" max="16384" width="8.7265625" style="32"/>
  </cols>
  <sheetData>
    <row r="1" spans="1:5" x14ac:dyDescent="0.45">
      <c r="A1" s="32" t="s">
        <v>20</v>
      </c>
      <c r="B1" s="50" t="s">
        <v>35</v>
      </c>
      <c r="C1" s="50" t="s">
        <v>36</v>
      </c>
      <c r="D1" s="50" t="s">
        <v>37</v>
      </c>
      <c r="E1" s="50" t="s">
        <v>38</v>
      </c>
    </row>
    <row r="2" spans="1:5" x14ac:dyDescent="0.45">
      <c r="A2" s="30">
        <v>1</v>
      </c>
      <c r="B2" s="32" t="s">
        <v>47</v>
      </c>
      <c r="C2" s="32" t="s">
        <v>328</v>
      </c>
      <c r="D2" s="32" t="s">
        <v>49</v>
      </c>
      <c r="E2" s="32" t="s">
        <v>50</v>
      </c>
    </row>
    <row r="3" spans="1:5" x14ac:dyDescent="0.45">
      <c r="A3" s="30">
        <v>2</v>
      </c>
      <c r="B3" s="32" t="s">
        <v>47</v>
      </c>
      <c r="C3" s="32" t="s">
        <v>259</v>
      </c>
      <c r="D3" s="32" t="s">
        <v>54</v>
      </c>
      <c r="E3" s="32" t="s">
        <v>50</v>
      </c>
    </row>
    <row r="4" spans="1:5" x14ac:dyDescent="0.45">
      <c r="A4" s="30">
        <v>3</v>
      </c>
      <c r="B4" s="32" t="s">
        <v>47</v>
      </c>
      <c r="C4" s="32" t="s">
        <v>260</v>
      </c>
      <c r="D4" s="32" t="s">
        <v>49</v>
      </c>
      <c r="E4" s="32" t="s">
        <v>50</v>
      </c>
    </row>
    <row r="5" spans="1:5" x14ac:dyDescent="0.45">
      <c r="A5" s="30">
        <v>4</v>
      </c>
      <c r="B5" s="32" t="s">
        <v>47</v>
      </c>
      <c r="C5" s="32" t="s">
        <v>48</v>
      </c>
      <c r="D5" s="32" t="s">
        <v>49</v>
      </c>
      <c r="E5" s="32" t="s">
        <v>50</v>
      </c>
    </row>
    <row r="6" spans="1:5" x14ac:dyDescent="0.45">
      <c r="A6" s="30">
        <v>5</v>
      </c>
      <c r="B6" s="32" t="s">
        <v>47</v>
      </c>
      <c r="C6" s="32" t="s">
        <v>491</v>
      </c>
      <c r="D6" s="32" t="s">
        <v>81</v>
      </c>
      <c r="E6" s="32" t="s">
        <v>50</v>
      </c>
    </row>
    <row r="7" spans="1:5" x14ac:dyDescent="0.45">
      <c r="A7" s="30">
        <v>6</v>
      </c>
      <c r="B7" s="32" t="s">
        <v>47</v>
      </c>
      <c r="C7" s="32" t="s">
        <v>51</v>
      </c>
      <c r="D7" s="32" t="s">
        <v>49</v>
      </c>
      <c r="E7" s="32" t="s">
        <v>50</v>
      </c>
    </row>
    <row r="8" spans="1:5" x14ac:dyDescent="0.45">
      <c r="A8" s="30">
        <v>7</v>
      </c>
      <c r="B8" s="32" t="s">
        <v>47</v>
      </c>
      <c r="C8" s="32" t="s">
        <v>416</v>
      </c>
      <c r="D8" s="32" t="s">
        <v>60</v>
      </c>
      <c r="E8" s="32" t="s">
        <v>50</v>
      </c>
    </row>
    <row r="9" spans="1:5" x14ac:dyDescent="0.45">
      <c r="A9" s="30">
        <v>8</v>
      </c>
      <c r="B9" s="32" t="s">
        <v>47</v>
      </c>
      <c r="C9" s="32" t="s">
        <v>52</v>
      </c>
      <c r="D9" s="32" t="s">
        <v>49</v>
      </c>
      <c r="E9" s="32" t="s">
        <v>50</v>
      </c>
    </row>
    <row r="10" spans="1:5" x14ac:dyDescent="0.45">
      <c r="A10" s="30">
        <v>9</v>
      </c>
      <c r="B10" s="32" t="s">
        <v>47</v>
      </c>
      <c r="C10" s="32" t="s">
        <v>601</v>
      </c>
      <c r="D10" s="32" t="s">
        <v>60</v>
      </c>
      <c r="E10" s="32" t="s">
        <v>50</v>
      </c>
    </row>
    <row r="11" spans="1:5" x14ac:dyDescent="0.45">
      <c r="A11" s="30">
        <v>10</v>
      </c>
      <c r="B11" s="32" t="s">
        <v>47</v>
      </c>
      <c r="C11" s="32" t="s">
        <v>53</v>
      </c>
      <c r="D11" s="32" t="s">
        <v>54</v>
      </c>
      <c r="E11" s="32" t="s">
        <v>50</v>
      </c>
    </row>
    <row r="12" spans="1:5" x14ac:dyDescent="0.45">
      <c r="A12" s="30">
        <v>11</v>
      </c>
      <c r="B12" s="32" t="s">
        <v>47</v>
      </c>
      <c r="C12" s="32" t="s">
        <v>55</v>
      </c>
      <c r="D12" s="32" t="s">
        <v>49</v>
      </c>
      <c r="E12" s="32" t="s">
        <v>50</v>
      </c>
    </row>
    <row r="13" spans="1:5" x14ac:dyDescent="0.45">
      <c r="A13" s="30">
        <v>12</v>
      </c>
      <c r="B13" s="32" t="s">
        <v>47</v>
      </c>
      <c r="C13" s="32" t="s">
        <v>56</v>
      </c>
      <c r="D13" s="32" t="s">
        <v>57</v>
      </c>
      <c r="E13" s="32" t="s">
        <v>50</v>
      </c>
    </row>
    <row r="14" spans="1:5" x14ac:dyDescent="0.45">
      <c r="A14" s="30">
        <v>13</v>
      </c>
      <c r="B14" s="32" t="s">
        <v>47</v>
      </c>
      <c r="C14" s="32" t="s">
        <v>58</v>
      </c>
      <c r="D14" s="32" t="s">
        <v>49</v>
      </c>
      <c r="E14" s="32" t="s">
        <v>50</v>
      </c>
    </row>
    <row r="15" spans="1:5" x14ac:dyDescent="0.45">
      <c r="A15" s="30">
        <v>14</v>
      </c>
      <c r="B15" s="32" t="s">
        <v>47</v>
      </c>
      <c r="C15" s="32" t="s">
        <v>496</v>
      </c>
      <c r="D15" s="32" t="s">
        <v>49</v>
      </c>
      <c r="E15" s="32" t="s">
        <v>50</v>
      </c>
    </row>
    <row r="16" spans="1:5" x14ac:dyDescent="0.45">
      <c r="A16" s="30">
        <v>15</v>
      </c>
      <c r="B16" s="32" t="s">
        <v>47</v>
      </c>
      <c r="C16" s="32" t="s">
        <v>420</v>
      </c>
      <c r="D16" s="32" t="s">
        <v>57</v>
      </c>
      <c r="E16" s="32" t="s">
        <v>50</v>
      </c>
    </row>
    <row r="17" spans="1:5" x14ac:dyDescent="0.45">
      <c r="A17" s="30">
        <v>16</v>
      </c>
      <c r="B17" s="32" t="s">
        <v>102</v>
      </c>
      <c r="C17" s="32" t="s">
        <v>546</v>
      </c>
      <c r="D17" s="32" t="s">
        <v>547</v>
      </c>
      <c r="E17" s="32" t="s">
        <v>341</v>
      </c>
    </row>
    <row r="18" spans="1:5" x14ac:dyDescent="0.45">
      <c r="A18" s="30">
        <v>17</v>
      </c>
      <c r="B18" s="32" t="s">
        <v>47</v>
      </c>
      <c r="C18" s="32" t="s">
        <v>421</v>
      </c>
      <c r="D18" s="32" t="s">
        <v>49</v>
      </c>
      <c r="E18" s="32" t="s">
        <v>50</v>
      </c>
    </row>
    <row r="19" spans="1:5" x14ac:dyDescent="0.45">
      <c r="A19" s="30">
        <v>18</v>
      </c>
      <c r="B19" s="32" t="s">
        <v>47</v>
      </c>
      <c r="C19" s="32" t="s">
        <v>598</v>
      </c>
      <c r="D19" s="32" t="s">
        <v>49</v>
      </c>
      <c r="E19" s="32" t="s">
        <v>50</v>
      </c>
    </row>
    <row r="20" spans="1:5" x14ac:dyDescent="0.45">
      <c r="A20" s="30">
        <v>19</v>
      </c>
      <c r="B20" s="32" t="s">
        <v>47</v>
      </c>
      <c r="C20" s="32" t="s">
        <v>422</v>
      </c>
      <c r="D20" s="32" t="s">
        <v>134</v>
      </c>
      <c r="E20" s="32" t="s">
        <v>50</v>
      </c>
    </row>
    <row r="21" spans="1:5" x14ac:dyDescent="0.45">
      <c r="A21" s="30">
        <v>20</v>
      </c>
      <c r="B21" s="32" t="s">
        <v>47</v>
      </c>
      <c r="C21" s="32" t="s">
        <v>59</v>
      </c>
      <c r="D21" s="32" t="s">
        <v>60</v>
      </c>
      <c r="E21" s="32" t="s">
        <v>50</v>
      </c>
    </row>
    <row r="22" spans="1:5" x14ac:dyDescent="0.45">
      <c r="A22" s="30">
        <v>21</v>
      </c>
      <c r="B22" s="32" t="s">
        <v>47</v>
      </c>
      <c r="C22" s="32" t="s">
        <v>646</v>
      </c>
      <c r="D22" s="32" t="s">
        <v>49</v>
      </c>
      <c r="E22" s="32" t="s">
        <v>50</v>
      </c>
    </row>
    <row r="23" spans="1:5" x14ac:dyDescent="0.45">
      <c r="A23" s="30">
        <v>22</v>
      </c>
      <c r="B23" s="32" t="s">
        <v>47</v>
      </c>
      <c r="C23" s="32" t="s">
        <v>61</v>
      </c>
      <c r="D23" s="32" t="s">
        <v>57</v>
      </c>
      <c r="E23" s="32" t="s">
        <v>50</v>
      </c>
    </row>
    <row r="24" spans="1:5" x14ac:dyDescent="0.45">
      <c r="A24" s="30">
        <v>23</v>
      </c>
      <c r="B24" s="32" t="s">
        <v>47</v>
      </c>
      <c r="C24" s="32" t="s">
        <v>548</v>
      </c>
      <c r="D24" s="32" t="s">
        <v>49</v>
      </c>
      <c r="E24" s="32" t="s">
        <v>50</v>
      </c>
    </row>
    <row r="25" spans="1:5" x14ac:dyDescent="0.45">
      <c r="A25" s="30">
        <v>24</v>
      </c>
      <c r="B25" s="32" t="s">
        <v>47</v>
      </c>
      <c r="C25" s="32" t="s">
        <v>62</v>
      </c>
      <c r="D25" s="32" t="s">
        <v>57</v>
      </c>
      <c r="E25" s="32" t="s">
        <v>50</v>
      </c>
    </row>
    <row r="26" spans="1:5" x14ac:dyDescent="0.45">
      <c r="A26" s="30">
        <v>25</v>
      </c>
      <c r="B26" s="32" t="s">
        <v>47</v>
      </c>
      <c r="C26" s="32" t="s">
        <v>549</v>
      </c>
      <c r="D26" s="32" t="s">
        <v>49</v>
      </c>
      <c r="E26" s="32" t="s">
        <v>50</v>
      </c>
    </row>
    <row r="27" spans="1:5" x14ac:dyDescent="0.45">
      <c r="A27" s="30">
        <v>26</v>
      </c>
      <c r="B27" s="32" t="s">
        <v>47</v>
      </c>
      <c r="C27" s="32" t="s">
        <v>329</v>
      </c>
      <c r="D27" s="32" t="s">
        <v>49</v>
      </c>
      <c r="E27" s="32" t="s">
        <v>50</v>
      </c>
    </row>
    <row r="28" spans="1:5" x14ac:dyDescent="0.45">
      <c r="A28" s="30">
        <v>27</v>
      </c>
      <c r="B28" s="32" t="s">
        <v>47</v>
      </c>
      <c r="C28" s="32" t="s">
        <v>261</v>
      </c>
      <c r="D28" s="32" t="s">
        <v>81</v>
      </c>
      <c r="E28" s="32" t="s">
        <v>50</v>
      </c>
    </row>
    <row r="29" spans="1:5" x14ac:dyDescent="0.45">
      <c r="A29" s="30">
        <v>28</v>
      </c>
      <c r="B29" s="32" t="s">
        <v>102</v>
      </c>
      <c r="C29" s="32" t="s">
        <v>330</v>
      </c>
      <c r="D29" s="32" t="s">
        <v>331</v>
      </c>
      <c r="E29" s="32" t="s">
        <v>105</v>
      </c>
    </row>
    <row r="30" spans="1:5" x14ac:dyDescent="0.45">
      <c r="A30" s="30">
        <v>29</v>
      </c>
      <c r="B30" s="32" t="s">
        <v>47</v>
      </c>
      <c r="C30" s="32" t="s">
        <v>393</v>
      </c>
      <c r="D30" s="32" t="s">
        <v>60</v>
      </c>
      <c r="E30" s="32" t="s">
        <v>50</v>
      </c>
    </row>
    <row r="31" spans="1:5" x14ac:dyDescent="0.45">
      <c r="A31" s="30">
        <v>30</v>
      </c>
      <c r="B31" s="32" t="s">
        <v>47</v>
      </c>
      <c r="C31" s="32" t="s">
        <v>595</v>
      </c>
      <c r="D31" s="32" t="s">
        <v>64</v>
      </c>
      <c r="E31" s="32" t="s">
        <v>50</v>
      </c>
    </row>
    <row r="32" spans="1:5" x14ac:dyDescent="0.45">
      <c r="A32" s="30">
        <v>31</v>
      </c>
      <c r="B32" s="32" t="s">
        <v>47</v>
      </c>
      <c r="C32" s="32" t="s">
        <v>63</v>
      </c>
      <c r="D32" s="32" t="s">
        <v>64</v>
      </c>
      <c r="E32" s="32" t="s">
        <v>50</v>
      </c>
    </row>
    <row r="33" spans="1:5" x14ac:dyDescent="0.45">
      <c r="A33" s="30">
        <v>32</v>
      </c>
      <c r="B33" s="32" t="s">
        <v>47</v>
      </c>
      <c r="C33" s="32" t="s">
        <v>65</v>
      </c>
      <c r="D33" s="32" t="s">
        <v>49</v>
      </c>
      <c r="E33" s="32" t="s">
        <v>50</v>
      </c>
    </row>
    <row r="34" spans="1:5" x14ac:dyDescent="0.45">
      <c r="A34" s="30">
        <v>33</v>
      </c>
      <c r="B34" s="32" t="s">
        <v>47</v>
      </c>
      <c r="C34" s="32" t="s">
        <v>262</v>
      </c>
      <c r="D34" s="32" t="s">
        <v>81</v>
      </c>
      <c r="E34" s="32" t="s">
        <v>50</v>
      </c>
    </row>
    <row r="35" spans="1:5" x14ac:dyDescent="0.45">
      <c r="A35" s="30">
        <v>34</v>
      </c>
      <c r="B35" s="32" t="s">
        <v>47</v>
      </c>
      <c r="C35" s="32" t="s">
        <v>332</v>
      </c>
      <c r="D35" s="32" t="s">
        <v>49</v>
      </c>
      <c r="E35" s="32" t="s">
        <v>50</v>
      </c>
    </row>
    <row r="36" spans="1:5" x14ac:dyDescent="0.45">
      <c r="A36" s="30">
        <v>35</v>
      </c>
      <c r="B36" s="32" t="s">
        <v>47</v>
      </c>
      <c r="C36" s="32" t="s">
        <v>66</v>
      </c>
      <c r="D36" s="32" t="s">
        <v>49</v>
      </c>
      <c r="E36" s="32" t="s">
        <v>50</v>
      </c>
    </row>
    <row r="37" spans="1:5" x14ac:dyDescent="0.45">
      <c r="A37" s="30">
        <v>36</v>
      </c>
      <c r="B37" s="32" t="s">
        <v>47</v>
      </c>
      <c r="C37" s="32" t="s">
        <v>596</v>
      </c>
      <c r="D37" s="32" t="s">
        <v>49</v>
      </c>
      <c r="E37" s="32" t="s">
        <v>50</v>
      </c>
    </row>
    <row r="38" spans="1:5" x14ac:dyDescent="0.45">
      <c r="A38" s="30">
        <v>37</v>
      </c>
      <c r="B38" s="32" t="s">
        <v>47</v>
      </c>
      <c r="C38" s="32" t="s">
        <v>333</v>
      </c>
      <c r="D38" s="32" t="s">
        <v>57</v>
      </c>
      <c r="E38" s="32" t="s">
        <v>50</v>
      </c>
    </row>
    <row r="39" spans="1:5" x14ac:dyDescent="0.45">
      <c r="A39" s="30">
        <v>38</v>
      </c>
      <c r="B39" s="32" t="s">
        <v>47</v>
      </c>
      <c r="C39" s="32" t="s">
        <v>67</v>
      </c>
      <c r="D39" s="32" t="s">
        <v>49</v>
      </c>
      <c r="E39" s="32" t="s">
        <v>50</v>
      </c>
    </row>
    <row r="40" spans="1:5" x14ac:dyDescent="0.45">
      <c r="A40" s="30">
        <v>39</v>
      </c>
      <c r="B40" s="32" t="s">
        <v>47</v>
      </c>
      <c r="C40" s="32" t="s">
        <v>498</v>
      </c>
      <c r="D40" s="32" t="s">
        <v>49</v>
      </c>
      <c r="E40" s="32" t="s">
        <v>50</v>
      </c>
    </row>
    <row r="41" spans="1:5" x14ac:dyDescent="0.45">
      <c r="A41" s="30">
        <v>40</v>
      </c>
      <c r="B41" s="32" t="s">
        <v>47</v>
      </c>
      <c r="C41" s="32" t="s">
        <v>580</v>
      </c>
      <c r="D41" s="32" t="s">
        <v>49</v>
      </c>
      <c r="E41" s="32" t="s">
        <v>50</v>
      </c>
    </row>
    <row r="42" spans="1:5" x14ac:dyDescent="0.45">
      <c r="A42" s="30">
        <v>41</v>
      </c>
      <c r="B42" s="32" t="s">
        <v>47</v>
      </c>
      <c r="C42" s="32" t="s">
        <v>263</v>
      </c>
      <c r="D42" s="32" t="s">
        <v>81</v>
      </c>
      <c r="E42" s="32" t="s">
        <v>50</v>
      </c>
    </row>
    <row r="43" spans="1:5" x14ac:dyDescent="0.45">
      <c r="A43" s="30">
        <v>42</v>
      </c>
      <c r="B43" s="32" t="s">
        <v>47</v>
      </c>
      <c r="C43" s="32" t="s">
        <v>68</v>
      </c>
      <c r="D43" s="32" t="s">
        <v>49</v>
      </c>
      <c r="E43" s="32" t="s">
        <v>50</v>
      </c>
    </row>
    <row r="44" spans="1:5" x14ac:dyDescent="0.45">
      <c r="A44" s="30">
        <v>43</v>
      </c>
      <c r="B44" s="32" t="s">
        <v>47</v>
      </c>
      <c r="C44" s="32" t="s">
        <v>264</v>
      </c>
      <c r="D44" s="32" t="s">
        <v>49</v>
      </c>
      <c r="E44" s="32" t="s">
        <v>50</v>
      </c>
    </row>
    <row r="45" spans="1:5" x14ac:dyDescent="0.45">
      <c r="A45" s="30">
        <v>44</v>
      </c>
      <c r="B45" s="32" t="s">
        <v>47</v>
      </c>
      <c r="C45" s="32" t="s">
        <v>69</v>
      </c>
      <c r="D45" s="32" t="s">
        <v>49</v>
      </c>
      <c r="E45" s="32" t="s">
        <v>50</v>
      </c>
    </row>
    <row r="46" spans="1:5" x14ac:dyDescent="0.45">
      <c r="A46" s="30">
        <v>45</v>
      </c>
      <c r="B46" s="32" t="s">
        <v>47</v>
      </c>
      <c r="C46" s="32" t="s">
        <v>588</v>
      </c>
      <c r="D46" s="32" t="s">
        <v>223</v>
      </c>
      <c r="E46" s="32" t="s">
        <v>50</v>
      </c>
    </row>
    <row r="47" spans="1:5" x14ac:dyDescent="0.45">
      <c r="A47" s="30">
        <v>46</v>
      </c>
      <c r="B47" s="32" t="s">
        <v>47</v>
      </c>
      <c r="C47" s="32" t="s">
        <v>494</v>
      </c>
      <c r="D47" s="32" t="s">
        <v>49</v>
      </c>
      <c r="E47" s="32" t="s">
        <v>50</v>
      </c>
    </row>
    <row r="48" spans="1:5" x14ac:dyDescent="0.45">
      <c r="A48" s="30">
        <v>47</v>
      </c>
      <c r="B48" s="32" t="s">
        <v>47</v>
      </c>
      <c r="C48" s="32" t="s">
        <v>70</v>
      </c>
      <c r="D48" s="32" t="s">
        <v>49</v>
      </c>
      <c r="E48" s="32" t="s">
        <v>50</v>
      </c>
    </row>
    <row r="49" spans="1:5" x14ac:dyDescent="0.45">
      <c r="A49" s="30">
        <v>48</v>
      </c>
      <c r="B49" s="32" t="s">
        <v>47</v>
      </c>
      <c r="C49" s="32" t="s">
        <v>71</v>
      </c>
      <c r="D49" s="32" t="s">
        <v>49</v>
      </c>
      <c r="E49" s="32" t="s">
        <v>50</v>
      </c>
    </row>
    <row r="50" spans="1:5" x14ac:dyDescent="0.45">
      <c r="A50" s="30">
        <v>49</v>
      </c>
      <c r="B50" s="32" t="s">
        <v>47</v>
      </c>
      <c r="C50" s="32" t="s">
        <v>502</v>
      </c>
      <c r="D50" s="32" t="s">
        <v>49</v>
      </c>
      <c r="E50" s="32" t="s">
        <v>50</v>
      </c>
    </row>
    <row r="51" spans="1:5" x14ac:dyDescent="0.45">
      <c r="A51" s="30">
        <v>50</v>
      </c>
      <c r="B51" s="32" t="s">
        <v>47</v>
      </c>
      <c r="C51" s="32" t="s">
        <v>571</v>
      </c>
      <c r="D51" s="32" t="s">
        <v>49</v>
      </c>
      <c r="E51" s="32" t="s">
        <v>50</v>
      </c>
    </row>
    <row r="52" spans="1:5" x14ac:dyDescent="0.45">
      <c r="A52" s="30">
        <v>51</v>
      </c>
      <c r="B52" s="32" t="s">
        <v>47</v>
      </c>
      <c r="C52" s="32" t="s">
        <v>503</v>
      </c>
      <c r="D52" s="32" t="s">
        <v>49</v>
      </c>
      <c r="E52" s="32" t="s">
        <v>50</v>
      </c>
    </row>
    <row r="53" spans="1:5" x14ac:dyDescent="0.45">
      <c r="A53" s="30">
        <v>52</v>
      </c>
      <c r="B53" s="32" t="s">
        <v>47</v>
      </c>
      <c r="C53" s="32" t="s">
        <v>72</v>
      </c>
      <c r="D53" s="32" t="s">
        <v>49</v>
      </c>
      <c r="E53" s="32" t="s">
        <v>50</v>
      </c>
    </row>
    <row r="54" spans="1:5" x14ac:dyDescent="0.45">
      <c r="A54" s="30">
        <v>53</v>
      </c>
      <c r="B54" s="32" t="s">
        <v>47</v>
      </c>
      <c r="C54" s="32" t="s">
        <v>73</v>
      </c>
      <c r="D54" s="32" t="s">
        <v>49</v>
      </c>
      <c r="E54" s="32" t="s">
        <v>50</v>
      </c>
    </row>
    <row r="55" spans="1:5" x14ac:dyDescent="0.45">
      <c r="A55" s="30">
        <v>54</v>
      </c>
      <c r="B55" s="32" t="s">
        <v>47</v>
      </c>
      <c r="C55" s="32" t="s">
        <v>711</v>
      </c>
      <c r="D55" s="32" t="s">
        <v>223</v>
      </c>
      <c r="E55" s="32" t="s">
        <v>50</v>
      </c>
    </row>
    <row r="56" spans="1:5" x14ac:dyDescent="0.45">
      <c r="A56" s="30">
        <v>55</v>
      </c>
      <c r="B56" s="32" t="s">
        <v>47</v>
      </c>
      <c r="C56" s="32" t="s">
        <v>419</v>
      </c>
      <c r="D56" s="32" t="s">
        <v>223</v>
      </c>
      <c r="E56" s="32" t="s">
        <v>50</v>
      </c>
    </row>
    <row r="57" spans="1:5" x14ac:dyDescent="0.45">
      <c r="A57" s="30">
        <v>56</v>
      </c>
      <c r="B57" s="32" t="s">
        <v>47</v>
      </c>
      <c r="C57" s="32" t="s">
        <v>74</v>
      </c>
      <c r="D57" s="32" t="s">
        <v>49</v>
      </c>
      <c r="E57" s="32" t="s">
        <v>50</v>
      </c>
    </row>
    <row r="58" spans="1:5" x14ac:dyDescent="0.45">
      <c r="A58" s="30">
        <v>57</v>
      </c>
      <c r="B58" s="32" t="s">
        <v>47</v>
      </c>
      <c r="C58" s="32" t="s">
        <v>334</v>
      </c>
      <c r="D58" s="32" t="s">
        <v>81</v>
      </c>
      <c r="E58" s="32" t="s">
        <v>50</v>
      </c>
    </row>
    <row r="59" spans="1:5" x14ac:dyDescent="0.45">
      <c r="A59" s="30">
        <v>58</v>
      </c>
      <c r="B59" s="32" t="s">
        <v>47</v>
      </c>
      <c r="C59" s="32" t="s">
        <v>486</v>
      </c>
      <c r="D59" s="32" t="s">
        <v>487</v>
      </c>
      <c r="E59" s="32" t="s">
        <v>341</v>
      </c>
    </row>
    <row r="60" spans="1:5" x14ac:dyDescent="0.45">
      <c r="A60" s="30">
        <v>59</v>
      </c>
      <c r="B60" s="32" t="s">
        <v>47</v>
      </c>
      <c r="C60" s="32" t="s">
        <v>471</v>
      </c>
      <c r="D60" s="32" t="s">
        <v>57</v>
      </c>
      <c r="E60" s="32" t="s">
        <v>50</v>
      </c>
    </row>
    <row r="61" spans="1:5" x14ac:dyDescent="0.45">
      <c r="A61" s="30">
        <v>60</v>
      </c>
      <c r="B61" s="32" t="s">
        <v>47</v>
      </c>
      <c r="C61" s="32" t="s">
        <v>690</v>
      </c>
      <c r="D61" s="32" t="s">
        <v>240</v>
      </c>
      <c r="E61" s="32" t="s">
        <v>50</v>
      </c>
    </row>
    <row r="62" spans="1:5" x14ac:dyDescent="0.45">
      <c r="A62" s="30">
        <v>61</v>
      </c>
      <c r="B62" s="32" t="s">
        <v>47</v>
      </c>
      <c r="C62" s="32" t="s">
        <v>423</v>
      </c>
      <c r="D62" s="32" t="s">
        <v>49</v>
      </c>
      <c r="E62" s="32" t="s">
        <v>50</v>
      </c>
    </row>
    <row r="63" spans="1:5" x14ac:dyDescent="0.45">
      <c r="A63" s="30">
        <v>62</v>
      </c>
      <c r="B63" s="32" t="s">
        <v>47</v>
      </c>
      <c r="C63" s="32" t="s">
        <v>501</v>
      </c>
      <c r="D63" s="32" t="s">
        <v>81</v>
      </c>
      <c r="E63" s="32" t="s">
        <v>50</v>
      </c>
    </row>
    <row r="64" spans="1:5" x14ac:dyDescent="0.45">
      <c r="A64" s="30">
        <v>63</v>
      </c>
      <c r="B64" s="32" t="s">
        <v>47</v>
      </c>
      <c r="C64" s="32" t="s">
        <v>335</v>
      </c>
      <c r="D64" s="32" t="s">
        <v>54</v>
      </c>
      <c r="E64" s="32" t="s">
        <v>50</v>
      </c>
    </row>
    <row r="65" spans="1:5" x14ac:dyDescent="0.45">
      <c r="A65" s="30">
        <v>64</v>
      </c>
      <c r="B65" s="32" t="s">
        <v>47</v>
      </c>
      <c r="C65" s="32" t="s">
        <v>516</v>
      </c>
      <c r="D65" s="32" t="s">
        <v>64</v>
      </c>
      <c r="E65" s="32" t="s">
        <v>50</v>
      </c>
    </row>
    <row r="66" spans="1:5" x14ac:dyDescent="0.45">
      <c r="A66" s="30">
        <v>65</v>
      </c>
      <c r="B66" s="32" t="s">
        <v>47</v>
      </c>
      <c r="C66" s="32" t="s">
        <v>75</v>
      </c>
      <c r="D66" s="32" t="s">
        <v>49</v>
      </c>
      <c r="E66" s="32" t="s">
        <v>50</v>
      </c>
    </row>
    <row r="67" spans="1:5" x14ac:dyDescent="0.45">
      <c r="A67" s="30">
        <v>66</v>
      </c>
      <c r="B67" s="32" t="s">
        <v>47</v>
      </c>
      <c r="C67" s="32" t="s">
        <v>592</v>
      </c>
      <c r="D67" s="32" t="s">
        <v>223</v>
      </c>
      <c r="E67" s="32" t="s">
        <v>50</v>
      </c>
    </row>
    <row r="68" spans="1:5" x14ac:dyDescent="0.45">
      <c r="A68" s="30">
        <v>67</v>
      </c>
      <c r="B68" s="32" t="s">
        <v>47</v>
      </c>
      <c r="C68" s="32" t="s">
        <v>76</v>
      </c>
      <c r="D68" s="32" t="s">
        <v>60</v>
      </c>
      <c r="E68" s="32" t="s">
        <v>50</v>
      </c>
    </row>
    <row r="69" spans="1:5" x14ac:dyDescent="0.45">
      <c r="A69" s="30">
        <v>68</v>
      </c>
      <c r="B69" s="32" t="s">
        <v>47</v>
      </c>
      <c r="C69" s="32" t="s">
        <v>424</v>
      </c>
      <c r="D69" s="32" t="s">
        <v>57</v>
      </c>
      <c r="E69" s="32" t="s">
        <v>50</v>
      </c>
    </row>
    <row r="70" spans="1:5" x14ac:dyDescent="0.45">
      <c r="A70" s="30">
        <v>69</v>
      </c>
      <c r="B70" s="32" t="s">
        <v>47</v>
      </c>
      <c r="C70" s="32" t="s">
        <v>265</v>
      </c>
      <c r="D70" s="32" t="s">
        <v>49</v>
      </c>
      <c r="E70" s="32" t="s">
        <v>50</v>
      </c>
    </row>
    <row r="71" spans="1:5" x14ac:dyDescent="0.45">
      <c r="A71" s="30">
        <v>70</v>
      </c>
      <c r="B71" s="32" t="s">
        <v>47</v>
      </c>
      <c r="C71" s="32" t="s">
        <v>266</v>
      </c>
      <c r="D71" s="32" t="s">
        <v>49</v>
      </c>
      <c r="E71" s="32" t="s">
        <v>50</v>
      </c>
    </row>
    <row r="72" spans="1:5" x14ac:dyDescent="0.45">
      <c r="A72" s="30">
        <v>71</v>
      </c>
      <c r="B72" s="32" t="s">
        <v>47</v>
      </c>
      <c r="C72" s="32" t="s">
        <v>647</v>
      </c>
      <c r="D72" s="32" t="s">
        <v>49</v>
      </c>
      <c r="E72" s="32" t="s">
        <v>50</v>
      </c>
    </row>
    <row r="73" spans="1:5" x14ac:dyDescent="0.45">
      <c r="A73" s="30">
        <v>72</v>
      </c>
      <c r="B73" s="32" t="s">
        <v>47</v>
      </c>
      <c r="C73" s="32" t="s">
        <v>77</v>
      </c>
      <c r="D73" s="32" t="s">
        <v>49</v>
      </c>
      <c r="E73" s="32" t="s">
        <v>50</v>
      </c>
    </row>
    <row r="74" spans="1:5" x14ac:dyDescent="0.45">
      <c r="A74" s="30">
        <v>73</v>
      </c>
      <c r="B74" s="32" t="s">
        <v>102</v>
      </c>
      <c r="C74" s="32" t="s">
        <v>336</v>
      </c>
      <c r="D74" s="32" t="s">
        <v>114</v>
      </c>
      <c r="E74" s="32" t="s">
        <v>108</v>
      </c>
    </row>
    <row r="75" spans="1:5" x14ac:dyDescent="0.45">
      <c r="A75" s="30">
        <v>74</v>
      </c>
      <c r="B75" s="32" t="s">
        <v>47</v>
      </c>
      <c r="C75" s="32" t="s">
        <v>694</v>
      </c>
      <c r="D75" s="32" t="s">
        <v>49</v>
      </c>
      <c r="E75" s="32" t="s">
        <v>50</v>
      </c>
    </row>
    <row r="76" spans="1:5" x14ac:dyDescent="0.45">
      <c r="A76" s="30">
        <v>75</v>
      </c>
      <c r="B76" s="32" t="s">
        <v>47</v>
      </c>
      <c r="C76" s="32" t="s">
        <v>490</v>
      </c>
      <c r="D76" s="32" t="s">
        <v>49</v>
      </c>
      <c r="E76" s="32" t="s">
        <v>50</v>
      </c>
    </row>
    <row r="77" spans="1:5" x14ac:dyDescent="0.45">
      <c r="A77" s="30">
        <v>76</v>
      </c>
      <c r="B77" s="32" t="s">
        <v>47</v>
      </c>
      <c r="C77" s="32" t="s">
        <v>78</v>
      </c>
      <c r="D77" s="32" t="s">
        <v>49</v>
      </c>
      <c r="E77" s="32" t="s">
        <v>50</v>
      </c>
    </row>
    <row r="78" spans="1:5" x14ac:dyDescent="0.45">
      <c r="A78" s="30">
        <v>77</v>
      </c>
      <c r="B78" s="32" t="s">
        <v>47</v>
      </c>
      <c r="C78" s="32" t="s">
        <v>425</v>
      </c>
      <c r="D78" s="32" t="s">
        <v>49</v>
      </c>
      <c r="E78" s="32" t="s">
        <v>50</v>
      </c>
    </row>
    <row r="79" spans="1:5" x14ac:dyDescent="0.45">
      <c r="A79" s="30">
        <v>78</v>
      </c>
      <c r="B79" s="32" t="s">
        <v>47</v>
      </c>
      <c r="C79" s="32" t="s">
        <v>518</v>
      </c>
      <c r="D79" s="32" t="s">
        <v>49</v>
      </c>
      <c r="E79" s="32" t="s">
        <v>50</v>
      </c>
    </row>
    <row r="80" spans="1:5" x14ac:dyDescent="0.45">
      <c r="A80" s="30">
        <v>79</v>
      </c>
      <c r="B80" s="32" t="s">
        <v>47</v>
      </c>
      <c r="C80" s="32" t="s">
        <v>79</v>
      </c>
      <c r="D80" s="32" t="s">
        <v>49</v>
      </c>
      <c r="E80" s="32" t="s">
        <v>50</v>
      </c>
    </row>
    <row r="81" spans="1:5" x14ac:dyDescent="0.45">
      <c r="A81" s="30">
        <v>80</v>
      </c>
      <c r="B81" s="32" t="s">
        <v>47</v>
      </c>
      <c r="C81" s="32" t="s">
        <v>80</v>
      </c>
      <c r="D81" s="32" t="s">
        <v>81</v>
      </c>
      <c r="E81" s="32" t="s">
        <v>50</v>
      </c>
    </row>
    <row r="82" spans="1:5" x14ac:dyDescent="0.45">
      <c r="A82" s="30">
        <v>81</v>
      </c>
      <c r="B82" s="32" t="s">
        <v>47</v>
      </c>
      <c r="C82" s="32" t="s">
        <v>267</v>
      </c>
      <c r="D82" s="32" t="s">
        <v>57</v>
      </c>
      <c r="E82" s="32" t="s">
        <v>50</v>
      </c>
    </row>
    <row r="83" spans="1:5" x14ac:dyDescent="0.45">
      <c r="A83" s="30">
        <v>82</v>
      </c>
      <c r="B83" s="32" t="s">
        <v>47</v>
      </c>
      <c r="C83" s="32" t="s">
        <v>82</v>
      </c>
      <c r="D83" s="32" t="s">
        <v>57</v>
      </c>
      <c r="E83" s="32" t="s">
        <v>50</v>
      </c>
    </row>
    <row r="84" spans="1:5" x14ac:dyDescent="0.45">
      <c r="A84" s="30">
        <v>83</v>
      </c>
      <c r="B84" s="32" t="s">
        <v>47</v>
      </c>
      <c r="C84" s="32" t="s">
        <v>268</v>
      </c>
      <c r="D84" s="32" t="s">
        <v>57</v>
      </c>
      <c r="E84" s="32" t="s">
        <v>50</v>
      </c>
    </row>
    <row r="85" spans="1:5" x14ac:dyDescent="0.45">
      <c r="A85" s="30">
        <v>84</v>
      </c>
      <c r="B85" s="32" t="s">
        <v>47</v>
      </c>
      <c r="C85" s="32" t="s">
        <v>269</v>
      </c>
      <c r="D85" s="32" t="s">
        <v>60</v>
      </c>
      <c r="E85" s="32" t="s">
        <v>50</v>
      </c>
    </row>
    <row r="86" spans="1:5" x14ac:dyDescent="0.45">
      <c r="A86" s="30">
        <v>85</v>
      </c>
      <c r="B86" s="32" t="s">
        <v>102</v>
      </c>
      <c r="C86" s="32" t="s">
        <v>337</v>
      </c>
      <c r="D86" s="32" t="s">
        <v>338</v>
      </c>
      <c r="E86" s="32" t="s">
        <v>105</v>
      </c>
    </row>
    <row r="87" spans="1:5" x14ac:dyDescent="0.45">
      <c r="A87" s="30">
        <v>86</v>
      </c>
      <c r="B87" s="32" t="s">
        <v>47</v>
      </c>
      <c r="C87" s="32" t="s">
        <v>83</v>
      </c>
      <c r="D87" s="32" t="s">
        <v>64</v>
      </c>
      <c r="E87" s="32" t="s">
        <v>50</v>
      </c>
    </row>
    <row r="88" spans="1:5" x14ac:dyDescent="0.45">
      <c r="A88" s="30">
        <v>87</v>
      </c>
      <c r="B88" s="32" t="s">
        <v>47</v>
      </c>
      <c r="C88" s="32" t="s">
        <v>536</v>
      </c>
      <c r="D88" s="32" t="s">
        <v>60</v>
      </c>
      <c r="E88" s="32" t="s">
        <v>50</v>
      </c>
    </row>
    <row r="89" spans="1:5" x14ac:dyDescent="0.45">
      <c r="A89" s="30">
        <v>88</v>
      </c>
      <c r="B89" s="32" t="s">
        <v>47</v>
      </c>
      <c r="C89" s="32" t="s">
        <v>550</v>
      </c>
      <c r="D89" s="32" t="s">
        <v>515</v>
      </c>
      <c r="E89" s="32" t="s">
        <v>50</v>
      </c>
    </row>
    <row r="90" spans="1:5" x14ac:dyDescent="0.45">
      <c r="A90" s="30">
        <v>89</v>
      </c>
      <c r="B90" s="32" t="s">
        <v>47</v>
      </c>
      <c r="C90" s="32" t="s">
        <v>426</v>
      </c>
      <c r="D90" s="32" t="s">
        <v>49</v>
      </c>
      <c r="E90" s="32" t="s">
        <v>50</v>
      </c>
    </row>
    <row r="91" spans="1:5" x14ac:dyDescent="0.45">
      <c r="A91" s="30">
        <v>90</v>
      </c>
      <c r="B91" s="32" t="s">
        <v>47</v>
      </c>
      <c r="C91" s="32" t="s">
        <v>427</v>
      </c>
      <c r="D91" s="32" t="s">
        <v>57</v>
      </c>
      <c r="E91" s="32" t="s">
        <v>50</v>
      </c>
    </row>
    <row r="92" spans="1:5" x14ac:dyDescent="0.45">
      <c r="A92" s="30">
        <v>91</v>
      </c>
      <c r="B92" s="32" t="s">
        <v>47</v>
      </c>
      <c r="C92" s="32" t="s">
        <v>84</v>
      </c>
      <c r="D92" s="32" t="s">
        <v>57</v>
      </c>
      <c r="E92" s="32" t="s">
        <v>50</v>
      </c>
    </row>
    <row r="93" spans="1:5" x14ac:dyDescent="0.45">
      <c r="A93" s="30">
        <v>92</v>
      </c>
      <c r="B93" s="32" t="s">
        <v>47</v>
      </c>
      <c r="C93" s="32" t="s">
        <v>85</v>
      </c>
      <c r="D93" s="32" t="s">
        <v>49</v>
      </c>
      <c r="E93" s="32" t="s">
        <v>50</v>
      </c>
    </row>
    <row r="94" spans="1:5" x14ac:dyDescent="0.45">
      <c r="A94" s="30">
        <v>93</v>
      </c>
      <c r="B94" s="32" t="s">
        <v>47</v>
      </c>
      <c r="C94" s="32" t="s">
        <v>86</v>
      </c>
      <c r="D94" s="32" t="s">
        <v>49</v>
      </c>
      <c r="E94" s="32" t="s">
        <v>50</v>
      </c>
    </row>
    <row r="95" spans="1:5" x14ac:dyDescent="0.45">
      <c r="A95" s="30">
        <v>94</v>
      </c>
      <c r="B95" s="32" t="s">
        <v>47</v>
      </c>
      <c r="C95" s="32" t="s">
        <v>270</v>
      </c>
      <c r="D95" s="32" t="s">
        <v>49</v>
      </c>
      <c r="E95" s="32" t="s">
        <v>50</v>
      </c>
    </row>
    <row r="96" spans="1:5" x14ac:dyDescent="0.45">
      <c r="A96" s="30">
        <v>95</v>
      </c>
      <c r="B96" s="32" t="s">
        <v>47</v>
      </c>
      <c r="C96" s="32" t="s">
        <v>672</v>
      </c>
      <c r="D96" s="32" t="s">
        <v>134</v>
      </c>
      <c r="E96" s="32" t="s">
        <v>50</v>
      </c>
    </row>
    <row r="97" spans="1:5" x14ac:dyDescent="0.45">
      <c r="A97" s="30">
        <v>96</v>
      </c>
      <c r="B97" s="32" t="s">
        <v>47</v>
      </c>
      <c r="C97" s="32" t="s">
        <v>87</v>
      </c>
      <c r="D97" s="32" t="s">
        <v>49</v>
      </c>
      <c r="E97" s="32" t="s">
        <v>50</v>
      </c>
    </row>
    <row r="98" spans="1:5" x14ac:dyDescent="0.45">
      <c r="A98" s="30">
        <v>97</v>
      </c>
      <c r="B98" s="32" t="s">
        <v>47</v>
      </c>
      <c r="C98" s="32" t="s">
        <v>612</v>
      </c>
      <c r="D98" s="32" t="s">
        <v>57</v>
      </c>
      <c r="E98" s="32" t="s">
        <v>50</v>
      </c>
    </row>
    <row r="99" spans="1:5" x14ac:dyDescent="0.45">
      <c r="A99" s="30">
        <v>98</v>
      </c>
      <c r="B99" s="32" t="s">
        <v>47</v>
      </c>
      <c r="C99" s="32" t="s">
        <v>402</v>
      </c>
      <c r="D99" s="32" t="s">
        <v>60</v>
      </c>
      <c r="E99" s="32" t="s">
        <v>50</v>
      </c>
    </row>
    <row r="100" spans="1:5" x14ac:dyDescent="0.45">
      <c r="A100" s="30">
        <v>99</v>
      </c>
      <c r="B100" s="32" t="s">
        <v>47</v>
      </c>
      <c r="C100" s="32" t="s">
        <v>271</v>
      </c>
      <c r="D100" s="32" t="s">
        <v>49</v>
      </c>
      <c r="E100" s="32" t="s">
        <v>50</v>
      </c>
    </row>
    <row r="101" spans="1:5" x14ac:dyDescent="0.45">
      <c r="A101" s="30">
        <v>100</v>
      </c>
      <c r="B101" s="32" t="s">
        <v>47</v>
      </c>
      <c r="C101" s="32" t="s">
        <v>519</v>
      </c>
      <c r="D101" s="32" t="s">
        <v>134</v>
      </c>
      <c r="E101" s="32" t="s">
        <v>50</v>
      </c>
    </row>
    <row r="102" spans="1:5" x14ac:dyDescent="0.45">
      <c r="A102" s="30">
        <v>101</v>
      </c>
      <c r="B102" s="32" t="s">
        <v>47</v>
      </c>
      <c r="C102" s="32" t="s">
        <v>585</v>
      </c>
      <c r="D102" s="32" t="s">
        <v>49</v>
      </c>
      <c r="E102" s="32" t="s">
        <v>50</v>
      </c>
    </row>
    <row r="103" spans="1:5" x14ac:dyDescent="0.45">
      <c r="A103" s="30">
        <v>102</v>
      </c>
      <c r="B103" s="32" t="s">
        <v>47</v>
      </c>
      <c r="C103" s="32" t="s">
        <v>520</v>
      </c>
      <c r="D103" s="32" t="s">
        <v>49</v>
      </c>
      <c r="E103" s="32" t="s">
        <v>50</v>
      </c>
    </row>
    <row r="104" spans="1:5" x14ac:dyDescent="0.45">
      <c r="A104" s="30">
        <v>103</v>
      </c>
      <c r="B104" s="32" t="s">
        <v>47</v>
      </c>
      <c r="C104" s="32" t="s">
        <v>88</v>
      </c>
      <c r="D104" s="32" t="s">
        <v>49</v>
      </c>
      <c r="E104" s="32" t="s">
        <v>50</v>
      </c>
    </row>
    <row r="105" spans="1:5" x14ac:dyDescent="0.45">
      <c r="A105" s="30">
        <v>104</v>
      </c>
      <c r="B105" s="32" t="s">
        <v>47</v>
      </c>
      <c r="C105" s="32" t="s">
        <v>630</v>
      </c>
      <c r="D105" s="32" t="s">
        <v>81</v>
      </c>
      <c r="E105" s="32" t="s">
        <v>50</v>
      </c>
    </row>
    <row r="106" spans="1:5" x14ac:dyDescent="0.45">
      <c r="A106" s="30">
        <v>105</v>
      </c>
      <c r="B106" s="32" t="s">
        <v>47</v>
      </c>
      <c r="C106" s="32" t="s">
        <v>600</v>
      </c>
      <c r="D106" s="32" t="s">
        <v>64</v>
      </c>
      <c r="E106" s="32" t="s">
        <v>50</v>
      </c>
    </row>
    <row r="107" spans="1:5" x14ac:dyDescent="0.45">
      <c r="A107" s="30">
        <v>106</v>
      </c>
      <c r="B107" s="32" t="s">
        <v>47</v>
      </c>
      <c r="C107" s="32" t="s">
        <v>89</v>
      </c>
      <c r="D107" s="32" t="s">
        <v>81</v>
      </c>
      <c r="E107" s="32" t="s">
        <v>50</v>
      </c>
    </row>
    <row r="108" spans="1:5" x14ac:dyDescent="0.45">
      <c r="A108" s="30">
        <v>107</v>
      </c>
      <c r="B108" s="32" t="s">
        <v>47</v>
      </c>
      <c r="C108" s="32" t="s">
        <v>681</v>
      </c>
      <c r="D108" s="32" t="s">
        <v>49</v>
      </c>
      <c r="E108" s="32" t="s">
        <v>50</v>
      </c>
    </row>
    <row r="109" spans="1:5" x14ac:dyDescent="0.45">
      <c r="A109" s="30">
        <v>108</v>
      </c>
      <c r="B109" s="32" t="s">
        <v>47</v>
      </c>
      <c r="C109" s="32" t="s">
        <v>90</v>
      </c>
      <c r="D109" s="32" t="s">
        <v>49</v>
      </c>
      <c r="E109" s="32" t="s">
        <v>50</v>
      </c>
    </row>
    <row r="110" spans="1:5" x14ac:dyDescent="0.45">
      <c r="A110" s="30">
        <v>109</v>
      </c>
      <c r="B110" s="32" t="s">
        <v>47</v>
      </c>
      <c r="C110" s="32" t="s">
        <v>383</v>
      </c>
      <c r="D110" s="32" t="s">
        <v>49</v>
      </c>
      <c r="E110" s="32" t="s">
        <v>50</v>
      </c>
    </row>
    <row r="111" spans="1:5" x14ac:dyDescent="0.45">
      <c r="A111" s="30">
        <v>110</v>
      </c>
      <c r="B111" s="32" t="s">
        <v>47</v>
      </c>
      <c r="C111" s="32" t="s">
        <v>663</v>
      </c>
      <c r="D111" s="32" t="s">
        <v>49</v>
      </c>
      <c r="E111" s="32" t="s">
        <v>50</v>
      </c>
    </row>
    <row r="112" spans="1:5" x14ac:dyDescent="0.45">
      <c r="A112" s="30">
        <v>111</v>
      </c>
      <c r="B112" s="32" t="s">
        <v>47</v>
      </c>
      <c r="C112" s="32" t="s">
        <v>272</v>
      </c>
      <c r="D112" s="32" t="s">
        <v>60</v>
      </c>
      <c r="E112" s="32" t="s">
        <v>50</v>
      </c>
    </row>
    <row r="113" spans="1:5" x14ac:dyDescent="0.45">
      <c r="A113" s="30">
        <v>112</v>
      </c>
      <c r="B113" s="32" t="s">
        <v>47</v>
      </c>
      <c r="C113" s="32" t="s">
        <v>273</v>
      </c>
      <c r="D113" s="32" t="s">
        <v>49</v>
      </c>
      <c r="E113" s="32" t="s">
        <v>50</v>
      </c>
    </row>
    <row r="114" spans="1:5" x14ac:dyDescent="0.45">
      <c r="A114" s="30">
        <v>113</v>
      </c>
      <c r="B114" s="32" t="s">
        <v>47</v>
      </c>
      <c r="C114" s="32" t="s">
        <v>91</v>
      </c>
      <c r="D114" s="32" t="s">
        <v>60</v>
      </c>
      <c r="E114" s="32" t="s">
        <v>50</v>
      </c>
    </row>
    <row r="115" spans="1:5" x14ac:dyDescent="0.45">
      <c r="A115" s="30">
        <v>114</v>
      </c>
      <c r="B115" s="32" t="s">
        <v>47</v>
      </c>
      <c r="C115" s="32" t="s">
        <v>92</v>
      </c>
      <c r="D115" s="32" t="s">
        <v>81</v>
      </c>
      <c r="E115" s="32" t="s">
        <v>50</v>
      </c>
    </row>
    <row r="116" spans="1:5" x14ac:dyDescent="0.45">
      <c r="A116" s="30">
        <v>115</v>
      </c>
      <c r="B116" s="32" t="s">
        <v>47</v>
      </c>
      <c r="C116" s="32" t="s">
        <v>428</v>
      </c>
      <c r="D116" s="32" t="s">
        <v>64</v>
      </c>
      <c r="E116" s="32" t="s">
        <v>50</v>
      </c>
    </row>
    <row r="117" spans="1:5" x14ac:dyDescent="0.45">
      <c r="A117" s="30">
        <v>116</v>
      </c>
      <c r="B117" s="32" t="s">
        <v>47</v>
      </c>
      <c r="C117" s="32" t="s">
        <v>528</v>
      </c>
      <c r="D117" s="32" t="s">
        <v>49</v>
      </c>
      <c r="E117" s="32" t="s">
        <v>50</v>
      </c>
    </row>
    <row r="118" spans="1:5" x14ac:dyDescent="0.45">
      <c r="A118" s="30">
        <v>117</v>
      </c>
      <c r="B118" s="32" t="s">
        <v>47</v>
      </c>
      <c r="C118" s="32" t="s">
        <v>671</v>
      </c>
      <c r="D118" s="32" t="s">
        <v>49</v>
      </c>
      <c r="E118" s="32" t="s">
        <v>50</v>
      </c>
    </row>
    <row r="119" spans="1:5" x14ac:dyDescent="0.45">
      <c r="A119" s="30">
        <v>118</v>
      </c>
      <c r="B119" s="32" t="s">
        <v>102</v>
      </c>
      <c r="C119" s="32" t="s">
        <v>481</v>
      </c>
      <c r="D119" s="32" t="s">
        <v>49</v>
      </c>
      <c r="E119" s="32" t="s">
        <v>50</v>
      </c>
    </row>
    <row r="120" spans="1:5" x14ac:dyDescent="0.45">
      <c r="A120" s="30">
        <v>119</v>
      </c>
      <c r="B120" s="32" t="s">
        <v>47</v>
      </c>
      <c r="C120" s="32" t="s">
        <v>510</v>
      </c>
      <c r="D120" s="32" t="s">
        <v>49</v>
      </c>
      <c r="E120" s="32" t="s">
        <v>50</v>
      </c>
    </row>
    <row r="121" spans="1:5" x14ac:dyDescent="0.45">
      <c r="A121" s="30">
        <v>120</v>
      </c>
      <c r="B121" s="32" t="s">
        <v>47</v>
      </c>
      <c r="C121" s="32" t="s">
        <v>586</v>
      </c>
      <c r="D121" s="32" t="s">
        <v>64</v>
      </c>
      <c r="E121" s="32" t="s">
        <v>50</v>
      </c>
    </row>
    <row r="122" spans="1:5" x14ac:dyDescent="0.45">
      <c r="A122" s="30">
        <v>121</v>
      </c>
      <c r="B122" s="32" t="s">
        <v>47</v>
      </c>
      <c r="C122" s="32" t="s">
        <v>93</v>
      </c>
      <c r="D122" s="32" t="s">
        <v>64</v>
      </c>
      <c r="E122" s="32" t="s">
        <v>50</v>
      </c>
    </row>
    <row r="123" spans="1:5" x14ac:dyDescent="0.45">
      <c r="A123" s="30">
        <v>122</v>
      </c>
      <c r="B123" s="32" t="s">
        <v>47</v>
      </c>
      <c r="C123" s="32" t="s">
        <v>651</v>
      </c>
      <c r="D123" s="32" t="s">
        <v>223</v>
      </c>
      <c r="E123" s="32" t="s">
        <v>50</v>
      </c>
    </row>
    <row r="124" spans="1:5" x14ac:dyDescent="0.45">
      <c r="A124" s="30">
        <v>123</v>
      </c>
      <c r="B124" s="32" t="s">
        <v>47</v>
      </c>
      <c r="C124" s="32" t="s">
        <v>274</v>
      </c>
      <c r="D124" s="32" t="s">
        <v>49</v>
      </c>
      <c r="E124" s="32" t="s">
        <v>50</v>
      </c>
    </row>
    <row r="125" spans="1:5" x14ac:dyDescent="0.45">
      <c r="A125" s="30">
        <v>124</v>
      </c>
      <c r="B125" s="32" t="s">
        <v>47</v>
      </c>
      <c r="C125" s="32" t="s">
        <v>699</v>
      </c>
      <c r="D125" s="32" t="s">
        <v>49</v>
      </c>
      <c r="E125" s="32" t="s">
        <v>50</v>
      </c>
    </row>
    <row r="126" spans="1:5" x14ac:dyDescent="0.45">
      <c r="A126" s="30">
        <v>125</v>
      </c>
      <c r="B126" s="32" t="s">
        <v>47</v>
      </c>
      <c r="C126" s="32" t="s">
        <v>429</v>
      </c>
      <c r="D126" s="32" t="s">
        <v>54</v>
      </c>
      <c r="E126" s="32" t="s">
        <v>50</v>
      </c>
    </row>
    <row r="127" spans="1:5" x14ac:dyDescent="0.45">
      <c r="A127" s="30">
        <v>126</v>
      </c>
      <c r="B127" s="32" t="s">
        <v>47</v>
      </c>
      <c r="C127" s="32" t="s">
        <v>417</v>
      </c>
      <c r="D127" s="32" t="s">
        <v>49</v>
      </c>
      <c r="E127" s="32" t="s">
        <v>50</v>
      </c>
    </row>
    <row r="128" spans="1:5" x14ac:dyDescent="0.45">
      <c r="A128" s="30">
        <v>127</v>
      </c>
      <c r="B128" s="32" t="s">
        <v>47</v>
      </c>
      <c r="C128" s="32" t="s">
        <v>468</v>
      </c>
      <c r="D128" s="32" t="s">
        <v>240</v>
      </c>
      <c r="E128" s="32" t="s">
        <v>50</v>
      </c>
    </row>
    <row r="129" spans="1:5" x14ac:dyDescent="0.45">
      <c r="A129" s="30">
        <v>128</v>
      </c>
      <c r="B129" s="32" t="s">
        <v>47</v>
      </c>
      <c r="C129" s="32" t="s">
        <v>275</v>
      </c>
      <c r="D129" s="32" t="s">
        <v>54</v>
      </c>
      <c r="E129" s="32" t="s">
        <v>50</v>
      </c>
    </row>
    <row r="130" spans="1:5" x14ac:dyDescent="0.45">
      <c r="A130" s="30">
        <v>129</v>
      </c>
      <c r="B130" s="32" t="s">
        <v>47</v>
      </c>
      <c r="C130" s="32" t="s">
        <v>634</v>
      </c>
      <c r="D130" s="32" t="s">
        <v>57</v>
      </c>
      <c r="E130" s="32" t="s">
        <v>50</v>
      </c>
    </row>
    <row r="131" spans="1:5" x14ac:dyDescent="0.45">
      <c r="A131" s="30">
        <v>130</v>
      </c>
      <c r="B131" s="32" t="s">
        <v>102</v>
      </c>
      <c r="C131" s="32" t="s">
        <v>339</v>
      </c>
      <c r="D131" s="32" t="s">
        <v>340</v>
      </c>
      <c r="E131" s="32" t="s">
        <v>341</v>
      </c>
    </row>
    <row r="132" spans="1:5" x14ac:dyDescent="0.45">
      <c r="A132" s="30">
        <v>131</v>
      </c>
      <c r="B132" s="32" t="s">
        <v>47</v>
      </c>
      <c r="C132" s="32" t="s">
        <v>430</v>
      </c>
      <c r="D132" s="32" t="s">
        <v>49</v>
      </c>
      <c r="E132" s="32" t="s">
        <v>50</v>
      </c>
    </row>
    <row r="133" spans="1:5" x14ac:dyDescent="0.45">
      <c r="A133" s="30">
        <v>132</v>
      </c>
      <c r="B133" s="32" t="s">
        <v>102</v>
      </c>
      <c r="C133" s="32" t="s">
        <v>697</v>
      </c>
      <c r="D133" s="32" t="s">
        <v>107</v>
      </c>
      <c r="E133" s="32" t="s">
        <v>108</v>
      </c>
    </row>
    <row r="134" spans="1:5" x14ac:dyDescent="0.45">
      <c r="A134" s="30">
        <v>133</v>
      </c>
      <c r="B134" s="32" t="s">
        <v>47</v>
      </c>
      <c r="C134" s="32" t="s">
        <v>682</v>
      </c>
      <c r="D134" s="32" t="s">
        <v>223</v>
      </c>
      <c r="E134" s="32" t="s">
        <v>50</v>
      </c>
    </row>
    <row r="135" spans="1:5" x14ac:dyDescent="0.45">
      <c r="A135" s="30">
        <v>134</v>
      </c>
      <c r="B135" s="32" t="s">
        <v>47</v>
      </c>
      <c r="C135" s="32" t="s">
        <v>712</v>
      </c>
      <c r="D135" s="32" t="s">
        <v>49</v>
      </c>
      <c r="E135" s="32" t="s">
        <v>50</v>
      </c>
    </row>
    <row r="136" spans="1:5" x14ac:dyDescent="0.45">
      <c r="A136" s="30">
        <v>135</v>
      </c>
      <c r="B136" s="32" t="s">
        <v>47</v>
      </c>
      <c r="C136" s="32" t="s">
        <v>94</v>
      </c>
      <c r="D136" s="32" t="s">
        <v>64</v>
      </c>
      <c r="E136" s="32" t="s">
        <v>50</v>
      </c>
    </row>
    <row r="137" spans="1:5" x14ac:dyDescent="0.45">
      <c r="A137" s="30">
        <v>136</v>
      </c>
      <c r="B137" s="32" t="s">
        <v>47</v>
      </c>
      <c r="C137" s="32" t="s">
        <v>276</v>
      </c>
      <c r="D137" s="32" t="s">
        <v>49</v>
      </c>
      <c r="E137" s="32" t="s">
        <v>50</v>
      </c>
    </row>
    <row r="138" spans="1:5" x14ac:dyDescent="0.45">
      <c r="A138" s="30">
        <v>137</v>
      </c>
      <c r="B138" s="32" t="s">
        <v>47</v>
      </c>
      <c r="C138" s="32" t="s">
        <v>95</v>
      </c>
      <c r="D138" s="32" t="s">
        <v>49</v>
      </c>
      <c r="E138" s="32" t="s">
        <v>50</v>
      </c>
    </row>
    <row r="139" spans="1:5" x14ac:dyDescent="0.45">
      <c r="A139" s="30">
        <v>138</v>
      </c>
      <c r="B139" s="32" t="s">
        <v>47</v>
      </c>
      <c r="C139" s="32" t="s">
        <v>96</v>
      </c>
      <c r="D139" s="32" t="s">
        <v>49</v>
      </c>
      <c r="E139" s="32" t="s">
        <v>50</v>
      </c>
    </row>
    <row r="140" spans="1:5" x14ac:dyDescent="0.45">
      <c r="A140" s="30">
        <v>139</v>
      </c>
      <c r="B140" s="32" t="s">
        <v>47</v>
      </c>
      <c r="C140" s="32" t="s">
        <v>611</v>
      </c>
      <c r="D140" s="32" t="s">
        <v>60</v>
      </c>
      <c r="E140" s="32" t="s">
        <v>50</v>
      </c>
    </row>
    <row r="141" spans="1:5" x14ac:dyDescent="0.45">
      <c r="A141" s="30">
        <v>140</v>
      </c>
      <c r="B141" s="32" t="s">
        <v>47</v>
      </c>
      <c r="C141" s="32" t="s">
        <v>97</v>
      </c>
      <c r="D141" s="32" t="s">
        <v>49</v>
      </c>
      <c r="E141" s="32" t="s">
        <v>50</v>
      </c>
    </row>
    <row r="142" spans="1:5" x14ac:dyDescent="0.45">
      <c r="A142" s="30">
        <v>141</v>
      </c>
      <c r="B142" s="32" t="s">
        <v>47</v>
      </c>
      <c r="C142" s="32" t="s">
        <v>98</v>
      </c>
      <c r="D142" s="32" t="s">
        <v>49</v>
      </c>
      <c r="E142" s="32" t="s">
        <v>50</v>
      </c>
    </row>
    <row r="143" spans="1:5" x14ac:dyDescent="0.45">
      <c r="A143" s="30">
        <v>142</v>
      </c>
      <c r="B143" s="32" t="s">
        <v>47</v>
      </c>
      <c r="C143" s="32" t="s">
        <v>99</v>
      </c>
      <c r="D143" s="32" t="s">
        <v>49</v>
      </c>
      <c r="E143" s="32" t="s">
        <v>50</v>
      </c>
    </row>
    <row r="144" spans="1:5" x14ac:dyDescent="0.45">
      <c r="A144" s="30">
        <v>143</v>
      </c>
      <c r="B144" s="32" t="s">
        <v>47</v>
      </c>
      <c r="C144" s="32" t="s">
        <v>100</v>
      </c>
      <c r="D144" s="32" t="s">
        <v>60</v>
      </c>
      <c r="E144" s="32" t="s">
        <v>50</v>
      </c>
    </row>
    <row r="145" spans="1:5" x14ac:dyDescent="0.45">
      <c r="A145" s="30">
        <v>144</v>
      </c>
      <c r="B145" s="32" t="s">
        <v>47</v>
      </c>
      <c r="C145" s="32" t="s">
        <v>101</v>
      </c>
      <c r="D145" s="32" t="s">
        <v>64</v>
      </c>
      <c r="E145" s="32" t="s">
        <v>50</v>
      </c>
    </row>
    <row r="146" spans="1:5" x14ac:dyDescent="0.45">
      <c r="A146" s="30">
        <v>145</v>
      </c>
      <c r="B146" s="32" t="s">
        <v>102</v>
      </c>
      <c r="C146" s="32" t="s">
        <v>103</v>
      </c>
      <c r="D146" s="32" t="s">
        <v>104</v>
      </c>
      <c r="E146" s="32" t="s">
        <v>105</v>
      </c>
    </row>
    <row r="147" spans="1:5" x14ac:dyDescent="0.45">
      <c r="A147" s="30">
        <v>146</v>
      </c>
      <c r="B147" s="32" t="s">
        <v>102</v>
      </c>
      <c r="C147" s="32" t="s">
        <v>106</v>
      </c>
      <c r="D147" s="32" t="s">
        <v>107</v>
      </c>
      <c r="E147" s="32" t="s">
        <v>108</v>
      </c>
    </row>
    <row r="148" spans="1:5" x14ac:dyDescent="0.45">
      <c r="A148" s="30">
        <v>147</v>
      </c>
      <c r="B148" s="32" t="s">
        <v>47</v>
      </c>
      <c r="C148" s="32" t="s">
        <v>109</v>
      </c>
      <c r="D148" s="32" t="s">
        <v>60</v>
      </c>
      <c r="E148" s="32" t="s">
        <v>50</v>
      </c>
    </row>
    <row r="149" spans="1:5" x14ac:dyDescent="0.45">
      <c r="A149" s="30">
        <v>148</v>
      </c>
      <c r="B149" s="32" t="s">
        <v>47</v>
      </c>
      <c r="C149" s="32" t="s">
        <v>110</v>
      </c>
      <c r="D149" s="32" t="s">
        <v>57</v>
      </c>
      <c r="E149" s="32" t="s">
        <v>50</v>
      </c>
    </row>
    <row r="150" spans="1:5" x14ac:dyDescent="0.45">
      <c r="A150" s="30">
        <v>149</v>
      </c>
      <c r="B150" s="32" t="s">
        <v>47</v>
      </c>
      <c r="C150" s="32" t="s">
        <v>277</v>
      </c>
      <c r="D150" s="32" t="s">
        <v>60</v>
      </c>
      <c r="E150" s="32" t="s">
        <v>50</v>
      </c>
    </row>
    <row r="151" spans="1:5" x14ac:dyDescent="0.45">
      <c r="A151" s="30">
        <v>150</v>
      </c>
      <c r="B151" s="32" t="s">
        <v>47</v>
      </c>
      <c r="C151" s="32" t="s">
        <v>111</v>
      </c>
      <c r="D151" s="32" t="s">
        <v>60</v>
      </c>
      <c r="E151" s="32" t="s">
        <v>50</v>
      </c>
    </row>
    <row r="152" spans="1:5" x14ac:dyDescent="0.45">
      <c r="A152" s="30">
        <v>151</v>
      </c>
      <c r="B152" s="32" t="s">
        <v>47</v>
      </c>
      <c r="C152" s="32" t="s">
        <v>342</v>
      </c>
      <c r="D152" s="32" t="s">
        <v>81</v>
      </c>
      <c r="E152" s="32" t="s">
        <v>50</v>
      </c>
    </row>
    <row r="153" spans="1:5" x14ac:dyDescent="0.45">
      <c r="A153" s="30">
        <v>152</v>
      </c>
      <c r="B153" s="32" t="s">
        <v>47</v>
      </c>
      <c r="C153" s="32" t="s">
        <v>572</v>
      </c>
      <c r="D153" s="32" t="s">
        <v>64</v>
      </c>
      <c r="E153" s="32" t="s">
        <v>50</v>
      </c>
    </row>
    <row r="154" spans="1:5" x14ac:dyDescent="0.45">
      <c r="A154" s="30">
        <v>153</v>
      </c>
      <c r="B154" s="32" t="s">
        <v>47</v>
      </c>
      <c r="C154" s="32" t="s">
        <v>112</v>
      </c>
      <c r="D154" s="32" t="s">
        <v>49</v>
      </c>
      <c r="E154" s="32" t="s">
        <v>50</v>
      </c>
    </row>
    <row r="155" spans="1:5" x14ac:dyDescent="0.45">
      <c r="A155" s="30">
        <v>154</v>
      </c>
      <c r="B155" s="32" t="s">
        <v>47</v>
      </c>
      <c r="C155" s="32" t="s">
        <v>278</v>
      </c>
      <c r="D155" s="32" t="s">
        <v>49</v>
      </c>
      <c r="E155" s="32" t="s">
        <v>50</v>
      </c>
    </row>
    <row r="156" spans="1:5" x14ac:dyDescent="0.45">
      <c r="A156" s="30">
        <v>155</v>
      </c>
      <c r="B156" s="32" t="s">
        <v>102</v>
      </c>
      <c r="C156" s="32" t="s">
        <v>113</v>
      </c>
      <c r="D156" s="32" t="s">
        <v>114</v>
      </c>
      <c r="E156" s="32" t="s">
        <v>108</v>
      </c>
    </row>
    <row r="157" spans="1:5" x14ac:dyDescent="0.45">
      <c r="A157" s="30">
        <v>156</v>
      </c>
      <c r="B157" s="32" t="s">
        <v>47</v>
      </c>
      <c r="C157" s="32" t="s">
        <v>636</v>
      </c>
      <c r="D157" s="32" t="s">
        <v>64</v>
      </c>
      <c r="E157" s="32" t="s">
        <v>50</v>
      </c>
    </row>
    <row r="158" spans="1:5" x14ac:dyDescent="0.45">
      <c r="A158" s="30">
        <v>157</v>
      </c>
      <c r="B158" s="32" t="s">
        <v>47</v>
      </c>
      <c r="C158" s="32" t="s">
        <v>115</v>
      </c>
      <c r="D158" s="32" t="s">
        <v>49</v>
      </c>
      <c r="E158" s="32" t="s">
        <v>50</v>
      </c>
    </row>
    <row r="159" spans="1:5" x14ac:dyDescent="0.45">
      <c r="A159" s="30">
        <v>158</v>
      </c>
      <c r="B159" s="32" t="s">
        <v>102</v>
      </c>
      <c r="C159" s="32" t="s">
        <v>665</v>
      </c>
      <c r="D159" s="32" t="s">
        <v>487</v>
      </c>
      <c r="E159" s="32" t="s">
        <v>341</v>
      </c>
    </row>
    <row r="160" spans="1:5" x14ac:dyDescent="0.45">
      <c r="A160" s="30">
        <v>159</v>
      </c>
      <c r="B160" s="32" t="s">
        <v>47</v>
      </c>
      <c r="C160" s="32" t="s">
        <v>431</v>
      </c>
      <c r="D160" s="32" t="s">
        <v>49</v>
      </c>
      <c r="E160" s="32" t="s">
        <v>50</v>
      </c>
    </row>
    <row r="161" spans="1:5" x14ac:dyDescent="0.45">
      <c r="A161" s="30">
        <v>160</v>
      </c>
      <c r="B161" s="32" t="s">
        <v>47</v>
      </c>
      <c r="C161" s="32" t="s">
        <v>521</v>
      </c>
      <c r="D161" s="32" t="s">
        <v>49</v>
      </c>
      <c r="E161" s="32" t="s">
        <v>50</v>
      </c>
    </row>
    <row r="162" spans="1:5" x14ac:dyDescent="0.45">
      <c r="A162" s="30">
        <v>161</v>
      </c>
      <c r="B162" s="32" t="s">
        <v>47</v>
      </c>
      <c r="C162" s="32" t="s">
        <v>116</v>
      </c>
      <c r="D162" s="32" t="s">
        <v>81</v>
      </c>
      <c r="E162" s="32" t="s">
        <v>50</v>
      </c>
    </row>
    <row r="163" spans="1:5" x14ac:dyDescent="0.45">
      <c r="A163" s="30">
        <v>162</v>
      </c>
      <c r="B163" s="32" t="s">
        <v>47</v>
      </c>
      <c r="C163" s="32" t="s">
        <v>432</v>
      </c>
      <c r="D163" s="32" t="s">
        <v>134</v>
      </c>
      <c r="E163" s="32" t="s">
        <v>50</v>
      </c>
    </row>
    <row r="164" spans="1:5" x14ac:dyDescent="0.45">
      <c r="A164" s="30">
        <v>163</v>
      </c>
      <c r="B164" s="32" t="s">
        <v>47</v>
      </c>
      <c r="C164" s="32" t="s">
        <v>505</v>
      </c>
      <c r="D164" s="32" t="s">
        <v>81</v>
      </c>
      <c r="E164" s="32" t="s">
        <v>50</v>
      </c>
    </row>
    <row r="165" spans="1:5" x14ac:dyDescent="0.45">
      <c r="A165" s="30">
        <v>164</v>
      </c>
      <c r="B165" s="32" t="s">
        <v>47</v>
      </c>
      <c r="C165" s="32" t="s">
        <v>684</v>
      </c>
      <c r="D165" s="32" t="s">
        <v>685</v>
      </c>
      <c r="E165" s="32" t="s">
        <v>341</v>
      </c>
    </row>
    <row r="166" spans="1:5" x14ac:dyDescent="0.45">
      <c r="A166" s="30">
        <v>165</v>
      </c>
      <c r="B166" s="32" t="s">
        <v>102</v>
      </c>
      <c r="C166" s="32" t="s">
        <v>117</v>
      </c>
      <c r="D166" s="32" t="s">
        <v>118</v>
      </c>
      <c r="E166" s="32" t="s">
        <v>119</v>
      </c>
    </row>
    <row r="167" spans="1:5" x14ac:dyDescent="0.45">
      <c r="A167" s="30">
        <v>166</v>
      </c>
      <c r="B167" s="32" t="s">
        <v>47</v>
      </c>
      <c r="C167" s="32" t="s">
        <v>551</v>
      </c>
      <c r="D167" s="32" t="s">
        <v>54</v>
      </c>
      <c r="E167" s="32" t="s">
        <v>50</v>
      </c>
    </row>
    <row r="168" spans="1:5" x14ac:dyDescent="0.45">
      <c r="A168" s="30">
        <v>167</v>
      </c>
      <c r="B168" s="32" t="s">
        <v>47</v>
      </c>
      <c r="C168" s="32" t="s">
        <v>120</v>
      </c>
      <c r="D168" s="32" t="s">
        <v>49</v>
      </c>
      <c r="E168" s="32" t="s">
        <v>50</v>
      </c>
    </row>
    <row r="169" spans="1:5" x14ac:dyDescent="0.45">
      <c r="A169" s="30">
        <v>168</v>
      </c>
      <c r="B169" s="32" t="s">
        <v>47</v>
      </c>
      <c r="C169" s="32" t="s">
        <v>121</v>
      </c>
      <c r="D169" s="32" t="s">
        <v>60</v>
      </c>
      <c r="E169" s="32" t="s">
        <v>50</v>
      </c>
    </row>
    <row r="170" spans="1:5" x14ac:dyDescent="0.45">
      <c r="A170" s="30">
        <v>169</v>
      </c>
      <c r="B170" s="32" t="s">
        <v>47</v>
      </c>
      <c r="C170" s="32" t="s">
        <v>122</v>
      </c>
      <c r="D170" s="32" t="s">
        <v>49</v>
      </c>
      <c r="E170" s="32" t="s">
        <v>50</v>
      </c>
    </row>
    <row r="171" spans="1:5" x14ac:dyDescent="0.45">
      <c r="A171" s="30">
        <v>170</v>
      </c>
      <c r="B171" s="32" t="s">
        <v>47</v>
      </c>
      <c r="C171" s="32" t="s">
        <v>537</v>
      </c>
      <c r="D171" s="32" t="s">
        <v>49</v>
      </c>
      <c r="E171" s="32" t="s">
        <v>50</v>
      </c>
    </row>
    <row r="172" spans="1:5" x14ac:dyDescent="0.45">
      <c r="A172" s="30">
        <v>171</v>
      </c>
      <c r="B172" s="32" t="s">
        <v>47</v>
      </c>
      <c r="C172" s="32" t="s">
        <v>123</v>
      </c>
      <c r="D172" s="32" t="s">
        <v>49</v>
      </c>
      <c r="E172" s="32" t="s">
        <v>50</v>
      </c>
    </row>
    <row r="173" spans="1:5" x14ac:dyDescent="0.45">
      <c r="A173" s="30">
        <v>172</v>
      </c>
      <c r="B173" s="32" t="s">
        <v>47</v>
      </c>
      <c r="C173" s="32" t="s">
        <v>124</v>
      </c>
      <c r="D173" s="32" t="s">
        <v>49</v>
      </c>
      <c r="E173" s="32" t="s">
        <v>50</v>
      </c>
    </row>
    <row r="174" spans="1:5" x14ac:dyDescent="0.45">
      <c r="A174" s="30">
        <v>173</v>
      </c>
      <c r="B174" s="32" t="s">
        <v>47</v>
      </c>
      <c r="C174" s="32" t="s">
        <v>125</v>
      </c>
      <c r="D174" s="32" t="s">
        <v>60</v>
      </c>
      <c r="E174" s="32" t="s">
        <v>50</v>
      </c>
    </row>
    <row r="175" spans="1:5" x14ac:dyDescent="0.45">
      <c r="A175" s="30">
        <v>174</v>
      </c>
      <c r="B175" s="32" t="s">
        <v>47</v>
      </c>
      <c r="C175" s="32" t="s">
        <v>343</v>
      </c>
      <c r="D175" s="32" t="s">
        <v>49</v>
      </c>
      <c r="E175" s="32" t="s">
        <v>50</v>
      </c>
    </row>
    <row r="176" spans="1:5" x14ac:dyDescent="0.45">
      <c r="A176" s="30">
        <v>175</v>
      </c>
      <c r="B176" s="32" t="s">
        <v>47</v>
      </c>
      <c r="C176" s="32" t="s">
        <v>344</v>
      </c>
      <c r="D176" s="32" t="s">
        <v>60</v>
      </c>
      <c r="E176" s="32" t="s">
        <v>50</v>
      </c>
    </row>
    <row r="177" spans="1:5" x14ac:dyDescent="0.45">
      <c r="A177" s="30">
        <v>176</v>
      </c>
      <c r="B177" s="32" t="s">
        <v>47</v>
      </c>
      <c r="C177" s="32" t="s">
        <v>485</v>
      </c>
      <c r="D177" s="32" t="s">
        <v>134</v>
      </c>
      <c r="E177" s="32" t="s">
        <v>50</v>
      </c>
    </row>
    <row r="178" spans="1:5" x14ac:dyDescent="0.45">
      <c r="A178" s="30">
        <v>177</v>
      </c>
      <c r="B178" s="32" t="s">
        <v>47</v>
      </c>
      <c r="C178" s="32" t="s">
        <v>345</v>
      </c>
      <c r="D178" s="32" t="s">
        <v>81</v>
      </c>
      <c r="E178" s="32" t="s">
        <v>50</v>
      </c>
    </row>
    <row r="179" spans="1:5" x14ac:dyDescent="0.45">
      <c r="A179" s="30">
        <v>178</v>
      </c>
      <c r="B179" s="32" t="s">
        <v>102</v>
      </c>
      <c r="C179" s="32" t="s">
        <v>126</v>
      </c>
      <c r="D179" s="32" t="s">
        <v>127</v>
      </c>
      <c r="E179" s="32" t="s">
        <v>128</v>
      </c>
    </row>
    <row r="180" spans="1:5" x14ac:dyDescent="0.45">
      <c r="A180" s="30">
        <v>179</v>
      </c>
      <c r="B180" s="32" t="s">
        <v>47</v>
      </c>
      <c r="C180" s="32" t="s">
        <v>346</v>
      </c>
      <c r="D180" s="32" t="s">
        <v>49</v>
      </c>
      <c r="E180" s="32" t="s">
        <v>50</v>
      </c>
    </row>
    <row r="181" spans="1:5" x14ac:dyDescent="0.45">
      <c r="A181" s="30">
        <v>180</v>
      </c>
      <c r="B181" s="32" t="s">
        <v>47</v>
      </c>
      <c r="C181" s="32" t="s">
        <v>593</v>
      </c>
      <c r="D181" s="32" t="s">
        <v>49</v>
      </c>
      <c r="E181" s="32" t="s">
        <v>50</v>
      </c>
    </row>
    <row r="182" spans="1:5" x14ac:dyDescent="0.45">
      <c r="A182" s="30">
        <v>181</v>
      </c>
      <c r="B182" s="32" t="s">
        <v>47</v>
      </c>
      <c r="C182" s="32" t="s">
        <v>522</v>
      </c>
      <c r="D182" s="32" t="s">
        <v>64</v>
      </c>
      <c r="E182" s="32" t="s">
        <v>50</v>
      </c>
    </row>
    <row r="183" spans="1:5" x14ac:dyDescent="0.45">
      <c r="A183" s="30">
        <v>182</v>
      </c>
      <c r="B183" s="32" t="s">
        <v>47</v>
      </c>
      <c r="C183" s="32" t="s">
        <v>579</v>
      </c>
      <c r="D183" s="32" t="s">
        <v>49</v>
      </c>
      <c r="E183" s="32" t="s">
        <v>50</v>
      </c>
    </row>
    <row r="184" spans="1:5" x14ac:dyDescent="0.45">
      <c r="A184" s="30">
        <v>183</v>
      </c>
      <c r="B184" s="32" t="s">
        <v>47</v>
      </c>
      <c r="C184" s="32" t="s">
        <v>594</v>
      </c>
      <c r="D184" s="32" t="s">
        <v>223</v>
      </c>
      <c r="E184" s="32" t="s">
        <v>50</v>
      </c>
    </row>
    <row r="185" spans="1:5" x14ac:dyDescent="0.45">
      <c r="A185" s="30">
        <v>184</v>
      </c>
      <c r="B185" s="32" t="s">
        <v>47</v>
      </c>
      <c r="C185" s="32" t="s">
        <v>129</v>
      </c>
      <c r="D185" s="32" t="s">
        <v>57</v>
      </c>
      <c r="E185" s="32" t="s">
        <v>50</v>
      </c>
    </row>
    <row r="186" spans="1:5" x14ac:dyDescent="0.45">
      <c r="A186" s="30">
        <v>185</v>
      </c>
      <c r="B186" s="32" t="s">
        <v>47</v>
      </c>
      <c r="C186" s="32" t="s">
        <v>403</v>
      </c>
      <c r="D186" s="32" t="s">
        <v>60</v>
      </c>
      <c r="E186" s="32" t="s">
        <v>50</v>
      </c>
    </row>
    <row r="187" spans="1:5" x14ac:dyDescent="0.45">
      <c r="A187" s="30">
        <v>186</v>
      </c>
      <c r="B187" s="32" t="s">
        <v>47</v>
      </c>
      <c r="C187" s="32" t="s">
        <v>406</v>
      </c>
      <c r="D187" s="32" t="s">
        <v>81</v>
      </c>
      <c r="E187" s="32" t="s">
        <v>50</v>
      </c>
    </row>
    <row r="188" spans="1:5" x14ac:dyDescent="0.45">
      <c r="A188" s="30">
        <v>187</v>
      </c>
      <c r="B188" s="32" t="s">
        <v>47</v>
      </c>
      <c r="C188" s="32" t="s">
        <v>130</v>
      </c>
      <c r="D188" s="32" t="s">
        <v>64</v>
      </c>
      <c r="E188" s="32" t="s">
        <v>50</v>
      </c>
    </row>
    <row r="189" spans="1:5" x14ac:dyDescent="0.45">
      <c r="A189" s="30">
        <v>188</v>
      </c>
      <c r="B189" s="32" t="s">
        <v>47</v>
      </c>
      <c r="C189" s="32" t="s">
        <v>669</v>
      </c>
      <c r="D189" s="32" t="s">
        <v>81</v>
      </c>
      <c r="E189" s="32" t="s">
        <v>50</v>
      </c>
    </row>
    <row r="190" spans="1:5" x14ac:dyDescent="0.45">
      <c r="A190" s="30">
        <v>189</v>
      </c>
      <c r="B190" s="32" t="s">
        <v>47</v>
      </c>
      <c r="C190" s="32" t="s">
        <v>347</v>
      </c>
      <c r="D190" s="32" t="s">
        <v>49</v>
      </c>
      <c r="E190" s="32" t="s">
        <v>50</v>
      </c>
    </row>
    <row r="191" spans="1:5" x14ac:dyDescent="0.45">
      <c r="A191" s="30">
        <v>190</v>
      </c>
      <c r="B191" s="32" t="s">
        <v>47</v>
      </c>
      <c r="C191" s="32" t="s">
        <v>610</v>
      </c>
      <c r="D191" s="32" t="s">
        <v>238</v>
      </c>
      <c r="E191" s="32" t="s">
        <v>50</v>
      </c>
    </row>
    <row r="192" spans="1:5" x14ac:dyDescent="0.45">
      <c r="A192" s="30">
        <v>191</v>
      </c>
      <c r="B192" s="32" t="s">
        <v>47</v>
      </c>
      <c r="C192" s="32" t="s">
        <v>400</v>
      </c>
      <c r="D192" s="32" t="s">
        <v>281</v>
      </c>
      <c r="E192" s="32" t="s">
        <v>50</v>
      </c>
    </row>
    <row r="193" spans="1:5" x14ac:dyDescent="0.45">
      <c r="A193" s="30">
        <v>192</v>
      </c>
      <c r="B193" s="32" t="s">
        <v>47</v>
      </c>
      <c r="C193" s="32" t="s">
        <v>279</v>
      </c>
      <c r="D193" s="32" t="s">
        <v>49</v>
      </c>
      <c r="E193" s="32" t="s">
        <v>50</v>
      </c>
    </row>
    <row r="194" spans="1:5" x14ac:dyDescent="0.45">
      <c r="A194" s="30">
        <v>193</v>
      </c>
      <c r="B194" s="32" t="s">
        <v>47</v>
      </c>
      <c r="C194" s="32" t="s">
        <v>662</v>
      </c>
      <c r="D194" s="32" t="s">
        <v>57</v>
      </c>
      <c r="E194" s="32" t="s">
        <v>50</v>
      </c>
    </row>
    <row r="195" spans="1:5" x14ac:dyDescent="0.45">
      <c r="A195" s="30">
        <v>194</v>
      </c>
      <c r="B195" s="32" t="s">
        <v>47</v>
      </c>
      <c r="C195" s="32" t="s">
        <v>433</v>
      </c>
      <c r="D195" s="32" t="s">
        <v>49</v>
      </c>
      <c r="E195" s="32" t="s">
        <v>50</v>
      </c>
    </row>
    <row r="196" spans="1:5" x14ac:dyDescent="0.45">
      <c r="A196" s="30">
        <v>195</v>
      </c>
      <c r="B196" s="32" t="s">
        <v>47</v>
      </c>
      <c r="C196" s="32" t="s">
        <v>131</v>
      </c>
      <c r="D196" s="32" t="s">
        <v>64</v>
      </c>
      <c r="E196" s="32" t="s">
        <v>50</v>
      </c>
    </row>
    <row r="197" spans="1:5" x14ac:dyDescent="0.45">
      <c r="A197" s="30">
        <v>196</v>
      </c>
      <c r="B197" s="32" t="s">
        <v>102</v>
      </c>
      <c r="C197" s="32" t="s">
        <v>656</v>
      </c>
      <c r="D197" s="32" t="s">
        <v>657</v>
      </c>
      <c r="E197" s="32" t="s">
        <v>119</v>
      </c>
    </row>
    <row r="198" spans="1:5" x14ac:dyDescent="0.45">
      <c r="A198" s="30">
        <v>197</v>
      </c>
      <c r="B198" s="32" t="s">
        <v>47</v>
      </c>
      <c r="C198" s="32" t="s">
        <v>678</v>
      </c>
      <c r="D198" s="32" t="s">
        <v>60</v>
      </c>
      <c r="E198" s="32" t="s">
        <v>50</v>
      </c>
    </row>
    <row r="199" spans="1:5" x14ac:dyDescent="0.45">
      <c r="A199" s="30">
        <v>198</v>
      </c>
      <c r="B199" s="32" t="s">
        <v>47</v>
      </c>
      <c r="C199" s="32" t="s">
        <v>132</v>
      </c>
      <c r="D199" s="32" t="s">
        <v>49</v>
      </c>
      <c r="E199" s="32" t="s">
        <v>50</v>
      </c>
    </row>
    <row r="200" spans="1:5" x14ac:dyDescent="0.45">
      <c r="A200" s="30">
        <v>199</v>
      </c>
      <c r="B200" s="32" t="s">
        <v>47</v>
      </c>
      <c r="C200" s="32" t="s">
        <v>603</v>
      </c>
      <c r="D200" s="32" t="s">
        <v>49</v>
      </c>
      <c r="E200" s="32" t="s">
        <v>50</v>
      </c>
    </row>
    <row r="201" spans="1:5" x14ac:dyDescent="0.45">
      <c r="A201" s="30">
        <v>200</v>
      </c>
      <c r="B201" s="32" t="s">
        <v>47</v>
      </c>
      <c r="C201" s="32" t="s">
        <v>133</v>
      </c>
      <c r="D201" s="32" t="s">
        <v>134</v>
      </c>
      <c r="E201" s="32" t="s">
        <v>50</v>
      </c>
    </row>
    <row r="202" spans="1:5" x14ac:dyDescent="0.45">
      <c r="A202" s="30">
        <v>201</v>
      </c>
      <c r="B202" s="32" t="s">
        <v>47</v>
      </c>
      <c r="C202" s="32" t="s">
        <v>654</v>
      </c>
      <c r="D202" s="32" t="s">
        <v>281</v>
      </c>
      <c r="E202" s="32" t="s">
        <v>50</v>
      </c>
    </row>
    <row r="203" spans="1:5" x14ac:dyDescent="0.45">
      <c r="A203" s="30">
        <v>202</v>
      </c>
      <c r="B203" s="32" t="s">
        <v>47</v>
      </c>
      <c r="C203" s="32" t="s">
        <v>280</v>
      </c>
      <c r="D203" s="32" t="s">
        <v>281</v>
      </c>
      <c r="E203" s="32" t="s">
        <v>50</v>
      </c>
    </row>
    <row r="204" spans="1:5" x14ac:dyDescent="0.45">
      <c r="A204" s="30">
        <v>203</v>
      </c>
      <c r="B204" s="32" t="s">
        <v>47</v>
      </c>
      <c r="C204" s="32" t="s">
        <v>135</v>
      </c>
      <c r="D204" s="32" t="s">
        <v>49</v>
      </c>
      <c r="E204" s="32" t="s">
        <v>50</v>
      </c>
    </row>
    <row r="205" spans="1:5" x14ac:dyDescent="0.45">
      <c r="A205" s="30">
        <v>204</v>
      </c>
      <c r="B205" s="32" t="s">
        <v>47</v>
      </c>
      <c r="C205" s="32" t="s">
        <v>614</v>
      </c>
      <c r="D205" s="32" t="s">
        <v>223</v>
      </c>
      <c r="E205" s="32" t="s">
        <v>50</v>
      </c>
    </row>
    <row r="206" spans="1:5" x14ac:dyDescent="0.45">
      <c r="A206" s="30">
        <v>205</v>
      </c>
      <c r="B206" s="32" t="s">
        <v>102</v>
      </c>
      <c r="C206" s="32" t="s">
        <v>552</v>
      </c>
      <c r="D206" s="32" t="s">
        <v>238</v>
      </c>
      <c r="E206" s="32" t="s">
        <v>50</v>
      </c>
    </row>
    <row r="207" spans="1:5" x14ac:dyDescent="0.45">
      <c r="A207" s="30">
        <v>206</v>
      </c>
      <c r="B207" s="32" t="s">
        <v>47</v>
      </c>
      <c r="C207" s="32" t="s">
        <v>507</v>
      </c>
      <c r="D207" s="32" t="s">
        <v>60</v>
      </c>
      <c r="E207" s="32" t="s">
        <v>50</v>
      </c>
    </row>
    <row r="208" spans="1:5" x14ac:dyDescent="0.45">
      <c r="A208" s="30">
        <v>207</v>
      </c>
      <c r="B208" s="32" t="s">
        <v>47</v>
      </c>
      <c r="C208" s="32" t="s">
        <v>434</v>
      </c>
      <c r="D208" s="32" t="s">
        <v>57</v>
      </c>
      <c r="E208" s="32" t="s">
        <v>50</v>
      </c>
    </row>
    <row r="209" spans="1:5" x14ac:dyDescent="0.45">
      <c r="A209" s="30">
        <v>208</v>
      </c>
      <c r="B209" s="32" t="s">
        <v>47</v>
      </c>
      <c r="C209" s="32" t="s">
        <v>282</v>
      </c>
      <c r="D209" s="32" t="s">
        <v>49</v>
      </c>
      <c r="E209" s="32" t="s">
        <v>50</v>
      </c>
    </row>
    <row r="210" spans="1:5" x14ac:dyDescent="0.45">
      <c r="A210" s="30">
        <v>209</v>
      </c>
      <c r="B210" s="32" t="s">
        <v>47</v>
      </c>
      <c r="C210" s="32" t="s">
        <v>398</v>
      </c>
      <c r="D210" s="32" t="s">
        <v>64</v>
      </c>
      <c r="E210" s="32" t="s">
        <v>50</v>
      </c>
    </row>
    <row r="211" spans="1:5" x14ac:dyDescent="0.45">
      <c r="A211" s="30">
        <v>210</v>
      </c>
      <c r="B211" s="32" t="s">
        <v>102</v>
      </c>
      <c r="C211" s="32" t="s">
        <v>418</v>
      </c>
      <c r="D211" s="32" t="s">
        <v>104</v>
      </c>
      <c r="E211" s="32" t="s">
        <v>105</v>
      </c>
    </row>
    <row r="212" spans="1:5" x14ac:dyDescent="0.45">
      <c r="A212" s="30">
        <v>211</v>
      </c>
      <c r="B212" s="32" t="s">
        <v>47</v>
      </c>
      <c r="C212" s="32" t="s">
        <v>136</v>
      </c>
      <c r="D212" s="32" t="s">
        <v>49</v>
      </c>
      <c r="E212" s="32" t="s">
        <v>50</v>
      </c>
    </row>
    <row r="213" spans="1:5" x14ac:dyDescent="0.45">
      <c r="A213" s="30">
        <v>212</v>
      </c>
      <c r="B213" s="32" t="s">
        <v>47</v>
      </c>
      <c r="C213" s="32" t="s">
        <v>395</v>
      </c>
      <c r="D213" s="32" t="s">
        <v>81</v>
      </c>
      <c r="E213" s="32" t="s">
        <v>50</v>
      </c>
    </row>
    <row r="214" spans="1:5" x14ac:dyDescent="0.45">
      <c r="A214" s="30">
        <v>213</v>
      </c>
      <c r="B214" s="32" t="s">
        <v>47</v>
      </c>
      <c r="C214" s="32" t="s">
        <v>529</v>
      </c>
      <c r="D214" s="32" t="s">
        <v>49</v>
      </c>
      <c r="E214" s="32" t="s">
        <v>50</v>
      </c>
    </row>
    <row r="215" spans="1:5" x14ac:dyDescent="0.45">
      <c r="A215" s="30">
        <v>214</v>
      </c>
      <c r="B215" s="32" t="s">
        <v>47</v>
      </c>
      <c r="C215" s="32" t="s">
        <v>506</v>
      </c>
      <c r="D215" s="32" t="s">
        <v>57</v>
      </c>
      <c r="E215" s="32" t="s">
        <v>50</v>
      </c>
    </row>
    <row r="216" spans="1:5" x14ac:dyDescent="0.45">
      <c r="A216" s="30">
        <v>215</v>
      </c>
      <c r="B216" s="32" t="s">
        <v>47</v>
      </c>
      <c r="C216" s="32" t="s">
        <v>608</v>
      </c>
      <c r="D216" s="32" t="s">
        <v>49</v>
      </c>
      <c r="E216" s="32" t="s">
        <v>50</v>
      </c>
    </row>
    <row r="217" spans="1:5" x14ac:dyDescent="0.45">
      <c r="A217" s="30">
        <v>216</v>
      </c>
      <c r="B217" s="32" t="s">
        <v>47</v>
      </c>
      <c r="C217" s="32" t="s">
        <v>648</v>
      </c>
      <c r="D217" s="32" t="s">
        <v>57</v>
      </c>
      <c r="E217" s="32" t="s">
        <v>50</v>
      </c>
    </row>
    <row r="218" spans="1:5" x14ac:dyDescent="0.45">
      <c r="A218" s="30">
        <v>217</v>
      </c>
      <c r="B218" s="32" t="s">
        <v>47</v>
      </c>
      <c r="C218" s="32" t="s">
        <v>604</v>
      </c>
      <c r="D218" s="32" t="s">
        <v>134</v>
      </c>
      <c r="E218" s="32" t="s">
        <v>50</v>
      </c>
    </row>
    <row r="219" spans="1:5" x14ac:dyDescent="0.45">
      <c r="A219" s="30">
        <v>218</v>
      </c>
      <c r="B219" s="32" t="s">
        <v>102</v>
      </c>
      <c r="C219" s="32" t="s">
        <v>710</v>
      </c>
      <c r="D219" s="32" t="s">
        <v>189</v>
      </c>
      <c r="E219" s="32" t="s">
        <v>128</v>
      </c>
    </row>
    <row r="220" spans="1:5" x14ac:dyDescent="0.45">
      <c r="A220" s="30">
        <v>219</v>
      </c>
      <c r="B220" s="32" t="s">
        <v>47</v>
      </c>
      <c r="C220" s="32" t="s">
        <v>616</v>
      </c>
      <c r="D220" s="32" t="s">
        <v>223</v>
      </c>
      <c r="E220" s="32" t="s">
        <v>50</v>
      </c>
    </row>
    <row r="221" spans="1:5" x14ac:dyDescent="0.45">
      <c r="A221" s="30">
        <v>220</v>
      </c>
      <c r="B221" s="32" t="s">
        <v>47</v>
      </c>
      <c r="C221" s="32" t="s">
        <v>283</v>
      </c>
      <c r="D221" s="32" t="s">
        <v>49</v>
      </c>
      <c r="E221" s="32" t="s">
        <v>50</v>
      </c>
    </row>
    <row r="222" spans="1:5" x14ac:dyDescent="0.45">
      <c r="A222" s="30">
        <v>221</v>
      </c>
      <c r="B222" s="32" t="s">
        <v>47</v>
      </c>
      <c r="C222" s="32" t="s">
        <v>435</v>
      </c>
      <c r="D222" s="32" t="s">
        <v>49</v>
      </c>
      <c r="E222" s="32" t="s">
        <v>50</v>
      </c>
    </row>
    <row r="223" spans="1:5" x14ac:dyDescent="0.45">
      <c r="A223" s="30">
        <v>222</v>
      </c>
      <c r="B223" s="32" t="s">
        <v>47</v>
      </c>
      <c r="C223" s="32" t="s">
        <v>480</v>
      </c>
      <c r="D223" s="32" t="s">
        <v>49</v>
      </c>
      <c r="E223" s="32" t="s">
        <v>50</v>
      </c>
    </row>
    <row r="224" spans="1:5" x14ac:dyDescent="0.45">
      <c r="A224" s="30">
        <v>223</v>
      </c>
      <c r="B224" s="32" t="s">
        <v>47</v>
      </c>
      <c r="C224" s="32" t="s">
        <v>470</v>
      </c>
      <c r="D224" s="32" t="s">
        <v>57</v>
      </c>
      <c r="E224" s="32" t="s">
        <v>50</v>
      </c>
    </row>
    <row r="225" spans="1:5" x14ac:dyDescent="0.45">
      <c r="A225" s="30">
        <v>224</v>
      </c>
      <c r="B225" s="32" t="s">
        <v>47</v>
      </c>
      <c r="C225" s="32" t="s">
        <v>284</v>
      </c>
      <c r="D225" s="32" t="s">
        <v>49</v>
      </c>
      <c r="E225" s="32" t="s">
        <v>50</v>
      </c>
    </row>
    <row r="226" spans="1:5" x14ac:dyDescent="0.45">
      <c r="A226" s="30">
        <v>225</v>
      </c>
      <c r="B226" s="32" t="s">
        <v>47</v>
      </c>
      <c r="C226" s="32" t="s">
        <v>137</v>
      </c>
      <c r="D226" s="32" t="s">
        <v>49</v>
      </c>
      <c r="E226" s="32" t="s">
        <v>50</v>
      </c>
    </row>
    <row r="227" spans="1:5" x14ac:dyDescent="0.45">
      <c r="A227" s="30">
        <v>226</v>
      </c>
      <c r="B227" s="32" t="s">
        <v>47</v>
      </c>
      <c r="C227" s="32" t="s">
        <v>478</v>
      </c>
      <c r="D227" s="32" t="s">
        <v>281</v>
      </c>
      <c r="E227" s="32" t="s">
        <v>50</v>
      </c>
    </row>
    <row r="228" spans="1:5" x14ac:dyDescent="0.45">
      <c r="A228" s="30">
        <v>227</v>
      </c>
      <c r="B228" s="32" t="s">
        <v>102</v>
      </c>
      <c r="C228" s="32" t="s">
        <v>707</v>
      </c>
      <c r="D228" s="32" t="s">
        <v>331</v>
      </c>
      <c r="E228" s="32" t="s">
        <v>105</v>
      </c>
    </row>
    <row r="229" spans="1:5" x14ac:dyDescent="0.45">
      <c r="A229" s="30">
        <v>228</v>
      </c>
      <c r="B229" s="32" t="s">
        <v>47</v>
      </c>
      <c r="C229" s="32" t="s">
        <v>138</v>
      </c>
      <c r="D229" s="32" t="s">
        <v>49</v>
      </c>
      <c r="E229" s="32" t="s">
        <v>50</v>
      </c>
    </row>
    <row r="230" spans="1:5" x14ac:dyDescent="0.45">
      <c r="A230" s="30">
        <v>229</v>
      </c>
      <c r="B230" s="32" t="s">
        <v>47</v>
      </c>
      <c r="C230" s="32" t="s">
        <v>285</v>
      </c>
      <c r="D230" s="32" t="s">
        <v>49</v>
      </c>
      <c r="E230" s="32" t="s">
        <v>50</v>
      </c>
    </row>
    <row r="231" spans="1:5" x14ac:dyDescent="0.45">
      <c r="A231" s="30">
        <v>230</v>
      </c>
      <c r="B231" s="32" t="s">
        <v>47</v>
      </c>
      <c r="C231" s="32" t="s">
        <v>286</v>
      </c>
      <c r="D231" s="32" t="s">
        <v>49</v>
      </c>
      <c r="E231" s="32" t="s">
        <v>50</v>
      </c>
    </row>
    <row r="232" spans="1:5" x14ac:dyDescent="0.45">
      <c r="A232" s="30">
        <v>231</v>
      </c>
      <c r="B232" s="32" t="s">
        <v>47</v>
      </c>
      <c r="C232" s="32" t="s">
        <v>517</v>
      </c>
      <c r="D232" s="32" t="s">
        <v>57</v>
      </c>
      <c r="E232" s="32" t="s">
        <v>50</v>
      </c>
    </row>
    <row r="233" spans="1:5" x14ac:dyDescent="0.45">
      <c r="A233" s="30">
        <v>232</v>
      </c>
      <c r="B233" s="32" t="s">
        <v>102</v>
      </c>
      <c r="C233" s="32" t="s">
        <v>701</v>
      </c>
      <c r="D233" s="32" t="s">
        <v>349</v>
      </c>
      <c r="E233" s="32" t="s">
        <v>105</v>
      </c>
    </row>
    <row r="234" spans="1:5" x14ac:dyDescent="0.45">
      <c r="A234" s="30">
        <v>233</v>
      </c>
      <c r="B234" s="32" t="s">
        <v>47</v>
      </c>
      <c r="C234" s="32" t="s">
        <v>287</v>
      </c>
      <c r="D234" s="32" t="s">
        <v>60</v>
      </c>
      <c r="E234" s="32" t="s">
        <v>50</v>
      </c>
    </row>
    <row r="235" spans="1:5" x14ac:dyDescent="0.45">
      <c r="A235" s="30">
        <v>234</v>
      </c>
      <c r="B235" s="32" t="s">
        <v>47</v>
      </c>
      <c r="C235" s="32" t="s">
        <v>390</v>
      </c>
      <c r="D235" s="32" t="s">
        <v>60</v>
      </c>
      <c r="E235" s="32" t="s">
        <v>50</v>
      </c>
    </row>
    <row r="236" spans="1:5" x14ac:dyDescent="0.45">
      <c r="A236" s="30">
        <v>235</v>
      </c>
      <c r="B236" s="32" t="s">
        <v>47</v>
      </c>
      <c r="C236" s="32" t="s">
        <v>618</v>
      </c>
      <c r="D236" s="32" t="s">
        <v>81</v>
      </c>
      <c r="E236" s="32" t="s">
        <v>50</v>
      </c>
    </row>
    <row r="237" spans="1:5" x14ac:dyDescent="0.45">
      <c r="A237" s="30">
        <v>236</v>
      </c>
      <c r="B237" s="32" t="s">
        <v>47</v>
      </c>
      <c r="C237" s="32" t="s">
        <v>460</v>
      </c>
      <c r="D237" s="32" t="s">
        <v>49</v>
      </c>
      <c r="E237" s="32" t="s">
        <v>50</v>
      </c>
    </row>
    <row r="238" spans="1:5" x14ac:dyDescent="0.45">
      <c r="A238" s="30">
        <v>237</v>
      </c>
      <c r="B238" s="32" t="s">
        <v>47</v>
      </c>
      <c r="C238" s="32" t="s">
        <v>523</v>
      </c>
      <c r="D238" s="32" t="s">
        <v>49</v>
      </c>
      <c r="E238" s="32" t="s">
        <v>50</v>
      </c>
    </row>
    <row r="239" spans="1:5" x14ac:dyDescent="0.45">
      <c r="A239" s="30">
        <v>238</v>
      </c>
      <c r="B239" s="32" t="s">
        <v>47</v>
      </c>
      <c r="C239" s="32" t="s">
        <v>139</v>
      </c>
      <c r="D239" s="32" t="s">
        <v>57</v>
      </c>
      <c r="E239" s="32" t="s">
        <v>50</v>
      </c>
    </row>
    <row r="240" spans="1:5" x14ac:dyDescent="0.45">
      <c r="A240" s="30">
        <v>239</v>
      </c>
      <c r="B240" s="32" t="s">
        <v>47</v>
      </c>
      <c r="C240" s="32" t="s">
        <v>288</v>
      </c>
      <c r="D240" s="32" t="s">
        <v>49</v>
      </c>
      <c r="E240" s="32" t="s">
        <v>50</v>
      </c>
    </row>
    <row r="241" spans="1:5" x14ac:dyDescent="0.45">
      <c r="A241" s="30">
        <v>240</v>
      </c>
      <c r="B241" s="32" t="s">
        <v>102</v>
      </c>
      <c r="C241" s="32" t="s">
        <v>348</v>
      </c>
      <c r="D241" s="32" t="s">
        <v>349</v>
      </c>
      <c r="E241" s="32" t="s">
        <v>105</v>
      </c>
    </row>
    <row r="242" spans="1:5" x14ac:dyDescent="0.45">
      <c r="A242" s="30">
        <v>241</v>
      </c>
      <c r="B242" s="32" t="s">
        <v>47</v>
      </c>
      <c r="C242" s="32" t="s">
        <v>140</v>
      </c>
      <c r="D242" s="32" t="s">
        <v>49</v>
      </c>
      <c r="E242" s="32" t="s">
        <v>50</v>
      </c>
    </row>
    <row r="243" spans="1:5" x14ac:dyDescent="0.45">
      <c r="A243" s="30">
        <v>242</v>
      </c>
      <c r="B243" s="32" t="s">
        <v>47</v>
      </c>
      <c r="C243" s="32" t="s">
        <v>350</v>
      </c>
      <c r="D243" s="32" t="s">
        <v>49</v>
      </c>
      <c r="E243" s="32" t="s">
        <v>50</v>
      </c>
    </row>
    <row r="244" spans="1:5" x14ac:dyDescent="0.45">
      <c r="A244" s="30">
        <v>243</v>
      </c>
      <c r="B244" s="32" t="s">
        <v>47</v>
      </c>
      <c r="C244" s="32" t="s">
        <v>141</v>
      </c>
      <c r="D244" s="32" t="s">
        <v>49</v>
      </c>
      <c r="E244" s="32" t="s">
        <v>50</v>
      </c>
    </row>
    <row r="245" spans="1:5" x14ac:dyDescent="0.45">
      <c r="A245" s="30">
        <v>244</v>
      </c>
      <c r="B245" s="32" t="s">
        <v>47</v>
      </c>
      <c r="C245" s="32" t="s">
        <v>476</v>
      </c>
      <c r="D245" s="32" t="s">
        <v>49</v>
      </c>
      <c r="E245" s="32" t="s">
        <v>50</v>
      </c>
    </row>
    <row r="246" spans="1:5" x14ac:dyDescent="0.45">
      <c r="A246" s="30">
        <v>245</v>
      </c>
      <c r="B246" s="32" t="s">
        <v>47</v>
      </c>
      <c r="C246" s="32" t="s">
        <v>436</v>
      </c>
      <c r="D246" s="32" t="s">
        <v>57</v>
      </c>
      <c r="E246" s="32" t="s">
        <v>50</v>
      </c>
    </row>
    <row r="247" spans="1:5" x14ac:dyDescent="0.45">
      <c r="A247" s="30">
        <v>246</v>
      </c>
      <c r="B247" s="32" t="s">
        <v>47</v>
      </c>
      <c r="C247" s="32" t="s">
        <v>538</v>
      </c>
      <c r="D247" s="32" t="s">
        <v>118</v>
      </c>
      <c r="E247" s="32" t="s">
        <v>119</v>
      </c>
    </row>
    <row r="248" spans="1:5" x14ac:dyDescent="0.45">
      <c r="A248" s="30">
        <v>247</v>
      </c>
      <c r="B248" s="32" t="s">
        <v>102</v>
      </c>
      <c r="C248" s="32" t="s">
        <v>414</v>
      </c>
      <c r="D248" s="32" t="s">
        <v>415</v>
      </c>
      <c r="E248" s="32" t="s">
        <v>50</v>
      </c>
    </row>
    <row r="249" spans="1:5" x14ac:dyDescent="0.45">
      <c r="A249" s="30">
        <v>248</v>
      </c>
      <c r="B249" s="32" t="s">
        <v>47</v>
      </c>
      <c r="C249" s="32" t="s">
        <v>142</v>
      </c>
      <c r="D249" s="32" t="s">
        <v>57</v>
      </c>
      <c r="E249" s="32" t="s">
        <v>50</v>
      </c>
    </row>
    <row r="250" spans="1:5" x14ac:dyDescent="0.45">
      <c r="A250" s="30">
        <v>249</v>
      </c>
      <c r="B250" s="32" t="s">
        <v>47</v>
      </c>
      <c r="C250" s="32" t="s">
        <v>143</v>
      </c>
      <c r="D250" s="32" t="s">
        <v>49</v>
      </c>
      <c r="E250" s="32" t="s">
        <v>50</v>
      </c>
    </row>
    <row r="251" spans="1:5" x14ac:dyDescent="0.45">
      <c r="A251" s="30">
        <v>250</v>
      </c>
      <c r="B251" s="32" t="s">
        <v>47</v>
      </c>
      <c r="C251" s="32" t="s">
        <v>624</v>
      </c>
      <c r="D251" s="32" t="s">
        <v>49</v>
      </c>
      <c r="E251" s="32" t="s">
        <v>50</v>
      </c>
    </row>
    <row r="252" spans="1:5" x14ac:dyDescent="0.45">
      <c r="A252" s="30">
        <v>251</v>
      </c>
      <c r="B252" s="32" t="s">
        <v>47</v>
      </c>
      <c r="C252" s="32" t="s">
        <v>144</v>
      </c>
      <c r="D252" s="32" t="s">
        <v>49</v>
      </c>
      <c r="E252" s="32" t="s">
        <v>50</v>
      </c>
    </row>
    <row r="253" spans="1:5" x14ac:dyDescent="0.45">
      <c r="A253" s="30">
        <v>252</v>
      </c>
      <c r="B253" s="32" t="s">
        <v>47</v>
      </c>
      <c r="C253" s="32" t="s">
        <v>289</v>
      </c>
      <c r="D253" s="32" t="s">
        <v>238</v>
      </c>
      <c r="E253" s="32" t="s">
        <v>50</v>
      </c>
    </row>
    <row r="254" spans="1:5" x14ac:dyDescent="0.45">
      <c r="A254" s="30">
        <v>253</v>
      </c>
      <c r="B254" s="32" t="s">
        <v>47</v>
      </c>
      <c r="C254" s="32" t="s">
        <v>145</v>
      </c>
      <c r="D254" s="32" t="s">
        <v>60</v>
      </c>
      <c r="E254" s="32" t="s">
        <v>50</v>
      </c>
    </row>
    <row r="255" spans="1:5" x14ac:dyDescent="0.45">
      <c r="A255" s="30">
        <v>254</v>
      </c>
      <c r="B255" s="32" t="s">
        <v>47</v>
      </c>
      <c r="C255" s="32" t="s">
        <v>589</v>
      </c>
      <c r="D255" s="32" t="s">
        <v>81</v>
      </c>
      <c r="E255" s="32" t="s">
        <v>50</v>
      </c>
    </row>
    <row r="256" spans="1:5" x14ac:dyDescent="0.45">
      <c r="A256" s="30">
        <v>255</v>
      </c>
      <c r="B256" s="32" t="s">
        <v>47</v>
      </c>
      <c r="C256" s="32" t="s">
        <v>666</v>
      </c>
      <c r="D256" s="32" t="s">
        <v>49</v>
      </c>
      <c r="E256" s="32" t="s">
        <v>50</v>
      </c>
    </row>
    <row r="257" spans="1:5" x14ac:dyDescent="0.45">
      <c r="A257" s="30">
        <v>256</v>
      </c>
      <c r="B257" s="32" t="s">
        <v>47</v>
      </c>
      <c r="C257" s="32" t="s">
        <v>619</v>
      </c>
      <c r="D257" s="32" t="s">
        <v>81</v>
      </c>
      <c r="E257" s="32" t="s">
        <v>50</v>
      </c>
    </row>
    <row r="258" spans="1:5" x14ac:dyDescent="0.45">
      <c r="A258" s="30">
        <v>257</v>
      </c>
      <c r="B258" s="32" t="s">
        <v>47</v>
      </c>
      <c r="C258" s="32" t="s">
        <v>511</v>
      </c>
      <c r="D258" s="32" t="s">
        <v>60</v>
      </c>
      <c r="E258" s="32" t="s">
        <v>50</v>
      </c>
    </row>
    <row r="259" spans="1:5" x14ac:dyDescent="0.45">
      <c r="A259" s="30">
        <v>258</v>
      </c>
      <c r="B259" s="32" t="s">
        <v>47</v>
      </c>
      <c r="C259" s="32" t="s">
        <v>621</v>
      </c>
      <c r="D259" s="32" t="s">
        <v>134</v>
      </c>
      <c r="E259" s="32" t="s">
        <v>50</v>
      </c>
    </row>
    <row r="260" spans="1:5" x14ac:dyDescent="0.45">
      <c r="A260" s="30">
        <v>259</v>
      </c>
      <c r="B260" s="32" t="s">
        <v>47</v>
      </c>
      <c r="C260" s="32" t="s">
        <v>650</v>
      </c>
      <c r="D260" s="32" t="s">
        <v>238</v>
      </c>
      <c r="E260" s="32" t="s">
        <v>50</v>
      </c>
    </row>
    <row r="261" spans="1:5" x14ac:dyDescent="0.45">
      <c r="A261" s="30">
        <v>260</v>
      </c>
      <c r="B261" s="32" t="s">
        <v>47</v>
      </c>
      <c r="C261" s="32" t="s">
        <v>146</v>
      </c>
      <c r="D261" s="32" t="s">
        <v>64</v>
      </c>
      <c r="E261" s="32" t="s">
        <v>50</v>
      </c>
    </row>
    <row r="262" spans="1:5" x14ac:dyDescent="0.45">
      <c r="A262" s="30">
        <v>261</v>
      </c>
      <c r="B262" s="32" t="s">
        <v>47</v>
      </c>
      <c r="C262" s="32" t="s">
        <v>290</v>
      </c>
      <c r="D262" s="32" t="s">
        <v>49</v>
      </c>
      <c r="E262" s="32" t="s">
        <v>50</v>
      </c>
    </row>
    <row r="263" spans="1:5" x14ac:dyDescent="0.45">
      <c r="A263" s="30">
        <v>262</v>
      </c>
      <c r="B263" s="32" t="s">
        <v>47</v>
      </c>
      <c r="C263" s="32" t="s">
        <v>351</v>
      </c>
      <c r="D263" s="32" t="s">
        <v>49</v>
      </c>
      <c r="E263" s="32" t="s">
        <v>50</v>
      </c>
    </row>
    <row r="264" spans="1:5" x14ac:dyDescent="0.45">
      <c r="A264" s="30">
        <v>263</v>
      </c>
      <c r="B264" s="32" t="s">
        <v>102</v>
      </c>
      <c r="C264" s="32" t="s">
        <v>691</v>
      </c>
      <c r="D264" s="32" t="s">
        <v>657</v>
      </c>
      <c r="E264" s="32" t="s">
        <v>119</v>
      </c>
    </row>
    <row r="265" spans="1:5" x14ac:dyDescent="0.45">
      <c r="A265" s="30">
        <v>264</v>
      </c>
      <c r="B265" s="32" t="s">
        <v>47</v>
      </c>
      <c r="C265" s="32" t="s">
        <v>291</v>
      </c>
      <c r="D265" s="32" t="s">
        <v>57</v>
      </c>
      <c r="E265" s="32" t="s">
        <v>50</v>
      </c>
    </row>
    <row r="266" spans="1:5" x14ac:dyDescent="0.45">
      <c r="A266" s="30">
        <v>265</v>
      </c>
      <c r="B266" s="32" t="s">
        <v>47</v>
      </c>
      <c r="C266" s="32" t="s">
        <v>147</v>
      </c>
      <c r="D266" s="32" t="s">
        <v>57</v>
      </c>
      <c r="E266" s="32" t="s">
        <v>50</v>
      </c>
    </row>
    <row r="267" spans="1:5" x14ac:dyDescent="0.45">
      <c r="A267" s="30">
        <v>266</v>
      </c>
      <c r="B267" s="32" t="s">
        <v>102</v>
      </c>
      <c r="C267" s="32" t="s">
        <v>437</v>
      </c>
      <c r="D267" s="32" t="s">
        <v>49</v>
      </c>
      <c r="E267" s="32" t="s">
        <v>50</v>
      </c>
    </row>
    <row r="268" spans="1:5" x14ac:dyDescent="0.45">
      <c r="A268" s="30">
        <v>267</v>
      </c>
      <c r="B268" s="32" t="s">
        <v>47</v>
      </c>
      <c r="C268" s="32" t="s">
        <v>581</v>
      </c>
      <c r="D268" s="32" t="s">
        <v>64</v>
      </c>
      <c r="E268" s="32" t="s">
        <v>50</v>
      </c>
    </row>
    <row r="269" spans="1:5" x14ac:dyDescent="0.45">
      <c r="A269" s="30">
        <v>268</v>
      </c>
      <c r="B269" s="32" t="s">
        <v>47</v>
      </c>
      <c r="C269" s="32" t="s">
        <v>530</v>
      </c>
      <c r="D269" s="32" t="s">
        <v>49</v>
      </c>
      <c r="E269" s="32" t="s">
        <v>50</v>
      </c>
    </row>
    <row r="270" spans="1:5" x14ac:dyDescent="0.45">
      <c r="A270" s="30">
        <v>269</v>
      </c>
      <c r="B270" s="32" t="s">
        <v>47</v>
      </c>
      <c r="C270" s="32" t="s">
        <v>469</v>
      </c>
      <c r="D270" s="32" t="s">
        <v>57</v>
      </c>
      <c r="E270" s="32" t="s">
        <v>50</v>
      </c>
    </row>
    <row r="271" spans="1:5" x14ac:dyDescent="0.45">
      <c r="A271" s="30">
        <v>270</v>
      </c>
      <c r="B271" s="32" t="s">
        <v>47</v>
      </c>
      <c r="C271" s="32" t="s">
        <v>148</v>
      </c>
      <c r="D271" s="32" t="s">
        <v>49</v>
      </c>
      <c r="E271" s="32" t="s">
        <v>50</v>
      </c>
    </row>
    <row r="272" spans="1:5" x14ac:dyDescent="0.45">
      <c r="A272" s="30">
        <v>271</v>
      </c>
      <c r="B272" s="32" t="s">
        <v>47</v>
      </c>
      <c r="C272" s="32" t="s">
        <v>149</v>
      </c>
      <c r="D272" s="32" t="s">
        <v>49</v>
      </c>
      <c r="E272" s="32" t="s">
        <v>50</v>
      </c>
    </row>
    <row r="273" spans="1:5" x14ac:dyDescent="0.45">
      <c r="A273" s="30">
        <v>272</v>
      </c>
      <c r="B273" s="32" t="s">
        <v>47</v>
      </c>
      <c r="C273" s="32" t="s">
        <v>495</v>
      </c>
      <c r="D273" s="32" t="s">
        <v>54</v>
      </c>
      <c r="E273" s="32" t="s">
        <v>50</v>
      </c>
    </row>
    <row r="274" spans="1:5" x14ac:dyDescent="0.45">
      <c r="A274" s="30">
        <v>273</v>
      </c>
      <c r="B274" s="32" t="s">
        <v>47</v>
      </c>
      <c r="C274" s="32" t="s">
        <v>150</v>
      </c>
      <c r="D274" s="32" t="s">
        <v>49</v>
      </c>
      <c r="E274" s="32" t="s">
        <v>50</v>
      </c>
    </row>
    <row r="275" spans="1:5" x14ac:dyDescent="0.45">
      <c r="A275" s="30">
        <v>274</v>
      </c>
      <c r="B275" s="32" t="s">
        <v>47</v>
      </c>
      <c r="C275" s="32" t="s">
        <v>655</v>
      </c>
      <c r="D275" s="32" t="s">
        <v>49</v>
      </c>
      <c r="E275" s="32" t="s">
        <v>50</v>
      </c>
    </row>
    <row r="276" spans="1:5" x14ac:dyDescent="0.45">
      <c r="A276" s="30">
        <v>275</v>
      </c>
      <c r="B276" s="32" t="s">
        <v>47</v>
      </c>
      <c r="C276" s="32" t="s">
        <v>151</v>
      </c>
      <c r="D276" s="32" t="s">
        <v>60</v>
      </c>
      <c r="E276" s="32" t="s">
        <v>50</v>
      </c>
    </row>
    <row r="277" spans="1:5" x14ac:dyDescent="0.45">
      <c r="A277" s="30">
        <v>276</v>
      </c>
      <c r="B277" s="32" t="s">
        <v>47</v>
      </c>
      <c r="C277" s="32" t="s">
        <v>152</v>
      </c>
      <c r="D277" s="32" t="s">
        <v>60</v>
      </c>
      <c r="E277" s="32" t="s">
        <v>50</v>
      </c>
    </row>
    <row r="278" spans="1:5" x14ac:dyDescent="0.45">
      <c r="A278" s="30">
        <v>277</v>
      </c>
      <c r="B278" s="32" t="s">
        <v>47</v>
      </c>
      <c r="C278" s="32" t="s">
        <v>292</v>
      </c>
      <c r="D278" s="32" t="s">
        <v>60</v>
      </c>
      <c r="E278" s="32" t="s">
        <v>50</v>
      </c>
    </row>
    <row r="279" spans="1:5" x14ac:dyDescent="0.45">
      <c r="A279" s="30">
        <v>278</v>
      </c>
      <c r="B279" s="32" t="s">
        <v>47</v>
      </c>
      <c r="C279" s="32" t="s">
        <v>583</v>
      </c>
      <c r="D279" s="32" t="s">
        <v>64</v>
      </c>
      <c r="E279" s="32" t="s">
        <v>50</v>
      </c>
    </row>
    <row r="280" spans="1:5" x14ac:dyDescent="0.45">
      <c r="A280" s="30">
        <v>279</v>
      </c>
      <c r="B280" s="32" t="s">
        <v>47</v>
      </c>
      <c r="C280" s="32" t="s">
        <v>462</v>
      </c>
      <c r="D280" s="32" t="s">
        <v>49</v>
      </c>
      <c r="E280" s="32" t="s">
        <v>50</v>
      </c>
    </row>
    <row r="281" spans="1:5" x14ac:dyDescent="0.45">
      <c r="A281" s="30">
        <v>280</v>
      </c>
      <c r="B281" s="32" t="s">
        <v>47</v>
      </c>
      <c r="C281" s="32" t="s">
        <v>573</v>
      </c>
      <c r="D281" s="32" t="s">
        <v>49</v>
      </c>
      <c r="E281" s="32" t="s">
        <v>50</v>
      </c>
    </row>
    <row r="282" spans="1:5" x14ac:dyDescent="0.45">
      <c r="A282" s="30">
        <v>281</v>
      </c>
      <c r="B282" s="32" t="s">
        <v>47</v>
      </c>
      <c r="C282" s="32" t="s">
        <v>352</v>
      </c>
      <c r="D282" s="32" t="s">
        <v>54</v>
      </c>
      <c r="E282" s="32" t="s">
        <v>50</v>
      </c>
    </row>
    <row r="283" spans="1:5" x14ac:dyDescent="0.45">
      <c r="A283" s="30">
        <v>282</v>
      </c>
      <c r="B283" s="32" t="s">
        <v>47</v>
      </c>
      <c r="C283" s="32" t="s">
        <v>553</v>
      </c>
      <c r="D283" s="32" t="s">
        <v>238</v>
      </c>
      <c r="E283" s="32" t="s">
        <v>50</v>
      </c>
    </row>
    <row r="284" spans="1:5" x14ac:dyDescent="0.45">
      <c r="A284" s="30">
        <v>283</v>
      </c>
      <c r="B284" s="32" t="s">
        <v>47</v>
      </c>
      <c r="C284" s="32" t="s">
        <v>438</v>
      </c>
      <c r="D284" s="32" t="s">
        <v>57</v>
      </c>
      <c r="E284" s="32" t="s">
        <v>50</v>
      </c>
    </row>
    <row r="285" spans="1:5" x14ac:dyDescent="0.45">
      <c r="A285" s="30">
        <v>284</v>
      </c>
      <c r="B285" s="32" t="s">
        <v>47</v>
      </c>
      <c r="C285" s="32" t="s">
        <v>153</v>
      </c>
      <c r="D285" s="32" t="s">
        <v>57</v>
      </c>
      <c r="E285" s="32" t="s">
        <v>50</v>
      </c>
    </row>
    <row r="286" spans="1:5" x14ac:dyDescent="0.45">
      <c r="A286" s="30">
        <v>285</v>
      </c>
      <c r="B286" s="32" t="s">
        <v>47</v>
      </c>
      <c r="C286" s="32" t="s">
        <v>473</v>
      </c>
      <c r="D286" s="32" t="s">
        <v>57</v>
      </c>
      <c r="E286" s="32" t="s">
        <v>50</v>
      </c>
    </row>
    <row r="287" spans="1:5" x14ac:dyDescent="0.45">
      <c r="A287" s="30">
        <v>286</v>
      </c>
      <c r="B287" s="32" t="s">
        <v>47</v>
      </c>
      <c r="C287" s="32" t="s">
        <v>154</v>
      </c>
      <c r="D287" s="32" t="s">
        <v>60</v>
      </c>
      <c r="E287" s="32" t="s">
        <v>50</v>
      </c>
    </row>
    <row r="288" spans="1:5" x14ac:dyDescent="0.45">
      <c r="A288" s="30">
        <v>287</v>
      </c>
      <c r="B288" s="32" t="s">
        <v>47</v>
      </c>
      <c r="C288" s="32" t="s">
        <v>439</v>
      </c>
      <c r="D288" s="32" t="s">
        <v>64</v>
      </c>
      <c r="E288" s="32" t="s">
        <v>50</v>
      </c>
    </row>
    <row r="289" spans="1:5" x14ac:dyDescent="0.45">
      <c r="A289" s="30">
        <v>288</v>
      </c>
      <c r="B289" s="32" t="s">
        <v>47</v>
      </c>
      <c r="C289" s="32" t="s">
        <v>155</v>
      </c>
      <c r="D289" s="32" t="s">
        <v>64</v>
      </c>
      <c r="E289" s="32" t="s">
        <v>50</v>
      </c>
    </row>
    <row r="290" spans="1:5" x14ac:dyDescent="0.45">
      <c r="A290" s="30">
        <v>289</v>
      </c>
      <c r="B290" s="32" t="s">
        <v>47</v>
      </c>
      <c r="C290" s="32" t="s">
        <v>574</v>
      </c>
      <c r="D290" s="32" t="s">
        <v>134</v>
      </c>
      <c r="E290" s="32" t="s">
        <v>50</v>
      </c>
    </row>
    <row r="291" spans="1:5" x14ac:dyDescent="0.45">
      <c r="A291" s="30">
        <v>290</v>
      </c>
      <c r="B291" s="32" t="s">
        <v>47</v>
      </c>
      <c r="C291" s="32" t="s">
        <v>293</v>
      </c>
      <c r="D291" s="32" t="s">
        <v>60</v>
      </c>
      <c r="E291" s="32" t="s">
        <v>50</v>
      </c>
    </row>
    <row r="292" spans="1:5" x14ac:dyDescent="0.45">
      <c r="A292" s="30">
        <v>291</v>
      </c>
      <c r="B292" s="32" t="s">
        <v>102</v>
      </c>
      <c r="C292" s="32" t="s">
        <v>396</v>
      </c>
      <c r="D292" s="32" t="s">
        <v>397</v>
      </c>
      <c r="E292" s="32" t="s">
        <v>105</v>
      </c>
    </row>
    <row r="293" spans="1:5" x14ac:dyDescent="0.45">
      <c r="A293" s="30">
        <v>292</v>
      </c>
      <c r="B293" s="32" t="s">
        <v>47</v>
      </c>
      <c r="C293" s="32" t="s">
        <v>156</v>
      </c>
      <c r="D293" s="32" t="s">
        <v>49</v>
      </c>
      <c r="E293" s="32" t="s">
        <v>50</v>
      </c>
    </row>
    <row r="294" spans="1:5" x14ac:dyDescent="0.45">
      <c r="A294" s="30">
        <v>293</v>
      </c>
      <c r="B294" s="32" t="s">
        <v>47</v>
      </c>
      <c r="C294" s="32" t="s">
        <v>294</v>
      </c>
      <c r="D294" s="32" t="s">
        <v>81</v>
      </c>
      <c r="E294" s="32" t="s">
        <v>50</v>
      </c>
    </row>
    <row r="295" spans="1:5" x14ac:dyDescent="0.45">
      <c r="A295" s="30">
        <v>294</v>
      </c>
      <c r="B295" s="32" t="s">
        <v>47</v>
      </c>
      <c r="C295" s="32" t="s">
        <v>615</v>
      </c>
      <c r="D295" s="32" t="s">
        <v>134</v>
      </c>
      <c r="E295" s="32" t="s">
        <v>50</v>
      </c>
    </row>
    <row r="296" spans="1:5" x14ac:dyDescent="0.45">
      <c r="A296" s="30">
        <v>295</v>
      </c>
      <c r="B296" s="32" t="s">
        <v>102</v>
      </c>
      <c r="C296" s="32" t="s">
        <v>295</v>
      </c>
      <c r="D296" s="32" t="s">
        <v>127</v>
      </c>
      <c r="E296" s="32" t="s">
        <v>128</v>
      </c>
    </row>
    <row r="297" spans="1:5" x14ac:dyDescent="0.45">
      <c r="A297" s="30">
        <v>296</v>
      </c>
      <c r="B297" s="32" t="s">
        <v>47</v>
      </c>
      <c r="C297" s="32" t="s">
        <v>644</v>
      </c>
      <c r="D297" s="32" t="s">
        <v>57</v>
      </c>
      <c r="E297" s="32" t="s">
        <v>50</v>
      </c>
    </row>
    <row r="298" spans="1:5" x14ac:dyDescent="0.45">
      <c r="A298" s="30">
        <v>297</v>
      </c>
      <c r="B298" s="32" t="s">
        <v>102</v>
      </c>
      <c r="C298" s="32" t="s">
        <v>554</v>
      </c>
      <c r="D298" s="32" t="s">
        <v>331</v>
      </c>
      <c r="E298" s="32" t="s">
        <v>105</v>
      </c>
    </row>
    <row r="299" spans="1:5" x14ac:dyDescent="0.45">
      <c r="A299" s="30">
        <v>298</v>
      </c>
      <c r="B299" s="32" t="s">
        <v>47</v>
      </c>
      <c r="C299" s="32" t="s">
        <v>353</v>
      </c>
      <c r="D299" s="32" t="s">
        <v>57</v>
      </c>
      <c r="E299" s="32" t="s">
        <v>50</v>
      </c>
    </row>
    <row r="300" spans="1:5" x14ac:dyDescent="0.45">
      <c r="A300" s="30">
        <v>299</v>
      </c>
      <c r="B300" s="32" t="s">
        <v>47</v>
      </c>
      <c r="C300" s="32" t="s">
        <v>714</v>
      </c>
      <c r="D300" s="32" t="s">
        <v>238</v>
      </c>
      <c r="E300" s="32" t="s">
        <v>50</v>
      </c>
    </row>
    <row r="301" spans="1:5" x14ac:dyDescent="0.45">
      <c r="A301" s="30">
        <v>300</v>
      </c>
      <c r="B301" s="32" t="s">
        <v>47</v>
      </c>
      <c r="C301" s="32" t="s">
        <v>575</v>
      </c>
      <c r="D301" s="32" t="s">
        <v>64</v>
      </c>
      <c r="E301" s="32" t="s">
        <v>50</v>
      </c>
    </row>
    <row r="302" spans="1:5" x14ac:dyDescent="0.45">
      <c r="A302" s="30">
        <v>301</v>
      </c>
      <c r="B302" s="32" t="s">
        <v>47</v>
      </c>
      <c r="C302" s="32" t="s">
        <v>296</v>
      </c>
      <c r="D302" s="32" t="s">
        <v>60</v>
      </c>
      <c r="E302" s="32" t="s">
        <v>50</v>
      </c>
    </row>
    <row r="303" spans="1:5" x14ac:dyDescent="0.45">
      <c r="A303" s="30">
        <v>302</v>
      </c>
      <c r="B303" s="32" t="s">
        <v>102</v>
      </c>
      <c r="C303" s="32" t="s">
        <v>157</v>
      </c>
      <c r="D303" s="32" t="s">
        <v>127</v>
      </c>
      <c r="E303" s="32" t="s">
        <v>128</v>
      </c>
    </row>
    <row r="304" spans="1:5" x14ac:dyDescent="0.45">
      <c r="A304" s="30">
        <v>303</v>
      </c>
      <c r="B304" s="32" t="s">
        <v>47</v>
      </c>
      <c r="C304" s="32" t="s">
        <v>686</v>
      </c>
      <c r="D304" s="32" t="s">
        <v>49</v>
      </c>
      <c r="E304" s="32" t="s">
        <v>50</v>
      </c>
    </row>
    <row r="305" spans="1:5" x14ac:dyDescent="0.45">
      <c r="A305" s="30">
        <v>304</v>
      </c>
      <c r="B305" s="32" t="s">
        <v>47</v>
      </c>
      <c r="C305" s="32" t="s">
        <v>158</v>
      </c>
      <c r="D305" s="32" t="s">
        <v>57</v>
      </c>
      <c r="E305" s="32" t="s">
        <v>50</v>
      </c>
    </row>
    <row r="306" spans="1:5" x14ac:dyDescent="0.45">
      <c r="A306" s="30">
        <v>305</v>
      </c>
      <c r="B306" s="32" t="s">
        <v>47</v>
      </c>
      <c r="C306" s="32" t="s">
        <v>440</v>
      </c>
      <c r="D306" s="32" t="s">
        <v>57</v>
      </c>
      <c r="E306" s="32" t="s">
        <v>50</v>
      </c>
    </row>
    <row r="307" spans="1:5" x14ac:dyDescent="0.45">
      <c r="A307" s="30">
        <v>306</v>
      </c>
      <c r="B307" s="32" t="s">
        <v>47</v>
      </c>
      <c r="C307" s="32" t="s">
        <v>539</v>
      </c>
      <c r="D307" s="32" t="s">
        <v>57</v>
      </c>
      <c r="E307" s="32" t="s">
        <v>50</v>
      </c>
    </row>
    <row r="308" spans="1:5" x14ac:dyDescent="0.45">
      <c r="A308" s="30">
        <v>307</v>
      </c>
      <c r="B308" s="32" t="s">
        <v>47</v>
      </c>
      <c r="C308" s="32" t="s">
        <v>159</v>
      </c>
      <c r="D308" s="32" t="s">
        <v>81</v>
      </c>
      <c r="E308" s="32" t="s">
        <v>50</v>
      </c>
    </row>
    <row r="309" spans="1:5" x14ac:dyDescent="0.45">
      <c r="A309" s="30">
        <v>308</v>
      </c>
      <c r="B309" s="32" t="s">
        <v>102</v>
      </c>
      <c r="C309" s="32" t="s">
        <v>702</v>
      </c>
      <c r="D309" s="32" t="s">
        <v>189</v>
      </c>
      <c r="E309" s="32" t="s">
        <v>128</v>
      </c>
    </row>
    <row r="310" spans="1:5" x14ac:dyDescent="0.45">
      <c r="A310" s="30">
        <v>309</v>
      </c>
      <c r="B310" s="32" t="s">
        <v>47</v>
      </c>
      <c r="C310" s="32" t="s">
        <v>160</v>
      </c>
      <c r="D310" s="32" t="s">
        <v>49</v>
      </c>
      <c r="E310" s="32" t="s">
        <v>50</v>
      </c>
    </row>
    <row r="311" spans="1:5" x14ac:dyDescent="0.45">
      <c r="A311" s="30">
        <v>310</v>
      </c>
      <c r="B311" s="32" t="s">
        <v>47</v>
      </c>
      <c r="C311" s="32" t="s">
        <v>161</v>
      </c>
      <c r="D311" s="32" t="s">
        <v>57</v>
      </c>
      <c r="E311" s="32" t="s">
        <v>50</v>
      </c>
    </row>
    <row r="312" spans="1:5" x14ac:dyDescent="0.45">
      <c r="A312" s="30">
        <v>311</v>
      </c>
      <c r="B312" s="32" t="s">
        <v>47</v>
      </c>
      <c r="C312" s="32" t="s">
        <v>474</v>
      </c>
      <c r="D312" s="32" t="s">
        <v>60</v>
      </c>
      <c r="E312" s="32" t="s">
        <v>50</v>
      </c>
    </row>
    <row r="313" spans="1:5" x14ac:dyDescent="0.45">
      <c r="A313" s="30">
        <v>312</v>
      </c>
      <c r="B313" s="32" t="s">
        <v>47</v>
      </c>
      <c r="C313" s="32" t="s">
        <v>584</v>
      </c>
      <c r="D313" s="32" t="s">
        <v>64</v>
      </c>
      <c r="E313" s="32" t="s">
        <v>50</v>
      </c>
    </row>
    <row r="314" spans="1:5" x14ac:dyDescent="0.45">
      <c r="A314" s="30">
        <v>313</v>
      </c>
      <c r="B314" s="32" t="s">
        <v>47</v>
      </c>
      <c r="C314" s="32" t="s">
        <v>407</v>
      </c>
      <c r="D314" s="32" t="s">
        <v>49</v>
      </c>
      <c r="E314" s="32" t="s">
        <v>50</v>
      </c>
    </row>
    <row r="315" spans="1:5" x14ac:dyDescent="0.45">
      <c r="A315" s="30">
        <v>314</v>
      </c>
      <c r="B315" s="32" t="s">
        <v>47</v>
      </c>
      <c r="C315" s="32" t="s">
        <v>162</v>
      </c>
      <c r="D315" s="32" t="s">
        <v>49</v>
      </c>
      <c r="E315" s="32" t="s">
        <v>50</v>
      </c>
    </row>
    <row r="316" spans="1:5" x14ac:dyDescent="0.45">
      <c r="A316" s="30">
        <v>315</v>
      </c>
      <c r="B316" s="32" t="s">
        <v>47</v>
      </c>
      <c r="C316" s="32" t="s">
        <v>524</v>
      </c>
      <c r="D316" s="32" t="s">
        <v>49</v>
      </c>
      <c r="E316" s="32" t="s">
        <v>50</v>
      </c>
    </row>
    <row r="317" spans="1:5" x14ac:dyDescent="0.45">
      <c r="A317" s="30">
        <v>316</v>
      </c>
      <c r="B317" s="32" t="s">
        <v>47</v>
      </c>
      <c r="C317" s="32" t="s">
        <v>163</v>
      </c>
      <c r="D317" s="32" t="s">
        <v>60</v>
      </c>
      <c r="E317" s="32" t="s">
        <v>50</v>
      </c>
    </row>
    <row r="318" spans="1:5" x14ac:dyDescent="0.45">
      <c r="A318" s="30">
        <v>317</v>
      </c>
      <c r="B318" s="32" t="s">
        <v>47</v>
      </c>
      <c r="C318" s="32" t="s">
        <v>354</v>
      </c>
      <c r="D318" s="32" t="s">
        <v>60</v>
      </c>
      <c r="E318" s="32" t="s">
        <v>50</v>
      </c>
    </row>
    <row r="319" spans="1:5" x14ac:dyDescent="0.45">
      <c r="A319" s="30">
        <v>318</v>
      </c>
      <c r="B319" s="32" t="s">
        <v>47</v>
      </c>
      <c r="C319" s="32" t="s">
        <v>297</v>
      </c>
      <c r="D319" s="32" t="s">
        <v>57</v>
      </c>
      <c r="E319" s="32" t="s">
        <v>50</v>
      </c>
    </row>
    <row r="320" spans="1:5" x14ac:dyDescent="0.45">
      <c r="A320" s="30">
        <v>319</v>
      </c>
      <c r="B320" s="32" t="s">
        <v>47</v>
      </c>
      <c r="C320" s="32" t="s">
        <v>625</v>
      </c>
      <c r="D320" s="32" t="s">
        <v>49</v>
      </c>
      <c r="E320" s="32" t="s">
        <v>50</v>
      </c>
    </row>
    <row r="321" spans="1:5" x14ac:dyDescent="0.45">
      <c r="A321" s="30">
        <v>320</v>
      </c>
      <c r="B321" s="32" t="s">
        <v>47</v>
      </c>
      <c r="C321" s="32" t="s">
        <v>164</v>
      </c>
      <c r="D321" s="32" t="s">
        <v>49</v>
      </c>
      <c r="E321" s="32" t="s">
        <v>50</v>
      </c>
    </row>
    <row r="322" spans="1:5" x14ac:dyDescent="0.45">
      <c r="A322" s="30">
        <v>321</v>
      </c>
      <c r="B322" s="32" t="s">
        <v>47</v>
      </c>
      <c r="C322" s="32" t="s">
        <v>165</v>
      </c>
      <c r="D322" s="32" t="s">
        <v>57</v>
      </c>
      <c r="E322" s="32" t="s">
        <v>50</v>
      </c>
    </row>
    <row r="323" spans="1:5" x14ac:dyDescent="0.45">
      <c r="A323" s="30">
        <v>322</v>
      </c>
      <c r="B323" s="32" t="s">
        <v>47</v>
      </c>
      <c r="C323" s="32" t="s">
        <v>166</v>
      </c>
      <c r="D323" s="32" t="s">
        <v>49</v>
      </c>
      <c r="E323" s="32" t="s">
        <v>50</v>
      </c>
    </row>
    <row r="324" spans="1:5" x14ac:dyDescent="0.45">
      <c r="A324" s="30">
        <v>323</v>
      </c>
      <c r="B324" s="32" t="s">
        <v>47</v>
      </c>
      <c r="C324" s="32" t="s">
        <v>167</v>
      </c>
      <c r="D324" s="32" t="s">
        <v>49</v>
      </c>
      <c r="E324" s="32" t="s">
        <v>50</v>
      </c>
    </row>
    <row r="325" spans="1:5" x14ac:dyDescent="0.45">
      <c r="A325" s="30">
        <v>324</v>
      </c>
      <c r="B325" s="32" t="s">
        <v>47</v>
      </c>
      <c r="C325" s="32" t="s">
        <v>168</v>
      </c>
      <c r="D325" s="32" t="s">
        <v>60</v>
      </c>
      <c r="E325" s="32" t="s">
        <v>50</v>
      </c>
    </row>
    <row r="326" spans="1:5" x14ac:dyDescent="0.45">
      <c r="A326" s="30">
        <v>325</v>
      </c>
      <c r="B326" s="32" t="s">
        <v>47</v>
      </c>
      <c r="C326" s="32" t="s">
        <v>386</v>
      </c>
      <c r="D326" s="32" t="s">
        <v>49</v>
      </c>
      <c r="E326" s="32" t="s">
        <v>50</v>
      </c>
    </row>
    <row r="327" spans="1:5" x14ac:dyDescent="0.45">
      <c r="A327" s="30">
        <v>326</v>
      </c>
      <c r="B327" s="32" t="s">
        <v>47</v>
      </c>
      <c r="C327" s="32" t="s">
        <v>607</v>
      </c>
      <c r="D327" s="32" t="s">
        <v>81</v>
      </c>
      <c r="E327" s="32" t="s">
        <v>50</v>
      </c>
    </row>
    <row r="328" spans="1:5" x14ac:dyDescent="0.45">
      <c r="A328" s="30">
        <v>327</v>
      </c>
      <c r="B328" s="32" t="s">
        <v>47</v>
      </c>
      <c r="C328" s="32" t="s">
        <v>169</v>
      </c>
      <c r="D328" s="32" t="s">
        <v>49</v>
      </c>
      <c r="E328" s="32" t="s">
        <v>50</v>
      </c>
    </row>
    <row r="329" spans="1:5" x14ac:dyDescent="0.45">
      <c r="A329" s="30">
        <v>328</v>
      </c>
      <c r="B329" s="32" t="s">
        <v>47</v>
      </c>
      <c r="C329" s="32" t="s">
        <v>170</v>
      </c>
      <c r="D329" s="32" t="s">
        <v>49</v>
      </c>
      <c r="E329" s="32" t="s">
        <v>50</v>
      </c>
    </row>
    <row r="330" spans="1:5" x14ac:dyDescent="0.45">
      <c r="A330" s="30">
        <v>329</v>
      </c>
      <c r="B330" s="32" t="s">
        <v>47</v>
      </c>
      <c r="C330" s="32" t="s">
        <v>171</v>
      </c>
      <c r="D330" s="32" t="s">
        <v>49</v>
      </c>
      <c r="E330" s="32" t="s">
        <v>50</v>
      </c>
    </row>
    <row r="331" spans="1:5" x14ac:dyDescent="0.45">
      <c r="A331" s="30">
        <v>330</v>
      </c>
      <c r="B331" s="32" t="s">
        <v>47</v>
      </c>
      <c r="C331" s="32" t="s">
        <v>172</v>
      </c>
      <c r="D331" s="32" t="s">
        <v>57</v>
      </c>
      <c r="E331" s="32" t="s">
        <v>50</v>
      </c>
    </row>
    <row r="332" spans="1:5" x14ac:dyDescent="0.45">
      <c r="A332" s="30">
        <v>331</v>
      </c>
      <c r="B332" s="32" t="s">
        <v>47</v>
      </c>
      <c r="C332" s="32" t="s">
        <v>173</v>
      </c>
      <c r="D332" s="32" t="s">
        <v>57</v>
      </c>
      <c r="E332" s="32" t="s">
        <v>50</v>
      </c>
    </row>
    <row r="333" spans="1:5" x14ac:dyDescent="0.45">
      <c r="A333" s="30">
        <v>332</v>
      </c>
      <c r="B333" s="32" t="s">
        <v>47</v>
      </c>
      <c r="C333" s="32" t="s">
        <v>174</v>
      </c>
      <c r="D333" s="32" t="s">
        <v>57</v>
      </c>
      <c r="E333" s="32" t="s">
        <v>50</v>
      </c>
    </row>
    <row r="334" spans="1:5" x14ac:dyDescent="0.45">
      <c r="A334" s="30">
        <v>333</v>
      </c>
      <c r="B334" s="32" t="s">
        <v>47</v>
      </c>
      <c r="C334" s="32" t="s">
        <v>175</v>
      </c>
      <c r="D334" s="32" t="s">
        <v>64</v>
      </c>
      <c r="E334" s="32" t="s">
        <v>50</v>
      </c>
    </row>
    <row r="335" spans="1:5" x14ac:dyDescent="0.45">
      <c r="A335" s="30">
        <v>334</v>
      </c>
      <c r="B335" s="32" t="s">
        <v>47</v>
      </c>
      <c r="C335" s="32" t="s">
        <v>531</v>
      </c>
      <c r="D335" s="32" t="s">
        <v>60</v>
      </c>
      <c r="E335" s="32" t="s">
        <v>50</v>
      </c>
    </row>
    <row r="336" spans="1:5" x14ac:dyDescent="0.45">
      <c r="A336" s="30">
        <v>335</v>
      </c>
      <c r="B336" s="32" t="s">
        <v>47</v>
      </c>
      <c r="C336" s="32" t="s">
        <v>176</v>
      </c>
      <c r="D336" s="32" t="s">
        <v>49</v>
      </c>
      <c r="E336" s="32" t="s">
        <v>50</v>
      </c>
    </row>
    <row r="337" spans="1:5" x14ac:dyDescent="0.45">
      <c r="A337" s="30">
        <v>336</v>
      </c>
      <c r="B337" s="32" t="s">
        <v>47</v>
      </c>
      <c r="C337" s="32" t="s">
        <v>409</v>
      </c>
      <c r="D337" s="32" t="s">
        <v>57</v>
      </c>
      <c r="E337" s="32" t="s">
        <v>50</v>
      </c>
    </row>
    <row r="338" spans="1:5" x14ac:dyDescent="0.45">
      <c r="A338" s="30">
        <v>337</v>
      </c>
      <c r="B338" s="32" t="s">
        <v>47</v>
      </c>
      <c r="C338" s="32" t="s">
        <v>177</v>
      </c>
      <c r="D338" s="32" t="s">
        <v>49</v>
      </c>
      <c r="E338" s="32" t="s">
        <v>50</v>
      </c>
    </row>
    <row r="339" spans="1:5" x14ac:dyDescent="0.45">
      <c r="A339" s="30">
        <v>338</v>
      </c>
      <c r="B339" s="32" t="s">
        <v>47</v>
      </c>
      <c r="C339" s="32" t="s">
        <v>178</v>
      </c>
      <c r="D339" s="32" t="s">
        <v>49</v>
      </c>
      <c r="E339" s="32" t="s">
        <v>50</v>
      </c>
    </row>
    <row r="340" spans="1:5" x14ac:dyDescent="0.45">
      <c r="A340" s="30">
        <v>339</v>
      </c>
      <c r="B340" s="32" t="s">
        <v>47</v>
      </c>
      <c r="C340" s="32" t="s">
        <v>664</v>
      </c>
      <c r="D340" s="32" t="s">
        <v>114</v>
      </c>
      <c r="E340" s="32" t="s">
        <v>108</v>
      </c>
    </row>
    <row r="341" spans="1:5" x14ac:dyDescent="0.45">
      <c r="A341" s="30">
        <v>340</v>
      </c>
      <c r="B341" s="32" t="s">
        <v>102</v>
      </c>
      <c r="C341" s="32" t="s">
        <v>695</v>
      </c>
      <c r="D341" s="32" t="s">
        <v>696</v>
      </c>
      <c r="E341" s="32" t="s">
        <v>557</v>
      </c>
    </row>
    <row r="342" spans="1:5" x14ac:dyDescent="0.45">
      <c r="A342" s="30">
        <v>341</v>
      </c>
      <c r="B342" s="32" t="s">
        <v>47</v>
      </c>
      <c r="C342" s="32" t="s">
        <v>179</v>
      </c>
      <c r="D342" s="32" t="s">
        <v>60</v>
      </c>
      <c r="E342" s="32" t="s">
        <v>50</v>
      </c>
    </row>
    <row r="343" spans="1:5" x14ac:dyDescent="0.45">
      <c r="A343" s="30">
        <v>342</v>
      </c>
      <c r="B343" s="32" t="s">
        <v>47</v>
      </c>
      <c r="C343" s="32" t="s">
        <v>508</v>
      </c>
      <c r="D343" s="32" t="s">
        <v>60</v>
      </c>
      <c r="E343" s="32" t="s">
        <v>50</v>
      </c>
    </row>
    <row r="344" spans="1:5" x14ac:dyDescent="0.45">
      <c r="A344" s="30">
        <v>343</v>
      </c>
      <c r="B344" s="32" t="s">
        <v>47</v>
      </c>
      <c r="C344" s="32" t="s">
        <v>298</v>
      </c>
      <c r="D344" s="32" t="s">
        <v>49</v>
      </c>
      <c r="E344" s="32" t="s">
        <v>50</v>
      </c>
    </row>
    <row r="345" spans="1:5" x14ac:dyDescent="0.45">
      <c r="A345" s="30">
        <v>344</v>
      </c>
      <c r="B345" s="32" t="s">
        <v>47</v>
      </c>
      <c r="C345" s="32" t="s">
        <v>467</v>
      </c>
      <c r="D345" s="32" t="s">
        <v>57</v>
      </c>
      <c r="E345" s="32" t="s">
        <v>50</v>
      </c>
    </row>
    <row r="346" spans="1:5" x14ac:dyDescent="0.45">
      <c r="A346" s="30">
        <v>345</v>
      </c>
      <c r="B346" s="32" t="s">
        <v>102</v>
      </c>
      <c r="C346" s="32" t="s">
        <v>555</v>
      </c>
      <c r="D346" s="32" t="s">
        <v>556</v>
      </c>
      <c r="E346" s="32" t="s">
        <v>557</v>
      </c>
    </row>
    <row r="347" spans="1:5" x14ac:dyDescent="0.45">
      <c r="A347" s="30">
        <v>346</v>
      </c>
      <c r="B347" s="32" t="s">
        <v>47</v>
      </c>
      <c r="C347" s="32" t="s">
        <v>441</v>
      </c>
      <c r="D347" s="32" t="s">
        <v>64</v>
      </c>
      <c r="E347" s="32" t="s">
        <v>50</v>
      </c>
    </row>
    <row r="348" spans="1:5" x14ac:dyDescent="0.45">
      <c r="A348" s="30">
        <v>347</v>
      </c>
      <c r="B348" s="32" t="s">
        <v>47</v>
      </c>
      <c r="C348" s="32" t="s">
        <v>413</v>
      </c>
      <c r="D348" s="32" t="s">
        <v>49</v>
      </c>
      <c r="E348" s="32" t="s">
        <v>50</v>
      </c>
    </row>
    <row r="349" spans="1:5" x14ac:dyDescent="0.45">
      <c r="A349" s="30">
        <v>348</v>
      </c>
      <c r="B349" s="32" t="s">
        <v>47</v>
      </c>
      <c r="C349" s="32" t="s">
        <v>633</v>
      </c>
      <c r="D349" s="32" t="s">
        <v>64</v>
      </c>
      <c r="E349" s="32" t="s">
        <v>50</v>
      </c>
    </row>
    <row r="350" spans="1:5" x14ac:dyDescent="0.45">
      <c r="A350" s="30">
        <v>349</v>
      </c>
      <c r="B350" s="32" t="s">
        <v>47</v>
      </c>
      <c r="C350" s="32" t="s">
        <v>180</v>
      </c>
      <c r="D350" s="32" t="s">
        <v>64</v>
      </c>
      <c r="E350" s="32" t="s">
        <v>50</v>
      </c>
    </row>
    <row r="351" spans="1:5" x14ac:dyDescent="0.45">
      <c r="A351" s="30">
        <v>350</v>
      </c>
      <c r="B351" s="32" t="s">
        <v>47</v>
      </c>
      <c r="C351" s="32" t="s">
        <v>525</v>
      </c>
      <c r="D351" s="32" t="s">
        <v>134</v>
      </c>
      <c r="E351" s="32" t="s">
        <v>50</v>
      </c>
    </row>
    <row r="352" spans="1:5" x14ac:dyDescent="0.45">
      <c r="A352" s="30">
        <v>351</v>
      </c>
      <c r="B352" s="32" t="s">
        <v>47</v>
      </c>
      <c r="C352" s="32" t="s">
        <v>576</v>
      </c>
      <c r="D352" s="32" t="s">
        <v>60</v>
      </c>
      <c r="E352" s="32" t="s">
        <v>50</v>
      </c>
    </row>
    <row r="353" spans="1:5" x14ac:dyDescent="0.45">
      <c r="A353" s="30">
        <v>352</v>
      </c>
      <c r="B353" s="32" t="s">
        <v>47</v>
      </c>
      <c r="C353" s="32" t="s">
        <v>617</v>
      </c>
      <c r="D353" s="32" t="s">
        <v>81</v>
      </c>
      <c r="E353" s="32" t="s">
        <v>50</v>
      </c>
    </row>
    <row r="354" spans="1:5" x14ac:dyDescent="0.45">
      <c r="A354" s="30">
        <v>353</v>
      </c>
      <c r="B354" s="32" t="s">
        <v>47</v>
      </c>
      <c r="C354" s="32" t="s">
        <v>181</v>
      </c>
      <c r="D354" s="32" t="s">
        <v>57</v>
      </c>
      <c r="E354" s="32" t="s">
        <v>50</v>
      </c>
    </row>
    <row r="355" spans="1:5" x14ac:dyDescent="0.45">
      <c r="A355" s="30">
        <v>354</v>
      </c>
      <c r="B355" s="32" t="s">
        <v>47</v>
      </c>
      <c r="C355" s="32" t="s">
        <v>182</v>
      </c>
      <c r="D355" s="32" t="s">
        <v>81</v>
      </c>
      <c r="E355" s="32" t="s">
        <v>50</v>
      </c>
    </row>
    <row r="356" spans="1:5" x14ac:dyDescent="0.45">
      <c r="A356" s="30">
        <v>355</v>
      </c>
      <c r="B356" s="32" t="s">
        <v>47</v>
      </c>
      <c r="C356" s="32" t="s">
        <v>183</v>
      </c>
      <c r="D356" s="32" t="s">
        <v>49</v>
      </c>
      <c r="E356" s="32" t="s">
        <v>50</v>
      </c>
    </row>
    <row r="357" spans="1:5" x14ac:dyDescent="0.45">
      <c r="A357" s="30">
        <v>356</v>
      </c>
      <c r="B357" s="32" t="s">
        <v>47</v>
      </c>
      <c r="C357" s="32" t="s">
        <v>299</v>
      </c>
      <c r="D357" s="32" t="s">
        <v>49</v>
      </c>
      <c r="E357" s="32" t="s">
        <v>50</v>
      </c>
    </row>
    <row r="358" spans="1:5" x14ac:dyDescent="0.45">
      <c r="A358" s="30">
        <v>357</v>
      </c>
      <c r="B358" s="32" t="s">
        <v>47</v>
      </c>
      <c r="C358" s="32" t="s">
        <v>300</v>
      </c>
      <c r="D358" s="32" t="s">
        <v>57</v>
      </c>
      <c r="E358" s="32" t="s">
        <v>50</v>
      </c>
    </row>
    <row r="359" spans="1:5" x14ac:dyDescent="0.45">
      <c r="A359" s="30">
        <v>358</v>
      </c>
      <c r="B359" s="32" t="s">
        <v>47</v>
      </c>
      <c r="C359" s="32" t="s">
        <v>582</v>
      </c>
      <c r="D359" s="32" t="s">
        <v>64</v>
      </c>
      <c r="E359" s="32" t="s">
        <v>50</v>
      </c>
    </row>
    <row r="360" spans="1:5" x14ac:dyDescent="0.45">
      <c r="A360" s="30">
        <v>359</v>
      </c>
      <c r="B360" s="32" t="s">
        <v>47</v>
      </c>
      <c r="C360" s="32" t="s">
        <v>301</v>
      </c>
      <c r="D360" s="32" t="s">
        <v>60</v>
      </c>
      <c r="E360" s="32" t="s">
        <v>50</v>
      </c>
    </row>
    <row r="361" spans="1:5" x14ac:dyDescent="0.45">
      <c r="A361" s="30">
        <v>360</v>
      </c>
      <c r="B361" s="32" t="s">
        <v>47</v>
      </c>
      <c r="C361" s="32" t="s">
        <v>382</v>
      </c>
      <c r="D361" s="32" t="s">
        <v>60</v>
      </c>
      <c r="E361" s="32" t="s">
        <v>50</v>
      </c>
    </row>
    <row r="362" spans="1:5" x14ac:dyDescent="0.45">
      <c r="A362" s="30">
        <v>361</v>
      </c>
      <c r="B362" s="32" t="s">
        <v>47</v>
      </c>
      <c r="C362" s="32" t="s">
        <v>577</v>
      </c>
      <c r="D362" s="32" t="s">
        <v>81</v>
      </c>
      <c r="E362" s="32" t="s">
        <v>50</v>
      </c>
    </row>
    <row r="363" spans="1:5" x14ac:dyDescent="0.45">
      <c r="A363" s="30">
        <v>362</v>
      </c>
      <c r="B363" s="32" t="s">
        <v>47</v>
      </c>
      <c r="C363" s="32" t="s">
        <v>401</v>
      </c>
      <c r="D363" s="32" t="s">
        <v>57</v>
      </c>
      <c r="E363" s="32" t="s">
        <v>50</v>
      </c>
    </row>
    <row r="364" spans="1:5" x14ac:dyDescent="0.45">
      <c r="A364" s="30">
        <v>363</v>
      </c>
      <c r="B364" s="32" t="s">
        <v>47</v>
      </c>
      <c r="C364" s="32" t="s">
        <v>526</v>
      </c>
      <c r="D364" s="32" t="s">
        <v>49</v>
      </c>
      <c r="E364" s="32" t="s">
        <v>50</v>
      </c>
    </row>
    <row r="365" spans="1:5" x14ac:dyDescent="0.45">
      <c r="A365" s="30">
        <v>364</v>
      </c>
      <c r="B365" s="32" t="s">
        <v>47</v>
      </c>
      <c r="C365" s="32" t="s">
        <v>184</v>
      </c>
      <c r="D365" s="32" t="s">
        <v>57</v>
      </c>
      <c r="E365" s="32" t="s">
        <v>50</v>
      </c>
    </row>
    <row r="366" spans="1:5" x14ac:dyDescent="0.45">
      <c r="A366" s="30">
        <v>365</v>
      </c>
      <c r="B366" s="32" t="s">
        <v>47</v>
      </c>
      <c r="C366" s="32" t="s">
        <v>185</v>
      </c>
      <c r="D366" s="32" t="s">
        <v>57</v>
      </c>
      <c r="E366" s="32" t="s">
        <v>50</v>
      </c>
    </row>
    <row r="367" spans="1:5" x14ac:dyDescent="0.45">
      <c r="A367" s="30">
        <v>366</v>
      </c>
      <c r="B367" s="32" t="s">
        <v>47</v>
      </c>
      <c r="C367" s="32" t="s">
        <v>186</v>
      </c>
      <c r="D367" s="32" t="s">
        <v>64</v>
      </c>
      <c r="E367" s="32" t="s">
        <v>50</v>
      </c>
    </row>
    <row r="368" spans="1:5" x14ac:dyDescent="0.45">
      <c r="A368" s="30">
        <v>367</v>
      </c>
      <c r="B368" s="32" t="s">
        <v>47</v>
      </c>
      <c r="C368" s="32" t="s">
        <v>187</v>
      </c>
      <c r="D368" s="32" t="s">
        <v>54</v>
      </c>
      <c r="E368" s="32" t="s">
        <v>50</v>
      </c>
    </row>
    <row r="369" spans="1:5" x14ac:dyDescent="0.45">
      <c r="A369" s="30">
        <v>368</v>
      </c>
      <c r="B369" s="32" t="s">
        <v>47</v>
      </c>
      <c r="C369" s="32" t="s">
        <v>597</v>
      </c>
      <c r="D369" s="32" t="s">
        <v>49</v>
      </c>
      <c r="E369" s="32" t="s">
        <v>50</v>
      </c>
    </row>
    <row r="370" spans="1:5" x14ac:dyDescent="0.45">
      <c r="A370" s="30">
        <v>369</v>
      </c>
      <c r="B370" s="32" t="s">
        <v>47</v>
      </c>
      <c r="C370" s="32" t="s">
        <v>626</v>
      </c>
      <c r="D370" s="32" t="s">
        <v>49</v>
      </c>
      <c r="E370" s="32" t="s">
        <v>50</v>
      </c>
    </row>
    <row r="371" spans="1:5" x14ac:dyDescent="0.45">
      <c r="A371" s="30">
        <v>370</v>
      </c>
      <c r="B371" s="32" t="s">
        <v>47</v>
      </c>
      <c r="C371" s="32" t="s">
        <v>558</v>
      </c>
      <c r="D371" s="32" t="s">
        <v>49</v>
      </c>
      <c r="E371" s="32" t="s">
        <v>50</v>
      </c>
    </row>
    <row r="372" spans="1:5" x14ac:dyDescent="0.45">
      <c r="A372" s="30">
        <v>371</v>
      </c>
      <c r="B372" s="32" t="s">
        <v>47</v>
      </c>
      <c r="C372" s="32" t="s">
        <v>355</v>
      </c>
      <c r="D372" s="32" t="s">
        <v>60</v>
      </c>
      <c r="E372" s="32" t="s">
        <v>50</v>
      </c>
    </row>
    <row r="373" spans="1:5" x14ac:dyDescent="0.45">
      <c r="A373" s="30">
        <v>372</v>
      </c>
      <c r="B373" s="32" t="s">
        <v>102</v>
      </c>
      <c r="C373" s="32" t="s">
        <v>188</v>
      </c>
      <c r="D373" s="32" t="s">
        <v>189</v>
      </c>
      <c r="E373" s="32" t="s">
        <v>128</v>
      </c>
    </row>
    <row r="374" spans="1:5" x14ac:dyDescent="0.45">
      <c r="A374" s="30">
        <v>373</v>
      </c>
      <c r="B374" s="32" t="s">
        <v>47</v>
      </c>
      <c r="C374" s="32" t="s">
        <v>190</v>
      </c>
      <c r="D374" s="32" t="s">
        <v>81</v>
      </c>
      <c r="E374" s="32" t="s">
        <v>50</v>
      </c>
    </row>
    <row r="375" spans="1:5" x14ac:dyDescent="0.45">
      <c r="A375" s="30">
        <v>374</v>
      </c>
      <c r="B375" s="32" t="s">
        <v>47</v>
      </c>
      <c r="C375" s="32" t="s">
        <v>191</v>
      </c>
      <c r="D375" s="32" t="s">
        <v>49</v>
      </c>
      <c r="E375" s="32" t="s">
        <v>50</v>
      </c>
    </row>
    <row r="376" spans="1:5" x14ac:dyDescent="0.45">
      <c r="A376" s="30">
        <v>375</v>
      </c>
      <c r="B376" s="32" t="s">
        <v>47</v>
      </c>
      <c r="C376" s="32" t="s">
        <v>192</v>
      </c>
      <c r="D376" s="32" t="s">
        <v>49</v>
      </c>
      <c r="E376" s="32" t="s">
        <v>50</v>
      </c>
    </row>
    <row r="377" spans="1:5" x14ac:dyDescent="0.45">
      <c r="A377" s="30">
        <v>376</v>
      </c>
      <c r="B377" s="32" t="s">
        <v>47</v>
      </c>
      <c r="C377" s="32" t="s">
        <v>472</v>
      </c>
      <c r="D377" s="32" t="s">
        <v>57</v>
      </c>
      <c r="E377" s="32" t="s">
        <v>50</v>
      </c>
    </row>
    <row r="378" spans="1:5" x14ac:dyDescent="0.45">
      <c r="A378" s="30">
        <v>377</v>
      </c>
      <c r="B378" s="32" t="s">
        <v>47</v>
      </c>
      <c r="C378" s="32" t="s">
        <v>193</v>
      </c>
      <c r="D378" s="32" t="s">
        <v>81</v>
      </c>
      <c r="E378" s="32" t="s">
        <v>50</v>
      </c>
    </row>
    <row r="379" spans="1:5" x14ac:dyDescent="0.45">
      <c r="A379" s="30">
        <v>378</v>
      </c>
      <c r="B379" s="32" t="s">
        <v>47</v>
      </c>
      <c r="C379" s="32" t="s">
        <v>302</v>
      </c>
      <c r="D379" s="32" t="s">
        <v>49</v>
      </c>
      <c r="E379" s="32" t="s">
        <v>50</v>
      </c>
    </row>
    <row r="380" spans="1:5" x14ac:dyDescent="0.45">
      <c r="A380" s="30">
        <v>379</v>
      </c>
      <c r="B380" s="32" t="s">
        <v>47</v>
      </c>
      <c r="C380" s="32" t="s">
        <v>303</v>
      </c>
      <c r="D380" s="32" t="s">
        <v>57</v>
      </c>
      <c r="E380" s="32" t="s">
        <v>50</v>
      </c>
    </row>
    <row r="381" spans="1:5" x14ac:dyDescent="0.45">
      <c r="A381" s="30">
        <v>380</v>
      </c>
      <c r="B381" s="32" t="s">
        <v>47</v>
      </c>
      <c r="C381" s="32" t="s">
        <v>194</v>
      </c>
      <c r="D381" s="32" t="s">
        <v>49</v>
      </c>
      <c r="E381" s="32" t="s">
        <v>50</v>
      </c>
    </row>
    <row r="382" spans="1:5" x14ac:dyDescent="0.45">
      <c r="A382" s="30">
        <v>381</v>
      </c>
      <c r="B382" s="32" t="s">
        <v>47</v>
      </c>
      <c r="C382" s="32" t="s">
        <v>304</v>
      </c>
      <c r="D382" s="32" t="s">
        <v>64</v>
      </c>
      <c r="E382" s="32" t="s">
        <v>50</v>
      </c>
    </row>
    <row r="383" spans="1:5" x14ac:dyDescent="0.45">
      <c r="A383" s="30">
        <v>382</v>
      </c>
      <c r="B383" s="32" t="s">
        <v>47</v>
      </c>
      <c r="C383" s="32" t="s">
        <v>195</v>
      </c>
      <c r="D383" s="32" t="s">
        <v>57</v>
      </c>
      <c r="E383" s="32" t="s">
        <v>50</v>
      </c>
    </row>
    <row r="384" spans="1:5" x14ac:dyDescent="0.45">
      <c r="A384" s="30">
        <v>383</v>
      </c>
      <c r="B384" s="32" t="s">
        <v>47</v>
      </c>
      <c r="C384" s="32" t="s">
        <v>404</v>
      </c>
      <c r="D384" s="32" t="s">
        <v>60</v>
      </c>
      <c r="E384" s="32" t="s">
        <v>50</v>
      </c>
    </row>
    <row r="385" spans="1:5" x14ac:dyDescent="0.45">
      <c r="A385" s="30">
        <v>384</v>
      </c>
      <c r="B385" s="32" t="s">
        <v>47</v>
      </c>
      <c r="C385" s="32" t="s">
        <v>196</v>
      </c>
      <c r="D385" s="32" t="s">
        <v>57</v>
      </c>
      <c r="E385" s="32" t="s">
        <v>50</v>
      </c>
    </row>
    <row r="386" spans="1:5" x14ac:dyDescent="0.45">
      <c r="A386" s="30">
        <v>385</v>
      </c>
      <c r="B386" s="32" t="s">
        <v>47</v>
      </c>
      <c r="C386" s="32" t="s">
        <v>689</v>
      </c>
      <c r="D386" s="32" t="s">
        <v>49</v>
      </c>
      <c r="E386" s="32" t="s">
        <v>50</v>
      </c>
    </row>
    <row r="387" spans="1:5" x14ac:dyDescent="0.45">
      <c r="A387" s="30">
        <v>386</v>
      </c>
      <c r="B387" s="32" t="s">
        <v>47</v>
      </c>
      <c r="C387" s="32" t="s">
        <v>482</v>
      </c>
      <c r="D387" s="32" t="s">
        <v>49</v>
      </c>
      <c r="E387" s="32" t="s">
        <v>50</v>
      </c>
    </row>
    <row r="388" spans="1:5" x14ac:dyDescent="0.45">
      <c r="A388" s="30">
        <v>387</v>
      </c>
      <c r="B388" s="32" t="s">
        <v>47</v>
      </c>
      <c r="C388" s="32" t="s">
        <v>652</v>
      </c>
      <c r="D388" s="32" t="s">
        <v>223</v>
      </c>
      <c r="E388" s="32" t="s">
        <v>50</v>
      </c>
    </row>
    <row r="389" spans="1:5" x14ac:dyDescent="0.45">
      <c r="A389" s="30">
        <v>388</v>
      </c>
      <c r="B389" s="32" t="s">
        <v>47</v>
      </c>
      <c r="C389" s="32" t="s">
        <v>642</v>
      </c>
      <c r="D389" s="32" t="s">
        <v>64</v>
      </c>
      <c r="E389" s="32" t="s">
        <v>50</v>
      </c>
    </row>
    <row r="390" spans="1:5" x14ac:dyDescent="0.45">
      <c r="A390" s="30">
        <v>389</v>
      </c>
      <c r="B390" s="32" t="s">
        <v>47</v>
      </c>
      <c r="C390" s="32" t="s">
        <v>659</v>
      </c>
      <c r="D390" s="32" t="s">
        <v>49</v>
      </c>
      <c r="E390" s="32" t="s">
        <v>50</v>
      </c>
    </row>
    <row r="391" spans="1:5" x14ac:dyDescent="0.45">
      <c r="A391" s="30">
        <v>390</v>
      </c>
      <c r="B391" s="32" t="s">
        <v>47</v>
      </c>
      <c r="C391" s="32" t="s">
        <v>197</v>
      </c>
      <c r="D391" s="32" t="s">
        <v>57</v>
      </c>
      <c r="E391" s="32" t="s">
        <v>50</v>
      </c>
    </row>
    <row r="392" spans="1:5" x14ac:dyDescent="0.45">
      <c r="A392" s="30">
        <v>391</v>
      </c>
      <c r="B392" s="32" t="s">
        <v>47</v>
      </c>
      <c r="C392" s="32" t="s">
        <v>411</v>
      </c>
      <c r="D392" s="32" t="s">
        <v>134</v>
      </c>
      <c r="E392" s="32" t="s">
        <v>50</v>
      </c>
    </row>
    <row r="393" spans="1:5" x14ac:dyDescent="0.45">
      <c r="A393" s="30">
        <v>392</v>
      </c>
      <c r="B393" s="32" t="s">
        <v>47</v>
      </c>
      <c r="C393" s="32" t="s">
        <v>388</v>
      </c>
      <c r="D393" s="32" t="s">
        <v>134</v>
      </c>
      <c r="E393" s="32" t="s">
        <v>50</v>
      </c>
    </row>
    <row r="394" spans="1:5" x14ac:dyDescent="0.45">
      <c r="A394" s="30">
        <v>393</v>
      </c>
      <c r="B394" s="32" t="s">
        <v>47</v>
      </c>
      <c r="C394" s="32" t="s">
        <v>442</v>
      </c>
      <c r="D394" s="32" t="s">
        <v>81</v>
      </c>
      <c r="E394" s="32" t="s">
        <v>50</v>
      </c>
    </row>
    <row r="395" spans="1:5" x14ac:dyDescent="0.45">
      <c r="A395" s="30">
        <v>394</v>
      </c>
      <c r="B395" s="32" t="s">
        <v>47</v>
      </c>
      <c r="C395" s="32" t="s">
        <v>645</v>
      </c>
      <c r="D395" s="32" t="s">
        <v>238</v>
      </c>
      <c r="E395" s="32" t="s">
        <v>50</v>
      </c>
    </row>
    <row r="396" spans="1:5" x14ac:dyDescent="0.45">
      <c r="A396" s="30">
        <v>395</v>
      </c>
      <c r="B396" s="32" t="s">
        <v>47</v>
      </c>
      <c r="C396" s="32" t="s">
        <v>305</v>
      </c>
      <c r="D396" s="32" t="s">
        <v>64</v>
      </c>
      <c r="E396" s="32" t="s">
        <v>50</v>
      </c>
    </row>
    <row r="397" spans="1:5" x14ac:dyDescent="0.45">
      <c r="A397" s="30">
        <v>396</v>
      </c>
      <c r="B397" s="32" t="s">
        <v>47</v>
      </c>
      <c r="C397" s="32" t="s">
        <v>632</v>
      </c>
      <c r="D397" s="32" t="s">
        <v>134</v>
      </c>
      <c r="E397" s="32" t="s">
        <v>50</v>
      </c>
    </row>
    <row r="398" spans="1:5" x14ac:dyDescent="0.45">
      <c r="A398" s="30">
        <v>397</v>
      </c>
      <c r="B398" s="32" t="s">
        <v>47</v>
      </c>
      <c r="C398" s="32" t="s">
        <v>609</v>
      </c>
      <c r="D398" s="32" t="s">
        <v>81</v>
      </c>
      <c r="E398" s="32" t="s">
        <v>50</v>
      </c>
    </row>
    <row r="399" spans="1:5" x14ac:dyDescent="0.45">
      <c r="A399" s="30">
        <v>398</v>
      </c>
      <c r="B399" s="32" t="s">
        <v>47</v>
      </c>
      <c r="C399" s="32" t="s">
        <v>306</v>
      </c>
      <c r="D399" s="32" t="s">
        <v>60</v>
      </c>
      <c r="E399" s="32" t="s">
        <v>50</v>
      </c>
    </row>
    <row r="400" spans="1:5" x14ac:dyDescent="0.45">
      <c r="A400" s="30">
        <v>399</v>
      </c>
      <c r="B400" s="32" t="s">
        <v>47</v>
      </c>
      <c r="C400" s="32" t="s">
        <v>307</v>
      </c>
      <c r="D400" s="32" t="s">
        <v>81</v>
      </c>
      <c r="E400" s="32" t="s">
        <v>50</v>
      </c>
    </row>
    <row r="401" spans="1:5" x14ac:dyDescent="0.45">
      <c r="A401" s="30">
        <v>400</v>
      </c>
      <c r="B401" s="32" t="s">
        <v>102</v>
      </c>
      <c r="C401" s="32" t="s">
        <v>706</v>
      </c>
      <c r="D401" s="32" t="s">
        <v>349</v>
      </c>
      <c r="E401" s="32" t="s">
        <v>105</v>
      </c>
    </row>
    <row r="402" spans="1:5" x14ac:dyDescent="0.45">
      <c r="A402" s="30">
        <v>401</v>
      </c>
      <c r="B402" s="32" t="s">
        <v>47</v>
      </c>
      <c r="C402" s="32" t="s">
        <v>591</v>
      </c>
      <c r="D402" s="32" t="s">
        <v>223</v>
      </c>
      <c r="E402" s="32" t="s">
        <v>50</v>
      </c>
    </row>
    <row r="403" spans="1:5" x14ac:dyDescent="0.45">
      <c r="A403" s="30">
        <v>402</v>
      </c>
      <c r="B403" s="32" t="s">
        <v>47</v>
      </c>
      <c r="C403" s="32" t="s">
        <v>559</v>
      </c>
      <c r="D403" s="32" t="s">
        <v>49</v>
      </c>
      <c r="E403" s="32" t="s">
        <v>50</v>
      </c>
    </row>
    <row r="404" spans="1:5" x14ac:dyDescent="0.45">
      <c r="A404" s="30">
        <v>403</v>
      </c>
      <c r="B404" s="32" t="s">
        <v>47</v>
      </c>
      <c r="C404" s="32" t="s">
        <v>308</v>
      </c>
      <c r="D404" s="32" t="s">
        <v>81</v>
      </c>
      <c r="E404" s="32" t="s">
        <v>50</v>
      </c>
    </row>
    <row r="405" spans="1:5" x14ac:dyDescent="0.45">
      <c r="A405" s="30">
        <v>404</v>
      </c>
      <c r="B405" s="32" t="s">
        <v>47</v>
      </c>
      <c r="C405" s="32" t="s">
        <v>198</v>
      </c>
      <c r="D405" s="32" t="s">
        <v>49</v>
      </c>
      <c r="E405" s="32" t="s">
        <v>50</v>
      </c>
    </row>
    <row r="406" spans="1:5" x14ac:dyDescent="0.45">
      <c r="A406" s="30">
        <v>405</v>
      </c>
      <c r="B406" s="32" t="s">
        <v>47</v>
      </c>
      <c r="C406" s="32" t="s">
        <v>199</v>
      </c>
      <c r="D406" s="32" t="s">
        <v>60</v>
      </c>
      <c r="E406" s="32" t="s">
        <v>50</v>
      </c>
    </row>
    <row r="407" spans="1:5" x14ac:dyDescent="0.45">
      <c r="A407" s="30">
        <v>406</v>
      </c>
      <c r="B407" s="32" t="s">
        <v>47</v>
      </c>
      <c r="C407" s="32" t="s">
        <v>540</v>
      </c>
      <c r="D407" s="32" t="s">
        <v>49</v>
      </c>
      <c r="E407" s="32" t="s">
        <v>50</v>
      </c>
    </row>
    <row r="408" spans="1:5" x14ac:dyDescent="0.45">
      <c r="A408" s="30">
        <v>407</v>
      </c>
      <c r="B408" s="32" t="s">
        <v>47</v>
      </c>
      <c r="C408" s="32" t="s">
        <v>640</v>
      </c>
      <c r="D408" s="32" t="s">
        <v>64</v>
      </c>
      <c r="E408" s="32" t="s">
        <v>50</v>
      </c>
    </row>
    <row r="409" spans="1:5" x14ac:dyDescent="0.45">
      <c r="A409" s="30">
        <v>408</v>
      </c>
      <c r="B409" s="32" t="s">
        <v>47</v>
      </c>
      <c r="C409" s="32" t="s">
        <v>405</v>
      </c>
      <c r="D409" s="32" t="s">
        <v>240</v>
      </c>
      <c r="E409" s="32" t="s">
        <v>50</v>
      </c>
    </row>
    <row r="410" spans="1:5" x14ac:dyDescent="0.45">
      <c r="A410" s="30">
        <v>409</v>
      </c>
      <c r="B410" s="32" t="s">
        <v>47</v>
      </c>
      <c r="C410" s="32" t="s">
        <v>649</v>
      </c>
      <c r="D410" s="32" t="s">
        <v>223</v>
      </c>
      <c r="E410" s="32" t="s">
        <v>50</v>
      </c>
    </row>
    <row r="411" spans="1:5" x14ac:dyDescent="0.45">
      <c r="A411" s="30">
        <v>410</v>
      </c>
      <c r="B411" s="32" t="s">
        <v>47</v>
      </c>
      <c r="C411" s="32" t="s">
        <v>676</v>
      </c>
      <c r="D411" s="32" t="s">
        <v>60</v>
      </c>
      <c r="E411" s="32" t="s">
        <v>50</v>
      </c>
    </row>
    <row r="412" spans="1:5" x14ac:dyDescent="0.45">
      <c r="A412" s="30">
        <v>411</v>
      </c>
      <c r="B412" s="32" t="s">
        <v>47</v>
      </c>
      <c r="C412" s="32" t="s">
        <v>532</v>
      </c>
      <c r="D412" s="32" t="s">
        <v>54</v>
      </c>
      <c r="E412" s="32" t="s">
        <v>50</v>
      </c>
    </row>
    <row r="413" spans="1:5" x14ac:dyDescent="0.45">
      <c r="A413" s="30">
        <v>412</v>
      </c>
      <c r="B413" s="32" t="s">
        <v>47</v>
      </c>
      <c r="C413" s="32" t="s">
        <v>200</v>
      </c>
      <c r="D413" s="32" t="s">
        <v>64</v>
      </c>
      <c r="E413" s="32" t="s">
        <v>50</v>
      </c>
    </row>
    <row r="414" spans="1:5" x14ac:dyDescent="0.45">
      <c r="A414" s="30">
        <v>413</v>
      </c>
      <c r="B414" s="32" t="s">
        <v>47</v>
      </c>
      <c r="C414" s="32" t="s">
        <v>309</v>
      </c>
      <c r="D414" s="32" t="s">
        <v>81</v>
      </c>
      <c r="E414" s="32" t="s">
        <v>50</v>
      </c>
    </row>
    <row r="415" spans="1:5" x14ac:dyDescent="0.45">
      <c r="A415" s="30">
        <v>414</v>
      </c>
      <c r="B415" s="32" t="s">
        <v>47</v>
      </c>
      <c r="C415" s="32" t="s">
        <v>310</v>
      </c>
      <c r="D415" s="32" t="s">
        <v>54</v>
      </c>
      <c r="E415" s="32" t="s">
        <v>50</v>
      </c>
    </row>
    <row r="416" spans="1:5" x14ac:dyDescent="0.45">
      <c r="A416" s="30">
        <v>415</v>
      </c>
      <c r="B416" s="32" t="s">
        <v>47</v>
      </c>
      <c r="C416" s="32" t="s">
        <v>635</v>
      </c>
      <c r="D416" s="32" t="s">
        <v>60</v>
      </c>
      <c r="E416" s="32" t="s">
        <v>50</v>
      </c>
    </row>
    <row r="417" spans="1:5" x14ac:dyDescent="0.45">
      <c r="A417" s="30">
        <v>416</v>
      </c>
      <c r="B417" s="32" t="s">
        <v>47</v>
      </c>
      <c r="C417" s="32" t="s">
        <v>201</v>
      </c>
      <c r="D417" s="32" t="s">
        <v>49</v>
      </c>
      <c r="E417" s="32" t="s">
        <v>50</v>
      </c>
    </row>
    <row r="418" spans="1:5" x14ac:dyDescent="0.45">
      <c r="A418" s="30">
        <v>417</v>
      </c>
      <c r="B418" s="32" t="s">
        <v>47</v>
      </c>
      <c r="C418" s="32" t="s">
        <v>356</v>
      </c>
      <c r="D418" s="32" t="s">
        <v>49</v>
      </c>
      <c r="E418" s="32" t="s">
        <v>50</v>
      </c>
    </row>
    <row r="419" spans="1:5" x14ac:dyDescent="0.45">
      <c r="A419" s="30">
        <v>418</v>
      </c>
      <c r="B419" s="32" t="s">
        <v>102</v>
      </c>
      <c r="C419" s="32" t="s">
        <v>357</v>
      </c>
      <c r="D419" s="32" t="s">
        <v>338</v>
      </c>
      <c r="E419" s="32" t="s">
        <v>105</v>
      </c>
    </row>
    <row r="420" spans="1:5" x14ac:dyDescent="0.45">
      <c r="A420" s="30">
        <v>419</v>
      </c>
      <c r="B420" s="32" t="s">
        <v>47</v>
      </c>
      <c r="C420" s="32" t="s">
        <v>560</v>
      </c>
      <c r="D420" s="32" t="s">
        <v>49</v>
      </c>
      <c r="E420" s="32" t="s">
        <v>50</v>
      </c>
    </row>
    <row r="421" spans="1:5" x14ac:dyDescent="0.45">
      <c r="A421" s="30">
        <v>420</v>
      </c>
      <c r="B421" s="32" t="s">
        <v>47</v>
      </c>
      <c r="C421" s="32" t="s">
        <v>358</v>
      </c>
      <c r="D421" s="32" t="s">
        <v>60</v>
      </c>
      <c r="E421" s="32" t="s">
        <v>50</v>
      </c>
    </row>
    <row r="422" spans="1:5" x14ac:dyDescent="0.45">
      <c r="A422" s="30">
        <v>421</v>
      </c>
      <c r="B422" s="32" t="s">
        <v>47</v>
      </c>
      <c r="C422" s="32" t="s">
        <v>311</v>
      </c>
      <c r="D422" s="32" t="s">
        <v>57</v>
      </c>
      <c r="E422" s="32" t="s">
        <v>50</v>
      </c>
    </row>
    <row r="423" spans="1:5" x14ac:dyDescent="0.45">
      <c r="A423" s="30">
        <v>422</v>
      </c>
      <c r="B423" s="32" t="s">
        <v>47</v>
      </c>
      <c r="C423" s="32" t="s">
        <v>561</v>
      </c>
      <c r="D423" s="32" t="s">
        <v>54</v>
      </c>
      <c r="E423" s="32" t="s">
        <v>50</v>
      </c>
    </row>
    <row r="424" spans="1:5" x14ac:dyDescent="0.45">
      <c r="A424" s="30">
        <v>423</v>
      </c>
      <c r="B424" s="32" t="s">
        <v>47</v>
      </c>
      <c r="C424" s="32" t="s">
        <v>202</v>
      </c>
      <c r="D424" s="32" t="s">
        <v>57</v>
      </c>
      <c r="E424" s="32" t="s">
        <v>50</v>
      </c>
    </row>
    <row r="425" spans="1:5" x14ac:dyDescent="0.45">
      <c r="A425" s="30">
        <v>424</v>
      </c>
      <c r="B425" s="32" t="s">
        <v>47</v>
      </c>
      <c r="C425" s="32" t="s">
        <v>203</v>
      </c>
      <c r="D425" s="32" t="s">
        <v>57</v>
      </c>
      <c r="E425" s="32" t="s">
        <v>50</v>
      </c>
    </row>
    <row r="426" spans="1:5" x14ac:dyDescent="0.45">
      <c r="A426" s="30">
        <v>425</v>
      </c>
      <c r="B426" s="32" t="s">
        <v>47</v>
      </c>
      <c r="C426" s="32" t="s">
        <v>514</v>
      </c>
      <c r="D426" s="32" t="s">
        <v>515</v>
      </c>
      <c r="E426" s="32" t="s">
        <v>50</v>
      </c>
    </row>
    <row r="427" spans="1:5" x14ac:dyDescent="0.45">
      <c r="A427" s="30">
        <v>426</v>
      </c>
      <c r="B427" s="32" t="s">
        <v>47</v>
      </c>
      <c r="C427" s="32" t="s">
        <v>204</v>
      </c>
      <c r="D427" s="32" t="s">
        <v>49</v>
      </c>
      <c r="E427" s="32" t="s">
        <v>50</v>
      </c>
    </row>
    <row r="428" spans="1:5" x14ac:dyDescent="0.45">
      <c r="A428" s="30">
        <v>427</v>
      </c>
      <c r="B428" s="32" t="s">
        <v>47</v>
      </c>
      <c r="C428" s="32" t="s">
        <v>412</v>
      </c>
      <c r="D428" s="32" t="s">
        <v>57</v>
      </c>
      <c r="E428" s="32" t="s">
        <v>50</v>
      </c>
    </row>
    <row r="429" spans="1:5" x14ac:dyDescent="0.45">
      <c r="A429" s="30">
        <v>428</v>
      </c>
      <c r="B429" s="32" t="s">
        <v>47</v>
      </c>
      <c r="C429" s="32" t="s">
        <v>443</v>
      </c>
      <c r="D429" s="32" t="s">
        <v>134</v>
      </c>
      <c r="E429" s="32" t="s">
        <v>50</v>
      </c>
    </row>
    <row r="430" spans="1:5" x14ac:dyDescent="0.45">
      <c r="A430" s="30">
        <v>429</v>
      </c>
      <c r="B430" s="32" t="s">
        <v>47</v>
      </c>
      <c r="C430" s="32" t="s">
        <v>643</v>
      </c>
      <c r="D430" s="32" t="s">
        <v>57</v>
      </c>
      <c r="E430" s="32" t="s">
        <v>50</v>
      </c>
    </row>
    <row r="431" spans="1:5" x14ac:dyDescent="0.45">
      <c r="A431" s="30">
        <v>430</v>
      </c>
      <c r="B431" s="32" t="s">
        <v>47</v>
      </c>
      <c r="C431" s="32" t="s">
        <v>509</v>
      </c>
      <c r="D431" s="32" t="s">
        <v>49</v>
      </c>
      <c r="E431" s="32" t="s">
        <v>50</v>
      </c>
    </row>
    <row r="432" spans="1:5" x14ac:dyDescent="0.45">
      <c r="A432" s="30">
        <v>431</v>
      </c>
      <c r="B432" s="32" t="s">
        <v>47</v>
      </c>
      <c r="C432" s="32" t="s">
        <v>359</v>
      </c>
      <c r="D432" s="32" t="s">
        <v>57</v>
      </c>
      <c r="E432" s="32" t="s">
        <v>50</v>
      </c>
    </row>
    <row r="433" spans="1:5" x14ac:dyDescent="0.45">
      <c r="A433" s="30">
        <v>432</v>
      </c>
      <c r="B433" s="32" t="s">
        <v>47</v>
      </c>
      <c r="C433" s="32" t="s">
        <v>205</v>
      </c>
      <c r="D433" s="32" t="s">
        <v>49</v>
      </c>
      <c r="E433" s="32" t="s">
        <v>50</v>
      </c>
    </row>
    <row r="434" spans="1:5" x14ac:dyDescent="0.45">
      <c r="A434" s="30">
        <v>433</v>
      </c>
      <c r="B434" s="32" t="s">
        <v>47</v>
      </c>
      <c r="C434" s="32" t="s">
        <v>206</v>
      </c>
      <c r="D434" s="32" t="s">
        <v>81</v>
      </c>
      <c r="E434" s="32" t="s">
        <v>50</v>
      </c>
    </row>
    <row r="435" spans="1:5" x14ac:dyDescent="0.45">
      <c r="A435" s="30">
        <v>434</v>
      </c>
      <c r="B435" s="32" t="s">
        <v>47</v>
      </c>
      <c r="C435" s="32" t="s">
        <v>693</v>
      </c>
      <c r="D435" s="32" t="s">
        <v>49</v>
      </c>
      <c r="E435" s="32" t="s">
        <v>50</v>
      </c>
    </row>
    <row r="436" spans="1:5" x14ac:dyDescent="0.45">
      <c r="A436" s="30">
        <v>435</v>
      </c>
      <c r="B436" s="32" t="s">
        <v>102</v>
      </c>
      <c r="C436" s="32" t="s">
        <v>703</v>
      </c>
      <c r="D436" s="32" t="s">
        <v>704</v>
      </c>
      <c r="E436" s="32" t="s">
        <v>705</v>
      </c>
    </row>
    <row r="437" spans="1:5" x14ac:dyDescent="0.45">
      <c r="A437" s="30">
        <v>436</v>
      </c>
      <c r="B437" s="32" t="s">
        <v>47</v>
      </c>
      <c r="C437" s="32" t="s">
        <v>628</v>
      </c>
      <c r="D437" s="32" t="s">
        <v>54</v>
      </c>
      <c r="E437" s="32" t="s">
        <v>50</v>
      </c>
    </row>
    <row r="438" spans="1:5" x14ac:dyDescent="0.45">
      <c r="A438" s="30">
        <v>437</v>
      </c>
      <c r="B438" s="32" t="s">
        <v>47</v>
      </c>
      <c r="C438" s="32" t="s">
        <v>207</v>
      </c>
      <c r="D438" s="32" t="s">
        <v>64</v>
      </c>
      <c r="E438" s="32" t="s">
        <v>50</v>
      </c>
    </row>
    <row r="439" spans="1:5" x14ac:dyDescent="0.45">
      <c r="A439" s="30">
        <v>438</v>
      </c>
      <c r="B439" s="32" t="s">
        <v>47</v>
      </c>
      <c r="C439" s="32" t="s">
        <v>208</v>
      </c>
      <c r="D439" s="32" t="s">
        <v>49</v>
      </c>
      <c r="E439" s="32" t="s">
        <v>50</v>
      </c>
    </row>
    <row r="440" spans="1:5" x14ac:dyDescent="0.45">
      <c r="A440" s="30">
        <v>439</v>
      </c>
      <c r="B440" s="32" t="s">
        <v>47</v>
      </c>
      <c r="C440" s="32" t="s">
        <v>360</v>
      </c>
      <c r="D440" s="32" t="s">
        <v>49</v>
      </c>
      <c r="E440" s="32" t="s">
        <v>50</v>
      </c>
    </row>
    <row r="441" spans="1:5" x14ac:dyDescent="0.45">
      <c r="A441" s="30">
        <v>440</v>
      </c>
      <c r="B441" s="32" t="s">
        <v>47</v>
      </c>
      <c r="C441" s="32" t="s">
        <v>677</v>
      </c>
      <c r="D441" s="32" t="s">
        <v>49</v>
      </c>
      <c r="E441" s="32" t="s">
        <v>50</v>
      </c>
    </row>
    <row r="442" spans="1:5" x14ac:dyDescent="0.45">
      <c r="A442" s="30">
        <v>441</v>
      </c>
      <c r="B442" s="32" t="s">
        <v>47</v>
      </c>
      <c r="C442" s="32" t="s">
        <v>209</v>
      </c>
      <c r="D442" s="32" t="s">
        <v>49</v>
      </c>
      <c r="E442" s="32" t="s">
        <v>50</v>
      </c>
    </row>
    <row r="443" spans="1:5" x14ac:dyDescent="0.45">
      <c r="A443" s="30">
        <v>442</v>
      </c>
      <c r="B443" s="32" t="s">
        <v>47</v>
      </c>
      <c r="C443" s="32" t="s">
        <v>312</v>
      </c>
      <c r="D443" s="32" t="s">
        <v>60</v>
      </c>
      <c r="E443" s="32" t="s">
        <v>50</v>
      </c>
    </row>
    <row r="444" spans="1:5" x14ac:dyDescent="0.45">
      <c r="A444" s="30">
        <v>443</v>
      </c>
      <c r="B444" s="32" t="s">
        <v>47</v>
      </c>
      <c r="C444" s="32" t="s">
        <v>361</v>
      </c>
      <c r="D444" s="32" t="s">
        <v>57</v>
      </c>
      <c r="E444" s="32" t="s">
        <v>50</v>
      </c>
    </row>
    <row r="445" spans="1:5" x14ac:dyDescent="0.45">
      <c r="A445" s="30">
        <v>444</v>
      </c>
      <c r="B445" s="32" t="s">
        <v>47</v>
      </c>
      <c r="C445" s="32" t="s">
        <v>629</v>
      </c>
      <c r="D445" s="32" t="s">
        <v>60</v>
      </c>
      <c r="E445" s="32" t="s">
        <v>50</v>
      </c>
    </row>
    <row r="446" spans="1:5" x14ac:dyDescent="0.45">
      <c r="A446" s="30">
        <v>445</v>
      </c>
      <c r="B446" s="32" t="s">
        <v>47</v>
      </c>
      <c r="C446" s="32" t="s">
        <v>210</v>
      </c>
      <c r="D446" s="32" t="s">
        <v>60</v>
      </c>
      <c r="E446" s="32" t="s">
        <v>50</v>
      </c>
    </row>
    <row r="447" spans="1:5" x14ac:dyDescent="0.45">
      <c r="A447" s="30">
        <v>446</v>
      </c>
      <c r="B447" s="32" t="s">
        <v>47</v>
      </c>
      <c r="C447" s="32" t="s">
        <v>211</v>
      </c>
      <c r="D447" s="32" t="s">
        <v>57</v>
      </c>
      <c r="E447" s="32" t="s">
        <v>50</v>
      </c>
    </row>
    <row r="448" spans="1:5" x14ac:dyDescent="0.45">
      <c r="A448" s="30">
        <v>447</v>
      </c>
      <c r="B448" s="32" t="s">
        <v>47</v>
      </c>
      <c r="C448" s="32" t="s">
        <v>212</v>
      </c>
      <c r="D448" s="32" t="s">
        <v>60</v>
      </c>
      <c r="E448" s="32" t="s">
        <v>50</v>
      </c>
    </row>
    <row r="449" spans="1:5" x14ac:dyDescent="0.45">
      <c r="A449" s="30">
        <v>448</v>
      </c>
      <c r="B449" s="32" t="s">
        <v>47</v>
      </c>
      <c r="C449" s="32" t="s">
        <v>590</v>
      </c>
      <c r="D449" s="32" t="s">
        <v>49</v>
      </c>
      <c r="E449" s="32" t="s">
        <v>50</v>
      </c>
    </row>
    <row r="450" spans="1:5" x14ac:dyDescent="0.45">
      <c r="A450" s="30">
        <v>449</v>
      </c>
      <c r="B450" s="32" t="s">
        <v>47</v>
      </c>
      <c r="C450" s="32" t="s">
        <v>362</v>
      </c>
      <c r="D450" s="32" t="s">
        <v>49</v>
      </c>
      <c r="E450" s="32" t="s">
        <v>50</v>
      </c>
    </row>
    <row r="451" spans="1:5" x14ac:dyDescent="0.45">
      <c r="A451" s="30">
        <v>450</v>
      </c>
      <c r="B451" s="32" t="s">
        <v>47</v>
      </c>
      <c r="C451" s="32" t="s">
        <v>605</v>
      </c>
      <c r="D451" s="32" t="s">
        <v>240</v>
      </c>
      <c r="E451" s="32" t="s">
        <v>50</v>
      </c>
    </row>
    <row r="452" spans="1:5" x14ac:dyDescent="0.45">
      <c r="A452" s="30">
        <v>451</v>
      </c>
      <c r="B452" s="32" t="s">
        <v>47</v>
      </c>
      <c r="C452" s="32" t="s">
        <v>313</v>
      </c>
      <c r="D452" s="32" t="s">
        <v>60</v>
      </c>
      <c r="E452" s="32" t="s">
        <v>50</v>
      </c>
    </row>
    <row r="453" spans="1:5" x14ac:dyDescent="0.45">
      <c r="A453" s="30">
        <v>452</v>
      </c>
      <c r="B453" s="32" t="s">
        <v>47</v>
      </c>
      <c r="C453" s="32" t="s">
        <v>213</v>
      </c>
      <c r="D453" s="32" t="s">
        <v>49</v>
      </c>
      <c r="E453" s="32" t="s">
        <v>50</v>
      </c>
    </row>
    <row r="454" spans="1:5" x14ac:dyDescent="0.45">
      <c r="A454" s="30">
        <v>453</v>
      </c>
      <c r="B454" s="32" t="s">
        <v>47</v>
      </c>
      <c r="C454" s="32" t="s">
        <v>363</v>
      </c>
      <c r="D454" s="32" t="s">
        <v>60</v>
      </c>
      <c r="E454" s="32" t="s">
        <v>50</v>
      </c>
    </row>
    <row r="455" spans="1:5" x14ac:dyDescent="0.45">
      <c r="A455" s="30">
        <v>454</v>
      </c>
      <c r="B455" s="32" t="s">
        <v>47</v>
      </c>
      <c r="C455" s="32" t="s">
        <v>214</v>
      </c>
      <c r="D455" s="32" t="s">
        <v>64</v>
      </c>
      <c r="E455" s="32" t="s">
        <v>50</v>
      </c>
    </row>
    <row r="456" spans="1:5" x14ac:dyDescent="0.45">
      <c r="A456" s="30">
        <v>455</v>
      </c>
      <c r="B456" s="32" t="s">
        <v>47</v>
      </c>
      <c r="C456" s="32" t="s">
        <v>667</v>
      </c>
      <c r="D456" s="32" t="s">
        <v>60</v>
      </c>
      <c r="E456" s="32" t="s">
        <v>50</v>
      </c>
    </row>
    <row r="457" spans="1:5" x14ac:dyDescent="0.45">
      <c r="A457" s="30">
        <v>456</v>
      </c>
      <c r="B457" s="32" t="s">
        <v>47</v>
      </c>
      <c r="C457" s="32" t="s">
        <v>391</v>
      </c>
      <c r="D457" s="32" t="s">
        <v>60</v>
      </c>
      <c r="E457" s="32" t="s">
        <v>50</v>
      </c>
    </row>
    <row r="458" spans="1:5" x14ac:dyDescent="0.45">
      <c r="A458" s="30">
        <v>457</v>
      </c>
      <c r="B458" s="32" t="s">
        <v>47</v>
      </c>
      <c r="C458" s="32" t="s">
        <v>489</v>
      </c>
      <c r="D458" s="32" t="s">
        <v>81</v>
      </c>
      <c r="E458" s="32" t="s">
        <v>50</v>
      </c>
    </row>
    <row r="459" spans="1:5" x14ac:dyDescent="0.45">
      <c r="A459" s="30">
        <v>458</v>
      </c>
      <c r="B459" s="32" t="s">
        <v>47</v>
      </c>
      <c r="C459" s="32" t="s">
        <v>631</v>
      </c>
      <c r="D459" s="32" t="s">
        <v>223</v>
      </c>
      <c r="E459" s="32" t="s">
        <v>50</v>
      </c>
    </row>
    <row r="460" spans="1:5" x14ac:dyDescent="0.45">
      <c r="A460" s="30">
        <v>459</v>
      </c>
      <c r="B460" s="32" t="s">
        <v>47</v>
      </c>
      <c r="C460" s="32" t="s">
        <v>408</v>
      </c>
      <c r="D460" s="32" t="s">
        <v>238</v>
      </c>
      <c r="E460" s="32" t="s">
        <v>50</v>
      </c>
    </row>
    <row r="461" spans="1:5" x14ac:dyDescent="0.45">
      <c r="A461" s="30">
        <v>460</v>
      </c>
      <c r="B461" s="32" t="s">
        <v>47</v>
      </c>
      <c r="C461" s="32" t="s">
        <v>713</v>
      </c>
      <c r="D461" s="32" t="s">
        <v>64</v>
      </c>
      <c r="E461" s="32" t="s">
        <v>50</v>
      </c>
    </row>
    <row r="462" spans="1:5" x14ac:dyDescent="0.45">
      <c r="A462" s="30">
        <v>461</v>
      </c>
      <c r="B462" s="32" t="s">
        <v>47</v>
      </c>
      <c r="C462" s="32" t="s">
        <v>215</v>
      </c>
      <c r="D462" s="32" t="s">
        <v>57</v>
      </c>
      <c r="E462" s="32" t="s">
        <v>50</v>
      </c>
    </row>
    <row r="463" spans="1:5" x14ac:dyDescent="0.45">
      <c r="A463" s="30">
        <v>462</v>
      </c>
      <c r="B463" s="32" t="s">
        <v>47</v>
      </c>
      <c r="C463" s="32" t="s">
        <v>394</v>
      </c>
      <c r="D463" s="32" t="s">
        <v>64</v>
      </c>
      <c r="E463" s="32" t="s">
        <v>50</v>
      </c>
    </row>
    <row r="464" spans="1:5" x14ac:dyDescent="0.45">
      <c r="A464" s="30">
        <v>463</v>
      </c>
      <c r="B464" s="32" t="s">
        <v>47</v>
      </c>
      <c r="C464" s="32" t="s">
        <v>488</v>
      </c>
      <c r="D464" s="32" t="s">
        <v>57</v>
      </c>
      <c r="E464" s="32" t="s">
        <v>50</v>
      </c>
    </row>
    <row r="465" spans="1:5" x14ac:dyDescent="0.45">
      <c r="A465" s="30">
        <v>464</v>
      </c>
      <c r="B465" s="32" t="s">
        <v>47</v>
      </c>
      <c r="C465" s="32" t="s">
        <v>466</v>
      </c>
      <c r="D465" s="32" t="s">
        <v>57</v>
      </c>
      <c r="E465" s="32" t="s">
        <v>50</v>
      </c>
    </row>
    <row r="466" spans="1:5" x14ac:dyDescent="0.45">
      <c r="A466" s="30">
        <v>465</v>
      </c>
      <c r="B466" s="32" t="s">
        <v>47</v>
      </c>
      <c r="C466" s="32" t="s">
        <v>216</v>
      </c>
      <c r="D466" s="32" t="s">
        <v>64</v>
      </c>
      <c r="E466" s="32" t="s">
        <v>50</v>
      </c>
    </row>
    <row r="467" spans="1:5" x14ac:dyDescent="0.45">
      <c r="A467" s="30">
        <v>466</v>
      </c>
      <c r="B467" s="32" t="s">
        <v>47</v>
      </c>
      <c r="C467" s="32" t="s">
        <v>444</v>
      </c>
      <c r="D467" s="32" t="s">
        <v>49</v>
      </c>
      <c r="E467" s="32" t="s">
        <v>50</v>
      </c>
    </row>
    <row r="468" spans="1:5" x14ac:dyDescent="0.45">
      <c r="A468" s="30">
        <v>467</v>
      </c>
      <c r="B468" s="32" t="s">
        <v>47</v>
      </c>
      <c r="C468" s="32" t="s">
        <v>541</v>
      </c>
      <c r="D468" s="32" t="s">
        <v>118</v>
      </c>
      <c r="E468" s="32" t="s">
        <v>119</v>
      </c>
    </row>
    <row r="469" spans="1:5" x14ac:dyDescent="0.45">
      <c r="A469" s="30">
        <v>468</v>
      </c>
      <c r="B469" s="32" t="s">
        <v>47</v>
      </c>
      <c r="C469" s="32" t="s">
        <v>217</v>
      </c>
      <c r="D469" s="32" t="s">
        <v>49</v>
      </c>
      <c r="E469" s="32" t="s">
        <v>50</v>
      </c>
    </row>
    <row r="470" spans="1:5" x14ac:dyDescent="0.45">
      <c r="A470" s="30">
        <v>469</v>
      </c>
      <c r="B470" s="32" t="s">
        <v>47</v>
      </c>
      <c r="C470" s="32" t="s">
        <v>314</v>
      </c>
      <c r="D470" s="32" t="s">
        <v>57</v>
      </c>
      <c r="E470" s="32" t="s">
        <v>50</v>
      </c>
    </row>
    <row r="471" spans="1:5" x14ac:dyDescent="0.45">
      <c r="A471" s="30">
        <v>470</v>
      </c>
      <c r="B471" s="32" t="s">
        <v>47</v>
      </c>
      <c r="C471" s="32" t="s">
        <v>638</v>
      </c>
      <c r="D471" s="32" t="s">
        <v>57</v>
      </c>
      <c r="E471" s="32" t="s">
        <v>50</v>
      </c>
    </row>
    <row r="472" spans="1:5" x14ac:dyDescent="0.45">
      <c r="A472" s="30">
        <v>471</v>
      </c>
      <c r="B472" s="32" t="s">
        <v>47</v>
      </c>
      <c r="C472" s="32" t="s">
        <v>492</v>
      </c>
      <c r="D472" s="32" t="s">
        <v>57</v>
      </c>
      <c r="E472" s="32" t="s">
        <v>50</v>
      </c>
    </row>
    <row r="473" spans="1:5" x14ac:dyDescent="0.45">
      <c r="A473" s="30">
        <v>472</v>
      </c>
      <c r="B473" s="32" t="s">
        <v>47</v>
      </c>
      <c r="C473" s="32" t="s">
        <v>562</v>
      </c>
      <c r="D473" s="32" t="s">
        <v>64</v>
      </c>
      <c r="E473" s="32" t="s">
        <v>50</v>
      </c>
    </row>
    <row r="474" spans="1:5" x14ac:dyDescent="0.45">
      <c r="A474" s="30">
        <v>473</v>
      </c>
      <c r="B474" s="32" t="s">
        <v>47</v>
      </c>
      <c r="C474" s="32" t="s">
        <v>399</v>
      </c>
      <c r="D474" s="32" t="s">
        <v>64</v>
      </c>
      <c r="E474" s="32" t="s">
        <v>50</v>
      </c>
    </row>
    <row r="475" spans="1:5" x14ac:dyDescent="0.45">
      <c r="A475" s="30">
        <v>474</v>
      </c>
      <c r="B475" s="32" t="s">
        <v>47</v>
      </c>
      <c r="C475" s="32" t="s">
        <v>218</v>
      </c>
      <c r="D475" s="32" t="s">
        <v>49</v>
      </c>
      <c r="E475" s="32" t="s">
        <v>50</v>
      </c>
    </row>
    <row r="476" spans="1:5" x14ac:dyDescent="0.45">
      <c r="A476" s="30">
        <v>475</v>
      </c>
      <c r="B476" s="32" t="s">
        <v>47</v>
      </c>
      <c r="C476" s="32" t="s">
        <v>639</v>
      </c>
      <c r="D476" s="32" t="s">
        <v>60</v>
      </c>
      <c r="E476" s="32" t="s">
        <v>50</v>
      </c>
    </row>
    <row r="477" spans="1:5" x14ac:dyDescent="0.45">
      <c r="A477" s="30">
        <v>476</v>
      </c>
      <c r="B477" s="32" t="s">
        <v>47</v>
      </c>
      <c r="C477" s="32" t="s">
        <v>392</v>
      </c>
      <c r="D477" s="32" t="s">
        <v>49</v>
      </c>
      <c r="E477" s="32" t="s">
        <v>50</v>
      </c>
    </row>
    <row r="478" spans="1:5" x14ac:dyDescent="0.45">
      <c r="A478" s="30">
        <v>477</v>
      </c>
      <c r="B478" s="32" t="s">
        <v>47</v>
      </c>
      <c r="C478" s="32" t="s">
        <v>219</v>
      </c>
      <c r="D478" s="32" t="s">
        <v>57</v>
      </c>
      <c r="E478" s="32" t="s">
        <v>50</v>
      </c>
    </row>
    <row r="479" spans="1:5" x14ac:dyDescent="0.45">
      <c r="A479" s="30">
        <v>478</v>
      </c>
      <c r="B479" s="32" t="s">
        <v>47</v>
      </c>
      <c r="C479" s="32" t="s">
        <v>220</v>
      </c>
      <c r="D479" s="32" t="s">
        <v>49</v>
      </c>
      <c r="E479" s="32" t="s">
        <v>50</v>
      </c>
    </row>
    <row r="480" spans="1:5" x14ac:dyDescent="0.45">
      <c r="A480" s="30">
        <v>479</v>
      </c>
      <c r="B480" s="32" t="s">
        <v>47</v>
      </c>
      <c r="C480" s="32" t="s">
        <v>445</v>
      </c>
      <c r="D480" s="32" t="s">
        <v>49</v>
      </c>
      <c r="E480" s="32" t="s">
        <v>50</v>
      </c>
    </row>
    <row r="481" spans="1:5" x14ac:dyDescent="0.45">
      <c r="A481" s="30">
        <v>480</v>
      </c>
      <c r="B481" s="32" t="s">
        <v>47</v>
      </c>
      <c r="C481" s="32" t="s">
        <v>668</v>
      </c>
      <c r="D481" s="32" t="s">
        <v>60</v>
      </c>
      <c r="E481" s="32" t="s">
        <v>50</v>
      </c>
    </row>
    <row r="482" spans="1:5" x14ac:dyDescent="0.45">
      <c r="A482" s="30">
        <v>481</v>
      </c>
      <c r="B482" s="32" t="s">
        <v>47</v>
      </c>
      <c r="C482" s="32" t="s">
        <v>221</v>
      </c>
      <c r="D482" s="32" t="s">
        <v>64</v>
      </c>
      <c r="E482" s="32" t="s">
        <v>50</v>
      </c>
    </row>
    <row r="483" spans="1:5" x14ac:dyDescent="0.45">
      <c r="A483" s="30">
        <v>482</v>
      </c>
      <c r="B483" s="32" t="s">
        <v>102</v>
      </c>
      <c r="C483" s="32" t="s">
        <v>222</v>
      </c>
      <c r="D483" s="32" t="s">
        <v>223</v>
      </c>
      <c r="E483" s="32" t="s">
        <v>50</v>
      </c>
    </row>
    <row r="484" spans="1:5" x14ac:dyDescent="0.45">
      <c r="A484" s="30">
        <v>483</v>
      </c>
      <c r="B484" s="32" t="s">
        <v>47</v>
      </c>
      <c r="C484" s="32" t="s">
        <v>464</v>
      </c>
      <c r="D484" s="32" t="s">
        <v>57</v>
      </c>
      <c r="E484" s="32" t="s">
        <v>50</v>
      </c>
    </row>
    <row r="485" spans="1:5" x14ac:dyDescent="0.45">
      <c r="A485" s="30">
        <v>484</v>
      </c>
      <c r="B485" s="32" t="s">
        <v>47</v>
      </c>
      <c r="C485" s="32" t="s">
        <v>446</v>
      </c>
      <c r="D485" s="32" t="s">
        <v>240</v>
      </c>
      <c r="E485" s="32" t="s">
        <v>50</v>
      </c>
    </row>
    <row r="486" spans="1:5" x14ac:dyDescent="0.45">
      <c r="A486" s="30">
        <v>485</v>
      </c>
      <c r="B486" s="32" t="s">
        <v>47</v>
      </c>
      <c r="C486" s="32" t="s">
        <v>533</v>
      </c>
      <c r="D486" s="32" t="s">
        <v>60</v>
      </c>
      <c r="E486" s="32" t="s">
        <v>50</v>
      </c>
    </row>
    <row r="487" spans="1:5" x14ac:dyDescent="0.45">
      <c r="A487" s="30">
        <v>486</v>
      </c>
      <c r="B487" s="32" t="s">
        <v>47</v>
      </c>
      <c r="C487" s="32" t="s">
        <v>315</v>
      </c>
      <c r="D487" s="32" t="s">
        <v>134</v>
      </c>
      <c r="E487" s="32" t="s">
        <v>50</v>
      </c>
    </row>
    <row r="488" spans="1:5" x14ac:dyDescent="0.45">
      <c r="A488" s="30">
        <v>487</v>
      </c>
      <c r="B488" s="32" t="s">
        <v>102</v>
      </c>
      <c r="C488" s="32" t="s">
        <v>364</v>
      </c>
      <c r="D488" s="32" t="s">
        <v>223</v>
      </c>
      <c r="E488" s="32" t="s">
        <v>50</v>
      </c>
    </row>
    <row r="489" spans="1:5" x14ac:dyDescent="0.45">
      <c r="A489" s="30">
        <v>488</v>
      </c>
      <c r="B489" s="32" t="s">
        <v>47</v>
      </c>
      <c r="C489" s="32" t="s">
        <v>447</v>
      </c>
      <c r="D489" s="32" t="s">
        <v>57</v>
      </c>
      <c r="E489" s="32" t="s">
        <v>50</v>
      </c>
    </row>
    <row r="490" spans="1:5" x14ac:dyDescent="0.45">
      <c r="A490" s="30">
        <v>489</v>
      </c>
      <c r="B490" s="32" t="s">
        <v>47</v>
      </c>
      <c r="C490" s="32" t="s">
        <v>387</v>
      </c>
      <c r="D490" s="32" t="s">
        <v>57</v>
      </c>
      <c r="E490" s="32" t="s">
        <v>50</v>
      </c>
    </row>
    <row r="491" spans="1:5" x14ac:dyDescent="0.45">
      <c r="A491" s="30">
        <v>490</v>
      </c>
      <c r="B491" s="32" t="s">
        <v>47</v>
      </c>
      <c r="C491" s="32" t="s">
        <v>653</v>
      </c>
      <c r="D491" s="32" t="s">
        <v>60</v>
      </c>
      <c r="E491" s="32" t="s">
        <v>50</v>
      </c>
    </row>
    <row r="492" spans="1:5" x14ac:dyDescent="0.45">
      <c r="A492" s="30">
        <v>491</v>
      </c>
      <c r="B492" s="32" t="s">
        <v>47</v>
      </c>
      <c r="C492" s="32" t="s">
        <v>224</v>
      </c>
      <c r="D492" s="32" t="s">
        <v>57</v>
      </c>
      <c r="E492" s="32" t="s">
        <v>50</v>
      </c>
    </row>
    <row r="493" spans="1:5" x14ac:dyDescent="0.45">
      <c r="A493" s="30">
        <v>492</v>
      </c>
      <c r="B493" s="32" t="s">
        <v>47</v>
      </c>
      <c r="C493" s="32" t="s">
        <v>225</v>
      </c>
      <c r="D493" s="32" t="s">
        <v>64</v>
      </c>
      <c r="E493" s="32" t="s">
        <v>50</v>
      </c>
    </row>
    <row r="494" spans="1:5" x14ac:dyDescent="0.45">
      <c r="A494" s="30">
        <v>493</v>
      </c>
      <c r="B494" s="32" t="s">
        <v>47</v>
      </c>
      <c r="C494" s="32" t="s">
        <v>670</v>
      </c>
      <c r="D494" s="32" t="s">
        <v>81</v>
      </c>
      <c r="E494" s="32" t="s">
        <v>50</v>
      </c>
    </row>
    <row r="495" spans="1:5" x14ac:dyDescent="0.45">
      <c r="A495" s="30">
        <v>494</v>
      </c>
      <c r="B495" s="32" t="s">
        <v>47</v>
      </c>
      <c r="C495" s="32" t="s">
        <v>365</v>
      </c>
      <c r="D495" s="32" t="s">
        <v>49</v>
      </c>
      <c r="E495" s="32" t="s">
        <v>50</v>
      </c>
    </row>
    <row r="496" spans="1:5" x14ac:dyDescent="0.45">
      <c r="A496" s="30">
        <v>495</v>
      </c>
      <c r="B496" s="32" t="s">
        <v>47</v>
      </c>
      <c r="C496" s="32" t="s">
        <v>448</v>
      </c>
      <c r="D496" s="32" t="s">
        <v>238</v>
      </c>
      <c r="E496" s="32" t="s">
        <v>50</v>
      </c>
    </row>
    <row r="497" spans="1:5" x14ac:dyDescent="0.45">
      <c r="A497" s="30">
        <v>496</v>
      </c>
      <c r="B497" s="32" t="s">
        <v>47</v>
      </c>
      <c r="C497" s="32" t="s">
        <v>226</v>
      </c>
      <c r="D497" s="32" t="s">
        <v>60</v>
      </c>
      <c r="E497" s="32" t="s">
        <v>50</v>
      </c>
    </row>
    <row r="498" spans="1:5" x14ac:dyDescent="0.45">
      <c r="A498" s="30">
        <v>497</v>
      </c>
      <c r="B498" s="32" t="s">
        <v>102</v>
      </c>
      <c r="C498" s="32" t="s">
        <v>708</v>
      </c>
      <c r="D498" s="32" t="s">
        <v>397</v>
      </c>
      <c r="E498" s="32" t="s">
        <v>105</v>
      </c>
    </row>
    <row r="499" spans="1:5" x14ac:dyDescent="0.45">
      <c r="A499" s="30">
        <v>498</v>
      </c>
      <c r="B499" s="32" t="s">
        <v>47</v>
      </c>
      <c r="C499" s="32" t="s">
        <v>641</v>
      </c>
      <c r="D499" s="32" t="s">
        <v>49</v>
      </c>
      <c r="E499" s="32" t="s">
        <v>50</v>
      </c>
    </row>
    <row r="500" spans="1:5" x14ac:dyDescent="0.45">
      <c r="A500" s="30">
        <v>499</v>
      </c>
      <c r="B500" s="32" t="s">
        <v>47</v>
      </c>
      <c r="C500" s="32" t="s">
        <v>660</v>
      </c>
      <c r="D500" s="32" t="s">
        <v>281</v>
      </c>
      <c r="E500" s="32" t="s">
        <v>50</v>
      </c>
    </row>
    <row r="501" spans="1:5" x14ac:dyDescent="0.45">
      <c r="A501" s="30">
        <v>500</v>
      </c>
      <c r="B501" s="32" t="s">
        <v>47</v>
      </c>
      <c r="C501" s="32" t="s">
        <v>316</v>
      </c>
      <c r="D501" s="32" t="s">
        <v>57</v>
      </c>
      <c r="E501" s="32" t="s">
        <v>50</v>
      </c>
    </row>
    <row r="502" spans="1:5" x14ac:dyDescent="0.45">
      <c r="A502" s="30">
        <v>501</v>
      </c>
      <c r="B502" s="32" t="s">
        <v>102</v>
      </c>
      <c r="C502" s="32" t="s">
        <v>389</v>
      </c>
      <c r="D502" s="32" t="s">
        <v>238</v>
      </c>
      <c r="E502" s="32" t="s">
        <v>50</v>
      </c>
    </row>
    <row r="503" spans="1:5" x14ac:dyDescent="0.45">
      <c r="A503" s="30">
        <v>502</v>
      </c>
      <c r="B503" s="32" t="s">
        <v>102</v>
      </c>
      <c r="C503" s="32" t="s">
        <v>366</v>
      </c>
      <c r="D503" s="32" t="s">
        <v>367</v>
      </c>
      <c r="E503" s="32" t="s">
        <v>368</v>
      </c>
    </row>
    <row r="504" spans="1:5" x14ac:dyDescent="0.45">
      <c r="A504" s="30">
        <v>503</v>
      </c>
      <c r="B504" s="32" t="s">
        <v>47</v>
      </c>
      <c r="C504" s="32" t="s">
        <v>227</v>
      </c>
      <c r="D504" s="32" t="s">
        <v>57</v>
      </c>
      <c r="E504" s="32" t="s">
        <v>50</v>
      </c>
    </row>
    <row r="505" spans="1:5" x14ac:dyDescent="0.45">
      <c r="A505" s="30">
        <v>504</v>
      </c>
      <c r="B505" s="32" t="s">
        <v>47</v>
      </c>
      <c r="C505" s="32" t="s">
        <v>661</v>
      </c>
      <c r="D505" s="32" t="s">
        <v>281</v>
      </c>
      <c r="E505" s="32" t="s">
        <v>50</v>
      </c>
    </row>
    <row r="506" spans="1:5" x14ac:dyDescent="0.45">
      <c r="A506" s="30">
        <v>505</v>
      </c>
      <c r="B506" s="32" t="s">
        <v>47</v>
      </c>
      <c r="C506" s="32" t="s">
        <v>317</v>
      </c>
      <c r="D506" s="32" t="s">
        <v>60</v>
      </c>
      <c r="E506" s="32" t="s">
        <v>50</v>
      </c>
    </row>
    <row r="507" spans="1:5" x14ac:dyDescent="0.45">
      <c r="A507" s="30">
        <v>506</v>
      </c>
      <c r="B507" s="32" t="s">
        <v>47</v>
      </c>
      <c r="C507" s="32" t="s">
        <v>465</v>
      </c>
      <c r="D507" s="32" t="s">
        <v>57</v>
      </c>
      <c r="E507" s="32" t="s">
        <v>50</v>
      </c>
    </row>
    <row r="508" spans="1:5" x14ac:dyDescent="0.45">
      <c r="A508" s="30">
        <v>507</v>
      </c>
      <c r="B508" s="32" t="s">
        <v>47</v>
      </c>
      <c r="C508" s="32" t="s">
        <v>504</v>
      </c>
      <c r="D508" s="32" t="s">
        <v>60</v>
      </c>
      <c r="E508" s="32" t="s">
        <v>50</v>
      </c>
    </row>
    <row r="509" spans="1:5" x14ac:dyDescent="0.45">
      <c r="A509" s="30">
        <v>508</v>
      </c>
      <c r="B509" s="32" t="s">
        <v>47</v>
      </c>
      <c r="C509" s="32" t="s">
        <v>461</v>
      </c>
      <c r="D509" s="32" t="s">
        <v>54</v>
      </c>
      <c r="E509" s="32" t="s">
        <v>50</v>
      </c>
    </row>
    <row r="510" spans="1:5" x14ac:dyDescent="0.45">
      <c r="A510" s="30">
        <v>509</v>
      </c>
      <c r="B510" s="32" t="s">
        <v>47</v>
      </c>
      <c r="C510" s="32" t="s">
        <v>680</v>
      </c>
      <c r="D510" s="32" t="s">
        <v>49</v>
      </c>
      <c r="E510" s="32" t="s">
        <v>50</v>
      </c>
    </row>
    <row r="511" spans="1:5" x14ac:dyDescent="0.45">
      <c r="A511" s="30">
        <v>510</v>
      </c>
      <c r="B511" s="32" t="s">
        <v>47</v>
      </c>
      <c r="C511" s="32" t="s">
        <v>384</v>
      </c>
      <c r="D511" s="32" t="s">
        <v>60</v>
      </c>
      <c r="E511" s="32" t="s">
        <v>50</v>
      </c>
    </row>
    <row r="512" spans="1:5" x14ac:dyDescent="0.45">
      <c r="A512" s="30">
        <v>511</v>
      </c>
      <c r="B512" s="32" t="s">
        <v>47</v>
      </c>
      <c r="C512" s="32" t="s">
        <v>477</v>
      </c>
      <c r="D512" s="32" t="s">
        <v>54</v>
      </c>
      <c r="E512" s="32" t="s">
        <v>50</v>
      </c>
    </row>
    <row r="513" spans="1:5" x14ac:dyDescent="0.45">
      <c r="A513" s="30">
        <v>512</v>
      </c>
      <c r="B513" s="32" t="s">
        <v>47</v>
      </c>
      <c r="C513" s="32" t="s">
        <v>228</v>
      </c>
      <c r="D513" s="32" t="s">
        <v>64</v>
      </c>
      <c r="E513" s="32" t="s">
        <v>50</v>
      </c>
    </row>
    <row r="514" spans="1:5" x14ac:dyDescent="0.45">
      <c r="A514" s="30">
        <v>513</v>
      </c>
      <c r="B514" s="32" t="s">
        <v>47</v>
      </c>
      <c r="C514" s="32" t="s">
        <v>229</v>
      </c>
      <c r="D514" s="32" t="s">
        <v>57</v>
      </c>
      <c r="E514" s="32" t="s">
        <v>50</v>
      </c>
    </row>
    <row r="515" spans="1:5" x14ac:dyDescent="0.45">
      <c r="A515" s="30">
        <v>514</v>
      </c>
      <c r="B515" s="32" t="s">
        <v>47</v>
      </c>
      <c r="C515" s="32" t="s">
        <v>230</v>
      </c>
      <c r="D515" s="32" t="s">
        <v>49</v>
      </c>
      <c r="E515" s="32" t="s">
        <v>50</v>
      </c>
    </row>
    <row r="516" spans="1:5" x14ac:dyDescent="0.45">
      <c r="A516" s="30">
        <v>515</v>
      </c>
      <c r="B516" s="32" t="s">
        <v>47</v>
      </c>
      <c r="C516" s="32" t="s">
        <v>369</v>
      </c>
      <c r="D516" s="32" t="s">
        <v>57</v>
      </c>
      <c r="E516" s="32" t="s">
        <v>50</v>
      </c>
    </row>
    <row r="517" spans="1:5" x14ac:dyDescent="0.45">
      <c r="A517" s="30">
        <v>516</v>
      </c>
      <c r="B517" s="32" t="s">
        <v>47</v>
      </c>
      <c r="C517" s="32" t="s">
        <v>542</v>
      </c>
      <c r="D517" s="32" t="s">
        <v>60</v>
      </c>
      <c r="E517" s="32" t="s">
        <v>50</v>
      </c>
    </row>
    <row r="518" spans="1:5" x14ac:dyDescent="0.45">
      <c r="A518" s="30">
        <v>517</v>
      </c>
      <c r="B518" s="32" t="s">
        <v>47</v>
      </c>
      <c r="C518" s="32" t="s">
        <v>370</v>
      </c>
      <c r="D518" s="32" t="s">
        <v>223</v>
      </c>
      <c r="E518" s="32" t="s">
        <v>50</v>
      </c>
    </row>
    <row r="519" spans="1:5" x14ac:dyDescent="0.45">
      <c r="A519" s="30">
        <v>518</v>
      </c>
      <c r="B519" s="32" t="s">
        <v>47</v>
      </c>
      <c r="C519" s="32" t="s">
        <v>371</v>
      </c>
      <c r="D519" s="32" t="s">
        <v>64</v>
      </c>
      <c r="E519" s="32" t="s">
        <v>50</v>
      </c>
    </row>
    <row r="520" spans="1:5" x14ac:dyDescent="0.45">
      <c r="A520" s="30">
        <v>519</v>
      </c>
      <c r="B520" s="32" t="s">
        <v>47</v>
      </c>
      <c r="C520" s="32" t="s">
        <v>449</v>
      </c>
      <c r="D520" s="32" t="s">
        <v>49</v>
      </c>
      <c r="E520" s="32" t="s">
        <v>50</v>
      </c>
    </row>
    <row r="521" spans="1:5" x14ac:dyDescent="0.45">
      <c r="A521" s="30">
        <v>520</v>
      </c>
      <c r="B521" s="32" t="s">
        <v>47</v>
      </c>
      <c r="C521" s="32" t="s">
        <v>500</v>
      </c>
      <c r="D521" s="32" t="s">
        <v>49</v>
      </c>
      <c r="E521" s="32" t="s">
        <v>50</v>
      </c>
    </row>
    <row r="522" spans="1:5" x14ac:dyDescent="0.45">
      <c r="A522" s="30">
        <v>521</v>
      </c>
      <c r="B522" s="32" t="s">
        <v>47</v>
      </c>
      <c r="C522" s="32" t="s">
        <v>231</v>
      </c>
      <c r="D522" s="32" t="s">
        <v>49</v>
      </c>
      <c r="E522" s="32" t="s">
        <v>50</v>
      </c>
    </row>
    <row r="523" spans="1:5" x14ac:dyDescent="0.45">
      <c r="A523" s="30">
        <v>522</v>
      </c>
      <c r="B523" s="32" t="s">
        <v>47</v>
      </c>
      <c r="C523" s="32" t="s">
        <v>232</v>
      </c>
      <c r="D523" s="32" t="s">
        <v>49</v>
      </c>
      <c r="E523" s="32" t="s">
        <v>50</v>
      </c>
    </row>
    <row r="524" spans="1:5" x14ac:dyDescent="0.45">
      <c r="A524" s="30">
        <v>523</v>
      </c>
      <c r="B524" s="32" t="s">
        <v>47</v>
      </c>
      <c r="C524" s="32" t="s">
        <v>463</v>
      </c>
      <c r="D524" s="32" t="s">
        <v>49</v>
      </c>
      <c r="E524" s="32" t="s">
        <v>50</v>
      </c>
    </row>
    <row r="525" spans="1:5" x14ac:dyDescent="0.45">
      <c r="A525" s="30">
        <v>524</v>
      </c>
      <c r="B525" s="32" t="s">
        <v>47</v>
      </c>
      <c r="C525" s="32" t="s">
        <v>709</v>
      </c>
      <c r="D525" s="32" t="s">
        <v>49</v>
      </c>
      <c r="E525" s="32" t="s">
        <v>50</v>
      </c>
    </row>
    <row r="526" spans="1:5" x14ac:dyDescent="0.45">
      <c r="A526" s="30">
        <v>525</v>
      </c>
      <c r="B526" s="32" t="s">
        <v>47</v>
      </c>
      <c r="C526" s="32" t="s">
        <v>385</v>
      </c>
      <c r="D526" s="32" t="s">
        <v>57</v>
      </c>
      <c r="E526" s="32" t="s">
        <v>50</v>
      </c>
    </row>
    <row r="527" spans="1:5" x14ac:dyDescent="0.45">
      <c r="A527" s="30">
        <v>526</v>
      </c>
      <c r="B527" s="32" t="s">
        <v>47</v>
      </c>
      <c r="C527" s="32" t="s">
        <v>381</v>
      </c>
      <c r="D527" s="32" t="s">
        <v>49</v>
      </c>
      <c r="E527" s="32" t="s">
        <v>50</v>
      </c>
    </row>
    <row r="528" spans="1:5" x14ac:dyDescent="0.45">
      <c r="A528" s="30">
        <v>527</v>
      </c>
      <c r="B528" s="32" t="s">
        <v>47</v>
      </c>
      <c r="C528" s="32" t="s">
        <v>599</v>
      </c>
      <c r="D528" s="32" t="s">
        <v>57</v>
      </c>
      <c r="E528" s="32" t="s">
        <v>50</v>
      </c>
    </row>
    <row r="529" spans="1:5" x14ac:dyDescent="0.45">
      <c r="A529" s="30">
        <v>528</v>
      </c>
      <c r="B529" s="32" t="s">
        <v>47</v>
      </c>
      <c r="C529" s="32" t="s">
        <v>372</v>
      </c>
      <c r="D529" s="32" t="s">
        <v>49</v>
      </c>
      <c r="E529" s="32" t="s">
        <v>50</v>
      </c>
    </row>
    <row r="530" spans="1:5" x14ac:dyDescent="0.45">
      <c r="A530" s="30">
        <v>529</v>
      </c>
      <c r="B530" s="32" t="s">
        <v>47</v>
      </c>
      <c r="C530" s="32" t="s">
        <v>318</v>
      </c>
      <c r="D530" s="32" t="s">
        <v>60</v>
      </c>
      <c r="E530" s="32" t="s">
        <v>50</v>
      </c>
    </row>
    <row r="531" spans="1:5" x14ac:dyDescent="0.45">
      <c r="A531" s="30">
        <v>530</v>
      </c>
      <c r="B531" s="32" t="s">
        <v>47</v>
      </c>
      <c r="C531" s="32" t="s">
        <v>683</v>
      </c>
      <c r="D531" s="32" t="s">
        <v>49</v>
      </c>
      <c r="E531" s="32" t="s">
        <v>50</v>
      </c>
    </row>
    <row r="532" spans="1:5" x14ac:dyDescent="0.45">
      <c r="A532" s="30">
        <v>531</v>
      </c>
      <c r="B532" s="32" t="s">
        <v>47</v>
      </c>
      <c r="C532" s="32" t="s">
        <v>233</v>
      </c>
      <c r="D532" s="32" t="s">
        <v>57</v>
      </c>
      <c r="E532" s="32" t="s">
        <v>50</v>
      </c>
    </row>
    <row r="533" spans="1:5" x14ac:dyDescent="0.45">
      <c r="A533" s="30">
        <v>532</v>
      </c>
      <c r="B533" s="32" t="s">
        <v>47</v>
      </c>
      <c r="C533" s="32" t="s">
        <v>479</v>
      </c>
      <c r="D533" s="32" t="s">
        <v>57</v>
      </c>
      <c r="E533" s="32" t="s">
        <v>50</v>
      </c>
    </row>
    <row r="534" spans="1:5" x14ac:dyDescent="0.45">
      <c r="A534" s="30">
        <v>533</v>
      </c>
      <c r="B534" s="32" t="s">
        <v>47</v>
      </c>
      <c r="C534" s="32" t="s">
        <v>234</v>
      </c>
      <c r="D534" s="32" t="s">
        <v>49</v>
      </c>
      <c r="E534" s="32" t="s">
        <v>50</v>
      </c>
    </row>
    <row r="535" spans="1:5" x14ac:dyDescent="0.45">
      <c r="A535" s="30">
        <v>534</v>
      </c>
      <c r="B535" s="32" t="s">
        <v>47</v>
      </c>
      <c r="C535" s="32" t="s">
        <v>235</v>
      </c>
      <c r="D535" s="32" t="s">
        <v>57</v>
      </c>
      <c r="E535" s="32" t="s">
        <v>50</v>
      </c>
    </row>
    <row r="536" spans="1:5" x14ac:dyDescent="0.45">
      <c r="A536" s="30">
        <v>535</v>
      </c>
      <c r="B536" s="32" t="s">
        <v>47</v>
      </c>
      <c r="C536" s="32" t="s">
        <v>698</v>
      </c>
      <c r="D536" s="32" t="s">
        <v>57</v>
      </c>
      <c r="E536" s="32" t="s">
        <v>50</v>
      </c>
    </row>
    <row r="537" spans="1:5" x14ac:dyDescent="0.45">
      <c r="A537" s="30">
        <v>536</v>
      </c>
      <c r="B537" s="32" t="s">
        <v>47</v>
      </c>
      <c r="C537" s="32" t="s">
        <v>450</v>
      </c>
      <c r="D537" s="32" t="s">
        <v>64</v>
      </c>
      <c r="E537" s="32" t="s">
        <v>50</v>
      </c>
    </row>
    <row r="538" spans="1:5" x14ac:dyDescent="0.45">
      <c r="A538" s="30">
        <v>537</v>
      </c>
      <c r="B538" s="32" t="s">
        <v>47</v>
      </c>
      <c r="C538" s="32" t="s">
        <v>475</v>
      </c>
      <c r="D538" s="32" t="s">
        <v>281</v>
      </c>
      <c r="E538" s="32" t="s">
        <v>50</v>
      </c>
    </row>
    <row r="539" spans="1:5" x14ac:dyDescent="0.45">
      <c r="A539" s="30">
        <v>538</v>
      </c>
      <c r="B539" s="32" t="s">
        <v>47</v>
      </c>
      <c r="C539" s="32" t="s">
        <v>499</v>
      </c>
      <c r="D539" s="32" t="s">
        <v>81</v>
      </c>
      <c r="E539" s="32" t="s">
        <v>50</v>
      </c>
    </row>
    <row r="540" spans="1:5" x14ac:dyDescent="0.45">
      <c r="A540" s="30">
        <v>539</v>
      </c>
      <c r="B540" s="32" t="s">
        <v>102</v>
      </c>
      <c r="C540" s="32" t="s">
        <v>563</v>
      </c>
      <c r="D540" s="32" t="s">
        <v>564</v>
      </c>
      <c r="E540" s="32" t="s">
        <v>565</v>
      </c>
    </row>
    <row r="541" spans="1:5" x14ac:dyDescent="0.45">
      <c r="A541" s="30">
        <v>540</v>
      </c>
      <c r="B541" s="32" t="s">
        <v>47</v>
      </c>
      <c r="C541" s="32" t="s">
        <v>484</v>
      </c>
      <c r="D541" s="32" t="s">
        <v>81</v>
      </c>
      <c r="E541" s="32" t="s">
        <v>50</v>
      </c>
    </row>
    <row r="542" spans="1:5" x14ac:dyDescent="0.45">
      <c r="A542" s="30">
        <v>541</v>
      </c>
      <c r="B542" s="32" t="s">
        <v>47</v>
      </c>
      <c r="C542" s="32" t="s">
        <v>236</v>
      </c>
      <c r="D542" s="32" t="s">
        <v>49</v>
      </c>
      <c r="E542" s="32" t="s">
        <v>50</v>
      </c>
    </row>
    <row r="543" spans="1:5" x14ac:dyDescent="0.45">
      <c r="A543" s="30">
        <v>542</v>
      </c>
      <c r="B543" s="32" t="s">
        <v>47</v>
      </c>
      <c r="C543" s="32" t="s">
        <v>237</v>
      </c>
      <c r="D543" s="32" t="s">
        <v>238</v>
      </c>
      <c r="E543" s="32" t="s">
        <v>50</v>
      </c>
    </row>
    <row r="544" spans="1:5" x14ac:dyDescent="0.45">
      <c r="A544" s="30">
        <v>543</v>
      </c>
      <c r="B544" s="32" t="s">
        <v>47</v>
      </c>
      <c r="C544" s="32" t="s">
        <v>674</v>
      </c>
      <c r="D544" s="32" t="s">
        <v>675</v>
      </c>
      <c r="E544" s="32" t="s">
        <v>108</v>
      </c>
    </row>
    <row r="545" spans="1:5" x14ac:dyDescent="0.45">
      <c r="A545" s="30">
        <v>544</v>
      </c>
      <c r="B545" s="32" t="s">
        <v>102</v>
      </c>
      <c r="C545" s="32" t="s">
        <v>239</v>
      </c>
      <c r="D545" s="32" t="s">
        <v>240</v>
      </c>
      <c r="E545" s="32" t="s">
        <v>50</v>
      </c>
    </row>
    <row r="546" spans="1:5" x14ac:dyDescent="0.45">
      <c r="A546" s="30">
        <v>545</v>
      </c>
      <c r="B546" s="32" t="s">
        <v>47</v>
      </c>
      <c r="C546" s="32" t="s">
        <v>373</v>
      </c>
      <c r="D546" s="32" t="s">
        <v>49</v>
      </c>
      <c r="E546" s="32" t="s">
        <v>50</v>
      </c>
    </row>
    <row r="547" spans="1:5" x14ac:dyDescent="0.45">
      <c r="A547" s="30">
        <v>546</v>
      </c>
      <c r="B547" s="32" t="s">
        <v>47</v>
      </c>
      <c r="C547" s="32" t="s">
        <v>319</v>
      </c>
      <c r="D547" s="32" t="s">
        <v>81</v>
      </c>
      <c r="E547" s="32" t="s">
        <v>50</v>
      </c>
    </row>
    <row r="548" spans="1:5" x14ac:dyDescent="0.45">
      <c r="A548" s="30">
        <v>547</v>
      </c>
      <c r="B548" s="32" t="s">
        <v>47</v>
      </c>
      <c r="C548" s="32" t="s">
        <v>451</v>
      </c>
      <c r="D548" s="32" t="s">
        <v>54</v>
      </c>
      <c r="E548" s="32" t="s">
        <v>50</v>
      </c>
    </row>
    <row r="549" spans="1:5" x14ac:dyDescent="0.45">
      <c r="A549" s="30">
        <v>548</v>
      </c>
      <c r="B549" s="32" t="s">
        <v>47</v>
      </c>
      <c r="C549" s="32" t="s">
        <v>320</v>
      </c>
      <c r="D549" s="32" t="s">
        <v>49</v>
      </c>
      <c r="E549" s="32" t="s">
        <v>50</v>
      </c>
    </row>
    <row r="550" spans="1:5" x14ac:dyDescent="0.45">
      <c r="A550" s="30">
        <v>549</v>
      </c>
      <c r="B550" s="32" t="s">
        <v>47</v>
      </c>
      <c r="C550" s="32" t="s">
        <v>606</v>
      </c>
      <c r="D550" s="32" t="s">
        <v>49</v>
      </c>
      <c r="E550" s="32" t="s">
        <v>50</v>
      </c>
    </row>
    <row r="551" spans="1:5" x14ac:dyDescent="0.45">
      <c r="A551" s="30">
        <v>550</v>
      </c>
      <c r="B551" s="32" t="s">
        <v>47</v>
      </c>
      <c r="C551" s="32" t="s">
        <v>566</v>
      </c>
      <c r="D551" s="32" t="s">
        <v>134</v>
      </c>
      <c r="E551" s="32" t="s">
        <v>50</v>
      </c>
    </row>
    <row r="552" spans="1:5" x14ac:dyDescent="0.45">
      <c r="A552" s="30">
        <v>551</v>
      </c>
      <c r="B552" s="32" t="s">
        <v>47</v>
      </c>
      <c r="C552" s="32" t="s">
        <v>241</v>
      </c>
      <c r="D552" s="32" t="s">
        <v>57</v>
      </c>
      <c r="E552" s="32" t="s">
        <v>50</v>
      </c>
    </row>
    <row r="553" spans="1:5" x14ac:dyDescent="0.45">
      <c r="A553" s="30">
        <v>552</v>
      </c>
      <c r="B553" s="32" t="s">
        <v>47</v>
      </c>
      <c r="C553" s="32" t="s">
        <v>534</v>
      </c>
      <c r="D553" s="32" t="s">
        <v>49</v>
      </c>
      <c r="E553" s="32" t="s">
        <v>50</v>
      </c>
    </row>
    <row r="554" spans="1:5" x14ac:dyDescent="0.45">
      <c r="A554" s="30">
        <v>553</v>
      </c>
      <c r="B554" s="32" t="s">
        <v>47</v>
      </c>
      <c r="C554" s="32" t="s">
        <v>321</v>
      </c>
      <c r="D554" s="32" t="s">
        <v>49</v>
      </c>
      <c r="E554" s="32" t="s">
        <v>50</v>
      </c>
    </row>
    <row r="555" spans="1:5" x14ac:dyDescent="0.45">
      <c r="A555" s="30">
        <v>554</v>
      </c>
      <c r="B555" s="32" t="s">
        <v>47</v>
      </c>
      <c r="C555" s="32" t="s">
        <v>242</v>
      </c>
      <c r="D555" s="32" t="s">
        <v>60</v>
      </c>
      <c r="E555" s="32" t="s">
        <v>50</v>
      </c>
    </row>
    <row r="556" spans="1:5" x14ac:dyDescent="0.45">
      <c r="A556" s="30">
        <v>555</v>
      </c>
      <c r="B556" s="32" t="s">
        <v>47</v>
      </c>
      <c r="C556" s="32" t="s">
        <v>452</v>
      </c>
      <c r="D556" s="32" t="s">
        <v>134</v>
      </c>
      <c r="E556" s="32" t="s">
        <v>50</v>
      </c>
    </row>
    <row r="557" spans="1:5" x14ac:dyDescent="0.45">
      <c r="A557" s="30">
        <v>556</v>
      </c>
      <c r="B557" s="32" t="s">
        <v>47</v>
      </c>
      <c r="C557" s="32" t="s">
        <v>513</v>
      </c>
      <c r="D557" s="32" t="s">
        <v>57</v>
      </c>
      <c r="E557" s="32" t="s">
        <v>50</v>
      </c>
    </row>
    <row r="558" spans="1:5" x14ac:dyDescent="0.45">
      <c r="A558" s="30">
        <v>557</v>
      </c>
      <c r="B558" s="32" t="s">
        <v>47</v>
      </c>
      <c r="C558" s="32" t="s">
        <v>637</v>
      </c>
      <c r="D558" s="32" t="s">
        <v>60</v>
      </c>
      <c r="E558" s="32" t="s">
        <v>50</v>
      </c>
    </row>
    <row r="559" spans="1:5" x14ac:dyDescent="0.45">
      <c r="A559" s="30">
        <v>558</v>
      </c>
      <c r="B559" s="32" t="s">
        <v>47</v>
      </c>
      <c r="C559" s="32" t="s">
        <v>410</v>
      </c>
      <c r="D559" s="32" t="s">
        <v>54</v>
      </c>
      <c r="E559" s="32" t="s">
        <v>50</v>
      </c>
    </row>
    <row r="560" spans="1:5" x14ac:dyDescent="0.45">
      <c r="A560" s="30">
        <v>559</v>
      </c>
      <c r="B560" s="32" t="s">
        <v>47</v>
      </c>
      <c r="C560" s="32" t="s">
        <v>692</v>
      </c>
      <c r="D560" s="32" t="s">
        <v>81</v>
      </c>
      <c r="E560" s="32" t="s">
        <v>50</v>
      </c>
    </row>
    <row r="561" spans="1:5" x14ac:dyDescent="0.45">
      <c r="A561" s="30">
        <v>560</v>
      </c>
      <c r="B561" s="32" t="s">
        <v>47</v>
      </c>
      <c r="C561" s="32" t="s">
        <v>567</v>
      </c>
      <c r="D561" s="32" t="s">
        <v>49</v>
      </c>
      <c r="E561" s="32" t="s">
        <v>50</v>
      </c>
    </row>
    <row r="562" spans="1:5" x14ac:dyDescent="0.45">
      <c r="A562" s="30">
        <v>561</v>
      </c>
      <c r="B562" s="32" t="s">
        <v>47</v>
      </c>
      <c r="C562" s="32" t="s">
        <v>497</v>
      </c>
      <c r="D562" s="32" t="s">
        <v>57</v>
      </c>
      <c r="E562" s="32" t="s">
        <v>50</v>
      </c>
    </row>
    <row r="563" spans="1:5" x14ac:dyDescent="0.45">
      <c r="A563" s="30">
        <v>562</v>
      </c>
      <c r="B563" s="32" t="s">
        <v>47</v>
      </c>
      <c r="C563" s="32" t="s">
        <v>243</v>
      </c>
      <c r="D563" s="32" t="s">
        <v>60</v>
      </c>
      <c r="E563" s="32" t="s">
        <v>50</v>
      </c>
    </row>
    <row r="564" spans="1:5" x14ac:dyDescent="0.45">
      <c r="A564" s="30">
        <v>563</v>
      </c>
      <c r="B564" s="32" t="s">
        <v>47</v>
      </c>
      <c r="C564" s="32" t="s">
        <v>543</v>
      </c>
      <c r="D564" s="32" t="s">
        <v>49</v>
      </c>
      <c r="E564" s="32" t="s">
        <v>50</v>
      </c>
    </row>
    <row r="565" spans="1:5" x14ac:dyDescent="0.45">
      <c r="A565" s="30">
        <v>564</v>
      </c>
      <c r="B565" s="32" t="s">
        <v>47</v>
      </c>
      <c r="C565" s="32" t="s">
        <v>493</v>
      </c>
      <c r="D565" s="32" t="s">
        <v>49</v>
      </c>
      <c r="E565" s="32" t="s">
        <v>50</v>
      </c>
    </row>
    <row r="566" spans="1:5" x14ac:dyDescent="0.45">
      <c r="A566" s="30">
        <v>565</v>
      </c>
      <c r="B566" s="32" t="s">
        <v>47</v>
      </c>
      <c r="C566" s="32" t="s">
        <v>527</v>
      </c>
      <c r="D566" s="32" t="s">
        <v>60</v>
      </c>
      <c r="E566" s="32" t="s">
        <v>50</v>
      </c>
    </row>
    <row r="567" spans="1:5" x14ac:dyDescent="0.45">
      <c r="A567" s="30">
        <v>566</v>
      </c>
      <c r="B567" s="32" t="s">
        <v>102</v>
      </c>
      <c r="C567" s="32" t="s">
        <v>568</v>
      </c>
      <c r="D567" s="32" t="s">
        <v>569</v>
      </c>
      <c r="E567" s="32" t="s">
        <v>119</v>
      </c>
    </row>
    <row r="568" spans="1:5" x14ac:dyDescent="0.45">
      <c r="A568" s="30">
        <v>567</v>
      </c>
      <c r="B568" s="32" t="s">
        <v>47</v>
      </c>
      <c r="C568" s="32" t="s">
        <v>322</v>
      </c>
      <c r="D568" s="32" t="s">
        <v>57</v>
      </c>
      <c r="E568" s="32" t="s">
        <v>50</v>
      </c>
    </row>
    <row r="569" spans="1:5" x14ac:dyDescent="0.45">
      <c r="A569" s="30">
        <v>568</v>
      </c>
      <c r="B569" s="32" t="s">
        <v>47</v>
      </c>
      <c r="C569" s="32" t="s">
        <v>587</v>
      </c>
      <c r="D569" s="32" t="s">
        <v>223</v>
      </c>
      <c r="E569" s="32" t="s">
        <v>50</v>
      </c>
    </row>
    <row r="570" spans="1:5" x14ac:dyDescent="0.45">
      <c r="A570" s="30">
        <v>569</v>
      </c>
      <c r="B570" s="32" t="s">
        <v>47</v>
      </c>
      <c r="C570" s="32" t="s">
        <v>483</v>
      </c>
      <c r="D570" s="32" t="s">
        <v>238</v>
      </c>
      <c r="E570" s="32" t="s">
        <v>50</v>
      </c>
    </row>
    <row r="571" spans="1:5" x14ac:dyDescent="0.45">
      <c r="A571" s="30">
        <v>570</v>
      </c>
      <c r="B571" s="32" t="s">
        <v>47</v>
      </c>
      <c r="C571" s="32" t="s">
        <v>374</v>
      </c>
      <c r="D571" s="32" t="s">
        <v>81</v>
      </c>
      <c r="E571" s="32" t="s">
        <v>50</v>
      </c>
    </row>
    <row r="572" spans="1:5" x14ac:dyDescent="0.45">
      <c r="A572" s="30">
        <v>571</v>
      </c>
      <c r="B572" s="32" t="s">
        <v>47</v>
      </c>
      <c r="C572" s="32" t="s">
        <v>453</v>
      </c>
      <c r="D572" s="32" t="s">
        <v>57</v>
      </c>
      <c r="E572" s="32" t="s">
        <v>50</v>
      </c>
    </row>
    <row r="573" spans="1:5" x14ac:dyDescent="0.45">
      <c r="A573" s="30">
        <v>572</v>
      </c>
      <c r="B573" s="32" t="s">
        <v>47</v>
      </c>
      <c r="C573" s="32" t="s">
        <v>323</v>
      </c>
      <c r="D573" s="32" t="s">
        <v>49</v>
      </c>
      <c r="E573" s="32" t="s">
        <v>50</v>
      </c>
    </row>
    <row r="574" spans="1:5" x14ac:dyDescent="0.45">
      <c r="A574" s="30">
        <v>573</v>
      </c>
      <c r="B574" s="32" t="s">
        <v>47</v>
      </c>
      <c r="C574" s="32" t="s">
        <v>324</v>
      </c>
      <c r="D574" s="32" t="s">
        <v>81</v>
      </c>
      <c r="E574" s="32" t="s">
        <v>50</v>
      </c>
    </row>
    <row r="575" spans="1:5" x14ac:dyDescent="0.45">
      <c r="A575" s="30">
        <v>574</v>
      </c>
      <c r="B575" s="32" t="s">
        <v>47</v>
      </c>
      <c r="C575" s="32" t="s">
        <v>244</v>
      </c>
      <c r="D575" s="32" t="s">
        <v>60</v>
      </c>
      <c r="E575" s="32" t="s">
        <v>50</v>
      </c>
    </row>
    <row r="576" spans="1:5" x14ac:dyDescent="0.45">
      <c r="A576" s="30">
        <v>575</v>
      </c>
      <c r="B576" s="32" t="s">
        <v>47</v>
      </c>
      <c r="C576" s="32" t="s">
        <v>375</v>
      </c>
      <c r="D576" s="32" t="s">
        <v>49</v>
      </c>
      <c r="E576" s="32" t="s">
        <v>50</v>
      </c>
    </row>
    <row r="577" spans="1:5" x14ac:dyDescent="0.45">
      <c r="A577" s="30">
        <v>576</v>
      </c>
      <c r="B577" s="32" t="s">
        <v>47</v>
      </c>
      <c r="C577" s="32" t="s">
        <v>454</v>
      </c>
      <c r="D577" s="32" t="s">
        <v>114</v>
      </c>
      <c r="E577" s="32" t="s">
        <v>108</v>
      </c>
    </row>
    <row r="578" spans="1:5" x14ac:dyDescent="0.45">
      <c r="A578" s="30">
        <v>577</v>
      </c>
      <c r="B578" s="32" t="s">
        <v>47</v>
      </c>
      <c r="C578" s="32" t="s">
        <v>245</v>
      </c>
      <c r="D578" s="32" t="s">
        <v>57</v>
      </c>
      <c r="E578" s="32" t="s">
        <v>50</v>
      </c>
    </row>
    <row r="579" spans="1:5" x14ac:dyDescent="0.45">
      <c r="A579" s="30">
        <v>578</v>
      </c>
      <c r="B579" s="32" t="s">
        <v>47</v>
      </c>
      <c r="C579" s="32" t="s">
        <v>246</v>
      </c>
      <c r="D579" s="32" t="s">
        <v>49</v>
      </c>
      <c r="E579" s="32" t="s">
        <v>50</v>
      </c>
    </row>
    <row r="580" spans="1:5" x14ac:dyDescent="0.45">
      <c r="A580" s="30">
        <v>579</v>
      </c>
      <c r="B580" s="32" t="s">
        <v>47</v>
      </c>
      <c r="C580" s="32" t="s">
        <v>687</v>
      </c>
      <c r="D580" s="32" t="s">
        <v>49</v>
      </c>
      <c r="E580" s="32" t="s">
        <v>50</v>
      </c>
    </row>
    <row r="581" spans="1:5" x14ac:dyDescent="0.45">
      <c r="A581" s="30">
        <v>580</v>
      </c>
      <c r="B581" s="32" t="s">
        <v>47</v>
      </c>
      <c r="C581" s="32" t="s">
        <v>247</v>
      </c>
      <c r="D581" s="32" t="s">
        <v>134</v>
      </c>
      <c r="E581" s="32" t="s">
        <v>50</v>
      </c>
    </row>
    <row r="582" spans="1:5" x14ac:dyDescent="0.45">
      <c r="A582" s="30">
        <v>581</v>
      </c>
      <c r="B582" s="32" t="s">
        <v>47</v>
      </c>
      <c r="C582" s="32" t="s">
        <v>376</v>
      </c>
      <c r="D582" s="32" t="s">
        <v>377</v>
      </c>
      <c r="E582" s="32" t="s">
        <v>50</v>
      </c>
    </row>
    <row r="583" spans="1:5" x14ac:dyDescent="0.45">
      <c r="A583" s="30">
        <v>582</v>
      </c>
      <c r="B583" s="32" t="s">
        <v>47</v>
      </c>
      <c r="C583" s="32" t="s">
        <v>578</v>
      </c>
      <c r="D583" s="32" t="s">
        <v>60</v>
      </c>
      <c r="E583" s="32" t="s">
        <v>50</v>
      </c>
    </row>
    <row r="584" spans="1:5" x14ac:dyDescent="0.45">
      <c r="A584" s="30">
        <v>583</v>
      </c>
      <c r="B584" s="32" t="s">
        <v>47</v>
      </c>
      <c r="C584" s="32" t="s">
        <v>623</v>
      </c>
      <c r="D584" s="32" t="s">
        <v>223</v>
      </c>
      <c r="E584" s="32" t="s">
        <v>50</v>
      </c>
    </row>
    <row r="585" spans="1:5" x14ac:dyDescent="0.45">
      <c r="A585" s="30">
        <v>584</v>
      </c>
      <c r="B585" s="32" t="s">
        <v>47</v>
      </c>
      <c r="C585" s="32" t="s">
        <v>613</v>
      </c>
      <c r="D585" s="32" t="s">
        <v>134</v>
      </c>
      <c r="E585" s="32" t="s">
        <v>50</v>
      </c>
    </row>
    <row r="586" spans="1:5" x14ac:dyDescent="0.45">
      <c r="A586" s="30">
        <v>585</v>
      </c>
      <c r="B586" s="32" t="s">
        <v>47</v>
      </c>
      <c r="C586" s="32" t="s">
        <v>248</v>
      </c>
      <c r="D586" s="32" t="s">
        <v>64</v>
      </c>
      <c r="E586" s="32" t="s">
        <v>50</v>
      </c>
    </row>
    <row r="587" spans="1:5" x14ac:dyDescent="0.45">
      <c r="A587" s="30">
        <v>586</v>
      </c>
      <c r="B587" s="32" t="s">
        <v>47</v>
      </c>
      <c r="C587" s="32" t="s">
        <v>679</v>
      </c>
      <c r="D587" s="32" t="s">
        <v>49</v>
      </c>
      <c r="E587" s="32" t="s">
        <v>50</v>
      </c>
    </row>
    <row r="588" spans="1:5" x14ac:dyDescent="0.45">
      <c r="A588" s="30">
        <v>587</v>
      </c>
      <c r="B588" s="32" t="s">
        <v>47</v>
      </c>
      <c r="C588" s="32" t="s">
        <v>673</v>
      </c>
      <c r="D588" s="32" t="s">
        <v>49</v>
      </c>
      <c r="E588" s="32" t="s">
        <v>50</v>
      </c>
    </row>
    <row r="589" spans="1:5" x14ac:dyDescent="0.45">
      <c r="A589" s="30">
        <v>588</v>
      </c>
      <c r="B589" s="32" t="s">
        <v>47</v>
      </c>
      <c r="C589" s="32" t="s">
        <v>325</v>
      </c>
      <c r="D589" s="32" t="s">
        <v>60</v>
      </c>
      <c r="E589" s="32" t="s">
        <v>50</v>
      </c>
    </row>
    <row r="590" spans="1:5" x14ac:dyDescent="0.45">
      <c r="A590" s="30">
        <v>589</v>
      </c>
      <c r="B590" s="32" t="s">
        <v>47</v>
      </c>
      <c r="C590" s="32" t="s">
        <v>688</v>
      </c>
      <c r="D590" s="32" t="s">
        <v>60</v>
      </c>
      <c r="E590" s="32" t="s">
        <v>50</v>
      </c>
    </row>
    <row r="591" spans="1:5" x14ac:dyDescent="0.45">
      <c r="A591" s="30">
        <v>590</v>
      </c>
      <c r="B591" s="32" t="s">
        <v>102</v>
      </c>
      <c r="C591" s="32" t="s">
        <v>627</v>
      </c>
      <c r="D591" s="32" t="s">
        <v>49</v>
      </c>
      <c r="E591" s="32" t="s">
        <v>50</v>
      </c>
    </row>
    <row r="592" spans="1:5" x14ac:dyDescent="0.45">
      <c r="A592" s="30">
        <v>591</v>
      </c>
      <c r="B592" s="32" t="s">
        <v>102</v>
      </c>
      <c r="C592" s="32" t="s">
        <v>622</v>
      </c>
      <c r="D592" s="32" t="s">
        <v>238</v>
      </c>
      <c r="E592" s="32" t="s">
        <v>50</v>
      </c>
    </row>
    <row r="593" spans="1:5" x14ac:dyDescent="0.45">
      <c r="A593" s="30">
        <v>592</v>
      </c>
      <c r="B593" s="32" t="s">
        <v>102</v>
      </c>
      <c r="C593" s="32" t="s">
        <v>378</v>
      </c>
      <c r="D593" s="32" t="s">
        <v>81</v>
      </c>
      <c r="E593" s="32" t="s">
        <v>50</v>
      </c>
    </row>
    <row r="594" spans="1:5" x14ac:dyDescent="0.45">
      <c r="A594" s="30">
        <v>593</v>
      </c>
      <c r="B594" s="32" t="s">
        <v>47</v>
      </c>
      <c r="C594" s="32" t="s">
        <v>379</v>
      </c>
      <c r="D594" s="32" t="s">
        <v>49</v>
      </c>
      <c r="E594" s="32" t="s">
        <v>50</v>
      </c>
    </row>
    <row r="595" spans="1:5" x14ac:dyDescent="0.45">
      <c r="A595" s="30">
        <v>594</v>
      </c>
      <c r="B595" s="32" t="s">
        <v>102</v>
      </c>
      <c r="C595" s="32" t="s">
        <v>249</v>
      </c>
      <c r="D595" s="32" t="s">
        <v>118</v>
      </c>
      <c r="E595" s="32" t="s">
        <v>119</v>
      </c>
    </row>
    <row r="596" spans="1:5" x14ac:dyDescent="0.45">
      <c r="A596" s="30">
        <v>595</v>
      </c>
      <c r="B596" s="32" t="s">
        <v>47</v>
      </c>
      <c r="C596" s="32" t="s">
        <v>512</v>
      </c>
      <c r="D596" s="32" t="s">
        <v>81</v>
      </c>
      <c r="E596" s="32" t="s">
        <v>50</v>
      </c>
    </row>
    <row r="597" spans="1:5" x14ac:dyDescent="0.45">
      <c r="A597" s="30">
        <v>596</v>
      </c>
      <c r="B597" s="32" t="s">
        <v>102</v>
      </c>
      <c r="C597" s="32" t="s">
        <v>250</v>
      </c>
      <c r="D597" s="32" t="s">
        <v>49</v>
      </c>
      <c r="E597" s="32" t="s">
        <v>50</v>
      </c>
    </row>
    <row r="598" spans="1:5" x14ac:dyDescent="0.45">
      <c r="A598" s="30">
        <v>597</v>
      </c>
      <c r="B598" s="32" t="s">
        <v>47</v>
      </c>
      <c r="C598" s="32" t="s">
        <v>251</v>
      </c>
      <c r="D598" s="32" t="s">
        <v>49</v>
      </c>
      <c r="E598" s="32" t="s">
        <v>50</v>
      </c>
    </row>
    <row r="599" spans="1:5" x14ac:dyDescent="0.45">
      <c r="A599" s="30">
        <v>598</v>
      </c>
      <c r="B599" s="32" t="s">
        <v>47</v>
      </c>
      <c r="C599" s="32" t="s">
        <v>535</v>
      </c>
      <c r="D599" s="32" t="s">
        <v>60</v>
      </c>
      <c r="E599" s="32" t="s">
        <v>50</v>
      </c>
    </row>
    <row r="600" spans="1:5" x14ac:dyDescent="0.45">
      <c r="A600" s="30">
        <v>599</v>
      </c>
      <c r="B600" s="32" t="s">
        <v>47</v>
      </c>
      <c r="C600" s="32" t="s">
        <v>252</v>
      </c>
      <c r="D600" s="32" t="s">
        <v>49</v>
      </c>
      <c r="E600" s="32" t="s">
        <v>50</v>
      </c>
    </row>
    <row r="601" spans="1:5" x14ac:dyDescent="0.45">
      <c r="A601" s="30">
        <v>600</v>
      </c>
      <c r="B601" s="32" t="s">
        <v>47</v>
      </c>
      <c r="C601" s="32" t="s">
        <v>620</v>
      </c>
      <c r="D601" s="32" t="s">
        <v>134</v>
      </c>
      <c r="E601" s="32" t="s">
        <v>50</v>
      </c>
    </row>
    <row r="602" spans="1:5" x14ac:dyDescent="0.45">
      <c r="A602" s="30">
        <v>601</v>
      </c>
      <c r="B602" s="32" t="s">
        <v>47</v>
      </c>
      <c r="C602" s="32" t="s">
        <v>700</v>
      </c>
      <c r="D602" s="32" t="s">
        <v>60</v>
      </c>
      <c r="E602" s="32" t="s">
        <v>50</v>
      </c>
    </row>
    <row r="603" spans="1:5" x14ac:dyDescent="0.45">
      <c r="A603" s="30">
        <v>602</v>
      </c>
      <c r="B603" s="32" t="s">
        <v>47</v>
      </c>
      <c r="C603" s="32" t="s">
        <v>602</v>
      </c>
      <c r="D603" s="32" t="s">
        <v>49</v>
      </c>
      <c r="E603" s="32" t="s">
        <v>50</v>
      </c>
    </row>
    <row r="604" spans="1:5" x14ac:dyDescent="0.45">
      <c r="A604" s="30">
        <v>603</v>
      </c>
      <c r="B604" s="32" t="s">
        <v>47</v>
      </c>
      <c r="C604" s="32" t="s">
        <v>455</v>
      </c>
      <c r="D604" s="32" t="s">
        <v>456</v>
      </c>
      <c r="E604" s="32" t="s">
        <v>341</v>
      </c>
    </row>
    <row r="605" spans="1:5" x14ac:dyDescent="0.45">
      <c r="A605" s="30">
        <v>604</v>
      </c>
      <c r="B605" s="32" t="s">
        <v>47</v>
      </c>
      <c r="C605" s="32" t="s">
        <v>544</v>
      </c>
      <c r="D605" s="32" t="s">
        <v>57</v>
      </c>
      <c r="E605" s="32" t="s">
        <v>50</v>
      </c>
    </row>
    <row r="606" spans="1:5" x14ac:dyDescent="0.45">
      <c r="A606" s="30">
        <v>605</v>
      </c>
      <c r="B606" s="32" t="s">
        <v>47</v>
      </c>
      <c r="C606" s="32" t="s">
        <v>570</v>
      </c>
      <c r="D606" s="32" t="s">
        <v>49</v>
      </c>
      <c r="E606" s="32" t="s">
        <v>50</v>
      </c>
    </row>
    <row r="607" spans="1:5" x14ac:dyDescent="0.45">
      <c r="A607" s="30">
        <v>606</v>
      </c>
      <c r="B607" s="32" t="s">
        <v>47</v>
      </c>
      <c r="C607" s="32" t="s">
        <v>253</v>
      </c>
      <c r="D607" s="32" t="s">
        <v>57</v>
      </c>
      <c r="E607" s="32" t="s">
        <v>50</v>
      </c>
    </row>
    <row r="608" spans="1:5" x14ac:dyDescent="0.45">
      <c r="A608" s="30">
        <v>607</v>
      </c>
      <c r="B608" s="32" t="s">
        <v>47</v>
      </c>
      <c r="C608" s="32" t="s">
        <v>457</v>
      </c>
      <c r="D608" s="32" t="s">
        <v>49</v>
      </c>
      <c r="E608" s="32" t="s">
        <v>50</v>
      </c>
    </row>
    <row r="609" spans="1:5" x14ac:dyDescent="0.45">
      <c r="A609" s="30">
        <v>608</v>
      </c>
      <c r="B609" s="32" t="s">
        <v>47</v>
      </c>
      <c r="C609" s="32" t="s">
        <v>545</v>
      </c>
      <c r="D609" s="32" t="s">
        <v>54</v>
      </c>
      <c r="E609" s="32" t="s">
        <v>50</v>
      </c>
    </row>
    <row r="610" spans="1:5" x14ac:dyDescent="0.45">
      <c r="A610" s="30">
        <v>609</v>
      </c>
      <c r="B610" s="32" t="s">
        <v>47</v>
      </c>
      <c r="C610" s="32" t="s">
        <v>254</v>
      </c>
      <c r="D610" s="32" t="s">
        <v>49</v>
      </c>
      <c r="E610" s="32" t="s">
        <v>50</v>
      </c>
    </row>
    <row r="611" spans="1:5" x14ac:dyDescent="0.45">
      <c r="A611" s="30">
        <v>610</v>
      </c>
      <c r="B611" s="32" t="s">
        <v>47</v>
      </c>
      <c r="C611" s="32" t="s">
        <v>326</v>
      </c>
      <c r="D611" s="32" t="s">
        <v>57</v>
      </c>
      <c r="E611" s="32" t="s">
        <v>50</v>
      </c>
    </row>
    <row r="612" spans="1:5" x14ac:dyDescent="0.45">
      <c r="A612" s="30">
        <v>611</v>
      </c>
      <c r="B612" s="32" t="s">
        <v>47</v>
      </c>
      <c r="C612" s="32" t="s">
        <v>458</v>
      </c>
      <c r="D612" s="32" t="s">
        <v>60</v>
      </c>
      <c r="E612" s="32" t="s">
        <v>50</v>
      </c>
    </row>
    <row r="613" spans="1:5" x14ac:dyDescent="0.45">
      <c r="A613" s="30">
        <v>612</v>
      </c>
      <c r="B613" s="32" t="s">
        <v>47</v>
      </c>
      <c r="C613" s="32" t="s">
        <v>255</v>
      </c>
      <c r="D613" s="32" t="s">
        <v>60</v>
      </c>
      <c r="E613" s="32" t="s">
        <v>50</v>
      </c>
    </row>
    <row r="614" spans="1:5" x14ac:dyDescent="0.45">
      <c r="A614" s="30">
        <v>613</v>
      </c>
      <c r="B614" s="32" t="s">
        <v>47</v>
      </c>
      <c r="C614" s="32" t="s">
        <v>380</v>
      </c>
      <c r="D614" s="32" t="s">
        <v>49</v>
      </c>
      <c r="E614" s="32" t="s">
        <v>50</v>
      </c>
    </row>
    <row r="615" spans="1:5" x14ac:dyDescent="0.45">
      <c r="A615" s="30">
        <v>614</v>
      </c>
      <c r="B615" s="32" t="s">
        <v>47</v>
      </c>
      <c r="C615" s="32" t="s">
        <v>327</v>
      </c>
      <c r="D615" s="32" t="s">
        <v>49</v>
      </c>
      <c r="E615" s="32" t="s">
        <v>50</v>
      </c>
    </row>
    <row r="616" spans="1:5" x14ac:dyDescent="0.45">
      <c r="A616" s="30">
        <v>615</v>
      </c>
      <c r="B616" s="32" t="s">
        <v>47</v>
      </c>
      <c r="C616" s="32" t="s">
        <v>256</v>
      </c>
      <c r="D616" s="32" t="s">
        <v>81</v>
      </c>
      <c r="E616" s="32" t="s">
        <v>50</v>
      </c>
    </row>
    <row r="617" spans="1:5" x14ac:dyDescent="0.45">
      <c r="A617" s="30">
        <v>616</v>
      </c>
      <c r="B617" s="32" t="s">
        <v>47</v>
      </c>
      <c r="C617" s="32" t="s">
        <v>257</v>
      </c>
      <c r="D617" s="32" t="s">
        <v>64</v>
      </c>
      <c r="E617" s="32" t="s">
        <v>50</v>
      </c>
    </row>
    <row r="618" spans="1:5" x14ac:dyDescent="0.45">
      <c r="A618" s="30">
        <v>617</v>
      </c>
      <c r="B618" s="32" t="s">
        <v>102</v>
      </c>
      <c r="C618" s="32" t="s">
        <v>658</v>
      </c>
      <c r="D618" s="32" t="s">
        <v>64</v>
      </c>
      <c r="E618" s="32" t="s">
        <v>50</v>
      </c>
    </row>
    <row r="619" spans="1:5" x14ac:dyDescent="0.45">
      <c r="A619" s="30">
        <v>618</v>
      </c>
      <c r="B619" s="32" t="s">
        <v>47</v>
      </c>
      <c r="C619" s="32" t="s">
        <v>459</v>
      </c>
      <c r="D619" s="32" t="s">
        <v>134</v>
      </c>
      <c r="E619" s="32" t="s">
        <v>50</v>
      </c>
    </row>
    <row r="620" spans="1:5" x14ac:dyDescent="0.45">
      <c r="A620" s="30">
        <v>619</v>
      </c>
      <c r="B620" s="32" t="s">
        <v>102</v>
      </c>
      <c r="C620" s="32" t="s">
        <v>800</v>
      </c>
      <c r="D620" s="32" t="s">
        <v>134</v>
      </c>
      <c r="E620" s="32" t="s">
        <v>50</v>
      </c>
    </row>
    <row r="621" spans="1:5" x14ac:dyDescent="0.45">
      <c r="A621" s="30">
        <v>620</v>
      </c>
      <c r="B621" s="32" t="s">
        <v>47</v>
      </c>
      <c r="C621" s="32" t="s">
        <v>258</v>
      </c>
      <c r="D621" s="32" t="s">
        <v>49</v>
      </c>
      <c r="E621" s="32" t="s">
        <v>50</v>
      </c>
    </row>
    <row r="622" spans="1:5" x14ac:dyDescent="0.45">
      <c r="A622" s="30">
        <v>621</v>
      </c>
      <c r="B622" s="32" t="s">
        <v>47</v>
      </c>
      <c r="C622" s="32" t="s">
        <v>169</v>
      </c>
      <c r="D622" s="32" t="s">
        <v>49</v>
      </c>
      <c r="E622" s="32" t="s">
        <v>50</v>
      </c>
    </row>
    <row r="623" spans="1:5" x14ac:dyDescent="0.45">
      <c r="A623" s="30">
        <v>622</v>
      </c>
      <c r="B623" s="32" t="s">
        <v>47</v>
      </c>
      <c r="C623" s="32" t="s">
        <v>715</v>
      </c>
      <c r="D623" s="32" t="s">
        <v>57</v>
      </c>
      <c r="E623" s="32" t="s">
        <v>50</v>
      </c>
    </row>
    <row r="624" spans="1:5" x14ac:dyDescent="0.45">
      <c r="A624" s="30">
        <v>623</v>
      </c>
      <c r="B624" s="32" t="s">
        <v>47</v>
      </c>
      <c r="C624" s="32" t="s">
        <v>716</v>
      </c>
      <c r="D624" s="32" t="s">
        <v>134</v>
      </c>
      <c r="E624" s="32" t="s">
        <v>50</v>
      </c>
    </row>
    <row r="625" spans="1:5" x14ac:dyDescent="0.45">
      <c r="A625" s="30">
        <v>624</v>
      </c>
      <c r="B625" s="32" t="s">
        <v>47</v>
      </c>
      <c r="C625" s="32" t="s">
        <v>717</v>
      </c>
      <c r="D625" s="32" t="s">
        <v>223</v>
      </c>
      <c r="E625" s="32" t="s">
        <v>50</v>
      </c>
    </row>
    <row r="626" spans="1:5" x14ac:dyDescent="0.45">
      <c r="A626" s="30">
        <v>625</v>
      </c>
      <c r="B626" s="32" t="s">
        <v>47</v>
      </c>
      <c r="C626" s="32" t="s">
        <v>718</v>
      </c>
      <c r="D626" s="32" t="s">
        <v>60</v>
      </c>
      <c r="E626" s="32" t="s">
        <v>50</v>
      </c>
    </row>
    <row r="627" spans="1:5" x14ac:dyDescent="0.45">
      <c r="A627" s="30">
        <v>626</v>
      </c>
      <c r="B627" s="32" t="s">
        <v>47</v>
      </c>
      <c r="C627" s="32" t="s">
        <v>719</v>
      </c>
      <c r="D627" s="32" t="s">
        <v>81</v>
      </c>
      <c r="E627" s="32" t="s">
        <v>50</v>
      </c>
    </row>
    <row r="628" spans="1:5" x14ac:dyDescent="0.45">
      <c r="A628" s="30">
        <v>627</v>
      </c>
      <c r="B628" s="32" t="s">
        <v>47</v>
      </c>
      <c r="C628" s="32" t="s">
        <v>720</v>
      </c>
      <c r="D628" s="32" t="s">
        <v>64</v>
      </c>
      <c r="E628" s="32" t="s">
        <v>50</v>
      </c>
    </row>
    <row r="629" spans="1:5" x14ac:dyDescent="0.45">
      <c r="A629" s="30">
        <v>628</v>
      </c>
      <c r="B629" s="32" t="s">
        <v>47</v>
      </c>
      <c r="C629" s="32" t="s">
        <v>721</v>
      </c>
      <c r="D629" s="32" t="s">
        <v>49</v>
      </c>
      <c r="E629" s="32" t="s">
        <v>50</v>
      </c>
    </row>
    <row r="630" spans="1:5" x14ac:dyDescent="0.45">
      <c r="A630" s="30">
        <v>629</v>
      </c>
      <c r="B630" s="32" t="s">
        <v>47</v>
      </c>
      <c r="C630" s="32" t="s">
        <v>722</v>
      </c>
      <c r="D630" s="32" t="s">
        <v>49</v>
      </c>
      <c r="E630" s="32" t="s">
        <v>50</v>
      </c>
    </row>
    <row r="631" spans="1:5" x14ac:dyDescent="0.45">
      <c r="A631" s="30">
        <v>630</v>
      </c>
      <c r="B631" s="32" t="s">
        <v>47</v>
      </c>
      <c r="C631" s="32" t="s">
        <v>723</v>
      </c>
      <c r="D631" s="32" t="s">
        <v>49</v>
      </c>
      <c r="E631" s="32" t="s">
        <v>50</v>
      </c>
    </row>
    <row r="632" spans="1:5" x14ac:dyDescent="0.45">
      <c r="A632" s="30">
        <v>631</v>
      </c>
      <c r="B632" s="32" t="s">
        <v>47</v>
      </c>
      <c r="C632" s="32" t="s">
        <v>724</v>
      </c>
      <c r="D632" s="32" t="s">
        <v>64</v>
      </c>
      <c r="E632" s="32" t="s">
        <v>50</v>
      </c>
    </row>
    <row r="633" spans="1:5" x14ac:dyDescent="0.45">
      <c r="A633" s="30">
        <v>632</v>
      </c>
      <c r="B633" s="32" t="s">
        <v>47</v>
      </c>
      <c r="C633" s="32" t="s">
        <v>725</v>
      </c>
      <c r="D633" s="32" t="s">
        <v>49</v>
      </c>
      <c r="E633" s="32" t="s">
        <v>50</v>
      </c>
    </row>
    <row r="634" spans="1:5" x14ac:dyDescent="0.45">
      <c r="A634" s="30">
        <v>633</v>
      </c>
      <c r="B634" s="32" t="s">
        <v>102</v>
      </c>
      <c r="C634" s="32" t="s">
        <v>726</v>
      </c>
      <c r="D634" s="32" t="s">
        <v>727</v>
      </c>
      <c r="E634" s="32" t="s">
        <v>728</v>
      </c>
    </row>
    <row r="635" spans="1:5" x14ac:dyDescent="0.45">
      <c r="A635" s="30">
        <v>634</v>
      </c>
      <c r="B635" s="32" t="s">
        <v>47</v>
      </c>
      <c r="C635" s="32" t="s">
        <v>729</v>
      </c>
      <c r="D635" s="32" t="s">
        <v>49</v>
      </c>
      <c r="E635" s="32" t="s">
        <v>50</v>
      </c>
    </row>
    <row r="636" spans="1:5" x14ac:dyDescent="0.45">
      <c r="A636" s="30">
        <v>635</v>
      </c>
      <c r="B636" s="32" t="s">
        <v>102</v>
      </c>
      <c r="C636" s="32" t="s">
        <v>730</v>
      </c>
      <c r="D636" s="32" t="s">
        <v>487</v>
      </c>
      <c r="E636" s="32" t="s">
        <v>341</v>
      </c>
    </row>
    <row r="637" spans="1:5" x14ac:dyDescent="0.45">
      <c r="A637" s="30">
        <v>636</v>
      </c>
      <c r="B637" s="32" t="s">
        <v>47</v>
      </c>
      <c r="C637" s="32" t="s">
        <v>731</v>
      </c>
      <c r="D637" s="32" t="s">
        <v>64</v>
      </c>
      <c r="E637" s="32" t="s">
        <v>50</v>
      </c>
    </row>
    <row r="638" spans="1:5" x14ac:dyDescent="0.45">
      <c r="A638" s="30">
        <v>637</v>
      </c>
      <c r="B638" s="32" t="s">
        <v>102</v>
      </c>
      <c r="C638" s="32" t="s">
        <v>732</v>
      </c>
      <c r="D638" s="32" t="s">
        <v>349</v>
      </c>
      <c r="E638" s="32" t="s">
        <v>105</v>
      </c>
    </row>
    <row r="639" spans="1:5" x14ac:dyDescent="0.45">
      <c r="A639" s="30">
        <v>638</v>
      </c>
      <c r="B639" s="32" t="s">
        <v>102</v>
      </c>
      <c r="C639" s="31" t="s">
        <v>735</v>
      </c>
      <c r="D639" s="32" t="s">
        <v>736</v>
      </c>
      <c r="E639" s="32" t="s">
        <v>50</v>
      </c>
    </row>
    <row r="640" spans="1:5" x14ac:dyDescent="0.45">
      <c r="A640" s="30">
        <v>639</v>
      </c>
      <c r="B640" s="32" t="s">
        <v>102</v>
      </c>
      <c r="C640" s="31" t="s">
        <v>737</v>
      </c>
      <c r="D640" s="32" t="s">
        <v>240</v>
      </c>
      <c r="E640" s="32" t="s">
        <v>50</v>
      </c>
    </row>
    <row r="641" spans="1:5" x14ac:dyDescent="0.45">
      <c r="A641" s="30">
        <v>640</v>
      </c>
      <c r="B641" s="32" t="s">
        <v>47</v>
      </c>
      <c r="C641" s="31" t="s">
        <v>738</v>
      </c>
      <c r="D641" s="32" t="s">
        <v>81</v>
      </c>
      <c r="E641" s="32" t="s">
        <v>50</v>
      </c>
    </row>
    <row r="642" spans="1:5" x14ac:dyDescent="0.45">
      <c r="A642" s="30">
        <v>641</v>
      </c>
      <c r="B642" s="32" t="s">
        <v>102</v>
      </c>
      <c r="C642" s="32" t="s">
        <v>733</v>
      </c>
      <c r="D642" s="32" t="s">
        <v>734</v>
      </c>
      <c r="E642" s="32" t="s">
        <v>128</v>
      </c>
    </row>
    <row r="643" spans="1:5" x14ac:dyDescent="0.45">
      <c r="A643" s="30">
        <v>642</v>
      </c>
      <c r="B643" s="32" t="s">
        <v>47</v>
      </c>
      <c r="C643" s="32" t="s">
        <v>739</v>
      </c>
      <c r="D643" s="32" t="s">
        <v>60</v>
      </c>
      <c r="E643" s="32" t="s">
        <v>50</v>
      </c>
    </row>
    <row r="644" spans="1:5" x14ac:dyDescent="0.45">
      <c r="A644" s="30">
        <v>643</v>
      </c>
      <c r="B644" s="32" t="s">
        <v>47</v>
      </c>
      <c r="C644" s="32" t="s">
        <v>740</v>
      </c>
      <c r="D644" s="32" t="s">
        <v>49</v>
      </c>
      <c r="E644" s="32" t="s">
        <v>50</v>
      </c>
    </row>
    <row r="645" spans="1:5" x14ac:dyDescent="0.45">
      <c r="A645" s="30">
        <v>644</v>
      </c>
      <c r="B645" s="32" t="s">
        <v>47</v>
      </c>
      <c r="C645" s="32" t="s">
        <v>741</v>
      </c>
      <c r="D645" s="32" t="s">
        <v>60</v>
      </c>
      <c r="E645" s="32" t="s">
        <v>50</v>
      </c>
    </row>
    <row r="646" spans="1:5" x14ac:dyDescent="0.45">
      <c r="A646" s="30">
        <v>645</v>
      </c>
      <c r="B646" s="32" t="s">
        <v>47</v>
      </c>
      <c r="C646" s="32" t="s">
        <v>742</v>
      </c>
      <c r="D646" s="32" t="s">
        <v>49</v>
      </c>
      <c r="E646" s="32" t="s">
        <v>50</v>
      </c>
    </row>
    <row r="647" spans="1:5" x14ac:dyDescent="0.45">
      <c r="A647" s="30">
        <v>646</v>
      </c>
      <c r="B647" s="32" t="s">
        <v>102</v>
      </c>
      <c r="C647" s="32" t="s">
        <v>743</v>
      </c>
      <c r="D647" s="32" t="s">
        <v>127</v>
      </c>
      <c r="E647" s="32" t="s">
        <v>128</v>
      </c>
    </row>
    <row r="648" spans="1:5" x14ac:dyDescent="0.45">
      <c r="A648" s="30">
        <v>647</v>
      </c>
      <c r="B648" s="32" t="s">
        <v>47</v>
      </c>
      <c r="C648" s="32" t="s">
        <v>744</v>
      </c>
      <c r="D648" s="32" t="s">
        <v>49</v>
      </c>
      <c r="E648" s="32" t="s">
        <v>50</v>
      </c>
    </row>
    <row r="649" spans="1:5" x14ac:dyDescent="0.45">
      <c r="A649" s="30">
        <v>648</v>
      </c>
      <c r="B649" s="32" t="s">
        <v>47</v>
      </c>
      <c r="C649" s="32" t="s">
        <v>745</v>
      </c>
      <c r="D649" s="32" t="s">
        <v>57</v>
      </c>
      <c r="E649" s="32" t="s">
        <v>50</v>
      </c>
    </row>
    <row r="650" spans="1:5" x14ac:dyDescent="0.45">
      <c r="A650" s="30">
        <v>649</v>
      </c>
      <c r="B650" s="32" t="s">
        <v>102</v>
      </c>
      <c r="C650" s="32" t="s">
        <v>746</v>
      </c>
      <c r="D650" s="32" t="s">
        <v>127</v>
      </c>
      <c r="E650" s="32" t="s">
        <v>128</v>
      </c>
    </row>
    <row r="651" spans="1:5" x14ac:dyDescent="0.45">
      <c r="A651" s="30">
        <v>650</v>
      </c>
      <c r="B651" s="32" t="s">
        <v>102</v>
      </c>
      <c r="C651" s="32" t="s">
        <v>747</v>
      </c>
      <c r="D651" s="32" t="s">
        <v>748</v>
      </c>
      <c r="E651" s="32" t="s">
        <v>128</v>
      </c>
    </row>
    <row r="652" spans="1:5" x14ac:dyDescent="0.45">
      <c r="A652" s="30">
        <v>651</v>
      </c>
      <c r="B652" s="32" t="s">
        <v>47</v>
      </c>
      <c r="C652" s="32" t="s">
        <v>749</v>
      </c>
      <c r="D652" s="32" t="s">
        <v>57</v>
      </c>
      <c r="E652" s="32" t="s">
        <v>50</v>
      </c>
    </row>
    <row r="653" spans="1:5" x14ac:dyDescent="0.45">
      <c r="A653" s="30">
        <v>652</v>
      </c>
      <c r="B653" s="32" t="s">
        <v>47</v>
      </c>
      <c r="C653" s="32" t="s">
        <v>750</v>
      </c>
      <c r="D653" s="32" t="s">
        <v>49</v>
      </c>
      <c r="E653" s="32" t="s">
        <v>50</v>
      </c>
    </row>
    <row r="654" spans="1:5" x14ac:dyDescent="0.45">
      <c r="A654" s="30">
        <v>653</v>
      </c>
      <c r="B654" s="32" t="s">
        <v>47</v>
      </c>
      <c r="C654" s="32" t="s">
        <v>751</v>
      </c>
      <c r="D654" s="32" t="s">
        <v>57</v>
      </c>
      <c r="E654" s="32" t="s">
        <v>50</v>
      </c>
    </row>
    <row r="655" spans="1:5" x14ac:dyDescent="0.45">
      <c r="A655" s="30">
        <v>654</v>
      </c>
      <c r="B655" s="32" t="s">
        <v>47</v>
      </c>
      <c r="C655" s="32" t="s">
        <v>752</v>
      </c>
      <c r="D655" s="32" t="s">
        <v>49</v>
      </c>
      <c r="E655" s="32" t="s">
        <v>50</v>
      </c>
    </row>
    <row r="656" spans="1:5" x14ac:dyDescent="0.45">
      <c r="A656" s="30">
        <v>655</v>
      </c>
      <c r="B656" s="32" t="s">
        <v>102</v>
      </c>
      <c r="C656" s="32" t="s">
        <v>754</v>
      </c>
      <c r="D656" s="32" t="s">
        <v>755</v>
      </c>
      <c r="E656" s="32" t="s">
        <v>557</v>
      </c>
    </row>
    <row r="657" spans="1:5" x14ac:dyDescent="0.45">
      <c r="A657" s="30">
        <v>656</v>
      </c>
      <c r="B657" s="32" t="s">
        <v>102</v>
      </c>
      <c r="C657" s="32" t="s">
        <v>757</v>
      </c>
      <c r="D657" s="32" t="s">
        <v>331</v>
      </c>
      <c r="E657" s="32" t="s">
        <v>105</v>
      </c>
    </row>
    <row r="658" spans="1:5" x14ac:dyDescent="0.45">
      <c r="A658" s="30">
        <v>657</v>
      </c>
      <c r="B658" s="32" t="s">
        <v>102</v>
      </c>
      <c r="C658" s="32" t="s">
        <v>763</v>
      </c>
      <c r="D658" s="32" t="s">
        <v>764</v>
      </c>
      <c r="E658" s="32" t="s">
        <v>108</v>
      </c>
    </row>
    <row r="659" spans="1:5" x14ac:dyDescent="0.45">
      <c r="A659" s="30">
        <v>658</v>
      </c>
      <c r="B659" s="32" t="s">
        <v>102</v>
      </c>
      <c r="C659" s="32" t="s">
        <v>756</v>
      </c>
      <c r="D659" s="32" t="s">
        <v>349</v>
      </c>
      <c r="E659" s="32" t="s">
        <v>105</v>
      </c>
    </row>
    <row r="660" spans="1:5" x14ac:dyDescent="0.45">
      <c r="A660" s="30">
        <v>659</v>
      </c>
      <c r="B660" s="32" t="s">
        <v>102</v>
      </c>
      <c r="C660" s="32" t="s">
        <v>753</v>
      </c>
      <c r="D660" s="32" t="s">
        <v>118</v>
      </c>
      <c r="E660" s="32" t="s">
        <v>119</v>
      </c>
    </row>
    <row r="661" spans="1:5" x14ac:dyDescent="0.45">
      <c r="A661" s="30">
        <v>660</v>
      </c>
      <c r="B661" s="32" t="s">
        <v>102</v>
      </c>
      <c r="C661" s="32" t="s">
        <v>761</v>
      </c>
      <c r="D661" s="32" t="s">
        <v>127</v>
      </c>
      <c r="E661" s="32" t="s">
        <v>128</v>
      </c>
    </row>
    <row r="662" spans="1:5" x14ac:dyDescent="0.45">
      <c r="A662" s="30">
        <v>661</v>
      </c>
      <c r="B662" s="32" t="s">
        <v>102</v>
      </c>
      <c r="C662" s="32" t="s">
        <v>758</v>
      </c>
      <c r="D662" s="32" t="s">
        <v>759</v>
      </c>
      <c r="E662" s="32" t="s">
        <v>760</v>
      </c>
    </row>
    <row r="663" spans="1:5" x14ac:dyDescent="0.45">
      <c r="A663" s="30">
        <v>662</v>
      </c>
      <c r="B663" s="32" t="s">
        <v>102</v>
      </c>
      <c r="C663" s="32" t="s">
        <v>762</v>
      </c>
      <c r="D663" s="32" t="s">
        <v>64</v>
      </c>
      <c r="E663" s="32" t="s">
        <v>50</v>
      </c>
    </row>
    <row r="664" spans="1:5" x14ac:dyDescent="0.45">
      <c r="A664" s="30">
        <v>663</v>
      </c>
      <c r="B664" s="32" t="s">
        <v>102</v>
      </c>
      <c r="C664" s="32" t="s">
        <v>765</v>
      </c>
      <c r="D664" s="32" t="s">
        <v>766</v>
      </c>
      <c r="E664" s="32" t="s">
        <v>789</v>
      </c>
    </row>
    <row r="665" spans="1:5" x14ac:dyDescent="0.45">
      <c r="A665" s="30">
        <v>664</v>
      </c>
      <c r="B665" s="32" t="s">
        <v>102</v>
      </c>
      <c r="C665" s="32" t="s">
        <v>767</v>
      </c>
      <c r="D665" s="32" t="s">
        <v>768</v>
      </c>
      <c r="E665" s="32" t="s">
        <v>774</v>
      </c>
    </row>
    <row r="666" spans="1:5" x14ac:dyDescent="0.45">
      <c r="A666" s="30">
        <v>665</v>
      </c>
      <c r="B666" s="32" t="s">
        <v>102</v>
      </c>
      <c r="C666" s="32" t="s">
        <v>769</v>
      </c>
      <c r="D666" s="32" t="s">
        <v>770</v>
      </c>
      <c r="E666" s="32" t="s">
        <v>705</v>
      </c>
    </row>
    <row r="667" spans="1:5" x14ac:dyDescent="0.45">
      <c r="A667" s="30">
        <v>666</v>
      </c>
      <c r="B667" s="32" t="s">
        <v>102</v>
      </c>
      <c r="C667" s="32" t="s">
        <v>771</v>
      </c>
      <c r="D667" s="32" t="s">
        <v>772</v>
      </c>
      <c r="E667" s="32" t="s">
        <v>773</v>
      </c>
    </row>
    <row r="668" spans="1:5" x14ac:dyDescent="0.45">
      <c r="A668" s="30">
        <v>667</v>
      </c>
      <c r="B668" s="32" t="s">
        <v>102</v>
      </c>
      <c r="C668" s="32" t="s">
        <v>775</v>
      </c>
      <c r="D668" s="32" t="s">
        <v>340</v>
      </c>
      <c r="E668" s="32" t="s">
        <v>341</v>
      </c>
    </row>
    <row r="669" spans="1:5" x14ac:dyDescent="0.45">
      <c r="A669" s="30">
        <v>668</v>
      </c>
      <c r="B669" s="32" t="s">
        <v>102</v>
      </c>
      <c r="C669" s="32" t="s">
        <v>776</v>
      </c>
      <c r="D669" s="32" t="s">
        <v>777</v>
      </c>
      <c r="E669" s="32" t="s">
        <v>557</v>
      </c>
    </row>
    <row r="670" spans="1:5" x14ac:dyDescent="0.45">
      <c r="A670" s="30">
        <v>669</v>
      </c>
      <c r="B670" s="32" t="s">
        <v>102</v>
      </c>
      <c r="C670" s="32" t="s">
        <v>778</v>
      </c>
      <c r="D670" s="32" t="s">
        <v>338</v>
      </c>
      <c r="E670" s="32" t="s">
        <v>105</v>
      </c>
    </row>
    <row r="671" spans="1:5" x14ac:dyDescent="0.45">
      <c r="A671" s="30">
        <v>670</v>
      </c>
      <c r="B671" s="32" t="s">
        <v>47</v>
      </c>
      <c r="C671" s="32" t="s">
        <v>779</v>
      </c>
      <c r="D671" s="32" t="s">
        <v>57</v>
      </c>
      <c r="E671" s="32" t="s">
        <v>50</v>
      </c>
    </row>
    <row r="672" spans="1:5" x14ac:dyDescent="0.45">
      <c r="A672" s="51">
        <v>671</v>
      </c>
      <c r="B672" s="52" t="s">
        <v>102</v>
      </c>
      <c r="C672" s="52" t="s">
        <v>780</v>
      </c>
      <c r="D672" s="52" t="s">
        <v>238</v>
      </c>
      <c r="E672" s="53" t="s">
        <v>50</v>
      </c>
    </row>
    <row r="673" spans="1:5" x14ac:dyDescent="0.45">
      <c r="A673" s="54">
        <v>672</v>
      </c>
      <c r="B673" s="55" t="s">
        <v>102</v>
      </c>
      <c r="C673" s="55" t="s">
        <v>781</v>
      </c>
      <c r="D673" s="55" t="s">
        <v>349</v>
      </c>
      <c r="E673" s="56" t="s">
        <v>105</v>
      </c>
    </row>
    <row r="674" spans="1:5" x14ac:dyDescent="0.45">
      <c r="A674" s="51">
        <v>673</v>
      </c>
      <c r="B674" s="52" t="s">
        <v>47</v>
      </c>
      <c r="C674" s="52" t="s">
        <v>782</v>
      </c>
      <c r="D674" s="52" t="s">
        <v>54</v>
      </c>
      <c r="E674" s="53" t="s">
        <v>50</v>
      </c>
    </row>
    <row r="675" spans="1:5" x14ac:dyDescent="0.45">
      <c r="A675" s="54">
        <v>674</v>
      </c>
      <c r="B675" s="55" t="s">
        <v>47</v>
      </c>
      <c r="C675" s="55" t="s">
        <v>783</v>
      </c>
      <c r="D675" s="55" t="s">
        <v>57</v>
      </c>
      <c r="E675" s="56" t="s">
        <v>50</v>
      </c>
    </row>
    <row r="676" spans="1:5" x14ac:dyDescent="0.45">
      <c r="A676" s="51">
        <v>675</v>
      </c>
      <c r="B676" s="52" t="s">
        <v>47</v>
      </c>
      <c r="C676" s="52" t="s">
        <v>784</v>
      </c>
      <c r="D676" s="52" t="s">
        <v>57</v>
      </c>
      <c r="E676" s="53" t="s">
        <v>50</v>
      </c>
    </row>
    <row r="677" spans="1:5" x14ac:dyDescent="0.45">
      <c r="A677" s="54">
        <v>676</v>
      </c>
      <c r="B677" s="55" t="s">
        <v>47</v>
      </c>
      <c r="C677" s="55" t="s">
        <v>785</v>
      </c>
      <c r="D677" s="55" t="s">
        <v>134</v>
      </c>
      <c r="E677" s="56" t="s">
        <v>50</v>
      </c>
    </row>
    <row r="678" spans="1:5" x14ac:dyDescent="0.45">
      <c r="A678" s="51">
        <v>677</v>
      </c>
      <c r="B678" s="52" t="s">
        <v>102</v>
      </c>
      <c r="C678" s="52" t="s">
        <v>788</v>
      </c>
      <c r="D678" s="52" t="s">
        <v>127</v>
      </c>
      <c r="E678" s="53" t="s">
        <v>128</v>
      </c>
    </row>
    <row r="679" spans="1:5" x14ac:dyDescent="0.45">
      <c r="A679" s="54">
        <v>678</v>
      </c>
      <c r="B679" s="55" t="s">
        <v>102</v>
      </c>
      <c r="C679" s="55" t="s">
        <v>790</v>
      </c>
      <c r="D679" s="55" t="s">
        <v>223</v>
      </c>
      <c r="E679" s="56" t="s">
        <v>50</v>
      </c>
    </row>
    <row r="680" spans="1:5" x14ac:dyDescent="0.45">
      <c r="A680" s="51">
        <v>679</v>
      </c>
      <c r="B680" s="52" t="s">
        <v>102</v>
      </c>
      <c r="C680" s="52" t="s">
        <v>791</v>
      </c>
      <c r="D680" s="52" t="s">
        <v>238</v>
      </c>
      <c r="E680" s="53" t="s">
        <v>50</v>
      </c>
    </row>
    <row r="681" spans="1:5" x14ac:dyDescent="0.45">
      <c r="A681" s="57">
        <v>680</v>
      </c>
      <c r="B681" s="58" t="s">
        <v>47</v>
      </c>
      <c r="C681" s="58" t="s">
        <v>786</v>
      </c>
      <c r="D681" s="58" t="s">
        <v>787</v>
      </c>
      <c r="E681" s="59" t="s">
        <v>50</v>
      </c>
    </row>
    <row r="682" spans="1:5" x14ac:dyDescent="0.45">
      <c r="A682" s="30">
        <v>681</v>
      </c>
      <c r="B682" s="32" t="s">
        <v>102</v>
      </c>
      <c r="C682" s="32" t="s">
        <v>792</v>
      </c>
      <c r="D682" s="32" t="s">
        <v>81</v>
      </c>
      <c r="E682" s="32" t="s">
        <v>50</v>
      </c>
    </row>
    <row r="683" spans="1:5" x14ac:dyDescent="0.45">
      <c r="A683" s="30">
        <v>682</v>
      </c>
      <c r="B683" s="32" t="s">
        <v>47</v>
      </c>
      <c r="C683" s="32" t="s">
        <v>793</v>
      </c>
      <c r="D683" s="32" t="s">
        <v>57</v>
      </c>
      <c r="E683" s="32" t="s">
        <v>50</v>
      </c>
    </row>
    <row r="684" spans="1:5" x14ac:dyDescent="0.45">
      <c r="A684" s="30">
        <v>683</v>
      </c>
      <c r="B684" s="32" t="s">
        <v>102</v>
      </c>
      <c r="C684" s="32" t="s">
        <v>794</v>
      </c>
      <c r="D684" s="32" t="s">
        <v>795</v>
      </c>
      <c r="E684" s="32" t="s">
        <v>796</v>
      </c>
    </row>
  </sheetData>
  <conditionalFormatting sqref="C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C2A2-9DAC-430F-A05C-30D1E31A9F90}">
  <dimension ref="A1:B5"/>
  <sheetViews>
    <sheetView workbookViewId="0">
      <selection activeCell="G11" sqref="G11"/>
    </sheetView>
  </sheetViews>
  <sheetFormatPr defaultColWidth="8.7265625" defaultRowHeight="14.5" x14ac:dyDescent="0.35"/>
  <cols>
    <col min="1" max="2" width="8.7265625" style="2"/>
    <col min="3" max="16384" width="8.7265625" style="1"/>
  </cols>
  <sheetData>
    <row r="1" spans="1:2" x14ac:dyDescent="0.35">
      <c r="A1" s="9" t="s">
        <v>20</v>
      </c>
      <c r="B1" s="9" t="s">
        <v>0</v>
      </c>
    </row>
    <row r="2" spans="1:2" x14ac:dyDescent="0.35">
      <c r="A2" s="9">
        <v>1</v>
      </c>
      <c r="B2" s="9">
        <v>2023</v>
      </c>
    </row>
    <row r="3" spans="1:2" x14ac:dyDescent="0.35">
      <c r="A3" s="9">
        <v>2</v>
      </c>
      <c r="B3" s="9">
        <v>2024</v>
      </c>
    </row>
    <row r="4" spans="1:2" x14ac:dyDescent="0.35">
      <c r="A4" s="9">
        <v>3</v>
      </c>
      <c r="B4" s="9">
        <v>2025</v>
      </c>
    </row>
    <row r="5" spans="1:2" x14ac:dyDescent="0.35">
      <c r="A5" s="9">
        <v>4</v>
      </c>
      <c r="B5" s="9">
        <v>2026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39C9-C67B-494A-9129-EDE8AECBF3F0}">
  <dimension ref="A1:B13"/>
  <sheetViews>
    <sheetView workbookViewId="0">
      <selection activeCell="G17" sqref="G17"/>
    </sheetView>
  </sheetViews>
  <sheetFormatPr defaultColWidth="8.7265625" defaultRowHeight="14.5" x14ac:dyDescent="0.35"/>
  <cols>
    <col min="1" max="1" width="8.81640625" style="2" customWidth="1"/>
    <col min="2" max="2" width="8.81640625" style="1" customWidth="1"/>
    <col min="3" max="16384" width="8.7265625" style="1"/>
  </cols>
  <sheetData>
    <row r="1" spans="1:2" x14ac:dyDescent="0.35">
      <c r="A1" s="9" t="s">
        <v>20</v>
      </c>
      <c r="B1" s="10" t="s">
        <v>1</v>
      </c>
    </row>
    <row r="2" spans="1:2" x14ac:dyDescent="0.35">
      <c r="A2" s="9">
        <v>1</v>
      </c>
      <c r="B2" s="10" t="s">
        <v>8</v>
      </c>
    </row>
    <row r="3" spans="1:2" x14ac:dyDescent="0.35">
      <c r="A3" s="9">
        <v>2</v>
      </c>
      <c r="B3" s="10" t="s">
        <v>9</v>
      </c>
    </row>
    <row r="4" spans="1:2" x14ac:dyDescent="0.35">
      <c r="A4" s="9">
        <v>3</v>
      </c>
      <c r="B4" s="10" t="s">
        <v>10</v>
      </c>
    </row>
    <row r="5" spans="1:2" x14ac:dyDescent="0.35">
      <c r="A5" s="9">
        <v>4</v>
      </c>
      <c r="B5" s="10" t="s">
        <v>11</v>
      </c>
    </row>
    <row r="6" spans="1:2" x14ac:dyDescent="0.35">
      <c r="A6" s="9">
        <v>5</v>
      </c>
      <c r="B6" s="10" t="s">
        <v>12</v>
      </c>
    </row>
    <row r="7" spans="1:2" x14ac:dyDescent="0.35">
      <c r="A7" s="9">
        <v>6</v>
      </c>
      <c r="B7" s="10" t="s">
        <v>13</v>
      </c>
    </row>
    <row r="8" spans="1:2" x14ac:dyDescent="0.35">
      <c r="A8" s="9">
        <v>7</v>
      </c>
      <c r="B8" s="10" t="s">
        <v>14</v>
      </c>
    </row>
    <row r="9" spans="1:2" x14ac:dyDescent="0.35">
      <c r="A9" s="9">
        <v>8</v>
      </c>
      <c r="B9" s="10" t="s">
        <v>15</v>
      </c>
    </row>
    <row r="10" spans="1:2" x14ac:dyDescent="0.35">
      <c r="A10" s="9">
        <v>9</v>
      </c>
      <c r="B10" s="10" t="s">
        <v>16</v>
      </c>
    </row>
    <row r="11" spans="1:2" x14ac:dyDescent="0.35">
      <c r="A11" s="9">
        <v>10</v>
      </c>
      <c r="B11" s="10" t="s">
        <v>17</v>
      </c>
    </row>
    <row r="12" spans="1:2" x14ac:dyDescent="0.35">
      <c r="A12" s="9">
        <v>11</v>
      </c>
      <c r="B12" s="10" t="s">
        <v>18</v>
      </c>
    </row>
    <row r="13" spans="1:2" x14ac:dyDescent="0.35">
      <c r="A13" s="9">
        <v>12</v>
      </c>
      <c r="B13" s="10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A719B6E75934895E6A8AC63673B13" ma:contentTypeVersion="3" ma:contentTypeDescription="Create a new document." ma:contentTypeScope="" ma:versionID="a39bc1d85363fa8b62cb4d29ebd4f2a1">
  <xsd:schema xmlns:xsd="http://www.w3.org/2001/XMLSchema" xmlns:xs="http://www.w3.org/2001/XMLSchema" xmlns:p="http://schemas.microsoft.com/office/2006/metadata/properties" xmlns:ns2="a35abc4e-7fea-4224-90f9-93dd039d1934" targetNamespace="http://schemas.microsoft.com/office/2006/metadata/properties" ma:root="true" ma:fieldsID="5b3e0cb1e7ab22dd1a846e9b7dc659f2" ns2:_="">
    <xsd:import namespace="a35abc4e-7fea-4224-90f9-93dd039d19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abc4e-7fea-4224-90f9-93dd039d1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AB1C1C-E27E-4D78-A555-BE1A3A5264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5B1F45-DCEC-4F05-9FEB-339943442CF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5C7327F-1973-42DB-AFCD-9529913ED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abc4e-7fea-4224-90f9-93dd039d1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RawKPI.KSN</vt:lpstr>
      <vt:lpstr>Volume.KSN</vt:lpstr>
      <vt:lpstr>RegRoot.KSN</vt:lpstr>
      <vt:lpstr>Name.KSN</vt:lpstr>
      <vt:lpstr>Year.KSN</vt:lpstr>
      <vt:lpstr>Month.KSN</vt:lpstr>
    </vt:vector>
  </TitlesOfParts>
  <Manager/>
  <Company>Ingredion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Metawee Jantamenchai</dc:creator>
  <cp:keywords/>
  <dc:description/>
  <cp:lastModifiedBy>Waraporn Promsurin</cp:lastModifiedBy>
  <cp:revision/>
  <dcterms:created xsi:type="dcterms:W3CDTF">2025-03-02T08:47:21Z</dcterms:created>
  <dcterms:modified xsi:type="dcterms:W3CDTF">2026-06-09T06:39:00Z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0x010100913A719B6E75934895E6A8AC63673B13</vt:lpwstr>
  </property>
</Properties>
</file>